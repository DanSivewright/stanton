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vor\Downloads\"/>
    </mc:Choice>
  </mc:AlternateContent>
  <xr:revisionPtr revIDLastSave="0" documentId="13_ncr:1_{0EDDD630-E1D0-4F61-B617-B32438F05FED}" xr6:coauthVersionLast="47" xr6:coauthVersionMax="47" xr10:uidLastSave="{00000000-0000-0000-0000-000000000000}"/>
  <bookViews>
    <workbookView xWindow="1140" yWindow="960" windowWidth="17090" windowHeight="9840" activeTab="2" xr2:uid="{B9D68E70-899C-4BC7-B028-A2F0DA18C4F4}"/>
  </bookViews>
  <sheets>
    <sheet name="Factory1" sheetId="1" r:id="rId1"/>
    <sheet name="Factory 2" sheetId="2" r:id="rId2"/>
    <sheet name="Factory 3" sheetId="3" r:id="rId3"/>
  </sheets>
  <externalReferences>
    <externalReference r:id="rId4"/>
    <externalReference r:id="rId5"/>
    <externalReference r:id="rId6"/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434" i="3" l="1"/>
  <c r="P434" i="3"/>
  <c r="T433" i="3"/>
  <c r="P433" i="3"/>
  <c r="T432" i="3"/>
  <c r="P432" i="3"/>
  <c r="T431" i="3"/>
  <c r="P431" i="3"/>
  <c r="T430" i="3"/>
  <c r="P430" i="3"/>
  <c r="T429" i="3"/>
  <c r="P429" i="3"/>
  <c r="T428" i="3"/>
  <c r="P428" i="3"/>
  <c r="T427" i="3"/>
  <c r="P427" i="3"/>
  <c r="T426" i="3"/>
  <c r="P426" i="3"/>
  <c r="T425" i="3"/>
  <c r="P425" i="3"/>
  <c r="T424" i="3"/>
  <c r="P424" i="3"/>
  <c r="T423" i="3"/>
  <c r="P423" i="3"/>
  <c r="T422" i="3"/>
  <c r="N422" i="3"/>
  <c r="P422" i="3" s="1"/>
  <c r="T421" i="3"/>
  <c r="P421" i="3"/>
  <c r="T420" i="3"/>
  <c r="P420" i="3"/>
  <c r="T419" i="3"/>
  <c r="R419" i="3"/>
  <c r="P419" i="3"/>
  <c r="T418" i="3"/>
  <c r="P418" i="3"/>
  <c r="T417" i="3"/>
  <c r="P417" i="3"/>
  <c r="T416" i="3"/>
  <c r="P416" i="3"/>
  <c r="T415" i="3"/>
  <c r="N415" i="3"/>
  <c r="P415" i="3" s="1"/>
  <c r="T414" i="3"/>
  <c r="P414" i="3"/>
  <c r="T413" i="3"/>
  <c r="P413" i="3"/>
  <c r="T412" i="3"/>
  <c r="P412" i="3"/>
  <c r="T411" i="3"/>
  <c r="P411" i="3"/>
  <c r="T410" i="3"/>
  <c r="P410" i="3"/>
  <c r="T409" i="3"/>
  <c r="P409" i="3"/>
  <c r="T408" i="3"/>
  <c r="P408" i="3"/>
  <c r="T407" i="3"/>
  <c r="P407" i="3"/>
  <c r="T406" i="3"/>
  <c r="P406" i="3"/>
  <c r="T405" i="3"/>
  <c r="P405" i="3"/>
  <c r="T404" i="3"/>
  <c r="P404" i="3"/>
  <c r="T403" i="3"/>
  <c r="P403" i="3"/>
  <c r="T402" i="3"/>
  <c r="P402" i="3"/>
  <c r="T401" i="3"/>
  <c r="P401" i="3"/>
  <c r="T400" i="3"/>
  <c r="P400" i="3"/>
  <c r="T399" i="3"/>
  <c r="P399" i="3"/>
  <c r="T398" i="3"/>
  <c r="P398" i="3"/>
  <c r="T397" i="3"/>
  <c r="P397" i="3"/>
  <c r="T396" i="3"/>
  <c r="P396" i="3"/>
  <c r="T395" i="3"/>
  <c r="P395" i="3"/>
  <c r="T394" i="3"/>
  <c r="P394" i="3"/>
  <c r="T393" i="3"/>
  <c r="N393" i="3"/>
  <c r="P393" i="3" s="1"/>
  <c r="T392" i="3"/>
  <c r="P392" i="3"/>
  <c r="T391" i="3"/>
  <c r="P391" i="3"/>
  <c r="T390" i="3"/>
  <c r="P390" i="3"/>
  <c r="T389" i="3"/>
  <c r="P389" i="3"/>
  <c r="T388" i="3"/>
  <c r="P388" i="3"/>
  <c r="T387" i="3"/>
  <c r="P387" i="3"/>
  <c r="T386" i="3"/>
  <c r="P386" i="3"/>
  <c r="T385" i="3"/>
  <c r="P385" i="3"/>
  <c r="T384" i="3"/>
  <c r="P384" i="3"/>
  <c r="T383" i="3"/>
  <c r="P383" i="3"/>
  <c r="T382" i="3"/>
  <c r="P382" i="3"/>
  <c r="T381" i="3"/>
  <c r="P381" i="3"/>
  <c r="T380" i="3"/>
  <c r="P380" i="3"/>
  <c r="T379" i="3"/>
  <c r="P379" i="3"/>
  <c r="T378" i="3"/>
  <c r="P378" i="3"/>
  <c r="T377" i="3"/>
  <c r="P377" i="3"/>
  <c r="T376" i="3"/>
  <c r="P376" i="3"/>
  <c r="T375" i="3"/>
  <c r="P375" i="3"/>
  <c r="T374" i="3"/>
  <c r="P374" i="3"/>
  <c r="T373" i="3"/>
  <c r="P373" i="3"/>
  <c r="T372" i="3"/>
  <c r="P372" i="3"/>
  <c r="T371" i="3"/>
  <c r="P371" i="3"/>
  <c r="T370" i="3"/>
  <c r="P370" i="3"/>
  <c r="T369" i="3"/>
  <c r="P369" i="3"/>
  <c r="T368" i="3"/>
  <c r="P368" i="3"/>
  <c r="T367" i="3"/>
  <c r="P367" i="3"/>
  <c r="T366" i="3"/>
  <c r="P366" i="3"/>
  <c r="T365" i="3"/>
  <c r="P365" i="3"/>
  <c r="T364" i="3"/>
  <c r="P364" i="3"/>
  <c r="T363" i="3"/>
  <c r="S363" i="3"/>
  <c r="P363" i="3"/>
  <c r="T362" i="3"/>
  <c r="P362" i="3"/>
  <c r="T361" i="3"/>
  <c r="P361" i="3"/>
  <c r="T360" i="3"/>
  <c r="S360" i="3"/>
  <c r="P360" i="3"/>
  <c r="T359" i="3"/>
  <c r="P359" i="3"/>
  <c r="T358" i="3"/>
  <c r="P358" i="3"/>
  <c r="T357" i="3"/>
  <c r="P357" i="3"/>
  <c r="T356" i="3"/>
  <c r="P356" i="3"/>
  <c r="T355" i="3"/>
  <c r="P355" i="3"/>
  <c r="T354" i="3"/>
  <c r="P354" i="3"/>
  <c r="T353" i="3"/>
  <c r="P353" i="3"/>
  <c r="T352" i="3"/>
  <c r="P352" i="3"/>
  <c r="T351" i="3"/>
  <c r="P351" i="3"/>
  <c r="T350" i="3"/>
  <c r="P350" i="3"/>
  <c r="T349" i="3"/>
  <c r="P349" i="3"/>
  <c r="T348" i="3"/>
  <c r="P348" i="3"/>
  <c r="T347" i="3"/>
  <c r="P347" i="3"/>
  <c r="T346" i="3"/>
  <c r="P346" i="3"/>
  <c r="T345" i="3"/>
  <c r="P345" i="3"/>
  <c r="T344" i="3"/>
  <c r="P344" i="3"/>
  <c r="T343" i="3"/>
  <c r="P343" i="3"/>
  <c r="T342" i="3"/>
  <c r="P342" i="3"/>
  <c r="T341" i="3"/>
  <c r="P341" i="3"/>
  <c r="V340" i="3"/>
  <c r="U340" i="3"/>
  <c r="T340" i="3"/>
  <c r="S340" i="3"/>
  <c r="T339" i="3"/>
  <c r="P339" i="3"/>
  <c r="T338" i="3"/>
  <c r="P338" i="3"/>
  <c r="V337" i="3"/>
  <c r="U337" i="3"/>
  <c r="T337" i="3"/>
  <c r="S337" i="3"/>
  <c r="T336" i="3"/>
  <c r="R336" i="3"/>
  <c r="V335" i="3"/>
  <c r="U335" i="3"/>
  <c r="T335" i="3"/>
  <c r="S335" i="3"/>
  <c r="V334" i="3"/>
  <c r="U334" i="3"/>
  <c r="T334" i="3"/>
  <c r="S334" i="3"/>
  <c r="V333" i="3"/>
  <c r="U333" i="3"/>
  <c r="T333" i="3"/>
  <c r="S333" i="3"/>
  <c r="T332" i="3"/>
  <c r="R332" i="3"/>
  <c r="T331" i="3"/>
  <c r="R331" i="3"/>
  <c r="P331" i="3"/>
  <c r="T330" i="3"/>
  <c r="R330" i="3"/>
  <c r="P330" i="3"/>
  <c r="T329" i="3"/>
  <c r="P329" i="3"/>
  <c r="T328" i="3"/>
  <c r="R328" i="3"/>
  <c r="P328" i="3"/>
  <c r="V327" i="3"/>
  <c r="U327" i="3"/>
  <c r="T327" i="3"/>
  <c r="S327" i="3"/>
  <c r="T326" i="3"/>
  <c r="P326" i="3"/>
  <c r="A326" i="3"/>
  <c r="T323" i="3"/>
  <c r="P323" i="3"/>
  <c r="T322" i="3"/>
  <c r="P322" i="3"/>
  <c r="T321" i="3"/>
  <c r="P321" i="3"/>
  <c r="T320" i="3"/>
  <c r="P320" i="3"/>
  <c r="T319" i="3"/>
  <c r="P319" i="3"/>
  <c r="T318" i="3"/>
  <c r="P318" i="3"/>
  <c r="T317" i="3"/>
  <c r="S317" i="3"/>
  <c r="P317" i="3"/>
  <c r="T316" i="3"/>
  <c r="P316" i="3"/>
  <c r="T315" i="3"/>
  <c r="P315" i="3"/>
  <c r="T314" i="3"/>
  <c r="P314" i="3"/>
  <c r="U313" i="3"/>
  <c r="T313" i="3"/>
  <c r="P313" i="3"/>
  <c r="T312" i="3"/>
  <c r="P312" i="3"/>
  <c r="T311" i="3"/>
  <c r="P311" i="3"/>
  <c r="T310" i="3"/>
  <c r="P310" i="3"/>
  <c r="T309" i="3"/>
  <c r="P309" i="3"/>
  <c r="T308" i="3"/>
  <c r="P308" i="3"/>
  <c r="T307" i="3"/>
  <c r="P307" i="3"/>
  <c r="T306" i="3"/>
  <c r="S306" i="3"/>
  <c r="P306" i="3"/>
  <c r="T305" i="3"/>
  <c r="P305" i="3"/>
  <c r="T304" i="3"/>
  <c r="P304" i="3"/>
  <c r="T303" i="3"/>
  <c r="P303" i="3"/>
  <c r="T302" i="3"/>
  <c r="N302" i="3"/>
  <c r="P302" i="3" s="1"/>
  <c r="T301" i="3"/>
  <c r="P301" i="3"/>
  <c r="T300" i="3"/>
  <c r="P300" i="3"/>
  <c r="T299" i="3"/>
  <c r="P299" i="3"/>
  <c r="T298" i="3"/>
  <c r="P298" i="3"/>
  <c r="T297" i="3"/>
  <c r="P297" i="3"/>
  <c r="T296" i="3"/>
  <c r="P296" i="3"/>
  <c r="T295" i="3"/>
  <c r="P295" i="3"/>
  <c r="T294" i="3"/>
  <c r="P294" i="3"/>
  <c r="T293" i="3"/>
  <c r="P293" i="3"/>
  <c r="T292" i="3"/>
  <c r="P292" i="3"/>
  <c r="T291" i="3"/>
  <c r="P291" i="3"/>
  <c r="T290" i="3"/>
  <c r="P290" i="3"/>
  <c r="T289" i="3"/>
  <c r="P289" i="3"/>
  <c r="T288" i="3"/>
  <c r="P288" i="3"/>
  <c r="T287" i="3"/>
  <c r="P287" i="3"/>
  <c r="T286" i="3"/>
  <c r="P286" i="3"/>
  <c r="T285" i="3"/>
  <c r="P285" i="3"/>
  <c r="T284" i="3"/>
  <c r="P284" i="3"/>
  <c r="T283" i="3"/>
  <c r="P283" i="3"/>
  <c r="T282" i="3"/>
  <c r="P282" i="3"/>
  <c r="T281" i="3"/>
  <c r="P281" i="3"/>
  <c r="T280" i="3"/>
  <c r="P280" i="3"/>
  <c r="T279" i="3"/>
  <c r="P279" i="3"/>
  <c r="T278" i="3"/>
  <c r="P278" i="3"/>
  <c r="T277" i="3"/>
  <c r="P277" i="3"/>
  <c r="T276" i="3"/>
  <c r="P276" i="3"/>
  <c r="T275" i="3"/>
  <c r="P275" i="3"/>
  <c r="T274" i="3"/>
  <c r="P274" i="3"/>
  <c r="T273" i="3"/>
  <c r="P273" i="3"/>
  <c r="T272" i="3"/>
  <c r="P272" i="3"/>
  <c r="T271" i="3"/>
  <c r="P271" i="3"/>
  <c r="T270" i="3"/>
  <c r="P270" i="3"/>
  <c r="T269" i="3"/>
  <c r="P269" i="3"/>
  <c r="T268" i="3"/>
  <c r="P268" i="3"/>
  <c r="T267" i="3"/>
  <c r="P267" i="3"/>
  <c r="T266" i="3"/>
  <c r="P266" i="3"/>
  <c r="T265" i="3"/>
  <c r="P265" i="3"/>
  <c r="T264" i="3"/>
  <c r="P264" i="3"/>
  <c r="T263" i="3"/>
  <c r="N263" i="3"/>
  <c r="P263" i="3" s="1"/>
  <c r="T262" i="3"/>
  <c r="P262" i="3"/>
  <c r="T261" i="3"/>
  <c r="P261" i="3"/>
  <c r="T260" i="3"/>
  <c r="N260" i="3"/>
  <c r="P260" i="3" s="1"/>
  <c r="T259" i="3"/>
  <c r="P259" i="3"/>
  <c r="T258" i="3"/>
  <c r="P258" i="3"/>
  <c r="V257" i="3"/>
  <c r="U257" i="3"/>
  <c r="T257" i="3"/>
  <c r="S257" i="3"/>
  <c r="T256" i="3"/>
  <c r="P256" i="3"/>
  <c r="T255" i="3"/>
  <c r="P255" i="3"/>
  <c r="T254" i="3"/>
  <c r="P254" i="3"/>
  <c r="T253" i="3"/>
  <c r="P253" i="3"/>
  <c r="T252" i="3"/>
  <c r="P252" i="3"/>
  <c r="T251" i="3"/>
  <c r="P251" i="3"/>
  <c r="T250" i="3"/>
  <c r="P250" i="3"/>
  <c r="T249" i="3"/>
  <c r="P249" i="3"/>
  <c r="T248" i="3"/>
  <c r="P248" i="3"/>
  <c r="T247" i="3"/>
  <c r="P247" i="3"/>
  <c r="T246" i="3"/>
  <c r="P246" i="3"/>
  <c r="T245" i="3"/>
  <c r="P245" i="3"/>
  <c r="T244" i="3"/>
  <c r="P244" i="3"/>
  <c r="T243" i="3"/>
  <c r="P243" i="3"/>
  <c r="T242" i="3"/>
  <c r="P242" i="3"/>
  <c r="T241" i="3"/>
  <c r="P241" i="3"/>
  <c r="T240" i="3"/>
  <c r="P240" i="3"/>
  <c r="T239" i="3"/>
  <c r="P239" i="3"/>
  <c r="T238" i="3"/>
  <c r="P238" i="3"/>
  <c r="T237" i="3"/>
  <c r="P237" i="3"/>
  <c r="T236" i="3"/>
  <c r="P236" i="3"/>
  <c r="T235" i="3"/>
  <c r="N235" i="3"/>
  <c r="P235" i="3" s="1"/>
  <c r="T234" i="3"/>
  <c r="P234" i="3"/>
  <c r="T233" i="3"/>
  <c r="P233" i="3"/>
  <c r="T232" i="3"/>
  <c r="P232" i="3"/>
  <c r="T231" i="3"/>
  <c r="P231" i="3"/>
  <c r="T230" i="3"/>
  <c r="P230" i="3"/>
  <c r="T229" i="3"/>
  <c r="S229" i="3"/>
  <c r="P229" i="3"/>
  <c r="T228" i="3"/>
  <c r="P228" i="3"/>
  <c r="T227" i="3"/>
  <c r="P227" i="3"/>
  <c r="T226" i="3"/>
  <c r="P226" i="3"/>
  <c r="T225" i="3"/>
  <c r="P225" i="3"/>
  <c r="T224" i="3"/>
  <c r="P224" i="3"/>
  <c r="T223" i="3"/>
  <c r="P223" i="3"/>
  <c r="V222" i="3"/>
  <c r="U222" i="3"/>
  <c r="T222" i="3"/>
  <c r="S222" i="3"/>
  <c r="T221" i="3"/>
  <c r="P221" i="3"/>
  <c r="T220" i="3"/>
  <c r="P220" i="3"/>
  <c r="V219" i="3"/>
  <c r="U219" i="3"/>
  <c r="T219" i="3"/>
  <c r="S219" i="3"/>
  <c r="V218" i="3"/>
  <c r="U218" i="3"/>
  <c r="T218" i="3"/>
  <c r="S218" i="3"/>
  <c r="T217" i="3"/>
  <c r="P217" i="3"/>
  <c r="V216" i="3"/>
  <c r="U216" i="3"/>
  <c r="T216" i="3"/>
  <c r="S216" i="3"/>
  <c r="V215" i="3"/>
  <c r="U215" i="3"/>
  <c r="T215" i="3"/>
  <c r="S215" i="3"/>
  <c r="T214" i="3"/>
  <c r="R214" i="3"/>
  <c r="V213" i="3"/>
  <c r="U213" i="3"/>
  <c r="T213" i="3"/>
  <c r="S213" i="3"/>
  <c r="T212" i="3"/>
  <c r="P212" i="3"/>
  <c r="V211" i="3"/>
  <c r="U211" i="3"/>
  <c r="T211" i="3"/>
  <c r="S211" i="3"/>
  <c r="T210" i="3"/>
  <c r="P210" i="3"/>
  <c r="V209" i="3"/>
  <c r="S209" i="3"/>
  <c r="V208" i="3"/>
  <c r="U208" i="3"/>
  <c r="T208" i="3"/>
  <c r="S208" i="3"/>
  <c r="V207" i="3"/>
  <c r="S207" i="3"/>
  <c r="T206" i="3"/>
  <c r="R206" i="3"/>
  <c r="T205" i="3"/>
  <c r="P205" i="3"/>
  <c r="T204" i="3"/>
  <c r="R204" i="3"/>
  <c r="T203" i="3"/>
  <c r="P203" i="3"/>
  <c r="T202" i="3"/>
  <c r="R202" i="3"/>
  <c r="T200" i="3"/>
  <c r="P200" i="3"/>
  <c r="V199" i="3"/>
  <c r="U199" i="3"/>
  <c r="T199" i="3"/>
  <c r="S199" i="3"/>
  <c r="A199" i="3"/>
  <c r="X199" i="3" s="1"/>
  <c r="A200" i="3" s="1"/>
  <c r="T196" i="3"/>
  <c r="P196" i="3"/>
  <c r="T195" i="3"/>
  <c r="P195" i="3"/>
  <c r="T194" i="3"/>
  <c r="P194" i="3"/>
  <c r="T193" i="3"/>
  <c r="P193" i="3"/>
  <c r="T192" i="3"/>
  <c r="P192" i="3"/>
  <c r="T191" i="3"/>
  <c r="P191" i="3"/>
  <c r="T190" i="3"/>
  <c r="P190" i="3"/>
  <c r="T189" i="3"/>
  <c r="P189" i="3"/>
  <c r="T188" i="3"/>
  <c r="P188" i="3"/>
  <c r="T187" i="3"/>
  <c r="P187" i="3"/>
  <c r="T186" i="3"/>
  <c r="P186" i="3"/>
  <c r="T185" i="3"/>
  <c r="S185" i="3"/>
  <c r="P185" i="3"/>
  <c r="T184" i="3"/>
  <c r="P184" i="3"/>
  <c r="T183" i="3"/>
  <c r="P183" i="3"/>
  <c r="T182" i="3"/>
  <c r="P182" i="3"/>
  <c r="T181" i="3"/>
  <c r="P181" i="3"/>
  <c r="T180" i="3"/>
  <c r="P180" i="3"/>
  <c r="T179" i="3"/>
  <c r="P179" i="3"/>
  <c r="T178" i="3"/>
  <c r="P178" i="3"/>
  <c r="T177" i="3"/>
  <c r="P177" i="3"/>
  <c r="T176" i="3"/>
  <c r="P176" i="3"/>
  <c r="T175" i="3"/>
  <c r="P175" i="3"/>
  <c r="T174" i="3"/>
  <c r="P174" i="3"/>
  <c r="T173" i="3"/>
  <c r="P173" i="3"/>
  <c r="T172" i="3"/>
  <c r="S172" i="3"/>
  <c r="P172" i="3"/>
  <c r="T171" i="3"/>
  <c r="P171" i="3"/>
  <c r="T170" i="3"/>
  <c r="P170" i="3"/>
  <c r="T169" i="3"/>
  <c r="P169" i="3"/>
  <c r="T168" i="3"/>
  <c r="P168" i="3"/>
  <c r="V167" i="3"/>
  <c r="T167" i="3"/>
  <c r="P167" i="3"/>
  <c r="T166" i="3"/>
  <c r="P166" i="3"/>
  <c r="T165" i="3"/>
  <c r="P165" i="3"/>
  <c r="T164" i="3"/>
  <c r="P164" i="3"/>
  <c r="U163" i="3"/>
  <c r="T163" i="3"/>
  <c r="P163" i="3"/>
  <c r="T162" i="3"/>
  <c r="P162" i="3"/>
  <c r="T161" i="3"/>
  <c r="P161" i="3"/>
  <c r="T160" i="3"/>
  <c r="P160" i="3"/>
  <c r="T159" i="3"/>
  <c r="P159" i="3"/>
  <c r="T158" i="3"/>
  <c r="P158" i="3"/>
  <c r="T157" i="3"/>
  <c r="P157" i="3"/>
  <c r="T156" i="3"/>
  <c r="P156" i="3"/>
  <c r="T155" i="3"/>
  <c r="P155" i="3"/>
  <c r="T154" i="3"/>
  <c r="P154" i="3"/>
  <c r="T153" i="3"/>
  <c r="P153" i="3"/>
  <c r="T152" i="3"/>
  <c r="P152" i="3"/>
  <c r="T151" i="3"/>
  <c r="P151" i="3"/>
  <c r="T150" i="3"/>
  <c r="P150" i="3"/>
  <c r="T149" i="3"/>
  <c r="P149" i="3"/>
  <c r="T148" i="3"/>
  <c r="P148" i="3"/>
  <c r="T147" i="3"/>
  <c r="P147" i="3"/>
  <c r="T146" i="3"/>
  <c r="P146" i="3"/>
  <c r="T145" i="3"/>
  <c r="P145" i="3"/>
  <c r="T144" i="3"/>
  <c r="P144" i="3"/>
  <c r="T143" i="3"/>
  <c r="P143" i="3"/>
  <c r="T142" i="3"/>
  <c r="P142" i="3"/>
  <c r="T141" i="3"/>
  <c r="P141" i="3"/>
  <c r="T140" i="3"/>
  <c r="P140" i="3"/>
  <c r="T139" i="3"/>
  <c r="N139" i="3"/>
  <c r="P139" i="3" s="1"/>
  <c r="T138" i="3"/>
  <c r="P138" i="3"/>
  <c r="T137" i="3"/>
  <c r="P137" i="3"/>
  <c r="T136" i="3"/>
  <c r="P136" i="3"/>
  <c r="T135" i="3"/>
  <c r="P135" i="3"/>
  <c r="T134" i="3"/>
  <c r="P134" i="3"/>
  <c r="T133" i="3"/>
  <c r="P133" i="3"/>
  <c r="T132" i="3"/>
  <c r="P132" i="3"/>
  <c r="T131" i="3"/>
  <c r="P131" i="3"/>
  <c r="T130" i="3"/>
  <c r="P130" i="3"/>
  <c r="T129" i="3"/>
  <c r="P129" i="3"/>
  <c r="T128" i="3"/>
  <c r="P128" i="3"/>
  <c r="T127" i="3"/>
  <c r="P127" i="3"/>
  <c r="T126" i="3"/>
  <c r="P126" i="3"/>
  <c r="T125" i="3"/>
  <c r="P125" i="3"/>
  <c r="A125" i="3"/>
  <c r="T122" i="3"/>
  <c r="P122" i="3"/>
  <c r="A122" i="3"/>
  <c r="T120" i="3"/>
  <c r="P120" i="3"/>
  <c r="T119" i="3"/>
  <c r="P119" i="3"/>
  <c r="T118" i="3"/>
  <c r="P118" i="3"/>
  <c r="T117" i="3"/>
  <c r="P117" i="3"/>
  <c r="T116" i="3"/>
  <c r="P116" i="3"/>
  <c r="T115" i="3"/>
  <c r="P115" i="3"/>
  <c r="T114" i="3"/>
  <c r="P114" i="3"/>
  <c r="T113" i="3"/>
  <c r="P113" i="3"/>
  <c r="T112" i="3"/>
  <c r="P112" i="3"/>
  <c r="T111" i="3"/>
  <c r="P111" i="3"/>
  <c r="T110" i="3"/>
  <c r="P110" i="3"/>
  <c r="T109" i="3"/>
  <c r="P109" i="3"/>
  <c r="T108" i="3"/>
  <c r="P108" i="3"/>
  <c r="T107" i="3"/>
  <c r="P107" i="3"/>
  <c r="T106" i="3"/>
  <c r="P106" i="3"/>
  <c r="T105" i="3"/>
  <c r="P105" i="3"/>
  <c r="T104" i="3"/>
  <c r="N104" i="3"/>
  <c r="P104" i="3" s="1"/>
  <c r="T103" i="3"/>
  <c r="P103" i="3"/>
  <c r="T102" i="3"/>
  <c r="P102" i="3"/>
  <c r="T101" i="3"/>
  <c r="P101" i="3"/>
  <c r="T100" i="3"/>
  <c r="P100" i="3"/>
  <c r="T99" i="3"/>
  <c r="P99" i="3"/>
  <c r="T98" i="3"/>
  <c r="P98" i="3"/>
  <c r="T97" i="3"/>
  <c r="P97" i="3"/>
  <c r="T96" i="3"/>
  <c r="P96" i="3"/>
  <c r="T95" i="3"/>
  <c r="P95" i="3"/>
  <c r="T94" i="3"/>
  <c r="P94" i="3"/>
  <c r="T93" i="3"/>
  <c r="N93" i="3"/>
  <c r="P93" i="3" s="1"/>
  <c r="T92" i="3"/>
  <c r="P92" i="3"/>
  <c r="T91" i="3"/>
  <c r="P91" i="3"/>
  <c r="T90" i="3"/>
  <c r="P90" i="3"/>
  <c r="T89" i="3"/>
  <c r="P89" i="3"/>
  <c r="T88" i="3"/>
  <c r="P88" i="3"/>
  <c r="T87" i="3"/>
  <c r="P87" i="3"/>
  <c r="T86" i="3"/>
  <c r="N86" i="3"/>
  <c r="P86" i="3" s="1"/>
  <c r="T85" i="3"/>
  <c r="P85" i="3"/>
  <c r="T84" i="3"/>
  <c r="P84" i="3"/>
  <c r="T83" i="3"/>
  <c r="P83" i="3"/>
  <c r="T82" i="3"/>
  <c r="P82" i="3"/>
  <c r="T81" i="3"/>
  <c r="P81" i="3"/>
  <c r="T80" i="3"/>
  <c r="P80" i="3"/>
  <c r="T79" i="3"/>
  <c r="P79" i="3"/>
  <c r="T78" i="3"/>
  <c r="P78" i="3"/>
  <c r="T77" i="3"/>
  <c r="P77" i="3"/>
  <c r="T76" i="3"/>
  <c r="P76" i="3"/>
  <c r="T75" i="3"/>
  <c r="P75" i="3"/>
  <c r="T74" i="3"/>
  <c r="P74" i="3"/>
  <c r="T73" i="3"/>
  <c r="P73" i="3"/>
  <c r="T72" i="3"/>
  <c r="P72" i="3"/>
  <c r="T71" i="3"/>
  <c r="P71" i="3"/>
  <c r="T70" i="3"/>
  <c r="N70" i="3"/>
  <c r="P70" i="3" s="1"/>
  <c r="T69" i="3"/>
  <c r="N69" i="3"/>
  <c r="P69" i="3" s="1"/>
  <c r="T68" i="3"/>
  <c r="N68" i="3"/>
  <c r="P68" i="3" s="1"/>
  <c r="T67" i="3"/>
  <c r="N67" i="3"/>
  <c r="P67" i="3" s="1"/>
  <c r="T66" i="3"/>
  <c r="N66" i="3"/>
  <c r="P66" i="3" s="1"/>
  <c r="T65" i="3"/>
  <c r="P65" i="3"/>
  <c r="T64" i="3"/>
  <c r="P64" i="3"/>
  <c r="T63" i="3"/>
  <c r="P63" i="3"/>
  <c r="T62" i="3"/>
  <c r="P62" i="3"/>
  <c r="T61" i="3"/>
  <c r="P61" i="3"/>
  <c r="T60" i="3"/>
  <c r="P60" i="3"/>
  <c r="T59" i="3"/>
  <c r="P59" i="3"/>
  <c r="T58" i="3"/>
  <c r="P58" i="3"/>
  <c r="T57" i="3"/>
  <c r="P57" i="3"/>
  <c r="T56" i="3"/>
  <c r="P56" i="3"/>
  <c r="T55" i="3"/>
  <c r="P55" i="3"/>
  <c r="T54" i="3"/>
  <c r="P54" i="3"/>
  <c r="T53" i="3"/>
  <c r="P53" i="3"/>
  <c r="T52" i="3"/>
  <c r="P52" i="3"/>
  <c r="T51" i="3"/>
  <c r="P51" i="3"/>
  <c r="T50" i="3"/>
  <c r="P50" i="3"/>
  <c r="T49" i="3"/>
  <c r="P49" i="3"/>
  <c r="T48" i="3"/>
  <c r="P48" i="3"/>
  <c r="T47" i="3"/>
  <c r="P47" i="3"/>
  <c r="T46" i="3"/>
  <c r="P46" i="3"/>
  <c r="T45" i="3"/>
  <c r="P45" i="3"/>
  <c r="T44" i="3"/>
  <c r="P44" i="3"/>
  <c r="T43" i="3"/>
  <c r="P43" i="3"/>
  <c r="T42" i="3"/>
  <c r="P42" i="3"/>
  <c r="T41" i="3"/>
  <c r="P41" i="3"/>
  <c r="T40" i="3"/>
  <c r="P40" i="3"/>
  <c r="T39" i="3"/>
  <c r="P39" i="3"/>
  <c r="T38" i="3"/>
  <c r="P38" i="3"/>
  <c r="T37" i="3"/>
  <c r="P37" i="3"/>
  <c r="T36" i="3"/>
  <c r="P36" i="3"/>
  <c r="T35" i="3"/>
  <c r="P35" i="3"/>
  <c r="T34" i="3"/>
  <c r="P34" i="3"/>
  <c r="T33" i="3"/>
  <c r="P33" i="3"/>
  <c r="T32" i="3"/>
  <c r="P32" i="3"/>
  <c r="T31" i="3"/>
  <c r="P31" i="3"/>
  <c r="T30" i="3"/>
  <c r="P30" i="3"/>
  <c r="T29" i="3"/>
  <c r="P29" i="3"/>
  <c r="T28" i="3"/>
  <c r="P28" i="3"/>
  <c r="T27" i="3"/>
  <c r="P27" i="3"/>
  <c r="T26" i="3"/>
  <c r="P26" i="3"/>
  <c r="T25" i="3"/>
  <c r="P25" i="3"/>
  <c r="T24" i="3"/>
  <c r="P24" i="3"/>
  <c r="T23" i="3"/>
  <c r="P23" i="3"/>
  <c r="T22" i="3"/>
  <c r="P22" i="3"/>
  <c r="T21" i="3"/>
  <c r="P21" i="3"/>
  <c r="V20" i="3"/>
  <c r="U20" i="3"/>
  <c r="T20" i="3"/>
  <c r="S20" i="3"/>
  <c r="V19" i="3"/>
  <c r="U19" i="3"/>
  <c r="T19" i="3"/>
  <c r="S19" i="3"/>
  <c r="T18" i="3"/>
  <c r="P18" i="3"/>
  <c r="V17" i="3"/>
  <c r="U17" i="3"/>
  <c r="T17" i="3"/>
  <c r="S17" i="3"/>
  <c r="V16" i="3"/>
  <c r="U16" i="3"/>
  <c r="T16" i="3"/>
  <c r="S16" i="3"/>
  <c r="T15" i="3"/>
  <c r="P15" i="3"/>
  <c r="T14" i="3"/>
  <c r="R14" i="3"/>
  <c r="T13" i="3"/>
  <c r="P13" i="3"/>
  <c r="T12" i="3"/>
  <c r="P12" i="3"/>
  <c r="V11" i="3"/>
  <c r="U11" i="3"/>
  <c r="T11" i="3"/>
  <c r="S11" i="3"/>
  <c r="T10" i="3"/>
  <c r="P10" i="3"/>
  <c r="A10" i="3"/>
  <c r="I1" i="3"/>
  <c r="T1731" i="2"/>
  <c r="P1731" i="2"/>
  <c r="T1730" i="2"/>
  <c r="P1730" i="2"/>
  <c r="T1729" i="2"/>
  <c r="P1729" i="2"/>
  <c r="T1728" i="2"/>
  <c r="R1728" i="2"/>
  <c r="N1728" i="2"/>
  <c r="P1728" i="2" s="1"/>
  <c r="T1727" i="2"/>
  <c r="P1727" i="2"/>
  <c r="T1726" i="2"/>
  <c r="P1726" i="2"/>
  <c r="T1725" i="2"/>
  <c r="P1725" i="2"/>
  <c r="T1724" i="2"/>
  <c r="P1724" i="2"/>
  <c r="T1723" i="2"/>
  <c r="P1723" i="2"/>
  <c r="T1722" i="2"/>
  <c r="P1722" i="2"/>
  <c r="T1721" i="2"/>
  <c r="P1721" i="2"/>
  <c r="T1720" i="2"/>
  <c r="P1720" i="2"/>
  <c r="T1719" i="2"/>
  <c r="P1719" i="2"/>
  <c r="T1718" i="2"/>
  <c r="P1718" i="2"/>
  <c r="T1717" i="2"/>
  <c r="P1717" i="2"/>
  <c r="T1716" i="2"/>
  <c r="P1716" i="2"/>
  <c r="T1715" i="2"/>
  <c r="P1715" i="2"/>
  <c r="T1714" i="2"/>
  <c r="P1714" i="2"/>
  <c r="T1713" i="2"/>
  <c r="P1713" i="2"/>
  <c r="T1712" i="2"/>
  <c r="P1712" i="2"/>
  <c r="T1711" i="2"/>
  <c r="P1711" i="2"/>
  <c r="T1710" i="2"/>
  <c r="P1710" i="2"/>
  <c r="T1709" i="2"/>
  <c r="P1709" i="2"/>
  <c r="T1708" i="2"/>
  <c r="P1708" i="2"/>
  <c r="T1707" i="2"/>
  <c r="P1707" i="2"/>
  <c r="T1706" i="2"/>
  <c r="P1706" i="2"/>
  <c r="T1705" i="2"/>
  <c r="N1705" i="2"/>
  <c r="P1705" i="2" s="1"/>
  <c r="T1704" i="2"/>
  <c r="P1704" i="2"/>
  <c r="T1703" i="2"/>
  <c r="P1703" i="2"/>
  <c r="T1702" i="2"/>
  <c r="P1702" i="2"/>
  <c r="T1701" i="2"/>
  <c r="S1701" i="2"/>
  <c r="P1701" i="2"/>
  <c r="T1700" i="2"/>
  <c r="P1700" i="2"/>
  <c r="T1699" i="2"/>
  <c r="P1699" i="2"/>
  <c r="T1698" i="2"/>
  <c r="P1698" i="2"/>
  <c r="T1697" i="2"/>
  <c r="P1697" i="2"/>
  <c r="T1696" i="2"/>
  <c r="P1696" i="2"/>
  <c r="T1695" i="2"/>
  <c r="P1695" i="2"/>
  <c r="T1694" i="2"/>
  <c r="P1694" i="2"/>
  <c r="T1693" i="2"/>
  <c r="P1693" i="2"/>
  <c r="T1692" i="2"/>
  <c r="P1692" i="2"/>
  <c r="T1691" i="2"/>
  <c r="P1691" i="2"/>
  <c r="T1690" i="2"/>
  <c r="P1690" i="2"/>
  <c r="T1689" i="2"/>
  <c r="P1689" i="2"/>
  <c r="T1688" i="2"/>
  <c r="P1688" i="2"/>
  <c r="T1687" i="2"/>
  <c r="P1687" i="2"/>
  <c r="T1686" i="2"/>
  <c r="P1686" i="2"/>
  <c r="T1685" i="2"/>
  <c r="R1685" i="2"/>
  <c r="P1685" i="2"/>
  <c r="T1684" i="2"/>
  <c r="P1684" i="2"/>
  <c r="T1683" i="2"/>
  <c r="P1683" i="2"/>
  <c r="T1682" i="2"/>
  <c r="P1682" i="2"/>
  <c r="T1681" i="2"/>
  <c r="P1681" i="2"/>
  <c r="T1680" i="2"/>
  <c r="P1680" i="2"/>
  <c r="T1679" i="2"/>
  <c r="P1679" i="2"/>
  <c r="T1678" i="2"/>
  <c r="P1678" i="2"/>
  <c r="T1677" i="2"/>
  <c r="P1677" i="2"/>
  <c r="T1676" i="2"/>
  <c r="P1676" i="2"/>
  <c r="T1675" i="2"/>
  <c r="P1675" i="2"/>
  <c r="T1674" i="2"/>
  <c r="P1674" i="2"/>
  <c r="T1673" i="2"/>
  <c r="P1673" i="2"/>
  <c r="T1672" i="2"/>
  <c r="P1672" i="2"/>
  <c r="T1671" i="2"/>
  <c r="P1671" i="2"/>
  <c r="T1670" i="2"/>
  <c r="P1670" i="2"/>
  <c r="T1669" i="2"/>
  <c r="P1669" i="2"/>
  <c r="T1668" i="2"/>
  <c r="P1668" i="2"/>
  <c r="T1667" i="2"/>
  <c r="S1667" i="2"/>
  <c r="P1667" i="2"/>
  <c r="T1666" i="2"/>
  <c r="P1666" i="2"/>
  <c r="T1665" i="2"/>
  <c r="P1665" i="2"/>
  <c r="T1664" i="2"/>
  <c r="P1664" i="2"/>
  <c r="T1663" i="2"/>
  <c r="P1663" i="2"/>
  <c r="T1662" i="2"/>
  <c r="R1662" i="2"/>
  <c r="N1662" i="2"/>
  <c r="P1662" i="2" s="1"/>
  <c r="T1661" i="2"/>
  <c r="P1661" i="2"/>
  <c r="T1660" i="2"/>
  <c r="P1660" i="2"/>
  <c r="T1659" i="2"/>
  <c r="P1659" i="2"/>
  <c r="T1658" i="2"/>
  <c r="P1658" i="2"/>
  <c r="T1657" i="2"/>
  <c r="P1657" i="2"/>
  <c r="T1656" i="2"/>
  <c r="P1656" i="2"/>
  <c r="T1655" i="2"/>
  <c r="P1655" i="2"/>
  <c r="T1654" i="2"/>
  <c r="P1654" i="2"/>
  <c r="T1653" i="2"/>
  <c r="P1653" i="2"/>
  <c r="T1652" i="2"/>
  <c r="P1652" i="2"/>
  <c r="T1651" i="2"/>
  <c r="P1651" i="2"/>
  <c r="T1650" i="2"/>
  <c r="P1650" i="2"/>
  <c r="T1649" i="2"/>
  <c r="P1649" i="2"/>
  <c r="T1648" i="2"/>
  <c r="P1648" i="2"/>
  <c r="T1647" i="2"/>
  <c r="P1647" i="2"/>
  <c r="T1646" i="2"/>
  <c r="P1646" i="2"/>
  <c r="T1645" i="2"/>
  <c r="P1645" i="2"/>
  <c r="T1644" i="2"/>
  <c r="P1644" i="2"/>
  <c r="T1643" i="2"/>
  <c r="P1643" i="2"/>
  <c r="T1642" i="2"/>
  <c r="P1642" i="2"/>
  <c r="T1641" i="2"/>
  <c r="P1641" i="2"/>
  <c r="V1640" i="2"/>
  <c r="U1640" i="2"/>
  <c r="T1640" i="2"/>
  <c r="S1640" i="2"/>
  <c r="V1639" i="2"/>
  <c r="U1639" i="2"/>
  <c r="T1639" i="2"/>
  <c r="S1639" i="2"/>
  <c r="V1638" i="2"/>
  <c r="U1638" i="2"/>
  <c r="T1638" i="2"/>
  <c r="S1638" i="2"/>
  <c r="T1637" i="2"/>
  <c r="P1637" i="2"/>
  <c r="T1636" i="2"/>
  <c r="P1636" i="2"/>
  <c r="T1635" i="2"/>
  <c r="P1635" i="2"/>
  <c r="T1634" i="2"/>
  <c r="P1634" i="2"/>
  <c r="T1633" i="2"/>
  <c r="P1633" i="2"/>
  <c r="T1632" i="2"/>
  <c r="P1632" i="2"/>
  <c r="V1631" i="2"/>
  <c r="U1631" i="2"/>
  <c r="T1631" i="2"/>
  <c r="S1631" i="2"/>
  <c r="V1630" i="2"/>
  <c r="U1630" i="2"/>
  <c r="T1630" i="2"/>
  <c r="S1630" i="2"/>
  <c r="T1629" i="2"/>
  <c r="P1629" i="2"/>
  <c r="V1628" i="2"/>
  <c r="T1628" i="2"/>
  <c r="P1628" i="2"/>
  <c r="T1627" i="2"/>
  <c r="P1627" i="2"/>
  <c r="T1626" i="2"/>
  <c r="R1626" i="2"/>
  <c r="T1625" i="2"/>
  <c r="P1625" i="2"/>
  <c r="T1624" i="2"/>
  <c r="R1624" i="2"/>
  <c r="T1623" i="2"/>
  <c r="P1623" i="2"/>
  <c r="V1622" i="2"/>
  <c r="U1622" i="2"/>
  <c r="T1622" i="2"/>
  <c r="S1622" i="2"/>
  <c r="V1621" i="2"/>
  <c r="U1621" i="2"/>
  <c r="T1621" i="2"/>
  <c r="S1621" i="2"/>
  <c r="T1620" i="2"/>
  <c r="P1620" i="2"/>
  <c r="A1620" i="2"/>
  <c r="T1617" i="2"/>
  <c r="N1617" i="2"/>
  <c r="P1617" i="2" s="1"/>
  <c r="T1616" i="2"/>
  <c r="N1616" i="2"/>
  <c r="P1616" i="2" s="1"/>
  <c r="T1615" i="2"/>
  <c r="N1615" i="2"/>
  <c r="P1615" i="2" s="1"/>
  <c r="T1614" i="2"/>
  <c r="P1614" i="2"/>
  <c r="T1613" i="2"/>
  <c r="P1613" i="2"/>
  <c r="T1612" i="2"/>
  <c r="P1612" i="2"/>
  <c r="T1611" i="2"/>
  <c r="P1611" i="2"/>
  <c r="T1610" i="2"/>
  <c r="P1610" i="2"/>
  <c r="T1609" i="2"/>
  <c r="P1609" i="2"/>
  <c r="T1608" i="2"/>
  <c r="P1608" i="2"/>
  <c r="T1607" i="2"/>
  <c r="P1607" i="2"/>
  <c r="T1606" i="2"/>
  <c r="S1606" i="2"/>
  <c r="P1606" i="2"/>
  <c r="T1605" i="2"/>
  <c r="P1605" i="2"/>
  <c r="T1604" i="2"/>
  <c r="P1604" i="2"/>
  <c r="T1603" i="2"/>
  <c r="P1603" i="2"/>
  <c r="T1602" i="2"/>
  <c r="P1602" i="2"/>
  <c r="T1601" i="2"/>
  <c r="P1601" i="2"/>
  <c r="V1600" i="2"/>
  <c r="U1600" i="2"/>
  <c r="T1600" i="2"/>
  <c r="S1600" i="2"/>
  <c r="V1599" i="2"/>
  <c r="U1599" i="2"/>
  <c r="T1599" i="2"/>
  <c r="S1599" i="2"/>
  <c r="T1598" i="2"/>
  <c r="P1598" i="2"/>
  <c r="T1597" i="2"/>
  <c r="P1597" i="2"/>
  <c r="T1596" i="2"/>
  <c r="P1596" i="2"/>
  <c r="V1595" i="2"/>
  <c r="U1595" i="2"/>
  <c r="T1595" i="2"/>
  <c r="S1595" i="2"/>
  <c r="T1594" i="2"/>
  <c r="P1594" i="2"/>
  <c r="V1593" i="2"/>
  <c r="T1593" i="2"/>
  <c r="P1593" i="2"/>
  <c r="T1592" i="2"/>
  <c r="P1592" i="2"/>
  <c r="T1591" i="2"/>
  <c r="P1591" i="2"/>
  <c r="T1590" i="2"/>
  <c r="P1590" i="2"/>
  <c r="T1589" i="2"/>
  <c r="P1589" i="2"/>
  <c r="T1588" i="2"/>
  <c r="P1588" i="2"/>
  <c r="T1587" i="2"/>
  <c r="P1587" i="2"/>
  <c r="T1586" i="2"/>
  <c r="P1586" i="2"/>
  <c r="T1585" i="2"/>
  <c r="P1585" i="2"/>
  <c r="T1584" i="2"/>
  <c r="P1584" i="2"/>
  <c r="T1583" i="2"/>
  <c r="P1583" i="2"/>
  <c r="T1582" i="2"/>
  <c r="P1582" i="2"/>
  <c r="T1581" i="2"/>
  <c r="N1581" i="2"/>
  <c r="P1581" i="2" s="1"/>
  <c r="T1580" i="2"/>
  <c r="P1580" i="2"/>
  <c r="T1579" i="2"/>
  <c r="P1579" i="2"/>
  <c r="T1578" i="2"/>
  <c r="P1578" i="2"/>
  <c r="T1577" i="2"/>
  <c r="P1577" i="2"/>
  <c r="T1576" i="2"/>
  <c r="P1576" i="2"/>
  <c r="T1575" i="2"/>
  <c r="N1575" i="2"/>
  <c r="P1575" i="2" s="1"/>
  <c r="V1574" i="2"/>
  <c r="T1574" i="2"/>
  <c r="P1574" i="2"/>
  <c r="T1573" i="2"/>
  <c r="P1573" i="2"/>
  <c r="T1572" i="2"/>
  <c r="P1572" i="2"/>
  <c r="T1571" i="2"/>
  <c r="N1571" i="2"/>
  <c r="P1571" i="2" s="1"/>
  <c r="T1570" i="2"/>
  <c r="P1570" i="2"/>
  <c r="T1569" i="2"/>
  <c r="P1569" i="2"/>
  <c r="T1568" i="2"/>
  <c r="P1568" i="2"/>
  <c r="T1567" i="2"/>
  <c r="P1567" i="2"/>
  <c r="T1566" i="2"/>
  <c r="P1566" i="2"/>
  <c r="T1565" i="2"/>
  <c r="P1565" i="2"/>
  <c r="T1564" i="2"/>
  <c r="P1564" i="2"/>
  <c r="T1563" i="2"/>
  <c r="P1563" i="2"/>
  <c r="T1562" i="2"/>
  <c r="P1562" i="2"/>
  <c r="T1561" i="2"/>
  <c r="P1561" i="2"/>
  <c r="T1560" i="2"/>
  <c r="P1560" i="2"/>
  <c r="T1559" i="2"/>
  <c r="P1559" i="2"/>
  <c r="T1558" i="2"/>
  <c r="P1558" i="2"/>
  <c r="T1557" i="2"/>
  <c r="P1557" i="2"/>
  <c r="T1556" i="2"/>
  <c r="P1556" i="2"/>
  <c r="T1555" i="2"/>
  <c r="P1555" i="2"/>
  <c r="T1554" i="2"/>
  <c r="P1554" i="2"/>
  <c r="T1553" i="2"/>
  <c r="P1553" i="2"/>
  <c r="T1552" i="2"/>
  <c r="P1552" i="2"/>
  <c r="T1551" i="2"/>
  <c r="P1551" i="2"/>
  <c r="T1550" i="2"/>
  <c r="P1550" i="2"/>
  <c r="T1549" i="2"/>
  <c r="P1549" i="2"/>
  <c r="T1548" i="2"/>
  <c r="P1548" i="2"/>
  <c r="T1547" i="2"/>
  <c r="S1547" i="2"/>
  <c r="P1547" i="2"/>
  <c r="T1546" i="2"/>
  <c r="P1546" i="2"/>
  <c r="T1545" i="2"/>
  <c r="S1545" i="2"/>
  <c r="P1545" i="2"/>
  <c r="T1544" i="2"/>
  <c r="P1544" i="2"/>
  <c r="T1543" i="2"/>
  <c r="P1543" i="2"/>
  <c r="T1542" i="2"/>
  <c r="P1542" i="2"/>
  <c r="T1541" i="2"/>
  <c r="P1541" i="2"/>
  <c r="T1540" i="2"/>
  <c r="P1540" i="2"/>
  <c r="T1539" i="2"/>
  <c r="P1539" i="2"/>
  <c r="T1538" i="2"/>
  <c r="P1538" i="2"/>
  <c r="T1537" i="2"/>
  <c r="P1537" i="2"/>
  <c r="T1536" i="2"/>
  <c r="P1536" i="2"/>
  <c r="T1535" i="2"/>
  <c r="P1535" i="2"/>
  <c r="V1534" i="2"/>
  <c r="U1534" i="2"/>
  <c r="T1534" i="2"/>
  <c r="S1534" i="2"/>
  <c r="T1533" i="2"/>
  <c r="P1533" i="2"/>
  <c r="T1532" i="2"/>
  <c r="P1532" i="2"/>
  <c r="T1531" i="2"/>
  <c r="P1531" i="2"/>
  <c r="T1530" i="2"/>
  <c r="P1530" i="2"/>
  <c r="T1529" i="2"/>
  <c r="P1529" i="2"/>
  <c r="T1528" i="2"/>
  <c r="P1528" i="2"/>
  <c r="T1527" i="2"/>
  <c r="P1527" i="2"/>
  <c r="T1526" i="2"/>
  <c r="P1526" i="2"/>
  <c r="T1525" i="2"/>
  <c r="P1525" i="2"/>
  <c r="T1524" i="2"/>
  <c r="P1524" i="2"/>
  <c r="T1523" i="2"/>
  <c r="P1523" i="2"/>
  <c r="T1522" i="2"/>
  <c r="P1522" i="2"/>
  <c r="T1521" i="2"/>
  <c r="P1521" i="2"/>
  <c r="V1520" i="2"/>
  <c r="U1520" i="2"/>
  <c r="T1520" i="2"/>
  <c r="S1520" i="2"/>
  <c r="T1519" i="2"/>
  <c r="P1519" i="2"/>
  <c r="T1518" i="2"/>
  <c r="P1518" i="2"/>
  <c r="T1517" i="2"/>
  <c r="P1517" i="2"/>
  <c r="T1516" i="2"/>
  <c r="P1516" i="2"/>
  <c r="T1515" i="2"/>
  <c r="P1515" i="2"/>
  <c r="T1514" i="2"/>
  <c r="P1514" i="2"/>
  <c r="T1513" i="2"/>
  <c r="P1513" i="2"/>
  <c r="T1512" i="2"/>
  <c r="P1512" i="2"/>
  <c r="T1511" i="2"/>
  <c r="P1511" i="2"/>
  <c r="T1510" i="2"/>
  <c r="P1510" i="2"/>
  <c r="T1509" i="2"/>
  <c r="N1509" i="2"/>
  <c r="P1509" i="2" s="1"/>
  <c r="T1508" i="2"/>
  <c r="P1508" i="2"/>
  <c r="T1507" i="2"/>
  <c r="P1507" i="2"/>
  <c r="T1506" i="2"/>
  <c r="P1506" i="2"/>
  <c r="T1505" i="2"/>
  <c r="P1505" i="2"/>
  <c r="T1504" i="2"/>
  <c r="P1504" i="2"/>
  <c r="T1503" i="2"/>
  <c r="P1503" i="2"/>
  <c r="T1502" i="2"/>
  <c r="P1502" i="2"/>
  <c r="T1501" i="2"/>
  <c r="P1501" i="2"/>
  <c r="T1500" i="2"/>
  <c r="P1500" i="2"/>
  <c r="T1499" i="2"/>
  <c r="P1499" i="2"/>
  <c r="T1498" i="2"/>
  <c r="P1498" i="2"/>
  <c r="T1497" i="2"/>
  <c r="P1497" i="2"/>
  <c r="T1496" i="2"/>
  <c r="P1496" i="2"/>
  <c r="T1495" i="2"/>
  <c r="P1495" i="2"/>
  <c r="T1494" i="2"/>
  <c r="P1494" i="2"/>
  <c r="T1493" i="2"/>
  <c r="P1493" i="2"/>
  <c r="T1492" i="2"/>
  <c r="P1492" i="2"/>
  <c r="T1491" i="2"/>
  <c r="P1491" i="2"/>
  <c r="T1489" i="2"/>
  <c r="P1489" i="2"/>
  <c r="T1488" i="2"/>
  <c r="P1488" i="2"/>
  <c r="T1487" i="2"/>
  <c r="P1487" i="2"/>
  <c r="T1486" i="2"/>
  <c r="P1486" i="2"/>
  <c r="T1485" i="2"/>
  <c r="P1485" i="2"/>
  <c r="T1484" i="2"/>
  <c r="P1484" i="2"/>
  <c r="T1483" i="2"/>
  <c r="P1483" i="2"/>
  <c r="T1482" i="2"/>
  <c r="P1482" i="2"/>
  <c r="T1481" i="2"/>
  <c r="R1481" i="2"/>
  <c r="V1480" i="2"/>
  <c r="U1480" i="2"/>
  <c r="T1480" i="2"/>
  <c r="S1480" i="2"/>
  <c r="T1479" i="2"/>
  <c r="P1479" i="2"/>
  <c r="A1479" i="2"/>
  <c r="T1476" i="2"/>
  <c r="P1476" i="2"/>
  <c r="T1475" i="2"/>
  <c r="P1475" i="2"/>
  <c r="T1474" i="2"/>
  <c r="P1474" i="2"/>
  <c r="T1473" i="2"/>
  <c r="P1473" i="2"/>
  <c r="T1472" i="2"/>
  <c r="P1472" i="2"/>
  <c r="T1471" i="2"/>
  <c r="P1471" i="2"/>
  <c r="T1470" i="2"/>
  <c r="P1470" i="2"/>
  <c r="T1469" i="2"/>
  <c r="P1469" i="2"/>
  <c r="T1468" i="2"/>
  <c r="P1468" i="2"/>
  <c r="T1467" i="2"/>
  <c r="P1467" i="2"/>
  <c r="T1466" i="2"/>
  <c r="P1466" i="2"/>
  <c r="T1465" i="2"/>
  <c r="N1465" i="2"/>
  <c r="P1465" i="2" s="1"/>
  <c r="T1464" i="2"/>
  <c r="P1464" i="2"/>
  <c r="T1463" i="2"/>
  <c r="P1463" i="2"/>
  <c r="T1462" i="2"/>
  <c r="P1462" i="2"/>
  <c r="T1461" i="2"/>
  <c r="P1461" i="2"/>
  <c r="T1460" i="2"/>
  <c r="S1460" i="2"/>
  <c r="P1460" i="2"/>
  <c r="T1459" i="2"/>
  <c r="P1459" i="2"/>
  <c r="T1458" i="2"/>
  <c r="N1458" i="2"/>
  <c r="P1458" i="2" s="1"/>
  <c r="U1457" i="2"/>
  <c r="T1457" i="2"/>
  <c r="P1457" i="2"/>
  <c r="T1456" i="2"/>
  <c r="P1456" i="2"/>
  <c r="T1455" i="2"/>
  <c r="P1455" i="2"/>
  <c r="T1454" i="2"/>
  <c r="P1454" i="2"/>
  <c r="T1453" i="2"/>
  <c r="P1453" i="2"/>
  <c r="T1452" i="2"/>
  <c r="P1452" i="2"/>
  <c r="T1451" i="2"/>
  <c r="P1451" i="2"/>
  <c r="T1450" i="2"/>
  <c r="P1450" i="2"/>
  <c r="T1449" i="2"/>
  <c r="P1449" i="2"/>
  <c r="T1448" i="2"/>
  <c r="P1448" i="2"/>
  <c r="T1447" i="2"/>
  <c r="P1447" i="2"/>
  <c r="T1446" i="2"/>
  <c r="P1446" i="2"/>
  <c r="T1445" i="2"/>
  <c r="P1445" i="2"/>
  <c r="T1444" i="2"/>
  <c r="P1444" i="2"/>
  <c r="T1443" i="2"/>
  <c r="P1443" i="2"/>
  <c r="T1442" i="2"/>
  <c r="P1442" i="2"/>
  <c r="T1441" i="2"/>
  <c r="P1441" i="2"/>
  <c r="T1440" i="2"/>
  <c r="P1440" i="2"/>
  <c r="T1439" i="2"/>
  <c r="P1439" i="2"/>
  <c r="T1438" i="2"/>
  <c r="P1438" i="2"/>
  <c r="T1437" i="2"/>
  <c r="P1437" i="2"/>
  <c r="T1436" i="2"/>
  <c r="P1436" i="2"/>
  <c r="T1435" i="2"/>
  <c r="P1435" i="2"/>
  <c r="T1434" i="2"/>
  <c r="P1434" i="2"/>
  <c r="T1433" i="2"/>
  <c r="P1433" i="2"/>
  <c r="T1432" i="2"/>
  <c r="P1432" i="2"/>
  <c r="T1431" i="2"/>
  <c r="N1431" i="2"/>
  <c r="P1431" i="2" s="1"/>
  <c r="T1430" i="2"/>
  <c r="P1430" i="2"/>
  <c r="T1429" i="2"/>
  <c r="P1429" i="2"/>
  <c r="T1428" i="2"/>
  <c r="P1428" i="2"/>
  <c r="T1427" i="2"/>
  <c r="P1427" i="2"/>
  <c r="T1426" i="2"/>
  <c r="P1426" i="2"/>
  <c r="T1425" i="2"/>
  <c r="P1425" i="2"/>
  <c r="T1424" i="2"/>
  <c r="P1424" i="2"/>
  <c r="T1423" i="2"/>
  <c r="P1423" i="2"/>
  <c r="T1422" i="2"/>
  <c r="N1422" i="2"/>
  <c r="P1422" i="2" s="1"/>
  <c r="T1421" i="2"/>
  <c r="P1421" i="2"/>
  <c r="T1420" i="2"/>
  <c r="P1420" i="2"/>
  <c r="T1419" i="2"/>
  <c r="P1419" i="2"/>
  <c r="T1418" i="2"/>
  <c r="P1418" i="2"/>
  <c r="T1417" i="2"/>
  <c r="P1417" i="2"/>
  <c r="T1416" i="2"/>
  <c r="P1416" i="2"/>
  <c r="T1415" i="2"/>
  <c r="P1415" i="2"/>
  <c r="T1414" i="2"/>
  <c r="P1414" i="2"/>
  <c r="T1413" i="2"/>
  <c r="P1413" i="2"/>
  <c r="T1412" i="2"/>
  <c r="P1412" i="2"/>
  <c r="T1411" i="2"/>
  <c r="P1411" i="2"/>
  <c r="T1410" i="2"/>
  <c r="P1410" i="2"/>
  <c r="T1409" i="2"/>
  <c r="P1409" i="2"/>
  <c r="T1408" i="2"/>
  <c r="P1408" i="2"/>
  <c r="T1407" i="2"/>
  <c r="P1407" i="2"/>
  <c r="T1406" i="2"/>
  <c r="P1406" i="2"/>
  <c r="T1405" i="2"/>
  <c r="P1405" i="2"/>
  <c r="T1404" i="2"/>
  <c r="P1404" i="2"/>
  <c r="T1403" i="2"/>
  <c r="P1403" i="2"/>
  <c r="T1402" i="2"/>
  <c r="P1402" i="2"/>
  <c r="T1401" i="2"/>
  <c r="P1401" i="2"/>
  <c r="T1400" i="2"/>
  <c r="N1400" i="2"/>
  <c r="P1400" i="2" s="1"/>
  <c r="T1399" i="2"/>
  <c r="P1399" i="2"/>
  <c r="T1398" i="2"/>
  <c r="P1398" i="2"/>
  <c r="T1397" i="2"/>
  <c r="P1397" i="2"/>
  <c r="T1396" i="2"/>
  <c r="P1396" i="2"/>
  <c r="T1395" i="2"/>
  <c r="P1395" i="2"/>
  <c r="T1394" i="2"/>
  <c r="P1394" i="2"/>
  <c r="T1393" i="2"/>
  <c r="P1393" i="2"/>
  <c r="T1392" i="2"/>
  <c r="P1392" i="2"/>
  <c r="T1391" i="2"/>
  <c r="P1391" i="2"/>
  <c r="T1390" i="2"/>
  <c r="P1390" i="2"/>
  <c r="T1389" i="2"/>
  <c r="P1389" i="2"/>
  <c r="T1388" i="2"/>
  <c r="P1388" i="2"/>
  <c r="T1387" i="2"/>
  <c r="P1387" i="2"/>
  <c r="T1386" i="2"/>
  <c r="P1386" i="2"/>
  <c r="T1385" i="2"/>
  <c r="P1385" i="2"/>
  <c r="T1384" i="2"/>
  <c r="P1384" i="2"/>
  <c r="T1383" i="2"/>
  <c r="P1383" i="2"/>
  <c r="T1382" i="2"/>
  <c r="P1382" i="2"/>
  <c r="T1380" i="2"/>
  <c r="S1380" i="2"/>
  <c r="P1380" i="2"/>
  <c r="T1379" i="2"/>
  <c r="P1379" i="2"/>
  <c r="T1378" i="2"/>
  <c r="P1378" i="2"/>
  <c r="T1377" i="2"/>
  <c r="P1377" i="2"/>
  <c r="T1376" i="2"/>
  <c r="P1376" i="2"/>
  <c r="T1375" i="2"/>
  <c r="P1375" i="2"/>
  <c r="T1374" i="2"/>
  <c r="P1374" i="2"/>
  <c r="V1373" i="2"/>
  <c r="U1373" i="2"/>
  <c r="T1373" i="2"/>
  <c r="S1373" i="2"/>
  <c r="T1372" i="2"/>
  <c r="P1372" i="2"/>
  <c r="T1371" i="2"/>
  <c r="P1371" i="2"/>
  <c r="T1370" i="2"/>
  <c r="P1370" i="2"/>
  <c r="T1369" i="2"/>
  <c r="P1369" i="2"/>
  <c r="T1368" i="2"/>
  <c r="P1368" i="2"/>
  <c r="T1367" i="2"/>
  <c r="P1367" i="2"/>
  <c r="T1366" i="2"/>
  <c r="P1366" i="2"/>
  <c r="T1365" i="2"/>
  <c r="P1365" i="2"/>
  <c r="T1364" i="2"/>
  <c r="R1364" i="2"/>
  <c r="T1363" i="2"/>
  <c r="P1363" i="2"/>
  <c r="T1362" i="2"/>
  <c r="P1362" i="2"/>
  <c r="V1361" i="2"/>
  <c r="T1361" i="2"/>
  <c r="S1361" i="2"/>
  <c r="T1360" i="2"/>
  <c r="P1360" i="2"/>
  <c r="T1359" i="2"/>
  <c r="P1359" i="2"/>
  <c r="T1358" i="2"/>
  <c r="P1358" i="2"/>
  <c r="T1357" i="2"/>
  <c r="P1357" i="2"/>
  <c r="T1356" i="2"/>
  <c r="P1356" i="2"/>
  <c r="T1355" i="2"/>
  <c r="P1355" i="2"/>
  <c r="T1354" i="2"/>
  <c r="P1354" i="2"/>
  <c r="T1353" i="2"/>
  <c r="P1353" i="2"/>
  <c r="T1352" i="2"/>
  <c r="P1352" i="2"/>
  <c r="T1351" i="2"/>
  <c r="P1351" i="2"/>
  <c r="T1350" i="2"/>
  <c r="P1350" i="2"/>
  <c r="T1349" i="2"/>
  <c r="P1349" i="2"/>
  <c r="T1348" i="2"/>
  <c r="P1348" i="2"/>
  <c r="T1347" i="2"/>
  <c r="N1347" i="2"/>
  <c r="P1347" i="2" s="1"/>
  <c r="T1346" i="2"/>
  <c r="P1346" i="2"/>
  <c r="V1345" i="2"/>
  <c r="U1345" i="2"/>
  <c r="T1345" i="2"/>
  <c r="S1345" i="2"/>
  <c r="T1344" i="2"/>
  <c r="P1344" i="2"/>
  <c r="T1343" i="2"/>
  <c r="P1343" i="2"/>
  <c r="T1342" i="2"/>
  <c r="P1342" i="2"/>
  <c r="T1341" i="2"/>
  <c r="P1341" i="2"/>
  <c r="T1340" i="2"/>
  <c r="P1340" i="2"/>
  <c r="T1339" i="2"/>
  <c r="P1339" i="2"/>
  <c r="T1338" i="2"/>
  <c r="P1338" i="2"/>
  <c r="T1337" i="2"/>
  <c r="P1337" i="2"/>
  <c r="T1336" i="2"/>
  <c r="P1336" i="2"/>
  <c r="T1335" i="2"/>
  <c r="P1335" i="2"/>
  <c r="T1334" i="2"/>
  <c r="P1334" i="2"/>
  <c r="T1333" i="2"/>
  <c r="P1333" i="2"/>
  <c r="T1332" i="2"/>
  <c r="P1332" i="2"/>
  <c r="T1331" i="2"/>
  <c r="P1331" i="2"/>
  <c r="T1330" i="2"/>
  <c r="P1330" i="2"/>
  <c r="T1329" i="2"/>
  <c r="P1329" i="2"/>
  <c r="T1328" i="2"/>
  <c r="P1328" i="2"/>
  <c r="T1327" i="2"/>
  <c r="P1327" i="2"/>
  <c r="T1326" i="2"/>
  <c r="P1326" i="2"/>
  <c r="T1325" i="2"/>
  <c r="P1325" i="2"/>
  <c r="T1324" i="2"/>
  <c r="P1324" i="2"/>
  <c r="V1323" i="2"/>
  <c r="U1323" i="2"/>
  <c r="T1323" i="2"/>
  <c r="S1323" i="2"/>
  <c r="T1322" i="2"/>
  <c r="P1322" i="2"/>
  <c r="T1321" i="2"/>
  <c r="P1321" i="2"/>
  <c r="T1320" i="2"/>
  <c r="P1320" i="2"/>
  <c r="T1319" i="2"/>
  <c r="P1319" i="2"/>
  <c r="T1318" i="2"/>
  <c r="P1318" i="2"/>
  <c r="T1317" i="2"/>
  <c r="P1317" i="2"/>
  <c r="E1317" i="2"/>
  <c r="V1316" i="2"/>
  <c r="U1316" i="2"/>
  <c r="T1316" i="2"/>
  <c r="S1316" i="2"/>
  <c r="E1316" i="2"/>
  <c r="T1315" i="2"/>
  <c r="P1315" i="2"/>
  <c r="T1314" i="2"/>
  <c r="P1314" i="2"/>
  <c r="T1313" i="2"/>
  <c r="P1313" i="2"/>
  <c r="T1312" i="2"/>
  <c r="P1312" i="2"/>
  <c r="T1311" i="2"/>
  <c r="P1311" i="2"/>
  <c r="V1310" i="2"/>
  <c r="U1310" i="2"/>
  <c r="T1310" i="2"/>
  <c r="S1310" i="2"/>
  <c r="T1309" i="2"/>
  <c r="P1309" i="2"/>
  <c r="T1308" i="2"/>
  <c r="R1308" i="2"/>
  <c r="T1307" i="2"/>
  <c r="R1307" i="2"/>
  <c r="T1306" i="2"/>
  <c r="P1306" i="2"/>
  <c r="V1305" i="2"/>
  <c r="U1305" i="2"/>
  <c r="T1305" i="2"/>
  <c r="S1305" i="2"/>
  <c r="V1304" i="2"/>
  <c r="U1304" i="2"/>
  <c r="T1304" i="2"/>
  <c r="S1304" i="2"/>
  <c r="T1303" i="2"/>
  <c r="P1303" i="2"/>
  <c r="T1302" i="2"/>
  <c r="R1302" i="2"/>
  <c r="P1302" i="2"/>
  <c r="T1301" i="2"/>
  <c r="P1301" i="2"/>
  <c r="T1300" i="2"/>
  <c r="P1300" i="2"/>
  <c r="V1299" i="2"/>
  <c r="U1299" i="2"/>
  <c r="T1299" i="2"/>
  <c r="S1299" i="2"/>
  <c r="A1299" i="2"/>
  <c r="X1299" i="2" s="1"/>
  <c r="A1300" i="2" s="1"/>
  <c r="T1296" i="2"/>
  <c r="P1296" i="2"/>
  <c r="T1295" i="2"/>
  <c r="P1295" i="2"/>
  <c r="T1294" i="2"/>
  <c r="P1294" i="2"/>
  <c r="T1293" i="2"/>
  <c r="P1293" i="2"/>
  <c r="T1292" i="2"/>
  <c r="N1292" i="2"/>
  <c r="P1292" i="2" s="1"/>
  <c r="T1291" i="2"/>
  <c r="P1291" i="2"/>
  <c r="T1290" i="2"/>
  <c r="P1290" i="2"/>
  <c r="T1289" i="2"/>
  <c r="P1289" i="2"/>
  <c r="T1288" i="2"/>
  <c r="N1288" i="2"/>
  <c r="P1288" i="2" s="1"/>
  <c r="T1287" i="2"/>
  <c r="P1287" i="2"/>
  <c r="T1286" i="2"/>
  <c r="P1286" i="2"/>
  <c r="T1285" i="2"/>
  <c r="P1285" i="2"/>
  <c r="T1284" i="2"/>
  <c r="P1284" i="2"/>
  <c r="T1283" i="2"/>
  <c r="P1283" i="2"/>
  <c r="T1282" i="2"/>
  <c r="P1282" i="2"/>
  <c r="T1281" i="2"/>
  <c r="P1281" i="2"/>
  <c r="T1280" i="2"/>
  <c r="P1280" i="2"/>
  <c r="T1279" i="2"/>
  <c r="P1279" i="2"/>
  <c r="T1278" i="2"/>
  <c r="P1278" i="2"/>
  <c r="T1277" i="2"/>
  <c r="R1277" i="2"/>
  <c r="N1277" i="2"/>
  <c r="P1277" i="2" s="1"/>
  <c r="T1276" i="2"/>
  <c r="P1276" i="2"/>
  <c r="T1275" i="2"/>
  <c r="P1275" i="2"/>
  <c r="T1274" i="2"/>
  <c r="P1274" i="2"/>
  <c r="T1273" i="2"/>
  <c r="P1273" i="2"/>
  <c r="T1272" i="2"/>
  <c r="P1272" i="2"/>
  <c r="T1271" i="2"/>
  <c r="P1271" i="2"/>
  <c r="T1270" i="2"/>
  <c r="P1270" i="2"/>
  <c r="T1269" i="2"/>
  <c r="P1269" i="2"/>
  <c r="T1268" i="2"/>
  <c r="P1268" i="2"/>
  <c r="T1267" i="2"/>
  <c r="P1267" i="2"/>
  <c r="T1266" i="2"/>
  <c r="P1266" i="2"/>
  <c r="T1265" i="2"/>
  <c r="P1265" i="2"/>
  <c r="T1264" i="2"/>
  <c r="P1264" i="2"/>
  <c r="T1263" i="2"/>
  <c r="P1263" i="2"/>
  <c r="T1262" i="2"/>
  <c r="P1262" i="2"/>
  <c r="T1261" i="2"/>
  <c r="P1261" i="2"/>
  <c r="T1260" i="2"/>
  <c r="P1260" i="2"/>
  <c r="T1259" i="2"/>
  <c r="P1259" i="2"/>
  <c r="T1258" i="2"/>
  <c r="P1258" i="2"/>
  <c r="T1257" i="2"/>
  <c r="P1257" i="2"/>
  <c r="T1256" i="2"/>
  <c r="P1256" i="2"/>
  <c r="T1255" i="2"/>
  <c r="P1255" i="2"/>
  <c r="T1254" i="2"/>
  <c r="P1254" i="2"/>
  <c r="T1253" i="2"/>
  <c r="P1253" i="2"/>
  <c r="T1252" i="2"/>
  <c r="P1252" i="2"/>
  <c r="T1251" i="2"/>
  <c r="P1251" i="2"/>
  <c r="T1250" i="2"/>
  <c r="P1250" i="2"/>
  <c r="T1249" i="2"/>
  <c r="P1249" i="2"/>
  <c r="T1248" i="2"/>
  <c r="P1248" i="2"/>
  <c r="T1247" i="2"/>
  <c r="P1247" i="2"/>
  <c r="T1246" i="2"/>
  <c r="N1246" i="2"/>
  <c r="P1246" i="2" s="1"/>
  <c r="T1245" i="2"/>
  <c r="P1245" i="2"/>
  <c r="T1244" i="2"/>
  <c r="P1244" i="2"/>
  <c r="T1243" i="2"/>
  <c r="N1243" i="2"/>
  <c r="P1243" i="2" s="1"/>
  <c r="T1242" i="2"/>
  <c r="P1242" i="2"/>
  <c r="T1241" i="2"/>
  <c r="P1241" i="2"/>
  <c r="T1240" i="2"/>
  <c r="P1240" i="2"/>
  <c r="T1239" i="2"/>
  <c r="P1239" i="2"/>
  <c r="T1238" i="2"/>
  <c r="P1238" i="2"/>
  <c r="T1237" i="2"/>
  <c r="P1237" i="2"/>
  <c r="T1236" i="2"/>
  <c r="P1236" i="2"/>
  <c r="T1235" i="2"/>
  <c r="P1235" i="2"/>
  <c r="T1234" i="2"/>
  <c r="P1234" i="2"/>
  <c r="T1233" i="2"/>
  <c r="P1233" i="2"/>
  <c r="T1232" i="2"/>
  <c r="P1232" i="2"/>
  <c r="T1231" i="2"/>
  <c r="P1231" i="2"/>
  <c r="T1230" i="2"/>
  <c r="P1230" i="2"/>
  <c r="T1229" i="2"/>
  <c r="P1229" i="2"/>
  <c r="T1228" i="2"/>
  <c r="P1228" i="2"/>
  <c r="T1227" i="2"/>
  <c r="P1227" i="2"/>
  <c r="T1226" i="2"/>
  <c r="P1226" i="2"/>
  <c r="T1225" i="2"/>
  <c r="P1225" i="2"/>
  <c r="T1224" i="2"/>
  <c r="P1224" i="2"/>
  <c r="T1223" i="2"/>
  <c r="P1223" i="2"/>
  <c r="T1222" i="2"/>
  <c r="P1222" i="2"/>
  <c r="T1221" i="2"/>
  <c r="P1221" i="2"/>
  <c r="T1220" i="2"/>
  <c r="P1220" i="2"/>
  <c r="T1219" i="2"/>
  <c r="P1219" i="2"/>
  <c r="T1218" i="2"/>
  <c r="P1218" i="2"/>
  <c r="T1217" i="2"/>
  <c r="P1217" i="2"/>
  <c r="T1216" i="2"/>
  <c r="P1216" i="2"/>
  <c r="T1215" i="2"/>
  <c r="P1215" i="2"/>
  <c r="T1214" i="2"/>
  <c r="P1214" i="2"/>
  <c r="T1213" i="2"/>
  <c r="P1213" i="2"/>
  <c r="T1212" i="2"/>
  <c r="N1212" i="2"/>
  <c r="P1212" i="2" s="1"/>
  <c r="T1211" i="2"/>
  <c r="P1211" i="2"/>
  <c r="T1210" i="2"/>
  <c r="P1210" i="2"/>
  <c r="T1209" i="2"/>
  <c r="P1209" i="2"/>
  <c r="T1208" i="2"/>
  <c r="N1208" i="2"/>
  <c r="P1208" i="2" s="1"/>
  <c r="T1207" i="2"/>
  <c r="P1207" i="2"/>
  <c r="T1206" i="2"/>
  <c r="P1206" i="2"/>
  <c r="T1205" i="2"/>
  <c r="P1205" i="2"/>
  <c r="T1204" i="2"/>
  <c r="N1204" i="2"/>
  <c r="P1204" i="2" s="1"/>
  <c r="T1203" i="2"/>
  <c r="N1203" i="2"/>
  <c r="P1203" i="2" s="1"/>
  <c r="T1202" i="2"/>
  <c r="N1202" i="2"/>
  <c r="P1202" i="2" s="1"/>
  <c r="T1201" i="2"/>
  <c r="P1201" i="2"/>
  <c r="T1200" i="2"/>
  <c r="P1200" i="2"/>
  <c r="T1199" i="2"/>
  <c r="N1199" i="2"/>
  <c r="P1199" i="2" s="1"/>
  <c r="T1198" i="2"/>
  <c r="P1198" i="2"/>
  <c r="T1197" i="2"/>
  <c r="P1197" i="2"/>
  <c r="T1196" i="2"/>
  <c r="N1196" i="2"/>
  <c r="P1196" i="2" s="1"/>
  <c r="T1195" i="2"/>
  <c r="P1195" i="2"/>
  <c r="T1194" i="2"/>
  <c r="P1194" i="2"/>
  <c r="T1193" i="2"/>
  <c r="P1193" i="2"/>
  <c r="T1192" i="2"/>
  <c r="P1192" i="2"/>
  <c r="T1191" i="2"/>
  <c r="P1191" i="2"/>
  <c r="T1190" i="2"/>
  <c r="P1190" i="2"/>
  <c r="T1189" i="2"/>
  <c r="P1189" i="2"/>
  <c r="T1188" i="2"/>
  <c r="P1188" i="2"/>
  <c r="T1187" i="2"/>
  <c r="P1187" i="2"/>
  <c r="T1186" i="2"/>
  <c r="P1186" i="2"/>
  <c r="T1185" i="2"/>
  <c r="P1185" i="2"/>
  <c r="T1184" i="2"/>
  <c r="P1184" i="2"/>
  <c r="T1183" i="2"/>
  <c r="P1183" i="2"/>
  <c r="E1183" i="2"/>
  <c r="V1182" i="2"/>
  <c r="U1182" i="2"/>
  <c r="T1182" i="2"/>
  <c r="S1182" i="2"/>
  <c r="E1182" i="2"/>
  <c r="T1181" i="2"/>
  <c r="P1181" i="2"/>
  <c r="T1180" i="2"/>
  <c r="P1180" i="2"/>
  <c r="T1179" i="2"/>
  <c r="P1179" i="2"/>
  <c r="V1178" i="2"/>
  <c r="U1178" i="2"/>
  <c r="T1178" i="2"/>
  <c r="S1178" i="2"/>
  <c r="V1177" i="2"/>
  <c r="U1177" i="2"/>
  <c r="T1177" i="2"/>
  <c r="S1177" i="2"/>
  <c r="V1176" i="2"/>
  <c r="U1176" i="2"/>
  <c r="T1176" i="2"/>
  <c r="S1176" i="2"/>
  <c r="T1175" i="2"/>
  <c r="P1175" i="2"/>
  <c r="V1174" i="2"/>
  <c r="U1174" i="2"/>
  <c r="T1174" i="2"/>
  <c r="S1174" i="2"/>
  <c r="T1173" i="2"/>
  <c r="R1173" i="2"/>
  <c r="V1172" i="2"/>
  <c r="U1172" i="2"/>
  <c r="T1172" i="2"/>
  <c r="S1172" i="2"/>
  <c r="V1171" i="2"/>
  <c r="U1171" i="2"/>
  <c r="T1171" i="2"/>
  <c r="S1171" i="2"/>
  <c r="T1170" i="2"/>
  <c r="P1170" i="2"/>
  <c r="V1169" i="2"/>
  <c r="U1169" i="2"/>
  <c r="T1169" i="2"/>
  <c r="S1169" i="2"/>
  <c r="T1168" i="2"/>
  <c r="P1168" i="2"/>
  <c r="T1167" i="2"/>
  <c r="R1167" i="2"/>
  <c r="T1166" i="2"/>
  <c r="P1166" i="2"/>
  <c r="T1165" i="2"/>
  <c r="P1165" i="2"/>
  <c r="V1164" i="2"/>
  <c r="U1164" i="2"/>
  <c r="T1164" i="2"/>
  <c r="S1164" i="2"/>
  <c r="V1163" i="2"/>
  <c r="U1163" i="2"/>
  <c r="T1163" i="2"/>
  <c r="S1163" i="2"/>
  <c r="T1162" i="2"/>
  <c r="P1162" i="2"/>
  <c r="A1162" i="2"/>
  <c r="X1162" i="2" s="1"/>
  <c r="A1163" i="2" s="1"/>
  <c r="X1163" i="2" s="1"/>
  <c r="A1164" i="2" s="1"/>
  <c r="X1164" i="2" s="1"/>
  <c r="A1165" i="2" s="1"/>
  <c r="T1159" i="2"/>
  <c r="P1159" i="2"/>
  <c r="T1158" i="2"/>
  <c r="P1158" i="2"/>
  <c r="T1157" i="2"/>
  <c r="N1157" i="2"/>
  <c r="P1157" i="2" s="1"/>
  <c r="T1156" i="2"/>
  <c r="S1156" i="2"/>
  <c r="P1156" i="2"/>
  <c r="U1156" i="2" s="1"/>
  <c r="V1156" i="2" s="1"/>
  <c r="T1155" i="2"/>
  <c r="P1155" i="2"/>
  <c r="T1154" i="2"/>
  <c r="P1154" i="2"/>
  <c r="T1153" i="2"/>
  <c r="P1153" i="2"/>
  <c r="T1152" i="2"/>
  <c r="P1152" i="2"/>
  <c r="A1152" i="2"/>
  <c r="T1151" i="2"/>
  <c r="P1151" i="2"/>
  <c r="T1150" i="2"/>
  <c r="N1150" i="2"/>
  <c r="P1150" i="2" s="1"/>
  <c r="T1149" i="2"/>
  <c r="P1149" i="2"/>
  <c r="T1148" i="2"/>
  <c r="P1148" i="2"/>
  <c r="T1147" i="2"/>
  <c r="P1147" i="2"/>
  <c r="T1146" i="2"/>
  <c r="P1146" i="2"/>
  <c r="T1145" i="2"/>
  <c r="P1145" i="2"/>
  <c r="T1144" i="2"/>
  <c r="P1144" i="2"/>
  <c r="T1143" i="2"/>
  <c r="P1143" i="2"/>
  <c r="T1142" i="2"/>
  <c r="P1142" i="2"/>
  <c r="T1141" i="2"/>
  <c r="P1141" i="2"/>
  <c r="T1140" i="2"/>
  <c r="N1140" i="2"/>
  <c r="P1140" i="2" s="1"/>
  <c r="T1139" i="2"/>
  <c r="P1139" i="2"/>
  <c r="T1138" i="2"/>
  <c r="P1138" i="2"/>
  <c r="T1137" i="2"/>
  <c r="P1137" i="2"/>
  <c r="T1136" i="2"/>
  <c r="P1136" i="2"/>
  <c r="T1135" i="2"/>
  <c r="P1135" i="2"/>
  <c r="T1134" i="2"/>
  <c r="P1134" i="2"/>
  <c r="T1133" i="2"/>
  <c r="P1133" i="2"/>
  <c r="T1132" i="2"/>
  <c r="N1132" i="2"/>
  <c r="P1132" i="2" s="1"/>
  <c r="T1131" i="2"/>
  <c r="P1131" i="2"/>
  <c r="T1130" i="2"/>
  <c r="P1130" i="2"/>
  <c r="T1129" i="2"/>
  <c r="P1129" i="2"/>
  <c r="T1128" i="2"/>
  <c r="P1128" i="2"/>
  <c r="T1127" i="2"/>
  <c r="P1127" i="2"/>
  <c r="T1126" i="2"/>
  <c r="P1126" i="2"/>
  <c r="T1125" i="2"/>
  <c r="P1125" i="2"/>
  <c r="T1124" i="2"/>
  <c r="P1124" i="2"/>
  <c r="T1123" i="2"/>
  <c r="P1123" i="2"/>
  <c r="T1122" i="2"/>
  <c r="P1122" i="2"/>
  <c r="T1121" i="2"/>
  <c r="P1121" i="2"/>
  <c r="T1120" i="2"/>
  <c r="P1120" i="2"/>
  <c r="T1119" i="2"/>
  <c r="P1119" i="2"/>
  <c r="T1118" i="2"/>
  <c r="P1118" i="2"/>
  <c r="T1117" i="2"/>
  <c r="N1117" i="2"/>
  <c r="P1117" i="2" s="1"/>
  <c r="T1116" i="2"/>
  <c r="P1116" i="2"/>
  <c r="T1115" i="2"/>
  <c r="P1115" i="2"/>
  <c r="T1114" i="2"/>
  <c r="P1114" i="2"/>
  <c r="T1113" i="2"/>
  <c r="P1113" i="2"/>
  <c r="T1112" i="2"/>
  <c r="P1112" i="2"/>
  <c r="T1111" i="2"/>
  <c r="P1111" i="2"/>
  <c r="T1110" i="2"/>
  <c r="P1110" i="2"/>
  <c r="V1109" i="2"/>
  <c r="U1109" i="2"/>
  <c r="T1109" i="2"/>
  <c r="P1109" i="2"/>
  <c r="S1109" i="2" s="1"/>
  <c r="T1108" i="2"/>
  <c r="P1108" i="2"/>
  <c r="T1107" i="2"/>
  <c r="P1107" i="2"/>
  <c r="T1106" i="2"/>
  <c r="P1106" i="2"/>
  <c r="T1105" i="2"/>
  <c r="P1105" i="2"/>
  <c r="T1104" i="2"/>
  <c r="P1104" i="2"/>
  <c r="T1103" i="2"/>
  <c r="P1103" i="2"/>
  <c r="T1102" i="2"/>
  <c r="P1102" i="2"/>
  <c r="T1101" i="2"/>
  <c r="P1101" i="2"/>
  <c r="T1100" i="2"/>
  <c r="P1100" i="2"/>
  <c r="T1099" i="2"/>
  <c r="P1099" i="2"/>
  <c r="T1098" i="2"/>
  <c r="P1098" i="2"/>
  <c r="T1097" i="2"/>
  <c r="P1097" i="2"/>
  <c r="T1096" i="2"/>
  <c r="P1096" i="2"/>
  <c r="T1095" i="2"/>
  <c r="P1095" i="2"/>
  <c r="T1094" i="2"/>
  <c r="P1094" i="2"/>
  <c r="T1093" i="2"/>
  <c r="P1093" i="2"/>
  <c r="T1092" i="2"/>
  <c r="P1092" i="2"/>
  <c r="T1091" i="2"/>
  <c r="P1091" i="2"/>
  <c r="T1090" i="2"/>
  <c r="P1090" i="2"/>
  <c r="T1089" i="2"/>
  <c r="P1089" i="2"/>
  <c r="T1088" i="2"/>
  <c r="P1088" i="2"/>
  <c r="T1087" i="2"/>
  <c r="P1087" i="2"/>
  <c r="T1086" i="2"/>
  <c r="P1086" i="2"/>
  <c r="T1085" i="2"/>
  <c r="P1085" i="2"/>
  <c r="T1082" i="2"/>
  <c r="P1082" i="2"/>
  <c r="T1081" i="2"/>
  <c r="P1081" i="2"/>
  <c r="T1080" i="2"/>
  <c r="P1080" i="2"/>
  <c r="T1079" i="2"/>
  <c r="P1079" i="2"/>
  <c r="T1078" i="2"/>
  <c r="P1078" i="2"/>
  <c r="T1077" i="2"/>
  <c r="P1077" i="2"/>
  <c r="T1076" i="2"/>
  <c r="P1076" i="2"/>
  <c r="T1075" i="2"/>
  <c r="P1075" i="2"/>
  <c r="T1074" i="2"/>
  <c r="P1074" i="2"/>
  <c r="V1073" i="2"/>
  <c r="U1073" i="2"/>
  <c r="T1073" i="2"/>
  <c r="S1073" i="2"/>
  <c r="V1072" i="2"/>
  <c r="U1072" i="2"/>
  <c r="T1072" i="2"/>
  <c r="S1072" i="2"/>
  <c r="T1071" i="2"/>
  <c r="P1071" i="2"/>
  <c r="T1070" i="2"/>
  <c r="P1070" i="2"/>
  <c r="T1069" i="2"/>
  <c r="P1069" i="2"/>
  <c r="T1068" i="2"/>
  <c r="P1068" i="2"/>
  <c r="T1067" i="2"/>
  <c r="P1067" i="2"/>
  <c r="T1066" i="2"/>
  <c r="P1066" i="2"/>
  <c r="T1065" i="2"/>
  <c r="P1065" i="2"/>
  <c r="T1064" i="2"/>
  <c r="P1064" i="2"/>
  <c r="T1063" i="2"/>
  <c r="P1063" i="2"/>
  <c r="T1062" i="2"/>
  <c r="P1062" i="2"/>
  <c r="T1061" i="2"/>
  <c r="P1061" i="2"/>
  <c r="T1060" i="2"/>
  <c r="P1060" i="2"/>
  <c r="T1059" i="2"/>
  <c r="P1059" i="2"/>
  <c r="T1058" i="2"/>
  <c r="P1058" i="2"/>
  <c r="T1057" i="2"/>
  <c r="P1057" i="2"/>
  <c r="T1056" i="2"/>
  <c r="P1056" i="2"/>
  <c r="T1055" i="2"/>
  <c r="P1055" i="2"/>
  <c r="P1054" i="2"/>
  <c r="T1053" i="2"/>
  <c r="P1053" i="2"/>
  <c r="V1052" i="2"/>
  <c r="U1052" i="2"/>
  <c r="T1052" i="2"/>
  <c r="S1052" i="2"/>
  <c r="T1051" i="2"/>
  <c r="P1051" i="2"/>
  <c r="A1051" i="2"/>
  <c r="T1048" i="2"/>
  <c r="P1048" i="2"/>
  <c r="T1047" i="2"/>
  <c r="N1047" i="2"/>
  <c r="P1047" i="2" s="1"/>
  <c r="T1046" i="2"/>
  <c r="P1046" i="2"/>
  <c r="T1045" i="2"/>
  <c r="P1045" i="2"/>
  <c r="T1044" i="2"/>
  <c r="P1044" i="2"/>
  <c r="T1043" i="2"/>
  <c r="P1043" i="2"/>
  <c r="T1042" i="2"/>
  <c r="N1042" i="2"/>
  <c r="P1042" i="2" s="1"/>
  <c r="T1041" i="2"/>
  <c r="P1041" i="2"/>
  <c r="T1040" i="2"/>
  <c r="N1040" i="2"/>
  <c r="P1040" i="2" s="1"/>
  <c r="T1039" i="2"/>
  <c r="P1039" i="2"/>
  <c r="T1038" i="2"/>
  <c r="P1038" i="2"/>
  <c r="B1038" i="2"/>
  <c r="T1037" i="2"/>
  <c r="P1037" i="2"/>
  <c r="T1036" i="2"/>
  <c r="P1036" i="2"/>
  <c r="T1035" i="2"/>
  <c r="P1035" i="2"/>
  <c r="T1034" i="2"/>
  <c r="P1034" i="2"/>
  <c r="T1033" i="2"/>
  <c r="P1033" i="2"/>
  <c r="T1032" i="2"/>
  <c r="P1032" i="2"/>
  <c r="T1031" i="2"/>
  <c r="P1031" i="2"/>
  <c r="T1030" i="2"/>
  <c r="P1030" i="2"/>
  <c r="T1029" i="2"/>
  <c r="P1029" i="2"/>
  <c r="T1028" i="2"/>
  <c r="N1028" i="2"/>
  <c r="P1028" i="2" s="1"/>
  <c r="T1027" i="2"/>
  <c r="N1027" i="2"/>
  <c r="P1027" i="2" s="1"/>
  <c r="T1026" i="2"/>
  <c r="P1026" i="2"/>
  <c r="T1025" i="2"/>
  <c r="P1025" i="2"/>
  <c r="T1024" i="2"/>
  <c r="P1024" i="2"/>
  <c r="T1023" i="2"/>
  <c r="P1023" i="2"/>
  <c r="T1022" i="2"/>
  <c r="P1022" i="2"/>
  <c r="T1021" i="2"/>
  <c r="P1021" i="2"/>
  <c r="T1020" i="2"/>
  <c r="P1020" i="2"/>
  <c r="T1019" i="2"/>
  <c r="P1019" i="2"/>
  <c r="T1018" i="2"/>
  <c r="P1018" i="2"/>
  <c r="T1017" i="2"/>
  <c r="P1017" i="2"/>
  <c r="T1016" i="2"/>
  <c r="P1016" i="2"/>
  <c r="T1015" i="2"/>
  <c r="P1015" i="2"/>
  <c r="T1014" i="2"/>
  <c r="P1014" i="2"/>
  <c r="T1013" i="2"/>
  <c r="P1013" i="2"/>
  <c r="T1012" i="2"/>
  <c r="P1012" i="2"/>
  <c r="T1011" i="2"/>
  <c r="P1011" i="2"/>
  <c r="T1010" i="2"/>
  <c r="P1010" i="2"/>
  <c r="T1009" i="2"/>
  <c r="P1009" i="2"/>
  <c r="T1008" i="2"/>
  <c r="P1008" i="2"/>
  <c r="T1007" i="2"/>
  <c r="P1007" i="2"/>
  <c r="T1006" i="2"/>
  <c r="P1006" i="2"/>
  <c r="T1005" i="2"/>
  <c r="P1005" i="2"/>
  <c r="T1004" i="2"/>
  <c r="P1004" i="2"/>
  <c r="T1003" i="2"/>
  <c r="P1003" i="2"/>
  <c r="T1002" i="2"/>
  <c r="P1002" i="2"/>
  <c r="T1001" i="2"/>
  <c r="P1001" i="2"/>
  <c r="T1000" i="2"/>
  <c r="P1000" i="2"/>
  <c r="T999" i="2"/>
  <c r="P999" i="2"/>
  <c r="T998" i="2"/>
  <c r="P998" i="2"/>
  <c r="T997" i="2"/>
  <c r="P997" i="2"/>
  <c r="T996" i="2"/>
  <c r="P996" i="2"/>
  <c r="T995" i="2"/>
  <c r="P995" i="2"/>
  <c r="T994" i="2"/>
  <c r="P994" i="2"/>
  <c r="T993" i="2"/>
  <c r="P993" i="2"/>
  <c r="T992" i="2"/>
  <c r="P992" i="2"/>
  <c r="T991" i="2"/>
  <c r="P991" i="2"/>
  <c r="T990" i="2"/>
  <c r="P990" i="2"/>
  <c r="T989" i="2"/>
  <c r="P989" i="2"/>
  <c r="T988" i="2"/>
  <c r="P988" i="2"/>
  <c r="T987" i="2"/>
  <c r="P987" i="2"/>
  <c r="T986" i="2"/>
  <c r="P986" i="2"/>
  <c r="T985" i="2"/>
  <c r="P985" i="2"/>
  <c r="T984" i="2"/>
  <c r="P984" i="2"/>
  <c r="T983" i="2"/>
  <c r="P983" i="2"/>
  <c r="T982" i="2"/>
  <c r="P982" i="2"/>
  <c r="T981" i="2"/>
  <c r="P981" i="2"/>
  <c r="T980" i="2"/>
  <c r="P980" i="2"/>
  <c r="T979" i="2"/>
  <c r="P979" i="2"/>
  <c r="T978" i="2"/>
  <c r="P978" i="2"/>
  <c r="T977" i="2"/>
  <c r="P977" i="2"/>
  <c r="T976" i="2"/>
  <c r="P976" i="2"/>
  <c r="T975" i="2"/>
  <c r="P975" i="2"/>
  <c r="T974" i="2"/>
  <c r="P974" i="2"/>
  <c r="T973" i="2"/>
  <c r="P973" i="2"/>
  <c r="T972" i="2"/>
  <c r="P972" i="2"/>
  <c r="T971" i="2"/>
  <c r="P971" i="2"/>
  <c r="T970" i="2"/>
  <c r="P970" i="2"/>
  <c r="T969" i="2"/>
  <c r="P969" i="2"/>
  <c r="T968" i="2"/>
  <c r="P968" i="2"/>
  <c r="T967" i="2"/>
  <c r="P967" i="2"/>
  <c r="T966" i="2"/>
  <c r="P966" i="2"/>
  <c r="T965" i="2"/>
  <c r="P965" i="2"/>
  <c r="T964" i="2"/>
  <c r="P964" i="2"/>
  <c r="T963" i="2"/>
  <c r="P963" i="2"/>
  <c r="T962" i="2"/>
  <c r="P962" i="2"/>
  <c r="T961" i="2"/>
  <c r="P961" i="2"/>
  <c r="T960" i="2"/>
  <c r="P960" i="2"/>
  <c r="T959" i="2"/>
  <c r="P959" i="2"/>
  <c r="T958" i="2"/>
  <c r="P958" i="2"/>
  <c r="T957" i="2"/>
  <c r="P957" i="2"/>
  <c r="T956" i="2"/>
  <c r="P956" i="2"/>
  <c r="T955" i="2"/>
  <c r="P955" i="2"/>
  <c r="T954" i="2"/>
  <c r="P954" i="2"/>
  <c r="T953" i="2"/>
  <c r="P953" i="2"/>
  <c r="T952" i="2"/>
  <c r="P952" i="2"/>
  <c r="T951" i="2"/>
  <c r="P951" i="2"/>
  <c r="T950" i="2"/>
  <c r="P950" i="2"/>
  <c r="T949" i="2"/>
  <c r="P949" i="2"/>
  <c r="T948" i="2"/>
  <c r="P948" i="2"/>
  <c r="T947" i="2"/>
  <c r="P947" i="2"/>
  <c r="T946" i="2"/>
  <c r="P946" i="2"/>
  <c r="V945" i="2"/>
  <c r="U945" i="2"/>
  <c r="T945" i="2"/>
  <c r="S945" i="2"/>
  <c r="T944" i="2"/>
  <c r="P944" i="2"/>
  <c r="T943" i="2"/>
  <c r="P943" i="2"/>
  <c r="T942" i="2"/>
  <c r="P942" i="2"/>
  <c r="T941" i="2"/>
  <c r="P941" i="2"/>
  <c r="T939" i="2"/>
  <c r="P939" i="2"/>
  <c r="T938" i="2"/>
  <c r="P938" i="2"/>
  <c r="E938" i="2"/>
  <c r="T937" i="2"/>
  <c r="P937" i="2"/>
  <c r="E937" i="2"/>
  <c r="T936" i="2"/>
  <c r="P936" i="2"/>
  <c r="E936" i="2"/>
  <c r="T935" i="2"/>
  <c r="P935" i="2"/>
  <c r="E935" i="2"/>
  <c r="T934" i="2"/>
  <c r="P934" i="2"/>
  <c r="E934" i="2"/>
  <c r="T933" i="2"/>
  <c r="P933" i="2"/>
  <c r="T932" i="2"/>
  <c r="P932" i="2"/>
  <c r="T931" i="2"/>
  <c r="P931" i="2"/>
  <c r="T930" i="2"/>
  <c r="P930" i="2"/>
  <c r="T929" i="2"/>
  <c r="P929" i="2"/>
  <c r="V928" i="2"/>
  <c r="U928" i="2"/>
  <c r="T928" i="2"/>
  <c r="S928" i="2"/>
  <c r="V927" i="2"/>
  <c r="U927" i="2"/>
  <c r="T927" i="2"/>
  <c r="S927" i="2"/>
  <c r="T926" i="2"/>
  <c r="P926" i="2"/>
  <c r="T925" i="2"/>
  <c r="P925" i="2"/>
  <c r="T924" i="2"/>
  <c r="P924" i="2"/>
  <c r="A924" i="2"/>
  <c r="T920" i="2"/>
  <c r="P920" i="2"/>
  <c r="T919" i="2"/>
  <c r="P919" i="2"/>
  <c r="T918" i="2"/>
  <c r="P918" i="2"/>
  <c r="T917" i="2"/>
  <c r="P917" i="2"/>
  <c r="T916" i="2"/>
  <c r="N916" i="2"/>
  <c r="P916" i="2" s="1"/>
  <c r="T915" i="2"/>
  <c r="P915" i="2"/>
  <c r="T914" i="2"/>
  <c r="P914" i="2"/>
  <c r="T913" i="2"/>
  <c r="P913" i="2"/>
  <c r="T912" i="2"/>
  <c r="P912" i="2"/>
  <c r="T911" i="2"/>
  <c r="P911" i="2"/>
  <c r="T910" i="2"/>
  <c r="P910" i="2"/>
  <c r="T909" i="2"/>
  <c r="P909" i="2"/>
  <c r="T908" i="2"/>
  <c r="P908" i="2"/>
  <c r="T907" i="2"/>
  <c r="P907" i="2"/>
  <c r="T906" i="2"/>
  <c r="P906" i="2"/>
  <c r="T905" i="2"/>
  <c r="P905" i="2"/>
  <c r="T904" i="2"/>
  <c r="P904" i="2"/>
  <c r="T903" i="2"/>
  <c r="P903" i="2"/>
  <c r="T902" i="2"/>
  <c r="P902" i="2"/>
  <c r="T901" i="2"/>
  <c r="P901" i="2"/>
  <c r="T900" i="2"/>
  <c r="P900" i="2"/>
  <c r="T899" i="2"/>
  <c r="P899" i="2"/>
  <c r="T898" i="2"/>
  <c r="P898" i="2"/>
  <c r="T897" i="2"/>
  <c r="P897" i="2"/>
  <c r="T896" i="2"/>
  <c r="P896" i="2"/>
  <c r="T895" i="2"/>
  <c r="P895" i="2"/>
  <c r="T894" i="2"/>
  <c r="P894" i="2"/>
  <c r="T893" i="2"/>
  <c r="P893" i="2"/>
  <c r="T892" i="2"/>
  <c r="P892" i="2"/>
  <c r="T891" i="2"/>
  <c r="P891" i="2"/>
  <c r="T890" i="2"/>
  <c r="P890" i="2"/>
  <c r="T889" i="2"/>
  <c r="P889" i="2"/>
  <c r="T888" i="2"/>
  <c r="P888" i="2"/>
  <c r="T887" i="2"/>
  <c r="P887" i="2"/>
  <c r="T886" i="2"/>
  <c r="P886" i="2"/>
  <c r="T885" i="2"/>
  <c r="P885" i="2"/>
  <c r="T884" i="2"/>
  <c r="P884" i="2"/>
  <c r="T883" i="2"/>
  <c r="P883" i="2"/>
  <c r="T882" i="2"/>
  <c r="P882" i="2"/>
  <c r="T881" i="2"/>
  <c r="P881" i="2"/>
  <c r="T880" i="2"/>
  <c r="P880" i="2"/>
  <c r="T879" i="2"/>
  <c r="P879" i="2"/>
  <c r="T878" i="2"/>
  <c r="P878" i="2"/>
  <c r="T877" i="2"/>
  <c r="P877" i="2"/>
  <c r="T876" i="2"/>
  <c r="P876" i="2"/>
  <c r="T875" i="2"/>
  <c r="P875" i="2"/>
  <c r="T874" i="2"/>
  <c r="P874" i="2"/>
  <c r="T873" i="2"/>
  <c r="P873" i="2"/>
  <c r="T872" i="2"/>
  <c r="P872" i="2"/>
  <c r="T871" i="2"/>
  <c r="P871" i="2"/>
  <c r="T870" i="2"/>
  <c r="P870" i="2"/>
  <c r="T869" i="2"/>
  <c r="P869" i="2"/>
  <c r="T868" i="2"/>
  <c r="N868" i="2"/>
  <c r="P868" i="2" s="1"/>
  <c r="T867" i="2"/>
  <c r="P867" i="2"/>
  <c r="T866" i="2"/>
  <c r="P866" i="2"/>
  <c r="T865" i="2"/>
  <c r="P865" i="2"/>
  <c r="T864" i="2"/>
  <c r="P864" i="2"/>
  <c r="T863" i="2"/>
  <c r="N863" i="2"/>
  <c r="P863" i="2" s="1"/>
  <c r="T862" i="2"/>
  <c r="P862" i="2"/>
  <c r="T861" i="2"/>
  <c r="P861" i="2"/>
  <c r="T860" i="2"/>
  <c r="P860" i="2"/>
  <c r="T859" i="2"/>
  <c r="P859" i="2"/>
  <c r="T858" i="2"/>
  <c r="P858" i="2"/>
  <c r="T857" i="2"/>
  <c r="P857" i="2"/>
  <c r="T856" i="2"/>
  <c r="P856" i="2"/>
  <c r="T855" i="2"/>
  <c r="P855" i="2"/>
  <c r="T854" i="2"/>
  <c r="N854" i="2"/>
  <c r="P854" i="2" s="1"/>
  <c r="T853" i="2"/>
  <c r="P853" i="2"/>
  <c r="T852" i="2"/>
  <c r="P852" i="2"/>
  <c r="T851" i="2"/>
  <c r="P851" i="2"/>
  <c r="T850" i="2"/>
  <c r="P850" i="2"/>
  <c r="T849" i="2"/>
  <c r="P849" i="2"/>
  <c r="T848" i="2"/>
  <c r="P848" i="2"/>
  <c r="T847" i="2"/>
  <c r="P847" i="2"/>
  <c r="T846" i="2"/>
  <c r="P846" i="2"/>
  <c r="T845" i="2"/>
  <c r="P845" i="2"/>
  <c r="U844" i="2"/>
  <c r="T844" i="2"/>
  <c r="P844" i="2"/>
  <c r="T843" i="2"/>
  <c r="P843" i="2"/>
  <c r="T842" i="2"/>
  <c r="P842" i="2"/>
  <c r="T841" i="2"/>
  <c r="P841" i="2"/>
  <c r="T840" i="2"/>
  <c r="P840" i="2"/>
  <c r="T839" i="2"/>
  <c r="P839" i="2"/>
  <c r="T838" i="2"/>
  <c r="P838" i="2"/>
  <c r="T837" i="2"/>
  <c r="P837" i="2"/>
  <c r="T836" i="2"/>
  <c r="P836" i="2"/>
  <c r="T835" i="2"/>
  <c r="P835" i="2"/>
  <c r="T834" i="2"/>
  <c r="P834" i="2"/>
  <c r="T833" i="2"/>
  <c r="N833" i="2"/>
  <c r="P833" i="2" s="1"/>
  <c r="T832" i="2"/>
  <c r="P832" i="2"/>
  <c r="T831" i="2"/>
  <c r="P831" i="2"/>
  <c r="T830" i="2"/>
  <c r="P830" i="2"/>
  <c r="T829" i="2"/>
  <c r="P829" i="2"/>
  <c r="T828" i="2"/>
  <c r="P828" i="2"/>
  <c r="T827" i="2"/>
  <c r="P827" i="2"/>
  <c r="T826" i="2"/>
  <c r="P826" i="2"/>
  <c r="T825" i="2"/>
  <c r="P825" i="2"/>
  <c r="T824" i="2"/>
  <c r="P824" i="2"/>
  <c r="T823" i="2"/>
  <c r="P823" i="2"/>
  <c r="T822" i="2"/>
  <c r="P822" i="2"/>
  <c r="T821" i="2"/>
  <c r="P821" i="2"/>
  <c r="T820" i="2"/>
  <c r="P820" i="2"/>
  <c r="T819" i="2"/>
  <c r="P819" i="2"/>
  <c r="T818" i="2"/>
  <c r="P818" i="2"/>
  <c r="T817" i="2"/>
  <c r="P817" i="2"/>
  <c r="T816" i="2"/>
  <c r="P816" i="2"/>
  <c r="T815" i="2"/>
  <c r="P815" i="2"/>
  <c r="T814" i="2"/>
  <c r="P814" i="2"/>
  <c r="T813" i="2"/>
  <c r="P813" i="2"/>
  <c r="T812" i="2"/>
  <c r="P812" i="2"/>
  <c r="T811" i="2"/>
  <c r="P811" i="2"/>
  <c r="T810" i="2"/>
  <c r="P810" i="2"/>
  <c r="T809" i="2"/>
  <c r="P809" i="2"/>
  <c r="U808" i="2"/>
  <c r="T808" i="2"/>
  <c r="P808" i="2"/>
  <c r="T807" i="2"/>
  <c r="P807" i="2"/>
  <c r="T806" i="2"/>
  <c r="P806" i="2"/>
  <c r="T805" i="2"/>
  <c r="P805" i="2"/>
  <c r="T804" i="2"/>
  <c r="P804" i="2"/>
  <c r="T803" i="2"/>
  <c r="P803" i="2"/>
  <c r="T802" i="2"/>
  <c r="P802" i="2"/>
  <c r="T801" i="2"/>
  <c r="P801" i="2"/>
  <c r="T800" i="2"/>
  <c r="P800" i="2"/>
  <c r="T799" i="2"/>
  <c r="P799" i="2"/>
  <c r="T798" i="2"/>
  <c r="P798" i="2"/>
  <c r="T797" i="2"/>
  <c r="S797" i="2"/>
  <c r="P797" i="2"/>
  <c r="T796" i="2"/>
  <c r="P796" i="2"/>
  <c r="T795" i="2"/>
  <c r="S795" i="2"/>
  <c r="P795" i="2"/>
  <c r="T794" i="2"/>
  <c r="P794" i="2"/>
  <c r="T793" i="2"/>
  <c r="P793" i="2"/>
  <c r="T792" i="2"/>
  <c r="P792" i="2"/>
  <c r="T791" i="2"/>
  <c r="P791" i="2"/>
  <c r="T790" i="2"/>
  <c r="P790" i="2"/>
  <c r="T789" i="2"/>
  <c r="P789" i="2"/>
  <c r="T788" i="2"/>
  <c r="P788" i="2"/>
  <c r="T787" i="2"/>
  <c r="P787" i="2"/>
  <c r="T786" i="2"/>
  <c r="P786" i="2"/>
  <c r="T785" i="2"/>
  <c r="P785" i="2"/>
  <c r="T784" i="2"/>
  <c r="P784" i="2"/>
  <c r="T783" i="2"/>
  <c r="P783" i="2"/>
  <c r="T782" i="2"/>
  <c r="P782" i="2"/>
  <c r="T781" i="2"/>
  <c r="P781" i="2"/>
  <c r="T780" i="2"/>
  <c r="P780" i="2"/>
  <c r="T779" i="2"/>
  <c r="P779" i="2"/>
  <c r="T778" i="2"/>
  <c r="P778" i="2"/>
  <c r="T777" i="2"/>
  <c r="P777" i="2"/>
  <c r="T776" i="2"/>
  <c r="P776" i="2"/>
  <c r="T775" i="2"/>
  <c r="P775" i="2"/>
  <c r="T774" i="2"/>
  <c r="P774" i="2"/>
  <c r="T773" i="2"/>
  <c r="P773" i="2"/>
  <c r="T772" i="2"/>
  <c r="P772" i="2"/>
  <c r="T771" i="2"/>
  <c r="S771" i="2"/>
  <c r="P771" i="2"/>
  <c r="T770" i="2"/>
  <c r="P770" i="2"/>
  <c r="V769" i="2"/>
  <c r="U769" i="2"/>
  <c r="T769" i="2"/>
  <c r="S769" i="2"/>
  <c r="T768" i="2"/>
  <c r="P768" i="2"/>
  <c r="T767" i="2"/>
  <c r="P767" i="2"/>
  <c r="T766" i="2"/>
  <c r="P766" i="2"/>
  <c r="T765" i="2"/>
  <c r="P765" i="2"/>
  <c r="T764" i="2"/>
  <c r="P764" i="2"/>
  <c r="T763" i="2"/>
  <c r="P763" i="2"/>
  <c r="T762" i="2"/>
  <c r="P762" i="2"/>
  <c r="T761" i="2"/>
  <c r="P761" i="2"/>
  <c r="T760" i="2"/>
  <c r="P760" i="2"/>
  <c r="T759" i="2"/>
  <c r="P759" i="2"/>
  <c r="V758" i="2"/>
  <c r="U758" i="2"/>
  <c r="T758" i="2"/>
  <c r="S758" i="2"/>
  <c r="V757" i="2"/>
  <c r="U757" i="2"/>
  <c r="T757" i="2"/>
  <c r="S757" i="2"/>
  <c r="T756" i="2"/>
  <c r="R756" i="2"/>
  <c r="T755" i="2"/>
  <c r="P755" i="2"/>
  <c r="V754" i="2"/>
  <c r="U754" i="2"/>
  <c r="T754" i="2"/>
  <c r="S754" i="2"/>
  <c r="V753" i="2"/>
  <c r="U753" i="2"/>
  <c r="T753" i="2"/>
  <c r="S753" i="2"/>
  <c r="V752" i="2"/>
  <c r="U752" i="2"/>
  <c r="T752" i="2"/>
  <c r="S752" i="2"/>
  <c r="V751" i="2"/>
  <c r="U751" i="2"/>
  <c r="T751" i="2"/>
  <c r="S751" i="2"/>
  <c r="T750" i="2"/>
  <c r="P750" i="2"/>
  <c r="T749" i="2"/>
  <c r="P749" i="2"/>
  <c r="V748" i="2"/>
  <c r="U748" i="2"/>
  <c r="T748" i="2"/>
  <c r="S748" i="2"/>
  <c r="V747" i="2"/>
  <c r="U747" i="2"/>
  <c r="T747" i="2"/>
  <c r="S747" i="2"/>
  <c r="V746" i="2"/>
  <c r="U746" i="2"/>
  <c r="T746" i="2"/>
  <c r="S746" i="2"/>
  <c r="V745" i="2"/>
  <c r="U745" i="2"/>
  <c r="T745" i="2"/>
  <c r="S745" i="2"/>
  <c r="T744" i="2"/>
  <c r="V743" i="2"/>
  <c r="U743" i="2"/>
  <c r="T743" i="2"/>
  <c r="S743" i="2"/>
  <c r="V742" i="2"/>
  <c r="U742" i="2"/>
  <c r="T742" i="2"/>
  <c r="S742" i="2"/>
  <c r="T741" i="2"/>
  <c r="R741" i="2"/>
  <c r="T740" i="2"/>
  <c r="T739" i="2"/>
  <c r="P739" i="2"/>
  <c r="T738" i="2"/>
  <c r="R738" i="2"/>
  <c r="T737" i="2"/>
  <c r="P737" i="2"/>
  <c r="T736" i="2"/>
  <c r="P736" i="2"/>
  <c r="V735" i="2"/>
  <c r="U735" i="2"/>
  <c r="T735" i="2"/>
  <c r="S735" i="2"/>
  <c r="A735" i="2"/>
  <c r="X735" i="2" s="1"/>
  <c r="A736" i="2" s="1"/>
  <c r="T732" i="2"/>
  <c r="P732" i="2"/>
  <c r="T731" i="2"/>
  <c r="P731" i="2"/>
  <c r="T730" i="2"/>
  <c r="P730" i="2"/>
  <c r="T729" i="2"/>
  <c r="P729" i="2"/>
  <c r="T728" i="2"/>
  <c r="P728" i="2"/>
  <c r="T727" i="2"/>
  <c r="P727" i="2"/>
  <c r="T726" i="2"/>
  <c r="P726" i="2"/>
  <c r="U726" i="2" s="1"/>
  <c r="V726" i="2" s="1"/>
  <c r="T725" i="2"/>
  <c r="P725" i="2"/>
  <c r="T724" i="2"/>
  <c r="P724" i="2"/>
  <c r="T723" i="2"/>
  <c r="P723" i="2"/>
  <c r="T722" i="2"/>
  <c r="R722" i="2"/>
  <c r="P722" i="2"/>
  <c r="T721" i="2"/>
  <c r="S721" i="2"/>
  <c r="P721" i="2"/>
  <c r="T720" i="2"/>
  <c r="S720" i="2"/>
  <c r="P720" i="2"/>
  <c r="T719" i="2"/>
  <c r="P719" i="2"/>
  <c r="T718" i="2"/>
  <c r="P718" i="2"/>
  <c r="T717" i="2"/>
  <c r="P717" i="2"/>
  <c r="T716" i="2"/>
  <c r="P716" i="2"/>
  <c r="T715" i="2"/>
  <c r="P715" i="2"/>
  <c r="T714" i="2"/>
  <c r="P714" i="2"/>
  <c r="T713" i="2"/>
  <c r="P713" i="2"/>
  <c r="V712" i="2"/>
  <c r="U712" i="2"/>
  <c r="T712" i="2"/>
  <c r="S712" i="2"/>
  <c r="T711" i="2"/>
  <c r="P711" i="2"/>
  <c r="T710" i="2"/>
  <c r="P710" i="2"/>
  <c r="T709" i="2"/>
  <c r="P709" i="2"/>
  <c r="T708" i="2"/>
  <c r="P708" i="2"/>
  <c r="U707" i="2"/>
  <c r="T707" i="2"/>
  <c r="P707" i="2"/>
  <c r="T706" i="2"/>
  <c r="N706" i="2"/>
  <c r="P706" i="2" s="1"/>
  <c r="T705" i="2"/>
  <c r="P705" i="2"/>
  <c r="T704" i="2"/>
  <c r="P704" i="2"/>
  <c r="T703" i="2"/>
  <c r="P703" i="2"/>
  <c r="T702" i="2"/>
  <c r="P702" i="2"/>
  <c r="T701" i="2"/>
  <c r="P701" i="2"/>
  <c r="T700" i="2"/>
  <c r="P700" i="2"/>
  <c r="T699" i="2"/>
  <c r="P699" i="2"/>
  <c r="T698" i="2"/>
  <c r="P698" i="2"/>
  <c r="T697" i="2"/>
  <c r="P697" i="2"/>
  <c r="T696" i="2"/>
  <c r="P696" i="2"/>
  <c r="T695" i="2"/>
  <c r="P695" i="2"/>
  <c r="T694" i="2"/>
  <c r="P694" i="2"/>
  <c r="T693" i="2"/>
  <c r="P693" i="2"/>
  <c r="T692" i="2"/>
  <c r="P692" i="2"/>
  <c r="T691" i="2"/>
  <c r="P691" i="2"/>
  <c r="T690" i="2"/>
  <c r="P690" i="2"/>
  <c r="T689" i="2"/>
  <c r="P689" i="2"/>
  <c r="T688" i="2"/>
  <c r="P688" i="2"/>
  <c r="T687" i="2"/>
  <c r="N687" i="2"/>
  <c r="P687" i="2" s="1"/>
  <c r="T686" i="2"/>
  <c r="P686" i="2"/>
  <c r="T685" i="2"/>
  <c r="P685" i="2"/>
  <c r="T684" i="2"/>
  <c r="P684" i="2"/>
  <c r="T683" i="2"/>
  <c r="P683" i="2"/>
  <c r="T682" i="2"/>
  <c r="P682" i="2"/>
  <c r="T681" i="2"/>
  <c r="P681" i="2"/>
  <c r="T680" i="2"/>
  <c r="P680" i="2"/>
  <c r="T679" i="2"/>
  <c r="P679" i="2"/>
  <c r="T678" i="2"/>
  <c r="P678" i="2"/>
  <c r="T677" i="2"/>
  <c r="P677" i="2"/>
  <c r="T676" i="2"/>
  <c r="P676" i="2"/>
  <c r="T675" i="2"/>
  <c r="P675" i="2"/>
  <c r="T674" i="2"/>
  <c r="P674" i="2"/>
  <c r="T673" i="2"/>
  <c r="P673" i="2"/>
  <c r="T672" i="2"/>
  <c r="P672" i="2"/>
  <c r="T671" i="2"/>
  <c r="P671" i="2"/>
  <c r="T670" i="2"/>
  <c r="P670" i="2"/>
  <c r="T669" i="2"/>
  <c r="P669" i="2"/>
  <c r="T668" i="2"/>
  <c r="S668" i="2"/>
  <c r="P668" i="2"/>
  <c r="T667" i="2"/>
  <c r="P667" i="2"/>
  <c r="T666" i="2"/>
  <c r="P666" i="2"/>
  <c r="T665" i="2"/>
  <c r="P665" i="2"/>
  <c r="T664" i="2"/>
  <c r="P664" i="2"/>
  <c r="E664" i="2"/>
  <c r="T663" i="2"/>
  <c r="P663" i="2"/>
  <c r="E663" i="2"/>
  <c r="T662" i="2"/>
  <c r="P662" i="2"/>
  <c r="T661" i="2"/>
  <c r="P661" i="2"/>
  <c r="T660" i="2"/>
  <c r="P660" i="2"/>
  <c r="T659" i="2"/>
  <c r="P659" i="2"/>
  <c r="T658" i="2"/>
  <c r="P658" i="2"/>
  <c r="V657" i="2"/>
  <c r="U657" i="2"/>
  <c r="T657" i="2"/>
  <c r="T656" i="2"/>
  <c r="P656" i="2"/>
  <c r="T655" i="2"/>
  <c r="P655" i="2"/>
  <c r="T654" i="2"/>
  <c r="P654" i="2"/>
  <c r="T653" i="2"/>
  <c r="P653" i="2"/>
  <c r="T652" i="2"/>
  <c r="P652" i="2"/>
  <c r="V651" i="2"/>
  <c r="U651" i="2"/>
  <c r="T651" i="2"/>
  <c r="S651" i="2"/>
  <c r="V650" i="2"/>
  <c r="U650" i="2"/>
  <c r="T650" i="2"/>
  <c r="S650" i="2"/>
  <c r="V649" i="2"/>
  <c r="U649" i="2"/>
  <c r="T649" i="2"/>
  <c r="S649" i="2"/>
  <c r="T648" i="2"/>
  <c r="R648" i="2"/>
  <c r="T647" i="2"/>
  <c r="P647" i="2"/>
  <c r="T646" i="2"/>
  <c r="P646" i="2"/>
  <c r="V645" i="2"/>
  <c r="U645" i="2"/>
  <c r="T645" i="2"/>
  <c r="S645" i="2"/>
  <c r="V644" i="2"/>
  <c r="U644" i="2"/>
  <c r="T644" i="2"/>
  <c r="S644" i="2"/>
  <c r="V643" i="2"/>
  <c r="U643" i="2"/>
  <c r="T643" i="2"/>
  <c r="S643" i="2"/>
  <c r="T642" i="2"/>
  <c r="R642" i="2"/>
  <c r="A642" i="2"/>
  <c r="T639" i="2"/>
  <c r="P639" i="2"/>
  <c r="T638" i="2"/>
  <c r="P638" i="2"/>
  <c r="T637" i="2"/>
  <c r="P637" i="2"/>
  <c r="T636" i="2"/>
  <c r="P636" i="2"/>
  <c r="T635" i="2"/>
  <c r="P635" i="2"/>
  <c r="T634" i="2"/>
  <c r="P634" i="2"/>
  <c r="T633" i="2"/>
  <c r="P633" i="2"/>
  <c r="T632" i="2"/>
  <c r="N632" i="2"/>
  <c r="P632" i="2" s="1"/>
  <c r="T631" i="2"/>
  <c r="P631" i="2"/>
  <c r="T630" i="2"/>
  <c r="P630" i="2"/>
  <c r="T629" i="2"/>
  <c r="P629" i="2"/>
  <c r="T628" i="2"/>
  <c r="P628" i="2"/>
  <c r="T627" i="2"/>
  <c r="P627" i="2"/>
  <c r="T626" i="2"/>
  <c r="P626" i="2"/>
  <c r="T625" i="2"/>
  <c r="P625" i="2"/>
  <c r="T624" i="2"/>
  <c r="P624" i="2"/>
  <c r="T623" i="2"/>
  <c r="P623" i="2"/>
  <c r="T622" i="2"/>
  <c r="P622" i="2"/>
  <c r="T621" i="2"/>
  <c r="P621" i="2"/>
  <c r="T620" i="2"/>
  <c r="P620" i="2"/>
  <c r="T619" i="2"/>
  <c r="N619" i="2"/>
  <c r="P619" i="2" s="1"/>
  <c r="T618" i="2"/>
  <c r="P618" i="2"/>
  <c r="T617" i="2"/>
  <c r="P617" i="2"/>
  <c r="T616" i="2"/>
  <c r="P616" i="2"/>
  <c r="T615" i="2"/>
  <c r="P615" i="2"/>
  <c r="T614" i="2"/>
  <c r="P614" i="2"/>
  <c r="T613" i="2"/>
  <c r="P613" i="2"/>
  <c r="T612" i="2"/>
  <c r="P612" i="2"/>
  <c r="T611" i="2"/>
  <c r="P611" i="2"/>
  <c r="T610" i="2"/>
  <c r="P610" i="2"/>
  <c r="T609" i="2"/>
  <c r="N609" i="2"/>
  <c r="P609" i="2" s="1"/>
  <c r="T608" i="2"/>
  <c r="P608" i="2"/>
  <c r="T607" i="2"/>
  <c r="N607" i="2"/>
  <c r="P607" i="2" s="1"/>
  <c r="T606" i="2"/>
  <c r="P606" i="2"/>
  <c r="T605" i="2"/>
  <c r="P605" i="2"/>
  <c r="T604" i="2"/>
  <c r="P604" i="2"/>
  <c r="T603" i="2"/>
  <c r="P603" i="2"/>
  <c r="T602" i="2"/>
  <c r="P602" i="2"/>
  <c r="T601" i="2"/>
  <c r="P601" i="2"/>
  <c r="V600" i="2"/>
  <c r="U600" i="2"/>
  <c r="T600" i="2"/>
  <c r="S600" i="2"/>
  <c r="P600" i="2"/>
  <c r="T599" i="2"/>
  <c r="N599" i="2"/>
  <c r="P599" i="2" s="1"/>
  <c r="T598" i="2"/>
  <c r="P598" i="2"/>
  <c r="T597" i="2"/>
  <c r="P597" i="2"/>
  <c r="T596" i="2"/>
  <c r="P596" i="2"/>
  <c r="T595" i="2"/>
  <c r="P595" i="2"/>
  <c r="T594" i="2"/>
  <c r="P594" i="2"/>
  <c r="T593" i="2"/>
  <c r="P593" i="2"/>
  <c r="T592" i="2"/>
  <c r="P592" i="2"/>
  <c r="T591" i="2"/>
  <c r="P591" i="2"/>
  <c r="T590" i="2"/>
  <c r="P590" i="2"/>
  <c r="T589" i="2"/>
  <c r="P589" i="2"/>
  <c r="T588" i="2"/>
  <c r="P588" i="2"/>
  <c r="T587" i="2"/>
  <c r="P587" i="2"/>
  <c r="T586" i="2"/>
  <c r="S586" i="2"/>
  <c r="P586" i="2"/>
  <c r="T585" i="2"/>
  <c r="P585" i="2"/>
  <c r="T584" i="2"/>
  <c r="P584" i="2"/>
  <c r="T583" i="2"/>
  <c r="P583" i="2"/>
  <c r="T582" i="2"/>
  <c r="S582" i="2"/>
  <c r="P582" i="2"/>
  <c r="T581" i="2"/>
  <c r="P581" i="2"/>
  <c r="T580" i="2"/>
  <c r="N580" i="2"/>
  <c r="P580" i="2" s="1"/>
  <c r="T579" i="2"/>
  <c r="P579" i="2"/>
  <c r="T578" i="2"/>
  <c r="S578" i="2"/>
  <c r="P578" i="2"/>
  <c r="T577" i="2"/>
  <c r="P577" i="2"/>
  <c r="T576" i="2"/>
  <c r="P576" i="2"/>
  <c r="T575" i="2"/>
  <c r="P575" i="2"/>
  <c r="T574" i="2"/>
  <c r="P574" i="2"/>
  <c r="T573" i="2"/>
  <c r="P573" i="2"/>
  <c r="T572" i="2"/>
  <c r="P572" i="2"/>
  <c r="T571" i="2"/>
  <c r="P571" i="2"/>
  <c r="T570" i="2"/>
  <c r="P570" i="2"/>
  <c r="T569" i="2"/>
  <c r="P569" i="2"/>
  <c r="T568" i="2"/>
  <c r="P568" i="2"/>
  <c r="V567" i="2"/>
  <c r="T567" i="2"/>
  <c r="P567" i="2"/>
  <c r="T566" i="2"/>
  <c r="P566" i="2"/>
  <c r="T565" i="2"/>
  <c r="S565" i="2"/>
  <c r="P565" i="2"/>
  <c r="T564" i="2"/>
  <c r="P564" i="2"/>
  <c r="T563" i="2"/>
  <c r="P563" i="2"/>
  <c r="T562" i="2"/>
  <c r="P562" i="2"/>
  <c r="T561" i="2"/>
  <c r="P561" i="2"/>
  <c r="T560" i="2"/>
  <c r="S560" i="2"/>
  <c r="P560" i="2"/>
  <c r="T559" i="2"/>
  <c r="P559" i="2"/>
  <c r="T558" i="2"/>
  <c r="P558" i="2"/>
  <c r="T557" i="2"/>
  <c r="P557" i="2"/>
  <c r="T556" i="2"/>
  <c r="P556" i="2"/>
  <c r="T555" i="2"/>
  <c r="P555" i="2"/>
  <c r="T554" i="2"/>
  <c r="P554" i="2"/>
  <c r="T553" i="2"/>
  <c r="P553" i="2"/>
  <c r="T552" i="2"/>
  <c r="P552" i="2"/>
  <c r="T551" i="2"/>
  <c r="P551" i="2"/>
  <c r="T550" i="2"/>
  <c r="P550" i="2"/>
  <c r="T549" i="2"/>
  <c r="P549" i="2"/>
  <c r="T548" i="2"/>
  <c r="P548" i="2"/>
  <c r="T547" i="2"/>
  <c r="P547" i="2"/>
  <c r="T546" i="2"/>
  <c r="P546" i="2"/>
  <c r="T545" i="2"/>
  <c r="P545" i="2"/>
  <c r="T544" i="2"/>
  <c r="P544" i="2"/>
  <c r="T543" i="2"/>
  <c r="P543" i="2"/>
  <c r="T542" i="2"/>
  <c r="P542" i="2"/>
  <c r="T541" i="2"/>
  <c r="P541" i="2"/>
  <c r="T540" i="2"/>
  <c r="P540" i="2"/>
  <c r="T539" i="2"/>
  <c r="P539" i="2"/>
  <c r="T538" i="2"/>
  <c r="P538" i="2"/>
  <c r="T537" i="2"/>
  <c r="N537" i="2"/>
  <c r="P537" i="2" s="1"/>
  <c r="T536" i="2"/>
  <c r="P536" i="2"/>
  <c r="T535" i="2"/>
  <c r="P535" i="2"/>
  <c r="T534" i="2"/>
  <c r="N534" i="2"/>
  <c r="P534" i="2" s="1"/>
  <c r="T533" i="2"/>
  <c r="P533" i="2"/>
  <c r="T532" i="2"/>
  <c r="P532" i="2"/>
  <c r="T531" i="2"/>
  <c r="P531" i="2"/>
  <c r="T530" i="2"/>
  <c r="P530" i="2"/>
  <c r="T529" i="2"/>
  <c r="P529" i="2"/>
  <c r="T528" i="2"/>
  <c r="P528" i="2"/>
  <c r="T527" i="2"/>
  <c r="P527" i="2"/>
  <c r="T526" i="2"/>
  <c r="P526" i="2"/>
  <c r="T525" i="2"/>
  <c r="P525" i="2"/>
  <c r="T524" i="2"/>
  <c r="P524" i="2"/>
  <c r="T522" i="2"/>
  <c r="P522" i="2"/>
  <c r="T521" i="2"/>
  <c r="S521" i="2"/>
  <c r="P521" i="2"/>
  <c r="E521" i="2"/>
  <c r="T520" i="2"/>
  <c r="P520" i="2"/>
  <c r="T519" i="2"/>
  <c r="P519" i="2"/>
  <c r="E519" i="2"/>
  <c r="T518" i="2"/>
  <c r="P518" i="2"/>
  <c r="T517" i="2"/>
  <c r="P517" i="2"/>
  <c r="T516" i="2"/>
  <c r="P516" i="2"/>
  <c r="V515" i="2"/>
  <c r="U515" i="2"/>
  <c r="T515" i="2"/>
  <c r="S515" i="2"/>
  <c r="V514" i="2"/>
  <c r="U514" i="2"/>
  <c r="T514" i="2"/>
  <c r="S514" i="2"/>
  <c r="V513" i="2"/>
  <c r="U513" i="2"/>
  <c r="T513" i="2"/>
  <c r="S513" i="2"/>
  <c r="V512" i="2"/>
  <c r="U512" i="2"/>
  <c r="T512" i="2"/>
  <c r="S512" i="2"/>
  <c r="T511" i="2"/>
  <c r="P511" i="2"/>
  <c r="T510" i="2"/>
  <c r="P510" i="2"/>
  <c r="V509" i="2"/>
  <c r="U509" i="2"/>
  <c r="T509" i="2"/>
  <c r="S509" i="2"/>
  <c r="T508" i="2"/>
  <c r="V507" i="2"/>
  <c r="U507" i="2"/>
  <c r="T507" i="2"/>
  <c r="S507" i="2"/>
  <c r="T506" i="2"/>
  <c r="P506" i="2"/>
  <c r="T505" i="2"/>
  <c r="P505" i="2"/>
  <c r="V504" i="2"/>
  <c r="U504" i="2"/>
  <c r="T504" i="2"/>
  <c r="S504" i="2"/>
  <c r="V503" i="2"/>
  <c r="U503" i="2"/>
  <c r="T503" i="2"/>
  <c r="S503" i="2"/>
  <c r="T502" i="2"/>
  <c r="P502" i="2"/>
  <c r="V501" i="2"/>
  <c r="U501" i="2"/>
  <c r="T501" i="2"/>
  <c r="S501" i="2"/>
  <c r="T500" i="2"/>
  <c r="P500" i="2"/>
  <c r="V499" i="2"/>
  <c r="U499" i="2"/>
  <c r="T499" i="2"/>
  <c r="S499" i="2"/>
  <c r="T498" i="2"/>
  <c r="P498" i="2"/>
  <c r="V497" i="2"/>
  <c r="U497" i="2"/>
  <c r="T497" i="2"/>
  <c r="S497" i="2"/>
  <c r="T496" i="2"/>
  <c r="P496" i="2"/>
  <c r="T495" i="2"/>
  <c r="P495" i="2"/>
  <c r="A495" i="2"/>
  <c r="X495" i="2" s="1"/>
  <c r="A496" i="2" s="1"/>
  <c r="X496" i="2" s="1"/>
  <c r="A497" i="2" s="1"/>
  <c r="X497" i="2" s="1"/>
  <c r="A498" i="2" s="1"/>
  <c r="T492" i="2"/>
  <c r="P492" i="2"/>
  <c r="T491" i="2"/>
  <c r="P491" i="2"/>
  <c r="T490" i="2"/>
  <c r="P490" i="2"/>
  <c r="T489" i="2"/>
  <c r="P489" i="2"/>
  <c r="T488" i="2"/>
  <c r="P488" i="2"/>
  <c r="T487" i="2"/>
  <c r="N487" i="2"/>
  <c r="P487" i="2" s="1"/>
  <c r="T486" i="2"/>
  <c r="P486" i="2"/>
  <c r="T485" i="2"/>
  <c r="P485" i="2"/>
  <c r="T484" i="2"/>
  <c r="P484" i="2"/>
  <c r="T483" i="2"/>
  <c r="P483" i="2"/>
  <c r="T482" i="2"/>
  <c r="P482" i="2"/>
  <c r="T481" i="2"/>
  <c r="P481" i="2"/>
  <c r="T480" i="2"/>
  <c r="P480" i="2"/>
  <c r="V479" i="2"/>
  <c r="T479" i="2"/>
  <c r="P479" i="2"/>
  <c r="T478" i="2"/>
  <c r="P478" i="2"/>
  <c r="T477" i="2"/>
  <c r="P477" i="2"/>
  <c r="T476" i="2"/>
  <c r="P476" i="2"/>
  <c r="T475" i="2"/>
  <c r="P475" i="2"/>
  <c r="T474" i="2"/>
  <c r="N474" i="2"/>
  <c r="P474" i="2" s="1"/>
  <c r="T473" i="2"/>
  <c r="P473" i="2"/>
  <c r="T472" i="2"/>
  <c r="P472" i="2"/>
  <c r="T471" i="2"/>
  <c r="P471" i="2"/>
  <c r="T470" i="2"/>
  <c r="P470" i="2"/>
  <c r="T469" i="2"/>
  <c r="P469" i="2"/>
  <c r="T468" i="2"/>
  <c r="P468" i="2"/>
  <c r="T467" i="2"/>
  <c r="P467" i="2"/>
  <c r="T466" i="2"/>
  <c r="P466" i="2"/>
  <c r="T465" i="2"/>
  <c r="P465" i="2"/>
  <c r="T464" i="2"/>
  <c r="P464" i="2"/>
  <c r="T463" i="2"/>
  <c r="P463" i="2"/>
  <c r="T462" i="2"/>
  <c r="P462" i="2"/>
  <c r="T461" i="2"/>
  <c r="P461" i="2"/>
  <c r="T460" i="2"/>
  <c r="P460" i="2"/>
  <c r="T459" i="2"/>
  <c r="P459" i="2"/>
  <c r="T458" i="2"/>
  <c r="P458" i="2"/>
  <c r="T457" i="2"/>
  <c r="P457" i="2"/>
  <c r="T456" i="2"/>
  <c r="P456" i="2"/>
  <c r="T455" i="2"/>
  <c r="N455" i="2"/>
  <c r="P455" i="2" s="1"/>
  <c r="T454" i="2"/>
  <c r="P454" i="2"/>
  <c r="T453" i="2"/>
  <c r="P453" i="2"/>
  <c r="T452" i="2"/>
  <c r="P452" i="2"/>
  <c r="T451" i="2"/>
  <c r="P451" i="2"/>
  <c r="T450" i="2"/>
  <c r="P450" i="2"/>
  <c r="T449" i="2"/>
  <c r="P449" i="2"/>
  <c r="T448" i="2"/>
  <c r="P448" i="2"/>
  <c r="T447" i="2"/>
  <c r="P447" i="2"/>
  <c r="T446" i="2"/>
  <c r="P446" i="2"/>
  <c r="T445" i="2"/>
  <c r="P445" i="2"/>
  <c r="T444" i="2"/>
  <c r="P444" i="2"/>
  <c r="T443" i="2"/>
  <c r="P443" i="2"/>
  <c r="T442" i="2"/>
  <c r="P442" i="2"/>
  <c r="T441" i="2"/>
  <c r="P441" i="2"/>
  <c r="T440" i="2"/>
  <c r="P440" i="2"/>
  <c r="T439" i="2"/>
  <c r="P439" i="2"/>
  <c r="T438" i="2"/>
  <c r="P438" i="2"/>
  <c r="T437" i="2"/>
  <c r="P437" i="2"/>
  <c r="T436" i="2"/>
  <c r="P436" i="2"/>
  <c r="T435" i="2"/>
  <c r="P435" i="2"/>
  <c r="T434" i="2"/>
  <c r="P434" i="2"/>
  <c r="T433" i="2"/>
  <c r="P433" i="2"/>
  <c r="T432" i="2"/>
  <c r="P432" i="2"/>
  <c r="T431" i="2"/>
  <c r="P431" i="2"/>
  <c r="T430" i="2"/>
  <c r="P430" i="2"/>
  <c r="T429" i="2"/>
  <c r="P429" i="2"/>
  <c r="T428" i="2"/>
  <c r="P428" i="2"/>
  <c r="T427" i="2"/>
  <c r="P427" i="2"/>
  <c r="T426" i="2"/>
  <c r="P426" i="2"/>
  <c r="T425" i="2"/>
  <c r="P425" i="2"/>
  <c r="T424" i="2"/>
  <c r="P424" i="2"/>
  <c r="T423" i="2"/>
  <c r="P423" i="2"/>
  <c r="T422" i="2"/>
  <c r="P422" i="2"/>
  <c r="T421" i="2"/>
  <c r="P421" i="2"/>
  <c r="T420" i="2"/>
  <c r="P420" i="2"/>
  <c r="T419" i="2"/>
  <c r="P419" i="2"/>
  <c r="T418" i="2"/>
  <c r="P418" i="2"/>
  <c r="T417" i="2"/>
  <c r="P417" i="2"/>
  <c r="T416" i="2"/>
  <c r="P416" i="2"/>
  <c r="T415" i="2"/>
  <c r="P415" i="2"/>
  <c r="T414" i="2"/>
  <c r="P414" i="2"/>
  <c r="T413" i="2"/>
  <c r="P413" i="2"/>
  <c r="T412" i="2"/>
  <c r="P412" i="2"/>
  <c r="T411" i="2"/>
  <c r="P411" i="2"/>
  <c r="V410" i="2"/>
  <c r="U410" i="2"/>
  <c r="T410" i="2"/>
  <c r="S410" i="2"/>
  <c r="T409" i="2"/>
  <c r="P409" i="2"/>
  <c r="T408" i="2"/>
  <c r="P408" i="2"/>
  <c r="T407" i="2"/>
  <c r="P407" i="2"/>
  <c r="T406" i="2"/>
  <c r="P406" i="2"/>
  <c r="T405" i="2"/>
  <c r="P405" i="2"/>
  <c r="T404" i="2"/>
  <c r="P404" i="2"/>
  <c r="T403" i="2"/>
  <c r="P403" i="2"/>
  <c r="T402" i="2"/>
  <c r="P402" i="2"/>
  <c r="T401" i="2"/>
  <c r="P401" i="2"/>
  <c r="V400" i="2"/>
  <c r="U400" i="2"/>
  <c r="T400" i="2"/>
  <c r="S400" i="2"/>
  <c r="T399" i="2"/>
  <c r="P399" i="2"/>
  <c r="T398" i="2"/>
  <c r="P398" i="2"/>
  <c r="T397" i="2"/>
  <c r="P397" i="2"/>
  <c r="T396" i="2"/>
  <c r="P396" i="2"/>
  <c r="T395" i="2"/>
  <c r="P395" i="2"/>
  <c r="T394" i="2"/>
  <c r="P394" i="2"/>
  <c r="V393" i="2"/>
  <c r="U393" i="2"/>
  <c r="T393" i="2"/>
  <c r="S393" i="2"/>
  <c r="V392" i="2"/>
  <c r="U392" i="2"/>
  <c r="T392" i="2"/>
  <c r="S392" i="2"/>
  <c r="T391" i="2"/>
  <c r="P391" i="2"/>
  <c r="T390" i="2"/>
  <c r="P390" i="2"/>
  <c r="T389" i="2"/>
  <c r="P389" i="2"/>
  <c r="T388" i="2"/>
  <c r="P388" i="2"/>
  <c r="T387" i="2"/>
  <c r="P387" i="2"/>
  <c r="T386" i="2"/>
  <c r="P386" i="2"/>
  <c r="T385" i="2"/>
  <c r="P385" i="2"/>
  <c r="V384" i="2"/>
  <c r="U384" i="2"/>
  <c r="T384" i="2"/>
  <c r="S384" i="2"/>
  <c r="V383" i="2"/>
  <c r="U383" i="2"/>
  <c r="T383" i="2"/>
  <c r="S383" i="2"/>
  <c r="V382" i="2"/>
  <c r="U382" i="2"/>
  <c r="T382" i="2"/>
  <c r="S382" i="2"/>
  <c r="T381" i="2"/>
  <c r="R381" i="2"/>
  <c r="T380" i="2"/>
  <c r="P380" i="2"/>
  <c r="A380" i="2"/>
  <c r="T377" i="2"/>
  <c r="P377" i="2"/>
  <c r="T376" i="2"/>
  <c r="P376" i="2"/>
  <c r="T375" i="2"/>
  <c r="P375" i="2"/>
  <c r="T374" i="2"/>
  <c r="P374" i="2"/>
  <c r="T373" i="2"/>
  <c r="N373" i="2"/>
  <c r="P373" i="2" s="1"/>
  <c r="T372" i="2"/>
  <c r="P372" i="2"/>
  <c r="T371" i="2"/>
  <c r="N371" i="2"/>
  <c r="P371" i="2" s="1"/>
  <c r="T370" i="2"/>
  <c r="P370" i="2"/>
  <c r="T369" i="2"/>
  <c r="N369" i="2"/>
  <c r="P369" i="2" s="1"/>
  <c r="T368" i="2"/>
  <c r="P368" i="2"/>
  <c r="T367" i="2"/>
  <c r="P367" i="2"/>
  <c r="T366" i="2"/>
  <c r="P366" i="2"/>
  <c r="T365" i="2"/>
  <c r="P365" i="2"/>
  <c r="T364" i="2"/>
  <c r="N364" i="2"/>
  <c r="P364" i="2" s="1"/>
  <c r="T363" i="2"/>
  <c r="P363" i="2"/>
  <c r="T362" i="2"/>
  <c r="P362" i="2"/>
  <c r="T361" i="2"/>
  <c r="N361" i="2"/>
  <c r="P361" i="2" s="1"/>
  <c r="T360" i="2"/>
  <c r="N360" i="2"/>
  <c r="P360" i="2" s="1"/>
  <c r="T359" i="2"/>
  <c r="P359" i="2"/>
  <c r="T358" i="2"/>
  <c r="P358" i="2"/>
  <c r="T357" i="2"/>
  <c r="N357" i="2"/>
  <c r="P357" i="2" s="1"/>
  <c r="T356" i="2"/>
  <c r="P356" i="2"/>
  <c r="T355" i="2"/>
  <c r="P355" i="2"/>
  <c r="T354" i="2"/>
  <c r="P354" i="2"/>
  <c r="T353" i="2"/>
  <c r="P353" i="2"/>
  <c r="T352" i="2"/>
  <c r="P352" i="2"/>
  <c r="T351" i="2"/>
  <c r="P351" i="2"/>
  <c r="T350" i="2"/>
  <c r="P350" i="2"/>
  <c r="T349" i="2"/>
  <c r="P349" i="2"/>
  <c r="T348" i="2"/>
  <c r="P348" i="2"/>
  <c r="T347" i="2"/>
  <c r="P347" i="2"/>
  <c r="T346" i="2"/>
  <c r="P346" i="2"/>
  <c r="T345" i="2"/>
  <c r="P345" i="2"/>
  <c r="T344" i="2"/>
  <c r="P344" i="2"/>
  <c r="T343" i="2"/>
  <c r="P343" i="2"/>
  <c r="T342" i="2"/>
  <c r="N342" i="2"/>
  <c r="P342" i="2" s="1"/>
  <c r="T341" i="2"/>
  <c r="N341" i="2"/>
  <c r="P341" i="2" s="1"/>
  <c r="T340" i="2"/>
  <c r="P340" i="2"/>
  <c r="T339" i="2"/>
  <c r="P339" i="2"/>
  <c r="T338" i="2"/>
  <c r="N338" i="2"/>
  <c r="P338" i="2" s="1"/>
  <c r="T337" i="2"/>
  <c r="P337" i="2"/>
  <c r="T336" i="2"/>
  <c r="P336" i="2"/>
  <c r="T335" i="2"/>
  <c r="N335" i="2"/>
  <c r="P335" i="2" s="1"/>
  <c r="T334" i="2"/>
  <c r="N334" i="2"/>
  <c r="P334" i="2" s="1"/>
  <c r="T333" i="2"/>
  <c r="P333" i="2"/>
  <c r="T332" i="2"/>
  <c r="P332" i="2"/>
  <c r="T331" i="2"/>
  <c r="P331" i="2"/>
  <c r="T330" i="2"/>
  <c r="P330" i="2"/>
  <c r="T329" i="2"/>
  <c r="P329" i="2"/>
  <c r="T328" i="2"/>
  <c r="P328" i="2"/>
  <c r="T327" i="2"/>
  <c r="P327" i="2"/>
  <c r="T326" i="2"/>
  <c r="P326" i="2"/>
  <c r="T325" i="2"/>
  <c r="P325" i="2"/>
  <c r="T324" i="2"/>
  <c r="P324" i="2"/>
  <c r="T323" i="2"/>
  <c r="P323" i="2"/>
  <c r="T322" i="2"/>
  <c r="P322" i="2"/>
  <c r="T321" i="2"/>
  <c r="P321" i="2"/>
  <c r="T320" i="2"/>
  <c r="P320" i="2"/>
  <c r="T319" i="2"/>
  <c r="P319" i="2"/>
  <c r="T318" i="2"/>
  <c r="P318" i="2"/>
  <c r="T317" i="2"/>
  <c r="P317" i="2"/>
  <c r="T316" i="2"/>
  <c r="P316" i="2"/>
  <c r="T315" i="2"/>
  <c r="P315" i="2"/>
  <c r="T314" i="2"/>
  <c r="P314" i="2"/>
  <c r="T313" i="2"/>
  <c r="P313" i="2"/>
  <c r="T312" i="2"/>
  <c r="P312" i="2"/>
  <c r="T311" i="2"/>
  <c r="P311" i="2"/>
  <c r="T310" i="2"/>
  <c r="P310" i="2"/>
  <c r="T309" i="2"/>
  <c r="P309" i="2"/>
  <c r="T308" i="2"/>
  <c r="P308" i="2"/>
  <c r="T307" i="2"/>
  <c r="P307" i="2"/>
  <c r="T306" i="2"/>
  <c r="P306" i="2"/>
  <c r="T305" i="2"/>
  <c r="P305" i="2"/>
  <c r="T304" i="2"/>
  <c r="P304" i="2"/>
  <c r="T303" i="2"/>
  <c r="P303" i="2"/>
  <c r="T302" i="2"/>
  <c r="P302" i="2"/>
  <c r="T301" i="2"/>
  <c r="P301" i="2"/>
  <c r="T300" i="2"/>
  <c r="P300" i="2"/>
  <c r="T299" i="2"/>
  <c r="P299" i="2"/>
  <c r="T298" i="2"/>
  <c r="P298" i="2"/>
  <c r="T297" i="2"/>
  <c r="P297" i="2"/>
  <c r="T296" i="2"/>
  <c r="P296" i="2"/>
  <c r="T295" i="2"/>
  <c r="P295" i="2"/>
  <c r="T294" i="2"/>
  <c r="P294" i="2"/>
  <c r="T293" i="2"/>
  <c r="P293" i="2"/>
  <c r="T292" i="2"/>
  <c r="P292" i="2"/>
  <c r="T291" i="2"/>
  <c r="P291" i="2"/>
  <c r="T290" i="2"/>
  <c r="P290" i="2"/>
  <c r="T289" i="2"/>
  <c r="P289" i="2"/>
  <c r="T288" i="2"/>
  <c r="P288" i="2"/>
  <c r="V287" i="2"/>
  <c r="U287" i="2"/>
  <c r="T287" i="2"/>
  <c r="S287" i="2"/>
  <c r="T286" i="2"/>
  <c r="P286" i="2"/>
  <c r="V285" i="2"/>
  <c r="U285" i="2"/>
  <c r="T285" i="2"/>
  <c r="S285" i="2"/>
  <c r="T284" i="2"/>
  <c r="P284" i="2"/>
  <c r="V283" i="2"/>
  <c r="U283" i="2"/>
  <c r="T283" i="2"/>
  <c r="S283" i="2"/>
  <c r="V282" i="2"/>
  <c r="U282" i="2"/>
  <c r="T282" i="2"/>
  <c r="S282" i="2"/>
  <c r="T281" i="2"/>
  <c r="P281" i="2"/>
  <c r="V280" i="2"/>
  <c r="U280" i="2"/>
  <c r="T280" i="2"/>
  <c r="S280" i="2"/>
  <c r="T279" i="2"/>
  <c r="R279" i="2"/>
  <c r="P279" i="2"/>
  <c r="T278" i="2"/>
  <c r="P278" i="2"/>
  <c r="V277" i="2"/>
  <c r="U277" i="2"/>
  <c r="T277" i="2"/>
  <c r="S277" i="2"/>
  <c r="T276" i="2"/>
  <c r="P276" i="2"/>
  <c r="V275" i="2"/>
  <c r="U275" i="2"/>
  <c r="T275" i="2"/>
  <c r="S275" i="2"/>
  <c r="V274" i="2"/>
  <c r="U274" i="2"/>
  <c r="T274" i="2"/>
  <c r="S274" i="2"/>
  <c r="T273" i="2"/>
  <c r="P273" i="2"/>
  <c r="V272" i="2"/>
  <c r="U272" i="2"/>
  <c r="T272" i="2"/>
  <c r="S272" i="2"/>
  <c r="V271" i="2"/>
  <c r="U271" i="2"/>
  <c r="T271" i="2"/>
  <c r="S271" i="2"/>
  <c r="A271" i="2"/>
  <c r="X271" i="2" s="1"/>
  <c r="A272" i="2" s="1"/>
  <c r="X272" i="2" s="1"/>
  <c r="A273" i="2" s="1"/>
  <c r="T268" i="2"/>
  <c r="P268" i="2"/>
  <c r="T267" i="2"/>
  <c r="P267" i="2"/>
  <c r="T266" i="2"/>
  <c r="P266" i="2"/>
  <c r="T265" i="2"/>
  <c r="P265" i="2"/>
  <c r="T264" i="2"/>
  <c r="P264" i="2"/>
  <c r="T263" i="2"/>
  <c r="P263" i="2"/>
  <c r="T262" i="2"/>
  <c r="P262" i="2"/>
  <c r="T261" i="2"/>
  <c r="P261" i="2"/>
  <c r="T260" i="2"/>
  <c r="P260" i="2"/>
  <c r="T259" i="2"/>
  <c r="P259" i="2"/>
  <c r="T258" i="2"/>
  <c r="N258" i="2"/>
  <c r="P258" i="2" s="1"/>
  <c r="T257" i="2"/>
  <c r="P257" i="2"/>
  <c r="T256" i="2"/>
  <c r="P256" i="2"/>
  <c r="T255" i="2"/>
  <c r="P255" i="2"/>
  <c r="T254" i="2"/>
  <c r="P254" i="2"/>
  <c r="T253" i="2"/>
  <c r="P253" i="2"/>
  <c r="T252" i="2"/>
  <c r="N252" i="2"/>
  <c r="P252" i="2" s="1"/>
  <c r="T251" i="2"/>
  <c r="P251" i="2"/>
  <c r="T250" i="2"/>
  <c r="P250" i="2"/>
  <c r="T249" i="2"/>
  <c r="P249" i="2"/>
  <c r="T248" i="2"/>
  <c r="P248" i="2"/>
  <c r="T247" i="2"/>
  <c r="P247" i="2"/>
  <c r="T246" i="2"/>
  <c r="N246" i="2"/>
  <c r="P246" i="2" s="1"/>
  <c r="T245" i="2"/>
  <c r="N245" i="2"/>
  <c r="P245" i="2" s="1"/>
  <c r="T244" i="2"/>
  <c r="P244" i="2"/>
  <c r="T243" i="2"/>
  <c r="P243" i="2"/>
  <c r="T242" i="2"/>
  <c r="P242" i="2"/>
  <c r="T241" i="2"/>
  <c r="P241" i="2"/>
  <c r="T240" i="2"/>
  <c r="P240" i="2"/>
  <c r="T239" i="2"/>
  <c r="P239" i="2"/>
  <c r="T238" i="2"/>
  <c r="N238" i="2"/>
  <c r="P238" i="2" s="1"/>
  <c r="T237" i="2"/>
  <c r="N237" i="2"/>
  <c r="P237" i="2" s="1"/>
  <c r="T236" i="2"/>
  <c r="P236" i="2"/>
  <c r="T235" i="2"/>
  <c r="P235" i="2"/>
  <c r="T234" i="2"/>
  <c r="P234" i="2"/>
  <c r="T233" i="2"/>
  <c r="P233" i="2"/>
  <c r="T232" i="2"/>
  <c r="P232" i="2"/>
  <c r="T231" i="2"/>
  <c r="P231" i="2"/>
  <c r="T230" i="2"/>
  <c r="P230" i="2"/>
  <c r="T229" i="2"/>
  <c r="P229" i="2"/>
  <c r="T228" i="2"/>
  <c r="P228" i="2"/>
  <c r="T227" i="2"/>
  <c r="P227" i="2"/>
  <c r="T226" i="2"/>
  <c r="P226" i="2"/>
  <c r="T225" i="2"/>
  <c r="P225" i="2"/>
  <c r="T224" i="2"/>
  <c r="P224" i="2"/>
  <c r="T223" i="2"/>
  <c r="P223" i="2"/>
  <c r="T222" i="2"/>
  <c r="P222" i="2"/>
  <c r="T221" i="2"/>
  <c r="P221" i="2"/>
  <c r="T220" i="2"/>
  <c r="N220" i="2"/>
  <c r="P220" i="2" s="1"/>
  <c r="T219" i="2"/>
  <c r="P219" i="2"/>
  <c r="T218" i="2"/>
  <c r="P218" i="2"/>
  <c r="T217" i="2"/>
  <c r="P217" i="2"/>
  <c r="T216" i="2"/>
  <c r="N216" i="2"/>
  <c r="P216" i="2" s="1"/>
  <c r="T215" i="2"/>
  <c r="N215" i="2"/>
  <c r="P215" i="2" s="1"/>
  <c r="T214" i="2"/>
  <c r="P214" i="2"/>
  <c r="T213" i="2"/>
  <c r="N213" i="2"/>
  <c r="P213" i="2" s="1"/>
  <c r="T212" i="2"/>
  <c r="N212" i="2"/>
  <c r="P212" i="2" s="1"/>
  <c r="T211" i="2"/>
  <c r="P211" i="2"/>
  <c r="T210" i="2"/>
  <c r="P210" i="2"/>
  <c r="T209" i="2"/>
  <c r="P209" i="2"/>
  <c r="T208" i="2"/>
  <c r="P208" i="2"/>
  <c r="T207" i="2"/>
  <c r="P207" i="2"/>
  <c r="T206" i="2"/>
  <c r="P206" i="2"/>
  <c r="T205" i="2"/>
  <c r="P205" i="2"/>
  <c r="T204" i="2"/>
  <c r="P204" i="2"/>
  <c r="T203" i="2"/>
  <c r="P203" i="2"/>
  <c r="T202" i="2"/>
  <c r="P202" i="2"/>
  <c r="T201" i="2"/>
  <c r="P201" i="2"/>
  <c r="T200" i="2"/>
  <c r="P200" i="2"/>
  <c r="T199" i="2"/>
  <c r="P199" i="2"/>
  <c r="T198" i="2"/>
  <c r="P198" i="2"/>
  <c r="T197" i="2"/>
  <c r="P197" i="2"/>
  <c r="T196" i="2"/>
  <c r="P196" i="2"/>
  <c r="T195" i="2"/>
  <c r="P195" i="2"/>
  <c r="T194" i="2"/>
  <c r="P194" i="2"/>
  <c r="T193" i="2"/>
  <c r="P193" i="2"/>
  <c r="T192" i="2"/>
  <c r="P192" i="2"/>
  <c r="T191" i="2"/>
  <c r="P191" i="2"/>
  <c r="T190" i="2"/>
  <c r="P190" i="2"/>
  <c r="V189" i="2"/>
  <c r="U189" i="2"/>
  <c r="T189" i="2"/>
  <c r="S189" i="2"/>
  <c r="T188" i="2"/>
  <c r="P188" i="2"/>
  <c r="T187" i="2"/>
  <c r="P187" i="2"/>
  <c r="T186" i="2"/>
  <c r="P186" i="2"/>
  <c r="T185" i="2"/>
  <c r="P185" i="2"/>
  <c r="T184" i="2"/>
  <c r="P184" i="2"/>
  <c r="T183" i="2"/>
  <c r="P183" i="2"/>
  <c r="T182" i="2"/>
  <c r="P182" i="2"/>
  <c r="T181" i="2"/>
  <c r="P181" i="2"/>
  <c r="T180" i="2"/>
  <c r="P180" i="2"/>
  <c r="T179" i="2"/>
  <c r="P179" i="2"/>
  <c r="T178" i="2"/>
  <c r="P178" i="2"/>
  <c r="T176" i="2"/>
  <c r="P176" i="2"/>
  <c r="T175" i="2"/>
  <c r="P175" i="2"/>
  <c r="T174" i="2"/>
  <c r="P174" i="2"/>
  <c r="T173" i="2"/>
  <c r="P173" i="2"/>
  <c r="T172" i="2"/>
  <c r="P172" i="2"/>
  <c r="E172" i="2"/>
  <c r="T171" i="2"/>
  <c r="P171" i="2"/>
  <c r="T170" i="2"/>
  <c r="P170" i="2"/>
  <c r="T169" i="2"/>
  <c r="P169" i="2"/>
  <c r="T168" i="2"/>
  <c r="P168" i="2"/>
  <c r="T167" i="2"/>
  <c r="P167" i="2"/>
  <c r="T166" i="2"/>
  <c r="P166" i="2"/>
  <c r="V165" i="2"/>
  <c r="U165" i="2"/>
  <c r="T165" i="2"/>
  <c r="S165" i="2"/>
  <c r="V164" i="2"/>
  <c r="U164" i="2"/>
  <c r="T164" i="2"/>
  <c r="S164" i="2"/>
  <c r="T163" i="2"/>
  <c r="R163" i="2"/>
  <c r="P163" i="2"/>
  <c r="T162" i="2"/>
  <c r="P162" i="2"/>
  <c r="T161" i="2"/>
  <c r="P161" i="2"/>
  <c r="V160" i="2"/>
  <c r="U160" i="2"/>
  <c r="T160" i="2"/>
  <c r="S160" i="2"/>
  <c r="T159" i="2"/>
  <c r="P159" i="2"/>
  <c r="V158" i="2"/>
  <c r="U158" i="2"/>
  <c r="T158" i="2"/>
  <c r="S158" i="2"/>
  <c r="V157" i="2"/>
  <c r="U157" i="2"/>
  <c r="T157" i="2"/>
  <c r="S157" i="2"/>
  <c r="V156" i="2"/>
  <c r="U156" i="2"/>
  <c r="T156" i="2"/>
  <c r="S156" i="2"/>
  <c r="T155" i="2"/>
  <c r="R155" i="2"/>
  <c r="T154" i="2"/>
  <c r="R154" i="2"/>
  <c r="T153" i="2"/>
  <c r="P153" i="2"/>
  <c r="T152" i="2"/>
  <c r="P152" i="2"/>
  <c r="T151" i="2"/>
  <c r="R151" i="2"/>
  <c r="T150" i="2"/>
  <c r="P150" i="2"/>
  <c r="T149" i="2"/>
  <c r="P149" i="2"/>
  <c r="A149" i="2"/>
  <c r="T145" i="2"/>
  <c r="N145" i="2"/>
  <c r="P145" i="2" s="1"/>
  <c r="T144" i="2"/>
  <c r="N144" i="2"/>
  <c r="P144" i="2" s="1"/>
  <c r="U144" i="2" s="1"/>
  <c r="V144" i="2" s="1"/>
  <c r="T143" i="2"/>
  <c r="P143" i="2"/>
  <c r="T142" i="2"/>
  <c r="P142" i="2"/>
  <c r="T141" i="2"/>
  <c r="P141" i="2"/>
  <c r="T140" i="2"/>
  <c r="P140" i="2"/>
  <c r="T139" i="2"/>
  <c r="P139" i="2"/>
  <c r="T138" i="2"/>
  <c r="P138" i="2"/>
  <c r="T137" i="2"/>
  <c r="P137" i="2"/>
  <c r="T136" i="2"/>
  <c r="P136" i="2"/>
  <c r="T135" i="2"/>
  <c r="P135" i="2"/>
  <c r="T134" i="2"/>
  <c r="P134" i="2"/>
  <c r="A134" i="2"/>
  <c r="T131" i="2"/>
  <c r="P131" i="2"/>
  <c r="T130" i="2"/>
  <c r="P130" i="2"/>
  <c r="T129" i="2"/>
  <c r="P129" i="2"/>
  <c r="T128" i="2"/>
  <c r="P128" i="2"/>
  <c r="T127" i="2"/>
  <c r="P127" i="2"/>
  <c r="T126" i="2"/>
  <c r="P126" i="2"/>
  <c r="T125" i="2"/>
  <c r="P125" i="2"/>
  <c r="T124" i="2"/>
  <c r="P124" i="2"/>
  <c r="T123" i="2"/>
  <c r="P123" i="2"/>
  <c r="T122" i="2"/>
  <c r="P122" i="2"/>
  <c r="T121" i="2"/>
  <c r="P121" i="2"/>
  <c r="T120" i="2"/>
  <c r="P120" i="2"/>
  <c r="T119" i="2"/>
  <c r="P119" i="2"/>
  <c r="T118" i="2"/>
  <c r="P118" i="2"/>
  <c r="U117" i="2"/>
  <c r="V117" i="2" s="1"/>
  <c r="T117" i="2"/>
  <c r="S117" i="2"/>
  <c r="T116" i="2"/>
  <c r="P116" i="2"/>
  <c r="T115" i="2"/>
  <c r="P115" i="2"/>
  <c r="T114" i="2"/>
  <c r="P114" i="2"/>
  <c r="T113" i="2"/>
  <c r="N113" i="2"/>
  <c r="P113" i="2" s="1"/>
  <c r="A113" i="2"/>
  <c r="T110" i="2"/>
  <c r="P110" i="2"/>
  <c r="T109" i="2"/>
  <c r="P109" i="2"/>
  <c r="T108" i="2"/>
  <c r="P108" i="2"/>
  <c r="T107" i="2"/>
  <c r="P107" i="2"/>
  <c r="T106" i="2"/>
  <c r="P106" i="2"/>
  <c r="T105" i="2"/>
  <c r="P105" i="2"/>
  <c r="T104" i="2"/>
  <c r="P104" i="2"/>
  <c r="T103" i="2"/>
  <c r="P103" i="2"/>
  <c r="T102" i="2"/>
  <c r="P102" i="2"/>
  <c r="T101" i="2"/>
  <c r="P101" i="2"/>
  <c r="T100" i="2"/>
  <c r="P100" i="2"/>
  <c r="T99" i="2"/>
  <c r="P99" i="2"/>
  <c r="T98" i="2"/>
  <c r="N98" i="2"/>
  <c r="P98" i="2" s="1"/>
  <c r="T97" i="2"/>
  <c r="P97" i="2"/>
  <c r="T96" i="2"/>
  <c r="P96" i="2"/>
  <c r="T95" i="2"/>
  <c r="P95" i="2"/>
  <c r="A95" i="2"/>
  <c r="T92" i="2"/>
  <c r="P92" i="2"/>
  <c r="T91" i="2"/>
  <c r="P91" i="2"/>
  <c r="T90" i="2"/>
  <c r="P90" i="2"/>
  <c r="T89" i="2"/>
  <c r="P89" i="2"/>
  <c r="T88" i="2"/>
  <c r="P88" i="2"/>
  <c r="T87" i="2"/>
  <c r="P87" i="2"/>
  <c r="T86" i="2"/>
  <c r="P86" i="2"/>
  <c r="T85" i="2"/>
  <c r="P85" i="2"/>
  <c r="T84" i="2"/>
  <c r="P84" i="2"/>
  <c r="T83" i="2"/>
  <c r="P83" i="2"/>
  <c r="T80" i="2"/>
  <c r="P80" i="2"/>
  <c r="T79" i="2"/>
  <c r="P79" i="2"/>
  <c r="T78" i="2"/>
  <c r="P78" i="2"/>
  <c r="T77" i="2"/>
  <c r="P77" i="2"/>
  <c r="T76" i="2"/>
  <c r="P76" i="2"/>
  <c r="T75" i="2"/>
  <c r="P75" i="2"/>
  <c r="T74" i="2"/>
  <c r="N74" i="2"/>
  <c r="P74" i="2" s="1"/>
  <c r="T73" i="2"/>
  <c r="N73" i="2"/>
  <c r="P73" i="2" s="1"/>
  <c r="T72" i="2"/>
  <c r="P72" i="2"/>
  <c r="T71" i="2"/>
  <c r="P71" i="2"/>
  <c r="T70" i="2"/>
  <c r="P70" i="2"/>
  <c r="T69" i="2"/>
  <c r="P69" i="2"/>
  <c r="T68" i="2"/>
  <c r="P68" i="2"/>
  <c r="T67" i="2"/>
  <c r="P67" i="2"/>
  <c r="T66" i="2"/>
  <c r="P66" i="2"/>
  <c r="T65" i="2"/>
  <c r="P65" i="2"/>
  <c r="A65" i="2"/>
  <c r="T62" i="2"/>
  <c r="P62" i="2"/>
  <c r="T61" i="2"/>
  <c r="P61" i="2"/>
  <c r="T60" i="2"/>
  <c r="P60" i="2"/>
  <c r="T59" i="2"/>
  <c r="P59" i="2"/>
  <c r="T58" i="2"/>
  <c r="N58" i="2"/>
  <c r="P58" i="2" s="1"/>
  <c r="T57" i="2"/>
  <c r="P57" i="2"/>
  <c r="T56" i="2"/>
  <c r="P56" i="2"/>
  <c r="T55" i="2"/>
  <c r="N55" i="2"/>
  <c r="P55" i="2" s="1"/>
  <c r="T54" i="2"/>
  <c r="P54" i="2"/>
  <c r="T53" i="2"/>
  <c r="P53" i="2"/>
  <c r="T52" i="2"/>
  <c r="P52" i="2"/>
  <c r="T51" i="2"/>
  <c r="P51" i="2"/>
  <c r="T50" i="2"/>
  <c r="P50" i="2"/>
  <c r="T49" i="2"/>
  <c r="N49" i="2"/>
  <c r="P49" i="2" s="1"/>
  <c r="T48" i="2"/>
  <c r="P48" i="2"/>
  <c r="A48" i="2"/>
  <c r="T45" i="2"/>
  <c r="P45" i="2"/>
  <c r="T44" i="2"/>
  <c r="P44" i="2"/>
  <c r="T43" i="2"/>
  <c r="P43" i="2"/>
  <c r="T42" i="2"/>
  <c r="P42" i="2"/>
  <c r="T41" i="2"/>
  <c r="P41" i="2"/>
  <c r="T40" i="2"/>
  <c r="P40" i="2"/>
  <c r="T39" i="2"/>
  <c r="P39" i="2"/>
  <c r="T38" i="2"/>
  <c r="N38" i="2"/>
  <c r="P38" i="2" s="1"/>
  <c r="T37" i="2"/>
  <c r="S37" i="2"/>
  <c r="P37" i="2"/>
  <c r="U37" i="2" s="1"/>
  <c r="V37" i="2" s="1"/>
  <c r="T36" i="2"/>
  <c r="N36" i="2"/>
  <c r="P36" i="2" s="1"/>
  <c r="T35" i="2"/>
  <c r="P35" i="2"/>
  <c r="T34" i="2"/>
  <c r="P34" i="2"/>
  <c r="T33" i="2"/>
  <c r="P33" i="2"/>
  <c r="T32" i="2"/>
  <c r="P32" i="2"/>
  <c r="T31" i="2"/>
  <c r="P31" i="2"/>
  <c r="T30" i="2"/>
  <c r="N30" i="2"/>
  <c r="P30" i="2" s="1"/>
  <c r="T29" i="2"/>
  <c r="P29" i="2"/>
  <c r="A29" i="2"/>
  <c r="T26" i="2"/>
  <c r="P26" i="2"/>
  <c r="T25" i="2"/>
  <c r="P25" i="2"/>
  <c r="T24" i="2"/>
  <c r="P24" i="2"/>
  <c r="T23" i="2"/>
  <c r="P23" i="2"/>
  <c r="T22" i="2"/>
  <c r="P22" i="2"/>
  <c r="T21" i="2"/>
  <c r="P21" i="2"/>
  <c r="T20" i="2"/>
  <c r="P20" i="2"/>
  <c r="T19" i="2"/>
  <c r="P19" i="2"/>
  <c r="T18" i="2"/>
  <c r="P18" i="2"/>
  <c r="T17" i="2"/>
  <c r="P17" i="2"/>
  <c r="T16" i="2"/>
  <c r="P16" i="2"/>
  <c r="T15" i="2"/>
  <c r="P15" i="2"/>
  <c r="T14" i="2"/>
  <c r="P14" i="2"/>
  <c r="B14" i="2"/>
  <c r="T13" i="2"/>
  <c r="P13" i="2"/>
  <c r="T12" i="2"/>
  <c r="N12" i="2"/>
  <c r="P12" i="2" s="1"/>
  <c r="T11" i="2"/>
  <c r="P11" i="2"/>
  <c r="A11" i="2"/>
  <c r="I1" i="2"/>
  <c r="N2950" i="1"/>
  <c r="N2949" i="1"/>
  <c r="S2852" i="1"/>
  <c r="S2851" i="1"/>
  <c r="S2850" i="1"/>
  <c r="S2849" i="1"/>
  <c r="S2848" i="1"/>
  <c r="S2847" i="1"/>
  <c r="S2846" i="1"/>
  <c r="S2845" i="1"/>
  <c r="S2844" i="1"/>
  <c r="S2843" i="1"/>
  <c r="S2842" i="1"/>
  <c r="S2841" i="1"/>
  <c r="S2840" i="1"/>
  <c r="S2839" i="1"/>
  <c r="S2838" i="1"/>
  <c r="S2837" i="1"/>
  <c r="S2836" i="1"/>
  <c r="S2835" i="1"/>
  <c r="S2834" i="1"/>
  <c r="S2833" i="1"/>
  <c r="S2832" i="1"/>
  <c r="S2831" i="1"/>
  <c r="S2830" i="1"/>
  <c r="S2829" i="1"/>
  <c r="S2828" i="1"/>
  <c r="S2827" i="1"/>
  <c r="S2826" i="1"/>
  <c r="S2825" i="1"/>
  <c r="S2824" i="1"/>
  <c r="S2823" i="1"/>
  <c r="S2822" i="1"/>
  <c r="S2821" i="1"/>
  <c r="S2820" i="1"/>
  <c r="S2819" i="1"/>
  <c r="S2818" i="1"/>
  <c r="S2817" i="1"/>
  <c r="S2816" i="1"/>
  <c r="S2815" i="1"/>
  <c r="S2814" i="1"/>
  <c r="S2813" i="1"/>
  <c r="S2812" i="1"/>
  <c r="S2811" i="1"/>
  <c r="S2810" i="1"/>
  <c r="S2809" i="1"/>
  <c r="S2808" i="1"/>
  <c r="S2807" i="1"/>
  <c r="S2806" i="1"/>
  <c r="S2805" i="1"/>
  <c r="S2804" i="1"/>
  <c r="P2803" i="1"/>
  <c r="S2803" i="1" s="1"/>
  <c r="P2802" i="1"/>
  <c r="S2802" i="1" s="1"/>
  <c r="P2801" i="1"/>
  <c r="S2801" i="1" s="1"/>
  <c r="S2800" i="1"/>
  <c r="S2799" i="1"/>
  <c r="S2798" i="1"/>
  <c r="S2797" i="1"/>
  <c r="S2796" i="1"/>
  <c r="P2795" i="1"/>
  <c r="S2795" i="1" s="1"/>
  <c r="S2794" i="1"/>
  <c r="S2793" i="1"/>
  <c r="S2792" i="1"/>
  <c r="S2791" i="1"/>
  <c r="S2790" i="1"/>
  <c r="S2789" i="1"/>
  <c r="S2788" i="1"/>
  <c r="S2787" i="1"/>
  <c r="S2786" i="1"/>
  <c r="S2785" i="1"/>
  <c r="S2784" i="1"/>
  <c r="S2783" i="1"/>
  <c r="S2782" i="1"/>
  <c r="S2781" i="1"/>
  <c r="P2733" i="1"/>
  <c r="T2641" i="1"/>
  <c r="P2641" i="1"/>
  <c r="A2641" i="1"/>
  <c r="T2627" i="1"/>
  <c r="P2627" i="1"/>
  <c r="T2626" i="1"/>
  <c r="P2626" i="1"/>
  <c r="T2625" i="1"/>
  <c r="P2625" i="1"/>
  <c r="T2624" i="1"/>
  <c r="P2624" i="1"/>
  <c r="T2623" i="1"/>
  <c r="P2623" i="1"/>
  <c r="T2622" i="1"/>
  <c r="P2622" i="1"/>
  <c r="T2621" i="1"/>
  <c r="P2621" i="1"/>
  <c r="A2621" i="1"/>
  <c r="T2618" i="1"/>
  <c r="P2618" i="1"/>
  <c r="T2617" i="1"/>
  <c r="P2617" i="1"/>
  <c r="T2616" i="1"/>
  <c r="P2616" i="1"/>
  <c r="T2615" i="1"/>
  <c r="P2615" i="1"/>
  <c r="T2614" i="1"/>
  <c r="P2614" i="1"/>
  <c r="T2613" i="1"/>
  <c r="P2613" i="1"/>
  <c r="T2612" i="1"/>
  <c r="P2612" i="1"/>
  <c r="T2611" i="1"/>
  <c r="P2611" i="1"/>
  <c r="T2610" i="1"/>
  <c r="P2610" i="1"/>
  <c r="T2609" i="1"/>
  <c r="P2609" i="1"/>
  <c r="T2608" i="1"/>
  <c r="P2608" i="1"/>
  <c r="T2607" i="1"/>
  <c r="P2607" i="1"/>
  <c r="T2606" i="1"/>
  <c r="S2606" i="1"/>
  <c r="P2606" i="1"/>
  <c r="T2605" i="1"/>
  <c r="P2605" i="1"/>
  <c r="T2604" i="1"/>
  <c r="S2604" i="1"/>
  <c r="P2604" i="1"/>
  <c r="T2603" i="1"/>
  <c r="P2603" i="1"/>
  <c r="T2602" i="1"/>
  <c r="P2602" i="1"/>
  <c r="T2601" i="1"/>
  <c r="P2601" i="1"/>
  <c r="T2600" i="1"/>
  <c r="P2600" i="1"/>
  <c r="T2599" i="1"/>
  <c r="P2599" i="1"/>
  <c r="T2598" i="1"/>
  <c r="P2598" i="1"/>
  <c r="T2597" i="1"/>
  <c r="P2597" i="1"/>
  <c r="T2596" i="1"/>
  <c r="P2596" i="1"/>
  <c r="T2595" i="1"/>
  <c r="P2595" i="1"/>
  <c r="T2594" i="1"/>
  <c r="P2594" i="1"/>
  <c r="T2593" i="1"/>
  <c r="P2593" i="1"/>
  <c r="T2592" i="1"/>
  <c r="P2592" i="1"/>
  <c r="T2591" i="1"/>
  <c r="P2591" i="1"/>
  <c r="T2590" i="1"/>
  <c r="P2590" i="1"/>
  <c r="T2589" i="1"/>
  <c r="P2589" i="1"/>
  <c r="T2588" i="1"/>
  <c r="P2588" i="1"/>
  <c r="T2587" i="1"/>
  <c r="P2587" i="1"/>
  <c r="T2586" i="1"/>
  <c r="P2586" i="1"/>
  <c r="T2585" i="1"/>
  <c r="P2585" i="1"/>
  <c r="T2584" i="1"/>
  <c r="P2584" i="1"/>
  <c r="T2583" i="1"/>
  <c r="P2583" i="1"/>
  <c r="T2582" i="1"/>
  <c r="P2582" i="1"/>
  <c r="T2581" i="1"/>
  <c r="P2581" i="1"/>
  <c r="T2580" i="1"/>
  <c r="P2580" i="1"/>
  <c r="T2579" i="1"/>
  <c r="P2579" i="1"/>
  <c r="T2578" i="1"/>
  <c r="P2578" i="1"/>
  <c r="T2577" i="1"/>
  <c r="P2577" i="1"/>
  <c r="T2576" i="1"/>
  <c r="P2576" i="1"/>
  <c r="T2575" i="1"/>
  <c r="P2575" i="1"/>
  <c r="T2574" i="1"/>
  <c r="P2574" i="1"/>
  <c r="T2573" i="1"/>
  <c r="P2573" i="1"/>
  <c r="T2572" i="1"/>
  <c r="P2572" i="1"/>
  <c r="T2571" i="1"/>
  <c r="P2571" i="1"/>
  <c r="T2570" i="1"/>
  <c r="P2570" i="1"/>
  <c r="T2569" i="1"/>
  <c r="P2569" i="1"/>
  <c r="T2568" i="1"/>
  <c r="P2568" i="1"/>
  <c r="T2567" i="1"/>
  <c r="P2567" i="1"/>
  <c r="T2566" i="1"/>
  <c r="P2566" i="1"/>
  <c r="T2565" i="1"/>
  <c r="P2565" i="1"/>
  <c r="T2564" i="1"/>
  <c r="P2564" i="1"/>
  <c r="T2563" i="1"/>
  <c r="P2563" i="1"/>
  <c r="U2562" i="1"/>
  <c r="T2562" i="1"/>
  <c r="P2562" i="1"/>
  <c r="T2561" i="1"/>
  <c r="P2561" i="1"/>
  <c r="T2560" i="1"/>
  <c r="P2560" i="1"/>
  <c r="T2559" i="1"/>
  <c r="P2559" i="1"/>
  <c r="A2559" i="1"/>
  <c r="T2556" i="1"/>
  <c r="P2556" i="1"/>
  <c r="T2555" i="1"/>
  <c r="P2555" i="1"/>
  <c r="T2554" i="1"/>
  <c r="P2554" i="1"/>
  <c r="T2553" i="1"/>
  <c r="P2553" i="1"/>
  <c r="T2552" i="1"/>
  <c r="P2552" i="1"/>
  <c r="T2551" i="1"/>
  <c r="P2551" i="1"/>
  <c r="T2550" i="1"/>
  <c r="P2550" i="1"/>
  <c r="T2549" i="1"/>
  <c r="P2549" i="1"/>
  <c r="T2548" i="1"/>
  <c r="P2548" i="1"/>
  <c r="T2547" i="1"/>
  <c r="P2547" i="1"/>
  <c r="T2546" i="1"/>
  <c r="P2546" i="1"/>
  <c r="T2545" i="1"/>
  <c r="P2545" i="1"/>
  <c r="T2544" i="1"/>
  <c r="N2544" i="1"/>
  <c r="P2544" i="1" s="1"/>
  <c r="T2543" i="1"/>
  <c r="N2543" i="1"/>
  <c r="P2543" i="1" s="1"/>
  <c r="T2542" i="1"/>
  <c r="P2542" i="1"/>
  <c r="T2541" i="1"/>
  <c r="P2541" i="1"/>
  <c r="T2540" i="1"/>
  <c r="N2540" i="1"/>
  <c r="P2540" i="1" s="1"/>
  <c r="T2539" i="1"/>
  <c r="P2539" i="1"/>
  <c r="T2538" i="1"/>
  <c r="P2538" i="1"/>
  <c r="T2537" i="1"/>
  <c r="S2537" i="1"/>
  <c r="P2537" i="1"/>
  <c r="T2536" i="1"/>
  <c r="P2536" i="1"/>
  <c r="T2535" i="1"/>
  <c r="P2535" i="1"/>
  <c r="T2534" i="1"/>
  <c r="P2534" i="1"/>
  <c r="T2533" i="1"/>
  <c r="P2533" i="1"/>
  <c r="T2532" i="1"/>
  <c r="P2532" i="1"/>
  <c r="T2531" i="1"/>
  <c r="P2531" i="1"/>
  <c r="T2530" i="1"/>
  <c r="P2530" i="1"/>
  <c r="T2529" i="1"/>
  <c r="P2529" i="1"/>
  <c r="T2528" i="1"/>
  <c r="S2528" i="1"/>
  <c r="P2528" i="1"/>
  <c r="T2527" i="1"/>
  <c r="P2527" i="1"/>
  <c r="T2526" i="1"/>
  <c r="S2526" i="1"/>
  <c r="P2526" i="1"/>
  <c r="T2525" i="1"/>
  <c r="N2525" i="1"/>
  <c r="P2525" i="1" s="1"/>
  <c r="T2524" i="1"/>
  <c r="P2524" i="1"/>
  <c r="T2523" i="1"/>
  <c r="P2523" i="1"/>
  <c r="T2522" i="1"/>
  <c r="S2522" i="1"/>
  <c r="P2522" i="1"/>
  <c r="T2521" i="1"/>
  <c r="P2521" i="1"/>
  <c r="T2520" i="1"/>
  <c r="P2520" i="1"/>
  <c r="T2519" i="1"/>
  <c r="P2519" i="1"/>
  <c r="T2518" i="1"/>
  <c r="P2518" i="1"/>
  <c r="T2517" i="1"/>
  <c r="P2517" i="1"/>
  <c r="T2516" i="1"/>
  <c r="S2516" i="1"/>
  <c r="P2516" i="1"/>
  <c r="V2515" i="1"/>
  <c r="T2515" i="1"/>
  <c r="P2515" i="1"/>
  <c r="T2514" i="1"/>
  <c r="P2514" i="1"/>
  <c r="T2513" i="1"/>
  <c r="S2513" i="1"/>
  <c r="P2513" i="1"/>
  <c r="T2512" i="1"/>
  <c r="P2512" i="1"/>
  <c r="T2511" i="1"/>
  <c r="P2511" i="1"/>
  <c r="T2510" i="1"/>
  <c r="P2510" i="1"/>
  <c r="T2509" i="1"/>
  <c r="P2509" i="1"/>
  <c r="T2508" i="1"/>
  <c r="P2508" i="1"/>
  <c r="V2507" i="1"/>
  <c r="U2507" i="1"/>
  <c r="T2507" i="1"/>
  <c r="S2507" i="1"/>
  <c r="T2506" i="1"/>
  <c r="P2506" i="1"/>
  <c r="T2505" i="1"/>
  <c r="P2505" i="1"/>
  <c r="T2504" i="1"/>
  <c r="P2504" i="1"/>
  <c r="T2503" i="1"/>
  <c r="S2503" i="1"/>
  <c r="P2503" i="1"/>
  <c r="T2502" i="1"/>
  <c r="P2502" i="1"/>
  <c r="T2501" i="1"/>
  <c r="P2501" i="1"/>
  <c r="T2500" i="1"/>
  <c r="P2500" i="1"/>
  <c r="T2499" i="1"/>
  <c r="P2499" i="1"/>
  <c r="T2498" i="1"/>
  <c r="P2498" i="1"/>
  <c r="T2497" i="1"/>
  <c r="S2497" i="1"/>
  <c r="P2497" i="1"/>
  <c r="T2496" i="1"/>
  <c r="P2496" i="1"/>
  <c r="T2495" i="1"/>
  <c r="S2495" i="1"/>
  <c r="P2495" i="1"/>
  <c r="T2494" i="1"/>
  <c r="P2494" i="1"/>
  <c r="T2493" i="1"/>
  <c r="S2493" i="1"/>
  <c r="P2493" i="1"/>
  <c r="T2492" i="1"/>
  <c r="P2492" i="1"/>
  <c r="V2491" i="1"/>
  <c r="U2491" i="1"/>
  <c r="T2491" i="1"/>
  <c r="S2491" i="1"/>
  <c r="T2490" i="1"/>
  <c r="P2490" i="1"/>
  <c r="T2489" i="1"/>
  <c r="P2489" i="1"/>
  <c r="T2488" i="1"/>
  <c r="P2488" i="1"/>
  <c r="V2487" i="1"/>
  <c r="U2487" i="1"/>
  <c r="T2487" i="1"/>
  <c r="S2487" i="1"/>
  <c r="A2487" i="1"/>
  <c r="X2487" i="1" s="1"/>
  <c r="A2488" i="1" s="1"/>
  <c r="T2484" i="1"/>
  <c r="S2484" i="1"/>
  <c r="P2484" i="1"/>
  <c r="U2484" i="1" s="1"/>
  <c r="V2484" i="1" s="1"/>
  <c r="T2483" i="1"/>
  <c r="P2483" i="1"/>
  <c r="T2482" i="1"/>
  <c r="P2482" i="1"/>
  <c r="T2481" i="1"/>
  <c r="P2481" i="1"/>
  <c r="T2480" i="1"/>
  <c r="S2480" i="1"/>
  <c r="P2480" i="1"/>
  <c r="U2480" i="1" s="1"/>
  <c r="V2480" i="1" s="1"/>
  <c r="T2479" i="1"/>
  <c r="N2479" i="1"/>
  <c r="P2479" i="1" s="1"/>
  <c r="T2478" i="1"/>
  <c r="P2478" i="1"/>
  <c r="U2477" i="1"/>
  <c r="V2477" i="1" s="1"/>
  <c r="T2477" i="1"/>
  <c r="P2477" i="1"/>
  <c r="S2477" i="1" s="1"/>
  <c r="T2476" i="1"/>
  <c r="P2476" i="1"/>
  <c r="T2475" i="1"/>
  <c r="P2475" i="1"/>
  <c r="T2474" i="1"/>
  <c r="P2474" i="1"/>
  <c r="T2473" i="1"/>
  <c r="P2473" i="1"/>
  <c r="T2472" i="1"/>
  <c r="P2472" i="1"/>
  <c r="T2471" i="1"/>
  <c r="P2471" i="1"/>
  <c r="T2470" i="1"/>
  <c r="P2470" i="1"/>
  <c r="T2469" i="1"/>
  <c r="P2469" i="1"/>
  <c r="T2468" i="1"/>
  <c r="P2468" i="1"/>
  <c r="T2467" i="1"/>
  <c r="P2467" i="1"/>
  <c r="T2466" i="1"/>
  <c r="P2466" i="1"/>
  <c r="T2465" i="1"/>
  <c r="P2465" i="1"/>
  <c r="T2464" i="1"/>
  <c r="S2464" i="1"/>
  <c r="P2464" i="1"/>
  <c r="T2463" i="1"/>
  <c r="P2463" i="1"/>
  <c r="T2462" i="1"/>
  <c r="P2462" i="1"/>
  <c r="T2461" i="1"/>
  <c r="P2461" i="1"/>
  <c r="T2460" i="1"/>
  <c r="P2460" i="1"/>
  <c r="T2459" i="1"/>
  <c r="P2459" i="1"/>
  <c r="T2458" i="1"/>
  <c r="P2458" i="1"/>
  <c r="V2457" i="1"/>
  <c r="T2457" i="1"/>
  <c r="P2457" i="1"/>
  <c r="T2456" i="1"/>
  <c r="P2456" i="1"/>
  <c r="T2455" i="1"/>
  <c r="P2455" i="1"/>
  <c r="T2454" i="1"/>
  <c r="P2454" i="1"/>
  <c r="T2453" i="1"/>
  <c r="P2453" i="1"/>
  <c r="T2452" i="1"/>
  <c r="P2452" i="1"/>
  <c r="T2451" i="1"/>
  <c r="P2451" i="1"/>
  <c r="T2450" i="1"/>
  <c r="P2450" i="1"/>
  <c r="T2449" i="1"/>
  <c r="S2449" i="1"/>
  <c r="P2449" i="1"/>
  <c r="T2448" i="1"/>
  <c r="P2448" i="1"/>
  <c r="T2447" i="1"/>
  <c r="P2447" i="1"/>
  <c r="T2446" i="1"/>
  <c r="P2446" i="1"/>
  <c r="T2445" i="1"/>
  <c r="S2445" i="1"/>
  <c r="P2445" i="1"/>
  <c r="T2444" i="1"/>
  <c r="P2444" i="1"/>
  <c r="T2443" i="1"/>
  <c r="P2443" i="1"/>
  <c r="T2442" i="1"/>
  <c r="P2442" i="1"/>
  <c r="T2441" i="1"/>
  <c r="P2441" i="1"/>
  <c r="T2440" i="1"/>
  <c r="P2440" i="1"/>
  <c r="T2439" i="1"/>
  <c r="P2439" i="1"/>
  <c r="T2438" i="1"/>
  <c r="P2438" i="1"/>
  <c r="T2437" i="1"/>
  <c r="P2437" i="1"/>
  <c r="T2436" i="1"/>
  <c r="P2436" i="1"/>
  <c r="T2435" i="1"/>
  <c r="P2435" i="1"/>
  <c r="T2434" i="1"/>
  <c r="P2434" i="1"/>
  <c r="T2433" i="1"/>
  <c r="P2433" i="1"/>
  <c r="T2432" i="1"/>
  <c r="P2432" i="1"/>
  <c r="T2431" i="1"/>
  <c r="P2431" i="1"/>
  <c r="T2430" i="1"/>
  <c r="P2430" i="1"/>
  <c r="T2429" i="1"/>
  <c r="P2429" i="1"/>
  <c r="T2428" i="1"/>
  <c r="P2428" i="1"/>
  <c r="T2427" i="1"/>
  <c r="P2427" i="1"/>
  <c r="T2426" i="1"/>
  <c r="P2426" i="1"/>
  <c r="T2425" i="1"/>
  <c r="P2425" i="1"/>
  <c r="T2424" i="1"/>
  <c r="P2424" i="1"/>
  <c r="T2423" i="1"/>
  <c r="P2423" i="1"/>
  <c r="T2422" i="1"/>
  <c r="P2422" i="1"/>
  <c r="T2421" i="1"/>
  <c r="P2421" i="1"/>
  <c r="T2420" i="1"/>
  <c r="P2420" i="1"/>
  <c r="T2419" i="1"/>
  <c r="P2419" i="1"/>
  <c r="T2418" i="1"/>
  <c r="P2418" i="1"/>
  <c r="T2417" i="1"/>
  <c r="P2417" i="1"/>
  <c r="T2416" i="1"/>
  <c r="P2416" i="1"/>
  <c r="T2415" i="1"/>
  <c r="P2415" i="1"/>
  <c r="T2414" i="1"/>
  <c r="P2414" i="1"/>
  <c r="T2413" i="1"/>
  <c r="P2413" i="1"/>
  <c r="T2412" i="1"/>
  <c r="P2412" i="1"/>
  <c r="T2411" i="1"/>
  <c r="P2411" i="1"/>
  <c r="U2410" i="1"/>
  <c r="T2410" i="1"/>
  <c r="P2410" i="1"/>
  <c r="T2409" i="1"/>
  <c r="S2409" i="1"/>
  <c r="P2409" i="1"/>
  <c r="T2408" i="1"/>
  <c r="P2408" i="1"/>
  <c r="T2407" i="1"/>
  <c r="P2407" i="1"/>
  <c r="T2406" i="1"/>
  <c r="P2406" i="1"/>
  <c r="T2405" i="1"/>
  <c r="P2405" i="1"/>
  <c r="T2404" i="1"/>
  <c r="P2404" i="1"/>
  <c r="T2403" i="1"/>
  <c r="P2403" i="1"/>
  <c r="T2402" i="1"/>
  <c r="P2402" i="1"/>
  <c r="T2401" i="1"/>
  <c r="P2401" i="1"/>
  <c r="T2400" i="1"/>
  <c r="P2400" i="1"/>
  <c r="T2399" i="1"/>
  <c r="P2399" i="1"/>
  <c r="T2398" i="1"/>
  <c r="S2398" i="1"/>
  <c r="P2398" i="1"/>
  <c r="V2397" i="1"/>
  <c r="U2397" i="1"/>
  <c r="T2397" i="1"/>
  <c r="S2397" i="1"/>
  <c r="V2396" i="1"/>
  <c r="U2396" i="1"/>
  <c r="T2396" i="1"/>
  <c r="S2396" i="1"/>
  <c r="V2395" i="1"/>
  <c r="U2395" i="1"/>
  <c r="T2395" i="1"/>
  <c r="S2395" i="1"/>
  <c r="T2394" i="1"/>
  <c r="P2394" i="1"/>
  <c r="T2393" i="1"/>
  <c r="P2393" i="1"/>
  <c r="T2392" i="1"/>
  <c r="P2392" i="1"/>
  <c r="V2391" i="1"/>
  <c r="U2391" i="1"/>
  <c r="T2391" i="1"/>
  <c r="S2391" i="1"/>
  <c r="V2390" i="1"/>
  <c r="U2390" i="1"/>
  <c r="T2390" i="1"/>
  <c r="S2390" i="1"/>
  <c r="V2389" i="1"/>
  <c r="U2389" i="1"/>
  <c r="T2389" i="1"/>
  <c r="S2389" i="1"/>
  <c r="T2388" i="1"/>
  <c r="P2388" i="1"/>
  <c r="T2387" i="1"/>
  <c r="P2387" i="1"/>
  <c r="V2386" i="1"/>
  <c r="U2386" i="1"/>
  <c r="T2386" i="1"/>
  <c r="S2386" i="1"/>
  <c r="T2385" i="1"/>
  <c r="P2385" i="1"/>
  <c r="A2385" i="1"/>
  <c r="T2382" i="1"/>
  <c r="P2382" i="1"/>
  <c r="T2381" i="1"/>
  <c r="S2381" i="1"/>
  <c r="P2381" i="1"/>
  <c r="U2381" i="1" s="1"/>
  <c r="V2381" i="1" s="1"/>
  <c r="T2380" i="1"/>
  <c r="S2380" i="1"/>
  <c r="P2380" i="1"/>
  <c r="U2380" i="1" s="1"/>
  <c r="V2380" i="1" s="1"/>
  <c r="T2379" i="1"/>
  <c r="P2379" i="1"/>
  <c r="T2378" i="1"/>
  <c r="P2378" i="1"/>
  <c r="T2377" i="1"/>
  <c r="S2377" i="1"/>
  <c r="P2377" i="1"/>
  <c r="U2377" i="1" s="1"/>
  <c r="V2377" i="1" s="1"/>
  <c r="U2376" i="1"/>
  <c r="V2376" i="1" s="1"/>
  <c r="T2376" i="1"/>
  <c r="S2376" i="1"/>
  <c r="T2375" i="1"/>
  <c r="S2375" i="1"/>
  <c r="P2375" i="1"/>
  <c r="U2375" i="1" s="1"/>
  <c r="V2375" i="1" s="1"/>
  <c r="T2374" i="1"/>
  <c r="P2374" i="1"/>
  <c r="T2373" i="1"/>
  <c r="P2373" i="1"/>
  <c r="T2372" i="1"/>
  <c r="S2372" i="1"/>
  <c r="P2372" i="1"/>
  <c r="U2372" i="1" s="1"/>
  <c r="V2372" i="1" s="1"/>
  <c r="T2371" i="1"/>
  <c r="P2371" i="1"/>
  <c r="T2370" i="1"/>
  <c r="P2370" i="1"/>
  <c r="T2369" i="1"/>
  <c r="P2369" i="1"/>
  <c r="T2368" i="1"/>
  <c r="S2368" i="1"/>
  <c r="P2368" i="1"/>
  <c r="U2368" i="1" s="1"/>
  <c r="V2368" i="1" s="1"/>
  <c r="T2367" i="1"/>
  <c r="P2367" i="1"/>
  <c r="T2366" i="1"/>
  <c r="P2366" i="1"/>
  <c r="T2365" i="1"/>
  <c r="P2365" i="1"/>
  <c r="T2364" i="1"/>
  <c r="P2364" i="1"/>
  <c r="T2363" i="1"/>
  <c r="P2363" i="1"/>
  <c r="T2362" i="1"/>
  <c r="P2362" i="1"/>
  <c r="T2361" i="1"/>
  <c r="P2361" i="1"/>
  <c r="T2360" i="1"/>
  <c r="P2360" i="1"/>
  <c r="T2359" i="1"/>
  <c r="S2359" i="1"/>
  <c r="P2359" i="1"/>
  <c r="T2358" i="1"/>
  <c r="P2358" i="1"/>
  <c r="T2357" i="1"/>
  <c r="P2357" i="1"/>
  <c r="T2356" i="1"/>
  <c r="P2356" i="1"/>
  <c r="T2355" i="1"/>
  <c r="S2355" i="1"/>
  <c r="P2355" i="1"/>
  <c r="T2354" i="1"/>
  <c r="P2354" i="1"/>
  <c r="T2353" i="1"/>
  <c r="P2353" i="1"/>
  <c r="T2352" i="1"/>
  <c r="P2352" i="1"/>
  <c r="T2351" i="1"/>
  <c r="P2351" i="1"/>
  <c r="T2350" i="1"/>
  <c r="P2350" i="1"/>
  <c r="T2349" i="1"/>
  <c r="N2349" i="1"/>
  <c r="P2349" i="1" s="1"/>
  <c r="T2348" i="1"/>
  <c r="P2348" i="1"/>
  <c r="T2347" i="1"/>
  <c r="P2347" i="1"/>
  <c r="T2346" i="1"/>
  <c r="P2346" i="1"/>
  <c r="T2345" i="1"/>
  <c r="P2345" i="1"/>
  <c r="T2344" i="1"/>
  <c r="P2344" i="1"/>
  <c r="T2343" i="1"/>
  <c r="P2343" i="1"/>
  <c r="T2342" i="1"/>
  <c r="P2342" i="1"/>
  <c r="T2341" i="1"/>
  <c r="P2341" i="1"/>
  <c r="T2340" i="1"/>
  <c r="P2340" i="1"/>
  <c r="T2339" i="1"/>
  <c r="P2339" i="1"/>
  <c r="U2338" i="1"/>
  <c r="T2338" i="1"/>
  <c r="P2338" i="1"/>
  <c r="T2337" i="1"/>
  <c r="S2337" i="1"/>
  <c r="P2337" i="1"/>
  <c r="T2336" i="1"/>
  <c r="S2336" i="1"/>
  <c r="P2336" i="1"/>
  <c r="T2335" i="1"/>
  <c r="P2335" i="1"/>
  <c r="T2334" i="1"/>
  <c r="P2334" i="1"/>
  <c r="T2333" i="1"/>
  <c r="P2333" i="1"/>
  <c r="T2332" i="1"/>
  <c r="P2332" i="1"/>
  <c r="T2331" i="1"/>
  <c r="P2331" i="1"/>
  <c r="T2330" i="1"/>
  <c r="P2330" i="1"/>
  <c r="T2329" i="1"/>
  <c r="P2329" i="1"/>
  <c r="T2328" i="1"/>
  <c r="P2328" i="1"/>
  <c r="T2327" i="1"/>
  <c r="P2327" i="1"/>
  <c r="T2326" i="1"/>
  <c r="P2326" i="1"/>
  <c r="T2325" i="1"/>
  <c r="P2325" i="1"/>
  <c r="T2324" i="1"/>
  <c r="P2324" i="1"/>
  <c r="T2323" i="1"/>
  <c r="P2323" i="1"/>
  <c r="T2322" i="1"/>
  <c r="P2322" i="1"/>
  <c r="T2321" i="1"/>
  <c r="P2321" i="1"/>
  <c r="T2320" i="1"/>
  <c r="P2320" i="1"/>
  <c r="T2319" i="1"/>
  <c r="P2319" i="1"/>
  <c r="T2318" i="1"/>
  <c r="P2318" i="1"/>
  <c r="T2317" i="1"/>
  <c r="P2317" i="1"/>
  <c r="T2316" i="1"/>
  <c r="P2316" i="1"/>
  <c r="T2315" i="1"/>
  <c r="P2315" i="1"/>
  <c r="U2314" i="1"/>
  <c r="T2314" i="1"/>
  <c r="P2314" i="1"/>
  <c r="T2313" i="1"/>
  <c r="P2313" i="1"/>
  <c r="T2312" i="1"/>
  <c r="P2312" i="1"/>
  <c r="T2311" i="1"/>
  <c r="P2311" i="1"/>
  <c r="T2310" i="1"/>
  <c r="P2310" i="1"/>
  <c r="T2309" i="1"/>
  <c r="P2309" i="1"/>
  <c r="T2308" i="1"/>
  <c r="P2308" i="1"/>
  <c r="T2307" i="1"/>
  <c r="P2307" i="1"/>
  <c r="T2306" i="1"/>
  <c r="P2306" i="1"/>
  <c r="T2305" i="1"/>
  <c r="P2305" i="1"/>
  <c r="T2304" i="1"/>
  <c r="P2304" i="1"/>
  <c r="T2303" i="1"/>
  <c r="P2303" i="1"/>
  <c r="T2302" i="1"/>
  <c r="P2302" i="1"/>
  <c r="T2301" i="1"/>
  <c r="P2301" i="1"/>
  <c r="T2300" i="1"/>
  <c r="P2300" i="1"/>
  <c r="T2299" i="1"/>
  <c r="P2299" i="1"/>
  <c r="T2298" i="1"/>
  <c r="P2298" i="1"/>
  <c r="T2297" i="1"/>
  <c r="S2297" i="1"/>
  <c r="P2297" i="1"/>
  <c r="T2296" i="1"/>
  <c r="P2296" i="1"/>
  <c r="T2295" i="1"/>
  <c r="P2295" i="1"/>
  <c r="T2294" i="1"/>
  <c r="P2294" i="1"/>
  <c r="T2293" i="1"/>
  <c r="P2293" i="1"/>
  <c r="T2292" i="1"/>
  <c r="P2292" i="1"/>
  <c r="T2291" i="1"/>
  <c r="P2291" i="1"/>
  <c r="T2290" i="1"/>
  <c r="P2290" i="1"/>
  <c r="T2289" i="1"/>
  <c r="S2289" i="1"/>
  <c r="P2289" i="1"/>
  <c r="T2288" i="1"/>
  <c r="P2288" i="1"/>
  <c r="T2287" i="1"/>
  <c r="P2287" i="1"/>
  <c r="T2286" i="1"/>
  <c r="P2286" i="1"/>
  <c r="T2285" i="1"/>
  <c r="P2285" i="1"/>
  <c r="T2284" i="1"/>
  <c r="P2284" i="1"/>
  <c r="T2283" i="1"/>
  <c r="P2283" i="1"/>
  <c r="T2282" i="1"/>
  <c r="P2282" i="1"/>
  <c r="T2281" i="1"/>
  <c r="P2281" i="1"/>
  <c r="T2280" i="1"/>
  <c r="P2280" i="1"/>
  <c r="T2279" i="1"/>
  <c r="P2279" i="1"/>
  <c r="T2278" i="1"/>
  <c r="P2278" i="1"/>
  <c r="T2277" i="1"/>
  <c r="P2277" i="1"/>
  <c r="T2276" i="1"/>
  <c r="P2276" i="1"/>
  <c r="T2275" i="1"/>
  <c r="P2275" i="1"/>
  <c r="V2274" i="1"/>
  <c r="U2274" i="1"/>
  <c r="T2274" i="1"/>
  <c r="S2274" i="1"/>
  <c r="T2273" i="1"/>
  <c r="P2273" i="1"/>
  <c r="T2272" i="1"/>
  <c r="S2272" i="1"/>
  <c r="P2272" i="1"/>
  <c r="T2271" i="1"/>
  <c r="P2271" i="1"/>
  <c r="T2270" i="1"/>
  <c r="P2270" i="1"/>
  <c r="T2269" i="1"/>
  <c r="S2269" i="1"/>
  <c r="P2269" i="1"/>
  <c r="T2268" i="1"/>
  <c r="P2268" i="1"/>
  <c r="T2267" i="1"/>
  <c r="P2267" i="1"/>
  <c r="T2266" i="1"/>
  <c r="P2266" i="1"/>
  <c r="T2265" i="1"/>
  <c r="S2265" i="1"/>
  <c r="P2265" i="1"/>
  <c r="T2264" i="1"/>
  <c r="P2264" i="1"/>
  <c r="T2263" i="1"/>
  <c r="S2263" i="1"/>
  <c r="P2263" i="1"/>
  <c r="T2262" i="1"/>
  <c r="S2262" i="1"/>
  <c r="P2262" i="1"/>
  <c r="T2261" i="1"/>
  <c r="P2261" i="1"/>
  <c r="T2260" i="1"/>
  <c r="P2260" i="1"/>
  <c r="T2259" i="1"/>
  <c r="P2259" i="1"/>
  <c r="T2258" i="1"/>
  <c r="S2258" i="1"/>
  <c r="P2258" i="1"/>
  <c r="T2257" i="1"/>
  <c r="P2257" i="1"/>
  <c r="T2256" i="1"/>
  <c r="P2256" i="1"/>
  <c r="T2255" i="1"/>
  <c r="P2255" i="1"/>
  <c r="T2254" i="1"/>
  <c r="P2254" i="1"/>
  <c r="T2253" i="1"/>
  <c r="S2253" i="1"/>
  <c r="P2253" i="1"/>
  <c r="T2252" i="1"/>
  <c r="P2252" i="1"/>
  <c r="T2251" i="1"/>
  <c r="P2251" i="1"/>
  <c r="T2250" i="1"/>
  <c r="P2250" i="1"/>
  <c r="T2249" i="1"/>
  <c r="P2249" i="1"/>
  <c r="T2248" i="1"/>
  <c r="S2248" i="1"/>
  <c r="P2248" i="1"/>
  <c r="T2247" i="1"/>
  <c r="S2247" i="1"/>
  <c r="P2247" i="1"/>
  <c r="T2246" i="1"/>
  <c r="S2246" i="1"/>
  <c r="P2246" i="1"/>
  <c r="T2245" i="1"/>
  <c r="P2245" i="1"/>
  <c r="T2244" i="1"/>
  <c r="P2244" i="1"/>
  <c r="T2243" i="1"/>
  <c r="S2243" i="1"/>
  <c r="P2243" i="1"/>
  <c r="T2242" i="1"/>
  <c r="P2242" i="1"/>
  <c r="T2241" i="1"/>
  <c r="S2241" i="1"/>
  <c r="P2241" i="1"/>
  <c r="T2240" i="1"/>
  <c r="P2240" i="1"/>
  <c r="T2239" i="1"/>
  <c r="P2239" i="1"/>
  <c r="T2238" i="1"/>
  <c r="P2238" i="1"/>
  <c r="T2237" i="1"/>
  <c r="P2237" i="1"/>
  <c r="T2236" i="1"/>
  <c r="P2236" i="1"/>
  <c r="T2235" i="1"/>
  <c r="S2235" i="1"/>
  <c r="P2235" i="1"/>
  <c r="T2234" i="1"/>
  <c r="P2234" i="1"/>
  <c r="T2233" i="1"/>
  <c r="P2233" i="1"/>
  <c r="T2232" i="1"/>
  <c r="P2232" i="1"/>
  <c r="T2231" i="1"/>
  <c r="P2231" i="1"/>
  <c r="T2230" i="1"/>
  <c r="P2230" i="1"/>
  <c r="T2229" i="1"/>
  <c r="P2229" i="1"/>
  <c r="T2228" i="1"/>
  <c r="P2228" i="1"/>
  <c r="T2227" i="1"/>
  <c r="P2227" i="1"/>
  <c r="T2226" i="1"/>
  <c r="P2226" i="1"/>
  <c r="T2225" i="1"/>
  <c r="P2225" i="1"/>
  <c r="T2224" i="1"/>
  <c r="P2224" i="1"/>
  <c r="T2223" i="1"/>
  <c r="P2223" i="1"/>
  <c r="T2222" i="1"/>
  <c r="P2222" i="1"/>
  <c r="T2221" i="1"/>
  <c r="P2221" i="1"/>
  <c r="T2220" i="1"/>
  <c r="P2220" i="1"/>
  <c r="T2219" i="1"/>
  <c r="P2219" i="1"/>
  <c r="T2218" i="1"/>
  <c r="P2218" i="1"/>
  <c r="T2217" i="1"/>
  <c r="P2217" i="1"/>
  <c r="T2216" i="1"/>
  <c r="P2216" i="1"/>
  <c r="T2215" i="1"/>
  <c r="P2215" i="1"/>
  <c r="T2214" i="1"/>
  <c r="P2214" i="1"/>
  <c r="T2213" i="1"/>
  <c r="P2213" i="1"/>
  <c r="T2212" i="1"/>
  <c r="S2212" i="1"/>
  <c r="P2212" i="1"/>
  <c r="U2211" i="1"/>
  <c r="T2211" i="1"/>
  <c r="S2211" i="1"/>
  <c r="P2211" i="1"/>
  <c r="V2211" i="1" s="1"/>
  <c r="V2210" i="1"/>
  <c r="U2210" i="1"/>
  <c r="T2210" i="1"/>
  <c r="S2210" i="1"/>
  <c r="T2209" i="1"/>
  <c r="P2209" i="1"/>
  <c r="T2208" i="1"/>
  <c r="P2208" i="1"/>
  <c r="T2207" i="1"/>
  <c r="P2207" i="1"/>
  <c r="T2206" i="1"/>
  <c r="P2206" i="1"/>
  <c r="T2205" i="1"/>
  <c r="P2205" i="1"/>
  <c r="T2204" i="1"/>
  <c r="P2204" i="1"/>
  <c r="T2203" i="1"/>
  <c r="P2203" i="1"/>
  <c r="T2202" i="1"/>
  <c r="P2202" i="1"/>
  <c r="T2201" i="1"/>
  <c r="P2201" i="1"/>
  <c r="T2200" i="1"/>
  <c r="P2200" i="1"/>
  <c r="T2199" i="1"/>
  <c r="P2199" i="1"/>
  <c r="T2198" i="1"/>
  <c r="P2198" i="1"/>
  <c r="T2197" i="1"/>
  <c r="P2197" i="1"/>
  <c r="T2196" i="1"/>
  <c r="P2196" i="1"/>
  <c r="T2195" i="1"/>
  <c r="P2195" i="1"/>
  <c r="T2194" i="1"/>
  <c r="S2194" i="1"/>
  <c r="P2194" i="1"/>
  <c r="T2193" i="1"/>
  <c r="P2193" i="1"/>
  <c r="T2192" i="1"/>
  <c r="P2192" i="1"/>
  <c r="T2191" i="1"/>
  <c r="P2191" i="1"/>
  <c r="T2190" i="1"/>
  <c r="P2190" i="1"/>
  <c r="T2189" i="1"/>
  <c r="P2189" i="1"/>
  <c r="T2188" i="1"/>
  <c r="P2188" i="1"/>
  <c r="V2187" i="1"/>
  <c r="U2187" i="1"/>
  <c r="T2187" i="1"/>
  <c r="S2187" i="1"/>
  <c r="V2186" i="1"/>
  <c r="U2186" i="1"/>
  <c r="T2186" i="1"/>
  <c r="S2186" i="1"/>
  <c r="T2185" i="1"/>
  <c r="P2185" i="1"/>
  <c r="T2184" i="1"/>
  <c r="P2184" i="1"/>
  <c r="T2183" i="1"/>
  <c r="P2183" i="1"/>
  <c r="T2182" i="1"/>
  <c r="P2182" i="1"/>
  <c r="T2181" i="1"/>
  <c r="P2181" i="1"/>
  <c r="T2180" i="1"/>
  <c r="P2180" i="1"/>
  <c r="T2179" i="1"/>
  <c r="P2179" i="1"/>
  <c r="T2178" i="1"/>
  <c r="P2178" i="1"/>
  <c r="T2177" i="1"/>
  <c r="P2177" i="1"/>
  <c r="T2176" i="1"/>
  <c r="P2176" i="1"/>
  <c r="T2175" i="1"/>
  <c r="S2175" i="1"/>
  <c r="P2175" i="1"/>
  <c r="T2174" i="1"/>
  <c r="P2174" i="1"/>
  <c r="T2173" i="1"/>
  <c r="P2173" i="1"/>
  <c r="U2172" i="1"/>
  <c r="T2172" i="1"/>
  <c r="P2172" i="1"/>
  <c r="V2171" i="1"/>
  <c r="U2171" i="1"/>
  <c r="T2171" i="1"/>
  <c r="P2171" i="1"/>
  <c r="S2171" i="1" s="1"/>
  <c r="T2170" i="1"/>
  <c r="P2170" i="1"/>
  <c r="T2169" i="1"/>
  <c r="P2169" i="1"/>
  <c r="T2168" i="1"/>
  <c r="P2168" i="1"/>
  <c r="T2167" i="1"/>
  <c r="P2167" i="1"/>
  <c r="T2166" i="1"/>
  <c r="P2166" i="1"/>
  <c r="T2165" i="1"/>
  <c r="P2165" i="1"/>
  <c r="T2164" i="1"/>
  <c r="P2164" i="1"/>
  <c r="T2163" i="1"/>
  <c r="P2163" i="1"/>
  <c r="T2162" i="1"/>
  <c r="P2162" i="1"/>
  <c r="T2161" i="1"/>
  <c r="P2161" i="1"/>
  <c r="T2160" i="1"/>
  <c r="P2160" i="1"/>
  <c r="T2159" i="1"/>
  <c r="P2159" i="1"/>
  <c r="T2158" i="1"/>
  <c r="P2158" i="1"/>
  <c r="T2157" i="1"/>
  <c r="P2157" i="1"/>
  <c r="T2156" i="1"/>
  <c r="P2156" i="1"/>
  <c r="T2155" i="1"/>
  <c r="P2155" i="1"/>
  <c r="T2154" i="1"/>
  <c r="P2154" i="1"/>
  <c r="T2153" i="1"/>
  <c r="P2153" i="1"/>
  <c r="T2152" i="1"/>
  <c r="P2152" i="1"/>
  <c r="T2151" i="1"/>
  <c r="P2151" i="1"/>
  <c r="T2150" i="1"/>
  <c r="P2150" i="1"/>
  <c r="T2149" i="1"/>
  <c r="P2149" i="1"/>
  <c r="V2148" i="1"/>
  <c r="U2148" i="1"/>
  <c r="T2148" i="1"/>
  <c r="S2148" i="1"/>
  <c r="V2147" i="1"/>
  <c r="U2147" i="1"/>
  <c r="T2147" i="1"/>
  <c r="S2147" i="1"/>
  <c r="V2146" i="1"/>
  <c r="U2146" i="1"/>
  <c r="T2146" i="1"/>
  <c r="S2146" i="1"/>
  <c r="V2145" i="1"/>
  <c r="U2145" i="1"/>
  <c r="T2145" i="1"/>
  <c r="S2145" i="1"/>
  <c r="T2144" i="1"/>
  <c r="P2144" i="1"/>
  <c r="T2143" i="1"/>
  <c r="P2143" i="1"/>
  <c r="V2142" i="1"/>
  <c r="U2142" i="1"/>
  <c r="T2142" i="1"/>
  <c r="S2142" i="1"/>
  <c r="V2141" i="1"/>
  <c r="U2141" i="1"/>
  <c r="T2141" i="1"/>
  <c r="S2141" i="1"/>
  <c r="V2140" i="1"/>
  <c r="U2140" i="1"/>
  <c r="T2140" i="1"/>
  <c r="S2140" i="1"/>
  <c r="T2139" i="1"/>
  <c r="P2139" i="1"/>
  <c r="T2138" i="1"/>
  <c r="P2138" i="1"/>
  <c r="T2137" i="1"/>
  <c r="P2137" i="1"/>
  <c r="V2136" i="1"/>
  <c r="U2136" i="1"/>
  <c r="T2136" i="1"/>
  <c r="S2136" i="1"/>
  <c r="V2135" i="1"/>
  <c r="U2135" i="1"/>
  <c r="T2135" i="1"/>
  <c r="S2135" i="1"/>
  <c r="V2134" i="1"/>
  <c r="U2134" i="1"/>
  <c r="T2134" i="1"/>
  <c r="S2134" i="1"/>
  <c r="V2133" i="1"/>
  <c r="U2133" i="1"/>
  <c r="T2133" i="1"/>
  <c r="S2133" i="1"/>
  <c r="T2132" i="1"/>
  <c r="P2132" i="1"/>
  <c r="T2131" i="1"/>
  <c r="P2131" i="1"/>
  <c r="T2130" i="1"/>
  <c r="P2130" i="1"/>
  <c r="T2129" i="1"/>
  <c r="P2129" i="1"/>
  <c r="V2128" i="1"/>
  <c r="U2128" i="1"/>
  <c r="T2128" i="1"/>
  <c r="S2128" i="1"/>
  <c r="A2128" i="1"/>
  <c r="X2128" i="1" s="1"/>
  <c r="A2129" i="1" s="1"/>
  <c r="T2125" i="1"/>
  <c r="P2125" i="1"/>
  <c r="T2124" i="1"/>
  <c r="P2124" i="1"/>
  <c r="U2123" i="1"/>
  <c r="V2123" i="1" s="1"/>
  <c r="T2123" i="1"/>
  <c r="S2123" i="1"/>
  <c r="T2122" i="1"/>
  <c r="P2122" i="1"/>
  <c r="T2121" i="1"/>
  <c r="N2121" i="1"/>
  <c r="P2121" i="1" s="1"/>
  <c r="T2120" i="1"/>
  <c r="P2120" i="1"/>
  <c r="T2119" i="1"/>
  <c r="P2119" i="1"/>
  <c r="T2118" i="1"/>
  <c r="P2118" i="1"/>
  <c r="X2117" i="1"/>
  <c r="T2116" i="1"/>
  <c r="N2116" i="1"/>
  <c r="P2116" i="1" s="1"/>
  <c r="T2115" i="1"/>
  <c r="P2115" i="1"/>
  <c r="T2114" i="1"/>
  <c r="R2114" i="1"/>
  <c r="N2114" i="1"/>
  <c r="P2114" i="1" s="1"/>
  <c r="T2113" i="1"/>
  <c r="P2113" i="1"/>
  <c r="T2112" i="1"/>
  <c r="P2112" i="1"/>
  <c r="T2111" i="1"/>
  <c r="P2111" i="1"/>
  <c r="T2110" i="1"/>
  <c r="P2110" i="1"/>
  <c r="T2109" i="1"/>
  <c r="P2109" i="1"/>
  <c r="T2108" i="1"/>
  <c r="N2108" i="1"/>
  <c r="P2108" i="1" s="1"/>
  <c r="T2107" i="1"/>
  <c r="N2107" i="1"/>
  <c r="P2107" i="1" s="1"/>
  <c r="T2106" i="1"/>
  <c r="N2106" i="1"/>
  <c r="P2106" i="1" s="1"/>
  <c r="T2105" i="1"/>
  <c r="P2105" i="1"/>
  <c r="T2104" i="1"/>
  <c r="P2104" i="1"/>
  <c r="T2103" i="1"/>
  <c r="N2103" i="1"/>
  <c r="P2103" i="1" s="1"/>
  <c r="T2102" i="1"/>
  <c r="P2102" i="1"/>
  <c r="T2101" i="1"/>
  <c r="P2101" i="1"/>
  <c r="T2100" i="1"/>
  <c r="N2100" i="1"/>
  <c r="P2100" i="1" s="1"/>
  <c r="T2099" i="1"/>
  <c r="N2099" i="1"/>
  <c r="P2099" i="1" s="1"/>
  <c r="T2098" i="1"/>
  <c r="P2098" i="1"/>
  <c r="T2097" i="1"/>
  <c r="P2097" i="1"/>
  <c r="T2096" i="1"/>
  <c r="P2096" i="1"/>
  <c r="T2095" i="1"/>
  <c r="N2095" i="1"/>
  <c r="P2095" i="1" s="1"/>
  <c r="T2094" i="1"/>
  <c r="N2094" i="1"/>
  <c r="P2094" i="1" s="1"/>
  <c r="T2093" i="1"/>
  <c r="N2093" i="1"/>
  <c r="P2093" i="1" s="1"/>
  <c r="T2091" i="1"/>
  <c r="P2091" i="1"/>
  <c r="T2090" i="1"/>
  <c r="P2090" i="1"/>
  <c r="T2089" i="1"/>
  <c r="P2089" i="1"/>
  <c r="T2088" i="1"/>
  <c r="N2088" i="1"/>
  <c r="P2088" i="1" s="1"/>
  <c r="T2087" i="1"/>
  <c r="P2087" i="1"/>
  <c r="T2086" i="1"/>
  <c r="P2086" i="1"/>
  <c r="T2085" i="1"/>
  <c r="P2085" i="1"/>
  <c r="T2084" i="1"/>
  <c r="P2084" i="1"/>
  <c r="T2083" i="1"/>
  <c r="P2083" i="1"/>
  <c r="V2082" i="1"/>
  <c r="U2082" i="1"/>
  <c r="T2082" i="1"/>
  <c r="S2082" i="1"/>
  <c r="T2081" i="1"/>
  <c r="P2081" i="1"/>
  <c r="T2080" i="1"/>
  <c r="P2080" i="1"/>
  <c r="T2079" i="1"/>
  <c r="P2079" i="1"/>
  <c r="T2078" i="1"/>
  <c r="P2078" i="1"/>
  <c r="T2077" i="1"/>
  <c r="P2077" i="1"/>
  <c r="T2076" i="1"/>
  <c r="P2076" i="1"/>
  <c r="T2075" i="1"/>
  <c r="P2075" i="1"/>
  <c r="T2074" i="1"/>
  <c r="P2074" i="1"/>
  <c r="T2073" i="1"/>
  <c r="P2073" i="1"/>
  <c r="T2072" i="1"/>
  <c r="P2072" i="1"/>
  <c r="T2071" i="1"/>
  <c r="P2071" i="1"/>
  <c r="T2070" i="1"/>
  <c r="P2070" i="1"/>
  <c r="V2069" i="1"/>
  <c r="U2069" i="1"/>
  <c r="T2069" i="1"/>
  <c r="S2069" i="1"/>
  <c r="T2068" i="1"/>
  <c r="P2068" i="1"/>
  <c r="T2067" i="1"/>
  <c r="P2067" i="1"/>
  <c r="T2066" i="1"/>
  <c r="P2066" i="1"/>
  <c r="T2065" i="1"/>
  <c r="P2065" i="1"/>
  <c r="T2064" i="1"/>
  <c r="P2064" i="1"/>
  <c r="T2063" i="1"/>
  <c r="P2063" i="1"/>
  <c r="T2062" i="1"/>
  <c r="P2062" i="1"/>
  <c r="T2061" i="1"/>
  <c r="P2061" i="1"/>
  <c r="T2060" i="1"/>
  <c r="P2060" i="1"/>
  <c r="T2059" i="1"/>
  <c r="P2059" i="1"/>
  <c r="T2058" i="1"/>
  <c r="P2058" i="1"/>
  <c r="T2057" i="1"/>
  <c r="P2057" i="1"/>
  <c r="T2056" i="1"/>
  <c r="P2056" i="1"/>
  <c r="T2055" i="1"/>
  <c r="P2055" i="1"/>
  <c r="T2054" i="1"/>
  <c r="P2054" i="1"/>
  <c r="T2053" i="1"/>
  <c r="P2053" i="1"/>
  <c r="T2052" i="1"/>
  <c r="P2052" i="1"/>
  <c r="T2051" i="1"/>
  <c r="P2051" i="1"/>
  <c r="T2050" i="1"/>
  <c r="P2050" i="1"/>
  <c r="T2049" i="1"/>
  <c r="P2049" i="1"/>
  <c r="T2048" i="1"/>
  <c r="P2048" i="1"/>
  <c r="T2047" i="1"/>
  <c r="P2047" i="1"/>
  <c r="T2046" i="1"/>
  <c r="P2046" i="1"/>
  <c r="T2045" i="1"/>
  <c r="P2045" i="1"/>
  <c r="T2044" i="1"/>
  <c r="P2044" i="1"/>
  <c r="T2043" i="1"/>
  <c r="P2043" i="1"/>
  <c r="T2042" i="1"/>
  <c r="P2042" i="1"/>
  <c r="T2041" i="1"/>
  <c r="P2041" i="1"/>
  <c r="T2040" i="1"/>
  <c r="P2040" i="1"/>
  <c r="T2039" i="1"/>
  <c r="P2039" i="1"/>
  <c r="T2038" i="1"/>
  <c r="P2038" i="1"/>
  <c r="T2037" i="1"/>
  <c r="P2037" i="1"/>
  <c r="T2036" i="1"/>
  <c r="P2036" i="1"/>
  <c r="T2035" i="1"/>
  <c r="P2035" i="1"/>
  <c r="T2034" i="1"/>
  <c r="P2034" i="1"/>
  <c r="V2033" i="1"/>
  <c r="U2033" i="1"/>
  <c r="T2033" i="1"/>
  <c r="S2033" i="1"/>
  <c r="T2032" i="1"/>
  <c r="P2032" i="1"/>
  <c r="T2031" i="1"/>
  <c r="P2031" i="1"/>
  <c r="T2030" i="1"/>
  <c r="P2030" i="1"/>
  <c r="T2029" i="1"/>
  <c r="P2029" i="1"/>
  <c r="T2028" i="1"/>
  <c r="P2028" i="1"/>
  <c r="T2027" i="1"/>
  <c r="P2027" i="1"/>
  <c r="T2026" i="1"/>
  <c r="P2026" i="1"/>
  <c r="T2025" i="1"/>
  <c r="P2025" i="1"/>
  <c r="T2024" i="1"/>
  <c r="P2024" i="1"/>
  <c r="T2023" i="1"/>
  <c r="P2023" i="1"/>
  <c r="T2022" i="1"/>
  <c r="P2022" i="1"/>
  <c r="T2021" i="1"/>
  <c r="P2021" i="1"/>
  <c r="T2020" i="1"/>
  <c r="P2020" i="1"/>
  <c r="T2019" i="1"/>
  <c r="P2019" i="1"/>
  <c r="T2018" i="1"/>
  <c r="P2018" i="1"/>
  <c r="T2017" i="1"/>
  <c r="P2017" i="1"/>
  <c r="T2016" i="1"/>
  <c r="P2016" i="1"/>
  <c r="T2015" i="1"/>
  <c r="P2015" i="1"/>
  <c r="T2014" i="1"/>
  <c r="P2014" i="1"/>
  <c r="T2013" i="1"/>
  <c r="P2013" i="1"/>
  <c r="T2012" i="1"/>
  <c r="P2012" i="1"/>
  <c r="T2011" i="1"/>
  <c r="P2011" i="1"/>
  <c r="T2010" i="1"/>
  <c r="P2010" i="1"/>
  <c r="T2009" i="1"/>
  <c r="P2009" i="1"/>
  <c r="T2008" i="1"/>
  <c r="P2008" i="1"/>
  <c r="T2007" i="1"/>
  <c r="P2007" i="1"/>
  <c r="T2006" i="1"/>
  <c r="P2006" i="1"/>
  <c r="T2005" i="1"/>
  <c r="P2005" i="1"/>
  <c r="T2004" i="1"/>
  <c r="P2004" i="1"/>
  <c r="T2003" i="1"/>
  <c r="P2003" i="1"/>
  <c r="T2002" i="1"/>
  <c r="P2002" i="1"/>
  <c r="T2001" i="1"/>
  <c r="P2001" i="1"/>
  <c r="T2000" i="1"/>
  <c r="P2000" i="1"/>
  <c r="T1999" i="1"/>
  <c r="P1999" i="1"/>
  <c r="T1998" i="1"/>
  <c r="P1998" i="1"/>
  <c r="T1997" i="1"/>
  <c r="P1997" i="1"/>
  <c r="T1996" i="1"/>
  <c r="P1996" i="1"/>
  <c r="T1995" i="1"/>
  <c r="P1995" i="1"/>
  <c r="T1994" i="1"/>
  <c r="P1994" i="1"/>
  <c r="T1993" i="1"/>
  <c r="P1993" i="1"/>
  <c r="T1992" i="1"/>
  <c r="P1992" i="1"/>
  <c r="T1991" i="1"/>
  <c r="P1991" i="1"/>
  <c r="T1990" i="1"/>
  <c r="P1990" i="1"/>
  <c r="T1989" i="1"/>
  <c r="P1989" i="1"/>
  <c r="T1988" i="1"/>
  <c r="P1988" i="1"/>
  <c r="T1987" i="1"/>
  <c r="P1987" i="1"/>
  <c r="T1986" i="1"/>
  <c r="P1986" i="1"/>
  <c r="T1985" i="1"/>
  <c r="P1985" i="1"/>
  <c r="T1984" i="1"/>
  <c r="P1984" i="1"/>
  <c r="T1983" i="1"/>
  <c r="P1983" i="1"/>
  <c r="T1982" i="1"/>
  <c r="P1982" i="1"/>
  <c r="T1981" i="1"/>
  <c r="P1981" i="1"/>
  <c r="T1980" i="1"/>
  <c r="P1980" i="1"/>
  <c r="T1979" i="1"/>
  <c r="P1979" i="1"/>
  <c r="T1978" i="1"/>
  <c r="P1978" i="1"/>
  <c r="T1977" i="1"/>
  <c r="P1977" i="1"/>
  <c r="T1976" i="1"/>
  <c r="P1976" i="1"/>
  <c r="T1975" i="1"/>
  <c r="P1975" i="1"/>
  <c r="T1974" i="1"/>
  <c r="P1974" i="1"/>
  <c r="T1973" i="1"/>
  <c r="P1973" i="1"/>
  <c r="T1972" i="1"/>
  <c r="P1972" i="1"/>
  <c r="T1971" i="1"/>
  <c r="P1971" i="1"/>
  <c r="T1970" i="1"/>
  <c r="P1970" i="1"/>
  <c r="T1969" i="1"/>
  <c r="P1969" i="1"/>
  <c r="T1968" i="1"/>
  <c r="P1968" i="1"/>
  <c r="T1967" i="1"/>
  <c r="P1967" i="1"/>
  <c r="T1966" i="1"/>
  <c r="P1966" i="1"/>
  <c r="T1965" i="1"/>
  <c r="P1965" i="1"/>
  <c r="T1964" i="1"/>
  <c r="P1964" i="1"/>
  <c r="T1963" i="1"/>
  <c r="P1963" i="1"/>
  <c r="T1962" i="1"/>
  <c r="P1962" i="1"/>
  <c r="T1961" i="1"/>
  <c r="P1961" i="1"/>
  <c r="T1960" i="1"/>
  <c r="P1960" i="1"/>
  <c r="T1959" i="1"/>
  <c r="P1959" i="1"/>
  <c r="T1958" i="1"/>
  <c r="P1958" i="1"/>
  <c r="T1957" i="1"/>
  <c r="P1957" i="1"/>
  <c r="T1956" i="1"/>
  <c r="P1956" i="1"/>
  <c r="T1955" i="1"/>
  <c r="P1955" i="1"/>
  <c r="T1954" i="1"/>
  <c r="P1954" i="1"/>
  <c r="T1953" i="1"/>
  <c r="P1953" i="1"/>
  <c r="T1952" i="1"/>
  <c r="P1952" i="1"/>
  <c r="T1951" i="1"/>
  <c r="P1951" i="1"/>
  <c r="V1950" i="1"/>
  <c r="U1950" i="1"/>
  <c r="T1950" i="1"/>
  <c r="S1950" i="1"/>
  <c r="V1949" i="1"/>
  <c r="U1949" i="1"/>
  <c r="T1949" i="1"/>
  <c r="S1949" i="1"/>
  <c r="V1948" i="1"/>
  <c r="U1948" i="1"/>
  <c r="T1948" i="1"/>
  <c r="S1948" i="1"/>
  <c r="T1947" i="1"/>
  <c r="P1947" i="1"/>
  <c r="T1946" i="1"/>
  <c r="P1946" i="1"/>
  <c r="T1945" i="1"/>
  <c r="P1945" i="1"/>
  <c r="T1944" i="1"/>
  <c r="P1944" i="1"/>
  <c r="T1943" i="1"/>
  <c r="P1943" i="1"/>
  <c r="T1942" i="1"/>
  <c r="P1942" i="1"/>
  <c r="A1942" i="1"/>
  <c r="T1939" i="1"/>
  <c r="P1939" i="1"/>
  <c r="T1938" i="1"/>
  <c r="P1938" i="1"/>
  <c r="T1937" i="1"/>
  <c r="P1937" i="1"/>
  <c r="T1936" i="1"/>
  <c r="P1936" i="1"/>
  <c r="T1935" i="1"/>
  <c r="P1935" i="1"/>
  <c r="T1934" i="1"/>
  <c r="N1934" i="1"/>
  <c r="P1934" i="1" s="1"/>
  <c r="T1933" i="1"/>
  <c r="N1933" i="1"/>
  <c r="P1933" i="1" s="1"/>
  <c r="T1932" i="1"/>
  <c r="P1932" i="1"/>
  <c r="T1931" i="1"/>
  <c r="N1931" i="1"/>
  <c r="P1931" i="1" s="1"/>
  <c r="T1930" i="1"/>
  <c r="N1930" i="1"/>
  <c r="P1930" i="1" s="1"/>
  <c r="T1929" i="1"/>
  <c r="N1929" i="1"/>
  <c r="P1929" i="1" s="1"/>
  <c r="T1928" i="1"/>
  <c r="P1928" i="1"/>
  <c r="T1927" i="1"/>
  <c r="P1927" i="1"/>
  <c r="T1926" i="1"/>
  <c r="P1926" i="1"/>
  <c r="T1925" i="1"/>
  <c r="P1925" i="1"/>
  <c r="T1924" i="1"/>
  <c r="P1924" i="1"/>
  <c r="T1923" i="1"/>
  <c r="P1923" i="1"/>
  <c r="T1922" i="1"/>
  <c r="P1922" i="1"/>
  <c r="T1921" i="1"/>
  <c r="P1921" i="1"/>
  <c r="V1920" i="1"/>
  <c r="U1920" i="1"/>
  <c r="T1920" i="1"/>
  <c r="S1920" i="1"/>
  <c r="T1919" i="1"/>
  <c r="P1919" i="1"/>
  <c r="T1918" i="1"/>
  <c r="P1918" i="1"/>
  <c r="T1917" i="1"/>
  <c r="P1917" i="1"/>
  <c r="T1916" i="1"/>
  <c r="P1916" i="1"/>
  <c r="T1915" i="1"/>
  <c r="P1915" i="1"/>
  <c r="T1914" i="1"/>
  <c r="P1914" i="1"/>
  <c r="T1913" i="1"/>
  <c r="P1913" i="1"/>
  <c r="T1912" i="1"/>
  <c r="P1912" i="1"/>
  <c r="T1911" i="1"/>
  <c r="P1911" i="1"/>
  <c r="T1910" i="1"/>
  <c r="P1910" i="1"/>
  <c r="T1909" i="1"/>
  <c r="P1909" i="1"/>
  <c r="T1908" i="1"/>
  <c r="P1908" i="1"/>
  <c r="T1907" i="1"/>
  <c r="P1907" i="1"/>
  <c r="T1906" i="1"/>
  <c r="P1906" i="1"/>
  <c r="T1905" i="1"/>
  <c r="P1905" i="1"/>
  <c r="T1904" i="1"/>
  <c r="P1904" i="1"/>
  <c r="T1903" i="1"/>
  <c r="P1903" i="1"/>
  <c r="T1902" i="1"/>
  <c r="P1902" i="1"/>
  <c r="T1901" i="1"/>
  <c r="P1901" i="1"/>
  <c r="T1900" i="1"/>
  <c r="P1900" i="1"/>
  <c r="T1899" i="1"/>
  <c r="P1899" i="1"/>
  <c r="T1898" i="1"/>
  <c r="P1898" i="1"/>
  <c r="T1897" i="1"/>
  <c r="S1897" i="1"/>
  <c r="P1897" i="1"/>
  <c r="T1896" i="1"/>
  <c r="P1896" i="1"/>
  <c r="T1895" i="1"/>
  <c r="P1895" i="1"/>
  <c r="T1894" i="1"/>
  <c r="P1894" i="1"/>
  <c r="T1893" i="1"/>
  <c r="P1893" i="1"/>
  <c r="T1892" i="1"/>
  <c r="P1892" i="1"/>
  <c r="T1891" i="1"/>
  <c r="P1891" i="1"/>
  <c r="T1890" i="1"/>
  <c r="P1890" i="1"/>
  <c r="T1889" i="1"/>
  <c r="P1889" i="1"/>
  <c r="T1888" i="1"/>
  <c r="P1888" i="1"/>
  <c r="T1887" i="1"/>
  <c r="P1887" i="1"/>
  <c r="T1886" i="1"/>
  <c r="P1886" i="1"/>
  <c r="T1885" i="1"/>
  <c r="P1885" i="1"/>
  <c r="T1884" i="1"/>
  <c r="P1884" i="1"/>
  <c r="U1883" i="1"/>
  <c r="T1883" i="1"/>
  <c r="P1883" i="1"/>
  <c r="T1882" i="1"/>
  <c r="P1882" i="1"/>
  <c r="T1881" i="1"/>
  <c r="P1881" i="1"/>
  <c r="T1880" i="1"/>
  <c r="P1880" i="1"/>
  <c r="T1879" i="1"/>
  <c r="P1879" i="1"/>
  <c r="T1878" i="1"/>
  <c r="P1878" i="1"/>
  <c r="T1877" i="1"/>
  <c r="P1877" i="1"/>
  <c r="T1876" i="1"/>
  <c r="P1876" i="1"/>
  <c r="T1875" i="1"/>
  <c r="P1875" i="1"/>
  <c r="T1874" i="1"/>
  <c r="P1874" i="1"/>
  <c r="T1873" i="1"/>
  <c r="S1873" i="1"/>
  <c r="P1873" i="1"/>
  <c r="T1872" i="1"/>
  <c r="P1872" i="1"/>
  <c r="T1871" i="1"/>
  <c r="P1871" i="1"/>
  <c r="T1870" i="1"/>
  <c r="P1870" i="1"/>
  <c r="T1869" i="1"/>
  <c r="P1869" i="1"/>
  <c r="T1868" i="1"/>
  <c r="P1868" i="1"/>
  <c r="T1867" i="1"/>
  <c r="S1867" i="1"/>
  <c r="P1867" i="1"/>
  <c r="T1866" i="1"/>
  <c r="P1866" i="1"/>
  <c r="T1865" i="1"/>
  <c r="P1865" i="1"/>
  <c r="T1864" i="1"/>
  <c r="P1864" i="1"/>
  <c r="T1863" i="1"/>
  <c r="P1863" i="1"/>
  <c r="T1862" i="1"/>
  <c r="P1862" i="1"/>
  <c r="T1861" i="1"/>
  <c r="P1861" i="1"/>
  <c r="T1860" i="1"/>
  <c r="P1860" i="1"/>
  <c r="T1859" i="1"/>
  <c r="P1859" i="1"/>
  <c r="T1858" i="1"/>
  <c r="P1858" i="1"/>
  <c r="T1857" i="1"/>
  <c r="P1857" i="1"/>
  <c r="T1856" i="1"/>
  <c r="P1856" i="1"/>
  <c r="T1855" i="1"/>
  <c r="P1855" i="1"/>
  <c r="T1854" i="1"/>
  <c r="P1854" i="1"/>
  <c r="V1853" i="1"/>
  <c r="U1853" i="1"/>
  <c r="T1853" i="1"/>
  <c r="S1853" i="1"/>
  <c r="T1852" i="1"/>
  <c r="P1852" i="1"/>
  <c r="V1851" i="1"/>
  <c r="U1851" i="1"/>
  <c r="T1851" i="1"/>
  <c r="S1851" i="1"/>
  <c r="V1850" i="1"/>
  <c r="U1850" i="1"/>
  <c r="T1850" i="1"/>
  <c r="S1850" i="1"/>
  <c r="V1849" i="1"/>
  <c r="U1849" i="1"/>
  <c r="T1849" i="1"/>
  <c r="S1849" i="1"/>
  <c r="T1848" i="1"/>
  <c r="P1848" i="1"/>
  <c r="V1847" i="1"/>
  <c r="U1847" i="1"/>
  <c r="T1847" i="1"/>
  <c r="S1847" i="1"/>
  <c r="V1846" i="1"/>
  <c r="U1846" i="1"/>
  <c r="T1846" i="1"/>
  <c r="S1846" i="1"/>
  <c r="V1845" i="1"/>
  <c r="U1845" i="1"/>
  <c r="T1845" i="1"/>
  <c r="S1845" i="1"/>
  <c r="T1844" i="1"/>
  <c r="P1844" i="1"/>
  <c r="V1843" i="1"/>
  <c r="U1843" i="1"/>
  <c r="T1843" i="1"/>
  <c r="S1843" i="1"/>
  <c r="T1842" i="1"/>
  <c r="P1842" i="1"/>
  <c r="T1841" i="1"/>
  <c r="S1841" i="1"/>
  <c r="P1841" i="1"/>
  <c r="T1840" i="1"/>
  <c r="P1840" i="1"/>
  <c r="V1839" i="1"/>
  <c r="U1839" i="1"/>
  <c r="T1839" i="1"/>
  <c r="S1839" i="1"/>
  <c r="V1838" i="1"/>
  <c r="U1838" i="1"/>
  <c r="T1838" i="1"/>
  <c r="S1838" i="1"/>
  <c r="T1837" i="1"/>
  <c r="P1837" i="1"/>
  <c r="A1837" i="1"/>
  <c r="T1834" i="1"/>
  <c r="P1834" i="1"/>
  <c r="T1833" i="1"/>
  <c r="P1833" i="1"/>
  <c r="T1832" i="1"/>
  <c r="P1832" i="1"/>
  <c r="T1831" i="1"/>
  <c r="P1831" i="1"/>
  <c r="T1830" i="1"/>
  <c r="P1830" i="1"/>
  <c r="T1829" i="1"/>
  <c r="P1829" i="1"/>
  <c r="T1828" i="1"/>
  <c r="P1828" i="1"/>
  <c r="T1827" i="1"/>
  <c r="P1827" i="1"/>
  <c r="T1826" i="1"/>
  <c r="P1826" i="1"/>
  <c r="T1825" i="1"/>
  <c r="P1825" i="1"/>
  <c r="T1824" i="1"/>
  <c r="N1824" i="1"/>
  <c r="P1824" i="1" s="1"/>
  <c r="T1823" i="1"/>
  <c r="S1823" i="1"/>
  <c r="P1823" i="1"/>
  <c r="U1823" i="1" s="1"/>
  <c r="V1823" i="1" s="1"/>
  <c r="T1822" i="1"/>
  <c r="P1822" i="1"/>
  <c r="T1821" i="1"/>
  <c r="P1821" i="1"/>
  <c r="T1820" i="1"/>
  <c r="P1820" i="1"/>
  <c r="T1819" i="1"/>
  <c r="P1819" i="1"/>
  <c r="T1818" i="1"/>
  <c r="P1818" i="1"/>
  <c r="T1817" i="1"/>
  <c r="P1817" i="1"/>
  <c r="T1816" i="1"/>
  <c r="P1816" i="1"/>
  <c r="T1815" i="1"/>
  <c r="P1815" i="1"/>
  <c r="T1814" i="1"/>
  <c r="P1814" i="1"/>
  <c r="T1813" i="1"/>
  <c r="P1813" i="1"/>
  <c r="U1812" i="1"/>
  <c r="T1812" i="1"/>
  <c r="P1812" i="1"/>
  <c r="T1811" i="1"/>
  <c r="P1811" i="1"/>
  <c r="T1810" i="1"/>
  <c r="S1810" i="1"/>
  <c r="P1810" i="1"/>
  <c r="T1809" i="1"/>
  <c r="P1809" i="1"/>
  <c r="T1808" i="1"/>
  <c r="P1808" i="1"/>
  <c r="T1807" i="1"/>
  <c r="P1807" i="1"/>
  <c r="T1806" i="1"/>
  <c r="P1806" i="1"/>
  <c r="T1805" i="1"/>
  <c r="P1805" i="1"/>
  <c r="T1804" i="1"/>
  <c r="P1804" i="1"/>
  <c r="T1803" i="1"/>
  <c r="P1803" i="1"/>
  <c r="T1802" i="1"/>
  <c r="P1802" i="1"/>
  <c r="T1801" i="1"/>
  <c r="P1801" i="1"/>
  <c r="T1800" i="1"/>
  <c r="P1800" i="1"/>
  <c r="T1799" i="1"/>
  <c r="P1799" i="1"/>
  <c r="T1798" i="1"/>
  <c r="P1798" i="1"/>
  <c r="T1797" i="1"/>
  <c r="P1797" i="1"/>
  <c r="T1796" i="1"/>
  <c r="P1796" i="1"/>
  <c r="T1795" i="1"/>
  <c r="P1795" i="1"/>
  <c r="T1794" i="1"/>
  <c r="P1794" i="1"/>
  <c r="T1793" i="1"/>
  <c r="P1793" i="1"/>
  <c r="T1792" i="1"/>
  <c r="P1792" i="1"/>
  <c r="T1791" i="1"/>
  <c r="P1791" i="1"/>
  <c r="T1790" i="1"/>
  <c r="P1790" i="1"/>
  <c r="T1789" i="1"/>
  <c r="P1789" i="1"/>
  <c r="T1788" i="1"/>
  <c r="P1788" i="1"/>
  <c r="V1787" i="1"/>
  <c r="T1787" i="1"/>
  <c r="P1787" i="1"/>
  <c r="T1786" i="1"/>
  <c r="P1786" i="1"/>
  <c r="T1785" i="1"/>
  <c r="P1785" i="1"/>
  <c r="T1784" i="1"/>
  <c r="P1784" i="1"/>
  <c r="T1783" i="1"/>
  <c r="P1783" i="1"/>
  <c r="T1782" i="1"/>
  <c r="P1782" i="1"/>
  <c r="T1781" i="1"/>
  <c r="P1781" i="1"/>
  <c r="T1780" i="1"/>
  <c r="P1780" i="1"/>
  <c r="U1779" i="1"/>
  <c r="T1779" i="1"/>
  <c r="P1779" i="1"/>
  <c r="T1778" i="1"/>
  <c r="P1778" i="1"/>
  <c r="T1777" i="1"/>
  <c r="P1777" i="1"/>
  <c r="T1776" i="1"/>
  <c r="P1776" i="1"/>
  <c r="T1775" i="1"/>
  <c r="P1775" i="1"/>
  <c r="T1774" i="1"/>
  <c r="P1774" i="1"/>
  <c r="T1773" i="1"/>
  <c r="P1773" i="1"/>
  <c r="T1772" i="1"/>
  <c r="P1772" i="1"/>
  <c r="T1771" i="1"/>
  <c r="P1771" i="1"/>
  <c r="T1770" i="1"/>
  <c r="P1770" i="1"/>
  <c r="T1769" i="1"/>
  <c r="P1769" i="1"/>
  <c r="T1768" i="1"/>
  <c r="P1768" i="1"/>
  <c r="T1767" i="1"/>
  <c r="P1767" i="1"/>
  <c r="T1766" i="1"/>
  <c r="S1766" i="1"/>
  <c r="P1766" i="1"/>
  <c r="T1765" i="1"/>
  <c r="P1765" i="1"/>
  <c r="T1764" i="1"/>
  <c r="S1764" i="1"/>
  <c r="P1764" i="1"/>
  <c r="T1763" i="1"/>
  <c r="P1763" i="1"/>
  <c r="T1762" i="1"/>
  <c r="P1762" i="1"/>
  <c r="T1761" i="1"/>
  <c r="P1761" i="1"/>
  <c r="T1760" i="1"/>
  <c r="P1760" i="1"/>
  <c r="T1759" i="1"/>
  <c r="P1759" i="1"/>
  <c r="T1758" i="1"/>
  <c r="P1758" i="1"/>
  <c r="T1757" i="1"/>
  <c r="S1757" i="1"/>
  <c r="P1757" i="1"/>
  <c r="T1756" i="1"/>
  <c r="P1756" i="1"/>
  <c r="T1755" i="1"/>
  <c r="P1755" i="1"/>
  <c r="T1754" i="1"/>
  <c r="P1754" i="1"/>
  <c r="T1753" i="1"/>
  <c r="P1753" i="1"/>
  <c r="T1752" i="1"/>
  <c r="P1752" i="1"/>
  <c r="T1751" i="1"/>
  <c r="P1751" i="1"/>
  <c r="T1750" i="1"/>
  <c r="P1750" i="1"/>
  <c r="T1749" i="1"/>
  <c r="P1749" i="1"/>
  <c r="T1748" i="1"/>
  <c r="P1748" i="1"/>
  <c r="T1747" i="1"/>
  <c r="S1747" i="1"/>
  <c r="P1747" i="1"/>
  <c r="T1746" i="1"/>
  <c r="S1746" i="1"/>
  <c r="P1746" i="1"/>
  <c r="T1745" i="1"/>
  <c r="P1745" i="1"/>
  <c r="T1744" i="1"/>
  <c r="P1744" i="1"/>
  <c r="T1743" i="1"/>
  <c r="P1743" i="1"/>
  <c r="T1742" i="1"/>
  <c r="P1742" i="1"/>
  <c r="T1741" i="1"/>
  <c r="P1741" i="1"/>
  <c r="T1740" i="1"/>
  <c r="P1740" i="1"/>
  <c r="T1739" i="1"/>
  <c r="P1739" i="1"/>
  <c r="T1738" i="1"/>
  <c r="P1738" i="1"/>
  <c r="T1737" i="1"/>
  <c r="P1737" i="1"/>
  <c r="T1736" i="1"/>
  <c r="P1736" i="1"/>
  <c r="T1735" i="1"/>
  <c r="P1735" i="1"/>
  <c r="T1734" i="1"/>
  <c r="P1734" i="1"/>
  <c r="T1733" i="1"/>
  <c r="P1733" i="1"/>
  <c r="T1732" i="1"/>
  <c r="P1732" i="1"/>
  <c r="T1731" i="1"/>
  <c r="P1731" i="1"/>
  <c r="T1730" i="1"/>
  <c r="P1730" i="1"/>
  <c r="U1729" i="1"/>
  <c r="T1729" i="1"/>
  <c r="P1729" i="1"/>
  <c r="V1728" i="1"/>
  <c r="U1728" i="1"/>
  <c r="T1728" i="1"/>
  <c r="S1728" i="1"/>
  <c r="T1727" i="1"/>
  <c r="P1727" i="1"/>
  <c r="V1726" i="1"/>
  <c r="U1726" i="1"/>
  <c r="T1726" i="1"/>
  <c r="S1726" i="1"/>
  <c r="V1725" i="1"/>
  <c r="U1725" i="1"/>
  <c r="T1725" i="1"/>
  <c r="S1725" i="1"/>
  <c r="V1724" i="1"/>
  <c r="U1724" i="1"/>
  <c r="T1724" i="1"/>
  <c r="S1724" i="1"/>
  <c r="V1723" i="1"/>
  <c r="U1723" i="1"/>
  <c r="T1723" i="1"/>
  <c r="S1723" i="1"/>
  <c r="T1722" i="1"/>
  <c r="P1722" i="1"/>
  <c r="V1721" i="1"/>
  <c r="U1721" i="1"/>
  <c r="T1721" i="1"/>
  <c r="S1721" i="1"/>
  <c r="U1720" i="1"/>
  <c r="T1720" i="1"/>
  <c r="P1720" i="1"/>
  <c r="T1719" i="1"/>
  <c r="P1719" i="1"/>
  <c r="T1718" i="1"/>
  <c r="P1718" i="1"/>
  <c r="V1717" i="1"/>
  <c r="U1717" i="1"/>
  <c r="T1717" i="1"/>
  <c r="S1717" i="1"/>
  <c r="V1716" i="1"/>
  <c r="U1716" i="1"/>
  <c r="T1716" i="1"/>
  <c r="S1716" i="1"/>
  <c r="T1715" i="1"/>
  <c r="P1715" i="1"/>
  <c r="V1714" i="1"/>
  <c r="U1714" i="1"/>
  <c r="T1714" i="1"/>
  <c r="S1714" i="1"/>
  <c r="T1713" i="1"/>
  <c r="P1713" i="1"/>
  <c r="V1712" i="1"/>
  <c r="U1712" i="1"/>
  <c r="T1712" i="1"/>
  <c r="S1712" i="1"/>
  <c r="V1711" i="1"/>
  <c r="U1711" i="1"/>
  <c r="T1711" i="1"/>
  <c r="S1711" i="1"/>
  <c r="T1709" i="1"/>
  <c r="P1709" i="1"/>
  <c r="T1708" i="1"/>
  <c r="P1708" i="1"/>
  <c r="V1707" i="1"/>
  <c r="U1707" i="1"/>
  <c r="T1707" i="1"/>
  <c r="S1707" i="1"/>
  <c r="T1706" i="1"/>
  <c r="P1706" i="1"/>
  <c r="V1705" i="1"/>
  <c r="U1705" i="1"/>
  <c r="T1705" i="1"/>
  <c r="S1705" i="1"/>
  <c r="T1704" i="1"/>
  <c r="P1704" i="1"/>
  <c r="V1703" i="1"/>
  <c r="U1703" i="1"/>
  <c r="T1703" i="1"/>
  <c r="S1703" i="1"/>
  <c r="T1702" i="1"/>
  <c r="P1702" i="1"/>
  <c r="V1701" i="1"/>
  <c r="U1701" i="1"/>
  <c r="T1701" i="1"/>
  <c r="S1701" i="1"/>
  <c r="A1701" i="1"/>
  <c r="X1701" i="1" s="1"/>
  <c r="A1702" i="1" s="1"/>
  <c r="T1698" i="1"/>
  <c r="P1698" i="1"/>
  <c r="T1697" i="1"/>
  <c r="P1697" i="1"/>
  <c r="T1696" i="1"/>
  <c r="P1696" i="1"/>
  <c r="T1695" i="1"/>
  <c r="P1695" i="1"/>
  <c r="T1694" i="1"/>
  <c r="P1694" i="1"/>
  <c r="T1693" i="1"/>
  <c r="P1693" i="1"/>
  <c r="T1692" i="1"/>
  <c r="P1692" i="1"/>
  <c r="T1691" i="1"/>
  <c r="P1691" i="1"/>
  <c r="T1690" i="1"/>
  <c r="P1690" i="1"/>
  <c r="T1689" i="1"/>
  <c r="P1689" i="1"/>
  <c r="T1688" i="1"/>
  <c r="P1688" i="1"/>
  <c r="T1687" i="1"/>
  <c r="P1687" i="1"/>
  <c r="T1686" i="1"/>
  <c r="P1686" i="1"/>
  <c r="T1685" i="1"/>
  <c r="P1685" i="1"/>
  <c r="T1684" i="1"/>
  <c r="P1684" i="1"/>
  <c r="T1683" i="1"/>
  <c r="P1683" i="1"/>
  <c r="T1682" i="1"/>
  <c r="P1682" i="1"/>
  <c r="T1681" i="1"/>
  <c r="P1681" i="1"/>
  <c r="T1680" i="1"/>
  <c r="P1680" i="1"/>
  <c r="T1679" i="1"/>
  <c r="P1679" i="1"/>
  <c r="T1678" i="1"/>
  <c r="P1678" i="1"/>
  <c r="T1677" i="1"/>
  <c r="P1677" i="1"/>
  <c r="T1676" i="1"/>
  <c r="P1676" i="1"/>
  <c r="T1675" i="1"/>
  <c r="P1675" i="1"/>
  <c r="T1674" i="1"/>
  <c r="P1674" i="1"/>
  <c r="T1673" i="1"/>
  <c r="P1673" i="1"/>
  <c r="T1672" i="1"/>
  <c r="P1672" i="1"/>
  <c r="T1671" i="1"/>
  <c r="P1671" i="1"/>
  <c r="T1670" i="1"/>
  <c r="P1670" i="1"/>
  <c r="T1669" i="1"/>
  <c r="P1669" i="1"/>
  <c r="T1668" i="1"/>
  <c r="N1668" i="1"/>
  <c r="P1668" i="1" s="1"/>
  <c r="T1667" i="1"/>
  <c r="P1667" i="1"/>
  <c r="T1666" i="1"/>
  <c r="P1666" i="1"/>
  <c r="T1665" i="1"/>
  <c r="P1665" i="1"/>
  <c r="T1664" i="1"/>
  <c r="P1664" i="1"/>
  <c r="T1663" i="1"/>
  <c r="P1663" i="1"/>
  <c r="T1662" i="1"/>
  <c r="P1662" i="1"/>
  <c r="T1661" i="1"/>
  <c r="N1661" i="1"/>
  <c r="P1661" i="1" s="1"/>
  <c r="T1660" i="1"/>
  <c r="P1660" i="1"/>
  <c r="T1659" i="1"/>
  <c r="P1659" i="1"/>
  <c r="T1658" i="1"/>
  <c r="P1658" i="1"/>
  <c r="T1657" i="1"/>
  <c r="P1657" i="1"/>
  <c r="T1656" i="1"/>
  <c r="P1656" i="1"/>
  <c r="T1655" i="1"/>
  <c r="P1655" i="1"/>
  <c r="T1654" i="1"/>
  <c r="P1654" i="1"/>
  <c r="T1653" i="1"/>
  <c r="P1653" i="1"/>
  <c r="T1652" i="1"/>
  <c r="P1652" i="1"/>
  <c r="T1651" i="1"/>
  <c r="P1651" i="1"/>
  <c r="T1650" i="1"/>
  <c r="P1650" i="1"/>
  <c r="T1649" i="1"/>
  <c r="P1649" i="1"/>
  <c r="T1648" i="1"/>
  <c r="P1648" i="1"/>
  <c r="T1647" i="1"/>
  <c r="P1647" i="1"/>
  <c r="T1646" i="1"/>
  <c r="P1646" i="1"/>
  <c r="T1645" i="1"/>
  <c r="P1645" i="1"/>
  <c r="T1644" i="1"/>
  <c r="P1644" i="1"/>
  <c r="T1643" i="1"/>
  <c r="P1643" i="1"/>
  <c r="T1642" i="1"/>
  <c r="P1642" i="1"/>
  <c r="T1641" i="1"/>
  <c r="P1641" i="1"/>
  <c r="T1640" i="1"/>
  <c r="P1640" i="1"/>
  <c r="T1639" i="1"/>
  <c r="P1639" i="1"/>
  <c r="T1638" i="1"/>
  <c r="P1638" i="1"/>
  <c r="T1637" i="1"/>
  <c r="P1637" i="1"/>
  <c r="T1636" i="1"/>
  <c r="P1636" i="1"/>
  <c r="T1635" i="1"/>
  <c r="P1635" i="1"/>
  <c r="T1634" i="1"/>
  <c r="P1634" i="1"/>
  <c r="T1633" i="1"/>
  <c r="P1633" i="1"/>
  <c r="T1632" i="1"/>
  <c r="P1632" i="1"/>
  <c r="T1631" i="1"/>
  <c r="P1631" i="1"/>
  <c r="T1630" i="1"/>
  <c r="P1630" i="1"/>
  <c r="T1629" i="1"/>
  <c r="P1629" i="1"/>
  <c r="T1628" i="1"/>
  <c r="P1628" i="1"/>
  <c r="T1627" i="1"/>
  <c r="P1627" i="1"/>
  <c r="T1626" i="1"/>
  <c r="P1626" i="1"/>
  <c r="T1625" i="1"/>
  <c r="P1625" i="1"/>
  <c r="T1624" i="1"/>
  <c r="P1624" i="1"/>
  <c r="T1623" i="1"/>
  <c r="P1623" i="1"/>
  <c r="T1622" i="1"/>
  <c r="P1622" i="1"/>
  <c r="T1621" i="1"/>
  <c r="P1621" i="1"/>
  <c r="T1620" i="1"/>
  <c r="P1620" i="1"/>
  <c r="T1619" i="1"/>
  <c r="P1619" i="1"/>
  <c r="T1618" i="1"/>
  <c r="P1618" i="1"/>
  <c r="T1617" i="1"/>
  <c r="P1617" i="1"/>
  <c r="T1616" i="1"/>
  <c r="P1616" i="1"/>
  <c r="T1615" i="1"/>
  <c r="P1615" i="1"/>
  <c r="T1614" i="1"/>
  <c r="P1614" i="1"/>
  <c r="T1613" i="1"/>
  <c r="P1613" i="1"/>
  <c r="T1612" i="1"/>
  <c r="P1612" i="1"/>
  <c r="T1611" i="1"/>
  <c r="P1611" i="1"/>
  <c r="T1610" i="1"/>
  <c r="P1610" i="1"/>
  <c r="T1609" i="1"/>
  <c r="P1609" i="1"/>
  <c r="T1608" i="1"/>
  <c r="P1608" i="1"/>
  <c r="T1607" i="1"/>
  <c r="P1607" i="1"/>
  <c r="T1606" i="1"/>
  <c r="P1606" i="1"/>
  <c r="T1605" i="1"/>
  <c r="P1605" i="1"/>
  <c r="T1604" i="1"/>
  <c r="P1604" i="1"/>
  <c r="T1603" i="1"/>
  <c r="P1603" i="1"/>
  <c r="T1602" i="1"/>
  <c r="P1602" i="1"/>
  <c r="T1601" i="1"/>
  <c r="P1601" i="1"/>
  <c r="T1600" i="1"/>
  <c r="P1600" i="1"/>
  <c r="T1599" i="1"/>
  <c r="P1599" i="1"/>
  <c r="T1598" i="1"/>
  <c r="P1598" i="1"/>
  <c r="T1597" i="1"/>
  <c r="P1597" i="1"/>
  <c r="T1596" i="1"/>
  <c r="P1596" i="1"/>
  <c r="T1595" i="1"/>
  <c r="P1595" i="1"/>
  <c r="T1594" i="1"/>
  <c r="P1594" i="1"/>
  <c r="T1593" i="1"/>
  <c r="P1593" i="1"/>
  <c r="T1592" i="1"/>
  <c r="P1592" i="1"/>
  <c r="T1591" i="1"/>
  <c r="P1591" i="1"/>
  <c r="T1590" i="1"/>
  <c r="P1590" i="1"/>
  <c r="T1589" i="1"/>
  <c r="P1589" i="1"/>
  <c r="T1588" i="1"/>
  <c r="P1588" i="1"/>
  <c r="T1587" i="1"/>
  <c r="P1587" i="1"/>
  <c r="T1586" i="1"/>
  <c r="P1586" i="1"/>
  <c r="T1585" i="1"/>
  <c r="P1585" i="1"/>
  <c r="T1584" i="1"/>
  <c r="P1584" i="1"/>
  <c r="T1583" i="1"/>
  <c r="P1583" i="1"/>
  <c r="T1582" i="1"/>
  <c r="P1582" i="1"/>
  <c r="T1581" i="1"/>
  <c r="P1581" i="1"/>
  <c r="T1580" i="1"/>
  <c r="P1580" i="1"/>
  <c r="T1579" i="1"/>
  <c r="P1579" i="1"/>
  <c r="T1578" i="1"/>
  <c r="P1578" i="1"/>
  <c r="T1577" i="1"/>
  <c r="P1577" i="1"/>
  <c r="T1576" i="1"/>
  <c r="P1576" i="1"/>
  <c r="T1575" i="1"/>
  <c r="P1575" i="1"/>
  <c r="T1574" i="1"/>
  <c r="P1574" i="1"/>
  <c r="T1573" i="1"/>
  <c r="P1573" i="1"/>
  <c r="T1572" i="1"/>
  <c r="P1572" i="1"/>
  <c r="T1571" i="1"/>
  <c r="P1571" i="1"/>
  <c r="T1570" i="1"/>
  <c r="P1570" i="1"/>
  <c r="T1569" i="1"/>
  <c r="P1569" i="1"/>
  <c r="T1568" i="1"/>
  <c r="P1568" i="1"/>
  <c r="T1567" i="1"/>
  <c r="P1567" i="1"/>
  <c r="T1566" i="1"/>
  <c r="P1566" i="1"/>
  <c r="T1565" i="1"/>
  <c r="P1565" i="1"/>
  <c r="T1564" i="1"/>
  <c r="P1564" i="1"/>
  <c r="T1563" i="1"/>
  <c r="P1563" i="1"/>
  <c r="T1562" i="1"/>
  <c r="P1562" i="1"/>
  <c r="T1561" i="1"/>
  <c r="P1561" i="1"/>
  <c r="T1560" i="1"/>
  <c r="P1560" i="1"/>
  <c r="T1559" i="1"/>
  <c r="P1559" i="1"/>
  <c r="T1558" i="1"/>
  <c r="P1558" i="1"/>
  <c r="T1557" i="1"/>
  <c r="P1557" i="1"/>
  <c r="T1556" i="1"/>
  <c r="P1556" i="1"/>
  <c r="T1555" i="1"/>
  <c r="P1555" i="1"/>
  <c r="T1554" i="1"/>
  <c r="P1554" i="1"/>
  <c r="T1553" i="1"/>
  <c r="P1553" i="1"/>
  <c r="T1552" i="1"/>
  <c r="P1552" i="1"/>
  <c r="T1551" i="1"/>
  <c r="P1551" i="1"/>
  <c r="T1550" i="1"/>
  <c r="P1550" i="1"/>
  <c r="T1549" i="1"/>
  <c r="P1549" i="1"/>
  <c r="T1548" i="1"/>
  <c r="P1548" i="1"/>
  <c r="T1547" i="1"/>
  <c r="P1547" i="1"/>
  <c r="T1546" i="1"/>
  <c r="P1546" i="1"/>
  <c r="T1545" i="1"/>
  <c r="P1545" i="1"/>
  <c r="T1544" i="1"/>
  <c r="P1544" i="1"/>
  <c r="T1543" i="1"/>
  <c r="P1543" i="1"/>
  <c r="T1542" i="1"/>
  <c r="P1542" i="1"/>
  <c r="T1541" i="1"/>
  <c r="P1541" i="1"/>
  <c r="T1540" i="1"/>
  <c r="P1540" i="1"/>
  <c r="T1539" i="1"/>
  <c r="P1539" i="1"/>
  <c r="T1538" i="1"/>
  <c r="P1538" i="1"/>
  <c r="T1537" i="1"/>
  <c r="P1537" i="1"/>
  <c r="T1536" i="1"/>
  <c r="P1536" i="1"/>
  <c r="T1535" i="1"/>
  <c r="P1535" i="1"/>
  <c r="V1534" i="1"/>
  <c r="U1534" i="1"/>
  <c r="T1534" i="1"/>
  <c r="S1534" i="1"/>
  <c r="T1533" i="1"/>
  <c r="P1533" i="1"/>
  <c r="T1532" i="1"/>
  <c r="P1532" i="1"/>
  <c r="T1531" i="1"/>
  <c r="P1531" i="1"/>
  <c r="T1530" i="1"/>
  <c r="P1530" i="1"/>
  <c r="T1529" i="1"/>
  <c r="P1529" i="1"/>
  <c r="T1528" i="1"/>
  <c r="P1528" i="1"/>
  <c r="T1527" i="1"/>
  <c r="P1527" i="1"/>
  <c r="T1526" i="1"/>
  <c r="P1526" i="1"/>
  <c r="T1525" i="1"/>
  <c r="P1525" i="1"/>
  <c r="T1524" i="1"/>
  <c r="P1524" i="1"/>
  <c r="T1523" i="1"/>
  <c r="P1523" i="1"/>
  <c r="T1522" i="1"/>
  <c r="P1522" i="1"/>
  <c r="T1521" i="1"/>
  <c r="P1521" i="1"/>
  <c r="T1520" i="1"/>
  <c r="P1520" i="1"/>
  <c r="T1519" i="1"/>
  <c r="P1519" i="1"/>
  <c r="T1518" i="1"/>
  <c r="P1518" i="1"/>
  <c r="T1517" i="1"/>
  <c r="P1517" i="1"/>
  <c r="T1516" i="1"/>
  <c r="P1516" i="1"/>
  <c r="T1515" i="1"/>
  <c r="P1515" i="1"/>
  <c r="T1514" i="1"/>
  <c r="P1514" i="1"/>
  <c r="T1513" i="1"/>
  <c r="P1513" i="1"/>
  <c r="T1512" i="1"/>
  <c r="P1512" i="1"/>
  <c r="T1511" i="1"/>
  <c r="P1511" i="1"/>
  <c r="T1510" i="1"/>
  <c r="P1510" i="1"/>
  <c r="T1509" i="1"/>
  <c r="P1509" i="1"/>
  <c r="T1508" i="1"/>
  <c r="P1508" i="1"/>
  <c r="T1507" i="1"/>
  <c r="P1507" i="1"/>
  <c r="T1506" i="1"/>
  <c r="P1506" i="1"/>
  <c r="T1505" i="1"/>
  <c r="P1505" i="1"/>
  <c r="T1504" i="1"/>
  <c r="P1504" i="1"/>
  <c r="T1503" i="1"/>
  <c r="P1503" i="1"/>
  <c r="T1502" i="1"/>
  <c r="P1502" i="1"/>
  <c r="T1501" i="1"/>
  <c r="P1501" i="1"/>
  <c r="T1500" i="1"/>
  <c r="P1500" i="1"/>
  <c r="T1499" i="1"/>
  <c r="P1499" i="1"/>
  <c r="T1498" i="1"/>
  <c r="P1498" i="1"/>
  <c r="T1497" i="1"/>
  <c r="P1497" i="1"/>
  <c r="T1496" i="1"/>
  <c r="P1496" i="1"/>
  <c r="T1495" i="1"/>
  <c r="P1495" i="1"/>
  <c r="T1494" i="1"/>
  <c r="P1494" i="1"/>
  <c r="T1493" i="1"/>
  <c r="P1493" i="1"/>
  <c r="T1492" i="1"/>
  <c r="P1492" i="1"/>
  <c r="T1491" i="1"/>
  <c r="P1491" i="1"/>
  <c r="T1490" i="1"/>
  <c r="P1490" i="1"/>
  <c r="T1489" i="1"/>
  <c r="P1489" i="1"/>
  <c r="T1488" i="1"/>
  <c r="P1488" i="1"/>
  <c r="T1487" i="1"/>
  <c r="P1487" i="1"/>
  <c r="T1486" i="1"/>
  <c r="P1486" i="1"/>
  <c r="T1485" i="1"/>
  <c r="P1485" i="1"/>
  <c r="T1484" i="1"/>
  <c r="P1484" i="1"/>
  <c r="T1483" i="1"/>
  <c r="P1483" i="1"/>
  <c r="T1482" i="1"/>
  <c r="P1482" i="1"/>
  <c r="T1481" i="1"/>
  <c r="P1481" i="1"/>
  <c r="T1480" i="1"/>
  <c r="P1480" i="1"/>
  <c r="T1479" i="1"/>
  <c r="P1479" i="1"/>
  <c r="T1478" i="1"/>
  <c r="P1478" i="1"/>
  <c r="T1477" i="1"/>
  <c r="P1477" i="1"/>
  <c r="T1476" i="1"/>
  <c r="P1476" i="1"/>
  <c r="T1475" i="1"/>
  <c r="P1475" i="1"/>
  <c r="V1474" i="1"/>
  <c r="U1474" i="1"/>
  <c r="T1474" i="1"/>
  <c r="S1474" i="1"/>
  <c r="T1473" i="1"/>
  <c r="P1473" i="1"/>
  <c r="T1472" i="1"/>
  <c r="P1472" i="1"/>
  <c r="T1471" i="1"/>
  <c r="P1471" i="1"/>
  <c r="T1470" i="1"/>
  <c r="P1470" i="1"/>
  <c r="T1469" i="1"/>
  <c r="P1469" i="1"/>
  <c r="T1468" i="1"/>
  <c r="P1468" i="1"/>
  <c r="T1467" i="1"/>
  <c r="P1467" i="1"/>
  <c r="T1466" i="1"/>
  <c r="P1466" i="1"/>
  <c r="T1465" i="1"/>
  <c r="P1465" i="1"/>
  <c r="T1464" i="1"/>
  <c r="P1464" i="1"/>
  <c r="T1463" i="1"/>
  <c r="P1463" i="1"/>
  <c r="T1462" i="1"/>
  <c r="P1462" i="1"/>
  <c r="T1461" i="1"/>
  <c r="P1461" i="1"/>
  <c r="T1460" i="1"/>
  <c r="P1460" i="1"/>
  <c r="T1459" i="1"/>
  <c r="P1459" i="1"/>
  <c r="T1458" i="1"/>
  <c r="P1458" i="1"/>
  <c r="T1457" i="1"/>
  <c r="P1457" i="1"/>
  <c r="T1456" i="1"/>
  <c r="P1456" i="1"/>
  <c r="T1455" i="1"/>
  <c r="P1455" i="1"/>
  <c r="T1454" i="1"/>
  <c r="P1454" i="1"/>
  <c r="T1453" i="1"/>
  <c r="P1453" i="1"/>
  <c r="T1452" i="1"/>
  <c r="P1452" i="1"/>
  <c r="T1451" i="1"/>
  <c r="P1451" i="1"/>
  <c r="T1450" i="1"/>
  <c r="P1450" i="1"/>
  <c r="T1449" i="1"/>
  <c r="P1449" i="1"/>
  <c r="T1448" i="1"/>
  <c r="P1448" i="1"/>
  <c r="T1447" i="1"/>
  <c r="P1447" i="1"/>
  <c r="T1446" i="1"/>
  <c r="P1446" i="1"/>
  <c r="T1445" i="1"/>
  <c r="P1445" i="1"/>
  <c r="V1444" i="1"/>
  <c r="U1444" i="1"/>
  <c r="T1444" i="1"/>
  <c r="S1444" i="1"/>
  <c r="T1443" i="1"/>
  <c r="P1443" i="1"/>
  <c r="T1442" i="1"/>
  <c r="P1442" i="1"/>
  <c r="T1441" i="1"/>
  <c r="P1441" i="1"/>
  <c r="T1440" i="1"/>
  <c r="P1440" i="1"/>
  <c r="T1439" i="1"/>
  <c r="P1439" i="1"/>
  <c r="T1438" i="1"/>
  <c r="P1438" i="1"/>
  <c r="T1437" i="1"/>
  <c r="P1437" i="1"/>
  <c r="T1436" i="1"/>
  <c r="P1436" i="1"/>
  <c r="T1435" i="1"/>
  <c r="P1435" i="1"/>
  <c r="T1434" i="1"/>
  <c r="P1434" i="1"/>
  <c r="T1433" i="1"/>
  <c r="P1433" i="1"/>
  <c r="T1432" i="1"/>
  <c r="P1432" i="1"/>
  <c r="T1431" i="1"/>
  <c r="P1431" i="1"/>
  <c r="T1430" i="1"/>
  <c r="P1430" i="1"/>
  <c r="T1429" i="1"/>
  <c r="P1429" i="1"/>
  <c r="T1428" i="1"/>
  <c r="P1428" i="1"/>
  <c r="T1427" i="1"/>
  <c r="P1427" i="1"/>
  <c r="T1426" i="1"/>
  <c r="P1426" i="1"/>
  <c r="T1425" i="1"/>
  <c r="P1425" i="1"/>
  <c r="T1424" i="1"/>
  <c r="P1424" i="1"/>
  <c r="T1423" i="1"/>
  <c r="P1423" i="1"/>
  <c r="T1422" i="1"/>
  <c r="P1422" i="1"/>
  <c r="T1421" i="1"/>
  <c r="P1421" i="1"/>
  <c r="T1420" i="1"/>
  <c r="P1420" i="1"/>
  <c r="T1419" i="1"/>
  <c r="P1419" i="1"/>
  <c r="T1418" i="1"/>
  <c r="P1418" i="1"/>
  <c r="T1417" i="1"/>
  <c r="P1417" i="1"/>
  <c r="V1416" i="1"/>
  <c r="U1416" i="1"/>
  <c r="T1416" i="1"/>
  <c r="S1416" i="1"/>
  <c r="V1415" i="1"/>
  <c r="U1415" i="1"/>
  <c r="T1415" i="1"/>
  <c r="S1415" i="1"/>
  <c r="V1414" i="1"/>
  <c r="U1414" i="1"/>
  <c r="T1414" i="1"/>
  <c r="S1414" i="1"/>
  <c r="V1413" i="1"/>
  <c r="U1413" i="1"/>
  <c r="T1413" i="1"/>
  <c r="S1413" i="1"/>
  <c r="V1412" i="1"/>
  <c r="U1412" i="1"/>
  <c r="T1412" i="1"/>
  <c r="S1412" i="1"/>
  <c r="T1411" i="1"/>
  <c r="P1411" i="1"/>
  <c r="T1410" i="1"/>
  <c r="P1410" i="1"/>
  <c r="T1409" i="1"/>
  <c r="P1409" i="1"/>
  <c r="V1408" i="1"/>
  <c r="U1408" i="1"/>
  <c r="T1408" i="1"/>
  <c r="S1408" i="1"/>
  <c r="T1407" i="1"/>
  <c r="P1407" i="1"/>
  <c r="T1406" i="1"/>
  <c r="P1406" i="1"/>
  <c r="V1405" i="1"/>
  <c r="U1405" i="1"/>
  <c r="T1405" i="1"/>
  <c r="S1405" i="1"/>
  <c r="T1404" i="1"/>
  <c r="P1404" i="1"/>
  <c r="T1403" i="1"/>
  <c r="P1403" i="1"/>
  <c r="V1402" i="1"/>
  <c r="U1402" i="1"/>
  <c r="T1402" i="1"/>
  <c r="S1402" i="1"/>
  <c r="T1401" i="1"/>
  <c r="P1401" i="1"/>
  <c r="T1400" i="1"/>
  <c r="P1400" i="1"/>
  <c r="V1399" i="1"/>
  <c r="U1399" i="1"/>
  <c r="T1399" i="1"/>
  <c r="S1399" i="1"/>
  <c r="T1398" i="1"/>
  <c r="P1398" i="1"/>
  <c r="T1397" i="1"/>
  <c r="P1397" i="1"/>
  <c r="T1396" i="1"/>
  <c r="P1396" i="1"/>
  <c r="V1395" i="1"/>
  <c r="U1395" i="1"/>
  <c r="T1395" i="1"/>
  <c r="S1395" i="1"/>
  <c r="T1394" i="1"/>
  <c r="P1394" i="1"/>
  <c r="T1393" i="1"/>
  <c r="P1393" i="1"/>
  <c r="V1392" i="1"/>
  <c r="U1392" i="1"/>
  <c r="T1392" i="1"/>
  <c r="S1392" i="1"/>
  <c r="T1391" i="1"/>
  <c r="P1391" i="1"/>
  <c r="T1390" i="1"/>
  <c r="P1390" i="1"/>
  <c r="V1389" i="1"/>
  <c r="U1389" i="1"/>
  <c r="T1389" i="1"/>
  <c r="S1389" i="1"/>
  <c r="V1388" i="1"/>
  <c r="U1388" i="1"/>
  <c r="T1388" i="1"/>
  <c r="S1388" i="1"/>
  <c r="T1387" i="1"/>
  <c r="P1387" i="1"/>
  <c r="V1386" i="1"/>
  <c r="U1386" i="1"/>
  <c r="T1386" i="1"/>
  <c r="S1386" i="1"/>
  <c r="V1385" i="1"/>
  <c r="U1385" i="1"/>
  <c r="T1385" i="1"/>
  <c r="S1385" i="1"/>
  <c r="T1384" i="1"/>
  <c r="P1384" i="1"/>
  <c r="V1383" i="1"/>
  <c r="U1383" i="1"/>
  <c r="T1383" i="1"/>
  <c r="S1383" i="1"/>
  <c r="T1382" i="1"/>
  <c r="P1382" i="1"/>
  <c r="V1381" i="1"/>
  <c r="U1381" i="1"/>
  <c r="T1381" i="1"/>
  <c r="S1381" i="1"/>
  <c r="V1380" i="1"/>
  <c r="U1380" i="1"/>
  <c r="T1380" i="1"/>
  <c r="S1380" i="1"/>
  <c r="T1379" i="1"/>
  <c r="P1379" i="1"/>
  <c r="T1378" i="1"/>
  <c r="P1378" i="1"/>
  <c r="T1377" i="1"/>
  <c r="P1377" i="1"/>
  <c r="T1376" i="1"/>
  <c r="P1376" i="1"/>
  <c r="V1375" i="1"/>
  <c r="U1375" i="1"/>
  <c r="T1375" i="1"/>
  <c r="S1375" i="1"/>
  <c r="V1374" i="1"/>
  <c r="U1374" i="1"/>
  <c r="T1374" i="1"/>
  <c r="S1374" i="1"/>
  <c r="V1373" i="1"/>
  <c r="U1373" i="1"/>
  <c r="T1373" i="1"/>
  <c r="S1373" i="1"/>
  <c r="T1372" i="1"/>
  <c r="P1372" i="1"/>
  <c r="A1372" i="1"/>
  <c r="T1369" i="1"/>
  <c r="P1369" i="1"/>
  <c r="T1368" i="1"/>
  <c r="P1368" i="1"/>
  <c r="T1367" i="1"/>
  <c r="P1367" i="1"/>
  <c r="T1366" i="1"/>
  <c r="P1366" i="1"/>
  <c r="T1365" i="1"/>
  <c r="P1365" i="1"/>
  <c r="T1364" i="1"/>
  <c r="P1364" i="1"/>
  <c r="T1363" i="1"/>
  <c r="N1363" i="1"/>
  <c r="P1363" i="1" s="1"/>
  <c r="T1362" i="1"/>
  <c r="N1362" i="1"/>
  <c r="P1362" i="1" s="1"/>
  <c r="T1361" i="1"/>
  <c r="P1361" i="1"/>
  <c r="T1360" i="1"/>
  <c r="P1360" i="1"/>
  <c r="T1359" i="1"/>
  <c r="P1359" i="1"/>
  <c r="T1358" i="1"/>
  <c r="P1358" i="1"/>
  <c r="T1357" i="1"/>
  <c r="P1357" i="1"/>
  <c r="T1356" i="1"/>
  <c r="P1356" i="1"/>
  <c r="T1355" i="1"/>
  <c r="P1355" i="1"/>
  <c r="T1354" i="1"/>
  <c r="N1354" i="1"/>
  <c r="P1354" i="1" s="1"/>
  <c r="T1353" i="1"/>
  <c r="P1353" i="1"/>
  <c r="T1352" i="1"/>
  <c r="P1352" i="1"/>
  <c r="T1351" i="1"/>
  <c r="P1351" i="1"/>
  <c r="T1350" i="1"/>
  <c r="P1350" i="1"/>
  <c r="T1349" i="1"/>
  <c r="P1349" i="1"/>
  <c r="T1348" i="1"/>
  <c r="P1348" i="1"/>
  <c r="T1347" i="1"/>
  <c r="P1347" i="1"/>
  <c r="T1346" i="1"/>
  <c r="P1346" i="1"/>
  <c r="T1345" i="1"/>
  <c r="P1345" i="1"/>
  <c r="T1344" i="1"/>
  <c r="P1344" i="1"/>
  <c r="T1343" i="1"/>
  <c r="P1343" i="1"/>
  <c r="T1342" i="1"/>
  <c r="N1342" i="1"/>
  <c r="P1342" i="1" s="1"/>
  <c r="T1341" i="1"/>
  <c r="N1341" i="1"/>
  <c r="P1341" i="1" s="1"/>
  <c r="T1340" i="1"/>
  <c r="P1340" i="1"/>
  <c r="T1339" i="1"/>
  <c r="P1339" i="1"/>
  <c r="T1338" i="1"/>
  <c r="P1338" i="1"/>
  <c r="T1337" i="1"/>
  <c r="P1337" i="1"/>
  <c r="T1336" i="1"/>
  <c r="P1336" i="1"/>
  <c r="T1335" i="1"/>
  <c r="N1335" i="1"/>
  <c r="P1335" i="1" s="1"/>
  <c r="T1334" i="1"/>
  <c r="P1334" i="1"/>
  <c r="T1333" i="1"/>
  <c r="P1333" i="1"/>
  <c r="T1332" i="1"/>
  <c r="P1332" i="1"/>
  <c r="T1331" i="1"/>
  <c r="P1331" i="1"/>
  <c r="T1330" i="1"/>
  <c r="P1330" i="1"/>
  <c r="T1329" i="1"/>
  <c r="P1329" i="1"/>
  <c r="N1329" i="1"/>
  <c r="V1328" i="1"/>
  <c r="U1328" i="1"/>
  <c r="T1328" i="1"/>
  <c r="P1328" i="1"/>
  <c r="S1328" i="1" s="1"/>
  <c r="T1327" i="1"/>
  <c r="P1327" i="1"/>
  <c r="T1326" i="1"/>
  <c r="P1326" i="1"/>
  <c r="T1325" i="1"/>
  <c r="P1325" i="1"/>
  <c r="U1324" i="1"/>
  <c r="T1324" i="1"/>
  <c r="P1324" i="1"/>
  <c r="T1323" i="1"/>
  <c r="P1323" i="1"/>
  <c r="T1322" i="1"/>
  <c r="S1322" i="1"/>
  <c r="P1322" i="1"/>
  <c r="T1321" i="1"/>
  <c r="P1321" i="1"/>
  <c r="T1320" i="1"/>
  <c r="P1320" i="1"/>
  <c r="T1319" i="1"/>
  <c r="P1319" i="1"/>
  <c r="T1318" i="1"/>
  <c r="P1318" i="1"/>
  <c r="T1317" i="1"/>
  <c r="P1317" i="1"/>
  <c r="T1316" i="1"/>
  <c r="S1316" i="1"/>
  <c r="P1316" i="1"/>
  <c r="T1315" i="1"/>
  <c r="P1315" i="1"/>
  <c r="T1314" i="1"/>
  <c r="P1314" i="1"/>
  <c r="T1313" i="1"/>
  <c r="P1313" i="1"/>
  <c r="T1312" i="1"/>
  <c r="P1312" i="1"/>
  <c r="T1311" i="1"/>
  <c r="P1311" i="1"/>
  <c r="T1310" i="1"/>
  <c r="P1310" i="1"/>
  <c r="T1309" i="1"/>
  <c r="P1309" i="1"/>
  <c r="T1308" i="1"/>
  <c r="P1308" i="1"/>
  <c r="T1307" i="1"/>
  <c r="P1307" i="1"/>
  <c r="T1306" i="1"/>
  <c r="P1306" i="1"/>
  <c r="T1305" i="1"/>
  <c r="P1305" i="1"/>
  <c r="T1304" i="1"/>
  <c r="P1304" i="1"/>
  <c r="T1303" i="1"/>
  <c r="S1303" i="1"/>
  <c r="P1303" i="1"/>
  <c r="T1302" i="1"/>
  <c r="P1302" i="1"/>
  <c r="T1301" i="1"/>
  <c r="P1301" i="1"/>
  <c r="T1300" i="1"/>
  <c r="S1300" i="1"/>
  <c r="P1300" i="1"/>
  <c r="T1299" i="1"/>
  <c r="P1299" i="1"/>
  <c r="T1298" i="1"/>
  <c r="P1298" i="1"/>
  <c r="T1297" i="1"/>
  <c r="P1297" i="1"/>
  <c r="T1296" i="1"/>
  <c r="P1296" i="1"/>
  <c r="T1295" i="1"/>
  <c r="P1295" i="1"/>
  <c r="T1294" i="1"/>
  <c r="P1294" i="1"/>
  <c r="T1293" i="1"/>
  <c r="P1293" i="1"/>
  <c r="T1292" i="1"/>
  <c r="P1292" i="1"/>
  <c r="T1291" i="1"/>
  <c r="P1291" i="1"/>
  <c r="T1290" i="1"/>
  <c r="P1290" i="1"/>
  <c r="T1289" i="1"/>
  <c r="P1289" i="1"/>
  <c r="T1288" i="1"/>
  <c r="P1288" i="1"/>
  <c r="T1287" i="1"/>
  <c r="P1287" i="1"/>
  <c r="U1286" i="1"/>
  <c r="T1286" i="1"/>
  <c r="P1286" i="1"/>
  <c r="V1285" i="1"/>
  <c r="T1285" i="1"/>
  <c r="S1285" i="1"/>
  <c r="P1285" i="1"/>
  <c r="U1285" i="1" s="1"/>
  <c r="T1284" i="1"/>
  <c r="P1284" i="1"/>
  <c r="T1283" i="1"/>
  <c r="P1283" i="1"/>
  <c r="U1282" i="1"/>
  <c r="T1282" i="1"/>
  <c r="P1282" i="1"/>
  <c r="T1281" i="1"/>
  <c r="P1281" i="1"/>
  <c r="T1280" i="1"/>
  <c r="P1280" i="1"/>
  <c r="T1279" i="1"/>
  <c r="P1279" i="1"/>
  <c r="T1278" i="1"/>
  <c r="P1278" i="1"/>
  <c r="T1277" i="1"/>
  <c r="S1277" i="1"/>
  <c r="P1277" i="1"/>
  <c r="T1276" i="1"/>
  <c r="P1276" i="1"/>
  <c r="T1275" i="1"/>
  <c r="P1275" i="1"/>
  <c r="T1274" i="1"/>
  <c r="P1274" i="1"/>
  <c r="T1273" i="1"/>
  <c r="P1273" i="1"/>
  <c r="T1272" i="1"/>
  <c r="P1272" i="1"/>
  <c r="T1271" i="1"/>
  <c r="P1271" i="1"/>
  <c r="T1270" i="1"/>
  <c r="P1270" i="1"/>
  <c r="T1269" i="1"/>
  <c r="P1269" i="1"/>
  <c r="T1268" i="1"/>
  <c r="S1268" i="1"/>
  <c r="P1268" i="1"/>
  <c r="T1267" i="1"/>
  <c r="P1267" i="1"/>
  <c r="T1266" i="1"/>
  <c r="P1266" i="1"/>
  <c r="T1265" i="1"/>
  <c r="P1265" i="1"/>
  <c r="T1264" i="1"/>
  <c r="S1264" i="1"/>
  <c r="P1264" i="1"/>
  <c r="T1263" i="1"/>
  <c r="P1263" i="1"/>
  <c r="T1262" i="1"/>
  <c r="P1262" i="1"/>
  <c r="T1261" i="1"/>
  <c r="P1261" i="1"/>
  <c r="T1260" i="1"/>
  <c r="S1260" i="1"/>
  <c r="P1260" i="1"/>
  <c r="T1259" i="1"/>
  <c r="P1259" i="1"/>
  <c r="T1258" i="1"/>
  <c r="P1258" i="1"/>
  <c r="U1257" i="1"/>
  <c r="T1257" i="1"/>
  <c r="P1257" i="1"/>
  <c r="T1256" i="1"/>
  <c r="P1256" i="1"/>
  <c r="T1255" i="1"/>
  <c r="P1255" i="1"/>
  <c r="T1254" i="1"/>
  <c r="P1254" i="1"/>
  <c r="T1253" i="1"/>
  <c r="P1253" i="1"/>
  <c r="T1252" i="1"/>
  <c r="S1252" i="1"/>
  <c r="P1252" i="1"/>
  <c r="T1251" i="1"/>
  <c r="P1251" i="1"/>
  <c r="T1250" i="1"/>
  <c r="P1250" i="1"/>
  <c r="T1249" i="1"/>
  <c r="P1249" i="1"/>
  <c r="T1248" i="1"/>
  <c r="P1248" i="1"/>
  <c r="T1247" i="1"/>
  <c r="P1247" i="1"/>
  <c r="T1246" i="1"/>
  <c r="P1246" i="1"/>
  <c r="T1245" i="1"/>
  <c r="P1245" i="1"/>
  <c r="V1244" i="1"/>
  <c r="T1244" i="1"/>
  <c r="S1244" i="1"/>
  <c r="P1244" i="1"/>
  <c r="U1244" i="1" s="1"/>
  <c r="T1243" i="1"/>
  <c r="P1243" i="1"/>
  <c r="T1242" i="1"/>
  <c r="P1242" i="1"/>
  <c r="T1241" i="1"/>
  <c r="P1241" i="1"/>
  <c r="U1240" i="1"/>
  <c r="T1240" i="1"/>
  <c r="P1240" i="1"/>
  <c r="U1239" i="1"/>
  <c r="T1239" i="1"/>
  <c r="P1239" i="1"/>
  <c r="T1238" i="1"/>
  <c r="P1238" i="1"/>
  <c r="T1237" i="1"/>
  <c r="P1237" i="1"/>
  <c r="T1236" i="1"/>
  <c r="S1236" i="1"/>
  <c r="P1236" i="1"/>
  <c r="T1235" i="1"/>
  <c r="P1235" i="1"/>
  <c r="T1234" i="1"/>
  <c r="P1234" i="1"/>
  <c r="V1233" i="1"/>
  <c r="U1233" i="1"/>
  <c r="T1233" i="1"/>
  <c r="S1233" i="1"/>
  <c r="P1233" i="1"/>
  <c r="T1232" i="1"/>
  <c r="P1232" i="1"/>
  <c r="T1231" i="1"/>
  <c r="P1231" i="1"/>
  <c r="T1230" i="1"/>
  <c r="P1230" i="1"/>
  <c r="T1229" i="1"/>
  <c r="P1229" i="1"/>
  <c r="T1228" i="1"/>
  <c r="P1228" i="1"/>
  <c r="T1227" i="1"/>
  <c r="P1227" i="1"/>
  <c r="T1226" i="1"/>
  <c r="P1226" i="1"/>
  <c r="T1225" i="1"/>
  <c r="P1225" i="1"/>
  <c r="T1224" i="1"/>
  <c r="P1224" i="1"/>
  <c r="T1223" i="1"/>
  <c r="P1223" i="1"/>
  <c r="T1222" i="1"/>
  <c r="P1222" i="1"/>
  <c r="T1221" i="1"/>
  <c r="P1221" i="1"/>
  <c r="T1220" i="1"/>
  <c r="P1220" i="1"/>
  <c r="T1219" i="1"/>
  <c r="P1219" i="1"/>
  <c r="T1218" i="1"/>
  <c r="P1218" i="1"/>
  <c r="T1217" i="1"/>
  <c r="P1217" i="1"/>
  <c r="T1216" i="1"/>
  <c r="P1216" i="1"/>
  <c r="T1215" i="1"/>
  <c r="P1215" i="1"/>
  <c r="T1214" i="1"/>
  <c r="P1214" i="1"/>
  <c r="T1213" i="1"/>
  <c r="P1213" i="1"/>
  <c r="T1212" i="1"/>
  <c r="P1212" i="1"/>
  <c r="T1211" i="1"/>
  <c r="P1211" i="1"/>
  <c r="T1210" i="1"/>
  <c r="P1210" i="1"/>
  <c r="T1209" i="1"/>
  <c r="P1209" i="1"/>
  <c r="T1208" i="1"/>
  <c r="P1208" i="1"/>
  <c r="T1207" i="1"/>
  <c r="P1207" i="1"/>
  <c r="T1206" i="1"/>
  <c r="P1206" i="1"/>
  <c r="T1205" i="1"/>
  <c r="P1205" i="1"/>
  <c r="T1204" i="1"/>
  <c r="P1204" i="1"/>
  <c r="T1203" i="1"/>
  <c r="P1203" i="1"/>
  <c r="T1202" i="1"/>
  <c r="P1202" i="1"/>
  <c r="V1201" i="1"/>
  <c r="U1201" i="1"/>
  <c r="T1201" i="1"/>
  <c r="S1201" i="1"/>
  <c r="V1200" i="1"/>
  <c r="U1200" i="1"/>
  <c r="T1200" i="1"/>
  <c r="S1200" i="1"/>
  <c r="V1199" i="1"/>
  <c r="U1199" i="1"/>
  <c r="T1199" i="1"/>
  <c r="S1199" i="1"/>
  <c r="T1198" i="1"/>
  <c r="P1198" i="1"/>
  <c r="V1197" i="1"/>
  <c r="U1197" i="1"/>
  <c r="T1197" i="1"/>
  <c r="S1197" i="1"/>
  <c r="T1196" i="1"/>
  <c r="P1196" i="1"/>
  <c r="T1195" i="1"/>
  <c r="P1195" i="1"/>
  <c r="T1194" i="1"/>
  <c r="P1194" i="1"/>
  <c r="V1193" i="1"/>
  <c r="U1193" i="1"/>
  <c r="T1193" i="1"/>
  <c r="S1193" i="1"/>
  <c r="V1192" i="1"/>
  <c r="U1192" i="1"/>
  <c r="T1192" i="1"/>
  <c r="S1192" i="1"/>
  <c r="U1191" i="1"/>
  <c r="T1191" i="1"/>
  <c r="V1190" i="1"/>
  <c r="U1190" i="1"/>
  <c r="T1190" i="1"/>
  <c r="S1190" i="1"/>
  <c r="T1189" i="1"/>
  <c r="P1189" i="1"/>
  <c r="V1188" i="1"/>
  <c r="U1188" i="1"/>
  <c r="T1188" i="1"/>
  <c r="S1188" i="1"/>
  <c r="T1187" i="1"/>
  <c r="P1187" i="1"/>
  <c r="V1186" i="1"/>
  <c r="U1186" i="1"/>
  <c r="T1186" i="1"/>
  <c r="S1186" i="1"/>
  <c r="V1185" i="1"/>
  <c r="U1185" i="1"/>
  <c r="T1185" i="1"/>
  <c r="S1185" i="1"/>
  <c r="T1184" i="1"/>
  <c r="P1184" i="1"/>
  <c r="T1183" i="1"/>
  <c r="P1183" i="1"/>
  <c r="T1182" i="1"/>
  <c r="P1182" i="1"/>
  <c r="T1181" i="1"/>
  <c r="P1181" i="1"/>
  <c r="T1180" i="1"/>
  <c r="P1180" i="1"/>
  <c r="T1179" i="1"/>
  <c r="P1179" i="1"/>
  <c r="T1178" i="1"/>
  <c r="P1178" i="1"/>
  <c r="T1177" i="1"/>
  <c r="P1177" i="1"/>
  <c r="T1176" i="1"/>
  <c r="P1176" i="1"/>
  <c r="T1175" i="1"/>
  <c r="P1175" i="1"/>
  <c r="T1174" i="1"/>
  <c r="P1174" i="1"/>
  <c r="T1173" i="1"/>
  <c r="P1173" i="1"/>
  <c r="T1172" i="1"/>
  <c r="P1172" i="1"/>
  <c r="T1171" i="1"/>
  <c r="P1171" i="1"/>
  <c r="V1170" i="1"/>
  <c r="U1170" i="1"/>
  <c r="T1170" i="1"/>
  <c r="S1170" i="1"/>
  <c r="V1169" i="1"/>
  <c r="U1169" i="1"/>
  <c r="T1169" i="1"/>
  <c r="S1169" i="1"/>
  <c r="T1168" i="1"/>
  <c r="P1168" i="1"/>
  <c r="V1167" i="1"/>
  <c r="U1167" i="1"/>
  <c r="T1167" i="1"/>
  <c r="S1167" i="1"/>
  <c r="A1167" i="1"/>
  <c r="X1167" i="1" s="1"/>
  <c r="A1168" i="1" s="1"/>
  <c r="T1164" i="1"/>
  <c r="P1164" i="1"/>
  <c r="T1163" i="1"/>
  <c r="P1163" i="1"/>
  <c r="T1162" i="1"/>
  <c r="P1162" i="1"/>
  <c r="T1161" i="1"/>
  <c r="P1161" i="1"/>
  <c r="T1160" i="1"/>
  <c r="P1160" i="1"/>
  <c r="T1159" i="1"/>
  <c r="P1159" i="1"/>
  <c r="T1158" i="1"/>
  <c r="P1158" i="1"/>
  <c r="T1157" i="1"/>
  <c r="P1157" i="1"/>
  <c r="T1156" i="1"/>
  <c r="P1156" i="1"/>
  <c r="T1155" i="1"/>
  <c r="P1155" i="1"/>
  <c r="T1154" i="1"/>
  <c r="P1154" i="1"/>
  <c r="T1153" i="1"/>
  <c r="P1153" i="1"/>
  <c r="T1152" i="1"/>
  <c r="P1152" i="1"/>
  <c r="T1151" i="1"/>
  <c r="P1151" i="1"/>
  <c r="T1150" i="1"/>
  <c r="P1150" i="1"/>
  <c r="T1149" i="1"/>
  <c r="P1149" i="1"/>
  <c r="T1148" i="1"/>
  <c r="P1148" i="1"/>
  <c r="T1147" i="1"/>
  <c r="P1147" i="1"/>
  <c r="T1146" i="1"/>
  <c r="S1146" i="1"/>
  <c r="P1146" i="1"/>
  <c r="U1146" i="1" s="1"/>
  <c r="V1146" i="1" s="1"/>
  <c r="T1145" i="1"/>
  <c r="P1145" i="1"/>
  <c r="T1144" i="1"/>
  <c r="P1144" i="1"/>
  <c r="B1144" i="1"/>
  <c r="T1143" i="1"/>
  <c r="P1143" i="1"/>
  <c r="T1142" i="1"/>
  <c r="P1142" i="1"/>
  <c r="T1141" i="1"/>
  <c r="P1141" i="1"/>
  <c r="T1140" i="1"/>
  <c r="P1140" i="1"/>
  <c r="T1139" i="1"/>
  <c r="P1139" i="1"/>
  <c r="T1138" i="1"/>
  <c r="P1138" i="1"/>
  <c r="T1137" i="1"/>
  <c r="P1137" i="1"/>
  <c r="T1136" i="1"/>
  <c r="P1136" i="1"/>
  <c r="T1135" i="1"/>
  <c r="P1135" i="1"/>
  <c r="T1134" i="1"/>
  <c r="P1134" i="1"/>
  <c r="T1133" i="1"/>
  <c r="P1133" i="1"/>
  <c r="T1132" i="1"/>
  <c r="P1132" i="1"/>
  <c r="T1131" i="1"/>
  <c r="P1131" i="1"/>
  <c r="T1130" i="1"/>
  <c r="P1130" i="1"/>
  <c r="T1129" i="1"/>
  <c r="P1129" i="1"/>
  <c r="T1128" i="1"/>
  <c r="P1128" i="1"/>
  <c r="T1127" i="1"/>
  <c r="P1127" i="1"/>
  <c r="T1126" i="1"/>
  <c r="P1126" i="1"/>
  <c r="T1125" i="1"/>
  <c r="P1125" i="1"/>
  <c r="T1124" i="1"/>
  <c r="P1124" i="1"/>
  <c r="T1123" i="1"/>
  <c r="P1123" i="1"/>
  <c r="T1122" i="1"/>
  <c r="P1122" i="1"/>
  <c r="T1121" i="1"/>
  <c r="P1121" i="1"/>
  <c r="T1120" i="1"/>
  <c r="P1120" i="1"/>
  <c r="T1119" i="1"/>
  <c r="P1119" i="1"/>
  <c r="T1118" i="1"/>
  <c r="P1118" i="1"/>
  <c r="T1117" i="1"/>
  <c r="P1117" i="1"/>
  <c r="T1116" i="1"/>
  <c r="P1116" i="1"/>
  <c r="T1115" i="1"/>
  <c r="P1115" i="1"/>
  <c r="T1114" i="1"/>
  <c r="P1114" i="1"/>
  <c r="T1113" i="1"/>
  <c r="P1113" i="1"/>
  <c r="T1112" i="1"/>
  <c r="P1112" i="1"/>
  <c r="T1111" i="1"/>
  <c r="P1111" i="1"/>
  <c r="T1110" i="1"/>
  <c r="P1110" i="1"/>
  <c r="T1109" i="1"/>
  <c r="P1109" i="1"/>
  <c r="T1108" i="1"/>
  <c r="P1108" i="1"/>
  <c r="T1107" i="1"/>
  <c r="P1107" i="1"/>
  <c r="T1106" i="1"/>
  <c r="P1106" i="1"/>
  <c r="T1105" i="1"/>
  <c r="P1105" i="1"/>
  <c r="T1104" i="1"/>
  <c r="P1104" i="1"/>
  <c r="T1103" i="1"/>
  <c r="P1103" i="1"/>
  <c r="T1102" i="1"/>
  <c r="P1102" i="1"/>
  <c r="T1101" i="1"/>
  <c r="P1101" i="1"/>
  <c r="T1100" i="1"/>
  <c r="P1100" i="1"/>
  <c r="T1099" i="1"/>
  <c r="P1099" i="1"/>
  <c r="T1098" i="1"/>
  <c r="P1098" i="1"/>
  <c r="T1097" i="1"/>
  <c r="P1097" i="1"/>
  <c r="T1096" i="1"/>
  <c r="P1096" i="1"/>
  <c r="T1095" i="1"/>
  <c r="P1095" i="1"/>
  <c r="T1094" i="1"/>
  <c r="P1094" i="1"/>
  <c r="T1093" i="1"/>
  <c r="P1093" i="1"/>
  <c r="T1092" i="1"/>
  <c r="P1092" i="1"/>
  <c r="T1091" i="1"/>
  <c r="P1091" i="1"/>
  <c r="T1090" i="1"/>
  <c r="P1090" i="1"/>
  <c r="T1089" i="1"/>
  <c r="P1089" i="1"/>
  <c r="T1088" i="1"/>
  <c r="P1088" i="1"/>
  <c r="T1087" i="1"/>
  <c r="P1087" i="1"/>
  <c r="T1086" i="1"/>
  <c r="P1086" i="1"/>
  <c r="T1085" i="1"/>
  <c r="P1085" i="1"/>
  <c r="T1084" i="1"/>
  <c r="P1084" i="1"/>
  <c r="T1083" i="1"/>
  <c r="P1083" i="1"/>
  <c r="T1082" i="1"/>
  <c r="P1082" i="1"/>
  <c r="T1081" i="1"/>
  <c r="P1081" i="1"/>
  <c r="T1080" i="1"/>
  <c r="P1080" i="1"/>
  <c r="T1079" i="1"/>
  <c r="P1079" i="1"/>
  <c r="T1078" i="1"/>
  <c r="P1078" i="1"/>
  <c r="T1077" i="1"/>
  <c r="P1077" i="1"/>
  <c r="T1076" i="1"/>
  <c r="P1076" i="1"/>
  <c r="T1075" i="1"/>
  <c r="P1075" i="1"/>
  <c r="T1074" i="1"/>
  <c r="P1074" i="1"/>
  <c r="T1073" i="1"/>
  <c r="P1073" i="1"/>
  <c r="T1072" i="1"/>
  <c r="P1072" i="1"/>
  <c r="T1071" i="1"/>
  <c r="P1071" i="1"/>
  <c r="T1070" i="1"/>
  <c r="P1070" i="1"/>
  <c r="T1069" i="1"/>
  <c r="P1069" i="1"/>
  <c r="T1068" i="1"/>
  <c r="P1068" i="1"/>
  <c r="T1067" i="1"/>
  <c r="P1067" i="1"/>
  <c r="T1066" i="1"/>
  <c r="P1066" i="1"/>
  <c r="T1065" i="1"/>
  <c r="P1065" i="1"/>
  <c r="T1064" i="1"/>
  <c r="P1064" i="1"/>
  <c r="T1063" i="1"/>
  <c r="P1063" i="1"/>
  <c r="T1062" i="1"/>
  <c r="P1062" i="1"/>
  <c r="T1061" i="1"/>
  <c r="P1061" i="1"/>
  <c r="T1060" i="1"/>
  <c r="P1060" i="1"/>
  <c r="T1059" i="1"/>
  <c r="P1059" i="1"/>
  <c r="T1058" i="1"/>
  <c r="P1058" i="1"/>
  <c r="T1057" i="1"/>
  <c r="P1057" i="1"/>
  <c r="T1056" i="1"/>
  <c r="P1056" i="1"/>
  <c r="T1055" i="1"/>
  <c r="P1055" i="1"/>
  <c r="T1054" i="1"/>
  <c r="P1054" i="1"/>
  <c r="T1053" i="1"/>
  <c r="P1053" i="1"/>
  <c r="T1052" i="1"/>
  <c r="P1052" i="1"/>
  <c r="T1051" i="1"/>
  <c r="P1051" i="1"/>
  <c r="T1050" i="1"/>
  <c r="P1050" i="1"/>
  <c r="T1049" i="1"/>
  <c r="P1049" i="1"/>
  <c r="T1048" i="1"/>
  <c r="P1048" i="1"/>
  <c r="T1047" i="1"/>
  <c r="P1047" i="1"/>
  <c r="T1046" i="1"/>
  <c r="P1046" i="1"/>
  <c r="T1045" i="1"/>
  <c r="P1045" i="1"/>
  <c r="T1044" i="1"/>
  <c r="P1044" i="1"/>
  <c r="T1043" i="1"/>
  <c r="P1043" i="1"/>
  <c r="T1042" i="1"/>
  <c r="P1042" i="1"/>
  <c r="T1041" i="1"/>
  <c r="P1041" i="1"/>
  <c r="T1040" i="1"/>
  <c r="P1040" i="1"/>
  <c r="T1039" i="1"/>
  <c r="P1039" i="1"/>
  <c r="T1038" i="1"/>
  <c r="P1038" i="1"/>
  <c r="T1037" i="1"/>
  <c r="P1037" i="1"/>
  <c r="T1036" i="1"/>
  <c r="P1036" i="1"/>
  <c r="T1035" i="1"/>
  <c r="P1035" i="1"/>
  <c r="T1034" i="1"/>
  <c r="P1034" i="1"/>
  <c r="T1033" i="1"/>
  <c r="P1033" i="1"/>
  <c r="T1032" i="1"/>
  <c r="P1032" i="1"/>
  <c r="T1031" i="1"/>
  <c r="P1031" i="1"/>
  <c r="T1030" i="1"/>
  <c r="P1030" i="1"/>
  <c r="T1029" i="1"/>
  <c r="P1029" i="1"/>
  <c r="T1028" i="1"/>
  <c r="P1028" i="1"/>
  <c r="T1027" i="1"/>
  <c r="P1027" i="1"/>
  <c r="T1026" i="1"/>
  <c r="P1026" i="1"/>
  <c r="T1025" i="1"/>
  <c r="P1025" i="1"/>
  <c r="T1024" i="1"/>
  <c r="P1024" i="1"/>
  <c r="T1023" i="1"/>
  <c r="P1023" i="1"/>
  <c r="T1022" i="1"/>
  <c r="P1022" i="1"/>
  <c r="T1021" i="1"/>
  <c r="P1021" i="1"/>
  <c r="T1020" i="1"/>
  <c r="P1020" i="1"/>
  <c r="T1019" i="1"/>
  <c r="P1019" i="1"/>
  <c r="T1018" i="1"/>
  <c r="P1018" i="1"/>
  <c r="T1017" i="1"/>
  <c r="P1017" i="1"/>
  <c r="T1016" i="1"/>
  <c r="P1016" i="1"/>
  <c r="T1015" i="1"/>
  <c r="P1015" i="1"/>
  <c r="T1014" i="1"/>
  <c r="P1014" i="1"/>
  <c r="T1013" i="1"/>
  <c r="P1013" i="1"/>
  <c r="T1012" i="1"/>
  <c r="P1012" i="1"/>
  <c r="T1011" i="1"/>
  <c r="P1011" i="1"/>
  <c r="T1010" i="1"/>
  <c r="P1010" i="1"/>
  <c r="T1009" i="1"/>
  <c r="P1009" i="1"/>
  <c r="T1008" i="1"/>
  <c r="P1008" i="1"/>
  <c r="T1007" i="1"/>
  <c r="P1007" i="1"/>
  <c r="T1006" i="1"/>
  <c r="P1006" i="1"/>
  <c r="T1005" i="1"/>
  <c r="P1005" i="1"/>
  <c r="T1004" i="1"/>
  <c r="P1004" i="1"/>
  <c r="T1003" i="1"/>
  <c r="P1003" i="1"/>
  <c r="T1002" i="1"/>
  <c r="P1002" i="1"/>
  <c r="T1001" i="1"/>
  <c r="P1001" i="1"/>
  <c r="T1000" i="1"/>
  <c r="P1000" i="1"/>
  <c r="T999" i="1"/>
  <c r="P999" i="1"/>
  <c r="T998" i="1"/>
  <c r="P998" i="1"/>
  <c r="T997" i="1"/>
  <c r="P997" i="1"/>
  <c r="T996" i="1"/>
  <c r="P996" i="1"/>
  <c r="T995" i="1"/>
  <c r="P995" i="1"/>
  <c r="T994" i="1"/>
  <c r="P994" i="1"/>
  <c r="T993" i="1"/>
  <c r="P993" i="1"/>
  <c r="T992" i="1"/>
  <c r="P992" i="1"/>
  <c r="T991" i="1"/>
  <c r="P991" i="1"/>
  <c r="T990" i="1"/>
  <c r="P990" i="1"/>
  <c r="T989" i="1"/>
  <c r="P989" i="1"/>
  <c r="T988" i="1"/>
  <c r="P988" i="1"/>
  <c r="T987" i="1"/>
  <c r="P987" i="1"/>
  <c r="T986" i="1"/>
  <c r="P986" i="1"/>
  <c r="T985" i="1"/>
  <c r="S985" i="1"/>
  <c r="P985" i="1"/>
  <c r="T984" i="1"/>
  <c r="P984" i="1"/>
  <c r="T983" i="1"/>
  <c r="P983" i="1"/>
  <c r="T982" i="1"/>
  <c r="P982" i="1"/>
  <c r="T981" i="1"/>
  <c r="P981" i="1"/>
  <c r="T980" i="1"/>
  <c r="P980" i="1"/>
  <c r="T979" i="1"/>
  <c r="P979" i="1"/>
  <c r="T978" i="1"/>
  <c r="P978" i="1"/>
  <c r="T977" i="1"/>
  <c r="P977" i="1"/>
  <c r="T976" i="1"/>
  <c r="P976" i="1"/>
  <c r="V975" i="1"/>
  <c r="U975" i="1"/>
  <c r="T975" i="1"/>
  <c r="S975" i="1"/>
  <c r="T974" i="1"/>
  <c r="P974" i="1"/>
  <c r="T973" i="1"/>
  <c r="P973" i="1"/>
  <c r="T972" i="1"/>
  <c r="P972" i="1"/>
  <c r="A972" i="1"/>
  <c r="T969" i="1"/>
  <c r="P969" i="1"/>
  <c r="T968" i="1"/>
  <c r="P968" i="1"/>
  <c r="T967" i="1"/>
  <c r="P967" i="1"/>
  <c r="T966" i="1"/>
  <c r="P966" i="1"/>
  <c r="T965" i="1"/>
  <c r="P965" i="1"/>
  <c r="T964" i="1"/>
  <c r="P964" i="1"/>
  <c r="T963" i="1"/>
  <c r="P963" i="1"/>
  <c r="T962" i="1"/>
  <c r="P962" i="1"/>
  <c r="T961" i="1"/>
  <c r="P961" i="1"/>
  <c r="T960" i="1"/>
  <c r="P960" i="1"/>
  <c r="T959" i="1"/>
  <c r="P959" i="1"/>
  <c r="T958" i="1"/>
  <c r="P958" i="1"/>
  <c r="T957" i="1"/>
  <c r="P957" i="1"/>
  <c r="T956" i="1"/>
  <c r="P956" i="1"/>
  <c r="T955" i="1"/>
  <c r="P955" i="1"/>
  <c r="T954" i="1"/>
  <c r="P954" i="1"/>
  <c r="T953" i="1"/>
  <c r="P953" i="1"/>
  <c r="T952" i="1"/>
  <c r="P952" i="1"/>
  <c r="T951" i="1"/>
  <c r="P951" i="1"/>
  <c r="T950" i="1"/>
  <c r="P950" i="1"/>
  <c r="T949" i="1"/>
  <c r="P949" i="1"/>
  <c r="T948" i="1"/>
  <c r="P948" i="1"/>
  <c r="T947" i="1"/>
  <c r="P947" i="1"/>
  <c r="T946" i="1"/>
  <c r="P946" i="1"/>
  <c r="T945" i="1"/>
  <c r="P945" i="1"/>
  <c r="T944" i="1"/>
  <c r="P944" i="1"/>
  <c r="T943" i="1"/>
  <c r="P943" i="1"/>
  <c r="T942" i="1"/>
  <c r="P942" i="1"/>
  <c r="T941" i="1"/>
  <c r="P941" i="1"/>
  <c r="T940" i="1"/>
  <c r="P940" i="1"/>
  <c r="T939" i="1"/>
  <c r="P939" i="1"/>
  <c r="T938" i="1"/>
  <c r="P938" i="1"/>
  <c r="T937" i="1"/>
  <c r="N937" i="1"/>
  <c r="P937" i="1" s="1"/>
  <c r="T936" i="1"/>
  <c r="N936" i="1"/>
  <c r="P936" i="1" s="1"/>
  <c r="T935" i="1"/>
  <c r="P935" i="1"/>
  <c r="T934" i="1"/>
  <c r="P934" i="1"/>
  <c r="T933" i="1"/>
  <c r="P933" i="1"/>
  <c r="T932" i="1"/>
  <c r="P932" i="1"/>
  <c r="T931" i="1"/>
  <c r="P931" i="1"/>
  <c r="T930" i="1"/>
  <c r="P930" i="1"/>
  <c r="T929" i="1"/>
  <c r="P929" i="1"/>
  <c r="T928" i="1"/>
  <c r="P928" i="1"/>
  <c r="T927" i="1"/>
  <c r="P927" i="1"/>
  <c r="T926" i="1"/>
  <c r="P926" i="1"/>
  <c r="T925" i="1"/>
  <c r="P925" i="1"/>
  <c r="T924" i="1"/>
  <c r="P924" i="1"/>
  <c r="T923" i="1"/>
  <c r="P923" i="1"/>
  <c r="T922" i="1"/>
  <c r="P922" i="1"/>
  <c r="T921" i="1"/>
  <c r="P921" i="1"/>
  <c r="T920" i="1"/>
  <c r="P920" i="1"/>
  <c r="T919" i="1"/>
  <c r="P919" i="1"/>
  <c r="T918" i="1"/>
  <c r="P918" i="1"/>
  <c r="T917" i="1"/>
  <c r="P917" i="1"/>
  <c r="T916" i="1"/>
  <c r="P916" i="1"/>
  <c r="T915" i="1"/>
  <c r="P915" i="1"/>
  <c r="T914" i="1"/>
  <c r="P914" i="1"/>
  <c r="T913" i="1"/>
  <c r="P913" i="1"/>
  <c r="T912" i="1"/>
  <c r="P912" i="1"/>
  <c r="T911" i="1"/>
  <c r="P911" i="1"/>
  <c r="T910" i="1"/>
  <c r="P910" i="1"/>
  <c r="T909" i="1"/>
  <c r="P909" i="1"/>
  <c r="T908" i="1"/>
  <c r="P908" i="1"/>
  <c r="T907" i="1"/>
  <c r="P907" i="1"/>
  <c r="T906" i="1"/>
  <c r="P906" i="1"/>
  <c r="T905" i="1"/>
  <c r="P905" i="1"/>
  <c r="T904" i="1"/>
  <c r="P904" i="1"/>
  <c r="T903" i="1"/>
  <c r="P903" i="1"/>
  <c r="T902" i="1"/>
  <c r="P902" i="1"/>
  <c r="T901" i="1"/>
  <c r="P901" i="1"/>
  <c r="T900" i="1"/>
  <c r="P900" i="1"/>
  <c r="T899" i="1"/>
  <c r="P899" i="1"/>
  <c r="T898" i="1"/>
  <c r="P898" i="1"/>
  <c r="T897" i="1"/>
  <c r="P897" i="1"/>
  <c r="T896" i="1"/>
  <c r="P896" i="1"/>
  <c r="T895" i="1"/>
  <c r="P895" i="1"/>
  <c r="T894" i="1"/>
  <c r="P894" i="1"/>
  <c r="T893" i="1"/>
  <c r="P893" i="1"/>
  <c r="T892" i="1"/>
  <c r="P892" i="1"/>
  <c r="T891" i="1"/>
  <c r="P891" i="1"/>
  <c r="T890" i="1"/>
  <c r="P890" i="1"/>
  <c r="T889" i="1"/>
  <c r="P889" i="1"/>
  <c r="T888" i="1"/>
  <c r="P888" i="1"/>
  <c r="T887" i="1"/>
  <c r="P887" i="1"/>
  <c r="T886" i="1"/>
  <c r="P886" i="1"/>
  <c r="T885" i="1"/>
  <c r="P885" i="1"/>
  <c r="T884" i="1"/>
  <c r="P884" i="1"/>
  <c r="T883" i="1"/>
  <c r="P883" i="1"/>
  <c r="T882" i="1"/>
  <c r="P882" i="1"/>
  <c r="T881" i="1"/>
  <c r="P881" i="1"/>
  <c r="T880" i="1"/>
  <c r="P880" i="1"/>
  <c r="T879" i="1"/>
  <c r="S879" i="1"/>
  <c r="P879" i="1"/>
  <c r="T878" i="1"/>
  <c r="P878" i="1"/>
  <c r="T877" i="1"/>
  <c r="P877" i="1"/>
  <c r="T876" i="1"/>
  <c r="P876" i="1"/>
  <c r="T875" i="1"/>
  <c r="P875" i="1"/>
  <c r="T874" i="1"/>
  <c r="P874" i="1"/>
  <c r="T873" i="1"/>
  <c r="P873" i="1"/>
  <c r="T872" i="1"/>
  <c r="P872" i="1"/>
  <c r="T871" i="1"/>
  <c r="P871" i="1"/>
  <c r="T870" i="1"/>
  <c r="P870" i="1"/>
  <c r="T869" i="1"/>
  <c r="P869" i="1"/>
  <c r="T868" i="1"/>
  <c r="P868" i="1"/>
  <c r="T867" i="1"/>
  <c r="P867" i="1"/>
  <c r="T866" i="1"/>
  <c r="P866" i="1"/>
  <c r="T865" i="1"/>
  <c r="P865" i="1"/>
  <c r="T864" i="1"/>
  <c r="P864" i="1"/>
  <c r="T863" i="1"/>
  <c r="P863" i="1"/>
  <c r="T862" i="1"/>
  <c r="P862" i="1"/>
  <c r="T861" i="1"/>
  <c r="P861" i="1"/>
  <c r="T860" i="1"/>
  <c r="P860" i="1"/>
  <c r="T859" i="1"/>
  <c r="P859" i="1"/>
  <c r="T858" i="1"/>
  <c r="P858" i="1"/>
  <c r="T857" i="1"/>
  <c r="P857" i="1"/>
  <c r="T856" i="1"/>
  <c r="P856" i="1"/>
  <c r="T855" i="1"/>
  <c r="P855" i="1"/>
  <c r="T854" i="1"/>
  <c r="P854" i="1"/>
  <c r="T853" i="1"/>
  <c r="S853" i="1"/>
  <c r="P853" i="1"/>
  <c r="T852" i="1"/>
  <c r="P852" i="1"/>
  <c r="T851" i="1"/>
  <c r="P851" i="1"/>
  <c r="T850" i="1"/>
  <c r="P850" i="1"/>
  <c r="T849" i="1"/>
  <c r="P849" i="1"/>
  <c r="T848" i="1"/>
  <c r="P848" i="1"/>
  <c r="T847" i="1"/>
  <c r="P847" i="1"/>
  <c r="T846" i="1"/>
  <c r="P846" i="1"/>
  <c r="T845" i="1"/>
  <c r="P845" i="1"/>
  <c r="T844" i="1"/>
  <c r="P844" i="1"/>
  <c r="T843" i="1"/>
  <c r="P843" i="1"/>
  <c r="T842" i="1"/>
  <c r="P842" i="1"/>
  <c r="T841" i="1"/>
  <c r="P841" i="1"/>
  <c r="T840" i="1"/>
  <c r="P840" i="1"/>
  <c r="T839" i="1"/>
  <c r="P839" i="1"/>
  <c r="T838" i="1"/>
  <c r="P838" i="1"/>
  <c r="T837" i="1"/>
  <c r="P837" i="1"/>
  <c r="T836" i="1"/>
  <c r="P836" i="1"/>
  <c r="T835" i="1"/>
  <c r="P835" i="1"/>
  <c r="T834" i="1"/>
  <c r="P834" i="1"/>
  <c r="T833" i="1"/>
  <c r="P833" i="1"/>
  <c r="T832" i="1"/>
  <c r="P832" i="1"/>
  <c r="T831" i="1"/>
  <c r="P831" i="1"/>
  <c r="T830" i="1"/>
  <c r="P830" i="1"/>
  <c r="T829" i="1"/>
  <c r="P829" i="1"/>
  <c r="T828" i="1"/>
  <c r="P828" i="1"/>
  <c r="T827" i="1"/>
  <c r="P827" i="1"/>
  <c r="T826" i="1"/>
  <c r="P826" i="1"/>
  <c r="T825" i="1"/>
  <c r="P825" i="1"/>
  <c r="T824" i="1"/>
  <c r="P824" i="1"/>
  <c r="T823" i="1"/>
  <c r="P823" i="1"/>
  <c r="T822" i="1"/>
  <c r="S822" i="1"/>
  <c r="P822" i="1"/>
  <c r="T821" i="1"/>
  <c r="P821" i="1"/>
  <c r="T820" i="1"/>
  <c r="P820" i="1"/>
  <c r="T819" i="1"/>
  <c r="P819" i="1"/>
  <c r="T818" i="1"/>
  <c r="P818" i="1"/>
  <c r="T817" i="1"/>
  <c r="P817" i="1"/>
  <c r="T816" i="1"/>
  <c r="P816" i="1"/>
  <c r="T815" i="1"/>
  <c r="P815" i="1"/>
  <c r="T814" i="1"/>
  <c r="P814" i="1"/>
  <c r="T813" i="1"/>
  <c r="P813" i="1"/>
  <c r="T812" i="1"/>
  <c r="P812" i="1"/>
  <c r="T811" i="1"/>
  <c r="P811" i="1"/>
  <c r="T810" i="1"/>
  <c r="P810" i="1"/>
  <c r="T809" i="1"/>
  <c r="P809" i="1"/>
  <c r="T808" i="1"/>
  <c r="P808" i="1"/>
  <c r="T807" i="1"/>
  <c r="P807" i="1"/>
  <c r="T806" i="1"/>
  <c r="P806" i="1"/>
  <c r="T805" i="1"/>
  <c r="P805" i="1"/>
  <c r="T804" i="1"/>
  <c r="P804" i="1"/>
  <c r="T803" i="1"/>
  <c r="P803" i="1"/>
  <c r="T802" i="1"/>
  <c r="P802" i="1"/>
  <c r="T801" i="1"/>
  <c r="P801" i="1"/>
  <c r="T800" i="1"/>
  <c r="P800" i="1"/>
  <c r="T799" i="1"/>
  <c r="P799" i="1"/>
  <c r="T798" i="1"/>
  <c r="P798" i="1"/>
  <c r="T797" i="1"/>
  <c r="P797" i="1"/>
  <c r="T796" i="1"/>
  <c r="P796" i="1"/>
  <c r="V795" i="1"/>
  <c r="U795" i="1"/>
  <c r="T795" i="1"/>
  <c r="S795" i="1"/>
  <c r="T794" i="1"/>
  <c r="P794" i="1"/>
  <c r="U793" i="1"/>
  <c r="T793" i="1"/>
  <c r="S793" i="1"/>
  <c r="P793" i="1"/>
  <c r="V793" i="1" s="1"/>
  <c r="T792" i="1"/>
  <c r="P792" i="1"/>
  <c r="T791" i="1"/>
  <c r="P791" i="1"/>
  <c r="T790" i="1"/>
  <c r="P790" i="1"/>
  <c r="T789" i="1"/>
  <c r="P789" i="1"/>
  <c r="T788" i="1"/>
  <c r="P788" i="1"/>
  <c r="T787" i="1"/>
  <c r="P787" i="1"/>
  <c r="T786" i="1"/>
  <c r="P786" i="1"/>
  <c r="T785" i="1"/>
  <c r="P785" i="1"/>
  <c r="T784" i="1"/>
  <c r="P784" i="1"/>
  <c r="T783" i="1"/>
  <c r="P783" i="1"/>
  <c r="T782" i="1"/>
  <c r="P782" i="1"/>
  <c r="T781" i="1"/>
  <c r="P781" i="1"/>
  <c r="T780" i="1"/>
  <c r="P780" i="1"/>
  <c r="T779" i="1"/>
  <c r="P779" i="1"/>
  <c r="T778" i="1"/>
  <c r="P778" i="1"/>
  <c r="T777" i="1"/>
  <c r="P777" i="1"/>
  <c r="T776" i="1"/>
  <c r="P776" i="1"/>
  <c r="T775" i="1"/>
  <c r="P775" i="1"/>
  <c r="T774" i="1"/>
  <c r="P774" i="1"/>
  <c r="T773" i="1"/>
  <c r="P773" i="1"/>
  <c r="T772" i="1"/>
  <c r="P772" i="1"/>
  <c r="T771" i="1"/>
  <c r="P771" i="1"/>
  <c r="T770" i="1"/>
  <c r="P770" i="1"/>
  <c r="T769" i="1"/>
  <c r="P769" i="1"/>
  <c r="T768" i="1"/>
  <c r="P768" i="1"/>
  <c r="T767" i="1"/>
  <c r="P767" i="1"/>
  <c r="T766" i="1"/>
  <c r="P766" i="1"/>
  <c r="T765" i="1"/>
  <c r="P765" i="1"/>
  <c r="T764" i="1"/>
  <c r="P764" i="1"/>
  <c r="T763" i="1"/>
  <c r="P763" i="1"/>
  <c r="T762" i="1"/>
  <c r="P762" i="1"/>
  <c r="T761" i="1"/>
  <c r="P761" i="1"/>
  <c r="T760" i="1"/>
  <c r="P760" i="1"/>
  <c r="T759" i="1"/>
  <c r="P759" i="1"/>
  <c r="T758" i="1"/>
  <c r="P758" i="1"/>
  <c r="T757" i="1"/>
  <c r="P757" i="1"/>
  <c r="T756" i="1"/>
  <c r="P756" i="1"/>
  <c r="T755" i="1"/>
  <c r="P755" i="1"/>
  <c r="T754" i="1"/>
  <c r="P754" i="1"/>
  <c r="T753" i="1"/>
  <c r="P753" i="1"/>
  <c r="T752" i="1"/>
  <c r="P752" i="1"/>
  <c r="A752" i="1"/>
  <c r="T750" i="1"/>
  <c r="P750" i="1"/>
  <c r="T749" i="1"/>
  <c r="P749" i="1"/>
  <c r="T748" i="1"/>
  <c r="P748" i="1"/>
  <c r="T747" i="1"/>
  <c r="P747" i="1"/>
  <c r="T746" i="1"/>
  <c r="P746" i="1"/>
  <c r="T745" i="1"/>
  <c r="P745" i="1"/>
  <c r="T744" i="1"/>
  <c r="P744" i="1"/>
  <c r="T743" i="1"/>
  <c r="P743" i="1"/>
  <c r="T742" i="1"/>
  <c r="P742" i="1"/>
  <c r="T741" i="1"/>
  <c r="P741" i="1"/>
  <c r="T740" i="1"/>
  <c r="P740" i="1"/>
  <c r="T739" i="1"/>
  <c r="P739" i="1"/>
  <c r="T738" i="1"/>
  <c r="P738" i="1"/>
  <c r="T737" i="1"/>
  <c r="P737" i="1"/>
  <c r="A737" i="1"/>
  <c r="T734" i="1"/>
  <c r="P734" i="1"/>
  <c r="T733" i="1"/>
  <c r="P733" i="1"/>
  <c r="T732" i="1"/>
  <c r="P732" i="1"/>
  <c r="T731" i="1"/>
  <c r="P731" i="1"/>
  <c r="T730" i="1"/>
  <c r="P730" i="1"/>
  <c r="T729" i="1"/>
  <c r="P729" i="1"/>
  <c r="T728" i="1"/>
  <c r="P728" i="1"/>
  <c r="T727" i="1"/>
  <c r="P727" i="1"/>
  <c r="T726" i="1"/>
  <c r="P726" i="1"/>
  <c r="T725" i="1"/>
  <c r="P725" i="1"/>
  <c r="T724" i="1"/>
  <c r="N724" i="1"/>
  <c r="P724" i="1" s="1"/>
  <c r="T723" i="1"/>
  <c r="N723" i="1"/>
  <c r="P723" i="1" s="1"/>
  <c r="T722" i="1"/>
  <c r="P722" i="1"/>
  <c r="T721" i="1"/>
  <c r="P721" i="1"/>
  <c r="T720" i="1"/>
  <c r="P720" i="1"/>
  <c r="T719" i="1"/>
  <c r="P719" i="1"/>
  <c r="T718" i="1"/>
  <c r="P718" i="1"/>
  <c r="T717" i="1"/>
  <c r="P717" i="1"/>
  <c r="T716" i="1"/>
  <c r="P716" i="1"/>
  <c r="T715" i="1"/>
  <c r="P715" i="1"/>
  <c r="T714" i="1"/>
  <c r="P714" i="1"/>
  <c r="T713" i="1"/>
  <c r="N713" i="1"/>
  <c r="P713" i="1" s="1"/>
  <c r="T712" i="1"/>
  <c r="P712" i="1"/>
  <c r="T711" i="1"/>
  <c r="P711" i="1"/>
  <c r="T710" i="1"/>
  <c r="P710" i="1"/>
  <c r="T709" i="1"/>
  <c r="P709" i="1"/>
  <c r="T708" i="1"/>
  <c r="P708" i="1"/>
  <c r="T707" i="1"/>
  <c r="P707" i="1"/>
  <c r="T706" i="1"/>
  <c r="P706" i="1"/>
  <c r="T705" i="1"/>
  <c r="P705" i="1"/>
  <c r="T704" i="1"/>
  <c r="P704" i="1"/>
  <c r="T703" i="1"/>
  <c r="N703" i="1"/>
  <c r="P703" i="1" s="1"/>
  <c r="T702" i="1"/>
  <c r="P702" i="1"/>
  <c r="T701" i="1"/>
  <c r="P701" i="1"/>
  <c r="T700" i="1"/>
  <c r="P700" i="1"/>
  <c r="T699" i="1"/>
  <c r="P699" i="1"/>
  <c r="T698" i="1"/>
  <c r="P698" i="1"/>
  <c r="T697" i="1"/>
  <c r="P697" i="1"/>
  <c r="T696" i="1"/>
  <c r="P696" i="1"/>
  <c r="T695" i="1"/>
  <c r="P695" i="1"/>
  <c r="T694" i="1"/>
  <c r="P694" i="1"/>
  <c r="T693" i="1"/>
  <c r="P693" i="1"/>
  <c r="T692" i="1"/>
  <c r="P692" i="1"/>
  <c r="T691" i="1"/>
  <c r="P691" i="1"/>
  <c r="T690" i="1"/>
  <c r="P690" i="1"/>
  <c r="T689" i="1"/>
  <c r="P689" i="1"/>
  <c r="T688" i="1"/>
  <c r="P688" i="1"/>
  <c r="T687" i="1"/>
  <c r="P687" i="1"/>
  <c r="T686" i="1"/>
  <c r="P686" i="1"/>
  <c r="T685" i="1"/>
  <c r="P685" i="1"/>
  <c r="T684" i="1"/>
  <c r="P684" i="1"/>
  <c r="T683" i="1"/>
  <c r="P683" i="1"/>
  <c r="T682" i="1"/>
  <c r="P682" i="1"/>
  <c r="T681" i="1"/>
  <c r="P681" i="1"/>
  <c r="T680" i="1"/>
  <c r="P680" i="1"/>
  <c r="T679" i="1"/>
  <c r="P679" i="1"/>
  <c r="T678" i="1"/>
  <c r="P678" i="1"/>
  <c r="T677" i="1"/>
  <c r="P677" i="1"/>
  <c r="T676" i="1"/>
  <c r="P676" i="1"/>
  <c r="T675" i="1"/>
  <c r="P675" i="1"/>
  <c r="T674" i="1"/>
  <c r="P674" i="1"/>
  <c r="T673" i="1"/>
  <c r="P673" i="1"/>
  <c r="T672" i="1"/>
  <c r="P672" i="1"/>
  <c r="T671" i="1"/>
  <c r="P671" i="1"/>
  <c r="T670" i="1"/>
  <c r="P670" i="1"/>
  <c r="T669" i="1"/>
  <c r="P669" i="1"/>
  <c r="T668" i="1"/>
  <c r="P668" i="1"/>
  <c r="T667" i="1"/>
  <c r="P667" i="1"/>
  <c r="T666" i="1"/>
  <c r="P666" i="1"/>
  <c r="T665" i="1"/>
  <c r="P665" i="1"/>
  <c r="T664" i="1"/>
  <c r="P664" i="1"/>
  <c r="T663" i="1"/>
  <c r="P663" i="1"/>
  <c r="T662" i="1"/>
  <c r="P662" i="1"/>
  <c r="T661" i="1"/>
  <c r="P661" i="1"/>
  <c r="T660" i="1"/>
  <c r="P660" i="1"/>
  <c r="T659" i="1"/>
  <c r="P659" i="1"/>
  <c r="T658" i="1"/>
  <c r="P658" i="1"/>
  <c r="T657" i="1"/>
  <c r="P657" i="1"/>
  <c r="T656" i="1"/>
  <c r="P656" i="1"/>
  <c r="T655" i="1"/>
  <c r="P655" i="1"/>
  <c r="T654" i="1"/>
  <c r="P654" i="1"/>
  <c r="T653" i="1"/>
  <c r="P653" i="1"/>
  <c r="T652" i="1"/>
  <c r="P652" i="1"/>
  <c r="T651" i="1"/>
  <c r="P651" i="1"/>
  <c r="T650" i="1"/>
  <c r="P650" i="1"/>
  <c r="T649" i="1"/>
  <c r="P649" i="1"/>
  <c r="T648" i="1"/>
  <c r="P648" i="1"/>
  <c r="T647" i="1"/>
  <c r="P647" i="1"/>
  <c r="T646" i="1"/>
  <c r="P646" i="1"/>
  <c r="T645" i="1"/>
  <c r="P645" i="1"/>
  <c r="T644" i="1"/>
  <c r="P644" i="1"/>
  <c r="T643" i="1"/>
  <c r="P643" i="1"/>
  <c r="T642" i="1"/>
  <c r="P642" i="1"/>
  <c r="T641" i="1"/>
  <c r="P641" i="1"/>
  <c r="T640" i="1"/>
  <c r="P640" i="1"/>
  <c r="T639" i="1"/>
  <c r="P639" i="1"/>
  <c r="T638" i="1"/>
  <c r="P638" i="1"/>
  <c r="T637" i="1"/>
  <c r="P637" i="1"/>
  <c r="T636" i="1"/>
  <c r="P636" i="1"/>
  <c r="T635" i="1"/>
  <c r="P635" i="1"/>
  <c r="T634" i="1"/>
  <c r="P634" i="1"/>
  <c r="T633" i="1"/>
  <c r="P633" i="1"/>
  <c r="T632" i="1"/>
  <c r="P632" i="1"/>
  <c r="T631" i="1"/>
  <c r="P631" i="1"/>
  <c r="V630" i="1"/>
  <c r="U630" i="1"/>
  <c r="T630" i="1"/>
  <c r="S630" i="1"/>
  <c r="T629" i="1"/>
  <c r="P629" i="1"/>
  <c r="T628" i="1"/>
  <c r="P628" i="1"/>
  <c r="T627" i="1"/>
  <c r="P627" i="1"/>
  <c r="T626" i="1"/>
  <c r="P626" i="1"/>
  <c r="T625" i="1"/>
  <c r="P625" i="1"/>
  <c r="T624" i="1"/>
  <c r="P624" i="1"/>
  <c r="T623" i="1"/>
  <c r="P623" i="1"/>
  <c r="T622" i="1"/>
  <c r="P622" i="1"/>
  <c r="T621" i="1"/>
  <c r="P621" i="1"/>
  <c r="T620" i="1"/>
  <c r="P620" i="1"/>
  <c r="T619" i="1"/>
  <c r="P619" i="1"/>
  <c r="T618" i="1"/>
  <c r="P618" i="1"/>
  <c r="T617" i="1"/>
  <c r="P617" i="1"/>
  <c r="T616" i="1"/>
  <c r="P616" i="1"/>
  <c r="T615" i="1"/>
  <c r="P615" i="1"/>
  <c r="T614" i="1"/>
  <c r="P614" i="1"/>
  <c r="T613" i="1"/>
  <c r="P613" i="1"/>
  <c r="T612" i="1"/>
  <c r="P612" i="1"/>
  <c r="T611" i="1"/>
  <c r="P611" i="1"/>
  <c r="T610" i="1"/>
  <c r="P610" i="1"/>
  <c r="T609" i="1"/>
  <c r="P609" i="1"/>
  <c r="T608" i="1"/>
  <c r="P608" i="1"/>
  <c r="T607" i="1"/>
  <c r="P607" i="1"/>
  <c r="T606" i="1"/>
  <c r="P606" i="1"/>
  <c r="T605" i="1"/>
  <c r="P605" i="1"/>
  <c r="T604" i="1"/>
  <c r="P604" i="1"/>
  <c r="T603" i="1"/>
  <c r="P603" i="1"/>
  <c r="T602" i="1"/>
  <c r="P602" i="1"/>
  <c r="T601" i="1"/>
  <c r="P601" i="1"/>
  <c r="T600" i="1"/>
  <c r="P600" i="1"/>
  <c r="T599" i="1"/>
  <c r="P599" i="1"/>
  <c r="T598" i="1"/>
  <c r="P598" i="1"/>
  <c r="T597" i="1"/>
  <c r="P597" i="1"/>
  <c r="T596" i="1"/>
  <c r="P596" i="1"/>
  <c r="T595" i="1"/>
  <c r="P595" i="1"/>
  <c r="T594" i="1"/>
  <c r="P594" i="1"/>
  <c r="T593" i="1"/>
  <c r="P593" i="1"/>
  <c r="T592" i="1"/>
  <c r="P592" i="1"/>
  <c r="T591" i="1"/>
  <c r="P591" i="1"/>
  <c r="T590" i="1"/>
  <c r="P590" i="1"/>
  <c r="T589" i="1"/>
  <c r="P589" i="1"/>
  <c r="T588" i="1"/>
  <c r="P588" i="1"/>
  <c r="T587" i="1"/>
  <c r="P587" i="1"/>
  <c r="T586" i="1"/>
  <c r="P586" i="1"/>
  <c r="T585" i="1"/>
  <c r="P585" i="1"/>
  <c r="T584" i="1"/>
  <c r="P584" i="1"/>
  <c r="T583" i="1"/>
  <c r="P583" i="1"/>
  <c r="T582" i="1"/>
  <c r="P582" i="1"/>
  <c r="T581" i="1"/>
  <c r="P581" i="1"/>
  <c r="T580" i="1"/>
  <c r="P580" i="1"/>
  <c r="T579" i="1"/>
  <c r="P579" i="1"/>
  <c r="T578" i="1"/>
  <c r="P578" i="1"/>
  <c r="T577" i="1"/>
  <c r="P577" i="1"/>
  <c r="T576" i="1"/>
  <c r="P576" i="1"/>
  <c r="T575" i="1"/>
  <c r="P575" i="1"/>
  <c r="T574" i="1"/>
  <c r="P574" i="1"/>
  <c r="T573" i="1"/>
  <c r="P573" i="1"/>
  <c r="T572" i="1"/>
  <c r="P572" i="1"/>
  <c r="T571" i="1"/>
  <c r="P571" i="1"/>
  <c r="T570" i="1"/>
  <c r="P570" i="1"/>
  <c r="T569" i="1"/>
  <c r="P569" i="1"/>
  <c r="T568" i="1"/>
  <c r="P568" i="1"/>
  <c r="T567" i="1"/>
  <c r="P567" i="1"/>
  <c r="V566" i="1"/>
  <c r="U566" i="1"/>
  <c r="T566" i="1"/>
  <c r="S566" i="1"/>
  <c r="T565" i="1"/>
  <c r="P565" i="1"/>
  <c r="T564" i="1"/>
  <c r="P564" i="1"/>
  <c r="T563" i="1"/>
  <c r="P563" i="1"/>
  <c r="T562" i="1"/>
  <c r="P562" i="1"/>
  <c r="T561" i="1"/>
  <c r="P561" i="1"/>
  <c r="T560" i="1"/>
  <c r="P560" i="1"/>
  <c r="T559" i="1"/>
  <c r="P559" i="1"/>
  <c r="T558" i="1"/>
  <c r="P558" i="1"/>
  <c r="T557" i="1"/>
  <c r="P557" i="1"/>
  <c r="T556" i="1"/>
  <c r="P556" i="1"/>
  <c r="T555" i="1"/>
  <c r="P555" i="1"/>
  <c r="T554" i="1"/>
  <c r="P554" i="1"/>
  <c r="T553" i="1"/>
  <c r="P553" i="1"/>
  <c r="T552" i="1"/>
  <c r="P552" i="1"/>
  <c r="T551" i="1"/>
  <c r="P551" i="1"/>
  <c r="T550" i="1"/>
  <c r="P550" i="1"/>
  <c r="T549" i="1"/>
  <c r="P549" i="1"/>
  <c r="T548" i="1"/>
  <c r="P548" i="1"/>
  <c r="T547" i="1"/>
  <c r="P547" i="1"/>
  <c r="T546" i="1"/>
  <c r="P546" i="1"/>
  <c r="T545" i="1"/>
  <c r="P545" i="1"/>
  <c r="T544" i="1"/>
  <c r="P544" i="1"/>
  <c r="V543" i="1"/>
  <c r="U543" i="1"/>
  <c r="T543" i="1"/>
  <c r="S543" i="1"/>
  <c r="V542" i="1"/>
  <c r="U542" i="1"/>
  <c r="T542" i="1"/>
  <c r="S542" i="1"/>
  <c r="T541" i="1"/>
  <c r="P541" i="1"/>
  <c r="T540" i="1"/>
  <c r="P540" i="1"/>
  <c r="T539" i="1"/>
  <c r="P539" i="1"/>
  <c r="T538" i="1"/>
  <c r="P538" i="1"/>
  <c r="T537" i="1"/>
  <c r="P537" i="1"/>
  <c r="T536" i="1"/>
  <c r="P536" i="1"/>
  <c r="T535" i="1"/>
  <c r="P535" i="1"/>
  <c r="T534" i="1"/>
  <c r="P534" i="1"/>
  <c r="T533" i="1"/>
  <c r="P533" i="1"/>
  <c r="T532" i="1"/>
  <c r="P532" i="1"/>
  <c r="T531" i="1"/>
  <c r="P531" i="1"/>
  <c r="T530" i="1"/>
  <c r="P530" i="1"/>
  <c r="T529" i="1"/>
  <c r="P529" i="1"/>
  <c r="T528" i="1"/>
  <c r="P528" i="1"/>
  <c r="T527" i="1"/>
  <c r="P527" i="1"/>
  <c r="T526" i="1"/>
  <c r="P526" i="1"/>
  <c r="T525" i="1"/>
  <c r="P525" i="1"/>
  <c r="T524" i="1"/>
  <c r="P524" i="1"/>
  <c r="T523" i="1"/>
  <c r="P523" i="1"/>
  <c r="T522" i="1"/>
  <c r="P522" i="1"/>
  <c r="T521" i="1"/>
  <c r="P521" i="1"/>
  <c r="T520" i="1"/>
  <c r="P520" i="1"/>
  <c r="T519" i="1"/>
  <c r="P519" i="1"/>
  <c r="T518" i="1"/>
  <c r="P518" i="1"/>
  <c r="T517" i="1"/>
  <c r="P517" i="1"/>
  <c r="T516" i="1"/>
  <c r="P516" i="1"/>
  <c r="T515" i="1"/>
  <c r="P515" i="1"/>
  <c r="T514" i="1"/>
  <c r="P514" i="1"/>
  <c r="T513" i="1"/>
  <c r="P513" i="1"/>
  <c r="T512" i="1"/>
  <c r="P512" i="1"/>
  <c r="T511" i="1"/>
  <c r="P511" i="1"/>
  <c r="T510" i="1"/>
  <c r="P510" i="1"/>
  <c r="T509" i="1"/>
  <c r="P509" i="1"/>
  <c r="T508" i="1"/>
  <c r="P508" i="1"/>
  <c r="T507" i="1"/>
  <c r="P507" i="1"/>
  <c r="T506" i="1"/>
  <c r="P506" i="1"/>
  <c r="T505" i="1"/>
  <c r="P505" i="1"/>
  <c r="V504" i="1"/>
  <c r="U504" i="1"/>
  <c r="T504" i="1"/>
  <c r="S504" i="1"/>
  <c r="V503" i="1"/>
  <c r="U503" i="1"/>
  <c r="T503" i="1"/>
  <c r="S503" i="1"/>
  <c r="V502" i="1"/>
  <c r="U502" i="1"/>
  <c r="T502" i="1"/>
  <c r="S502" i="1"/>
  <c r="V501" i="1"/>
  <c r="U501" i="1"/>
  <c r="T501" i="1"/>
  <c r="S501" i="1"/>
  <c r="T500" i="1"/>
  <c r="P500" i="1"/>
  <c r="T499" i="1"/>
  <c r="P499" i="1"/>
  <c r="V498" i="1"/>
  <c r="U498" i="1"/>
  <c r="T498" i="1"/>
  <c r="S498" i="1"/>
  <c r="V497" i="1"/>
  <c r="U497" i="1"/>
  <c r="T497" i="1"/>
  <c r="S497" i="1"/>
  <c r="V496" i="1"/>
  <c r="U496" i="1"/>
  <c r="T496" i="1"/>
  <c r="S496" i="1"/>
  <c r="T495" i="1"/>
  <c r="P495" i="1"/>
  <c r="T494" i="1"/>
  <c r="P494" i="1"/>
  <c r="T493" i="1"/>
  <c r="P493" i="1"/>
  <c r="V492" i="1"/>
  <c r="U492" i="1"/>
  <c r="T492" i="1"/>
  <c r="S492" i="1"/>
  <c r="V491" i="1"/>
  <c r="U491" i="1"/>
  <c r="T491" i="1"/>
  <c r="S491" i="1"/>
  <c r="V490" i="1"/>
  <c r="U490" i="1"/>
  <c r="T490" i="1"/>
  <c r="S490" i="1"/>
  <c r="V489" i="1"/>
  <c r="U489" i="1"/>
  <c r="T489" i="1"/>
  <c r="S489" i="1"/>
  <c r="T488" i="1"/>
  <c r="P488" i="1"/>
  <c r="T487" i="1"/>
  <c r="P487" i="1"/>
  <c r="T486" i="1"/>
  <c r="P486" i="1"/>
  <c r="T485" i="1"/>
  <c r="P485" i="1"/>
  <c r="V484" i="1"/>
  <c r="U484" i="1"/>
  <c r="T484" i="1"/>
  <c r="S484" i="1"/>
  <c r="A484" i="1"/>
  <c r="X484" i="1" s="1"/>
  <c r="A485" i="1" s="1"/>
  <c r="T481" i="1"/>
  <c r="P481" i="1"/>
  <c r="T480" i="1"/>
  <c r="P480" i="1"/>
  <c r="T479" i="1"/>
  <c r="P479" i="1"/>
  <c r="T478" i="1"/>
  <c r="P478" i="1"/>
  <c r="T477" i="1"/>
  <c r="P477" i="1"/>
  <c r="T476" i="1"/>
  <c r="P476" i="1"/>
  <c r="T475" i="1"/>
  <c r="P475" i="1"/>
  <c r="T474" i="1"/>
  <c r="P474" i="1"/>
  <c r="T473" i="1"/>
  <c r="P473" i="1"/>
  <c r="T472" i="1"/>
  <c r="P472" i="1"/>
  <c r="T471" i="1"/>
  <c r="P471" i="1"/>
  <c r="T470" i="1"/>
  <c r="P470" i="1"/>
  <c r="T469" i="1"/>
  <c r="P469" i="1"/>
  <c r="T468" i="1"/>
  <c r="P468" i="1"/>
  <c r="T467" i="1"/>
  <c r="P467" i="1"/>
  <c r="T466" i="1"/>
  <c r="P466" i="1"/>
  <c r="T465" i="1"/>
  <c r="P465" i="1"/>
  <c r="T464" i="1"/>
  <c r="P464" i="1"/>
  <c r="T463" i="1"/>
  <c r="P463" i="1"/>
  <c r="T462" i="1"/>
  <c r="P462" i="1"/>
  <c r="T461" i="1"/>
  <c r="P461" i="1"/>
  <c r="T460" i="1"/>
  <c r="P460" i="1"/>
  <c r="T459" i="1"/>
  <c r="P459" i="1"/>
  <c r="T458" i="1"/>
  <c r="P458" i="1"/>
  <c r="T457" i="1"/>
  <c r="N457" i="1"/>
  <c r="P457" i="1" s="1"/>
  <c r="T456" i="1"/>
  <c r="P456" i="1"/>
  <c r="T455" i="1"/>
  <c r="P455" i="1"/>
  <c r="T454" i="1"/>
  <c r="P454" i="1"/>
  <c r="T453" i="1"/>
  <c r="P453" i="1"/>
  <c r="T452" i="1"/>
  <c r="P452" i="1"/>
  <c r="T451" i="1"/>
  <c r="P451" i="1"/>
  <c r="T450" i="1"/>
  <c r="P450" i="1"/>
  <c r="T449" i="1"/>
  <c r="P449" i="1"/>
  <c r="T448" i="1"/>
  <c r="P448" i="1"/>
  <c r="T447" i="1"/>
  <c r="P447" i="1"/>
  <c r="T446" i="1"/>
  <c r="P446" i="1"/>
  <c r="T445" i="1"/>
  <c r="N445" i="1"/>
  <c r="P445" i="1" s="1"/>
  <c r="T444" i="1"/>
  <c r="P444" i="1"/>
  <c r="T443" i="1"/>
  <c r="P443" i="1"/>
  <c r="T442" i="1"/>
  <c r="P442" i="1"/>
  <c r="T441" i="1"/>
  <c r="P441" i="1"/>
  <c r="T440" i="1"/>
  <c r="P440" i="1"/>
  <c r="T439" i="1"/>
  <c r="P439" i="1"/>
  <c r="T438" i="1"/>
  <c r="P438" i="1"/>
  <c r="T437" i="1"/>
  <c r="P437" i="1"/>
  <c r="T436" i="1"/>
  <c r="P436" i="1"/>
  <c r="T435" i="1"/>
  <c r="P435" i="1"/>
  <c r="T434" i="1"/>
  <c r="P434" i="1"/>
  <c r="T433" i="1"/>
  <c r="P433" i="1"/>
  <c r="T432" i="1"/>
  <c r="P432" i="1"/>
  <c r="T431" i="1"/>
  <c r="P431" i="1"/>
  <c r="T430" i="1"/>
  <c r="P430" i="1"/>
  <c r="T429" i="1"/>
  <c r="P429" i="1"/>
  <c r="T428" i="1"/>
  <c r="P428" i="1"/>
  <c r="T427" i="1"/>
  <c r="P427" i="1"/>
  <c r="T426" i="1"/>
  <c r="P426" i="1"/>
  <c r="T425" i="1"/>
  <c r="P425" i="1"/>
  <c r="T424" i="1"/>
  <c r="P424" i="1"/>
  <c r="T423" i="1"/>
  <c r="P423" i="1"/>
  <c r="T422" i="1"/>
  <c r="P422" i="1"/>
  <c r="T421" i="1"/>
  <c r="P421" i="1"/>
  <c r="T420" i="1"/>
  <c r="P420" i="1"/>
  <c r="T419" i="1"/>
  <c r="P419" i="1"/>
  <c r="T418" i="1"/>
  <c r="P418" i="1"/>
  <c r="T417" i="1"/>
  <c r="N417" i="1"/>
  <c r="P417" i="1" s="1"/>
  <c r="T416" i="1"/>
  <c r="P416" i="1"/>
  <c r="T415" i="1"/>
  <c r="P415" i="1"/>
  <c r="T414" i="1"/>
  <c r="P414" i="1"/>
  <c r="T413" i="1"/>
  <c r="P413" i="1"/>
  <c r="T412" i="1"/>
  <c r="P412" i="1"/>
  <c r="V411" i="1"/>
  <c r="U411" i="1"/>
  <c r="T411" i="1"/>
  <c r="S411" i="1"/>
  <c r="T410" i="1"/>
  <c r="P410" i="1"/>
  <c r="T409" i="1"/>
  <c r="P409" i="1"/>
  <c r="T408" i="1"/>
  <c r="P408" i="1"/>
  <c r="T407" i="1"/>
  <c r="P407" i="1"/>
  <c r="T406" i="1"/>
  <c r="P406" i="1"/>
  <c r="T405" i="1"/>
  <c r="P405" i="1"/>
  <c r="T404" i="1"/>
  <c r="P404" i="1"/>
  <c r="T403" i="1"/>
  <c r="P403" i="1"/>
  <c r="T402" i="1"/>
  <c r="P402" i="1"/>
  <c r="T401" i="1"/>
  <c r="P401" i="1"/>
  <c r="T400" i="1"/>
  <c r="P400" i="1"/>
  <c r="T399" i="1"/>
  <c r="P399" i="1"/>
  <c r="T398" i="1"/>
  <c r="P398" i="1"/>
  <c r="T397" i="1"/>
  <c r="P397" i="1"/>
  <c r="T396" i="1"/>
  <c r="P396" i="1"/>
  <c r="T395" i="1"/>
  <c r="P395" i="1"/>
  <c r="T394" i="1"/>
  <c r="P394" i="1"/>
  <c r="T393" i="1"/>
  <c r="P393" i="1"/>
  <c r="T392" i="1"/>
  <c r="P392" i="1"/>
  <c r="T391" i="1"/>
  <c r="P391" i="1"/>
  <c r="T390" i="1"/>
  <c r="P390" i="1"/>
  <c r="T389" i="1"/>
  <c r="P389" i="1"/>
  <c r="T388" i="1"/>
  <c r="P388" i="1"/>
  <c r="T387" i="1"/>
  <c r="P387" i="1"/>
  <c r="T386" i="1"/>
  <c r="P386" i="1"/>
  <c r="T385" i="1"/>
  <c r="P385" i="1"/>
  <c r="T384" i="1"/>
  <c r="P384" i="1"/>
  <c r="T383" i="1"/>
  <c r="P383" i="1"/>
  <c r="T382" i="1"/>
  <c r="P382" i="1"/>
  <c r="T381" i="1"/>
  <c r="P381" i="1"/>
  <c r="T380" i="1"/>
  <c r="P380" i="1"/>
  <c r="T379" i="1"/>
  <c r="P379" i="1"/>
  <c r="T378" i="1"/>
  <c r="P378" i="1"/>
  <c r="T377" i="1"/>
  <c r="P377" i="1"/>
  <c r="T376" i="1"/>
  <c r="P376" i="1"/>
  <c r="T375" i="1"/>
  <c r="P375" i="1"/>
  <c r="T374" i="1"/>
  <c r="P374" i="1"/>
  <c r="T373" i="1"/>
  <c r="P373" i="1"/>
  <c r="T372" i="1"/>
  <c r="P372" i="1"/>
  <c r="T371" i="1"/>
  <c r="P371" i="1"/>
  <c r="T370" i="1"/>
  <c r="P370" i="1"/>
  <c r="T369" i="1"/>
  <c r="P369" i="1"/>
  <c r="T368" i="1"/>
  <c r="P368" i="1"/>
  <c r="T367" i="1"/>
  <c r="P367" i="1"/>
  <c r="T366" i="1"/>
  <c r="P366" i="1"/>
  <c r="T365" i="1"/>
  <c r="P365" i="1"/>
  <c r="T364" i="1"/>
  <c r="P364" i="1"/>
  <c r="T363" i="1"/>
  <c r="P363" i="1"/>
  <c r="T362" i="1"/>
  <c r="P362" i="1"/>
  <c r="T361" i="1"/>
  <c r="P361" i="1"/>
  <c r="T360" i="1"/>
  <c r="P360" i="1"/>
  <c r="T359" i="1"/>
  <c r="S359" i="1"/>
  <c r="P359" i="1"/>
  <c r="T358" i="1"/>
  <c r="P358" i="1"/>
  <c r="T357" i="1"/>
  <c r="P357" i="1"/>
  <c r="T356" i="1"/>
  <c r="P356" i="1"/>
  <c r="T355" i="1"/>
  <c r="P355" i="1"/>
  <c r="T354" i="1"/>
  <c r="P354" i="1"/>
  <c r="T353" i="1"/>
  <c r="P353" i="1"/>
  <c r="T352" i="1"/>
  <c r="P352" i="1"/>
  <c r="T351" i="1"/>
  <c r="P351" i="1"/>
  <c r="T350" i="1"/>
  <c r="P350" i="1"/>
  <c r="T349" i="1"/>
  <c r="P349" i="1"/>
  <c r="T348" i="1"/>
  <c r="P348" i="1"/>
  <c r="T347" i="1"/>
  <c r="P347" i="1"/>
  <c r="T346" i="1"/>
  <c r="P346" i="1"/>
  <c r="T345" i="1"/>
  <c r="P345" i="1"/>
  <c r="T344" i="1"/>
  <c r="P344" i="1"/>
  <c r="T343" i="1"/>
  <c r="P343" i="1"/>
  <c r="T342" i="1"/>
  <c r="P342" i="1"/>
  <c r="T341" i="1"/>
  <c r="P341" i="1"/>
  <c r="T340" i="1"/>
  <c r="S340" i="1"/>
  <c r="P340" i="1"/>
  <c r="T339" i="1"/>
  <c r="P339" i="1"/>
  <c r="T338" i="1"/>
  <c r="P338" i="1"/>
  <c r="T337" i="1"/>
  <c r="P337" i="1"/>
  <c r="T336" i="1"/>
  <c r="P336" i="1"/>
  <c r="T335" i="1"/>
  <c r="P335" i="1"/>
  <c r="T334" i="1"/>
  <c r="P334" i="1"/>
  <c r="T333" i="1"/>
  <c r="P333" i="1"/>
  <c r="T332" i="1"/>
  <c r="P332" i="1"/>
  <c r="T331" i="1"/>
  <c r="S331" i="1"/>
  <c r="P331" i="1"/>
  <c r="T330" i="1"/>
  <c r="S330" i="1"/>
  <c r="P330" i="1"/>
  <c r="T329" i="1"/>
  <c r="P329" i="1"/>
  <c r="T328" i="1"/>
  <c r="P328" i="1"/>
  <c r="T327" i="1"/>
  <c r="P327" i="1"/>
  <c r="T326" i="1"/>
  <c r="P326" i="1"/>
  <c r="T325" i="1"/>
  <c r="P325" i="1"/>
  <c r="T324" i="1"/>
  <c r="P324" i="1"/>
  <c r="T323" i="1"/>
  <c r="P323" i="1"/>
  <c r="T322" i="1"/>
  <c r="P322" i="1"/>
  <c r="T321" i="1"/>
  <c r="P321" i="1"/>
  <c r="T320" i="1"/>
  <c r="P320" i="1"/>
  <c r="T319" i="1"/>
  <c r="P319" i="1"/>
  <c r="T318" i="1"/>
  <c r="P318" i="1"/>
  <c r="T317" i="1"/>
  <c r="P317" i="1"/>
  <c r="T316" i="1"/>
  <c r="P316" i="1"/>
  <c r="T315" i="1"/>
  <c r="P315" i="1"/>
  <c r="T314" i="1"/>
  <c r="P314" i="1"/>
  <c r="T313" i="1"/>
  <c r="P313" i="1"/>
  <c r="T312" i="1"/>
  <c r="P312" i="1"/>
  <c r="T311" i="1"/>
  <c r="P311" i="1"/>
  <c r="T310" i="1"/>
  <c r="P310" i="1"/>
  <c r="T309" i="1"/>
  <c r="P309" i="1"/>
  <c r="T308" i="1"/>
  <c r="P308" i="1"/>
  <c r="T307" i="1"/>
  <c r="P307" i="1"/>
  <c r="T306" i="1"/>
  <c r="P306" i="1"/>
  <c r="T305" i="1"/>
  <c r="P305" i="1"/>
  <c r="T304" i="1"/>
  <c r="P304" i="1"/>
  <c r="T303" i="1"/>
  <c r="P303" i="1"/>
  <c r="T302" i="1"/>
  <c r="P302" i="1"/>
  <c r="T301" i="1"/>
  <c r="P301" i="1"/>
  <c r="T300" i="1"/>
  <c r="P300" i="1"/>
  <c r="T299" i="1"/>
  <c r="P299" i="1"/>
  <c r="T298" i="1"/>
  <c r="P298" i="1"/>
  <c r="T297" i="1"/>
  <c r="P297" i="1"/>
  <c r="T296" i="1"/>
  <c r="P296" i="1"/>
  <c r="T295" i="1"/>
  <c r="P295" i="1"/>
  <c r="T294" i="1"/>
  <c r="P294" i="1"/>
  <c r="T293" i="1"/>
  <c r="P293" i="1"/>
  <c r="T292" i="1"/>
  <c r="P292" i="1"/>
  <c r="T291" i="1"/>
  <c r="P291" i="1"/>
  <c r="T290" i="1"/>
  <c r="P290" i="1"/>
  <c r="T289" i="1"/>
  <c r="P289" i="1"/>
  <c r="T288" i="1"/>
  <c r="P288" i="1"/>
  <c r="T287" i="1"/>
  <c r="P287" i="1"/>
  <c r="T286" i="1"/>
  <c r="P286" i="1"/>
  <c r="T285" i="1"/>
  <c r="P285" i="1"/>
  <c r="T284" i="1"/>
  <c r="P284" i="1"/>
  <c r="T283" i="1"/>
  <c r="P283" i="1"/>
  <c r="T282" i="1"/>
  <c r="P282" i="1"/>
  <c r="T281" i="1"/>
  <c r="P281" i="1"/>
  <c r="T280" i="1"/>
  <c r="P280" i="1"/>
  <c r="T279" i="1"/>
  <c r="P279" i="1"/>
  <c r="T278" i="1"/>
  <c r="P278" i="1"/>
  <c r="T277" i="1"/>
  <c r="P277" i="1"/>
  <c r="T276" i="1"/>
  <c r="P276" i="1"/>
  <c r="T275" i="1"/>
  <c r="P275" i="1"/>
  <c r="T274" i="1"/>
  <c r="P274" i="1"/>
  <c r="T273" i="1"/>
  <c r="P273" i="1"/>
  <c r="T272" i="1"/>
  <c r="P272" i="1"/>
  <c r="T271" i="1"/>
  <c r="P271" i="1"/>
  <c r="T270" i="1"/>
  <c r="P270" i="1"/>
  <c r="T269" i="1"/>
  <c r="P269" i="1"/>
  <c r="T268" i="1"/>
  <c r="P268" i="1"/>
  <c r="T267" i="1"/>
  <c r="P267" i="1"/>
  <c r="T266" i="1"/>
  <c r="P266" i="1"/>
  <c r="T265" i="1"/>
  <c r="P265" i="1"/>
  <c r="T264" i="1"/>
  <c r="P264" i="1"/>
  <c r="T263" i="1"/>
  <c r="P263" i="1"/>
  <c r="T262" i="1"/>
  <c r="P262" i="1"/>
  <c r="T261" i="1"/>
  <c r="P261" i="1"/>
  <c r="T260" i="1"/>
  <c r="P260" i="1"/>
  <c r="T259" i="1"/>
  <c r="P259" i="1"/>
  <c r="T258" i="1"/>
  <c r="P258" i="1"/>
  <c r="T257" i="1"/>
  <c r="P257" i="1"/>
  <c r="T256" i="1"/>
  <c r="P256" i="1"/>
  <c r="T255" i="1"/>
  <c r="P255" i="1"/>
  <c r="T254" i="1"/>
  <c r="P254" i="1"/>
  <c r="T253" i="1"/>
  <c r="P253" i="1"/>
  <c r="T252" i="1"/>
  <c r="P252" i="1"/>
  <c r="T251" i="1"/>
  <c r="P251" i="1"/>
  <c r="T250" i="1"/>
  <c r="P250" i="1"/>
  <c r="T249" i="1"/>
  <c r="P249" i="1"/>
  <c r="T248" i="1"/>
  <c r="P248" i="1"/>
  <c r="T247" i="1"/>
  <c r="P247" i="1"/>
  <c r="T246" i="1"/>
  <c r="P246" i="1"/>
  <c r="T245" i="1"/>
  <c r="P245" i="1"/>
  <c r="T244" i="1"/>
  <c r="P244" i="1"/>
  <c r="T243" i="1"/>
  <c r="P243" i="1"/>
  <c r="T242" i="1"/>
  <c r="P242" i="1"/>
  <c r="T241" i="1"/>
  <c r="P241" i="1"/>
  <c r="T240" i="1"/>
  <c r="P240" i="1"/>
  <c r="T239" i="1"/>
  <c r="P239" i="1"/>
  <c r="T238" i="1"/>
  <c r="P238" i="1"/>
  <c r="T237" i="1"/>
  <c r="P237" i="1"/>
  <c r="T236" i="1"/>
  <c r="P236" i="1"/>
  <c r="T235" i="1"/>
  <c r="P235" i="1"/>
  <c r="T234" i="1"/>
  <c r="P234" i="1"/>
  <c r="T233" i="1"/>
  <c r="P233" i="1"/>
  <c r="T232" i="1"/>
  <c r="P232" i="1"/>
  <c r="T231" i="1"/>
  <c r="P231" i="1"/>
  <c r="T230" i="1"/>
  <c r="P230" i="1"/>
  <c r="T229" i="1"/>
  <c r="P229" i="1"/>
  <c r="T228" i="1"/>
  <c r="P228" i="1"/>
  <c r="T227" i="1"/>
  <c r="P227" i="1"/>
  <c r="T226" i="1"/>
  <c r="P226" i="1"/>
  <c r="T225" i="1"/>
  <c r="P225" i="1"/>
  <c r="T224" i="1"/>
  <c r="P224" i="1"/>
  <c r="T223" i="1"/>
  <c r="P223" i="1"/>
  <c r="T222" i="1"/>
  <c r="P222" i="1"/>
  <c r="T221" i="1"/>
  <c r="P221" i="1"/>
  <c r="T220" i="1"/>
  <c r="P220" i="1"/>
  <c r="T219" i="1"/>
  <c r="P219" i="1"/>
  <c r="T218" i="1"/>
  <c r="P218" i="1"/>
  <c r="T217" i="1"/>
  <c r="P217" i="1"/>
  <c r="T216" i="1"/>
  <c r="P216" i="1"/>
  <c r="T215" i="1"/>
  <c r="P215" i="1"/>
  <c r="T214" i="1"/>
  <c r="P214" i="1"/>
  <c r="T213" i="1"/>
  <c r="P213" i="1"/>
  <c r="T212" i="1"/>
  <c r="P212" i="1"/>
  <c r="T211" i="1"/>
  <c r="P211" i="1"/>
  <c r="T210" i="1"/>
  <c r="P210" i="1"/>
  <c r="T209" i="1"/>
  <c r="P209" i="1"/>
  <c r="T208" i="1"/>
  <c r="P208" i="1"/>
  <c r="T207" i="1"/>
  <c r="P207" i="1"/>
  <c r="T206" i="1"/>
  <c r="P206" i="1"/>
  <c r="T205" i="1"/>
  <c r="P205" i="1"/>
  <c r="T204" i="1"/>
  <c r="P204" i="1"/>
  <c r="T203" i="1"/>
  <c r="P203" i="1"/>
  <c r="T202" i="1"/>
  <c r="P202" i="1"/>
  <c r="T201" i="1"/>
  <c r="P201" i="1"/>
  <c r="T200" i="1"/>
  <c r="P200" i="1"/>
  <c r="T199" i="1"/>
  <c r="P199" i="1"/>
  <c r="V198" i="1"/>
  <c r="U198" i="1"/>
  <c r="T198" i="1"/>
  <c r="S198" i="1"/>
  <c r="A198" i="1"/>
  <c r="X198" i="1" s="1"/>
  <c r="A199" i="1" s="1"/>
  <c r="T195" i="1"/>
  <c r="P195" i="1"/>
  <c r="T194" i="1"/>
  <c r="P194" i="1"/>
  <c r="T193" i="1"/>
  <c r="P193" i="1"/>
  <c r="T192" i="1"/>
  <c r="N192" i="1"/>
  <c r="P192" i="1" s="1"/>
  <c r="T191" i="1"/>
  <c r="P191" i="1"/>
  <c r="T190" i="1"/>
  <c r="P190" i="1"/>
  <c r="T189" i="1"/>
  <c r="P189" i="1"/>
  <c r="T188" i="1"/>
  <c r="P188" i="1"/>
  <c r="T187" i="1"/>
  <c r="N187" i="1"/>
  <c r="P187" i="1" s="1"/>
  <c r="T186" i="1"/>
  <c r="P186" i="1"/>
  <c r="T185" i="1"/>
  <c r="P185" i="1"/>
  <c r="T184" i="1"/>
  <c r="P184" i="1"/>
  <c r="T183" i="1"/>
  <c r="P183" i="1"/>
  <c r="T182" i="1"/>
  <c r="P182" i="1"/>
  <c r="T181" i="1"/>
  <c r="P181" i="1"/>
  <c r="T180" i="1"/>
  <c r="P180" i="1"/>
  <c r="T179" i="1"/>
  <c r="N179" i="1"/>
  <c r="P179" i="1" s="1"/>
  <c r="T178" i="1"/>
  <c r="N178" i="1"/>
  <c r="P178" i="1" s="1"/>
  <c r="T177" i="1"/>
  <c r="P177" i="1"/>
  <c r="T176" i="1"/>
  <c r="N176" i="1"/>
  <c r="P176" i="1" s="1"/>
  <c r="T175" i="1"/>
  <c r="P175" i="1"/>
  <c r="T174" i="1"/>
  <c r="P174" i="1"/>
  <c r="T173" i="1"/>
  <c r="P173" i="1"/>
  <c r="T172" i="1"/>
  <c r="N172" i="1"/>
  <c r="P172" i="1" s="1"/>
  <c r="T171" i="1"/>
  <c r="P171" i="1"/>
  <c r="T170" i="1"/>
  <c r="N170" i="1"/>
  <c r="P170" i="1" s="1"/>
  <c r="T169" i="1"/>
  <c r="N169" i="1"/>
  <c r="P169" i="1" s="1"/>
  <c r="T168" i="1"/>
  <c r="P168" i="1"/>
  <c r="T167" i="1"/>
  <c r="P167" i="1"/>
  <c r="T166" i="1"/>
  <c r="N166" i="1"/>
  <c r="P166" i="1" s="1"/>
  <c r="T165" i="1"/>
  <c r="P165" i="1"/>
  <c r="T164" i="1"/>
  <c r="P164" i="1"/>
  <c r="T163" i="1"/>
  <c r="N163" i="1"/>
  <c r="P163" i="1" s="1"/>
  <c r="T162" i="1"/>
  <c r="P162" i="1"/>
  <c r="T161" i="1"/>
  <c r="P161" i="1"/>
  <c r="T160" i="1"/>
  <c r="P160" i="1"/>
  <c r="T159" i="1"/>
  <c r="P159" i="1"/>
  <c r="T158" i="1"/>
  <c r="P158" i="1"/>
  <c r="T157" i="1"/>
  <c r="P157" i="1"/>
  <c r="T156" i="1"/>
  <c r="P156" i="1"/>
  <c r="T155" i="1"/>
  <c r="P155" i="1"/>
  <c r="T154" i="1"/>
  <c r="P154" i="1"/>
  <c r="T153" i="1"/>
  <c r="P153" i="1"/>
  <c r="T152" i="1"/>
  <c r="P152" i="1"/>
  <c r="T151" i="1"/>
  <c r="P151" i="1"/>
  <c r="T150" i="1"/>
  <c r="P150" i="1"/>
  <c r="T149" i="1"/>
  <c r="P149" i="1"/>
  <c r="T148" i="1"/>
  <c r="P148" i="1"/>
  <c r="T147" i="1"/>
  <c r="P147" i="1"/>
  <c r="T146" i="1"/>
  <c r="P146" i="1"/>
  <c r="T145" i="1"/>
  <c r="P145" i="1"/>
  <c r="T144" i="1"/>
  <c r="P144" i="1"/>
  <c r="T143" i="1"/>
  <c r="P143" i="1"/>
  <c r="T142" i="1"/>
  <c r="P142" i="1"/>
  <c r="T141" i="1"/>
  <c r="P141" i="1"/>
  <c r="T140" i="1"/>
  <c r="P140" i="1"/>
  <c r="T139" i="1"/>
  <c r="P139" i="1"/>
  <c r="T138" i="1"/>
  <c r="P138" i="1"/>
  <c r="T137" i="1"/>
  <c r="P137" i="1"/>
  <c r="T136" i="1"/>
  <c r="P136" i="1"/>
  <c r="T135" i="1"/>
  <c r="P135" i="1"/>
  <c r="T134" i="1"/>
  <c r="P134" i="1"/>
  <c r="T133" i="1"/>
  <c r="P133" i="1"/>
  <c r="T132" i="1"/>
  <c r="P132" i="1"/>
  <c r="T131" i="1"/>
  <c r="P131" i="1"/>
  <c r="T130" i="1"/>
  <c r="P130" i="1"/>
  <c r="T129" i="1"/>
  <c r="P129" i="1"/>
  <c r="T128" i="1"/>
  <c r="P128" i="1"/>
  <c r="T127" i="1"/>
  <c r="P127" i="1"/>
  <c r="T126" i="1"/>
  <c r="P126" i="1"/>
  <c r="T125" i="1"/>
  <c r="P125" i="1"/>
  <c r="T124" i="1"/>
  <c r="P124" i="1"/>
  <c r="T123" i="1"/>
  <c r="P123" i="1"/>
  <c r="T122" i="1"/>
  <c r="P122" i="1"/>
  <c r="T121" i="1"/>
  <c r="P121" i="1"/>
  <c r="T120" i="1"/>
  <c r="P120" i="1"/>
  <c r="T119" i="1"/>
  <c r="P119" i="1"/>
  <c r="T118" i="1"/>
  <c r="P118" i="1"/>
  <c r="T117" i="1"/>
  <c r="P117" i="1"/>
  <c r="T116" i="1"/>
  <c r="P116" i="1"/>
  <c r="T115" i="1"/>
  <c r="P115" i="1"/>
  <c r="T114" i="1"/>
  <c r="P114" i="1"/>
  <c r="T113" i="1"/>
  <c r="P113" i="1"/>
  <c r="T112" i="1"/>
  <c r="P112" i="1"/>
  <c r="T111" i="1"/>
  <c r="P111" i="1"/>
  <c r="T110" i="1"/>
  <c r="P110" i="1"/>
  <c r="T109" i="1"/>
  <c r="P109" i="1"/>
  <c r="T108" i="1"/>
  <c r="P108" i="1"/>
  <c r="T107" i="1"/>
  <c r="P107" i="1"/>
  <c r="T106" i="1"/>
  <c r="P106" i="1"/>
  <c r="T105" i="1"/>
  <c r="P105" i="1"/>
  <c r="T104" i="1"/>
  <c r="P104" i="1"/>
  <c r="T103" i="1"/>
  <c r="P103" i="1"/>
  <c r="T102" i="1"/>
  <c r="P102" i="1"/>
  <c r="T101" i="1"/>
  <c r="P101" i="1"/>
  <c r="T100" i="1"/>
  <c r="P100" i="1"/>
  <c r="T99" i="1"/>
  <c r="P99" i="1"/>
  <c r="T98" i="1"/>
  <c r="P98" i="1"/>
  <c r="T97" i="1"/>
  <c r="P97" i="1"/>
  <c r="T96" i="1"/>
  <c r="P96" i="1"/>
  <c r="T95" i="1"/>
  <c r="P95" i="1"/>
  <c r="T94" i="1"/>
  <c r="P94" i="1"/>
  <c r="T93" i="1"/>
  <c r="P93" i="1"/>
  <c r="T92" i="1"/>
  <c r="P92" i="1"/>
  <c r="T91" i="1"/>
  <c r="P91" i="1"/>
  <c r="T90" i="1"/>
  <c r="P90" i="1"/>
  <c r="T89" i="1"/>
  <c r="P89" i="1"/>
  <c r="T88" i="1"/>
  <c r="P88" i="1"/>
  <c r="T87" i="1"/>
  <c r="P87" i="1"/>
  <c r="T86" i="1"/>
  <c r="P86" i="1"/>
  <c r="T85" i="1"/>
  <c r="P85" i="1"/>
  <c r="T84" i="1"/>
  <c r="P84" i="1"/>
  <c r="T83" i="1"/>
  <c r="P83" i="1"/>
  <c r="T82" i="1"/>
  <c r="P82" i="1"/>
  <c r="T81" i="1"/>
  <c r="P81" i="1"/>
  <c r="T80" i="1"/>
  <c r="P80" i="1"/>
  <c r="T78" i="1"/>
  <c r="P78" i="1"/>
  <c r="T77" i="1"/>
  <c r="P77" i="1"/>
  <c r="T76" i="1"/>
  <c r="P76" i="1"/>
  <c r="T75" i="1"/>
  <c r="P75" i="1"/>
  <c r="T74" i="1"/>
  <c r="P74" i="1"/>
  <c r="T73" i="1"/>
  <c r="P73" i="1"/>
  <c r="T72" i="1"/>
  <c r="P72" i="1"/>
  <c r="T71" i="1"/>
  <c r="P71" i="1"/>
  <c r="T70" i="1"/>
  <c r="P70" i="1"/>
  <c r="T69" i="1"/>
  <c r="P69" i="1"/>
  <c r="T68" i="1"/>
  <c r="P68" i="1"/>
  <c r="T67" i="1"/>
  <c r="P67" i="1"/>
  <c r="T66" i="1"/>
  <c r="P66" i="1"/>
  <c r="T65" i="1"/>
  <c r="P65" i="1"/>
  <c r="T64" i="1"/>
  <c r="P64" i="1"/>
  <c r="T63" i="1"/>
  <c r="P63" i="1"/>
  <c r="T62" i="1"/>
  <c r="P62" i="1"/>
  <c r="T61" i="1"/>
  <c r="P61" i="1"/>
  <c r="T60" i="1"/>
  <c r="P60" i="1"/>
  <c r="T59" i="1"/>
  <c r="P59" i="1"/>
  <c r="T58" i="1"/>
  <c r="P58" i="1"/>
  <c r="T57" i="1"/>
  <c r="P57" i="1"/>
  <c r="T56" i="1"/>
  <c r="P56" i="1"/>
  <c r="T55" i="1"/>
  <c r="P55" i="1"/>
  <c r="T54" i="1"/>
  <c r="P54" i="1"/>
  <c r="T53" i="1"/>
  <c r="P53" i="1"/>
  <c r="T52" i="1"/>
  <c r="P52" i="1"/>
  <c r="T51" i="1"/>
  <c r="P51" i="1"/>
  <c r="T50" i="1"/>
  <c r="P50" i="1"/>
  <c r="T49" i="1"/>
  <c r="P49" i="1"/>
  <c r="T48" i="1"/>
  <c r="P48" i="1"/>
  <c r="T47" i="1"/>
  <c r="P47" i="1"/>
  <c r="T46" i="1"/>
  <c r="P46" i="1"/>
  <c r="T45" i="1"/>
  <c r="P45" i="1"/>
  <c r="T44" i="1"/>
  <c r="P44" i="1"/>
  <c r="T43" i="1"/>
  <c r="R43" i="1"/>
  <c r="V42" i="1"/>
  <c r="U42" i="1"/>
  <c r="T42" i="1"/>
  <c r="S42" i="1"/>
  <c r="T41" i="1"/>
  <c r="R41" i="1"/>
  <c r="T40" i="1"/>
  <c r="P40" i="1"/>
  <c r="V39" i="1"/>
  <c r="U39" i="1"/>
  <c r="T39" i="1"/>
  <c r="S39" i="1"/>
  <c r="V38" i="1"/>
  <c r="U38" i="1"/>
  <c r="T38" i="1"/>
  <c r="S38" i="1"/>
  <c r="V37" i="1"/>
  <c r="U37" i="1"/>
  <c r="T37" i="1"/>
  <c r="S37" i="1"/>
  <c r="V36" i="1"/>
  <c r="U36" i="1"/>
  <c r="T36" i="1"/>
  <c r="S36" i="1"/>
  <c r="T35" i="1"/>
  <c r="P35" i="1"/>
  <c r="V34" i="1"/>
  <c r="U34" i="1"/>
  <c r="T34" i="1"/>
  <c r="S34" i="1"/>
  <c r="T33" i="1"/>
  <c r="P33" i="1"/>
  <c r="V32" i="1"/>
  <c r="U32" i="1"/>
  <c r="T32" i="1"/>
  <c r="S32" i="1"/>
  <c r="V31" i="1"/>
  <c r="U31" i="1"/>
  <c r="T31" i="1"/>
  <c r="S31" i="1"/>
  <c r="V30" i="1"/>
  <c r="U30" i="1"/>
  <c r="T30" i="1"/>
  <c r="S30" i="1"/>
  <c r="V29" i="1"/>
  <c r="U29" i="1"/>
  <c r="T29" i="1"/>
  <c r="S29" i="1"/>
  <c r="V28" i="1"/>
  <c r="U28" i="1"/>
  <c r="T28" i="1"/>
  <c r="S28" i="1"/>
  <c r="V27" i="1"/>
  <c r="U27" i="1"/>
  <c r="T27" i="1"/>
  <c r="S27" i="1"/>
  <c r="V26" i="1"/>
  <c r="U26" i="1"/>
  <c r="T26" i="1"/>
  <c r="S26" i="1"/>
  <c r="V25" i="1"/>
  <c r="U25" i="1"/>
  <c r="T25" i="1"/>
  <c r="S25" i="1"/>
  <c r="T24" i="1"/>
  <c r="P24" i="1"/>
  <c r="V23" i="1"/>
  <c r="U23" i="1"/>
  <c r="T23" i="1"/>
  <c r="S23" i="1"/>
  <c r="V22" i="1"/>
  <c r="U22" i="1"/>
  <c r="T22" i="1"/>
  <c r="S22" i="1"/>
  <c r="V21" i="1"/>
  <c r="U21" i="1"/>
  <c r="T21" i="1"/>
  <c r="S21" i="1"/>
  <c r="V20" i="1"/>
  <c r="U20" i="1"/>
  <c r="T20" i="1"/>
  <c r="S20" i="1"/>
  <c r="T19" i="1"/>
  <c r="P19" i="1"/>
  <c r="V18" i="1"/>
  <c r="U18" i="1"/>
  <c r="T18" i="1"/>
  <c r="S18" i="1"/>
  <c r="V17" i="1"/>
  <c r="U17" i="1"/>
  <c r="T17" i="1"/>
  <c r="S17" i="1"/>
  <c r="V16" i="1"/>
  <c r="U16" i="1"/>
  <c r="T16" i="1"/>
  <c r="S16" i="1"/>
  <c r="T15" i="1"/>
  <c r="P15" i="1"/>
  <c r="T14" i="1"/>
  <c r="R14" i="1"/>
  <c r="V13" i="1"/>
  <c r="U13" i="1"/>
  <c r="T13" i="1"/>
  <c r="S13" i="1"/>
  <c r="V12" i="1"/>
  <c r="U12" i="1"/>
  <c r="T12" i="1"/>
  <c r="S12" i="1"/>
  <c r="V11" i="1"/>
  <c r="U11" i="1"/>
  <c r="T11" i="1"/>
  <c r="S11" i="1"/>
  <c r="A11" i="1"/>
  <c r="X11" i="1" s="1"/>
  <c r="A12" i="1" s="1"/>
  <c r="X12" i="1" s="1"/>
  <c r="A13" i="1" s="1"/>
  <c r="X13" i="1" s="1"/>
  <c r="A14" i="1" s="1"/>
  <c r="I1" i="1"/>
  <c r="U434" i="3" l="1"/>
  <c r="V434" i="3" s="1"/>
  <c r="S434" i="3"/>
  <c r="U433" i="3"/>
  <c r="V433" i="3" s="1"/>
  <c r="S433" i="3"/>
  <c r="U432" i="3"/>
  <c r="V432" i="3" s="1"/>
  <c r="S432" i="3"/>
  <c r="U431" i="3"/>
  <c r="V431" i="3" s="1"/>
  <c r="S431" i="3"/>
  <c r="U430" i="3"/>
  <c r="V430" i="3" s="1"/>
  <c r="S430" i="3"/>
  <c r="U429" i="3"/>
  <c r="V429" i="3" s="1"/>
  <c r="S429" i="3"/>
  <c r="U428" i="3"/>
  <c r="V428" i="3" s="1"/>
  <c r="S428" i="3"/>
  <c r="U427" i="3"/>
  <c r="V427" i="3" s="1"/>
  <c r="S427" i="3"/>
  <c r="U426" i="3"/>
  <c r="V426" i="3" s="1"/>
  <c r="S426" i="3"/>
  <c r="U425" i="3"/>
  <c r="V425" i="3" s="1"/>
  <c r="S425" i="3"/>
  <c r="U424" i="3"/>
  <c r="V424" i="3" s="1"/>
  <c r="S424" i="3"/>
  <c r="U423" i="3"/>
  <c r="S423" i="3"/>
  <c r="V423" i="3"/>
  <c r="U422" i="3"/>
  <c r="S422" i="3"/>
  <c r="V422" i="3"/>
  <c r="U421" i="3"/>
  <c r="S421" i="3"/>
  <c r="V421" i="3"/>
  <c r="S420" i="3"/>
  <c r="V420" i="3"/>
  <c r="U420" i="3"/>
  <c r="S419" i="3"/>
  <c r="U419" i="3"/>
  <c r="V419" i="3"/>
  <c r="V418" i="3"/>
  <c r="S418" i="3"/>
  <c r="U418" i="3"/>
  <c r="V417" i="3"/>
  <c r="U417" i="3"/>
  <c r="S417" i="3"/>
  <c r="U416" i="3"/>
  <c r="V416" i="3"/>
  <c r="S416" i="3"/>
  <c r="U415" i="3"/>
  <c r="S415" i="3"/>
  <c r="V415" i="3"/>
  <c r="S414" i="3"/>
  <c r="U414" i="3"/>
  <c r="V414" i="3"/>
  <c r="U413" i="3"/>
  <c r="V413" i="3"/>
  <c r="S413" i="3"/>
  <c r="S412" i="3"/>
  <c r="V412" i="3"/>
  <c r="U412" i="3"/>
  <c r="U411" i="3"/>
  <c r="S411" i="3"/>
  <c r="V411" i="3"/>
  <c r="U410" i="3"/>
  <c r="S410" i="3"/>
  <c r="V410" i="3"/>
  <c r="S409" i="3"/>
  <c r="U409" i="3"/>
  <c r="V409" i="3"/>
  <c r="U408" i="3"/>
  <c r="V408" i="3"/>
  <c r="S408" i="3"/>
  <c r="U407" i="3"/>
  <c r="V407" i="3"/>
  <c r="S407" i="3"/>
  <c r="S406" i="3"/>
  <c r="U406" i="3"/>
  <c r="V406" i="3"/>
  <c r="S405" i="3"/>
  <c r="U405" i="3"/>
  <c r="V405" i="3"/>
  <c r="V404" i="3"/>
  <c r="S404" i="3"/>
  <c r="U404" i="3"/>
  <c r="U403" i="3"/>
  <c r="S403" i="3"/>
  <c r="V403" i="3"/>
  <c r="U402" i="3"/>
  <c r="S402" i="3"/>
  <c r="V402" i="3"/>
  <c r="U401" i="3"/>
  <c r="S401" i="3"/>
  <c r="V401" i="3"/>
  <c r="V400" i="3"/>
  <c r="U400" i="3"/>
  <c r="S400" i="3"/>
  <c r="S399" i="3"/>
  <c r="V399" i="3"/>
  <c r="U399" i="3"/>
  <c r="S398" i="3"/>
  <c r="U398" i="3"/>
  <c r="V398" i="3"/>
  <c r="V397" i="3"/>
  <c r="U397" i="3"/>
  <c r="S397" i="3"/>
  <c r="S396" i="3"/>
  <c r="V396" i="3"/>
  <c r="U396" i="3"/>
  <c r="V395" i="3"/>
  <c r="U395" i="3"/>
  <c r="S395" i="3"/>
  <c r="V394" i="3"/>
  <c r="S394" i="3"/>
  <c r="U394" i="3"/>
  <c r="U393" i="3"/>
  <c r="V393" i="3"/>
  <c r="S393" i="3"/>
  <c r="U392" i="3"/>
  <c r="S392" i="3"/>
  <c r="V392" i="3"/>
  <c r="U391" i="3"/>
  <c r="V391" i="3"/>
  <c r="S391" i="3"/>
  <c r="V390" i="3"/>
  <c r="U390" i="3"/>
  <c r="S390" i="3"/>
  <c r="V389" i="3"/>
  <c r="S389" i="3"/>
  <c r="U389" i="3"/>
  <c r="V388" i="3"/>
  <c r="U388" i="3"/>
  <c r="S388" i="3"/>
  <c r="U387" i="3"/>
  <c r="S387" i="3"/>
  <c r="V387" i="3"/>
  <c r="U386" i="3"/>
  <c r="V386" i="3"/>
  <c r="S386" i="3"/>
  <c r="U385" i="3"/>
  <c r="V385" i="3"/>
  <c r="S385" i="3"/>
  <c r="S384" i="3"/>
  <c r="V384" i="3"/>
  <c r="U384" i="3"/>
  <c r="U383" i="3"/>
  <c r="S383" i="3"/>
  <c r="V383" i="3"/>
  <c r="V382" i="3"/>
  <c r="S382" i="3"/>
  <c r="U382" i="3"/>
  <c r="S381" i="3"/>
  <c r="V381" i="3"/>
  <c r="U381" i="3"/>
  <c r="U380" i="3"/>
  <c r="V380" i="3"/>
  <c r="S380" i="3"/>
  <c r="U379" i="3"/>
  <c r="S379" i="3"/>
  <c r="V379" i="3"/>
  <c r="S378" i="3"/>
  <c r="V378" i="3"/>
  <c r="U378" i="3"/>
  <c r="U377" i="3"/>
  <c r="V377" i="3"/>
  <c r="S377" i="3"/>
  <c r="U376" i="3"/>
  <c r="S376" i="3"/>
  <c r="V376" i="3"/>
  <c r="S375" i="3"/>
  <c r="U375" i="3"/>
  <c r="V375" i="3"/>
  <c r="S374" i="3"/>
  <c r="U374" i="3"/>
  <c r="V374" i="3"/>
  <c r="U373" i="3"/>
  <c r="S373" i="3"/>
  <c r="V373" i="3"/>
  <c r="U372" i="3"/>
  <c r="S372" i="3"/>
  <c r="V372" i="3"/>
  <c r="U371" i="3"/>
  <c r="V371" i="3"/>
  <c r="S371" i="3"/>
  <c r="U370" i="3"/>
  <c r="V370" i="3"/>
  <c r="S370" i="3"/>
  <c r="V369" i="3"/>
  <c r="U369" i="3"/>
  <c r="S369" i="3"/>
  <c r="U368" i="3"/>
  <c r="V368" i="3"/>
  <c r="S368" i="3"/>
  <c r="U367" i="3"/>
  <c r="V367" i="3"/>
  <c r="S367" i="3"/>
  <c r="S366" i="3"/>
  <c r="U366" i="3"/>
  <c r="V366" i="3"/>
  <c r="U365" i="3"/>
  <c r="S365" i="3"/>
  <c r="V365" i="3"/>
  <c r="V364" i="3"/>
  <c r="S364" i="3"/>
  <c r="U364" i="3"/>
  <c r="V363" i="3"/>
  <c r="U363" i="3"/>
  <c r="V362" i="3"/>
  <c r="S362" i="3"/>
  <c r="U362" i="3"/>
  <c r="U361" i="3"/>
  <c r="V361" i="3"/>
  <c r="S361" i="3"/>
  <c r="V360" i="3"/>
  <c r="U360" i="3"/>
  <c r="S359" i="3"/>
  <c r="V359" i="3"/>
  <c r="U359" i="3"/>
  <c r="V358" i="3"/>
  <c r="U358" i="3"/>
  <c r="S358" i="3"/>
  <c r="V357" i="3"/>
  <c r="U357" i="3"/>
  <c r="S357" i="3"/>
  <c r="V356" i="3"/>
  <c r="U356" i="3"/>
  <c r="S356" i="3"/>
  <c r="S355" i="3"/>
  <c r="U355" i="3"/>
  <c r="V355" i="3"/>
  <c r="S354" i="3"/>
  <c r="V354" i="3"/>
  <c r="U354" i="3"/>
  <c r="S353" i="3"/>
  <c r="V353" i="3"/>
  <c r="U353" i="3"/>
  <c r="V352" i="3"/>
  <c r="U352" i="3"/>
  <c r="S352" i="3"/>
  <c r="U351" i="3"/>
  <c r="V351" i="3"/>
  <c r="S351" i="3"/>
  <c r="S350" i="3"/>
  <c r="V350" i="3"/>
  <c r="U350" i="3"/>
  <c r="S349" i="3"/>
  <c r="V349" i="3"/>
  <c r="U349" i="3"/>
  <c r="U348" i="3"/>
  <c r="S348" i="3"/>
  <c r="V348" i="3"/>
  <c r="V347" i="3"/>
  <c r="U347" i="3"/>
  <c r="S347" i="3"/>
  <c r="U346" i="3"/>
  <c r="S346" i="3"/>
  <c r="V346" i="3"/>
  <c r="S345" i="3"/>
  <c r="V345" i="3"/>
  <c r="U345" i="3"/>
  <c r="S344" i="3"/>
  <c r="U344" i="3"/>
  <c r="V344" i="3"/>
  <c r="U343" i="3"/>
  <c r="V343" i="3"/>
  <c r="S343" i="3"/>
  <c r="U342" i="3"/>
  <c r="V342" i="3"/>
  <c r="S342" i="3"/>
  <c r="U341" i="3"/>
  <c r="V341" i="3"/>
  <c r="S341" i="3"/>
  <c r="U339" i="3"/>
  <c r="S339" i="3"/>
  <c r="V339" i="3"/>
  <c r="U338" i="3"/>
  <c r="S338" i="3"/>
  <c r="V338" i="3"/>
  <c r="V336" i="3"/>
  <c r="S336" i="3"/>
  <c r="U336" i="3"/>
  <c r="S332" i="3"/>
  <c r="U332" i="3"/>
  <c r="V332" i="3"/>
  <c r="U331" i="3"/>
  <c r="S331" i="3"/>
  <c r="V331" i="3"/>
  <c r="U330" i="3"/>
  <c r="V330" i="3"/>
  <c r="S330" i="3"/>
  <c r="U329" i="3"/>
  <c r="S329" i="3"/>
  <c r="V329" i="3"/>
  <c r="V328" i="3"/>
  <c r="U328" i="3"/>
  <c r="S328" i="3"/>
  <c r="V326" i="3"/>
  <c r="X326" i="3" s="1"/>
  <c r="A327" i="3" s="1"/>
  <c r="X327" i="3" s="1"/>
  <c r="A328" i="3" s="1"/>
  <c r="X328" i="3" s="1"/>
  <c r="A329" i="3" s="1"/>
  <c r="X329" i="3" s="1"/>
  <c r="A330" i="3" s="1"/>
  <c r="X330" i="3" s="1"/>
  <c r="A331" i="3" s="1"/>
  <c r="X331" i="3" s="1"/>
  <c r="A332" i="3" s="1"/>
  <c r="X332" i="3" s="1"/>
  <c r="A333" i="3" s="1"/>
  <c r="X333" i="3" s="1"/>
  <c r="A334" i="3" s="1"/>
  <c r="X334" i="3" s="1"/>
  <c r="A335" i="3" s="1"/>
  <c r="X335" i="3" s="1"/>
  <c r="A336" i="3" s="1"/>
  <c r="X336" i="3" s="1"/>
  <c r="A337" i="3" s="1"/>
  <c r="X337" i="3" s="1"/>
  <c r="A338" i="3" s="1"/>
  <c r="X338" i="3" s="1"/>
  <c r="A339" i="3" s="1"/>
  <c r="X339" i="3" s="1"/>
  <c r="A340" i="3" s="1"/>
  <c r="X340" i="3" s="1"/>
  <c r="A341" i="3" s="1"/>
  <c r="X341" i="3" s="1"/>
  <c r="A342" i="3" s="1"/>
  <c r="X342" i="3" s="1"/>
  <c r="A343" i="3" s="1"/>
  <c r="X343" i="3" s="1"/>
  <c r="A344" i="3" s="1"/>
  <c r="X344" i="3" s="1"/>
  <c r="A345" i="3" s="1"/>
  <c r="X345" i="3" s="1"/>
  <c r="A346" i="3" s="1"/>
  <c r="X346" i="3" s="1"/>
  <c r="A347" i="3" s="1"/>
  <c r="X347" i="3" s="1"/>
  <c r="A348" i="3" s="1"/>
  <c r="X348" i="3" s="1"/>
  <c r="A349" i="3" s="1"/>
  <c r="X349" i="3" s="1"/>
  <c r="A350" i="3" s="1"/>
  <c r="X350" i="3" s="1"/>
  <c r="A351" i="3" s="1"/>
  <c r="X351" i="3" s="1"/>
  <c r="A352" i="3" s="1"/>
  <c r="X352" i="3" s="1"/>
  <c r="A353" i="3" s="1"/>
  <c r="X353" i="3" s="1"/>
  <c r="A354" i="3" s="1"/>
  <c r="X354" i="3" s="1"/>
  <c r="A355" i="3" s="1"/>
  <c r="X355" i="3" s="1"/>
  <c r="A356" i="3" s="1"/>
  <c r="X356" i="3" s="1"/>
  <c r="A357" i="3" s="1"/>
  <c r="X357" i="3" s="1"/>
  <c r="A358" i="3" s="1"/>
  <c r="X358" i="3" s="1"/>
  <c r="A359" i="3" s="1"/>
  <c r="X359" i="3" s="1"/>
  <c r="A360" i="3" s="1"/>
  <c r="X360" i="3" s="1"/>
  <c r="A361" i="3" s="1"/>
  <c r="X361" i="3" s="1"/>
  <c r="A362" i="3" s="1"/>
  <c r="X362" i="3" s="1"/>
  <c r="A363" i="3" s="1"/>
  <c r="X363" i="3" s="1"/>
  <c r="A364" i="3" s="1"/>
  <c r="X364" i="3" s="1"/>
  <c r="A365" i="3" s="1"/>
  <c r="X365" i="3" s="1"/>
  <c r="A366" i="3" s="1"/>
  <c r="X366" i="3" s="1"/>
  <c r="A367" i="3" s="1"/>
  <c r="X367" i="3" s="1"/>
  <c r="A368" i="3" s="1"/>
  <c r="X368" i="3" s="1"/>
  <c r="A369" i="3" s="1"/>
  <c r="X369" i="3" s="1"/>
  <c r="A370" i="3" s="1"/>
  <c r="X370" i="3" s="1"/>
  <c r="A371" i="3" s="1"/>
  <c r="X371" i="3" s="1"/>
  <c r="A372" i="3" s="1"/>
  <c r="X372" i="3" s="1"/>
  <c r="A373" i="3" s="1"/>
  <c r="X373" i="3" s="1"/>
  <c r="A374" i="3" s="1"/>
  <c r="X374" i="3" s="1"/>
  <c r="A375" i="3" s="1"/>
  <c r="X375" i="3" s="1"/>
  <c r="A376" i="3" s="1"/>
  <c r="X376" i="3" s="1"/>
  <c r="A377" i="3" s="1"/>
  <c r="X377" i="3" s="1"/>
  <c r="A378" i="3" s="1"/>
  <c r="X378" i="3" s="1"/>
  <c r="A379" i="3" s="1"/>
  <c r="X379" i="3" s="1"/>
  <c r="A380" i="3" s="1"/>
  <c r="X380" i="3" s="1"/>
  <c r="A381" i="3" s="1"/>
  <c r="X381" i="3" s="1"/>
  <c r="A382" i="3" s="1"/>
  <c r="X382" i="3" s="1"/>
  <c r="A383" i="3" s="1"/>
  <c r="X383" i="3" s="1"/>
  <c r="A384" i="3" s="1"/>
  <c r="X384" i="3" s="1"/>
  <c r="A385" i="3" s="1"/>
  <c r="X385" i="3" s="1"/>
  <c r="A386" i="3" s="1"/>
  <c r="X386" i="3" s="1"/>
  <c r="A387" i="3" s="1"/>
  <c r="X387" i="3" s="1"/>
  <c r="A388" i="3" s="1"/>
  <c r="X388" i="3" s="1"/>
  <c r="A389" i="3" s="1"/>
  <c r="X389" i="3" s="1"/>
  <c r="A390" i="3" s="1"/>
  <c r="X390" i="3" s="1"/>
  <c r="A391" i="3" s="1"/>
  <c r="X391" i="3" s="1"/>
  <c r="A392" i="3" s="1"/>
  <c r="X392" i="3" s="1"/>
  <c r="A393" i="3" s="1"/>
  <c r="X393" i="3" s="1"/>
  <c r="A394" i="3" s="1"/>
  <c r="X394" i="3" s="1"/>
  <c r="A395" i="3" s="1"/>
  <c r="X395" i="3" s="1"/>
  <c r="A396" i="3" s="1"/>
  <c r="X396" i="3" s="1"/>
  <c r="A397" i="3" s="1"/>
  <c r="X397" i="3" s="1"/>
  <c r="A398" i="3" s="1"/>
  <c r="X398" i="3" s="1"/>
  <c r="A399" i="3" s="1"/>
  <c r="X399" i="3" s="1"/>
  <c r="A400" i="3" s="1"/>
  <c r="X400" i="3" s="1"/>
  <c r="A401" i="3" s="1"/>
  <c r="X401" i="3" s="1"/>
  <c r="A402" i="3" s="1"/>
  <c r="X402" i="3" s="1"/>
  <c r="A403" i="3" s="1"/>
  <c r="X403" i="3" s="1"/>
  <c r="A404" i="3" s="1"/>
  <c r="X404" i="3" s="1"/>
  <c r="A405" i="3" s="1"/>
  <c r="X405" i="3" s="1"/>
  <c r="A406" i="3" s="1"/>
  <c r="X406" i="3" s="1"/>
  <c r="A407" i="3" s="1"/>
  <c r="X407" i="3" s="1"/>
  <c r="A408" i="3" s="1"/>
  <c r="X408" i="3" s="1"/>
  <c r="A409" i="3" s="1"/>
  <c r="X409" i="3" s="1"/>
  <c r="A410" i="3" s="1"/>
  <c r="X410" i="3" s="1"/>
  <c r="A411" i="3" s="1"/>
  <c r="X411" i="3" s="1"/>
  <c r="A412" i="3" s="1"/>
  <c r="X412" i="3" s="1"/>
  <c r="A413" i="3" s="1"/>
  <c r="X413" i="3" s="1"/>
  <c r="A414" i="3" s="1"/>
  <c r="X414" i="3" s="1"/>
  <c r="A415" i="3" s="1"/>
  <c r="X415" i="3" s="1"/>
  <c r="A416" i="3" s="1"/>
  <c r="X416" i="3" s="1"/>
  <c r="A417" i="3" s="1"/>
  <c r="X417" i="3" s="1"/>
  <c r="A418" i="3" s="1"/>
  <c r="X418" i="3" s="1"/>
  <c r="A419" i="3" s="1"/>
  <c r="X419" i="3" s="1"/>
  <c r="A420" i="3" s="1"/>
  <c r="X420" i="3" s="1"/>
  <c r="A421" i="3" s="1"/>
  <c r="X421" i="3" s="1"/>
  <c r="A422" i="3" s="1"/>
  <c r="X422" i="3" s="1"/>
  <c r="A423" i="3" s="1"/>
  <c r="X423" i="3" s="1"/>
  <c r="A424" i="3" s="1"/>
  <c r="X424" i="3" s="1"/>
  <c r="A425" i="3" s="1"/>
  <c r="S326" i="3"/>
  <c r="U326" i="3"/>
  <c r="S323" i="3"/>
  <c r="U323" i="3"/>
  <c r="V323" i="3" s="1"/>
  <c r="U322" i="3"/>
  <c r="V322" i="3" s="1"/>
  <c r="S322" i="3"/>
  <c r="S321" i="3"/>
  <c r="U321" i="3"/>
  <c r="V321" i="3" s="1"/>
  <c r="S320" i="3"/>
  <c r="U320" i="3"/>
  <c r="V320" i="3" s="1"/>
  <c r="S319" i="3"/>
  <c r="U319" i="3"/>
  <c r="V319" i="3" s="1"/>
  <c r="S318" i="3"/>
  <c r="U318" i="3"/>
  <c r="V318" i="3" s="1"/>
  <c r="V317" i="3"/>
  <c r="U317" i="3"/>
  <c r="V316" i="3"/>
  <c r="S316" i="3"/>
  <c r="U316" i="3"/>
  <c r="S315" i="3"/>
  <c r="U315" i="3"/>
  <c r="V315" i="3"/>
  <c r="U314" i="3"/>
  <c r="S314" i="3"/>
  <c r="V314" i="3"/>
  <c r="S313" i="3"/>
  <c r="V313" i="3"/>
  <c r="U312" i="3"/>
  <c r="V312" i="3"/>
  <c r="S312" i="3"/>
  <c r="V311" i="3"/>
  <c r="S311" i="3"/>
  <c r="U311" i="3"/>
  <c r="V310" i="3"/>
  <c r="U310" i="3"/>
  <c r="S310" i="3"/>
  <c r="V309" i="3"/>
  <c r="U309" i="3"/>
  <c r="S309" i="3"/>
  <c r="S308" i="3"/>
  <c r="U308" i="3"/>
  <c r="V308" i="3"/>
  <c r="U307" i="3"/>
  <c r="S307" i="3"/>
  <c r="V307" i="3"/>
  <c r="U306" i="3"/>
  <c r="V306" i="3"/>
  <c r="S305" i="3"/>
  <c r="U305" i="3"/>
  <c r="V305" i="3"/>
  <c r="S304" i="3"/>
  <c r="U304" i="3"/>
  <c r="V304" i="3"/>
  <c r="S303" i="3"/>
  <c r="U303" i="3"/>
  <c r="V303" i="3"/>
  <c r="V302" i="3"/>
  <c r="S302" i="3"/>
  <c r="U302" i="3"/>
  <c r="U301" i="3"/>
  <c r="S301" i="3"/>
  <c r="V301" i="3"/>
  <c r="U300" i="3"/>
  <c r="S300" i="3"/>
  <c r="V300" i="3"/>
  <c r="S299" i="3"/>
  <c r="V299" i="3"/>
  <c r="U299" i="3"/>
  <c r="V298" i="3"/>
  <c r="S298" i="3"/>
  <c r="U298" i="3"/>
  <c r="U297" i="3"/>
  <c r="S297" i="3"/>
  <c r="V297" i="3"/>
  <c r="S296" i="3"/>
  <c r="V296" i="3"/>
  <c r="U296" i="3"/>
  <c r="V295" i="3"/>
  <c r="S295" i="3"/>
  <c r="U295" i="3"/>
  <c r="V294" i="3"/>
  <c r="U294" i="3"/>
  <c r="S294" i="3"/>
  <c r="U293" i="3"/>
  <c r="S293" i="3"/>
  <c r="V293" i="3"/>
  <c r="S292" i="3"/>
  <c r="U292" i="3"/>
  <c r="V292" i="3"/>
  <c r="S291" i="3"/>
  <c r="V291" i="3"/>
  <c r="U291" i="3"/>
  <c r="V290" i="3"/>
  <c r="U290" i="3"/>
  <c r="S290" i="3"/>
  <c r="S289" i="3"/>
  <c r="U289" i="3"/>
  <c r="V289" i="3"/>
  <c r="V288" i="3"/>
  <c r="U288" i="3"/>
  <c r="S288" i="3"/>
  <c r="V287" i="3"/>
  <c r="S287" i="3"/>
  <c r="U287" i="3"/>
  <c r="S286" i="3"/>
  <c r="U286" i="3"/>
  <c r="V286" i="3"/>
  <c r="U285" i="3"/>
  <c r="S285" i="3"/>
  <c r="V285" i="3"/>
  <c r="S284" i="3"/>
  <c r="V284" i="3"/>
  <c r="U284" i="3"/>
  <c r="U283" i="3"/>
  <c r="S283" i="3"/>
  <c r="V283" i="3"/>
  <c r="U282" i="3"/>
  <c r="S282" i="3"/>
  <c r="V282" i="3"/>
  <c r="U281" i="3"/>
  <c r="V281" i="3"/>
  <c r="S281" i="3"/>
  <c r="V280" i="3"/>
  <c r="S280" i="3"/>
  <c r="U280" i="3"/>
  <c r="S279" i="3"/>
  <c r="V279" i="3"/>
  <c r="U279" i="3"/>
  <c r="U278" i="3"/>
  <c r="V278" i="3"/>
  <c r="S278" i="3"/>
  <c r="U277" i="3"/>
  <c r="S277" i="3"/>
  <c r="V277" i="3"/>
  <c r="U276" i="3"/>
  <c r="V276" i="3"/>
  <c r="S276" i="3"/>
  <c r="V275" i="3"/>
  <c r="U275" i="3"/>
  <c r="S275" i="3"/>
  <c r="S274" i="3"/>
  <c r="U274" i="3"/>
  <c r="V274" i="3"/>
  <c r="U273" i="3"/>
  <c r="S273" i="3"/>
  <c r="V273" i="3"/>
  <c r="V272" i="3"/>
  <c r="U272" i="3"/>
  <c r="S272" i="3"/>
  <c r="U271" i="3"/>
  <c r="V271" i="3"/>
  <c r="S271" i="3"/>
  <c r="U270" i="3"/>
  <c r="V270" i="3"/>
  <c r="S270" i="3"/>
  <c r="U269" i="3"/>
  <c r="S269" i="3"/>
  <c r="V269" i="3"/>
  <c r="S268" i="3"/>
  <c r="U268" i="3"/>
  <c r="V268" i="3"/>
  <c r="V267" i="3"/>
  <c r="S267" i="3"/>
  <c r="U267" i="3"/>
  <c r="U266" i="3"/>
  <c r="V266" i="3"/>
  <c r="U265" i="3"/>
  <c r="V265" i="3"/>
  <c r="S265" i="3"/>
  <c r="V264" i="3"/>
  <c r="U264" i="3"/>
  <c r="S264" i="3"/>
  <c r="V263" i="3"/>
  <c r="S263" i="3"/>
  <c r="U263" i="3"/>
  <c r="V262" i="3"/>
  <c r="U262" i="3"/>
  <c r="S262" i="3"/>
  <c r="V261" i="3"/>
  <c r="S261" i="3"/>
  <c r="U261" i="3"/>
  <c r="U260" i="3"/>
  <c r="S260" i="3"/>
  <c r="V260" i="3"/>
  <c r="V259" i="3"/>
  <c r="U259" i="3"/>
  <c r="S259" i="3"/>
  <c r="V258" i="3"/>
  <c r="S258" i="3"/>
  <c r="U258" i="3"/>
  <c r="V256" i="3"/>
  <c r="U256" i="3"/>
  <c r="S256" i="3"/>
  <c r="U255" i="3"/>
  <c r="V255" i="3"/>
  <c r="S255" i="3"/>
  <c r="V254" i="3"/>
  <c r="S254" i="3"/>
  <c r="U254" i="3"/>
  <c r="V253" i="3"/>
  <c r="U253" i="3"/>
  <c r="S253" i="3"/>
  <c r="S252" i="3"/>
  <c r="V252" i="3"/>
  <c r="U252" i="3"/>
  <c r="V251" i="3"/>
  <c r="S251" i="3"/>
  <c r="U251" i="3"/>
  <c r="S250" i="3"/>
  <c r="V250" i="3"/>
  <c r="U250" i="3"/>
  <c r="V249" i="3"/>
  <c r="S249" i="3"/>
  <c r="U249" i="3"/>
  <c r="S248" i="3"/>
  <c r="V248" i="3"/>
  <c r="U248" i="3"/>
  <c r="U247" i="3"/>
  <c r="V247" i="3"/>
  <c r="S247" i="3"/>
  <c r="S246" i="3"/>
  <c r="V246" i="3"/>
  <c r="U246" i="3"/>
  <c r="S245" i="3"/>
  <c r="U245" i="3"/>
  <c r="V245" i="3"/>
  <c r="U244" i="3"/>
  <c r="S244" i="3"/>
  <c r="V244" i="3"/>
  <c r="V243" i="3"/>
  <c r="S243" i="3"/>
  <c r="U243" i="3"/>
  <c r="V242" i="3"/>
  <c r="U242" i="3"/>
  <c r="S242" i="3"/>
  <c r="V241" i="3"/>
  <c r="S241" i="3"/>
  <c r="U241" i="3"/>
  <c r="S240" i="3"/>
  <c r="U240" i="3"/>
  <c r="V240" i="3"/>
  <c r="U239" i="3"/>
  <c r="S239" i="3"/>
  <c r="V239" i="3"/>
  <c r="S238" i="3"/>
  <c r="U238" i="3"/>
  <c r="V238" i="3"/>
  <c r="S237" i="3"/>
  <c r="V237" i="3"/>
  <c r="U237" i="3"/>
  <c r="V236" i="3"/>
  <c r="S236" i="3"/>
  <c r="U236" i="3"/>
  <c r="V235" i="3"/>
  <c r="S235" i="3"/>
  <c r="U235" i="3"/>
  <c r="V234" i="3"/>
  <c r="S234" i="3"/>
  <c r="U234" i="3"/>
  <c r="V233" i="3"/>
  <c r="S233" i="3"/>
  <c r="U233" i="3"/>
  <c r="S232" i="3"/>
  <c r="V232" i="3"/>
  <c r="U232" i="3"/>
  <c r="U231" i="3"/>
  <c r="V231" i="3"/>
  <c r="S231" i="3"/>
  <c r="S230" i="3"/>
  <c r="V230" i="3"/>
  <c r="U230" i="3"/>
  <c r="V229" i="3"/>
  <c r="U229" i="3"/>
  <c r="V228" i="3"/>
  <c r="U228" i="3"/>
  <c r="S228" i="3"/>
  <c r="U227" i="3"/>
  <c r="V227" i="3"/>
  <c r="S227" i="3"/>
  <c r="V226" i="3"/>
  <c r="S226" i="3"/>
  <c r="U226" i="3"/>
  <c r="V225" i="3"/>
  <c r="S225" i="3"/>
  <c r="U225" i="3"/>
  <c r="U224" i="3"/>
  <c r="V224" i="3"/>
  <c r="S224" i="3"/>
  <c r="U223" i="3"/>
  <c r="V223" i="3"/>
  <c r="S223" i="3"/>
  <c r="U221" i="3"/>
  <c r="S221" i="3"/>
  <c r="V221" i="3"/>
  <c r="U220" i="3"/>
  <c r="V220" i="3"/>
  <c r="U217" i="3"/>
  <c r="V217" i="3"/>
  <c r="S217" i="3"/>
  <c r="S214" i="3"/>
  <c r="V214" i="3"/>
  <c r="U214" i="3"/>
  <c r="S212" i="3"/>
  <c r="V212" i="3"/>
  <c r="U212" i="3"/>
  <c r="V210" i="3"/>
  <c r="U210" i="3"/>
  <c r="S210" i="3"/>
  <c r="S206" i="3"/>
  <c r="U206" i="3"/>
  <c r="V206" i="3"/>
  <c r="U205" i="3"/>
  <c r="V205" i="3"/>
  <c r="S205" i="3"/>
  <c r="V204" i="3"/>
  <c r="U204" i="3"/>
  <c r="S204" i="3"/>
  <c r="V203" i="3"/>
  <c r="U203" i="3"/>
  <c r="S203" i="3"/>
  <c r="S202" i="3"/>
  <c r="V202" i="3"/>
  <c r="U202" i="3"/>
  <c r="V200" i="3"/>
  <c r="X200" i="3" s="1"/>
  <c r="A201" i="3" s="1"/>
  <c r="X201" i="3" s="1"/>
  <c r="A202" i="3" s="1"/>
  <c r="X202" i="3" s="1"/>
  <c r="A203" i="3" s="1"/>
  <c r="X203" i="3" s="1"/>
  <c r="A204" i="3" s="1"/>
  <c r="X204" i="3" s="1"/>
  <c r="A205" i="3" s="1"/>
  <c r="X205" i="3" s="1"/>
  <c r="A206" i="3" s="1"/>
  <c r="X206" i="3" s="1"/>
  <c r="A207" i="3" s="1"/>
  <c r="X207" i="3" s="1"/>
  <c r="A208" i="3" s="1"/>
  <c r="X208" i="3" s="1"/>
  <c r="A209" i="3" s="1"/>
  <c r="X209" i="3" s="1"/>
  <c r="A210" i="3" s="1"/>
  <c r="X210" i="3" s="1"/>
  <c r="A211" i="3" s="1"/>
  <c r="X211" i="3" s="1"/>
  <c r="A212" i="3" s="1"/>
  <c r="X212" i="3" s="1"/>
  <c r="A213" i="3" s="1"/>
  <c r="X213" i="3" s="1"/>
  <c r="A214" i="3" s="1"/>
  <c r="X214" i="3" s="1"/>
  <c r="A215" i="3" s="1"/>
  <c r="X215" i="3" s="1"/>
  <c r="A216" i="3" s="1"/>
  <c r="X216" i="3" s="1"/>
  <c r="A217" i="3" s="1"/>
  <c r="X217" i="3" s="1"/>
  <c r="A218" i="3" s="1"/>
  <c r="X218" i="3" s="1"/>
  <c r="A219" i="3" s="1"/>
  <c r="X219" i="3" s="1"/>
  <c r="A220" i="3" s="1"/>
  <c r="X220" i="3" s="1"/>
  <c r="A221" i="3" s="1"/>
  <c r="X221" i="3" s="1"/>
  <c r="A222" i="3" s="1"/>
  <c r="X222" i="3" s="1"/>
  <c r="A223" i="3" s="1"/>
  <c r="X223" i="3" s="1"/>
  <c r="A224" i="3" s="1"/>
  <c r="X224" i="3" s="1"/>
  <c r="A225" i="3" s="1"/>
  <c r="X225" i="3" s="1"/>
  <c r="A226" i="3" s="1"/>
  <c r="X226" i="3" s="1"/>
  <c r="A227" i="3" s="1"/>
  <c r="X227" i="3" s="1"/>
  <c r="A228" i="3" s="1"/>
  <c r="X228" i="3" s="1"/>
  <c r="A229" i="3" s="1"/>
  <c r="X229" i="3" s="1"/>
  <c r="A230" i="3" s="1"/>
  <c r="X230" i="3" s="1"/>
  <c r="A231" i="3" s="1"/>
  <c r="X231" i="3" s="1"/>
  <c r="A232" i="3" s="1"/>
  <c r="X232" i="3" s="1"/>
  <c r="A233" i="3" s="1"/>
  <c r="X233" i="3" s="1"/>
  <c r="A234" i="3" s="1"/>
  <c r="X234" i="3" s="1"/>
  <c r="A235" i="3" s="1"/>
  <c r="X235" i="3" s="1"/>
  <c r="A236" i="3" s="1"/>
  <c r="X236" i="3" s="1"/>
  <c r="A237" i="3" s="1"/>
  <c r="X237" i="3" s="1"/>
  <c r="A238" i="3" s="1"/>
  <c r="X238" i="3" s="1"/>
  <c r="A239" i="3" s="1"/>
  <c r="X239" i="3" s="1"/>
  <c r="A240" i="3" s="1"/>
  <c r="X240" i="3" s="1"/>
  <c r="A241" i="3" s="1"/>
  <c r="X241" i="3" s="1"/>
  <c r="A242" i="3" s="1"/>
  <c r="X242" i="3" s="1"/>
  <c r="A243" i="3" s="1"/>
  <c r="X243" i="3" s="1"/>
  <c r="A244" i="3" s="1"/>
  <c r="X244" i="3" s="1"/>
  <c r="A245" i="3" s="1"/>
  <c r="X245" i="3" s="1"/>
  <c r="A246" i="3" s="1"/>
  <c r="X246" i="3" s="1"/>
  <c r="A247" i="3" s="1"/>
  <c r="X247" i="3" s="1"/>
  <c r="A248" i="3" s="1"/>
  <c r="X248" i="3" s="1"/>
  <c r="A249" i="3" s="1"/>
  <c r="X249" i="3" s="1"/>
  <c r="A250" i="3" s="1"/>
  <c r="X250" i="3" s="1"/>
  <c r="A251" i="3" s="1"/>
  <c r="X251" i="3" s="1"/>
  <c r="A252" i="3" s="1"/>
  <c r="X252" i="3" s="1"/>
  <c r="A253" i="3" s="1"/>
  <c r="X253" i="3" s="1"/>
  <c r="A254" i="3" s="1"/>
  <c r="X254" i="3" s="1"/>
  <c r="A255" i="3" s="1"/>
  <c r="X255" i="3" s="1"/>
  <c r="A256" i="3" s="1"/>
  <c r="X256" i="3" s="1"/>
  <c r="A257" i="3" s="1"/>
  <c r="X257" i="3" s="1"/>
  <c r="A258" i="3" s="1"/>
  <c r="X258" i="3" s="1"/>
  <c r="A259" i="3" s="1"/>
  <c r="X259" i="3" s="1"/>
  <c r="A260" i="3" s="1"/>
  <c r="X260" i="3" s="1"/>
  <c r="A261" i="3" s="1"/>
  <c r="X261" i="3" s="1"/>
  <c r="A262" i="3" s="1"/>
  <c r="X262" i="3" s="1"/>
  <c r="A263" i="3" s="1"/>
  <c r="X263" i="3" s="1"/>
  <c r="A264" i="3" s="1"/>
  <c r="X264" i="3" s="1"/>
  <c r="A265" i="3" s="1"/>
  <c r="X265" i="3" s="1"/>
  <c r="A266" i="3" s="1"/>
  <c r="X266" i="3" s="1"/>
  <c r="A267" i="3" s="1"/>
  <c r="X267" i="3" s="1"/>
  <c r="A268" i="3" s="1"/>
  <c r="X268" i="3" s="1"/>
  <c r="A269" i="3" s="1"/>
  <c r="X269" i="3" s="1"/>
  <c r="A270" i="3" s="1"/>
  <c r="X270" i="3" s="1"/>
  <c r="A271" i="3" s="1"/>
  <c r="X271" i="3" s="1"/>
  <c r="A272" i="3" s="1"/>
  <c r="X272" i="3" s="1"/>
  <c r="A273" i="3" s="1"/>
  <c r="X273" i="3" s="1"/>
  <c r="A274" i="3" s="1"/>
  <c r="X274" i="3" s="1"/>
  <c r="A275" i="3" s="1"/>
  <c r="X275" i="3" s="1"/>
  <c r="A276" i="3" s="1"/>
  <c r="X276" i="3" s="1"/>
  <c r="A277" i="3" s="1"/>
  <c r="X277" i="3" s="1"/>
  <c r="A278" i="3" s="1"/>
  <c r="X278" i="3" s="1"/>
  <c r="A279" i="3" s="1"/>
  <c r="X279" i="3" s="1"/>
  <c r="A280" i="3" s="1"/>
  <c r="X280" i="3" s="1"/>
  <c r="A281" i="3" s="1"/>
  <c r="X281" i="3" s="1"/>
  <c r="A282" i="3" s="1"/>
  <c r="X282" i="3" s="1"/>
  <c r="A283" i="3" s="1"/>
  <c r="X283" i="3" s="1"/>
  <c r="A284" i="3" s="1"/>
  <c r="X284" i="3" s="1"/>
  <c r="A285" i="3" s="1"/>
  <c r="X285" i="3" s="1"/>
  <c r="A286" i="3" s="1"/>
  <c r="X286" i="3" s="1"/>
  <c r="A287" i="3" s="1"/>
  <c r="X287" i="3" s="1"/>
  <c r="A288" i="3" s="1"/>
  <c r="X288" i="3" s="1"/>
  <c r="A289" i="3" s="1"/>
  <c r="X289" i="3" s="1"/>
  <c r="A290" i="3" s="1"/>
  <c r="X290" i="3" s="1"/>
  <c r="A291" i="3" s="1"/>
  <c r="X291" i="3" s="1"/>
  <c r="A292" i="3" s="1"/>
  <c r="X292" i="3" s="1"/>
  <c r="A293" i="3" s="1"/>
  <c r="X293" i="3" s="1"/>
  <c r="A294" i="3" s="1"/>
  <c r="X294" i="3" s="1"/>
  <c r="A295" i="3" s="1"/>
  <c r="X295" i="3" s="1"/>
  <c r="A296" i="3" s="1"/>
  <c r="X296" i="3" s="1"/>
  <c r="A297" i="3" s="1"/>
  <c r="X297" i="3" s="1"/>
  <c r="A298" i="3" s="1"/>
  <c r="X298" i="3" s="1"/>
  <c r="A299" i="3" s="1"/>
  <c r="X299" i="3" s="1"/>
  <c r="A300" i="3" s="1"/>
  <c r="X300" i="3" s="1"/>
  <c r="A301" i="3" s="1"/>
  <c r="X301" i="3" s="1"/>
  <c r="A302" i="3" s="1"/>
  <c r="X302" i="3" s="1"/>
  <c r="A303" i="3" s="1"/>
  <c r="X303" i="3" s="1"/>
  <c r="A304" i="3" s="1"/>
  <c r="X304" i="3" s="1"/>
  <c r="A305" i="3" s="1"/>
  <c r="X305" i="3" s="1"/>
  <c r="A306" i="3" s="1"/>
  <c r="X306" i="3" s="1"/>
  <c r="A307" i="3" s="1"/>
  <c r="X307" i="3" s="1"/>
  <c r="A308" i="3" s="1"/>
  <c r="X308" i="3" s="1"/>
  <c r="A309" i="3" s="1"/>
  <c r="X309" i="3" s="1"/>
  <c r="A310" i="3" s="1"/>
  <c r="X310" i="3" s="1"/>
  <c r="A311" i="3" s="1"/>
  <c r="X311" i="3" s="1"/>
  <c r="A312" i="3" s="1"/>
  <c r="X312" i="3" s="1"/>
  <c r="A313" i="3" s="1"/>
  <c r="X313" i="3" s="1"/>
  <c r="A314" i="3" s="1"/>
  <c r="X314" i="3" s="1"/>
  <c r="A315" i="3" s="1"/>
  <c r="X315" i="3" s="1"/>
  <c r="A316" i="3" s="1"/>
  <c r="X316" i="3" s="1"/>
  <c r="A317" i="3" s="1"/>
  <c r="X317" i="3" s="1"/>
  <c r="A318" i="3" s="1"/>
  <c r="S200" i="3"/>
  <c r="U200" i="3"/>
  <c r="U196" i="3"/>
  <c r="V196" i="3" s="1"/>
  <c r="S196" i="3"/>
  <c r="S195" i="3"/>
  <c r="U195" i="3"/>
  <c r="V195" i="3" s="1"/>
  <c r="U194" i="3"/>
  <c r="V194" i="3" s="1"/>
  <c r="S194" i="3"/>
  <c r="U193" i="3"/>
  <c r="V193" i="3" s="1"/>
  <c r="S193" i="3"/>
  <c r="S192" i="3"/>
  <c r="U192" i="3"/>
  <c r="V192" i="3" s="1"/>
  <c r="U191" i="3"/>
  <c r="V191" i="3" s="1"/>
  <c r="S191" i="3"/>
  <c r="U190" i="3"/>
  <c r="V190" i="3" s="1"/>
  <c r="S190" i="3"/>
  <c r="S189" i="3"/>
  <c r="V189" i="3"/>
  <c r="U189" i="3"/>
  <c r="U188" i="3"/>
  <c r="V188" i="3"/>
  <c r="S188" i="3"/>
  <c r="V187" i="3"/>
  <c r="U187" i="3"/>
  <c r="S187" i="3"/>
  <c r="S186" i="3"/>
  <c r="V186" i="3"/>
  <c r="U186" i="3"/>
  <c r="V185" i="3"/>
  <c r="U185" i="3"/>
  <c r="U184" i="3"/>
  <c r="S184" i="3"/>
  <c r="V184" i="3"/>
  <c r="S183" i="3"/>
  <c r="V183" i="3"/>
  <c r="U183" i="3"/>
  <c r="U182" i="3"/>
  <c r="V182" i="3"/>
  <c r="S182" i="3"/>
  <c r="U181" i="3"/>
  <c r="V181" i="3"/>
  <c r="S181" i="3"/>
  <c r="U180" i="3"/>
  <c r="V180" i="3"/>
  <c r="S180" i="3"/>
  <c r="V179" i="3"/>
  <c r="S179" i="3"/>
  <c r="U179" i="3"/>
  <c r="V178" i="3"/>
  <c r="S178" i="3"/>
  <c r="U178" i="3"/>
  <c r="U177" i="3"/>
  <c r="S177" i="3"/>
  <c r="V177" i="3"/>
  <c r="U176" i="3"/>
  <c r="S176" i="3"/>
  <c r="V176" i="3"/>
  <c r="U175" i="3"/>
  <c r="S175" i="3"/>
  <c r="V175" i="3"/>
  <c r="S174" i="3"/>
  <c r="V174" i="3"/>
  <c r="U174" i="3"/>
  <c r="V173" i="3"/>
  <c r="U173" i="3"/>
  <c r="S173" i="3"/>
  <c r="V172" i="3"/>
  <c r="U172" i="3"/>
  <c r="V171" i="3"/>
  <c r="S171" i="3"/>
  <c r="U171" i="3"/>
  <c r="U170" i="3"/>
  <c r="V170" i="3"/>
  <c r="S170" i="3"/>
  <c r="S169" i="3"/>
  <c r="V169" i="3"/>
  <c r="U169" i="3"/>
  <c r="U168" i="3"/>
  <c r="V168" i="3"/>
  <c r="S168" i="3"/>
  <c r="S167" i="3"/>
  <c r="U167" i="3"/>
  <c r="U166" i="3"/>
  <c r="V166" i="3"/>
  <c r="S166" i="3"/>
  <c r="U165" i="3"/>
  <c r="V165" i="3"/>
  <c r="S165" i="3"/>
  <c r="S164" i="3"/>
  <c r="U164" i="3"/>
  <c r="V164" i="3"/>
  <c r="V163" i="3"/>
  <c r="S163" i="3"/>
  <c r="U162" i="3"/>
  <c r="S162" i="3"/>
  <c r="V162" i="3"/>
  <c r="U161" i="3"/>
  <c r="V161" i="3"/>
  <c r="S161" i="3"/>
  <c r="U160" i="3"/>
  <c r="S160" i="3"/>
  <c r="V160" i="3"/>
  <c r="S159" i="3"/>
  <c r="U159" i="3"/>
  <c r="V159" i="3"/>
  <c r="U158" i="3"/>
  <c r="S158" i="3"/>
  <c r="V158" i="3"/>
  <c r="S157" i="3"/>
  <c r="U157" i="3"/>
  <c r="V157" i="3"/>
  <c r="S156" i="3"/>
  <c r="U156" i="3"/>
  <c r="V156" i="3"/>
  <c r="U155" i="3"/>
  <c r="S155" i="3"/>
  <c r="V155" i="3"/>
  <c r="U154" i="3"/>
  <c r="S154" i="3"/>
  <c r="V154" i="3"/>
  <c r="S153" i="3"/>
  <c r="U153" i="3"/>
  <c r="V153" i="3"/>
  <c r="S152" i="3"/>
  <c r="V152" i="3"/>
  <c r="U152" i="3"/>
  <c r="V151" i="3"/>
  <c r="S151" i="3"/>
  <c r="U151" i="3"/>
  <c r="S150" i="3"/>
  <c r="V150" i="3"/>
  <c r="U150" i="3"/>
  <c r="S149" i="3"/>
  <c r="U149" i="3"/>
  <c r="V149" i="3"/>
  <c r="U148" i="3"/>
  <c r="V148" i="3"/>
  <c r="S148" i="3"/>
  <c r="S147" i="3"/>
  <c r="U147" i="3"/>
  <c r="V147" i="3"/>
  <c r="V146" i="3"/>
  <c r="S146" i="3"/>
  <c r="U146" i="3"/>
  <c r="S145" i="3"/>
  <c r="V145" i="3"/>
  <c r="U145" i="3"/>
  <c r="U144" i="3"/>
  <c r="V144" i="3"/>
  <c r="S144" i="3"/>
  <c r="S143" i="3"/>
  <c r="V143" i="3"/>
  <c r="U143" i="3"/>
  <c r="S142" i="3"/>
  <c r="V142" i="3"/>
  <c r="U142" i="3"/>
  <c r="S141" i="3"/>
  <c r="U141" i="3"/>
  <c r="V141" i="3"/>
  <c r="U140" i="3"/>
  <c r="V140" i="3"/>
  <c r="S140" i="3"/>
  <c r="U139" i="3"/>
  <c r="S139" i="3"/>
  <c r="V139" i="3"/>
  <c r="V138" i="3"/>
  <c r="U138" i="3"/>
  <c r="S138" i="3"/>
  <c r="V137" i="3"/>
  <c r="S137" i="3"/>
  <c r="U137" i="3"/>
  <c r="S136" i="3"/>
  <c r="U136" i="3"/>
  <c r="V136" i="3"/>
  <c r="V135" i="3"/>
  <c r="S135" i="3"/>
  <c r="U135" i="3"/>
  <c r="U134" i="3"/>
  <c r="V134" i="3"/>
  <c r="S134" i="3"/>
  <c r="S133" i="3"/>
  <c r="U133" i="3"/>
  <c r="V133" i="3"/>
  <c r="S132" i="3"/>
  <c r="U132" i="3"/>
  <c r="V132" i="3"/>
  <c r="S131" i="3"/>
  <c r="V131" i="3"/>
  <c r="U131" i="3"/>
  <c r="U130" i="3"/>
  <c r="V130" i="3"/>
  <c r="S130" i="3"/>
  <c r="S129" i="3"/>
  <c r="U129" i="3"/>
  <c r="V129" i="3"/>
  <c r="U128" i="3"/>
  <c r="S128" i="3"/>
  <c r="V128" i="3"/>
  <c r="V127" i="3"/>
  <c r="S127" i="3"/>
  <c r="U127" i="3"/>
  <c r="U126" i="3"/>
  <c r="S126" i="3"/>
  <c r="V126" i="3"/>
  <c r="U125" i="3"/>
  <c r="S125" i="3"/>
  <c r="V125" i="3"/>
  <c r="X125" i="3" s="1"/>
  <c r="A126" i="3" s="1"/>
  <c r="X126" i="3" s="1"/>
  <c r="A127" i="3" s="1"/>
  <c r="X127" i="3" s="1"/>
  <c r="A128" i="3" s="1"/>
  <c r="X128" i="3" s="1"/>
  <c r="A129" i="3" s="1"/>
  <c r="X129" i="3" s="1"/>
  <c r="A130" i="3" s="1"/>
  <c r="X130" i="3" s="1"/>
  <c r="A131" i="3" s="1"/>
  <c r="X131" i="3" s="1"/>
  <c r="A132" i="3" s="1"/>
  <c r="X132" i="3" s="1"/>
  <c r="A133" i="3" s="1"/>
  <c r="X133" i="3" s="1"/>
  <c r="A134" i="3" s="1"/>
  <c r="X134" i="3" s="1"/>
  <c r="A135" i="3" s="1"/>
  <c r="X135" i="3" s="1"/>
  <c r="A136" i="3" s="1"/>
  <c r="X136" i="3" s="1"/>
  <c r="A137" i="3" s="1"/>
  <c r="X137" i="3" s="1"/>
  <c r="A138" i="3" s="1"/>
  <c r="X138" i="3" s="1"/>
  <c r="A139" i="3" s="1"/>
  <c r="X139" i="3" s="1"/>
  <c r="A140" i="3" s="1"/>
  <c r="X140" i="3" s="1"/>
  <c r="A141" i="3" s="1"/>
  <c r="X141" i="3" s="1"/>
  <c r="A142" i="3" s="1"/>
  <c r="X142" i="3" s="1"/>
  <c r="A143" i="3" s="1"/>
  <c r="X143" i="3" s="1"/>
  <c r="A144" i="3" s="1"/>
  <c r="X144" i="3" s="1"/>
  <c r="A145" i="3" s="1"/>
  <c r="X145" i="3" s="1"/>
  <c r="A146" i="3" s="1"/>
  <c r="X146" i="3" s="1"/>
  <c r="A147" i="3" s="1"/>
  <c r="X147" i="3" s="1"/>
  <c r="A148" i="3" s="1"/>
  <c r="X148" i="3" s="1"/>
  <c r="A149" i="3" s="1"/>
  <c r="X149" i="3" s="1"/>
  <c r="A150" i="3" s="1"/>
  <c r="X150" i="3" s="1"/>
  <c r="A151" i="3" s="1"/>
  <c r="X151" i="3" s="1"/>
  <c r="A152" i="3" s="1"/>
  <c r="X152" i="3" s="1"/>
  <c r="A153" i="3" s="1"/>
  <c r="X153" i="3" s="1"/>
  <c r="A154" i="3" s="1"/>
  <c r="X154" i="3" s="1"/>
  <c r="A155" i="3" s="1"/>
  <c r="X155" i="3" s="1"/>
  <c r="A156" i="3" s="1"/>
  <c r="X156" i="3" s="1"/>
  <c r="A157" i="3" s="1"/>
  <c r="X157" i="3" s="1"/>
  <c r="A158" i="3" s="1"/>
  <c r="X158" i="3" s="1"/>
  <c r="A159" i="3" s="1"/>
  <c r="X159" i="3" s="1"/>
  <c r="A160" i="3" s="1"/>
  <c r="X160" i="3" s="1"/>
  <c r="A161" i="3" s="1"/>
  <c r="X161" i="3" s="1"/>
  <c r="A162" i="3" s="1"/>
  <c r="X162" i="3" s="1"/>
  <c r="A163" i="3" s="1"/>
  <c r="X163" i="3" s="1"/>
  <c r="A164" i="3" s="1"/>
  <c r="X164" i="3" s="1"/>
  <c r="A165" i="3" s="1"/>
  <c r="X165" i="3" s="1"/>
  <c r="A166" i="3" s="1"/>
  <c r="X166" i="3" s="1"/>
  <c r="A167" i="3" s="1"/>
  <c r="U122" i="3"/>
  <c r="V122" i="3" s="1"/>
  <c r="S122" i="3"/>
  <c r="C122" i="3"/>
  <c r="X122" i="3"/>
  <c r="S120" i="3"/>
  <c r="U120" i="3"/>
  <c r="V120" i="3" s="1"/>
  <c r="S119" i="3"/>
  <c r="U119" i="3"/>
  <c r="V119" i="3" s="1"/>
  <c r="U118" i="3"/>
  <c r="V118" i="3" s="1"/>
  <c r="S118" i="3"/>
  <c r="U117" i="3"/>
  <c r="V117" i="3" s="1"/>
  <c r="S117" i="3"/>
  <c r="S116" i="3"/>
  <c r="U116" i="3"/>
  <c r="V116" i="3" s="1"/>
  <c r="U115" i="3"/>
  <c r="V115" i="3" s="1"/>
  <c r="S115" i="3"/>
  <c r="U114" i="3"/>
  <c r="V114" i="3" s="1"/>
  <c r="S114" i="3"/>
  <c r="U113" i="3"/>
  <c r="V113" i="3" s="1"/>
  <c r="S113" i="3"/>
  <c r="U112" i="3"/>
  <c r="V112" i="3" s="1"/>
  <c r="S112" i="3"/>
  <c r="U111" i="3"/>
  <c r="V111" i="3" s="1"/>
  <c r="S111" i="3"/>
  <c r="S110" i="3"/>
  <c r="U110" i="3"/>
  <c r="V110" i="3" s="1"/>
  <c r="S109" i="3"/>
  <c r="U109" i="3"/>
  <c r="V109" i="3" s="1"/>
  <c r="S108" i="3"/>
  <c r="U108" i="3"/>
  <c r="V108" i="3" s="1"/>
  <c r="S107" i="3"/>
  <c r="U107" i="3"/>
  <c r="V107" i="3" s="1"/>
  <c r="S106" i="3"/>
  <c r="U106" i="3"/>
  <c r="V106" i="3" s="1"/>
  <c r="V105" i="3"/>
  <c r="U105" i="3"/>
  <c r="S105" i="3"/>
  <c r="U104" i="3"/>
  <c r="S104" i="3"/>
  <c r="V104" i="3"/>
  <c r="V103" i="3"/>
  <c r="S103" i="3"/>
  <c r="U103" i="3"/>
  <c r="S102" i="3"/>
  <c r="V102" i="3"/>
  <c r="U102" i="3"/>
  <c r="V101" i="3"/>
  <c r="U101" i="3"/>
  <c r="S101" i="3"/>
  <c r="U100" i="3"/>
  <c r="V100" i="3"/>
  <c r="S100" i="3"/>
  <c r="U99" i="3"/>
  <c r="S99" i="3"/>
  <c r="V99" i="3"/>
  <c r="V98" i="3"/>
  <c r="S98" i="3"/>
  <c r="U98" i="3"/>
  <c r="U97" i="3"/>
  <c r="S97" i="3"/>
  <c r="V97" i="3"/>
  <c r="U96" i="3"/>
  <c r="V96" i="3"/>
  <c r="S96" i="3"/>
  <c r="S95" i="3"/>
  <c r="U95" i="3"/>
  <c r="V95" i="3"/>
  <c r="V94" i="3"/>
  <c r="X94" i="3" s="1"/>
  <c r="A95" i="3" s="1"/>
  <c r="X95" i="3" s="1"/>
  <c r="A96" i="3" s="1"/>
  <c r="X96" i="3" s="1"/>
  <c r="A97" i="3" s="1"/>
  <c r="X97" i="3" s="1"/>
  <c r="A98" i="3" s="1"/>
  <c r="X98" i="3" s="1"/>
  <c r="A99" i="3" s="1"/>
  <c r="X99" i="3" s="1"/>
  <c r="A100" i="3" s="1"/>
  <c r="X100" i="3" s="1"/>
  <c r="A101" i="3" s="1"/>
  <c r="X101" i="3" s="1"/>
  <c r="A102" i="3" s="1"/>
  <c r="X102" i="3" s="1"/>
  <c r="A103" i="3" s="1"/>
  <c r="X103" i="3" s="1"/>
  <c r="A104" i="3" s="1"/>
  <c r="X104" i="3" s="1"/>
  <c r="A105" i="3" s="1"/>
  <c r="X105" i="3" s="1"/>
  <c r="A106" i="3" s="1"/>
  <c r="U94" i="3"/>
  <c r="S94" i="3"/>
  <c r="V93" i="3"/>
  <c r="S93" i="3"/>
  <c r="U93" i="3"/>
  <c r="V92" i="3"/>
  <c r="U92" i="3"/>
  <c r="S92" i="3"/>
  <c r="S91" i="3"/>
  <c r="V91" i="3"/>
  <c r="U91" i="3"/>
  <c r="V90" i="3"/>
  <c r="S90" i="3"/>
  <c r="U90" i="3"/>
  <c r="U89" i="3"/>
  <c r="S89" i="3"/>
  <c r="V89" i="3"/>
  <c r="V88" i="3"/>
  <c r="U88" i="3"/>
  <c r="S88" i="3"/>
  <c r="V87" i="3"/>
  <c r="U87" i="3"/>
  <c r="S87" i="3"/>
  <c r="V86" i="3"/>
  <c r="S86" i="3"/>
  <c r="U86" i="3"/>
  <c r="V85" i="3"/>
  <c r="U85" i="3"/>
  <c r="S85" i="3"/>
  <c r="S84" i="3"/>
  <c r="U84" i="3"/>
  <c r="V84" i="3"/>
  <c r="S83" i="3"/>
  <c r="V83" i="3"/>
  <c r="U83" i="3"/>
  <c r="S82" i="3"/>
  <c r="U82" i="3"/>
  <c r="V82" i="3"/>
  <c r="U81" i="3"/>
  <c r="V81" i="3"/>
  <c r="S81" i="3"/>
  <c r="U80" i="3"/>
  <c r="S80" i="3"/>
  <c r="V80" i="3"/>
  <c r="U79" i="3"/>
  <c r="V79" i="3"/>
  <c r="S79" i="3"/>
  <c r="V78" i="3"/>
  <c r="U78" i="3"/>
  <c r="S78" i="3"/>
  <c r="S77" i="3"/>
  <c r="V77" i="3"/>
  <c r="U77" i="3"/>
  <c r="S76" i="3"/>
  <c r="U76" i="3"/>
  <c r="V76" i="3"/>
  <c r="U75" i="3"/>
  <c r="S75" i="3"/>
  <c r="V75" i="3"/>
  <c r="U74" i="3"/>
  <c r="V74" i="3"/>
  <c r="S74" i="3"/>
  <c r="U73" i="3"/>
  <c r="S73" i="3"/>
  <c r="V73" i="3"/>
  <c r="V72" i="3"/>
  <c r="S72" i="3"/>
  <c r="U72" i="3"/>
  <c r="S71" i="3"/>
  <c r="U71" i="3"/>
  <c r="V71" i="3"/>
  <c r="U70" i="3"/>
  <c r="S70" i="3"/>
  <c r="V70" i="3"/>
  <c r="U69" i="3"/>
  <c r="S69" i="3"/>
  <c r="V69" i="3"/>
  <c r="V68" i="3"/>
  <c r="U68" i="3"/>
  <c r="S68" i="3"/>
  <c r="U67" i="3"/>
  <c r="V67" i="3"/>
  <c r="S67" i="3"/>
  <c r="U66" i="3"/>
  <c r="S66" i="3"/>
  <c r="V66" i="3"/>
  <c r="V65" i="3"/>
  <c r="U65" i="3"/>
  <c r="S65" i="3"/>
  <c r="V64" i="3"/>
  <c r="S64" i="3"/>
  <c r="U64" i="3"/>
  <c r="S63" i="3"/>
  <c r="U63" i="3"/>
  <c r="V63" i="3"/>
  <c r="U62" i="3"/>
  <c r="V62" i="3"/>
  <c r="S62" i="3"/>
  <c r="S61" i="3"/>
  <c r="U61" i="3"/>
  <c r="V61" i="3"/>
  <c r="V60" i="3"/>
  <c r="U60" i="3"/>
  <c r="S60" i="3"/>
  <c r="U59" i="3"/>
  <c r="S59" i="3"/>
  <c r="V59" i="3"/>
  <c r="S58" i="3"/>
  <c r="U58" i="3"/>
  <c r="V58" i="3"/>
  <c r="S57" i="3"/>
  <c r="V57" i="3"/>
  <c r="U57" i="3"/>
  <c r="S56" i="3"/>
  <c r="V56" i="3"/>
  <c r="U56" i="3"/>
  <c r="S55" i="3"/>
  <c r="V55" i="3"/>
  <c r="U55" i="3"/>
  <c r="U54" i="3"/>
  <c r="S54" i="3"/>
  <c r="V54" i="3"/>
  <c r="V53" i="3"/>
  <c r="U53" i="3"/>
  <c r="S53" i="3"/>
  <c r="S52" i="3"/>
  <c r="V52" i="3"/>
  <c r="U52" i="3"/>
  <c r="V51" i="3"/>
  <c r="S51" i="3"/>
  <c r="U51" i="3"/>
  <c r="U50" i="3"/>
  <c r="S50" i="3"/>
  <c r="V50" i="3"/>
  <c r="V49" i="3"/>
  <c r="U49" i="3"/>
  <c r="S49" i="3"/>
  <c r="V48" i="3"/>
  <c r="S48" i="3"/>
  <c r="U48" i="3"/>
  <c r="V47" i="3"/>
  <c r="S47" i="3"/>
  <c r="U47" i="3"/>
  <c r="U46" i="3"/>
  <c r="S46" i="3"/>
  <c r="V46" i="3"/>
  <c r="V45" i="3"/>
  <c r="U45" i="3"/>
  <c r="U44" i="3"/>
  <c r="S44" i="3"/>
  <c r="V44" i="3"/>
  <c r="U43" i="3"/>
  <c r="V43" i="3"/>
  <c r="S43" i="3"/>
  <c r="V42" i="3"/>
  <c r="U42" i="3"/>
  <c r="S42" i="3"/>
  <c r="S41" i="3"/>
  <c r="U41" i="3"/>
  <c r="V41" i="3"/>
  <c r="U40" i="3"/>
  <c r="V40" i="3"/>
  <c r="S40" i="3"/>
  <c r="S39" i="3"/>
  <c r="V39" i="3"/>
  <c r="U39" i="3"/>
  <c r="V38" i="3"/>
  <c r="S38" i="3"/>
  <c r="U38" i="3"/>
  <c r="U37" i="3"/>
  <c r="S37" i="3"/>
  <c r="V37" i="3"/>
  <c r="S36" i="3"/>
  <c r="V36" i="3"/>
  <c r="U36" i="3"/>
  <c r="S35" i="3"/>
  <c r="V35" i="3"/>
  <c r="U35" i="3"/>
  <c r="S34" i="3"/>
  <c r="U34" i="3"/>
  <c r="V34" i="3"/>
  <c r="S33" i="3"/>
  <c r="U33" i="3"/>
  <c r="V33" i="3"/>
  <c r="U32" i="3"/>
  <c r="S32" i="3"/>
  <c r="V32" i="3"/>
  <c r="V31" i="3"/>
  <c r="S31" i="3"/>
  <c r="U31" i="3"/>
  <c r="S30" i="3"/>
  <c r="V30" i="3"/>
  <c r="U30" i="3"/>
  <c r="U29" i="3"/>
  <c r="S29" i="3"/>
  <c r="V29" i="3"/>
  <c r="S28" i="3"/>
  <c r="V28" i="3"/>
  <c r="U28" i="3"/>
  <c r="S27" i="3"/>
  <c r="U27" i="3"/>
  <c r="V27" i="3"/>
  <c r="S26" i="3"/>
  <c r="V26" i="3"/>
  <c r="U26" i="3"/>
  <c r="S25" i="3"/>
  <c r="U25" i="3"/>
  <c r="V25" i="3"/>
  <c r="V24" i="3"/>
  <c r="S24" i="3"/>
  <c r="U24" i="3"/>
  <c r="U23" i="3"/>
  <c r="S23" i="3"/>
  <c r="V23" i="3"/>
  <c r="V22" i="3"/>
  <c r="S22" i="3"/>
  <c r="U22" i="3"/>
  <c r="U21" i="3"/>
  <c r="V21" i="3"/>
  <c r="S21" i="3"/>
  <c r="V18" i="3"/>
  <c r="U18" i="3"/>
  <c r="S18" i="3"/>
  <c r="S15" i="3"/>
  <c r="V15" i="3"/>
  <c r="U15" i="3"/>
  <c r="V14" i="3"/>
  <c r="U14" i="3"/>
  <c r="S14" i="3"/>
  <c r="U13" i="3"/>
  <c r="V13" i="3"/>
  <c r="S13" i="3"/>
  <c r="V12" i="3"/>
  <c r="U12" i="3"/>
  <c r="S12" i="3"/>
  <c r="S10" i="3"/>
  <c r="U10" i="3"/>
  <c r="V10" i="3"/>
  <c r="X10" i="3" s="1"/>
  <c r="A11" i="3" s="1"/>
  <c r="X11" i="3" s="1"/>
  <c r="A12" i="3" s="1"/>
  <c r="X12" i="3" s="1"/>
  <c r="A13" i="3" s="1"/>
  <c r="X13" i="3" s="1"/>
  <c r="A14" i="3" s="1"/>
  <c r="X14" i="3" s="1"/>
  <c r="A15" i="3" s="1"/>
  <c r="X15" i="3" s="1"/>
  <c r="A16" i="3" s="1"/>
  <c r="X16" i="3" s="1"/>
  <c r="A17" i="3" s="1"/>
  <c r="X17" i="3" s="1"/>
  <c r="A18" i="3" s="1"/>
  <c r="X18" i="3" s="1"/>
  <c r="A19" i="3" s="1"/>
  <c r="X19" i="3" s="1"/>
  <c r="A20" i="3" s="1"/>
  <c r="X20" i="3" s="1"/>
  <c r="A21" i="3" s="1"/>
  <c r="X21" i="3" s="1"/>
  <c r="A22" i="3" s="1"/>
  <c r="X22" i="3" s="1"/>
  <c r="A23" i="3" s="1"/>
  <c r="X23" i="3" s="1"/>
  <c r="A24" i="3" s="1"/>
  <c r="X24" i="3" s="1"/>
  <c r="A25" i="3" s="1"/>
  <c r="X25" i="3" s="1"/>
  <c r="A26" i="3" s="1"/>
  <c r="X26" i="3" s="1"/>
  <c r="A27" i="3" s="1"/>
  <c r="X27" i="3" s="1"/>
  <c r="A28" i="3" s="1"/>
  <c r="X28" i="3" s="1"/>
  <c r="A29" i="3" s="1"/>
  <c r="X29" i="3" s="1"/>
  <c r="A30" i="3" s="1"/>
  <c r="X30" i="3" s="1"/>
  <c r="A31" i="3" s="1"/>
  <c r="X31" i="3" s="1"/>
  <c r="A32" i="3" s="1"/>
  <c r="X32" i="3" s="1"/>
  <c r="A33" i="3" s="1"/>
  <c r="X33" i="3" s="1"/>
  <c r="A34" i="3" s="1"/>
  <c r="X34" i="3" s="1"/>
  <c r="A35" i="3" s="1"/>
  <c r="X35" i="3" s="1"/>
  <c r="A36" i="3" s="1"/>
  <c r="X36" i="3" s="1"/>
  <c r="A37" i="3" s="1"/>
  <c r="X37" i="3" s="1"/>
  <c r="A38" i="3" s="1"/>
  <c r="X38" i="3" s="1"/>
  <c r="A39" i="3" s="1"/>
  <c r="X39" i="3" s="1"/>
  <c r="A40" i="3" s="1"/>
  <c r="X40" i="3" s="1"/>
  <c r="A41" i="3" s="1"/>
  <c r="X41" i="3" s="1"/>
  <c r="A42" i="3" s="1"/>
  <c r="X42" i="3" s="1"/>
  <c r="A43" i="3" s="1"/>
  <c r="X43" i="3" s="1"/>
  <c r="A44" i="3" s="1"/>
  <c r="X44" i="3" s="1"/>
  <c r="A45" i="3" s="1"/>
  <c r="X45" i="3" s="1"/>
  <c r="A46" i="3" s="1"/>
  <c r="X46" i="3" s="1"/>
  <c r="A47" i="3" s="1"/>
  <c r="X47" i="3" s="1"/>
  <c r="A48" i="3" s="1"/>
  <c r="X48" i="3" s="1"/>
  <c r="A49" i="3" s="1"/>
  <c r="X49" i="3" s="1"/>
  <c r="A50" i="3" s="1"/>
  <c r="X50" i="3" s="1"/>
  <c r="A51" i="3" s="1"/>
  <c r="X51" i="3" s="1"/>
  <c r="A52" i="3" s="1"/>
  <c r="X52" i="3" s="1"/>
  <c r="A53" i="3" s="1"/>
  <c r="X53" i="3" s="1"/>
  <c r="A54" i="3" s="1"/>
  <c r="X54" i="3" s="1"/>
  <c r="A55" i="3" s="1"/>
  <c r="X55" i="3" s="1"/>
  <c r="A56" i="3" s="1"/>
  <c r="X56" i="3" s="1"/>
  <c r="A57" i="3" s="1"/>
  <c r="X57" i="3" s="1"/>
  <c r="A58" i="3" s="1"/>
  <c r="X58" i="3" s="1"/>
  <c r="A59" i="3" s="1"/>
  <c r="X59" i="3" s="1"/>
  <c r="A60" i="3" s="1"/>
  <c r="X60" i="3" s="1"/>
  <c r="A61" i="3" s="1"/>
  <c r="X61" i="3" s="1"/>
  <c r="A62" i="3" s="1"/>
  <c r="X62" i="3" s="1"/>
  <c r="A63" i="3" s="1"/>
  <c r="X63" i="3" s="1"/>
  <c r="A64" i="3" s="1"/>
  <c r="X64" i="3" s="1"/>
  <c r="A65" i="3" s="1"/>
  <c r="X65" i="3" s="1"/>
  <c r="A66" i="3" s="1"/>
  <c r="X66" i="3" s="1"/>
  <c r="A67" i="3" s="1"/>
  <c r="X67" i="3" s="1"/>
  <c r="A68" i="3" s="1"/>
  <c r="X68" i="3" s="1"/>
  <c r="A69" i="3" s="1"/>
  <c r="X69" i="3" s="1"/>
  <c r="A70" i="3" s="1"/>
  <c r="X70" i="3" s="1"/>
  <c r="A71" i="3" s="1"/>
  <c r="X71" i="3" s="1"/>
  <c r="A72" i="3" s="1"/>
  <c r="X72" i="3" s="1"/>
  <c r="A73" i="3" s="1"/>
  <c r="X73" i="3" s="1"/>
  <c r="A74" i="3" s="1"/>
  <c r="X74" i="3" s="1"/>
  <c r="A75" i="3" s="1"/>
  <c r="X75" i="3" s="1"/>
  <c r="A76" i="3" s="1"/>
  <c r="X76" i="3" s="1"/>
  <c r="A77" i="3" s="1"/>
  <c r="X77" i="3" s="1"/>
  <c r="A78" i="3" s="1"/>
  <c r="X78" i="3" s="1"/>
  <c r="A79" i="3" s="1"/>
  <c r="X79" i="3" s="1"/>
  <c r="A80" i="3" s="1"/>
  <c r="X80" i="3" s="1"/>
  <c r="A81" i="3" s="1"/>
  <c r="X81" i="3" s="1"/>
  <c r="A82" i="3" s="1"/>
  <c r="X82" i="3" s="1"/>
  <c r="A83" i="3" s="1"/>
  <c r="X83" i="3" s="1"/>
  <c r="A84" i="3" s="1"/>
  <c r="X84" i="3" s="1"/>
  <c r="A85" i="3" s="1"/>
  <c r="X85" i="3" s="1"/>
  <c r="A86" i="3" s="1"/>
  <c r="X86" i="3" s="1"/>
  <c r="A87" i="3" s="1"/>
  <c r="X87" i="3" s="1"/>
  <c r="A88" i="3" s="1"/>
  <c r="X88" i="3" s="1"/>
  <c r="A89" i="3" s="1"/>
  <c r="X89" i="3" s="1"/>
  <c r="A90" i="3" s="1"/>
  <c r="X90" i="3" s="1"/>
  <c r="A91" i="3" s="1"/>
  <c r="X91" i="3" s="1"/>
  <c r="A92" i="3" s="1"/>
  <c r="X92" i="3" s="1"/>
  <c r="A93" i="3" s="1"/>
  <c r="X93" i="3" s="1"/>
  <c r="A94" i="3" s="1"/>
  <c r="S1731" i="2"/>
  <c r="U1731" i="2"/>
  <c r="V1731" i="2" s="1"/>
  <c r="S1730" i="2"/>
  <c r="U1730" i="2"/>
  <c r="V1730" i="2" s="1"/>
  <c r="S1729" i="2"/>
  <c r="U1729" i="2"/>
  <c r="V1729" i="2"/>
  <c r="S1728" i="2"/>
  <c r="U1728" i="2"/>
  <c r="V1728" i="2"/>
  <c r="U1727" i="2"/>
  <c r="S1727" i="2"/>
  <c r="V1727" i="2"/>
  <c r="U1726" i="2"/>
  <c r="V1726" i="2"/>
  <c r="S1726" i="2"/>
  <c r="V1725" i="2"/>
  <c r="U1725" i="2"/>
  <c r="S1725" i="2"/>
  <c r="S1724" i="2"/>
  <c r="V1724" i="2"/>
  <c r="U1724" i="2"/>
  <c r="S1723" i="2"/>
  <c r="U1723" i="2"/>
  <c r="V1723" i="2"/>
  <c r="U1722" i="2"/>
  <c r="S1722" i="2"/>
  <c r="V1722" i="2"/>
  <c r="S1721" i="2"/>
  <c r="V1721" i="2"/>
  <c r="U1721" i="2"/>
  <c r="V1720" i="2"/>
  <c r="U1720" i="2"/>
  <c r="S1720" i="2"/>
  <c r="V1719" i="2"/>
  <c r="S1719" i="2"/>
  <c r="U1719" i="2"/>
  <c r="V1718" i="2"/>
  <c r="S1718" i="2"/>
  <c r="U1718" i="2"/>
  <c r="U1717" i="2"/>
  <c r="S1717" i="2"/>
  <c r="V1717" i="2"/>
  <c r="U1716" i="2"/>
  <c r="S1716" i="2"/>
  <c r="V1716" i="2"/>
  <c r="S1715" i="2"/>
  <c r="U1715" i="2"/>
  <c r="V1715" i="2"/>
  <c r="V1714" i="2"/>
  <c r="U1714" i="2"/>
  <c r="S1714" i="2"/>
  <c r="S1713" i="2"/>
  <c r="U1713" i="2"/>
  <c r="V1713" i="2"/>
  <c r="V1712" i="2"/>
  <c r="S1712" i="2"/>
  <c r="U1712" i="2"/>
  <c r="V1711" i="2"/>
  <c r="U1711" i="2"/>
  <c r="S1711" i="2"/>
  <c r="V1710" i="2"/>
  <c r="S1710" i="2"/>
  <c r="U1710" i="2"/>
  <c r="V1709" i="2"/>
  <c r="S1709" i="2"/>
  <c r="U1709" i="2"/>
  <c r="S1708" i="2"/>
  <c r="U1708" i="2"/>
  <c r="V1708" i="2"/>
  <c r="S1707" i="2"/>
  <c r="V1707" i="2"/>
  <c r="U1707" i="2"/>
  <c r="V1706" i="2"/>
  <c r="S1706" i="2"/>
  <c r="U1706" i="2"/>
  <c r="U1705" i="2"/>
  <c r="S1705" i="2"/>
  <c r="V1705" i="2"/>
  <c r="V1704" i="2"/>
  <c r="S1704" i="2"/>
  <c r="U1704" i="2"/>
  <c r="U1703" i="2"/>
  <c r="S1703" i="2"/>
  <c r="V1703" i="2"/>
  <c r="S1702" i="2"/>
  <c r="V1702" i="2"/>
  <c r="U1702" i="2"/>
  <c r="V1701" i="2"/>
  <c r="U1701" i="2"/>
  <c r="S1700" i="2"/>
  <c r="V1700" i="2"/>
  <c r="U1700" i="2"/>
  <c r="U1699" i="2"/>
  <c r="S1699" i="2"/>
  <c r="V1699" i="2"/>
  <c r="U1698" i="2"/>
  <c r="V1698" i="2"/>
  <c r="S1698" i="2"/>
  <c r="U1697" i="2"/>
  <c r="V1697" i="2"/>
  <c r="S1697" i="2"/>
  <c r="S1696" i="2"/>
  <c r="U1696" i="2"/>
  <c r="V1696" i="2"/>
  <c r="U1695" i="2"/>
  <c r="S1695" i="2"/>
  <c r="V1695" i="2"/>
  <c r="U1694" i="2"/>
  <c r="S1694" i="2"/>
  <c r="V1694" i="2"/>
  <c r="V1693" i="2"/>
  <c r="S1693" i="2"/>
  <c r="U1693" i="2"/>
  <c r="U1692" i="2"/>
  <c r="S1692" i="2"/>
  <c r="V1692" i="2"/>
  <c r="V1691" i="2"/>
  <c r="S1691" i="2"/>
  <c r="U1691" i="2"/>
  <c r="S1690" i="2"/>
  <c r="V1690" i="2"/>
  <c r="U1690" i="2"/>
  <c r="U1689" i="2"/>
  <c r="V1689" i="2"/>
  <c r="S1689" i="2"/>
  <c r="U1688" i="2"/>
  <c r="V1688" i="2"/>
  <c r="S1688" i="2"/>
  <c r="U1687" i="2"/>
  <c r="S1687" i="2"/>
  <c r="V1687" i="2"/>
  <c r="V1686" i="2"/>
  <c r="S1686" i="2"/>
  <c r="U1686" i="2"/>
  <c r="S1685" i="2"/>
  <c r="U1685" i="2"/>
  <c r="V1685" i="2"/>
  <c r="U1684" i="2"/>
  <c r="S1684" i="2"/>
  <c r="V1684" i="2"/>
  <c r="S1683" i="2"/>
  <c r="U1683" i="2"/>
  <c r="V1683" i="2"/>
  <c r="V1682" i="2"/>
  <c r="S1682" i="2"/>
  <c r="U1682" i="2"/>
  <c r="U1681" i="2"/>
  <c r="V1681" i="2"/>
  <c r="S1681" i="2"/>
  <c r="U1680" i="2"/>
  <c r="V1680" i="2"/>
  <c r="S1680" i="2"/>
  <c r="S1679" i="2"/>
  <c r="U1679" i="2"/>
  <c r="V1679" i="2"/>
  <c r="S1678" i="2"/>
  <c r="U1678" i="2"/>
  <c r="V1678" i="2"/>
  <c r="S1677" i="2"/>
  <c r="V1677" i="2"/>
  <c r="U1677" i="2"/>
  <c r="S1676" i="2"/>
  <c r="V1676" i="2"/>
  <c r="U1676" i="2"/>
  <c r="V1675" i="2"/>
  <c r="U1675" i="2"/>
  <c r="S1675" i="2"/>
  <c r="U1674" i="2"/>
  <c r="V1674" i="2"/>
  <c r="S1674" i="2"/>
  <c r="S1673" i="2"/>
  <c r="V1673" i="2"/>
  <c r="U1673" i="2"/>
  <c r="V1672" i="2"/>
  <c r="U1672" i="2"/>
  <c r="S1672" i="2"/>
  <c r="V1671" i="2"/>
  <c r="S1671" i="2"/>
  <c r="U1671" i="2"/>
  <c r="V1670" i="2"/>
  <c r="S1670" i="2"/>
  <c r="U1670" i="2"/>
  <c r="S1669" i="2"/>
  <c r="U1669" i="2"/>
  <c r="V1669" i="2"/>
  <c r="S1668" i="2"/>
  <c r="U1668" i="2"/>
  <c r="V1668" i="2"/>
  <c r="V1667" i="2"/>
  <c r="U1667" i="2"/>
  <c r="U1666" i="2"/>
  <c r="V1666" i="2"/>
  <c r="S1666" i="2"/>
  <c r="U1665" i="2"/>
  <c r="V1665" i="2"/>
  <c r="S1665" i="2"/>
  <c r="S1664" i="2"/>
  <c r="U1664" i="2"/>
  <c r="V1664" i="2"/>
  <c r="S1663" i="2"/>
  <c r="V1663" i="2"/>
  <c r="U1663" i="2"/>
  <c r="V1662" i="2"/>
  <c r="S1662" i="2"/>
  <c r="U1662" i="2"/>
  <c r="U1661" i="2"/>
  <c r="S1661" i="2"/>
  <c r="V1661" i="2"/>
  <c r="S1660" i="2"/>
  <c r="U1660" i="2"/>
  <c r="V1660" i="2"/>
  <c r="U1659" i="2"/>
  <c r="V1659" i="2"/>
  <c r="S1659" i="2"/>
  <c r="V1658" i="2"/>
  <c r="S1658" i="2"/>
  <c r="U1658" i="2"/>
  <c r="V1657" i="2"/>
  <c r="U1657" i="2"/>
  <c r="S1657" i="2"/>
  <c r="U1656" i="2"/>
  <c r="V1656" i="2"/>
  <c r="S1656" i="2"/>
  <c r="V1655" i="2"/>
  <c r="S1655" i="2"/>
  <c r="U1655" i="2"/>
  <c r="U1654" i="2"/>
  <c r="V1654" i="2"/>
  <c r="S1654" i="2"/>
  <c r="V1653" i="2"/>
  <c r="S1653" i="2"/>
  <c r="U1653" i="2"/>
  <c r="U1652" i="2"/>
  <c r="S1652" i="2"/>
  <c r="V1652" i="2"/>
  <c r="U1651" i="2"/>
  <c r="S1651" i="2"/>
  <c r="V1651" i="2"/>
  <c r="V1650" i="2"/>
  <c r="U1650" i="2"/>
  <c r="S1650" i="2"/>
  <c r="S1649" i="2"/>
  <c r="U1649" i="2"/>
  <c r="V1649" i="2"/>
  <c r="U1648" i="2"/>
  <c r="V1648" i="2"/>
  <c r="S1648" i="2"/>
  <c r="S1647" i="2"/>
  <c r="V1647" i="2"/>
  <c r="U1647" i="2"/>
  <c r="V1646" i="2"/>
  <c r="U1646" i="2"/>
  <c r="S1646" i="2"/>
  <c r="V1645" i="2"/>
  <c r="U1645" i="2"/>
  <c r="S1645" i="2"/>
  <c r="U1644" i="2"/>
  <c r="S1644" i="2"/>
  <c r="V1644" i="2"/>
  <c r="U1643" i="2"/>
  <c r="S1643" i="2"/>
  <c r="V1643" i="2"/>
  <c r="U1642" i="2"/>
  <c r="S1642" i="2"/>
  <c r="V1642" i="2"/>
  <c r="V1641" i="2"/>
  <c r="S1641" i="2"/>
  <c r="U1641" i="2"/>
  <c r="V1637" i="2"/>
  <c r="S1637" i="2"/>
  <c r="U1637" i="2"/>
  <c r="S1636" i="2"/>
  <c r="V1636" i="2"/>
  <c r="U1636" i="2"/>
  <c r="U1635" i="2"/>
  <c r="S1635" i="2"/>
  <c r="V1635" i="2"/>
  <c r="V1634" i="2"/>
  <c r="S1634" i="2"/>
  <c r="U1634" i="2"/>
  <c r="U1633" i="2"/>
  <c r="S1633" i="2"/>
  <c r="V1633" i="2"/>
  <c r="V1632" i="2"/>
  <c r="S1632" i="2"/>
  <c r="U1632" i="2"/>
  <c r="U1629" i="2"/>
  <c r="V1629" i="2"/>
  <c r="S1629" i="2"/>
  <c r="U1628" i="2"/>
  <c r="S1628" i="2"/>
  <c r="V1627" i="2"/>
  <c r="S1627" i="2"/>
  <c r="U1627" i="2"/>
  <c r="U1626" i="2"/>
  <c r="V1626" i="2"/>
  <c r="S1626" i="2"/>
  <c r="U1625" i="2"/>
  <c r="V1625" i="2"/>
  <c r="S1625" i="2"/>
  <c r="U1624" i="2"/>
  <c r="S1624" i="2"/>
  <c r="V1624" i="2"/>
  <c r="V1623" i="2"/>
  <c r="U1623" i="2"/>
  <c r="S1623" i="2"/>
  <c r="U1620" i="2"/>
  <c r="V1620" i="2"/>
  <c r="X1620" i="2" s="1"/>
  <c r="A1621" i="2" s="1"/>
  <c r="X1621" i="2" s="1"/>
  <c r="A1622" i="2" s="1"/>
  <c r="X1622" i="2" s="1"/>
  <c r="A1623" i="2" s="1"/>
  <c r="X1623" i="2" s="1"/>
  <c r="A1624" i="2" s="1"/>
  <c r="X1624" i="2" s="1"/>
  <c r="A1625" i="2" s="1"/>
  <c r="X1625" i="2" s="1"/>
  <c r="A1626" i="2" s="1"/>
  <c r="X1626" i="2" s="1"/>
  <c r="A1627" i="2" s="1"/>
  <c r="X1627" i="2" s="1"/>
  <c r="A1628" i="2" s="1"/>
  <c r="X1628" i="2" s="1"/>
  <c r="A1629" i="2" s="1"/>
  <c r="X1629" i="2" s="1"/>
  <c r="A1630" i="2" s="1"/>
  <c r="X1630" i="2" s="1"/>
  <c r="A1631" i="2" s="1"/>
  <c r="X1631" i="2" s="1"/>
  <c r="A1632" i="2" s="1"/>
  <c r="X1632" i="2" s="1"/>
  <c r="A1633" i="2" s="1"/>
  <c r="X1633" i="2" s="1"/>
  <c r="A1634" i="2" s="1"/>
  <c r="X1634" i="2" s="1"/>
  <c r="A1635" i="2" s="1"/>
  <c r="X1635" i="2" s="1"/>
  <c r="A1636" i="2" s="1"/>
  <c r="X1636" i="2" s="1"/>
  <c r="A1637" i="2" s="1"/>
  <c r="X1637" i="2" s="1"/>
  <c r="A1638" i="2" s="1"/>
  <c r="X1638" i="2" s="1"/>
  <c r="A1639" i="2" s="1"/>
  <c r="X1639" i="2" s="1"/>
  <c r="A1640" i="2" s="1"/>
  <c r="X1640" i="2" s="1"/>
  <c r="A1641" i="2" s="1"/>
  <c r="X1641" i="2" s="1"/>
  <c r="A1642" i="2" s="1"/>
  <c r="X1642" i="2" s="1"/>
  <c r="A1643" i="2" s="1"/>
  <c r="X1643" i="2" s="1"/>
  <c r="A1644" i="2" s="1"/>
  <c r="X1644" i="2" s="1"/>
  <c r="A1645" i="2" s="1"/>
  <c r="X1645" i="2" s="1"/>
  <c r="A1646" i="2" s="1"/>
  <c r="X1646" i="2" s="1"/>
  <c r="A1647" i="2" s="1"/>
  <c r="X1647" i="2" s="1"/>
  <c r="A1648" i="2" s="1"/>
  <c r="X1648" i="2" s="1"/>
  <c r="A1649" i="2" s="1"/>
  <c r="X1649" i="2" s="1"/>
  <c r="A1650" i="2" s="1"/>
  <c r="X1650" i="2" s="1"/>
  <c r="A1651" i="2" s="1"/>
  <c r="X1651" i="2" s="1"/>
  <c r="A1652" i="2" s="1"/>
  <c r="X1652" i="2" s="1"/>
  <c r="A1653" i="2" s="1"/>
  <c r="X1653" i="2" s="1"/>
  <c r="A1654" i="2" s="1"/>
  <c r="X1654" i="2" s="1"/>
  <c r="A1655" i="2" s="1"/>
  <c r="X1655" i="2" s="1"/>
  <c r="A1656" i="2" s="1"/>
  <c r="X1656" i="2" s="1"/>
  <c r="A1657" i="2" s="1"/>
  <c r="X1657" i="2" s="1"/>
  <c r="A1658" i="2" s="1"/>
  <c r="X1658" i="2" s="1"/>
  <c r="A1659" i="2" s="1"/>
  <c r="X1659" i="2" s="1"/>
  <c r="A1660" i="2" s="1"/>
  <c r="X1660" i="2" s="1"/>
  <c r="A1661" i="2" s="1"/>
  <c r="X1661" i="2" s="1"/>
  <c r="A1662" i="2" s="1"/>
  <c r="X1662" i="2" s="1"/>
  <c r="A1663" i="2" s="1"/>
  <c r="X1663" i="2" s="1"/>
  <c r="A1664" i="2" s="1"/>
  <c r="X1664" i="2" s="1"/>
  <c r="A1665" i="2" s="1"/>
  <c r="X1665" i="2" s="1"/>
  <c r="A1666" i="2" s="1"/>
  <c r="X1666" i="2" s="1"/>
  <c r="A1667" i="2" s="1"/>
  <c r="X1667" i="2" s="1"/>
  <c r="A1668" i="2" s="1"/>
  <c r="X1668" i="2" s="1"/>
  <c r="A1669" i="2" s="1"/>
  <c r="X1669" i="2" s="1"/>
  <c r="A1670" i="2" s="1"/>
  <c r="X1670" i="2" s="1"/>
  <c r="A1671" i="2" s="1"/>
  <c r="X1671" i="2" s="1"/>
  <c r="A1672" i="2" s="1"/>
  <c r="X1672" i="2" s="1"/>
  <c r="A1673" i="2" s="1"/>
  <c r="X1673" i="2" s="1"/>
  <c r="A1674" i="2" s="1"/>
  <c r="X1674" i="2" s="1"/>
  <c r="A1675" i="2" s="1"/>
  <c r="X1675" i="2" s="1"/>
  <c r="A1676" i="2" s="1"/>
  <c r="X1676" i="2" s="1"/>
  <c r="A1677" i="2" s="1"/>
  <c r="X1677" i="2" s="1"/>
  <c r="A1678" i="2" s="1"/>
  <c r="X1678" i="2" s="1"/>
  <c r="A1679" i="2" s="1"/>
  <c r="X1679" i="2" s="1"/>
  <c r="A1680" i="2" s="1"/>
  <c r="X1680" i="2" s="1"/>
  <c r="A1681" i="2" s="1"/>
  <c r="X1681" i="2" s="1"/>
  <c r="A1682" i="2" s="1"/>
  <c r="X1682" i="2" s="1"/>
  <c r="A1683" i="2" s="1"/>
  <c r="X1683" i="2" s="1"/>
  <c r="A1684" i="2" s="1"/>
  <c r="X1684" i="2" s="1"/>
  <c r="A1685" i="2" s="1"/>
  <c r="X1685" i="2" s="1"/>
  <c r="A1686" i="2" s="1"/>
  <c r="X1686" i="2" s="1"/>
  <c r="A1687" i="2" s="1"/>
  <c r="X1687" i="2" s="1"/>
  <c r="A1688" i="2" s="1"/>
  <c r="X1688" i="2" s="1"/>
  <c r="A1689" i="2" s="1"/>
  <c r="X1689" i="2" s="1"/>
  <c r="A1690" i="2" s="1"/>
  <c r="X1690" i="2" s="1"/>
  <c r="A1691" i="2" s="1"/>
  <c r="X1691" i="2" s="1"/>
  <c r="A1692" i="2" s="1"/>
  <c r="X1692" i="2" s="1"/>
  <c r="A1693" i="2" s="1"/>
  <c r="X1693" i="2" s="1"/>
  <c r="A1694" i="2" s="1"/>
  <c r="X1694" i="2" s="1"/>
  <c r="A1695" i="2" s="1"/>
  <c r="X1695" i="2" s="1"/>
  <c r="A1696" i="2" s="1"/>
  <c r="X1696" i="2" s="1"/>
  <c r="A1697" i="2" s="1"/>
  <c r="X1697" i="2" s="1"/>
  <c r="A1698" i="2" s="1"/>
  <c r="X1698" i="2" s="1"/>
  <c r="A1699" i="2" s="1"/>
  <c r="X1699" i="2" s="1"/>
  <c r="A1700" i="2" s="1"/>
  <c r="X1700" i="2" s="1"/>
  <c r="A1701" i="2" s="1"/>
  <c r="X1701" i="2" s="1"/>
  <c r="A1702" i="2" s="1"/>
  <c r="X1702" i="2" s="1"/>
  <c r="A1703" i="2" s="1"/>
  <c r="X1703" i="2" s="1"/>
  <c r="A1704" i="2" s="1"/>
  <c r="X1704" i="2" s="1"/>
  <c r="A1705" i="2" s="1"/>
  <c r="X1705" i="2" s="1"/>
  <c r="A1706" i="2" s="1"/>
  <c r="X1706" i="2" s="1"/>
  <c r="A1707" i="2" s="1"/>
  <c r="X1707" i="2" s="1"/>
  <c r="A1708" i="2" s="1"/>
  <c r="X1708" i="2" s="1"/>
  <c r="A1709" i="2" s="1"/>
  <c r="X1709" i="2" s="1"/>
  <c r="A1710" i="2" s="1"/>
  <c r="X1710" i="2" s="1"/>
  <c r="A1711" i="2" s="1"/>
  <c r="X1711" i="2" s="1"/>
  <c r="A1712" i="2" s="1"/>
  <c r="X1712" i="2" s="1"/>
  <c r="A1713" i="2" s="1"/>
  <c r="X1713" i="2" s="1"/>
  <c r="A1714" i="2" s="1"/>
  <c r="X1714" i="2" s="1"/>
  <c r="A1715" i="2" s="1"/>
  <c r="X1715" i="2" s="1"/>
  <c r="A1716" i="2" s="1"/>
  <c r="X1716" i="2" s="1"/>
  <c r="A1717" i="2" s="1"/>
  <c r="X1717" i="2" s="1"/>
  <c r="A1718" i="2" s="1"/>
  <c r="X1718" i="2" s="1"/>
  <c r="A1719" i="2" s="1"/>
  <c r="X1719" i="2" s="1"/>
  <c r="A1720" i="2" s="1"/>
  <c r="X1720" i="2" s="1"/>
  <c r="A1721" i="2" s="1"/>
  <c r="X1721" i="2" s="1"/>
  <c r="A1722" i="2" s="1"/>
  <c r="X1722" i="2" s="1"/>
  <c r="A1723" i="2" s="1"/>
  <c r="X1723" i="2" s="1"/>
  <c r="A1724" i="2" s="1"/>
  <c r="X1724" i="2" s="1"/>
  <c r="A1725" i="2" s="1"/>
  <c r="X1725" i="2" s="1"/>
  <c r="A1726" i="2" s="1"/>
  <c r="X1726" i="2" s="1"/>
  <c r="A1727" i="2" s="1"/>
  <c r="X1727" i="2" s="1"/>
  <c r="A1728" i="2" s="1"/>
  <c r="X1728" i="2" s="1"/>
  <c r="A1729" i="2" s="1"/>
  <c r="X1729" i="2" s="1"/>
  <c r="S1620" i="2"/>
  <c r="U1617" i="2"/>
  <c r="V1617" i="2" s="1"/>
  <c r="S1617" i="2"/>
  <c r="S1616" i="2"/>
  <c r="U1616" i="2"/>
  <c r="V1616" i="2" s="1"/>
  <c r="S1615" i="2"/>
  <c r="U1615" i="2"/>
  <c r="V1615" i="2" s="1"/>
  <c r="S1614" i="2"/>
  <c r="U1614" i="2"/>
  <c r="V1614" i="2" s="1"/>
  <c r="S1613" i="2"/>
  <c r="U1613" i="2"/>
  <c r="V1613" i="2" s="1"/>
  <c r="S1612" i="2"/>
  <c r="U1612" i="2"/>
  <c r="V1612" i="2" s="1"/>
  <c r="S1611" i="2"/>
  <c r="U1611" i="2"/>
  <c r="V1611" i="2" s="1"/>
  <c r="U1610" i="2"/>
  <c r="V1610" i="2" s="1"/>
  <c r="S1610" i="2"/>
  <c r="S1609" i="2"/>
  <c r="U1609" i="2"/>
  <c r="V1609" i="2" s="1"/>
  <c r="S1608" i="2"/>
  <c r="U1608" i="2"/>
  <c r="V1608" i="2" s="1"/>
  <c r="S1607" i="2"/>
  <c r="U1607" i="2"/>
  <c r="V1607" i="2" s="1"/>
  <c r="V1606" i="2"/>
  <c r="U1606" i="2"/>
  <c r="V1605" i="2"/>
  <c r="S1605" i="2"/>
  <c r="U1605" i="2"/>
  <c r="S1604" i="2"/>
  <c r="U1604" i="2"/>
  <c r="V1604" i="2"/>
  <c r="S1603" i="2"/>
  <c r="U1603" i="2"/>
  <c r="V1603" i="2"/>
  <c r="V1602" i="2"/>
  <c r="S1602" i="2"/>
  <c r="U1602" i="2"/>
  <c r="V1601" i="2"/>
  <c r="S1601" i="2"/>
  <c r="U1601" i="2"/>
  <c r="U1598" i="2"/>
  <c r="S1598" i="2"/>
  <c r="V1598" i="2"/>
  <c r="S1597" i="2"/>
  <c r="V1597" i="2"/>
  <c r="U1597" i="2"/>
  <c r="U1596" i="2"/>
  <c r="V1596" i="2"/>
  <c r="S1596" i="2"/>
  <c r="V1594" i="2"/>
  <c r="U1594" i="2"/>
  <c r="S1594" i="2"/>
  <c r="U1593" i="2"/>
  <c r="S1593" i="2"/>
  <c r="U1592" i="2"/>
  <c r="V1592" i="2"/>
  <c r="U1591" i="2"/>
  <c r="S1591" i="2"/>
  <c r="V1591" i="2"/>
  <c r="V1590" i="2"/>
  <c r="U1590" i="2"/>
  <c r="S1590" i="2"/>
  <c r="U1589" i="2"/>
  <c r="S1589" i="2"/>
  <c r="V1589" i="2"/>
  <c r="U1588" i="2"/>
  <c r="S1588" i="2"/>
  <c r="V1588" i="2"/>
  <c r="S1587" i="2"/>
  <c r="U1587" i="2"/>
  <c r="V1587" i="2"/>
  <c r="V1586" i="2"/>
  <c r="U1586" i="2"/>
  <c r="S1586" i="2"/>
  <c r="V1585" i="2"/>
  <c r="S1585" i="2"/>
  <c r="U1585" i="2"/>
  <c r="U1584" i="2"/>
  <c r="S1584" i="2"/>
  <c r="V1584" i="2"/>
  <c r="V1583" i="2"/>
  <c r="U1583" i="2"/>
  <c r="S1583" i="2"/>
  <c r="U1582" i="2"/>
  <c r="S1582" i="2"/>
  <c r="V1582" i="2"/>
  <c r="U1581" i="2"/>
  <c r="V1581" i="2"/>
  <c r="S1581" i="2"/>
  <c r="V1580" i="2"/>
  <c r="S1580" i="2"/>
  <c r="U1580" i="2"/>
  <c r="U1579" i="2"/>
  <c r="V1579" i="2"/>
  <c r="S1579" i="2"/>
  <c r="V1578" i="2"/>
  <c r="U1578" i="2"/>
  <c r="S1578" i="2"/>
  <c r="U1577" i="2"/>
  <c r="V1577" i="2"/>
  <c r="S1577" i="2"/>
  <c r="V1576" i="2"/>
  <c r="U1576" i="2"/>
  <c r="S1576" i="2"/>
  <c r="U1575" i="2"/>
  <c r="S1575" i="2"/>
  <c r="V1575" i="2"/>
  <c r="U1574" i="2"/>
  <c r="S1574" i="2"/>
  <c r="U1573" i="2"/>
  <c r="S1573" i="2"/>
  <c r="V1573" i="2"/>
  <c r="S1572" i="2"/>
  <c r="U1572" i="2"/>
  <c r="V1572" i="2"/>
  <c r="V1571" i="2"/>
  <c r="S1571" i="2"/>
  <c r="U1571" i="2"/>
  <c r="S1570" i="2"/>
  <c r="U1570" i="2"/>
  <c r="V1570" i="2"/>
  <c r="U1569" i="2"/>
  <c r="V1569" i="2"/>
  <c r="S1569" i="2"/>
  <c r="S1568" i="2"/>
  <c r="V1568" i="2"/>
  <c r="U1568" i="2"/>
  <c r="S1567" i="2"/>
  <c r="U1567" i="2"/>
  <c r="V1567" i="2"/>
  <c r="S1566" i="2"/>
  <c r="U1566" i="2"/>
  <c r="V1566" i="2"/>
  <c r="S1565" i="2"/>
  <c r="V1565" i="2"/>
  <c r="U1565" i="2"/>
  <c r="V1564" i="2"/>
  <c r="S1564" i="2"/>
  <c r="U1564" i="2"/>
  <c r="S1563" i="2"/>
  <c r="V1563" i="2"/>
  <c r="U1563" i="2"/>
  <c r="U1562" i="2"/>
  <c r="V1562" i="2"/>
  <c r="S1562" i="2"/>
  <c r="S1561" i="2"/>
  <c r="V1561" i="2"/>
  <c r="U1561" i="2"/>
  <c r="S1560" i="2"/>
  <c r="U1560" i="2"/>
  <c r="V1560" i="2"/>
  <c r="V1559" i="2"/>
  <c r="S1559" i="2"/>
  <c r="U1559" i="2"/>
  <c r="U1558" i="2"/>
  <c r="S1558" i="2"/>
  <c r="V1558" i="2"/>
  <c r="S1557" i="2"/>
  <c r="V1557" i="2"/>
  <c r="U1557" i="2"/>
  <c r="U1556" i="2"/>
  <c r="S1556" i="2"/>
  <c r="V1556" i="2"/>
  <c r="S1555" i="2"/>
  <c r="V1555" i="2"/>
  <c r="U1555" i="2"/>
  <c r="S1554" i="2"/>
  <c r="U1554" i="2"/>
  <c r="V1554" i="2"/>
  <c r="V1553" i="2"/>
  <c r="S1553" i="2"/>
  <c r="U1553" i="2"/>
  <c r="V1552" i="2"/>
  <c r="S1552" i="2"/>
  <c r="U1552" i="2"/>
  <c r="S1551" i="2"/>
  <c r="U1551" i="2"/>
  <c r="V1551" i="2"/>
  <c r="V1550" i="2"/>
  <c r="S1550" i="2"/>
  <c r="U1550" i="2"/>
  <c r="U1549" i="2"/>
  <c r="S1549" i="2"/>
  <c r="V1549" i="2"/>
  <c r="U1548" i="2"/>
  <c r="S1548" i="2"/>
  <c r="V1548" i="2"/>
  <c r="V1547" i="2"/>
  <c r="U1547" i="2"/>
  <c r="S1546" i="2"/>
  <c r="V1546" i="2"/>
  <c r="U1546" i="2"/>
  <c r="V1545" i="2"/>
  <c r="U1545" i="2"/>
  <c r="V1544" i="2"/>
  <c r="S1544" i="2"/>
  <c r="U1544" i="2"/>
  <c r="V1543" i="2"/>
  <c r="U1543" i="2"/>
  <c r="S1543" i="2"/>
  <c r="U1542" i="2"/>
  <c r="V1542" i="2"/>
  <c r="S1542" i="2"/>
  <c r="U1541" i="2"/>
  <c r="S1541" i="2"/>
  <c r="V1541" i="2"/>
  <c r="S1540" i="2"/>
  <c r="V1540" i="2"/>
  <c r="U1540" i="2"/>
  <c r="V1539" i="2"/>
  <c r="U1539" i="2"/>
  <c r="S1539" i="2"/>
  <c r="U1538" i="2"/>
  <c r="S1538" i="2"/>
  <c r="V1538" i="2"/>
  <c r="U1537" i="2"/>
  <c r="V1537" i="2"/>
  <c r="S1537" i="2"/>
  <c r="S1536" i="2"/>
  <c r="V1536" i="2"/>
  <c r="U1536" i="2"/>
  <c r="S1535" i="2"/>
  <c r="V1535" i="2"/>
  <c r="U1535" i="2"/>
  <c r="S1533" i="2"/>
  <c r="U1533" i="2"/>
  <c r="V1533" i="2"/>
  <c r="V1532" i="2"/>
  <c r="S1532" i="2"/>
  <c r="U1532" i="2"/>
  <c r="S1531" i="2"/>
  <c r="V1531" i="2"/>
  <c r="U1531" i="2"/>
  <c r="U1530" i="2"/>
  <c r="S1530" i="2"/>
  <c r="V1530" i="2"/>
  <c r="V1529" i="2"/>
  <c r="U1529" i="2"/>
  <c r="S1529" i="2"/>
  <c r="S1528" i="2"/>
  <c r="U1528" i="2"/>
  <c r="V1528" i="2"/>
  <c r="S1527" i="2"/>
  <c r="U1527" i="2"/>
  <c r="V1527" i="2"/>
  <c r="U1526" i="2"/>
  <c r="S1526" i="2"/>
  <c r="V1526" i="2"/>
  <c r="U1525" i="2"/>
  <c r="V1525" i="2"/>
  <c r="S1525" i="2"/>
  <c r="U1524" i="2"/>
  <c r="S1524" i="2"/>
  <c r="V1524" i="2"/>
  <c r="S1523" i="2"/>
  <c r="U1523" i="2"/>
  <c r="V1523" i="2"/>
  <c r="V1522" i="2"/>
  <c r="S1522" i="2"/>
  <c r="U1522" i="2"/>
  <c r="U1521" i="2"/>
  <c r="S1521" i="2"/>
  <c r="V1521" i="2"/>
  <c r="V1519" i="2"/>
  <c r="S1519" i="2"/>
  <c r="U1519" i="2"/>
  <c r="U1518" i="2"/>
  <c r="V1518" i="2"/>
  <c r="S1518" i="2"/>
  <c r="U1517" i="2"/>
  <c r="V1517" i="2"/>
  <c r="S1516" i="2"/>
  <c r="U1516" i="2"/>
  <c r="V1516" i="2"/>
  <c r="U1515" i="2"/>
  <c r="V1515" i="2"/>
  <c r="S1515" i="2"/>
  <c r="S1514" i="2"/>
  <c r="V1514" i="2"/>
  <c r="U1514" i="2"/>
  <c r="S1513" i="2"/>
  <c r="V1513" i="2"/>
  <c r="U1513" i="2"/>
  <c r="U1512" i="2"/>
  <c r="S1512" i="2"/>
  <c r="V1512" i="2"/>
  <c r="S1511" i="2"/>
  <c r="V1511" i="2"/>
  <c r="U1511" i="2"/>
  <c r="S1510" i="2"/>
  <c r="U1510" i="2"/>
  <c r="V1510" i="2"/>
  <c r="U1509" i="2"/>
  <c r="V1509" i="2"/>
  <c r="S1509" i="2"/>
  <c r="U1508" i="2"/>
  <c r="S1508" i="2"/>
  <c r="V1508" i="2"/>
  <c r="U1507" i="2"/>
  <c r="V1507" i="2"/>
  <c r="S1507" i="2"/>
  <c r="U1506" i="2"/>
  <c r="S1506" i="2"/>
  <c r="V1506" i="2"/>
  <c r="S1505" i="2"/>
  <c r="V1505" i="2"/>
  <c r="U1505" i="2"/>
  <c r="S1504" i="2"/>
  <c r="U1504" i="2"/>
  <c r="V1504" i="2"/>
  <c r="U1503" i="2"/>
  <c r="S1503" i="2"/>
  <c r="V1503" i="2"/>
  <c r="V1502" i="2"/>
  <c r="S1502" i="2"/>
  <c r="U1502" i="2"/>
  <c r="S1501" i="2"/>
  <c r="V1501" i="2"/>
  <c r="U1501" i="2"/>
  <c r="V1500" i="2"/>
  <c r="U1500" i="2"/>
  <c r="S1500" i="2"/>
  <c r="S1499" i="2"/>
  <c r="V1499" i="2"/>
  <c r="U1499" i="2"/>
  <c r="S1498" i="2"/>
  <c r="V1498" i="2"/>
  <c r="U1498" i="2"/>
  <c r="S1497" i="2"/>
  <c r="U1497" i="2"/>
  <c r="V1497" i="2"/>
  <c r="U1496" i="2"/>
  <c r="V1496" i="2"/>
  <c r="S1496" i="2"/>
  <c r="U1495" i="2"/>
  <c r="V1495" i="2"/>
  <c r="S1495" i="2"/>
  <c r="V1494" i="2"/>
  <c r="S1494" i="2"/>
  <c r="U1494" i="2"/>
  <c r="V1493" i="2"/>
  <c r="S1493" i="2"/>
  <c r="U1493" i="2"/>
  <c r="U1492" i="2"/>
  <c r="V1492" i="2"/>
  <c r="S1492" i="2"/>
  <c r="U1491" i="2"/>
  <c r="V1491" i="2"/>
  <c r="S1491" i="2"/>
  <c r="U1489" i="2"/>
  <c r="V1489" i="2"/>
  <c r="S1489" i="2"/>
  <c r="V1488" i="2"/>
  <c r="S1488" i="2"/>
  <c r="U1488" i="2"/>
  <c r="S1487" i="2"/>
  <c r="V1487" i="2"/>
  <c r="U1487" i="2"/>
  <c r="U1486" i="2"/>
  <c r="S1486" i="2"/>
  <c r="V1486" i="2"/>
  <c r="S1485" i="2"/>
  <c r="V1485" i="2"/>
  <c r="U1485" i="2"/>
  <c r="S1484" i="2"/>
  <c r="U1484" i="2"/>
  <c r="V1484" i="2"/>
  <c r="S1483" i="2"/>
  <c r="U1483" i="2"/>
  <c r="V1483" i="2"/>
  <c r="U1482" i="2"/>
  <c r="S1482" i="2"/>
  <c r="V1482" i="2"/>
  <c r="U1481" i="2"/>
  <c r="S1481" i="2"/>
  <c r="V1481" i="2"/>
  <c r="V1479" i="2"/>
  <c r="X1479" i="2" s="1"/>
  <c r="A1480" i="2" s="1"/>
  <c r="X1480" i="2" s="1"/>
  <c r="A1481" i="2" s="1"/>
  <c r="X1481" i="2" s="1"/>
  <c r="A1482" i="2" s="1"/>
  <c r="X1482" i="2" s="1"/>
  <c r="A1483" i="2" s="1"/>
  <c r="X1483" i="2" s="1"/>
  <c r="A1484" i="2" s="1"/>
  <c r="X1484" i="2" s="1"/>
  <c r="A1485" i="2" s="1"/>
  <c r="X1485" i="2" s="1"/>
  <c r="A1486" i="2" s="1"/>
  <c r="X1486" i="2" s="1"/>
  <c r="A1487" i="2" s="1"/>
  <c r="X1487" i="2" s="1"/>
  <c r="A1488" i="2" s="1"/>
  <c r="X1488" i="2" s="1"/>
  <c r="A1489" i="2" s="1"/>
  <c r="X1489" i="2" s="1"/>
  <c r="A1490" i="2" s="1"/>
  <c r="X1490" i="2" s="1"/>
  <c r="A1491" i="2" s="1"/>
  <c r="X1491" i="2" s="1"/>
  <c r="A1492" i="2" s="1"/>
  <c r="X1492" i="2" s="1"/>
  <c r="A1493" i="2" s="1"/>
  <c r="X1493" i="2" s="1"/>
  <c r="A1494" i="2" s="1"/>
  <c r="X1494" i="2" s="1"/>
  <c r="A1495" i="2" s="1"/>
  <c r="X1495" i="2" s="1"/>
  <c r="A1496" i="2" s="1"/>
  <c r="X1496" i="2" s="1"/>
  <c r="A1497" i="2" s="1"/>
  <c r="X1497" i="2" s="1"/>
  <c r="A1498" i="2" s="1"/>
  <c r="X1498" i="2" s="1"/>
  <c r="A1499" i="2" s="1"/>
  <c r="X1499" i="2" s="1"/>
  <c r="A1500" i="2" s="1"/>
  <c r="X1500" i="2" s="1"/>
  <c r="A1501" i="2" s="1"/>
  <c r="X1501" i="2" s="1"/>
  <c r="A1502" i="2" s="1"/>
  <c r="X1502" i="2" s="1"/>
  <c r="A1503" i="2" s="1"/>
  <c r="X1503" i="2" s="1"/>
  <c r="A1504" i="2" s="1"/>
  <c r="X1504" i="2" s="1"/>
  <c r="A1505" i="2" s="1"/>
  <c r="X1505" i="2" s="1"/>
  <c r="A1506" i="2" s="1"/>
  <c r="X1506" i="2" s="1"/>
  <c r="A1507" i="2" s="1"/>
  <c r="X1507" i="2" s="1"/>
  <c r="A1508" i="2" s="1"/>
  <c r="X1508" i="2" s="1"/>
  <c r="A1509" i="2" s="1"/>
  <c r="X1509" i="2" s="1"/>
  <c r="A1510" i="2" s="1"/>
  <c r="X1510" i="2" s="1"/>
  <c r="A1511" i="2" s="1"/>
  <c r="X1511" i="2" s="1"/>
  <c r="A1512" i="2" s="1"/>
  <c r="X1512" i="2" s="1"/>
  <c r="A1513" i="2" s="1"/>
  <c r="X1513" i="2" s="1"/>
  <c r="A1514" i="2" s="1"/>
  <c r="X1514" i="2" s="1"/>
  <c r="A1515" i="2" s="1"/>
  <c r="X1515" i="2" s="1"/>
  <c r="A1516" i="2" s="1"/>
  <c r="X1516" i="2" s="1"/>
  <c r="A1517" i="2" s="1"/>
  <c r="X1517" i="2" s="1"/>
  <c r="A1518" i="2" s="1"/>
  <c r="X1518" i="2" s="1"/>
  <c r="A1519" i="2" s="1"/>
  <c r="X1519" i="2" s="1"/>
  <c r="A1520" i="2" s="1"/>
  <c r="X1520" i="2" s="1"/>
  <c r="A1521" i="2" s="1"/>
  <c r="X1521" i="2" s="1"/>
  <c r="A1522" i="2" s="1"/>
  <c r="X1522" i="2" s="1"/>
  <c r="A1523" i="2" s="1"/>
  <c r="X1523" i="2" s="1"/>
  <c r="A1524" i="2" s="1"/>
  <c r="X1524" i="2" s="1"/>
  <c r="A1525" i="2" s="1"/>
  <c r="X1525" i="2" s="1"/>
  <c r="A1526" i="2" s="1"/>
  <c r="X1526" i="2" s="1"/>
  <c r="A1527" i="2" s="1"/>
  <c r="X1527" i="2" s="1"/>
  <c r="A1528" i="2" s="1"/>
  <c r="X1528" i="2" s="1"/>
  <c r="A1529" i="2" s="1"/>
  <c r="X1529" i="2" s="1"/>
  <c r="A1530" i="2" s="1"/>
  <c r="X1530" i="2" s="1"/>
  <c r="A1531" i="2" s="1"/>
  <c r="X1531" i="2" s="1"/>
  <c r="A1532" i="2" s="1"/>
  <c r="X1532" i="2" s="1"/>
  <c r="A1533" i="2" s="1"/>
  <c r="X1533" i="2" s="1"/>
  <c r="A1534" i="2" s="1"/>
  <c r="X1534" i="2" s="1"/>
  <c r="A1535" i="2" s="1"/>
  <c r="X1535" i="2" s="1"/>
  <c r="A1536" i="2" s="1"/>
  <c r="X1536" i="2" s="1"/>
  <c r="A1537" i="2" s="1"/>
  <c r="X1537" i="2" s="1"/>
  <c r="A1538" i="2" s="1"/>
  <c r="X1538" i="2" s="1"/>
  <c r="A1539" i="2" s="1"/>
  <c r="X1539" i="2" s="1"/>
  <c r="A1540" i="2" s="1"/>
  <c r="X1540" i="2" s="1"/>
  <c r="A1541" i="2" s="1"/>
  <c r="X1541" i="2" s="1"/>
  <c r="A1542" i="2" s="1"/>
  <c r="X1542" i="2" s="1"/>
  <c r="A1543" i="2" s="1"/>
  <c r="X1543" i="2" s="1"/>
  <c r="A1544" i="2" s="1"/>
  <c r="X1544" i="2" s="1"/>
  <c r="A1545" i="2" s="1"/>
  <c r="X1545" i="2" s="1"/>
  <c r="A1546" i="2" s="1"/>
  <c r="X1546" i="2" s="1"/>
  <c r="A1547" i="2" s="1"/>
  <c r="X1547" i="2" s="1"/>
  <c r="A1548" i="2" s="1"/>
  <c r="X1548" i="2" s="1"/>
  <c r="A1549" i="2" s="1"/>
  <c r="X1549" i="2" s="1"/>
  <c r="A1550" i="2" s="1"/>
  <c r="X1550" i="2" s="1"/>
  <c r="A1551" i="2" s="1"/>
  <c r="X1551" i="2" s="1"/>
  <c r="A1552" i="2" s="1"/>
  <c r="X1552" i="2" s="1"/>
  <c r="A1553" i="2" s="1"/>
  <c r="X1553" i="2" s="1"/>
  <c r="A1554" i="2" s="1"/>
  <c r="X1554" i="2" s="1"/>
  <c r="A1555" i="2" s="1"/>
  <c r="X1555" i="2" s="1"/>
  <c r="A1556" i="2" s="1"/>
  <c r="X1556" i="2" s="1"/>
  <c r="A1557" i="2" s="1"/>
  <c r="X1557" i="2" s="1"/>
  <c r="A1558" i="2" s="1"/>
  <c r="X1558" i="2" s="1"/>
  <c r="A1559" i="2" s="1"/>
  <c r="X1559" i="2" s="1"/>
  <c r="A1560" i="2" s="1"/>
  <c r="X1560" i="2" s="1"/>
  <c r="A1561" i="2" s="1"/>
  <c r="X1561" i="2" s="1"/>
  <c r="A1562" i="2" s="1"/>
  <c r="X1562" i="2" s="1"/>
  <c r="A1563" i="2" s="1"/>
  <c r="X1563" i="2" s="1"/>
  <c r="A1564" i="2" s="1"/>
  <c r="X1564" i="2" s="1"/>
  <c r="A1565" i="2" s="1"/>
  <c r="X1565" i="2" s="1"/>
  <c r="A1566" i="2" s="1"/>
  <c r="X1566" i="2" s="1"/>
  <c r="A1567" i="2" s="1"/>
  <c r="X1567" i="2" s="1"/>
  <c r="A1568" i="2" s="1"/>
  <c r="X1568" i="2" s="1"/>
  <c r="A1569" i="2" s="1"/>
  <c r="X1569" i="2" s="1"/>
  <c r="A1570" i="2" s="1"/>
  <c r="X1570" i="2" s="1"/>
  <c r="A1571" i="2" s="1"/>
  <c r="X1571" i="2" s="1"/>
  <c r="A1572" i="2" s="1"/>
  <c r="X1572" i="2" s="1"/>
  <c r="A1573" i="2" s="1"/>
  <c r="X1573" i="2" s="1"/>
  <c r="A1574" i="2" s="1"/>
  <c r="X1574" i="2" s="1"/>
  <c r="A1575" i="2" s="1"/>
  <c r="X1575" i="2" s="1"/>
  <c r="A1576" i="2" s="1"/>
  <c r="X1576" i="2" s="1"/>
  <c r="A1577" i="2" s="1"/>
  <c r="X1577" i="2" s="1"/>
  <c r="A1578" i="2" s="1"/>
  <c r="X1578" i="2" s="1"/>
  <c r="U1479" i="2"/>
  <c r="S1479" i="2"/>
  <c r="U1476" i="2"/>
  <c r="V1476" i="2" s="1"/>
  <c r="S1476" i="2"/>
  <c r="S1475" i="2"/>
  <c r="U1475" i="2"/>
  <c r="V1475" i="2" s="1"/>
  <c r="S1474" i="2"/>
  <c r="U1474" i="2"/>
  <c r="V1474" i="2" s="1"/>
  <c r="U1473" i="2"/>
  <c r="V1473" i="2" s="1"/>
  <c r="S1473" i="2"/>
  <c r="S1472" i="2"/>
  <c r="U1472" i="2"/>
  <c r="V1472" i="2" s="1"/>
  <c r="U1471" i="2"/>
  <c r="V1471" i="2" s="1"/>
  <c r="S1471" i="2"/>
  <c r="U1470" i="2"/>
  <c r="V1470" i="2" s="1"/>
  <c r="S1470" i="2"/>
  <c r="S1469" i="2"/>
  <c r="U1469" i="2"/>
  <c r="V1469" i="2" s="1"/>
  <c r="U1468" i="2"/>
  <c r="V1468" i="2" s="1"/>
  <c r="S1468" i="2"/>
  <c r="U1467" i="2"/>
  <c r="V1467" i="2" s="1"/>
  <c r="S1467" i="2"/>
  <c r="U1466" i="2"/>
  <c r="V1466" i="2" s="1"/>
  <c r="S1466" i="2"/>
  <c r="S1465" i="2"/>
  <c r="U1465" i="2"/>
  <c r="V1465" i="2" s="1"/>
  <c r="U1464" i="2"/>
  <c r="V1464" i="2" s="1"/>
  <c r="S1464" i="2"/>
  <c r="S1463" i="2"/>
  <c r="U1463" i="2"/>
  <c r="V1463" i="2" s="1"/>
  <c r="U1462" i="2"/>
  <c r="V1462" i="2" s="1"/>
  <c r="S1462" i="2"/>
  <c r="S1461" i="2"/>
  <c r="U1461" i="2"/>
  <c r="V1461" i="2"/>
  <c r="V1460" i="2"/>
  <c r="U1460" i="2"/>
  <c r="S1459" i="2"/>
  <c r="V1459" i="2"/>
  <c r="U1459" i="2"/>
  <c r="V1458" i="2"/>
  <c r="S1458" i="2"/>
  <c r="U1458" i="2"/>
  <c r="S1457" i="2"/>
  <c r="V1457" i="2"/>
  <c r="V1456" i="2"/>
  <c r="S1456" i="2"/>
  <c r="U1456" i="2"/>
  <c r="S1455" i="2"/>
  <c r="U1455" i="2"/>
  <c r="V1455" i="2"/>
  <c r="V1454" i="2"/>
  <c r="S1454" i="2"/>
  <c r="U1454" i="2"/>
  <c r="S1453" i="2"/>
  <c r="V1453" i="2"/>
  <c r="U1453" i="2"/>
  <c r="U1452" i="2"/>
  <c r="V1452" i="2"/>
  <c r="S1451" i="2"/>
  <c r="U1451" i="2"/>
  <c r="V1451" i="2"/>
  <c r="U1450" i="2"/>
  <c r="V1450" i="2"/>
  <c r="S1450" i="2"/>
  <c r="S1449" i="2"/>
  <c r="V1449" i="2"/>
  <c r="U1449" i="2"/>
  <c r="V1448" i="2"/>
  <c r="S1448" i="2"/>
  <c r="U1448" i="2"/>
  <c r="S1447" i="2"/>
  <c r="V1447" i="2"/>
  <c r="U1447" i="2"/>
  <c r="S1446" i="2"/>
  <c r="V1446" i="2"/>
  <c r="U1446" i="2"/>
  <c r="V1445" i="2"/>
  <c r="U1445" i="2"/>
  <c r="S1445" i="2"/>
  <c r="S1444" i="2"/>
  <c r="V1444" i="2"/>
  <c r="U1444" i="2"/>
  <c r="V1443" i="2"/>
  <c r="U1443" i="2"/>
  <c r="S1443" i="2"/>
  <c r="V1442" i="2"/>
  <c r="S1442" i="2"/>
  <c r="U1442" i="2"/>
  <c r="U1441" i="2"/>
  <c r="V1441" i="2"/>
  <c r="S1441" i="2"/>
  <c r="S1440" i="2"/>
  <c r="U1440" i="2"/>
  <c r="V1440" i="2"/>
  <c r="S1439" i="2"/>
  <c r="V1439" i="2"/>
  <c r="U1439" i="2"/>
  <c r="S1438" i="2"/>
  <c r="V1438" i="2"/>
  <c r="U1438" i="2"/>
  <c r="U1437" i="2"/>
  <c r="S1437" i="2"/>
  <c r="V1437" i="2"/>
  <c r="U1436" i="2"/>
  <c r="V1436" i="2"/>
  <c r="S1436" i="2"/>
  <c r="V1435" i="2"/>
  <c r="U1435" i="2"/>
  <c r="S1435" i="2"/>
  <c r="U1434" i="2"/>
  <c r="V1434" i="2"/>
  <c r="S1434" i="2"/>
  <c r="U1433" i="2"/>
  <c r="S1433" i="2"/>
  <c r="V1433" i="2"/>
  <c r="U1432" i="2"/>
  <c r="S1432" i="2"/>
  <c r="V1432" i="2"/>
  <c r="V1431" i="2"/>
  <c r="U1431" i="2"/>
  <c r="S1431" i="2"/>
  <c r="S1430" i="2"/>
  <c r="V1430" i="2"/>
  <c r="U1430" i="2"/>
  <c r="S1429" i="2"/>
  <c r="V1429" i="2"/>
  <c r="U1429" i="2"/>
  <c r="V1428" i="2"/>
  <c r="U1428" i="2"/>
  <c r="S1428" i="2"/>
  <c r="V1427" i="2"/>
  <c r="S1427" i="2"/>
  <c r="U1427" i="2"/>
  <c r="V1426" i="2"/>
  <c r="U1426" i="2"/>
  <c r="S1426" i="2"/>
  <c r="V1425" i="2"/>
  <c r="S1425" i="2"/>
  <c r="U1425" i="2"/>
  <c r="V1424" i="2"/>
  <c r="S1424" i="2"/>
  <c r="U1424" i="2"/>
  <c r="U1423" i="2"/>
  <c r="V1423" i="2"/>
  <c r="S1423" i="2"/>
  <c r="U1422" i="2"/>
  <c r="S1422" i="2"/>
  <c r="V1422" i="2"/>
  <c r="U1421" i="2"/>
  <c r="S1421" i="2"/>
  <c r="V1421" i="2"/>
  <c r="S1420" i="2"/>
  <c r="V1420" i="2"/>
  <c r="U1420" i="2"/>
  <c r="U1419" i="2"/>
  <c r="V1419" i="2"/>
  <c r="S1419" i="2"/>
  <c r="S1418" i="2"/>
  <c r="U1418" i="2"/>
  <c r="V1418" i="2"/>
  <c r="V1417" i="2"/>
  <c r="U1417" i="2"/>
  <c r="S1417" i="2"/>
  <c r="U1416" i="2"/>
  <c r="V1416" i="2"/>
  <c r="S1416" i="2"/>
  <c r="V1415" i="2"/>
  <c r="S1415" i="2"/>
  <c r="U1415" i="2"/>
  <c r="V1414" i="2"/>
  <c r="S1414" i="2"/>
  <c r="U1414" i="2"/>
  <c r="U1413" i="2"/>
  <c r="S1413" i="2"/>
  <c r="V1413" i="2"/>
  <c r="U1412" i="2"/>
  <c r="S1412" i="2"/>
  <c r="V1412" i="2"/>
  <c r="V1411" i="2"/>
  <c r="S1411" i="2"/>
  <c r="U1411" i="2"/>
  <c r="S1410" i="2"/>
  <c r="U1410" i="2"/>
  <c r="V1410" i="2"/>
  <c r="U1409" i="2"/>
  <c r="S1409" i="2"/>
  <c r="V1409" i="2"/>
  <c r="U1408" i="2"/>
  <c r="V1408" i="2"/>
  <c r="S1408" i="2"/>
  <c r="V1407" i="2"/>
  <c r="S1407" i="2"/>
  <c r="U1407" i="2"/>
  <c r="S1406" i="2"/>
  <c r="V1406" i="2"/>
  <c r="U1406" i="2"/>
  <c r="S1405" i="2"/>
  <c r="U1405" i="2"/>
  <c r="V1405" i="2"/>
  <c r="S1404" i="2"/>
  <c r="V1404" i="2"/>
  <c r="U1404" i="2"/>
  <c r="V1403" i="2"/>
  <c r="S1403" i="2"/>
  <c r="U1403" i="2"/>
  <c r="S1402" i="2"/>
  <c r="U1402" i="2"/>
  <c r="V1402" i="2"/>
  <c r="V1401" i="2"/>
  <c r="S1401" i="2"/>
  <c r="U1401" i="2"/>
  <c r="S1400" i="2"/>
  <c r="V1400" i="2"/>
  <c r="U1400" i="2"/>
  <c r="S1399" i="2"/>
  <c r="U1399" i="2"/>
  <c r="V1399" i="2"/>
  <c r="U1398" i="2"/>
  <c r="S1398" i="2"/>
  <c r="V1398" i="2"/>
  <c r="S1397" i="2"/>
  <c r="V1397" i="2"/>
  <c r="U1397" i="2"/>
  <c r="U1396" i="2"/>
  <c r="S1396" i="2"/>
  <c r="V1396" i="2"/>
  <c r="S1395" i="2"/>
  <c r="U1395" i="2"/>
  <c r="V1395" i="2"/>
  <c r="U1394" i="2"/>
  <c r="S1394" i="2"/>
  <c r="V1394" i="2"/>
  <c r="V1393" i="2"/>
  <c r="U1393" i="2"/>
  <c r="S1393" i="2"/>
  <c r="V1392" i="2"/>
  <c r="U1392" i="2"/>
  <c r="S1392" i="2"/>
  <c r="S1391" i="2"/>
  <c r="V1391" i="2"/>
  <c r="U1391" i="2"/>
  <c r="V1390" i="2"/>
  <c r="S1390" i="2"/>
  <c r="U1390" i="2"/>
  <c r="V1389" i="2"/>
  <c r="S1389" i="2"/>
  <c r="U1389" i="2"/>
  <c r="V1388" i="2"/>
  <c r="U1388" i="2"/>
  <c r="S1388" i="2"/>
  <c r="V1387" i="2"/>
  <c r="S1387" i="2"/>
  <c r="U1387" i="2"/>
  <c r="V1386" i="2"/>
  <c r="U1386" i="2"/>
  <c r="S1386" i="2"/>
  <c r="S1385" i="2"/>
  <c r="U1385" i="2"/>
  <c r="V1385" i="2"/>
  <c r="U1384" i="2"/>
  <c r="S1384" i="2"/>
  <c r="V1384" i="2"/>
  <c r="V1383" i="2"/>
  <c r="S1383" i="2"/>
  <c r="U1383" i="2"/>
  <c r="S1382" i="2"/>
  <c r="V1382" i="2"/>
  <c r="U1382" i="2"/>
  <c r="V1380" i="2"/>
  <c r="U1380" i="2"/>
  <c r="S1379" i="2"/>
  <c r="U1379" i="2"/>
  <c r="V1379" i="2"/>
  <c r="V1378" i="2"/>
  <c r="S1378" i="2"/>
  <c r="U1378" i="2"/>
  <c r="V1377" i="2"/>
  <c r="U1377" i="2"/>
  <c r="S1377" i="2"/>
  <c r="U1376" i="2"/>
  <c r="V1376" i="2"/>
  <c r="S1376" i="2"/>
  <c r="V1375" i="2"/>
  <c r="S1375" i="2"/>
  <c r="U1375" i="2"/>
  <c r="V1374" i="2"/>
  <c r="U1374" i="2"/>
  <c r="S1374" i="2"/>
  <c r="U1372" i="2"/>
  <c r="V1372" i="2"/>
  <c r="S1372" i="2"/>
  <c r="V1371" i="2"/>
  <c r="S1371" i="2"/>
  <c r="U1371" i="2"/>
  <c r="V1370" i="2"/>
  <c r="U1370" i="2"/>
  <c r="S1370" i="2"/>
  <c r="V1369" i="2"/>
  <c r="S1369" i="2"/>
  <c r="U1369" i="2"/>
  <c r="U1368" i="2"/>
  <c r="S1368" i="2"/>
  <c r="V1368" i="2"/>
  <c r="U1367" i="2"/>
  <c r="V1367" i="2"/>
  <c r="S1367" i="2"/>
  <c r="U1366" i="2"/>
  <c r="S1366" i="2"/>
  <c r="V1366" i="2"/>
  <c r="S1365" i="2"/>
  <c r="V1365" i="2"/>
  <c r="U1365" i="2"/>
  <c r="S1364" i="2"/>
  <c r="V1364" i="2"/>
  <c r="V1363" i="2"/>
  <c r="U1363" i="2"/>
  <c r="S1363" i="2"/>
  <c r="S1362" i="2"/>
  <c r="U1362" i="2"/>
  <c r="V1362" i="2"/>
  <c r="U1360" i="2"/>
  <c r="S1360" i="2"/>
  <c r="V1360" i="2"/>
  <c r="V1359" i="2"/>
  <c r="U1359" i="2"/>
  <c r="S1359" i="2"/>
  <c r="U1358" i="2"/>
  <c r="S1358" i="2"/>
  <c r="V1358" i="2"/>
  <c r="U1357" i="2"/>
  <c r="S1357" i="2"/>
  <c r="V1357" i="2"/>
  <c r="S1356" i="2"/>
  <c r="V1356" i="2"/>
  <c r="U1356" i="2"/>
  <c r="V1355" i="2"/>
  <c r="S1355" i="2"/>
  <c r="U1355" i="2"/>
  <c r="V1354" i="2"/>
  <c r="S1354" i="2"/>
  <c r="U1354" i="2"/>
  <c r="S1353" i="2"/>
  <c r="V1353" i="2"/>
  <c r="U1353" i="2"/>
  <c r="U1352" i="2"/>
  <c r="S1352" i="2"/>
  <c r="V1352" i="2"/>
  <c r="U1351" i="2"/>
  <c r="S1351" i="2"/>
  <c r="V1351" i="2"/>
  <c r="U1350" i="2"/>
  <c r="V1350" i="2"/>
  <c r="S1350" i="2"/>
  <c r="V1349" i="2"/>
  <c r="U1349" i="2"/>
  <c r="S1349" i="2"/>
  <c r="U1348" i="2"/>
  <c r="S1348" i="2"/>
  <c r="V1348" i="2"/>
  <c r="S1347" i="2"/>
  <c r="V1347" i="2"/>
  <c r="U1347" i="2"/>
  <c r="V1346" i="2"/>
  <c r="S1346" i="2"/>
  <c r="U1346" i="2"/>
  <c r="S1344" i="2"/>
  <c r="V1344" i="2"/>
  <c r="U1344" i="2"/>
  <c r="S1343" i="2"/>
  <c r="U1343" i="2"/>
  <c r="V1343" i="2"/>
  <c r="U1342" i="2"/>
  <c r="S1342" i="2"/>
  <c r="V1342" i="2"/>
  <c r="U1341" i="2"/>
  <c r="S1341" i="2"/>
  <c r="V1341" i="2"/>
  <c r="S1340" i="2"/>
  <c r="V1340" i="2"/>
  <c r="U1340" i="2"/>
  <c r="V1339" i="2"/>
  <c r="S1339" i="2"/>
  <c r="U1339" i="2"/>
  <c r="V1338" i="2"/>
  <c r="U1338" i="2"/>
  <c r="S1338" i="2"/>
  <c r="V1337" i="2"/>
  <c r="S1337" i="2"/>
  <c r="U1337" i="2"/>
  <c r="S1336" i="2"/>
  <c r="V1336" i="2"/>
  <c r="U1336" i="2"/>
  <c r="S1335" i="2"/>
  <c r="U1335" i="2"/>
  <c r="V1335" i="2"/>
  <c r="V1334" i="2"/>
  <c r="S1334" i="2"/>
  <c r="U1334" i="2"/>
  <c r="S1333" i="2"/>
  <c r="V1333" i="2"/>
  <c r="U1333" i="2"/>
  <c r="S1332" i="2"/>
  <c r="U1332" i="2"/>
  <c r="V1332" i="2"/>
  <c r="S1331" i="2"/>
  <c r="U1331" i="2"/>
  <c r="V1331" i="2"/>
  <c r="V1330" i="2"/>
  <c r="U1330" i="2"/>
  <c r="S1330" i="2"/>
  <c r="S1329" i="2"/>
  <c r="U1329" i="2"/>
  <c r="V1329" i="2"/>
  <c r="U1328" i="2"/>
  <c r="V1328" i="2"/>
  <c r="S1328" i="2"/>
  <c r="V1327" i="2"/>
  <c r="U1327" i="2"/>
  <c r="S1327" i="2"/>
  <c r="S1326" i="2"/>
  <c r="V1326" i="2"/>
  <c r="U1326" i="2"/>
  <c r="S1325" i="2"/>
  <c r="V1325" i="2"/>
  <c r="U1325" i="2"/>
  <c r="S1324" i="2"/>
  <c r="V1324" i="2"/>
  <c r="U1324" i="2"/>
  <c r="V1322" i="2"/>
  <c r="U1322" i="2"/>
  <c r="S1322" i="2"/>
  <c r="S1321" i="2"/>
  <c r="U1321" i="2"/>
  <c r="V1321" i="2"/>
  <c r="U1320" i="2"/>
  <c r="S1320" i="2"/>
  <c r="V1320" i="2"/>
  <c r="S1319" i="2"/>
  <c r="V1319" i="2"/>
  <c r="U1319" i="2"/>
  <c r="S1318" i="2"/>
  <c r="V1318" i="2"/>
  <c r="U1318" i="2"/>
  <c r="U1317" i="2"/>
  <c r="S1317" i="2"/>
  <c r="V1317" i="2"/>
  <c r="U1315" i="2"/>
  <c r="V1315" i="2"/>
  <c r="S1315" i="2"/>
  <c r="S1314" i="2"/>
  <c r="V1314" i="2"/>
  <c r="U1314" i="2"/>
  <c r="S1313" i="2"/>
  <c r="U1313" i="2"/>
  <c r="V1313" i="2"/>
  <c r="U1312" i="2"/>
  <c r="S1312" i="2"/>
  <c r="V1312" i="2"/>
  <c r="V1311" i="2"/>
  <c r="S1311" i="2"/>
  <c r="U1311" i="2"/>
  <c r="U1309" i="2"/>
  <c r="S1309" i="2"/>
  <c r="V1309" i="2"/>
  <c r="S1308" i="2"/>
  <c r="V1308" i="2"/>
  <c r="U1308" i="2"/>
  <c r="U1307" i="2"/>
  <c r="S1307" i="2"/>
  <c r="V1307" i="2"/>
  <c r="U1306" i="2"/>
  <c r="S1306" i="2"/>
  <c r="V1306" i="2"/>
  <c r="V1303" i="2"/>
  <c r="S1303" i="2"/>
  <c r="U1303" i="2"/>
  <c r="S1302" i="2"/>
  <c r="V1302" i="2"/>
  <c r="U1302" i="2"/>
  <c r="U1301" i="2"/>
  <c r="V1301" i="2"/>
  <c r="S1301" i="2"/>
  <c r="S1300" i="2"/>
  <c r="U1300" i="2"/>
  <c r="V1300" i="2"/>
  <c r="X1300" i="2" s="1"/>
  <c r="A1301" i="2" s="1"/>
  <c r="X1301" i="2" s="1"/>
  <c r="A1302" i="2" s="1"/>
  <c r="X1302" i="2" s="1"/>
  <c r="A1303" i="2" s="1"/>
  <c r="X1303" i="2" s="1"/>
  <c r="A1304" i="2" s="1"/>
  <c r="X1304" i="2" s="1"/>
  <c r="A1305" i="2" s="1"/>
  <c r="X1305" i="2" s="1"/>
  <c r="A1306" i="2" s="1"/>
  <c r="X1306" i="2" s="1"/>
  <c r="A1307" i="2" s="1"/>
  <c r="X1307" i="2" s="1"/>
  <c r="A1308" i="2" s="1"/>
  <c r="X1308" i="2" s="1"/>
  <c r="A1309" i="2" s="1"/>
  <c r="X1309" i="2" s="1"/>
  <c r="A1310" i="2" s="1"/>
  <c r="X1310" i="2" s="1"/>
  <c r="A1311" i="2" s="1"/>
  <c r="X1311" i="2" s="1"/>
  <c r="A1312" i="2" s="1"/>
  <c r="X1312" i="2" s="1"/>
  <c r="A1313" i="2" s="1"/>
  <c r="X1313" i="2" s="1"/>
  <c r="A1314" i="2" s="1"/>
  <c r="X1314" i="2" s="1"/>
  <c r="A1315" i="2" s="1"/>
  <c r="X1315" i="2" s="1"/>
  <c r="A1316" i="2" s="1"/>
  <c r="X1316" i="2" s="1"/>
  <c r="A1317" i="2" s="1"/>
  <c r="X1317" i="2" s="1"/>
  <c r="A1318" i="2" s="1"/>
  <c r="X1318" i="2" s="1"/>
  <c r="A1319" i="2" s="1"/>
  <c r="X1319" i="2" s="1"/>
  <c r="A1320" i="2" s="1"/>
  <c r="X1320" i="2" s="1"/>
  <c r="A1321" i="2" s="1"/>
  <c r="X1321" i="2" s="1"/>
  <c r="A1322" i="2" s="1"/>
  <c r="X1322" i="2" s="1"/>
  <c r="A1323" i="2" s="1"/>
  <c r="X1323" i="2" s="1"/>
  <c r="A1324" i="2" s="1"/>
  <c r="X1324" i="2" s="1"/>
  <c r="A1325" i="2" s="1"/>
  <c r="X1325" i="2" s="1"/>
  <c r="A1326" i="2" s="1"/>
  <c r="X1326" i="2" s="1"/>
  <c r="A1327" i="2" s="1"/>
  <c r="X1327" i="2" s="1"/>
  <c r="A1328" i="2" s="1"/>
  <c r="X1328" i="2" s="1"/>
  <c r="A1329" i="2" s="1"/>
  <c r="X1329" i="2" s="1"/>
  <c r="A1330" i="2" s="1"/>
  <c r="X1330" i="2" s="1"/>
  <c r="A1331" i="2" s="1"/>
  <c r="X1331" i="2" s="1"/>
  <c r="A1332" i="2" s="1"/>
  <c r="X1332" i="2" s="1"/>
  <c r="A1333" i="2" s="1"/>
  <c r="X1333" i="2" s="1"/>
  <c r="A1334" i="2" s="1"/>
  <c r="X1334" i="2" s="1"/>
  <c r="A1335" i="2" s="1"/>
  <c r="X1335" i="2" s="1"/>
  <c r="A1336" i="2" s="1"/>
  <c r="X1336" i="2" s="1"/>
  <c r="A1337" i="2" s="1"/>
  <c r="X1337" i="2" s="1"/>
  <c r="A1338" i="2" s="1"/>
  <c r="X1338" i="2" s="1"/>
  <c r="A1339" i="2" s="1"/>
  <c r="X1339" i="2" s="1"/>
  <c r="A1340" i="2" s="1"/>
  <c r="X1340" i="2" s="1"/>
  <c r="A1341" i="2" s="1"/>
  <c r="X1341" i="2" s="1"/>
  <c r="A1342" i="2" s="1"/>
  <c r="X1342" i="2" s="1"/>
  <c r="A1343" i="2" s="1"/>
  <c r="X1343" i="2" s="1"/>
  <c r="A1344" i="2" s="1"/>
  <c r="X1344" i="2" s="1"/>
  <c r="A1345" i="2" s="1"/>
  <c r="X1345" i="2" s="1"/>
  <c r="A1346" i="2" s="1"/>
  <c r="X1346" i="2" s="1"/>
  <c r="A1347" i="2" s="1"/>
  <c r="X1347" i="2" s="1"/>
  <c r="A1348" i="2" s="1"/>
  <c r="X1348" i="2" s="1"/>
  <c r="A1349" i="2" s="1"/>
  <c r="X1349" i="2" s="1"/>
  <c r="A1350" i="2" s="1"/>
  <c r="X1350" i="2" s="1"/>
  <c r="A1351" i="2" s="1"/>
  <c r="X1351" i="2" s="1"/>
  <c r="A1352" i="2" s="1"/>
  <c r="X1352" i="2" s="1"/>
  <c r="A1353" i="2" s="1"/>
  <c r="X1353" i="2" s="1"/>
  <c r="A1354" i="2" s="1"/>
  <c r="X1354" i="2" s="1"/>
  <c r="A1355" i="2" s="1"/>
  <c r="X1355" i="2" s="1"/>
  <c r="A1356" i="2" s="1"/>
  <c r="X1356" i="2" s="1"/>
  <c r="A1357" i="2" s="1"/>
  <c r="X1357" i="2" s="1"/>
  <c r="A1358" i="2" s="1"/>
  <c r="X1358" i="2" s="1"/>
  <c r="A1359" i="2" s="1"/>
  <c r="X1359" i="2" s="1"/>
  <c r="A1360" i="2" s="1"/>
  <c r="X1360" i="2" s="1"/>
  <c r="A1361" i="2" s="1"/>
  <c r="X1361" i="2" s="1"/>
  <c r="A1362" i="2" s="1"/>
  <c r="X1362" i="2" s="1"/>
  <c r="A1363" i="2" s="1"/>
  <c r="X1363" i="2" s="1"/>
  <c r="A1364" i="2" s="1"/>
  <c r="X1364" i="2" s="1"/>
  <c r="A1365" i="2" s="1"/>
  <c r="X1365" i="2" s="1"/>
  <c r="A1366" i="2" s="1"/>
  <c r="X1366" i="2" s="1"/>
  <c r="A1367" i="2" s="1"/>
  <c r="X1367" i="2" s="1"/>
  <c r="A1368" i="2" s="1"/>
  <c r="X1368" i="2" s="1"/>
  <c r="A1369" i="2" s="1"/>
  <c r="X1369" i="2" s="1"/>
  <c r="A1370" i="2" s="1"/>
  <c r="X1370" i="2" s="1"/>
  <c r="A1371" i="2" s="1"/>
  <c r="X1371" i="2" s="1"/>
  <c r="A1372" i="2" s="1"/>
  <c r="X1372" i="2" s="1"/>
  <c r="A1373" i="2" s="1"/>
  <c r="X1373" i="2" s="1"/>
  <c r="A1374" i="2" s="1"/>
  <c r="X1374" i="2" s="1"/>
  <c r="A1375" i="2" s="1"/>
  <c r="X1375" i="2" s="1"/>
  <c r="A1376" i="2" s="1"/>
  <c r="X1376" i="2" s="1"/>
  <c r="A1377" i="2" s="1"/>
  <c r="X1377" i="2" s="1"/>
  <c r="A1378" i="2" s="1"/>
  <c r="X1378" i="2" s="1"/>
  <c r="A1379" i="2" s="1"/>
  <c r="X1379" i="2" s="1"/>
  <c r="A1380" i="2" s="1"/>
  <c r="X1380" i="2" s="1"/>
  <c r="A1381" i="2" s="1"/>
  <c r="X1381" i="2" s="1"/>
  <c r="A1382" i="2" s="1"/>
  <c r="X1382" i="2" s="1"/>
  <c r="A1383" i="2" s="1"/>
  <c r="X1383" i="2" s="1"/>
  <c r="A1384" i="2" s="1"/>
  <c r="X1384" i="2" s="1"/>
  <c r="A1385" i="2" s="1"/>
  <c r="X1385" i="2" s="1"/>
  <c r="A1386" i="2" s="1"/>
  <c r="X1386" i="2" s="1"/>
  <c r="A1387" i="2" s="1"/>
  <c r="X1387" i="2" s="1"/>
  <c r="A1388" i="2" s="1"/>
  <c r="X1388" i="2" s="1"/>
  <c r="A1389" i="2" s="1"/>
  <c r="X1389" i="2" s="1"/>
  <c r="A1390" i="2" s="1"/>
  <c r="X1390" i="2" s="1"/>
  <c r="A1391" i="2" s="1"/>
  <c r="X1391" i="2" s="1"/>
  <c r="A1392" i="2" s="1"/>
  <c r="X1392" i="2" s="1"/>
  <c r="A1393" i="2" s="1"/>
  <c r="X1393" i="2" s="1"/>
  <c r="A1394" i="2" s="1"/>
  <c r="X1394" i="2" s="1"/>
  <c r="A1395" i="2" s="1"/>
  <c r="X1395" i="2" s="1"/>
  <c r="A1396" i="2" s="1"/>
  <c r="X1396" i="2" s="1"/>
  <c r="A1397" i="2" s="1"/>
  <c r="X1397" i="2" s="1"/>
  <c r="A1398" i="2" s="1"/>
  <c r="X1398" i="2" s="1"/>
  <c r="A1399" i="2" s="1"/>
  <c r="X1399" i="2" s="1"/>
  <c r="A1400" i="2" s="1"/>
  <c r="X1400" i="2" s="1"/>
  <c r="A1401" i="2" s="1"/>
  <c r="X1401" i="2" s="1"/>
  <c r="A1402" i="2" s="1"/>
  <c r="X1402" i="2" s="1"/>
  <c r="A1403" i="2" s="1"/>
  <c r="X1403" i="2" s="1"/>
  <c r="A1404" i="2" s="1"/>
  <c r="X1404" i="2" s="1"/>
  <c r="A1405" i="2" s="1"/>
  <c r="X1405" i="2" s="1"/>
  <c r="A1406" i="2" s="1"/>
  <c r="X1406" i="2" s="1"/>
  <c r="A1407" i="2" s="1"/>
  <c r="X1407" i="2" s="1"/>
  <c r="A1408" i="2" s="1"/>
  <c r="X1408" i="2" s="1"/>
  <c r="A1409" i="2" s="1"/>
  <c r="X1409" i="2" s="1"/>
  <c r="A1410" i="2" s="1"/>
  <c r="X1410" i="2" s="1"/>
  <c r="A1411" i="2" s="1"/>
  <c r="X1411" i="2" s="1"/>
  <c r="A1412" i="2" s="1"/>
  <c r="X1412" i="2" s="1"/>
  <c r="A1413" i="2" s="1"/>
  <c r="X1413" i="2" s="1"/>
  <c r="A1414" i="2" s="1"/>
  <c r="X1414" i="2" s="1"/>
  <c r="A1415" i="2" s="1"/>
  <c r="X1415" i="2" s="1"/>
  <c r="A1416" i="2" s="1"/>
  <c r="X1416" i="2" s="1"/>
  <c r="A1417" i="2" s="1"/>
  <c r="X1417" i="2" s="1"/>
  <c r="A1418" i="2" s="1"/>
  <c r="X1418" i="2" s="1"/>
  <c r="A1419" i="2" s="1"/>
  <c r="X1419" i="2" s="1"/>
  <c r="A1420" i="2" s="1"/>
  <c r="X1420" i="2" s="1"/>
  <c r="A1421" i="2" s="1"/>
  <c r="X1421" i="2" s="1"/>
  <c r="A1422" i="2" s="1"/>
  <c r="X1422" i="2" s="1"/>
  <c r="A1423" i="2" s="1"/>
  <c r="X1423" i="2" s="1"/>
  <c r="A1424" i="2" s="1"/>
  <c r="X1424" i="2" s="1"/>
  <c r="A1425" i="2" s="1"/>
  <c r="X1425" i="2" s="1"/>
  <c r="A1426" i="2" s="1"/>
  <c r="X1426" i="2" s="1"/>
  <c r="A1427" i="2" s="1"/>
  <c r="X1427" i="2" s="1"/>
  <c r="A1428" i="2" s="1"/>
  <c r="X1428" i="2" s="1"/>
  <c r="A1429" i="2" s="1"/>
  <c r="X1429" i="2" s="1"/>
  <c r="A1430" i="2" s="1"/>
  <c r="X1430" i="2" s="1"/>
  <c r="A1431" i="2" s="1"/>
  <c r="X1431" i="2" s="1"/>
  <c r="A1432" i="2" s="1"/>
  <c r="X1432" i="2" s="1"/>
  <c r="A1433" i="2" s="1"/>
  <c r="X1433" i="2" s="1"/>
  <c r="A1434" i="2" s="1"/>
  <c r="X1434" i="2" s="1"/>
  <c r="A1435" i="2" s="1"/>
  <c r="X1435" i="2" s="1"/>
  <c r="A1436" i="2" s="1"/>
  <c r="X1436" i="2" s="1"/>
  <c r="A1437" i="2" s="1"/>
  <c r="X1437" i="2" s="1"/>
  <c r="A1438" i="2" s="1"/>
  <c r="X1438" i="2" s="1"/>
  <c r="A1439" i="2" s="1"/>
  <c r="X1439" i="2" s="1"/>
  <c r="A1440" i="2" s="1"/>
  <c r="X1440" i="2" s="1"/>
  <c r="A1441" i="2" s="1"/>
  <c r="X1441" i="2" s="1"/>
  <c r="A1442" i="2" s="1"/>
  <c r="X1442" i="2" s="1"/>
  <c r="A1443" i="2" s="1"/>
  <c r="X1443" i="2" s="1"/>
  <c r="A1444" i="2" s="1"/>
  <c r="X1444" i="2" s="1"/>
  <c r="A1445" i="2" s="1"/>
  <c r="X1445" i="2" s="1"/>
  <c r="A1446" i="2" s="1"/>
  <c r="X1446" i="2" s="1"/>
  <c r="A1447" i="2" s="1"/>
  <c r="X1447" i="2" s="1"/>
  <c r="A1448" i="2" s="1"/>
  <c r="X1448" i="2" s="1"/>
  <c r="A1449" i="2" s="1"/>
  <c r="X1449" i="2" s="1"/>
  <c r="A1450" i="2" s="1"/>
  <c r="X1450" i="2" s="1"/>
  <c r="A1451" i="2" s="1"/>
  <c r="X1451" i="2" s="1"/>
  <c r="A1452" i="2" s="1"/>
  <c r="X1452" i="2" s="1"/>
  <c r="A1453" i="2" s="1"/>
  <c r="X1453" i="2" s="1"/>
  <c r="A1454" i="2" s="1"/>
  <c r="X1454" i="2" s="1"/>
  <c r="A1455" i="2" s="1"/>
  <c r="X1455" i="2" s="1"/>
  <c r="A1456" i="2" s="1"/>
  <c r="X1456" i="2" s="1"/>
  <c r="A1457" i="2" s="1"/>
  <c r="X1457" i="2" s="1"/>
  <c r="S1296" i="2"/>
  <c r="V1296" i="2"/>
  <c r="U1296" i="2"/>
  <c r="U1295" i="2"/>
  <c r="V1295" i="2" s="1"/>
  <c r="S1295" i="2"/>
  <c r="U1294" i="2"/>
  <c r="V1294" i="2" s="1"/>
  <c r="S1294" i="2"/>
  <c r="U1293" i="2"/>
  <c r="V1293" i="2" s="1"/>
  <c r="S1293" i="2"/>
  <c r="S1292" i="2"/>
  <c r="U1292" i="2"/>
  <c r="V1292" i="2" s="1"/>
  <c r="U1291" i="2"/>
  <c r="V1291" i="2" s="1"/>
  <c r="S1291" i="2"/>
  <c r="U1290" i="2"/>
  <c r="V1290" i="2" s="1"/>
  <c r="S1290" i="2"/>
  <c r="U1289" i="2"/>
  <c r="V1289" i="2" s="1"/>
  <c r="S1289" i="2"/>
  <c r="S1288" i="2"/>
  <c r="U1288" i="2"/>
  <c r="V1288" i="2" s="1"/>
  <c r="S1287" i="2"/>
  <c r="U1287" i="2"/>
  <c r="V1287" i="2" s="1"/>
  <c r="S1286" i="2"/>
  <c r="U1286" i="2"/>
  <c r="V1286" i="2" s="1"/>
  <c r="U1285" i="2"/>
  <c r="V1285" i="2" s="1"/>
  <c r="S1285" i="2"/>
  <c r="S1284" i="2"/>
  <c r="U1284" i="2"/>
  <c r="V1284" i="2" s="1"/>
  <c r="U1283" i="2"/>
  <c r="V1283" i="2" s="1"/>
  <c r="S1283" i="2"/>
  <c r="V1282" i="2"/>
  <c r="U1282" i="2"/>
  <c r="S1282" i="2"/>
  <c r="S1281" i="2"/>
  <c r="U1281" i="2"/>
  <c r="V1281" i="2"/>
  <c r="V1280" i="2"/>
  <c r="S1280" i="2"/>
  <c r="U1280" i="2"/>
  <c r="U1279" i="2"/>
  <c r="V1279" i="2"/>
  <c r="S1279" i="2"/>
  <c r="S1278" i="2"/>
  <c r="V1278" i="2"/>
  <c r="U1278" i="2"/>
  <c r="U1277" i="2"/>
  <c r="V1277" i="2"/>
  <c r="S1277" i="2"/>
  <c r="U1276" i="2"/>
  <c r="V1276" i="2"/>
  <c r="S1276" i="2"/>
  <c r="V1275" i="2"/>
  <c r="S1275" i="2"/>
  <c r="U1275" i="2"/>
  <c r="S1274" i="2"/>
  <c r="V1274" i="2"/>
  <c r="U1274" i="2"/>
  <c r="V1273" i="2"/>
  <c r="S1273" i="2"/>
  <c r="U1273" i="2"/>
  <c r="V1272" i="2"/>
  <c r="S1272" i="2"/>
  <c r="U1272" i="2"/>
  <c r="U1271" i="2"/>
  <c r="V1271" i="2"/>
  <c r="S1271" i="2"/>
  <c r="V1270" i="2"/>
  <c r="S1270" i="2"/>
  <c r="U1270" i="2"/>
  <c r="V1269" i="2"/>
  <c r="S1269" i="2"/>
  <c r="U1269" i="2"/>
  <c r="U1268" i="2"/>
  <c r="S1268" i="2"/>
  <c r="V1268" i="2"/>
  <c r="S1267" i="2"/>
  <c r="V1267" i="2"/>
  <c r="U1267" i="2"/>
  <c r="S1266" i="2"/>
  <c r="U1266" i="2"/>
  <c r="V1266" i="2"/>
  <c r="V1265" i="2"/>
  <c r="S1265" i="2"/>
  <c r="U1265" i="2"/>
  <c r="V1264" i="2"/>
  <c r="S1264" i="2"/>
  <c r="U1264" i="2"/>
  <c r="S1263" i="2"/>
  <c r="V1263" i="2"/>
  <c r="U1263" i="2"/>
  <c r="U1262" i="2"/>
  <c r="V1262" i="2"/>
  <c r="S1262" i="2"/>
  <c r="U1261" i="2"/>
  <c r="S1261" i="2"/>
  <c r="V1261" i="2"/>
  <c r="S1260" i="2"/>
  <c r="V1260" i="2"/>
  <c r="U1260" i="2"/>
  <c r="U1259" i="2"/>
  <c r="S1259" i="2"/>
  <c r="V1259" i="2"/>
  <c r="V1258" i="2"/>
  <c r="S1258" i="2"/>
  <c r="U1258" i="2"/>
  <c r="V1257" i="2"/>
  <c r="S1257" i="2"/>
  <c r="U1257" i="2"/>
  <c r="U1256" i="2"/>
  <c r="S1256" i="2"/>
  <c r="V1256" i="2"/>
  <c r="S1255" i="2"/>
  <c r="U1255" i="2"/>
  <c r="V1255" i="2"/>
  <c r="V1254" i="2"/>
  <c r="S1254" i="2"/>
  <c r="U1254" i="2"/>
  <c r="U1253" i="2"/>
  <c r="S1253" i="2"/>
  <c r="V1253" i="2"/>
  <c r="S1252" i="2"/>
  <c r="V1252" i="2"/>
  <c r="U1252" i="2"/>
  <c r="S1251" i="2"/>
  <c r="V1251" i="2"/>
  <c r="U1251" i="2"/>
  <c r="V1250" i="2"/>
  <c r="S1250" i="2"/>
  <c r="U1250" i="2"/>
  <c r="U1249" i="2"/>
  <c r="V1249" i="2"/>
  <c r="S1249" i="2"/>
  <c r="S1248" i="2"/>
  <c r="V1248" i="2"/>
  <c r="U1248" i="2"/>
  <c r="S1247" i="2"/>
  <c r="V1247" i="2"/>
  <c r="U1247" i="2"/>
  <c r="V1246" i="2"/>
  <c r="U1246" i="2"/>
  <c r="S1246" i="2"/>
  <c r="S1245" i="2"/>
  <c r="V1245" i="2"/>
  <c r="U1245" i="2"/>
  <c r="U1244" i="2"/>
  <c r="V1244" i="2"/>
  <c r="S1244" i="2"/>
  <c r="U1243" i="2"/>
  <c r="S1243" i="2"/>
  <c r="V1243" i="2"/>
  <c r="V1242" i="2"/>
  <c r="U1242" i="2"/>
  <c r="S1242" i="2"/>
  <c r="S1241" i="2"/>
  <c r="V1241" i="2"/>
  <c r="U1241" i="2"/>
  <c r="V1240" i="2"/>
  <c r="U1240" i="2"/>
  <c r="S1240" i="2"/>
  <c r="U1239" i="2"/>
  <c r="S1239" i="2"/>
  <c r="V1239" i="2"/>
  <c r="S1238" i="2"/>
  <c r="V1238" i="2"/>
  <c r="U1238" i="2"/>
  <c r="V1237" i="2"/>
  <c r="S1237" i="2"/>
  <c r="U1237" i="2"/>
  <c r="U1236" i="2"/>
  <c r="S1236" i="2"/>
  <c r="V1236" i="2"/>
  <c r="U1235" i="2"/>
  <c r="S1235" i="2"/>
  <c r="V1235" i="2"/>
  <c r="U1234" i="2"/>
  <c r="S1234" i="2"/>
  <c r="V1234" i="2"/>
  <c r="U1233" i="2"/>
  <c r="V1233" i="2"/>
  <c r="S1233" i="2"/>
  <c r="U1232" i="2"/>
  <c r="S1232" i="2"/>
  <c r="V1232" i="2"/>
  <c r="S1231" i="2"/>
  <c r="V1231" i="2"/>
  <c r="U1231" i="2"/>
  <c r="S1230" i="2"/>
  <c r="U1230" i="2"/>
  <c r="V1230" i="2"/>
  <c r="U1229" i="2"/>
  <c r="S1229" i="2"/>
  <c r="V1229" i="2"/>
  <c r="U1228" i="2"/>
  <c r="V1228" i="2"/>
  <c r="S1228" i="2"/>
  <c r="S1227" i="2"/>
  <c r="V1227" i="2"/>
  <c r="U1227" i="2"/>
  <c r="V1226" i="2"/>
  <c r="S1226" i="2"/>
  <c r="U1226" i="2"/>
  <c r="U1225" i="2"/>
  <c r="S1225" i="2"/>
  <c r="V1225" i="2"/>
  <c r="U1224" i="2"/>
  <c r="S1224" i="2"/>
  <c r="V1224" i="2"/>
  <c r="U1223" i="2"/>
  <c r="S1223" i="2"/>
  <c r="V1223" i="2"/>
  <c r="V1222" i="2"/>
  <c r="S1222" i="2"/>
  <c r="U1222" i="2"/>
  <c r="V1221" i="2"/>
  <c r="U1221" i="2"/>
  <c r="S1221" i="2"/>
  <c r="U1220" i="2"/>
  <c r="S1220" i="2"/>
  <c r="V1220" i="2"/>
  <c r="S1219" i="2"/>
  <c r="U1219" i="2"/>
  <c r="V1219" i="2"/>
  <c r="V1218" i="2"/>
  <c r="S1218" i="2"/>
  <c r="U1218" i="2"/>
  <c r="V1217" i="2"/>
  <c r="U1217" i="2"/>
  <c r="S1217" i="2"/>
  <c r="U1216" i="2"/>
  <c r="S1216" i="2"/>
  <c r="V1216" i="2"/>
  <c r="S1215" i="2"/>
  <c r="V1215" i="2"/>
  <c r="U1215" i="2"/>
  <c r="U1214" i="2"/>
  <c r="V1214" i="2"/>
  <c r="S1214" i="2"/>
  <c r="U1213" i="2"/>
  <c r="S1213" i="2"/>
  <c r="V1213" i="2"/>
  <c r="U1212" i="2"/>
  <c r="S1212" i="2"/>
  <c r="V1212" i="2"/>
  <c r="V1211" i="2"/>
  <c r="U1211" i="2"/>
  <c r="S1211" i="2"/>
  <c r="U1210" i="2"/>
  <c r="V1210" i="2"/>
  <c r="S1210" i="2"/>
  <c r="V1209" i="2"/>
  <c r="S1209" i="2"/>
  <c r="U1209" i="2"/>
  <c r="U1208" i="2"/>
  <c r="V1208" i="2"/>
  <c r="S1208" i="2"/>
  <c r="V1207" i="2"/>
  <c r="U1207" i="2"/>
  <c r="S1207" i="2"/>
  <c r="U1206" i="2"/>
  <c r="S1206" i="2"/>
  <c r="V1206" i="2"/>
  <c r="V1205" i="2"/>
  <c r="S1205" i="2"/>
  <c r="U1205" i="2"/>
  <c r="U1204" i="2"/>
  <c r="V1204" i="2"/>
  <c r="S1204" i="2"/>
  <c r="U1203" i="2"/>
  <c r="S1203" i="2"/>
  <c r="V1203" i="2"/>
  <c r="V1202" i="2"/>
  <c r="S1202" i="2"/>
  <c r="U1202" i="2"/>
  <c r="V1201" i="2"/>
  <c r="S1201" i="2"/>
  <c r="U1201" i="2"/>
  <c r="V1200" i="2"/>
  <c r="U1200" i="2"/>
  <c r="S1200" i="2"/>
  <c r="S1199" i="2"/>
  <c r="U1199" i="2"/>
  <c r="V1199" i="2"/>
  <c r="U1198" i="2"/>
  <c r="S1198" i="2"/>
  <c r="V1198" i="2"/>
  <c r="V1197" i="2"/>
  <c r="S1197" i="2"/>
  <c r="U1197" i="2"/>
  <c r="U1196" i="2"/>
  <c r="S1196" i="2"/>
  <c r="V1196" i="2"/>
  <c r="S1195" i="2"/>
  <c r="U1195" i="2"/>
  <c r="V1195" i="2"/>
  <c r="U1194" i="2"/>
  <c r="V1194" i="2"/>
  <c r="S1194" i="2"/>
  <c r="V1193" i="2"/>
  <c r="U1193" i="2"/>
  <c r="S1193" i="2"/>
  <c r="S1192" i="2"/>
  <c r="V1192" i="2"/>
  <c r="U1192" i="2"/>
  <c r="S1191" i="2"/>
  <c r="U1191" i="2"/>
  <c r="V1191" i="2"/>
  <c r="U1190" i="2"/>
  <c r="V1190" i="2"/>
  <c r="S1190" i="2"/>
  <c r="S1189" i="2"/>
  <c r="V1189" i="2"/>
  <c r="U1189" i="2"/>
  <c r="V1188" i="2"/>
  <c r="S1188" i="2"/>
  <c r="U1188" i="2"/>
  <c r="U1187" i="2"/>
  <c r="V1187" i="2"/>
  <c r="S1187" i="2"/>
  <c r="V1186" i="2"/>
  <c r="U1186" i="2"/>
  <c r="S1186" i="2"/>
  <c r="V1185" i="2"/>
  <c r="U1185" i="2"/>
  <c r="S1185" i="2"/>
  <c r="V1184" i="2"/>
  <c r="S1184" i="2"/>
  <c r="U1184" i="2"/>
  <c r="S1183" i="2"/>
  <c r="V1183" i="2"/>
  <c r="U1183" i="2"/>
  <c r="V1181" i="2"/>
  <c r="S1181" i="2"/>
  <c r="U1181" i="2"/>
  <c r="U1180" i="2"/>
  <c r="S1180" i="2"/>
  <c r="V1180" i="2"/>
  <c r="V1179" i="2"/>
  <c r="S1179" i="2"/>
  <c r="U1179" i="2"/>
  <c r="U1175" i="2"/>
  <c r="V1175" i="2"/>
  <c r="S1175" i="2"/>
  <c r="U1173" i="2"/>
  <c r="S1173" i="2"/>
  <c r="V1173" i="2"/>
  <c r="U1170" i="2"/>
  <c r="S1170" i="2"/>
  <c r="V1170" i="2"/>
  <c r="U1168" i="2"/>
  <c r="V1168" i="2"/>
  <c r="S1168" i="2"/>
  <c r="U1167" i="2"/>
  <c r="V1167" i="2"/>
  <c r="S1167" i="2"/>
  <c r="U1166" i="2"/>
  <c r="S1166" i="2"/>
  <c r="V1166" i="2"/>
  <c r="U1165" i="2"/>
  <c r="S1165" i="2"/>
  <c r="V1165" i="2"/>
  <c r="X1165" i="2" s="1"/>
  <c r="A1166" i="2" s="1"/>
  <c r="X1166" i="2" s="1"/>
  <c r="A1167" i="2" s="1"/>
  <c r="X1167" i="2" s="1"/>
  <c r="A1168" i="2" s="1"/>
  <c r="X1168" i="2" s="1"/>
  <c r="A1169" i="2" s="1"/>
  <c r="X1169" i="2" s="1"/>
  <c r="A1170" i="2" s="1"/>
  <c r="X1170" i="2" s="1"/>
  <c r="A1171" i="2" s="1"/>
  <c r="X1171" i="2" s="1"/>
  <c r="A1172" i="2" s="1"/>
  <c r="X1172" i="2" s="1"/>
  <c r="A1173" i="2" s="1"/>
  <c r="X1173" i="2" s="1"/>
  <c r="A1174" i="2" s="1"/>
  <c r="X1174" i="2" s="1"/>
  <c r="A1175" i="2" s="1"/>
  <c r="X1175" i="2" s="1"/>
  <c r="A1176" i="2" s="1"/>
  <c r="X1176" i="2" s="1"/>
  <c r="A1177" i="2" s="1"/>
  <c r="X1177" i="2" s="1"/>
  <c r="A1178" i="2" s="1"/>
  <c r="X1178" i="2" s="1"/>
  <c r="A1179" i="2" s="1"/>
  <c r="X1179" i="2" s="1"/>
  <c r="A1180" i="2" s="1"/>
  <c r="X1180" i="2" s="1"/>
  <c r="A1181" i="2" s="1"/>
  <c r="X1181" i="2" s="1"/>
  <c r="A1182" i="2" s="1"/>
  <c r="X1182" i="2" s="1"/>
  <c r="A1183" i="2" s="1"/>
  <c r="X1183" i="2" s="1"/>
  <c r="A1184" i="2" s="1"/>
  <c r="X1184" i="2" s="1"/>
  <c r="A1185" i="2" s="1"/>
  <c r="X1185" i="2" s="1"/>
  <c r="A1186" i="2" s="1"/>
  <c r="X1186" i="2" s="1"/>
  <c r="A1187" i="2" s="1"/>
  <c r="X1187" i="2" s="1"/>
  <c r="A1188" i="2" s="1"/>
  <c r="X1188" i="2" s="1"/>
  <c r="A1189" i="2" s="1"/>
  <c r="X1189" i="2" s="1"/>
  <c r="A1190" i="2" s="1"/>
  <c r="X1190" i="2" s="1"/>
  <c r="A1191" i="2" s="1"/>
  <c r="X1191" i="2" s="1"/>
  <c r="A1192" i="2" s="1"/>
  <c r="X1192" i="2" s="1"/>
  <c r="A1193" i="2" s="1"/>
  <c r="X1193" i="2" s="1"/>
  <c r="A1194" i="2" s="1"/>
  <c r="X1194" i="2" s="1"/>
  <c r="A1195" i="2" s="1"/>
  <c r="X1195" i="2" s="1"/>
  <c r="A1196" i="2" s="1"/>
  <c r="X1196" i="2" s="1"/>
  <c r="A1197" i="2" s="1"/>
  <c r="X1197" i="2" s="1"/>
  <c r="A1198" i="2" s="1"/>
  <c r="X1198" i="2" s="1"/>
  <c r="A1199" i="2" s="1"/>
  <c r="X1199" i="2" s="1"/>
  <c r="A1200" i="2" s="1"/>
  <c r="X1200" i="2" s="1"/>
  <c r="A1201" i="2" s="1"/>
  <c r="X1201" i="2" s="1"/>
  <c r="A1202" i="2" s="1"/>
  <c r="X1202" i="2" s="1"/>
  <c r="A1203" i="2" s="1"/>
  <c r="X1203" i="2" s="1"/>
  <c r="A1204" i="2" s="1"/>
  <c r="X1204" i="2" s="1"/>
  <c r="A1205" i="2" s="1"/>
  <c r="X1205" i="2" s="1"/>
  <c r="A1206" i="2" s="1"/>
  <c r="X1206" i="2" s="1"/>
  <c r="A1207" i="2" s="1"/>
  <c r="X1207" i="2" s="1"/>
  <c r="A1208" i="2" s="1"/>
  <c r="X1208" i="2" s="1"/>
  <c r="A1209" i="2" s="1"/>
  <c r="X1209" i="2" s="1"/>
  <c r="A1210" i="2" s="1"/>
  <c r="X1210" i="2" s="1"/>
  <c r="A1211" i="2" s="1"/>
  <c r="X1211" i="2" s="1"/>
  <c r="A1212" i="2" s="1"/>
  <c r="X1212" i="2" s="1"/>
  <c r="A1213" i="2" s="1"/>
  <c r="X1213" i="2" s="1"/>
  <c r="A1214" i="2" s="1"/>
  <c r="X1214" i="2" s="1"/>
  <c r="A1215" i="2" s="1"/>
  <c r="X1215" i="2" s="1"/>
  <c r="A1216" i="2" s="1"/>
  <c r="X1216" i="2" s="1"/>
  <c r="A1217" i="2" s="1"/>
  <c r="X1217" i="2" s="1"/>
  <c r="A1218" i="2" s="1"/>
  <c r="X1218" i="2" s="1"/>
  <c r="A1219" i="2" s="1"/>
  <c r="X1219" i="2" s="1"/>
  <c r="A1220" i="2" s="1"/>
  <c r="X1220" i="2" s="1"/>
  <c r="A1221" i="2" s="1"/>
  <c r="X1221" i="2" s="1"/>
  <c r="A1222" i="2" s="1"/>
  <c r="X1222" i="2" s="1"/>
  <c r="A1223" i="2" s="1"/>
  <c r="X1223" i="2" s="1"/>
  <c r="A1224" i="2" s="1"/>
  <c r="X1224" i="2" s="1"/>
  <c r="A1225" i="2" s="1"/>
  <c r="X1225" i="2" s="1"/>
  <c r="A1226" i="2" s="1"/>
  <c r="X1226" i="2" s="1"/>
  <c r="A1227" i="2" s="1"/>
  <c r="X1227" i="2" s="1"/>
  <c r="A1228" i="2" s="1"/>
  <c r="X1228" i="2" s="1"/>
  <c r="A1229" i="2" s="1"/>
  <c r="X1229" i="2" s="1"/>
  <c r="A1230" i="2" s="1"/>
  <c r="X1230" i="2" s="1"/>
  <c r="A1231" i="2" s="1"/>
  <c r="X1231" i="2" s="1"/>
  <c r="A1232" i="2" s="1"/>
  <c r="X1232" i="2" s="1"/>
  <c r="A1233" i="2" s="1"/>
  <c r="X1233" i="2" s="1"/>
  <c r="A1234" i="2" s="1"/>
  <c r="X1234" i="2" s="1"/>
  <c r="A1235" i="2" s="1"/>
  <c r="X1235" i="2" s="1"/>
  <c r="A1236" i="2" s="1"/>
  <c r="X1236" i="2" s="1"/>
  <c r="A1237" i="2" s="1"/>
  <c r="X1237" i="2" s="1"/>
  <c r="A1238" i="2" s="1"/>
  <c r="X1238" i="2" s="1"/>
  <c r="A1239" i="2" s="1"/>
  <c r="X1239" i="2" s="1"/>
  <c r="A1240" i="2" s="1"/>
  <c r="X1240" i="2" s="1"/>
  <c r="A1241" i="2" s="1"/>
  <c r="X1241" i="2" s="1"/>
  <c r="A1242" i="2" s="1"/>
  <c r="X1242" i="2" s="1"/>
  <c r="A1243" i="2" s="1"/>
  <c r="X1243" i="2" s="1"/>
  <c r="A1244" i="2" s="1"/>
  <c r="X1244" i="2" s="1"/>
  <c r="A1245" i="2" s="1"/>
  <c r="X1245" i="2" s="1"/>
  <c r="A1246" i="2" s="1"/>
  <c r="X1246" i="2" s="1"/>
  <c r="A1247" i="2" s="1"/>
  <c r="X1247" i="2" s="1"/>
  <c r="A1248" i="2" s="1"/>
  <c r="X1248" i="2" s="1"/>
  <c r="A1249" i="2" s="1"/>
  <c r="X1249" i="2" s="1"/>
  <c r="A1250" i="2" s="1"/>
  <c r="X1250" i="2" s="1"/>
  <c r="A1251" i="2" s="1"/>
  <c r="X1251" i="2" s="1"/>
  <c r="A1252" i="2" s="1"/>
  <c r="X1252" i="2" s="1"/>
  <c r="A1253" i="2" s="1"/>
  <c r="X1253" i="2" s="1"/>
  <c r="A1254" i="2" s="1"/>
  <c r="X1254" i="2" s="1"/>
  <c r="A1255" i="2" s="1"/>
  <c r="X1255" i="2" s="1"/>
  <c r="A1256" i="2" s="1"/>
  <c r="X1256" i="2" s="1"/>
  <c r="A1257" i="2" s="1"/>
  <c r="X1257" i="2" s="1"/>
  <c r="A1258" i="2" s="1"/>
  <c r="X1258" i="2" s="1"/>
  <c r="A1259" i="2" s="1"/>
  <c r="X1259" i="2" s="1"/>
  <c r="A1260" i="2" s="1"/>
  <c r="X1260" i="2" s="1"/>
  <c r="A1261" i="2" s="1"/>
  <c r="X1261" i="2" s="1"/>
  <c r="A1262" i="2" s="1"/>
  <c r="X1262" i="2" s="1"/>
  <c r="A1263" i="2" s="1"/>
  <c r="X1263" i="2" s="1"/>
  <c r="A1264" i="2" s="1"/>
  <c r="X1264" i="2" s="1"/>
  <c r="A1265" i="2" s="1"/>
  <c r="X1265" i="2" s="1"/>
  <c r="A1266" i="2" s="1"/>
  <c r="X1266" i="2" s="1"/>
  <c r="A1267" i="2" s="1"/>
  <c r="X1267" i="2" s="1"/>
  <c r="A1268" i="2" s="1"/>
  <c r="X1268" i="2" s="1"/>
  <c r="A1269" i="2" s="1"/>
  <c r="X1269" i="2" s="1"/>
  <c r="S1162" i="2"/>
  <c r="U1162" i="2"/>
  <c r="S1159" i="2"/>
  <c r="U1159" i="2"/>
  <c r="V1159" i="2" s="1"/>
  <c r="S1158" i="2"/>
  <c r="U1158" i="2"/>
  <c r="V1158" i="2" s="1"/>
  <c r="S1157" i="2"/>
  <c r="U1157" i="2"/>
  <c r="V1157" i="2" s="1"/>
  <c r="S1155" i="2"/>
  <c r="U1155" i="2"/>
  <c r="V1155" i="2" s="1"/>
  <c r="S1154" i="2"/>
  <c r="V1154" i="2"/>
  <c r="U1154" i="2"/>
  <c r="S1153" i="2"/>
  <c r="V1153" i="2"/>
  <c r="U1153" i="2"/>
  <c r="U1152" i="2"/>
  <c r="V1152" i="2"/>
  <c r="X1152" i="2" s="1"/>
  <c r="A1153" i="2" s="1"/>
  <c r="X1153" i="2" s="1"/>
  <c r="A1154" i="2" s="1"/>
  <c r="X1154" i="2" s="1"/>
  <c r="A1155" i="2" s="1"/>
  <c r="S1152" i="2"/>
  <c r="X1155" i="2"/>
  <c r="A1156" i="2" s="1"/>
  <c r="C1155" i="2"/>
  <c r="S1151" i="2"/>
  <c r="V1151" i="2"/>
  <c r="U1151" i="2"/>
  <c r="V1150" i="2"/>
  <c r="S1150" i="2"/>
  <c r="U1150" i="2"/>
  <c r="S1149" i="2"/>
  <c r="U1149" i="2"/>
  <c r="V1149" i="2"/>
  <c r="V1148" i="2"/>
  <c r="S1148" i="2"/>
  <c r="U1148" i="2"/>
  <c r="S1147" i="2"/>
  <c r="V1147" i="2"/>
  <c r="U1147" i="2"/>
  <c r="V1146" i="2"/>
  <c r="U1146" i="2"/>
  <c r="S1145" i="2"/>
  <c r="V1145" i="2"/>
  <c r="U1145" i="2"/>
  <c r="V1144" i="2"/>
  <c r="U1144" i="2"/>
  <c r="S1144" i="2"/>
  <c r="U1143" i="2"/>
  <c r="V1143" i="2"/>
  <c r="S1143" i="2"/>
  <c r="U1142" i="2"/>
  <c r="V1142" i="2"/>
  <c r="S1142" i="2"/>
  <c r="S1141" i="2"/>
  <c r="U1141" i="2"/>
  <c r="V1141" i="2"/>
  <c r="S1140" i="2"/>
  <c r="U1140" i="2"/>
  <c r="V1140" i="2"/>
  <c r="U1139" i="2"/>
  <c r="V1139" i="2"/>
  <c r="S1139" i="2"/>
  <c r="U1138" i="2"/>
  <c r="V1138" i="2"/>
  <c r="S1138" i="2"/>
  <c r="V1137" i="2"/>
  <c r="U1137" i="2"/>
  <c r="S1137" i="2"/>
  <c r="S1136" i="2"/>
  <c r="U1136" i="2"/>
  <c r="V1136" i="2"/>
  <c r="V1135" i="2"/>
  <c r="S1135" i="2"/>
  <c r="U1135" i="2"/>
  <c r="U1134" i="2"/>
  <c r="V1134" i="2"/>
  <c r="S1134" i="2"/>
  <c r="V1133" i="2"/>
  <c r="S1133" i="2"/>
  <c r="U1133" i="2"/>
  <c r="U1132" i="2"/>
  <c r="S1132" i="2"/>
  <c r="V1132" i="2"/>
  <c r="V1131" i="2"/>
  <c r="S1131" i="2"/>
  <c r="U1131" i="2"/>
  <c r="S1130" i="2"/>
  <c r="U1130" i="2"/>
  <c r="V1130" i="2"/>
  <c r="S1129" i="2"/>
  <c r="U1129" i="2"/>
  <c r="V1129" i="2"/>
  <c r="V1128" i="2"/>
  <c r="U1128" i="2"/>
  <c r="S1128" i="2"/>
  <c r="U1127" i="2"/>
  <c r="V1127" i="2"/>
  <c r="S1127" i="2"/>
  <c r="V1126" i="2"/>
  <c r="S1126" i="2"/>
  <c r="U1126" i="2"/>
  <c r="V1125" i="2"/>
  <c r="U1125" i="2"/>
  <c r="S1125" i="2"/>
  <c r="U1124" i="2"/>
  <c r="S1124" i="2"/>
  <c r="V1124" i="2"/>
  <c r="V1123" i="2"/>
  <c r="S1123" i="2"/>
  <c r="U1123" i="2"/>
  <c r="U1122" i="2"/>
  <c r="V1122" i="2"/>
  <c r="S1122" i="2"/>
  <c r="S1121" i="2"/>
  <c r="U1121" i="2"/>
  <c r="V1121" i="2"/>
  <c r="V1120" i="2"/>
  <c r="U1120" i="2"/>
  <c r="S1120" i="2"/>
  <c r="V1119" i="2"/>
  <c r="S1119" i="2"/>
  <c r="U1119" i="2"/>
  <c r="V1118" i="2"/>
  <c r="S1118" i="2"/>
  <c r="U1118" i="2"/>
  <c r="U1117" i="2"/>
  <c r="S1117" i="2"/>
  <c r="V1117" i="2"/>
  <c r="U1116" i="2"/>
  <c r="S1116" i="2"/>
  <c r="V1116" i="2"/>
  <c r="S1115" i="2"/>
  <c r="U1115" i="2"/>
  <c r="V1115" i="2"/>
  <c r="V1114" i="2"/>
  <c r="U1114" i="2"/>
  <c r="S1114" i="2"/>
  <c r="S1113" i="2"/>
  <c r="U1113" i="2"/>
  <c r="V1113" i="2"/>
  <c r="V1112" i="2"/>
  <c r="U1112" i="2"/>
  <c r="S1112" i="2"/>
  <c r="S1111" i="2"/>
  <c r="U1111" i="2"/>
  <c r="V1111" i="2"/>
  <c r="V1110" i="2"/>
  <c r="U1110" i="2"/>
  <c r="S1110" i="2"/>
  <c r="S1108" i="2"/>
  <c r="U1108" i="2"/>
  <c r="V1108" i="2"/>
  <c r="U1107" i="2"/>
  <c r="V1107" i="2"/>
  <c r="S1107" i="2"/>
  <c r="U1106" i="2"/>
  <c r="S1106" i="2"/>
  <c r="V1106" i="2"/>
  <c r="S1105" i="2"/>
  <c r="V1105" i="2"/>
  <c r="U1105" i="2"/>
  <c r="S1104" i="2"/>
  <c r="U1104" i="2"/>
  <c r="V1104" i="2"/>
  <c r="S1103" i="2"/>
  <c r="U1103" i="2"/>
  <c r="V1103" i="2"/>
  <c r="U1102" i="2"/>
  <c r="V1102" i="2"/>
  <c r="S1102" i="2"/>
  <c r="S1101" i="2"/>
  <c r="U1101" i="2"/>
  <c r="V1101" i="2"/>
  <c r="S1100" i="2"/>
  <c r="U1100" i="2"/>
  <c r="V1100" i="2"/>
  <c r="V1099" i="2"/>
  <c r="S1099" i="2"/>
  <c r="U1099" i="2"/>
  <c r="S1098" i="2"/>
  <c r="V1098" i="2"/>
  <c r="U1098" i="2"/>
  <c r="V1097" i="2"/>
  <c r="U1097" i="2"/>
  <c r="S1097" i="2"/>
  <c r="S1096" i="2"/>
  <c r="U1096" i="2"/>
  <c r="V1096" i="2"/>
  <c r="V1095" i="2"/>
  <c r="U1095" i="2"/>
  <c r="S1095" i="2"/>
  <c r="V1094" i="2"/>
  <c r="U1094" i="2"/>
  <c r="S1094" i="2"/>
  <c r="S1093" i="2"/>
  <c r="V1093" i="2"/>
  <c r="U1093" i="2"/>
  <c r="U1092" i="2"/>
  <c r="S1092" i="2"/>
  <c r="V1092" i="2"/>
  <c r="V1091" i="2"/>
  <c r="U1091" i="2"/>
  <c r="S1091" i="2"/>
  <c r="V1090" i="2"/>
  <c r="U1090" i="2"/>
  <c r="S1090" i="2"/>
  <c r="V1089" i="2"/>
  <c r="U1089" i="2"/>
  <c r="S1089" i="2"/>
  <c r="V1088" i="2"/>
  <c r="U1088" i="2"/>
  <c r="S1088" i="2"/>
  <c r="V1087" i="2"/>
  <c r="U1087" i="2"/>
  <c r="S1087" i="2"/>
  <c r="V1086" i="2"/>
  <c r="S1086" i="2"/>
  <c r="U1086" i="2"/>
  <c r="V1085" i="2"/>
  <c r="U1085" i="2"/>
  <c r="S1085" i="2"/>
  <c r="V1082" i="2"/>
  <c r="S1082" i="2"/>
  <c r="U1082" i="2"/>
  <c r="V1081" i="2"/>
  <c r="S1081" i="2"/>
  <c r="U1081" i="2"/>
  <c r="V1080" i="2"/>
  <c r="U1080" i="2"/>
  <c r="S1080" i="2"/>
  <c r="V1079" i="2"/>
  <c r="U1079" i="2"/>
  <c r="S1079" i="2"/>
  <c r="S1078" i="2"/>
  <c r="U1078" i="2"/>
  <c r="V1078" i="2"/>
  <c r="V1077" i="2"/>
  <c r="U1077" i="2"/>
  <c r="S1077" i="2"/>
  <c r="U1076" i="2"/>
  <c r="S1076" i="2"/>
  <c r="V1076" i="2"/>
  <c r="S1075" i="2"/>
  <c r="V1075" i="2"/>
  <c r="U1075" i="2"/>
  <c r="U1074" i="2"/>
  <c r="S1074" i="2"/>
  <c r="V1074" i="2"/>
  <c r="V1071" i="2"/>
  <c r="U1071" i="2"/>
  <c r="S1071" i="2"/>
  <c r="V1070" i="2"/>
  <c r="U1070" i="2"/>
  <c r="S1070" i="2"/>
  <c r="V1069" i="2"/>
  <c r="U1069" i="2"/>
  <c r="S1069" i="2"/>
  <c r="V1068" i="2"/>
  <c r="S1068" i="2"/>
  <c r="U1068" i="2"/>
  <c r="V1067" i="2"/>
  <c r="U1067" i="2"/>
  <c r="S1067" i="2"/>
  <c r="U1066" i="2"/>
  <c r="S1066" i="2"/>
  <c r="V1066" i="2"/>
  <c r="V1065" i="2"/>
  <c r="U1065" i="2"/>
  <c r="S1065" i="2"/>
  <c r="U1064" i="2"/>
  <c r="S1064" i="2"/>
  <c r="V1064" i="2"/>
  <c r="S1063" i="2"/>
  <c r="U1063" i="2"/>
  <c r="V1063" i="2"/>
  <c r="U1062" i="2"/>
  <c r="S1062" i="2"/>
  <c r="V1062" i="2"/>
  <c r="V1061" i="2"/>
  <c r="U1061" i="2"/>
  <c r="S1061" i="2"/>
  <c r="S1060" i="2"/>
  <c r="U1060" i="2"/>
  <c r="V1060" i="2"/>
  <c r="U1059" i="2"/>
  <c r="V1059" i="2"/>
  <c r="S1059" i="2"/>
  <c r="V1058" i="2"/>
  <c r="S1058" i="2"/>
  <c r="U1058" i="2"/>
  <c r="S1057" i="2"/>
  <c r="V1057" i="2"/>
  <c r="U1057" i="2"/>
  <c r="V1056" i="2"/>
  <c r="U1056" i="2"/>
  <c r="S1056" i="2"/>
  <c r="U1055" i="2"/>
  <c r="V1055" i="2"/>
  <c r="S1055" i="2"/>
  <c r="S1053" i="2"/>
  <c r="U1053" i="2"/>
  <c r="V1053" i="2"/>
  <c r="S1051" i="2"/>
  <c r="U1051" i="2"/>
  <c r="V1051" i="2"/>
  <c r="X1051" i="2" s="1"/>
  <c r="A1052" i="2" s="1"/>
  <c r="X1052" i="2" s="1"/>
  <c r="A1053" i="2" s="1"/>
  <c r="X1053" i="2" s="1"/>
  <c r="A1054" i="2" s="1"/>
  <c r="X1054" i="2" s="1"/>
  <c r="A1055" i="2" s="1"/>
  <c r="X1055" i="2" s="1"/>
  <c r="A1056" i="2" s="1"/>
  <c r="X1056" i="2" s="1"/>
  <c r="A1057" i="2" s="1"/>
  <c r="X1057" i="2" s="1"/>
  <c r="A1058" i="2" s="1"/>
  <c r="X1058" i="2" s="1"/>
  <c r="A1059" i="2" s="1"/>
  <c r="X1059" i="2" s="1"/>
  <c r="A1060" i="2" s="1"/>
  <c r="X1060" i="2" s="1"/>
  <c r="A1061" i="2" s="1"/>
  <c r="X1061" i="2" s="1"/>
  <c r="A1062" i="2" s="1"/>
  <c r="X1062" i="2" s="1"/>
  <c r="A1063" i="2" s="1"/>
  <c r="X1063" i="2" s="1"/>
  <c r="A1064" i="2" s="1"/>
  <c r="X1064" i="2" s="1"/>
  <c r="A1065" i="2" s="1"/>
  <c r="X1065" i="2" s="1"/>
  <c r="A1066" i="2" s="1"/>
  <c r="X1066" i="2" s="1"/>
  <c r="A1067" i="2" s="1"/>
  <c r="X1067" i="2" s="1"/>
  <c r="A1068" i="2" s="1"/>
  <c r="X1068" i="2" s="1"/>
  <c r="A1069" i="2" s="1"/>
  <c r="X1069" i="2" s="1"/>
  <c r="A1070" i="2" s="1"/>
  <c r="X1070" i="2" s="1"/>
  <c r="A1071" i="2" s="1"/>
  <c r="X1071" i="2" s="1"/>
  <c r="A1072" i="2" s="1"/>
  <c r="X1072" i="2" s="1"/>
  <c r="A1073" i="2" s="1"/>
  <c r="X1073" i="2" s="1"/>
  <c r="A1074" i="2" s="1"/>
  <c r="X1074" i="2" s="1"/>
  <c r="A1075" i="2" s="1"/>
  <c r="X1075" i="2" s="1"/>
  <c r="A1076" i="2" s="1"/>
  <c r="X1076" i="2" s="1"/>
  <c r="A1077" i="2" s="1"/>
  <c r="X1077" i="2" s="1"/>
  <c r="A1078" i="2" s="1"/>
  <c r="X1078" i="2" s="1"/>
  <c r="A1079" i="2" s="1"/>
  <c r="X1079" i="2" s="1"/>
  <c r="A1080" i="2" s="1"/>
  <c r="X1080" i="2" s="1"/>
  <c r="A1081" i="2" s="1"/>
  <c r="X1081" i="2" s="1"/>
  <c r="A1082" i="2" s="1"/>
  <c r="X1082" i="2" s="1"/>
  <c r="A1083" i="2" s="1"/>
  <c r="X1083" i="2" s="1"/>
  <c r="A1084" i="2" s="1"/>
  <c r="X1084" i="2" s="1"/>
  <c r="A1085" i="2" s="1"/>
  <c r="X1085" i="2" s="1"/>
  <c r="A1086" i="2" s="1"/>
  <c r="X1086" i="2" s="1"/>
  <c r="A1087" i="2" s="1"/>
  <c r="X1087" i="2" s="1"/>
  <c r="A1088" i="2" s="1"/>
  <c r="X1088" i="2" s="1"/>
  <c r="A1089" i="2" s="1"/>
  <c r="X1089" i="2" s="1"/>
  <c r="A1090" i="2" s="1"/>
  <c r="X1090" i="2" s="1"/>
  <c r="A1091" i="2" s="1"/>
  <c r="X1091" i="2" s="1"/>
  <c r="A1092" i="2" s="1"/>
  <c r="X1092" i="2" s="1"/>
  <c r="A1093" i="2" s="1"/>
  <c r="X1093" i="2" s="1"/>
  <c r="A1094" i="2" s="1"/>
  <c r="X1094" i="2" s="1"/>
  <c r="A1095" i="2" s="1"/>
  <c r="X1095" i="2" s="1"/>
  <c r="A1096" i="2" s="1"/>
  <c r="X1096" i="2" s="1"/>
  <c r="A1097" i="2" s="1"/>
  <c r="X1097" i="2" s="1"/>
  <c r="A1098" i="2" s="1"/>
  <c r="X1098" i="2" s="1"/>
  <c r="A1099" i="2" s="1"/>
  <c r="X1099" i="2" s="1"/>
  <c r="A1100" i="2" s="1"/>
  <c r="X1100" i="2" s="1"/>
  <c r="A1101" i="2" s="1"/>
  <c r="X1101" i="2" s="1"/>
  <c r="A1102" i="2" s="1"/>
  <c r="X1102" i="2" s="1"/>
  <c r="A1103" i="2" s="1"/>
  <c r="X1103" i="2" s="1"/>
  <c r="A1104" i="2" s="1"/>
  <c r="X1104" i="2" s="1"/>
  <c r="A1105" i="2" s="1"/>
  <c r="X1105" i="2" s="1"/>
  <c r="A1106" i="2" s="1"/>
  <c r="X1106" i="2" s="1"/>
  <c r="A1107" i="2" s="1"/>
  <c r="X1107" i="2" s="1"/>
  <c r="A1108" i="2" s="1"/>
  <c r="X1108" i="2" s="1"/>
  <c r="A1109" i="2" s="1"/>
  <c r="X1109" i="2" s="1"/>
  <c r="A1110" i="2" s="1"/>
  <c r="X1110" i="2" s="1"/>
  <c r="A1111" i="2" s="1"/>
  <c r="X1111" i="2" s="1"/>
  <c r="A1112" i="2" s="1"/>
  <c r="X1112" i="2" s="1"/>
  <c r="A1113" i="2" s="1"/>
  <c r="X1113" i="2" s="1"/>
  <c r="A1114" i="2" s="1"/>
  <c r="X1114" i="2" s="1"/>
  <c r="A1115" i="2" s="1"/>
  <c r="X1115" i="2" s="1"/>
  <c r="A1116" i="2" s="1"/>
  <c r="X1116" i="2" s="1"/>
  <c r="A1117" i="2" s="1"/>
  <c r="X1117" i="2" s="1"/>
  <c r="A1118" i="2" s="1"/>
  <c r="X1118" i="2" s="1"/>
  <c r="A1119" i="2" s="1"/>
  <c r="X1119" i="2" s="1"/>
  <c r="A1120" i="2" s="1"/>
  <c r="X1120" i="2" s="1"/>
  <c r="A1121" i="2" s="1"/>
  <c r="X1121" i="2" s="1"/>
  <c r="A1122" i="2" s="1"/>
  <c r="X1122" i="2" s="1"/>
  <c r="A1123" i="2" s="1"/>
  <c r="X1123" i="2" s="1"/>
  <c r="A1124" i="2" s="1"/>
  <c r="X1124" i="2" s="1"/>
  <c r="A1125" i="2" s="1"/>
  <c r="X1125" i="2" s="1"/>
  <c r="A1126" i="2" s="1"/>
  <c r="X1126" i="2" s="1"/>
  <c r="A1127" i="2" s="1"/>
  <c r="X1127" i="2" s="1"/>
  <c r="A1128" i="2" s="1"/>
  <c r="X1128" i="2" s="1"/>
  <c r="A1129" i="2" s="1"/>
  <c r="X1129" i="2" s="1"/>
  <c r="A1130" i="2" s="1"/>
  <c r="X1130" i="2" s="1"/>
  <c r="A1131" i="2" s="1"/>
  <c r="X1131" i="2" s="1"/>
  <c r="A1132" i="2" s="1"/>
  <c r="X1132" i="2" s="1"/>
  <c r="A1133" i="2" s="1"/>
  <c r="X1133" i="2" s="1"/>
  <c r="A1134" i="2" s="1"/>
  <c r="X1134" i="2" s="1"/>
  <c r="A1135" i="2" s="1"/>
  <c r="X1135" i="2" s="1"/>
  <c r="A1136" i="2" s="1"/>
  <c r="X1136" i="2" s="1"/>
  <c r="A1137" i="2" s="1"/>
  <c r="X1137" i="2" s="1"/>
  <c r="A1138" i="2" s="1"/>
  <c r="X1138" i="2" s="1"/>
  <c r="A1139" i="2" s="1"/>
  <c r="X1139" i="2" s="1"/>
  <c r="A1140" i="2" s="1"/>
  <c r="X1140" i="2" s="1"/>
  <c r="A1141" i="2" s="1"/>
  <c r="X1141" i="2" s="1"/>
  <c r="A1142" i="2" s="1"/>
  <c r="X1142" i="2" s="1"/>
  <c r="A1143" i="2" s="1"/>
  <c r="X1143" i="2" s="1"/>
  <c r="A1144" i="2" s="1"/>
  <c r="X1144" i="2" s="1"/>
  <c r="A1145" i="2" s="1"/>
  <c r="X1145" i="2" s="1"/>
  <c r="A1146" i="2" s="1"/>
  <c r="X1146" i="2" s="1"/>
  <c r="A1147" i="2" s="1"/>
  <c r="X1147" i="2" s="1"/>
  <c r="A1148" i="2" s="1"/>
  <c r="X1148" i="2" s="1"/>
  <c r="A1149" i="2" s="1"/>
  <c r="X1149" i="2" s="1"/>
  <c r="A1150" i="2" s="1"/>
  <c r="X1150" i="2" s="1"/>
  <c r="A1151" i="2" s="1"/>
  <c r="X1151" i="2" s="1"/>
  <c r="S1048" i="2"/>
  <c r="U1048" i="2"/>
  <c r="V1048" i="2" s="1"/>
  <c r="S1047" i="2"/>
  <c r="U1047" i="2"/>
  <c r="V1047" i="2" s="1"/>
  <c r="U1046" i="2"/>
  <c r="V1046" i="2" s="1"/>
  <c r="S1046" i="2"/>
  <c r="S1045" i="2"/>
  <c r="U1045" i="2"/>
  <c r="V1045" i="2" s="1"/>
  <c r="U1044" i="2"/>
  <c r="V1044" i="2" s="1"/>
  <c r="S1044" i="2"/>
  <c r="U1043" i="2"/>
  <c r="V1043" i="2" s="1"/>
  <c r="S1043" i="2"/>
  <c r="S1042" i="2"/>
  <c r="U1042" i="2"/>
  <c r="V1042" i="2" s="1"/>
  <c r="U1041" i="2"/>
  <c r="V1041" i="2" s="1"/>
  <c r="S1041" i="2"/>
  <c r="S1040" i="2"/>
  <c r="U1040" i="2"/>
  <c r="V1040" i="2" s="1"/>
  <c r="U1039" i="2"/>
  <c r="V1039" i="2" s="1"/>
  <c r="S1039" i="2"/>
  <c r="S1038" i="2"/>
  <c r="U1038" i="2"/>
  <c r="V1038" i="2" s="1"/>
  <c r="U1037" i="2"/>
  <c r="V1037" i="2" s="1"/>
  <c r="S1037" i="2"/>
  <c r="U1036" i="2"/>
  <c r="V1036" i="2" s="1"/>
  <c r="S1036" i="2"/>
  <c r="V1035" i="2"/>
  <c r="U1035" i="2"/>
  <c r="S1035" i="2"/>
  <c r="U1034" i="2"/>
  <c r="V1034" i="2"/>
  <c r="S1034" i="2"/>
  <c r="V1033" i="2"/>
  <c r="U1033" i="2"/>
  <c r="S1033" i="2"/>
  <c r="V1032" i="2"/>
  <c r="U1032" i="2"/>
  <c r="S1032" i="2"/>
  <c r="V1031" i="2"/>
  <c r="U1031" i="2"/>
  <c r="S1031" i="2"/>
  <c r="V1030" i="2"/>
  <c r="U1030" i="2"/>
  <c r="S1030" i="2"/>
  <c r="V1029" i="2"/>
  <c r="U1029" i="2"/>
  <c r="S1029" i="2"/>
  <c r="S1028" i="2"/>
  <c r="U1028" i="2"/>
  <c r="V1028" i="2"/>
  <c r="S1027" i="2"/>
  <c r="U1027" i="2"/>
  <c r="V1027" i="2"/>
  <c r="V1026" i="2"/>
  <c r="U1026" i="2"/>
  <c r="S1026" i="2"/>
  <c r="V1025" i="2"/>
  <c r="U1025" i="2"/>
  <c r="S1025" i="2"/>
  <c r="S1024" i="2"/>
  <c r="U1024" i="2"/>
  <c r="V1024" i="2"/>
  <c r="S1023" i="2"/>
  <c r="V1023" i="2"/>
  <c r="U1023" i="2"/>
  <c r="S1022" i="2"/>
  <c r="U1022" i="2"/>
  <c r="V1022" i="2"/>
  <c r="U1021" i="2"/>
  <c r="V1021" i="2"/>
  <c r="S1021" i="2"/>
  <c r="V1020" i="2"/>
  <c r="U1020" i="2"/>
  <c r="S1020" i="2"/>
  <c r="S1019" i="2"/>
  <c r="V1019" i="2"/>
  <c r="U1019" i="2"/>
  <c r="U1018" i="2"/>
  <c r="V1018" i="2"/>
  <c r="S1018" i="2"/>
  <c r="U1017" i="2"/>
  <c r="V1017" i="2"/>
  <c r="S1017" i="2"/>
  <c r="V1016" i="2"/>
  <c r="U1016" i="2"/>
  <c r="S1016" i="2"/>
  <c r="U1015" i="2"/>
  <c r="S1015" i="2"/>
  <c r="V1015" i="2"/>
  <c r="V1014" i="2"/>
  <c r="U1014" i="2"/>
  <c r="S1014" i="2"/>
  <c r="U1013" i="2"/>
  <c r="S1013" i="2"/>
  <c r="V1013" i="2"/>
  <c r="V1012" i="2"/>
  <c r="U1012" i="2"/>
  <c r="S1012" i="2"/>
  <c r="V1011" i="2"/>
  <c r="U1011" i="2"/>
  <c r="S1011" i="2"/>
  <c r="V1010" i="2"/>
  <c r="U1010" i="2"/>
  <c r="S1010" i="2"/>
  <c r="S1009" i="2"/>
  <c r="U1009" i="2"/>
  <c r="V1009" i="2"/>
  <c r="S1008" i="2"/>
  <c r="U1008" i="2"/>
  <c r="V1008" i="2"/>
  <c r="V1007" i="2"/>
  <c r="U1007" i="2"/>
  <c r="S1007" i="2"/>
  <c r="V1006" i="2"/>
  <c r="U1006" i="2"/>
  <c r="S1006" i="2"/>
  <c r="V1005" i="2"/>
  <c r="U1005" i="2"/>
  <c r="S1005" i="2"/>
  <c r="V1004" i="2"/>
  <c r="U1004" i="2"/>
  <c r="S1004" i="2"/>
  <c r="S1003" i="2"/>
  <c r="U1003" i="2"/>
  <c r="V1003" i="2"/>
  <c r="U1002" i="2"/>
  <c r="V1002" i="2"/>
  <c r="S1002" i="2"/>
  <c r="U1001" i="2"/>
  <c r="S1001" i="2"/>
  <c r="V1001" i="2"/>
  <c r="V1000" i="2"/>
  <c r="U1000" i="2"/>
  <c r="S1000" i="2"/>
  <c r="U999" i="2"/>
  <c r="V999" i="2"/>
  <c r="S999" i="2"/>
  <c r="V998" i="2"/>
  <c r="U998" i="2"/>
  <c r="S998" i="2"/>
  <c r="V997" i="2"/>
  <c r="U997" i="2"/>
  <c r="S997" i="2"/>
  <c r="U996" i="2"/>
  <c r="S996" i="2"/>
  <c r="V996" i="2"/>
  <c r="U995" i="2"/>
  <c r="V995" i="2"/>
  <c r="S995" i="2"/>
  <c r="V994" i="2"/>
  <c r="U994" i="2"/>
  <c r="S994" i="2"/>
  <c r="V993" i="2"/>
  <c r="U993" i="2"/>
  <c r="S993" i="2"/>
  <c r="V992" i="2"/>
  <c r="U992" i="2"/>
  <c r="S992" i="2"/>
  <c r="V991" i="2"/>
  <c r="U991" i="2"/>
  <c r="S991" i="2"/>
  <c r="S990" i="2"/>
  <c r="U990" i="2"/>
  <c r="V990" i="2"/>
  <c r="S989" i="2"/>
  <c r="V989" i="2"/>
  <c r="U989" i="2"/>
  <c r="V988" i="2"/>
  <c r="U988" i="2"/>
  <c r="S988" i="2"/>
  <c r="V987" i="2"/>
  <c r="U987" i="2"/>
  <c r="S987" i="2"/>
  <c r="V986" i="2"/>
  <c r="U986" i="2"/>
  <c r="S986" i="2"/>
  <c r="V985" i="2"/>
  <c r="U985" i="2"/>
  <c r="S985" i="2"/>
  <c r="S984" i="2"/>
  <c r="U984" i="2"/>
  <c r="V984" i="2"/>
  <c r="S983" i="2"/>
  <c r="U983" i="2"/>
  <c r="V983" i="2"/>
  <c r="V982" i="2"/>
  <c r="U982" i="2"/>
  <c r="S982" i="2"/>
  <c r="V981" i="2"/>
  <c r="U981" i="2"/>
  <c r="S981" i="2"/>
  <c r="V980" i="2"/>
  <c r="U980" i="2"/>
  <c r="S980" i="2"/>
  <c r="S979" i="2"/>
  <c r="U979" i="2"/>
  <c r="V979" i="2"/>
  <c r="U978" i="2"/>
  <c r="V978" i="2"/>
  <c r="S978" i="2"/>
  <c r="V977" i="2"/>
  <c r="U977" i="2"/>
  <c r="S977" i="2"/>
  <c r="U976" i="2"/>
  <c r="V976" i="2"/>
  <c r="S976" i="2"/>
  <c r="S975" i="2"/>
  <c r="U975" i="2"/>
  <c r="V975" i="2"/>
  <c r="V974" i="2"/>
  <c r="U974" i="2"/>
  <c r="S974" i="2"/>
  <c r="S973" i="2"/>
  <c r="V973" i="2"/>
  <c r="U973" i="2"/>
  <c r="V972" i="2"/>
  <c r="S972" i="2"/>
  <c r="U972" i="2"/>
  <c r="U971" i="2"/>
  <c r="V971" i="2"/>
  <c r="S971" i="2"/>
  <c r="S970" i="2"/>
  <c r="V970" i="2"/>
  <c r="U970" i="2"/>
  <c r="V969" i="2"/>
  <c r="U969" i="2"/>
  <c r="S969" i="2"/>
  <c r="S968" i="2"/>
  <c r="V968" i="2"/>
  <c r="U968" i="2"/>
  <c r="V967" i="2"/>
  <c r="U967" i="2"/>
  <c r="S967" i="2"/>
  <c r="S966" i="2"/>
  <c r="V966" i="2"/>
  <c r="U966" i="2"/>
  <c r="S965" i="2"/>
  <c r="V965" i="2"/>
  <c r="U965" i="2"/>
  <c r="S964" i="2"/>
  <c r="U964" i="2"/>
  <c r="V964" i="2"/>
  <c r="V963" i="2"/>
  <c r="S963" i="2"/>
  <c r="U963" i="2"/>
  <c r="S962" i="2"/>
  <c r="V962" i="2"/>
  <c r="U962" i="2"/>
  <c r="S961" i="2"/>
  <c r="U961" i="2"/>
  <c r="V961" i="2"/>
  <c r="S960" i="2"/>
  <c r="U960" i="2"/>
  <c r="V960" i="2"/>
  <c r="V959" i="2"/>
  <c r="S959" i="2"/>
  <c r="U959" i="2"/>
  <c r="V958" i="2"/>
  <c r="U958" i="2"/>
  <c r="S958" i="2"/>
  <c r="S957" i="2"/>
  <c r="V957" i="2"/>
  <c r="U957" i="2"/>
  <c r="V956" i="2"/>
  <c r="U956" i="2"/>
  <c r="S956" i="2"/>
  <c r="V955" i="2"/>
  <c r="U955" i="2"/>
  <c r="S955" i="2"/>
  <c r="V954" i="2"/>
  <c r="U954" i="2"/>
  <c r="S954" i="2"/>
  <c r="V953" i="2"/>
  <c r="U953" i="2"/>
  <c r="S953" i="2"/>
  <c r="V952" i="2"/>
  <c r="U952" i="2"/>
  <c r="S952" i="2"/>
  <c r="V951" i="2"/>
  <c r="U951" i="2"/>
  <c r="S951" i="2"/>
  <c r="V950" i="2"/>
  <c r="U950" i="2"/>
  <c r="S950" i="2"/>
  <c r="V949" i="2"/>
  <c r="U949" i="2"/>
  <c r="S949" i="2"/>
  <c r="V948" i="2"/>
  <c r="U948" i="2"/>
  <c r="S948" i="2"/>
  <c r="V947" i="2"/>
  <c r="U947" i="2"/>
  <c r="S947" i="2"/>
  <c r="V946" i="2"/>
  <c r="U946" i="2"/>
  <c r="S946" i="2"/>
  <c r="V944" i="2"/>
  <c r="U944" i="2"/>
  <c r="S944" i="2"/>
  <c r="S943" i="2"/>
  <c r="V943" i="2"/>
  <c r="U943" i="2"/>
  <c r="U942" i="2"/>
  <c r="V942" i="2"/>
  <c r="S942" i="2"/>
  <c r="S941" i="2"/>
  <c r="U941" i="2"/>
  <c r="V941" i="2"/>
  <c r="S939" i="2"/>
  <c r="U939" i="2"/>
  <c r="V939" i="2"/>
  <c r="S938" i="2"/>
  <c r="U938" i="2"/>
  <c r="V938" i="2"/>
  <c r="V937" i="2"/>
  <c r="S937" i="2"/>
  <c r="U937" i="2"/>
  <c r="V936" i="2"/>
  <c r="S936" i="2"/>
  <c r="U936" i="2"/>
  <c r="U935" i="2"/>
  <c r="V935" i="2"/>
  <c r="S935" i="2"/>
  <c r="S934" i="2"/>
  <c r="U934" i="2"/>
  <c r="V934" i="2"/>
  <c r="S933" i="2"/>
  <c r="U933" i="2"/>
  <c r="V933" i="2"/>
  <c r="V932" i="2"/>
  <c r="U932" i="2"/>
  <c r="S932" i="2"/>
  <c r="U931" i="2"/>
  <c r="S931" i="2"/>
  <c r="V931" i="2"/>
  <c r="V930" i="2"/>
  <c r="S930" i="2"/>
  <c r="U930" i="2"/>
  <c r="S929" i="2"/>
  <c r="V929" i="2"/>
  <c r="U929" i="2"/>
  <c r="S926" i="2"/>
  <c r="V926" i="2"/>
  <c r="U926" i="2"/>
  <c r="V925" i="2"/>
  <c r="U925" i="2"/>
  <c r="S925" i="2"/>
  <c r="U924" i="2"/>
  <c r="V924" i="2"/>
  <c r="X924" i="2" s="1"/>
  <c r="A925" i="2" s="1"/>
  <c r="X925" i="2" s="1"/>
  <c r="A926" i="2" s="1"/>
  <c r="X926" i="2" s="1"/>
  <c r="A927" i="2" s="1"/>
  <c r="X927" i="2" s="1"/>
  <c r="A928" i="2" s="1"/>
  <c r="X928" i="2" s="1"/>
  <c r="A929" i="2" s="1"/>
  <c r="X929" i="2" s="1"/>
  <c r="A930" i="2" s="1"/>
  <c r="X930" i="2" s="1"/>
  <c r="A931" i="2" s="1"/>
  <c r="X931" i="2" s="1"/>
  <c r="A932" i="2" s="1"/>
  <c r="X932" i="2" s="1"/>
  <c r="A933" i="2" s="1"/>
  <c r="X933" i="2" s="1"/>
  <c r="A934" i="2" s="1"/>
  <c r="X934" i="2" s="1"/>
  <c r="A935" i="2" s="1"/>
  <c r="X935" i="2" s="1"/>
  <c r="A936" i="2" s="1"/>
  <c r="X936" i="2" s="1"/>
  <c r="A937" i="2" s="1"/>
  <c r="X937" i="2" s="1"/>
  <c r="A938" i="2" s="1"/>
  <c r="X938" i="2" s="1"/>
  <c r="A939" i="2" s="1"/>
  <c r="X939" i="2" s="1"/>
  <c r="A940" i="2" s="1"/>
  <c r="X940" i="2" s="1"/>
  <c r="A941" i="2" s="1"/>
  <c r="X941" i="2" s="1"/>
  <c r="A942" i="2" s="1"/>
  <c r="X942" i="2" s="1"/>
  <c r="A943" i="2" s="1"/>
  <c r="X943" i="2" s="1"/>
  <c r="A944" i="2" s="1"/>
  <c r="X944" i="2" s="1"/>
  <c r="A945" i="2" s="1"/>
  <c r="X945" i="2" s="1"/>
  <c r="A946" i="2" s="1"/>
  <c r="X946" i="2" s="1"/>
  <c r="A947" i="2" s="1"/>
  <c r="X947" i="2" s="1"/>
  <c r="A948" i="2" s="1"/>
  <c r="X948" i="2" s="1"/>
  <c r="A949" i="2" s="1"/>
  <c r="X949" i="2" s="1"/>
  <c r="A950" i="2" s="1"/>
  <c r="X950" i="2" s="1"/>
  <c r="A951" i="2" s="1"/>
  <c r="X951" i="2" s="1"/>
  <c r="A952" i="2" s="1"/>
  <c r="X952" i="2" s="1"/>
  <c r="A953" i="2" s="1"/>
  <c r="X953" i="2" s="1"/>
  <c r="A954" i="2" s="1"/>
  <c r="X954" i="2" s="1"/>
  <c r="A955" i="2" s="1"/>
  <c r="X955" i="2" s="1"/>
  <c r="A956" i="2" s="1"/>
  <c r="X956" i="2" s="1"/>
  <c r="A957" i="2" s="1"/>
  <c r="X957" i="2" s="1"/>
  <c r="A958" i="2" s="1"/>
  <c r="X958" i="2" s="1"/>
  <c r="A959" i="2" s="1"/>
  <c r="X959" i="2" s="1"/>
  <c r="A960" i="2" s="1"/>
  <c r="X960" i="2" s="1"/>
  <c r="A961" i="2" s="1"/>
  <c r="X961" i="2" s="1"/>
  <c r="A962" i="2" s="1"/>
  <c r="X962" i="2" s="1"/>
  <c r="A963" i="2" s="1"/>
  <c r="X963" i="2" s="1"/>
  <c r="A964" i="2" s="1"/>
  <c r="X964" i="2" s="1"/>
  <c r="A965" i="2" s="1"/>
  <c r="X965" i="2" s="1"/>
  <c r="A966" i="2" s="1"/>
  <c r="X966" i="2" s="1"/>
  <c r="A967" i="2" s="1"/>
  <c r="X967" i="2" s="1"/>
  <c r="A968" i="2" s="1"/>
  <c r="X968" i="2" s="1"/>
  <c r="A969" i="2" s="1"/>
  <c r="X969" i="2" s="1"/>
  <c r="A970" i="2" s="1"/>
  <c r="X970" i="2" s="1"/>
  <c r="A971" i="2" s="1"/>
  <c r="X971" i="2" s="1"/>
  <c r="A972" i="2" s="1"/>
  <c r="X972" i="2" s="1"/>
  <c r="A973" i="2" s="1"/>
  <c r="X973" i="2" s="1"/>
  <c r="A974" i="2" s="1"/>
  <c r="X974" i="2" s="1"/>
  <c r="A975" i="2" s="1"/>
  <c r="X975" i="2" s="1"/>
  <c r="A976" i="2" s="1"/>
  <c r="X976" i="2" s="1"/>
  <c r="A977" i="2" s="1"/>
  <c r="X977" i="2" s="1"/>
  <c r="A978" i="2" s="1"/>
  <c r="X978" i="2" s="1"/>
  <c r="A979" i="2" s="1"/>
  <c r="X979" i="2" s="1"/>
  <c r="A980" i="2" s="1"/>
  <c r="X980" i="2" s="1"/>
  <c r="A981" i="2" s="1"/>
  <c r="X981" i="2" s="1"/>
  <c r="A982" i="2" s="1"/>
  <c r="X982" i="2" s="1"/>
  <c r="A983" i="2" s="1"/>
  <c r="X983" i="2" s="1"/>
  <c r="A984" i="2" s="1"/>
  <c r="X984" i="2" s="1"/>
  <c r="A985" i="2" s="1"/>
  <c r="X985" i="2" s="1"/>
  <c r="A986" i="2" s="1"/>
  <c r="X986" i="2" s="1"/>
  <c r="A987" i="2" s="1"/>
  <c r="X987" i="2" s="1"/>
  <c r="A988" i="2" s="1"/>
  <c r="X988" i="2" s="1"/>
  <c r="A989" i="2" s="1"/>
  <c r="X989" i="2" s="1"/>
  <c r="A990" i="2" s="1"/>
  <c r="X990" i="2" s="1"/>
  <c r="A991" i="2" s="1"/>
  <c r="X991" i="2" s="1"/>
  <c r="A992" i="2" s="1"/>
  <c r="X992" i="2" s="1"/>
  <c r="A993" i="2" s="1"/>
  <c r="X993" i="2" s="1"/>
  <c r="A994" i="2" s="1"/>
  <c r="X994" i="2" s="1"/>
  <c r="A995" i="2" s="1"/>
  <c r="X995" i="2" s="1"/>
  <c r="A996" i="2" s="1"/>
  <c r="X996" i="2" s="1"/>
  <c r="A997" i="2" s="1"/>
  <c r="X997" i="2" s="1"/>
  <c r="A998" i="2" s="1"/>
  <c r="X998" i="2" s="1"/>
  <c r="A999" i="2" s="1"/>
  <c r="X999" i="2" s="1"/>
  <c r="A1000" i="2" s="1"/>
  <c r="X1000" i="2" s="1"/>
  <c r="A1001" i="2" s="1"/>
  <c r="X1001" i="2" s="1"/>
  <c r="A1002" i="2" s="1"/>
  <c r="X1002" i="2" s="1"/>
  <c r="A1003" i="2" s="1"/>
  <c r="X1003" i="2" s="1"/>
  <c r="A1004" i="2" s="1"/>
  <c r="X1004" i="2" s="1"/>
  <c r="A1005" i="2" s="1"/>
  <c r="X1005" i="2" s="1"/>
  <c r="A1006" i="2" s="1"/>
  <c r="X1006" i="2" s="1"/>
  <c r="A1007" i="2" s="1"/>
  <c r="X1007" i="2" s="1"/>
  <c r="A1008" i="2" s="1"/>
  <c r="X1008" i="2" s="1"/>
  <c r="A1009" i="2" s="1"/>
  <c r="X1009" i="2" s="1"/>
  <c r="A1010" i="2" s="1"/>
  <c r="X1010" i="2" s="1"/>
  <c r="A1011" i="2" s="1"/>
  <c r="X1011" i="2" s="1"/>
  <c r="A1012" i="2" s="1"/>
  <c r="X1012" i="2" s="1"/>
  <c r="A1013" i="2" s="1"/>
  <c r="X1013" i="2" s="1"/>
  <c r="A1014" i="2" s="1"/>
  <c r="X1014" i="2" s="1"/>
  <c r="A1015" i="2" s="1"/>
  <c r="X1015" i="2" s="1"/>
  <c r="A1016" i="2" s="1"/>
  <c r="X1016" i="2" s="1"/>
  <c r="A1017" i="2" s="1"/>
  <c r="X1017" i="2" s="1"/>
  <c r="A1018" i="2" s="1"/>
  <c r="X1018" i="2" s="1"/>
  <c r="A1019" i="2" s="1"/>
  <c r="X1019" i="2" s="1"/>
  <c r="A1020" i="2" s="1"/>
  <c r="X1020" i="2" s="1"/>
  <c r="A1021" i="2" s="1"/>
  <c r="X1021" i="2" s="1"/>
  <c r="A1022" i="2" s="1"/>
  <c r="X1022" i="2" s="1"/>
  <c r="A1023" i="2" s="1"/>
  <c r="X1023" i="2" s="1"/>
  <c r="A1024" i="2" s="1"/>
  <c r="X1024" i="2" s="1"/>
  <c r="A1025" i="2" s="1"/>
  <c r="X1025" i="2" s="1"/>
  <c r="A1026" i="2" s="1"/>
  <c r="X1026" i="2" s="1"/>
  <c r="A1027" i="2" s="1"/>
  <c r="X1027" i="2" s="1"/>
  <c r="A1028" i="2" s="1"/>
  <c r="X1028" i="2" s="1"/>
  <c r="A1029" i="2" s="1"/>
  <c r="X1029" i="2" s="1"/>
  <c r="A1030" i="2" s="1"/>
  <c r="X1030" i="2" s="1"/>
  <c r="A1031" i="2" s="1"/>
  <c r="X1031" i="2" s="1"/>
  <c r="A1032" i="2" s="1"/>
  <c r="X1032" i="2" s="1"/>
  <c r="A1033" i="2" s="1"/>
  <c r="X1033" i="2" s="1"/>
  <c r="A1034" i="2" s="1"/>
  <c r="X1034" i="2" s="1"/>
  <c r="A1035" i="2" s="1"/>
  <c r="X1035" i="2" s="1"/>
  <c r="A1036" i="2" s="1"/>
  <c r="S924" i="2"/>
  <c r="U920" i="2"/>
  <c r="V920" i="2" s="1"/>
  <c r="S920" i="2"/>
  <c r="U919" i="2"/>
  <c r="V919" i="2" s="1"/>
  <c r="S919" i="2"/>
  <c r="S918" i="2"/>
  <c r="U918" i="2"/>
  <c r="V918" i="2" s="1"/>
  <c r="U917" i="2"/>
  <c r="V917" i="2" s="1"/>
  <c r="S917" i="2"/>
  <c r="S916" i="2"/>
  <c r="U916" i="2"/>
  <c r="V916" i="2" s="1"/>
  <c r="U915" i="2"/>
  <c r="V915" i="2" s="1"/>
  <c r="S915" i="2"/>
  <c r="S914" i="2"/>
  <c r="U914" i="2"/>
  <c r="V914" i="2" s="1"/>
  <c r="S913" i="2"/>
  <c r="U913" i="2"/>
  <c r="V913" i="2" s="1"/>
  <c r="S912" i="2"/>
  <c r="U912" i="2"/>
  <c r="V912" i="2" s="1"/>
  <c r="U911" i="2"/>
  <c r="V911" i="2" s="1"/>
  <c r="S911" i="2"/>
  <c r="U910" i="2"/>
  <c r="V910" i="2" s="1"/>
  <c r="S910" i="2"/>
  <c r="S909" i="2"/>
  <c r="U909" i="2"/>
  <c r="V909" i="2" s="1"/>
  <c r="S908" i="2"/>
  <c r="U908" i="2"/>
  <c r="V908" i="2" s="1"/>
  <c r="U907" i="2"/>
  <c r="V907" i="2" s="1"/>
  <c r="S907" i="2"/>
  <c r="U906" i="2"/>
  <c r="V906" i="2" s="1"/>
  <c r="S906" i="2"/>
  <c r="S905" i="2"/>
  <c r="U905" i="2"/>
  <c r="V905" i="2" s="1"/>
  <c r="S904" i="2"/>
  <c r="U904" i="2"/>
  <c r="V904" i="2" s="1"/>
  <c r="S903" i="2"/>
  <c r="U903" i="2"/>
  <c r="V903" i="2" s="1"/>
  <c r="S902" i="2"/>
  <c r="U902" i="2"/>
  <c r="V902" i="2" s="1"/>
  <c r="S901" i="2"/>
  <c r="U901" i="2"/>
  <c r="V901" i="2" s="1"/>
  <c r="U900" i="2"/>
  <c r="V900" i="2"/>
  <c r="S900" i="2"/>
  <c r="S899" i="2"/>
  <c r="U899" i="2"/>
  <c r="V899" i="2"/>
  <c r="S898" i="2"/>
  <c r="U898" i="2"/>
  <c r="V898" i="2"/>
  <c r="S897" i="2"/>
  <c r="V897" i="2"/>
  <c r="U897" i="2"/>
  <c r="V896" i="2"/>
  <c r="U896" i="2"/>
  <c r="S896" i="2"/>
  <c r="V895" i="2"/>
  <c r="U895" i="2"/>
  <c r="S895" i="2"/>
  <c r="S894" i="2"/>
  <c r="V894" i="2"/>
  <c r="U894" i="2"/>
  <c r="S893" i="2"/>
  <c r="U893" i="2"/>
  <c r="V893" i="2"/>
  <c r="S892" i="2"/>
  <c r="U892" i="2"/>
  <c r="V892" i="2"/>
  <c r="S891" i="2"/>
  <c r="U891" i="2"/>
  <c r="V891" i="2"/>
  <c r="S890" i="2"/>
  <c r="U890" i="2"/>
  <c r="V890" i="2"/>
  <c r="S889" i="2"/>
  <c r="U889" i="2"/>
  <c r="V889" i="2"/>
  <c r="V888" i="2"/>
  <c r="S888" i="2"/>
  <c r="U888" i="2"/>
  <c r="S887" i="2"/>
  <c r="U887" i="2"/>
  <c r="V887" i="2"/>
  <c r="V886" i="2"/>
  <c r="U886" i="2"/>
  <c r="S886" i="2"/>
  <c r="V885" i="2"/>
  <c r="S885" i="2"/>
  <c r="U885" i="2"/>
  <c r="V884" i="2"/>
  <c r="U884" i="2"/>
  <c r="S884" i="2"/>
  <c r="V883" i="2"/>
  <c r="U883" i="2"/>
  <c r="S883" i="2"/>
  <c r="V882" i="2"/>
  <c r="U882" i="2"/>
  <c r="S882" i="2"/>
  <c r="U881" i="2"/>
  <c r="S881" i="2"/>
  <c r="V881" i="2"/>
  <c r="U880" i="2"/>
  <c r="V880" i="2"/>
  <c r="S880" i="2"/>
  <c r="V879" i="2"/>
  <c r="S879" i="2"/>
  <c r="U879" i="2"/>
  <c r="S878" i="2"/>
  <c r="U878" i="2"/>
  <c r="V878" i="2"/>
  <c r="V877" i="2"/>
  <c r="U877" i="2"/>
  <c r="S877" i="2"/>
  <c r="U876" i="2"/>
  <c r="S876" i="2"/>
  <c r="V876" i="2"/>
  <c r="S875" i="2"/>
  <c r="V875" i="2"/>
  <c r="U875" i="2"/>
  <c r="V874" i="2"/>
  <c r="U874" i="2"/>
  <c r="S874" i="2"/>
  <c r="V873" i="2"/>
  <c r="U873" i="2"/>
  <c r="S873" i="2"/>
  <c r="V872" i="2"/>
  <c r="U872" i="2"/>
  <c r="S872" i="2"/>
  <c r="V871" i="2"/>
  <c r="U871" i="2"/>
  <c r="S871" i="2"/>
  <c r="V870" i="2"/>
  <c r="U870" i="2"/>
  <c r="S870" i="2"/>
  <c r="S869" i="2"/>
  <c r="V869" i="2"/>
  <c r="U869" i="2"/>
  <c r="S868" i="2"/>
  <c r="U868" i="2"/>
  <c r="V868" i="2"/>
  <c r="S867" i="2"/>
  <c r="U867" i="2"/>
  <c r="V867" i="2"/>
  <c r="S866" i="2"/>
  <c r="U866" i="2"/>
  <c r="V866" i="2"/>
  <c r="S865" i="2"/>
  <c r="U865" i="2"/>
  <c r="V865" i="2"/>
  <c r="S864" i="2"/>
  <c r="U864" i="2"/>
  <c r="V864" i="2"/>
  <c r="S863" i="2"/>
  <c r="U863" i="2"/>
  <c r="V863" i="2"/>
  <c r="S862" i="2"/>
  <c r="U862" i="2"/>
  <c r="V862" i="2"/>
  <c r="V861" i="2"/>
  <c r="S861" i="2"/>
  <c r="U861" i="2"/>
  <c r="S860" i="2"/>
  <c r="V860" i="2"/>
  <c r="U860" i="2"/>
  <c r="S859" i="2"/>
  <c r="V859" i="2"/>
  <c r="U859" i="2"/>
  <c r="U858" i="2"/>
  <c r="S858" i="2"/>
  <c r="V858" i="2"/>
  <c r="V857" i="2"/>
  <c r="U857" i="2"/>
  <c r="S857" i="2"/>
  <c r="U856" i="2"/>
  <c r="S856" i="2"/>
  <c r="V856" i="2"/>
  <c r="V855" i="2"/>
  <c r="S855" i="2"/>
  <c r="U855" i="2"/>
  <c r="S854" i="2"/>
  <c r="V854" i="2"/>
  <c r="U854" i="2"/>
  <c r="V853" i="2"/>
  <c r="U853" i="2"/>
  <c r="S853" i="2"/>
  <c r="U852" i="2"/>
  <c r="S852" i="2"/>
  <c r="V852" i="2"/>
  <c r="V851" i="2"/>
  <c r="U851" i="2"/>
  <c r="S851" i="2"/>
  <c r="U850" i="2"/>
  <c r="V850" i="2"/>
  <c r="S850" i="2"/>
  <c r="S849" i="2"/>
  <c r="V849" i="2"/>
  <c r="U849" i="2"/>
  <c r="U848" i="2"/>
  <c r="V848" i="2"/>
  <c r="S848" i="2"/>
  <c r="S847" i="2"/>
  <c r="U847" i="2"/>
  <c r="V847" i="2"/>
  <c r="S846" i="2"/>
  <c r="U846" i="2"/>
  <c r="V846" i="2"/>
  <c r="U845" i="2"/>
  <c r="S845" i="2"/>
  <c r="V845" i="2"/>
  <c r="S844" i="2"/>
  <c r="V844" i="2"/>
  <c r="U843" i="2"/>
  <c r="V843" i="2"/>
  <c r="S843" i="2"/>
  <c r="U842" i="2"/>
  <c r="V842" i="2"/>
  <c r="S842" i="2"/>
  <c r="S841" i="2"/>
  <c r="V841" i="2"/>
  <c r="U841" i="2"/>
  <c r="V840" i="2"/>
  <c r="S840" i="2"/>
  <c r="U840" i="2"/>
  <c r="S839" i="2"/>
  <c r="U839" i="2"/>
  <c r="V839" i="2"/>
  <c r="V838" i="2"/>
  <c r="S838" i="2"/>
  <c r="U838" i="2"/>
  <c r="V837" i="2"/>
  <c r="U837" i="2"/>
  <c r="S837" i="2"/>
  <c r="S836" i="2"/>
  <c r="U836" i="2"/>
  <c r="V836" i="2"/>
  <c r="V835" i="2"/>
  <c r="U835" i="2"/>
  <c r="S835" i="2"/>
  <c r="U834" i="2"/>
  <c r="V834" i="2"/>
  <c r="S834" i="2"/>
  <c r="U833" i="2"/>
  <c r="S833" i="2"/>
  <c r="V833" i="2"/>
  <c r="S832" i="2"/>
  <c r="V832" i="2"/>
  <c r="U832" i="2"/>
  <c r="S831" i="2"/>
  <c r="U831" i="2"/>
  <c r="V831" i="2"/>
  <c r="U830" i="2"/>
  <c r="V830" i="2"/>
  <c r="S830" i="2"/>
  <c r="S829" i="2"/>
  <c r="V829" i="2"/>
  <c r="U829" i="2"/>
  <c r="V828" i="2"/>
  <c r="U828" i="2"/>
  <c r="S828" i="2"/>
  <c r="U827" i="2"/>
  <c r="V827" i="2"/>
  <c r="S827" i="2"/>
  <c r="U826" i="2"/>
  <c r="V826" i="2"/>
  <c r="S826" i="2"/>
  <c r="V825" i="2"/>
  <c r="U825" i="2"/>
  <c r="S825" i="2"/>
  <c r="V824" i="2"/>
  <c r="S824" i="2"/>
  <c r="U824" i="2"/>
  <c r="U823" i="2"/>
  <c r="V823" i="2"/>
  <c r="S823" i="2"/>
  <c r="V822" i="2"/>
  <c r="S822" i="2"/>
  <c r="U822" i="2"/>
  <c r="S821" i="2"/>
  <c r="U821" i="2"/>
  <c r="V821" i="2"/>
  <c r="S820" i="2"/>
  <c r="V820" i="2"/>
  <c r="U820" i="2"/>
  <c r="S819" i="2"/>
  <c r="V819" i="2"/>
  <c r="U819" i="2"/>
  <c r="U818" i="2"/>
  <c r="S818" i="2"/>
  <c r="V818" i="2"/>
  <c r="U817" i="2"/>
  <c r="V817" i="2"/>
  <c r="S817" i="2"/>
  <c r="V816" i="2"/>
  <c r="U816" i="2"/>
  <c r="S816" i="2"/>
  <c r="U815" i="2"/>
  <c r="S815" i="2"/>
  <c r="V815" i="2"/>
  <c r="U814" i="2"/>
  <c r="S814" i="2"/>
  <c r="V814" i="2"/>
  <c r="S813" i="2"/>
  <c r="U813" i="2"/>
  <c r="V813" i="2"/>
  <c r="V812" i="2"/>
  <c r="S812" i="2"/>
  <c r="U812" i="2"/>
  <c r="V811" i="2"/>
  <c r="S811" i="2"/>
  <c r="U811" i="2"/>
  <c r="V810" i="2"/>
  <c r="S810" i="2"/>
  <c r="U810" i="2"/>
  <c r="S809" i="2"/>
  <c r="V809" i="2"/>
  <c r="U809" i="2"/>
  <c r="V808" i="2"/>
  <c r="S808" i="2"/>
  <c r="S807" i="2"/>
  <c r="U807" i="2"/>
  <c r="V807" i="2"/>
  <c r="S806" i="2"/>
  <c r="V806" i="2"/>
  <c r="U806" i="2"/>
  <c r="V805" i="2"/>
  <c r="U805" i="2"/>
  <c r="S805" i="2"/>
  <c r="U804" i="2"/>
  <c r="V804" i="2"/>
  <c r="S804" i="2"/>
  <c r="S803" i="2"/>
  <c r="U803" i="2"/>
  <c r="V803" i="2"/>
  <c r="S802" i="2"/>
  <c r="U802" i="2"/>
  <c r="V802" i="2"/>
  <c r="S801" i="2"/>
  <c r="V801" i="2"/>
  <c r="U801" i="2"/>
  <c r="U800" i="2"/>
  <c r="V800" i="2"/>
  <c r="S800" i="2"/>
  <c r="U799" i="2"/>
  <c r="S799" i="2"/>
  <c r="V799" i="2"/>
  <c r="V798" i="2"/>
  <c r="U798" i="2"/>
  <c r="S798" i="2"/>
  <c r="V797" i="2"/>
  <c r="U797" i="2"/>
  <c r="U796" i="2"/>
  <c r="V796" i="2"/>
  <c r="U795" i="2"/>
  <c r="V795" i="2"/>
  <c r="U794" i="2"/>
  <c r="V794" i="2"/>
  <c r="S794" i="2"/>
  <c r="U793" i="2"/>
  <c r="S793" i="2"/>
  <c r="V793" i="2"/>
  <c r="U792" i="2"/>
  <c r="V792" i="2"/>
  <c r="S792" i="2"/>
  <c r="V791" i="2"/>
  <c r="U791" i="2"/>
  <c r="S791" i="2"/>
  <c r="U790" i="2"/>
  <c r="V790" i="2"/>
  <c r="S790" i="2"/>
  <c r="V789" i="2"/>
  <c r="S789" i="2"/>
  <c r="U789" i="2"/>
  <c r="V788" i="2"/>
  <c r="U788" i="2"/>
  <c r="S788" i="2"/>
  <c r="U787" i="2"/>
  <c r="V787" i="2"/>
  <c r="S787" i="2"/>
  <c r="V786" i="2"/>
  <c r="U786" i="2"/>
  <c r="S786" i="2"/>
  <c r="S785" i="2"/>
  <c r="V785" i="2"/>
  <c r="U785" i="2"/>
  <c r="V784" i="2"/>
  <c r="U784" i="2"/>
  <c r="S784" i="2"/>
  <c r="V783" i="2"/>
  <c r="S783" i="2"/>
  <c r="U783" i="2"/>
  <c r="U782" i="2"/>
  <c r="S782" i="2"/>
  <c r="V782" i="2"/>
  <c r="S781" i="2"/>
  <c r="U781" i="2"/>
  <c r="V781" i="2"/>
  <c r="U780" i="2"/>
  <c r="S780" i="2"/>
  <c r="V780" i="2"/>
  <c r="S779" i="2"/>
  <c r="U779" i="2"/>
  <c r="V779" i="2"/>
  <c r="S778" i="2"/>
  <c r="U778" i="2"/>
  <c r="V778" i="2"/>
  <c r="S777" i="2"/>
  <c r="V777" i="2"/>
  <c r="U777" i="2"/>
  <c r="U776" i="2"/>
  <c r="S776" i="2"/>
  <c r="V776" i="2"/>
  <c r="U775" i="2"/>
  <c r="V775" i="2"/>
  <c r="S775" i="2"/>
  <c r="V774" i="2"/>
  <c r="U774" i="2"/>
  <c r="U773" i="2"/>
  <c r="V773" i="2"/>
  <c r="V772" i="2"/>
  <c r="U772" i="2"/>
  <c r="U771" i="2"/>
  <c r="V771" i="2"/>
  <c r="V770" i="2"/>
  <c r="U770" i="2"/>
  <c r="S768" i="2"/>
  <c r="V768" i="2"/>
  <c r="U768" i="2"/>
  <c r="S767" i="2"/>
  <c r="U767" i="2"/>
  <c r="V767" i="2"/>
  <c r="U766" i="2"/>
  <c r="V766" i="2"/>
  <c r="S766" i="2"/>
  <c r="V765" i="2"/>
  <c r="U765" i="2"/>
  <c r="S765" i="2"/>
  <c r="V764" i="2"/>
  <c r="U764" i="2"/>
  <c r="S764" i="2"/>
  <c r="S763" i="2"/>
  <c r="V763" i="2"/>
  <c r="U763" i="2"/>
  <c r="U762" i="2"/>
  <c r="S762" i="2"/>
  <c r="V762" i="2"/>
  <c r="U761" i="2"/>
  <c r="S761" i="2"/>
  <c r="V761" i="2"/>
  <c r="S760" i="2"/>
  <c r="U760" i="2"/>
  <c r="V760" i="2"/>
  <c r="S759" i="2"/>
  <c r="V759" i="2"/>
  <c r="U759" i="2"/>
  <c r="V756" i="2"/>
  <c r="S756" i="2"/>
  <c r="U756" i="2"/>
  <c r="U755" i="2"/>
  <c r="V755" i="2"/>
  <c r="S755" i="2"/>
  <c r="S750" i="2"/>
  <c r="U750" i="2"/>
  <c r="V750" i="2"/>
  <c r="V749" i="2"/>
  <c r="S749" i="2"/>
  <c r="U749" i="2"/>
  <c r="S741" i="2"/>
  <c r="U741" i="2"/>
  <c r="V741" i="2"/>
  <c r="U739" i="2"/>
  <c r="S739" i="2"/>
  <c r="V739" i="2"/>
  <c r="S738" i="2"/>
  <c r="V738" i="2"/>
  <c r="U738" i="2"/>
  <c r="U737" i="2"/>
  <c r="V737" i="2"/>
  <c r="S737" i="2"/>
  <c r="U736" i="2"/>
  <c r="V736" i="2"/>
  <c r="X736" i="2" s="1"/>
  <c r="A737" i="2" s="1"/>
  <c r="X737" i="2" s="1"/>
  <c r="A738" i="2" s="1"/>
  <c r="X738" i="2" s="1"/>
  <c r="A739" i="2" s="1"/>
  <c r="X739" i="2" s="1"/>
  <c r="S736" i="2"/>
  <c r="U732" i="2"/>
  <c r="V732" i="2" s="1"/>
  <c r="S732" i="2"/>
  <c r="S731" i="2"/>
  <c r="U731" i="2"/>
  <c r="V731" i="2" s="1"/>
  <c r="S730" i="2"/>
  <c r="U730" i="2"/>
  <c r="V730" i="2" s="1"/>
  <c r="S729" i="2"/>
  <c r="U729" i="2"/>
  <c r="V729" i="2" s="1"/>
  <c r="S728" i="2"/>
  <c r="U728" i="2"/>
  <c r="V728" i="2" s="1"/>
  <c r="S727" i="2"/>
  <c r="U727" i="2"/>
  <c r="V727" i="2" s="1"/>
  <c r="S725" i="2"/>
  <c r="V725" i="2"/>
  <c r="U725" i="2"/>
  <c r="U724" i="2"/>
  <c r="V724" i="2" s="1"/>
  <c r="S724" i="2"/>
  <c r="U723" i="2"/>
  <c r="V723" i="2" s="1"/>
  <c r="S723" i="2"/>
  <c r="U722" i="2"/>
  <c r="S722" i="2"/>
  <c r="V722" i="2"/>
  <c r="U721" i="2"/>
  <c r="V721" i="2"/>
  <c r="V720" i="2"/>
  <c r="U720" i="2"/>
  <c r="S719" i="2"/>
  <c r="U719" i="2"/>
  <c r="V719" i="2"/>
  <c r="V718" i="2"/>
  <c r="S718" i="2"/>
  <c r="U718" i="2"/>
  <c r="V717" i="2"/>
  <c r="U717" i="2"/>
  <c r="S717" i="2"/>
  <c r="U716" i="2"/>
  <c r="S716" i="2"/>
  <c r="V716" i="2"/>
  <c r="V715" i="2"/>
  <c r="U715" i="2"/>
  <c r="S715" i="2"/>
  <c r="U714" i="2"/>
  <c r="V714" i="2"/>
  <c r="S714" i="2"/>
  <c r="V713" i="2"/>
  <c r="S713" i="2"/>
  <c r="U713" i="2"/>
  <c r="U711" i="2"/>
  <c r="S711" i="2"/>
  <c r="V711" i="2"/>
  <c r="V710" i="2"/>
  <c r="S710" i="2"/>
  <c r="U710" i="2"/>
  <c r="V709" i="2"/>
  <c r="S709" i="2"/>
  <c r="U709" i="2"/>
  <c r="S708" i="2"/>
  <c r="V708" i="2"/>
  <c r="U708" i="2"/>
  <c r="V707" i="2"/>
  <c r="S707" i="2"/>
  <c r="U706" i="2"/>
  <c r="S706" i="2"/>
  <c r="V706" i="2"/>
  <c r="U705" i="2"/>
  <c r="V705" i="2"/>
  <c r="S705" i="2"/>
  <c r="S704" i="2"/>
  <c r="V704" i="2"/>
  <c r="U704" i="2"/>
  <c r="S703" i="2"/>
  <c r="V703" i="2"/>
  <c r="U703" i="2"/>
  <c r="S702" i="2"/>
  <c r="V702" i="2"/>
  <c r="U702" i="2"/>
  <c r="V701" i="2"/>
  <c r="S701" i="2"/>
  <c r="U701" i="2"/>
  <c r="V700" i="2"/>
  <c r="U700" i="2"/>
  <c r="S700" i="2"/>
  <c r="S699" i="2"/>
  <c r="V699" i="2"/>
  <c r="U699" i="2"/>
  <c r="S698" i="2"/>
  <c r="V698" i="2"/>
  <c r="U698" i="2"/>
  <c r="U697" i="2"/>
  <c r="V697" i="2"/>
  <c r="S697" i="2"/>
  <c r="V696" i="2"/>
  <c r="S696" i="2"/>
  <c r="U696" i="2"/>
  <c r="S695" i="2"/>
  <c r="U695" i="2"/>
  <c r="V695" i="2"/>
  <c r="V694" i="2"/>
  <c r="S694" i="2"/>
  <c r="U694" i="2"/>
  <c r="U693" i="2"/>
  <c r="V693" i="2"/>
  <c r="S693" i="2"/>
  <c r="S692" i="2"/>
  <c r="U692" i="2"/>
  <c r="V692" i="2"/>
  <c r="V691" i="2"/>
  <c r="S691" i="2"/>
  <c r="U691" i="2"/>
  <c r="U690" i="2"/>
  <c r="S690" i="2"/>
  <c r="V690" i="2"/>
  <c r="V689" i="2"/>
  <c r="S689" i="2"/>
  <c r="U689" i="2"/>
  <c r="S688" i="2"/>
  <c r="V688" i="2"/>
  <c r="U688" i="2"/>
  <c r="V687" i="2"/>
  <c r="U687" i="2"/>
  <c r="S687" i="2"/>
  <c r="V686" i="2"/>
  <c r="S686" i="2"/>
  <c r="U686" i="2"/>
  <c r="S685" i="2"/>
  <c r="V685" i="2"/>
  <c r="U685" i="2"/>
  <c r="V684" i="2"/>
  <c r="S684" i="2"/>
  <c r="U684" i="2"/>
  <c r="U683" i="2"/>
  <c r="V683" i="2"/>
  <c r="S683" i="2"/>
  <c r="S682" i="2"/>
  <c r="V682" i="2"/>
  <c r="U682" i="2"/>
  <c r="V681" i="2"/>
  <c r="U681" i="2"/>
  <c r="S681" i="2"/>
  <c r="S680" i="2"/>
  <c r="V680" i="2"/>
  <c r="U680" i="2"/>
  <c r="U679" i="2"/>
  <c r="S679" i="2"/>
  <c r="V679" i="2"/>
  <c r="V678" i="2"/>
  <c r="U678" i="2"/>
  <c r="S678" i="2"/>
  <c r="S677" i="2"/>
  <c r="U677" i="2"/>
  <c r="V677" i="2"/>
  <c r="S676" i="2"/>
  <c r="V676" i="2"/>
  <c r="U676" i="2"/>
  <c r="S675" i="2"/>
  <c r="V675" i="2"/>
  <c r="U675" i="2"/>
  <c r="V674" i="2"/>
  <c r="U674" i="2"/>
  <c r="S674" i="2"/>
  <c r="S673" i="2"/>
  <c r="V673" i="2"/>
  <c r="U673" i="2"/>
  <c r="V672" i="2"/>
  <c r="S672" i="2"/>
  <c r="U672" i="2"/>
  <c r="U671" i="2"/>
  <c r="S671" i="2"/>
  <c r="V671" i="2"/>
  <c r="U670" i="2"/>
  <c r="S670" i="2"/>
  <c r="V670" i="2"/>
  <c r="U669" i="2"/>
  <c r="S669" i="2"/>
  <c r="V669" i="2"/>
  <c r="U668" i="2"/>
  <c r="V668" i="2"/>
  <c r="U667" i="2"/>
  <c r="V667" i="2"/>
  <c r="S667" i="2"/>
  <c r="U666" i="2"/>
  <c r="S666" i="2"/>
  <c r="V666" i="2"/>
  <c r="V665" i="2"/>
  <c r="U665" i="2"/>
  <c r="S665" i="2"/>
  <c r="U664" i="2"/>
  <c r="S664" i="2"/>
  <c r="V664" i="2"/>
  <c r="V663" i="2"/>
  <c r="U663" i="2"/>
  <c r="S663" i="2"/>
  <c r="U662" i="2"/>
  <c r="S662" i="2"/>
  <c r="V662" i="2"/>
  <c r="U661" i="2"/>
  <c r="S661" i="2"/>
  <c r="V661" i="2"/>
  <c r="U660" i="2"/>
  <c r="S660" i="2"/>
  <c r="V660" i="2"/>
  <c r="U659" i="2"/>
  <c r="S659" i="2"/>
  <c r="V659" i="2"/>
  <c r="U658" i="2"/>
  <c r="V658" i="2"/>
  <c r="S658" i="2"/>
  <c r="U656" i="2"/>
  <c r="V656" i="2"/>
  <c r="S656" i="2"/>
  <c r="S655" i="2"/>
  <c r="V655" i="2"/>
  <c r="U655" i="2"/>
  <c r="U654" i="2"/>
  <c r="V654" i="2"/>
  <c r="S654" i="2"/>
  <c r="U653" i="2"/>
  <c r="V653" i="2"/>
  <c r="S653" i="2"/>
  <c r="U652" i="2"/>
  <c r="V652" i="2"/>
  <c r="S652" i="2"/>
  <c r="U648" i="2"/>
  <c r="S648" i="2"/>
  <c r="V648" i="2"/>
  <c r="V647" i="2"/>
  <c r="S647" i="2"/>
  <c r="U647" i="2"/>
  <c r="S646" i="2"/>
  <c r="V646" i="2"/>
  <c r="U646" i="2"/>
  <c r="U642" i="2"/>
  <c r="V642" i="2"/>
  <c r="X642" i="2" s="1"/>
  <c r="A643" i="2" s="1"/>
  <c r="X643" i="2" s="1"/>
  <c r="A644" i="2" s="1"/>
  <c r="X644" i="2" s="1"/>
  <c r="A645" i="2" s="1"/>
  <c r="X645" i="2" s="1"/>
  <c r="A646" i="2" s="1"/>
  <c r="X646" i="2" s="1"/>
  <c r="A647" i="2" s="1"/>
  <c r="X647" i="2" s="1"/>
  <c r="A648" i="2" s="1"/>
  <c r="X648" i="2" s="1"/>
  <c r="A649" i="2" s="1"/>
  <c r="X649" i="2" s="1"/>
  <c r="A650" i="2" s="1"/>
  <c r="X650" i="2" s="1"/>
  <c r="A651" i="2" s="1"/>
  <c r="X651" i="2" s="1"/>
  <c r="A652" i="2" s="1"/>
  <c r="X652" i="2" s="1"/>
  <c r="A653" i="2" s="1"/>
  <c r="X653" i="2" s="1"/>
  <c r="A654" i="2" s="1"/>
  <c r="X654" i="2" s="1"/>
  <c r="A655" i="2" s="1"/>
  <c r="X655" i="2" s="1"/>
  <c r="A656" i="2" s="1"/>
  <c r="X656" i="2" s="1"/>
  <c r="A657" i="2" s="1"/>
  <c r="X657" i="2" s="1"/>
  <c r="A658" i="2" s="1"/>
  <c r="X658" i="2" s="1"/>
  <c r="A659" i="2" s="1"/>
  <c r="X659" i="2" s="1"/>
  <c r="A660" i="2" s="1"/>
  <c r="X660" i="2" s="1"/>
  <c r="A661" i="2" s="1"/>
  <c r="X661" i="2" s="1"/>
  <c r="A662" i="2" s="1"/>
  <c r="X662" i="2" s="1"/>
  <c r="A663" i="2" s="1"/>
  <c r="X663" i="2" s="1"/>
  <c r="A664" i="2" s="1"/>
  <c r="X664" i="2" s="1"/>
  <c r="A665" i="2" s="1"/>
  <c r="X665" i="2" s="1"/>
  <c r="A666" i="2" s="1"/>
  <c r="X666" i="2" s="1"/>
  <c r="A667" i="2" s="1"/>
  <c r="X667" i="2" s="1"/>
  <c r="A668" i="2" s="1"/>
  <c r="X668" i="2" s="1"/>
  <c r="A669" i="2" s="1"/>
  <c r="X669" i="2" s="1"/>
  <c r="A670" i="2" s="1"/>
  <c r="X670" i="2" s="1"/>
  <c r="A671" i="2" s="1"/>
  <c r="X671" i="2" s="1"/>
  <c r="A672" i="2" s="1"/>
  <c r="X672" i="2" s="1"/>
  <c r="A673" i="2" s="1"/>
  <c r="X673" i="2" s="1"/>
  <c r="A674" i="2" s="1"/>
  <c r="X674" i="2" s="1"/>
  <c r="A675" i="2" s="1"/>
  <c r="X675" i="2" s="1"/>
  <c r="A676" i="2" s="1"/>
  <c r="X676" i="2" s="1"/>
  <c r="A677" i="2" s="1"/>
  <c r="X677" i="2" s="1"/>
  <c r="A678" i="2" s="1"/>
  <c r="X678" i="2" s="1"/>
  <c r="S642" i="2"/>
  <c r="U639" i="2"/>
  <c r="V639" i="2" s="1"/>
  <c r="S639" i="2"/>
  <c r="U638" i="2"/>
  <c r="V638" i="2" s="1"/>
  <c r="S638" i="2"/>
  <c r="S637" i="2"/>
  <c r="U637" i="2"/>
  <c r="V637" i="2" s="1"/>
  <c r="U636" i="2"/>
  <c r="V636" i="2" s="1"/>
  <c r="S636" i="2"/>
  <c r="S635" i="2"/>
  <c r="U635" i="2"/>
  <c r="V635" i="2" s="1"/>
  <c r="U634" i="2"/>
  <c r="V634" i="2" s="1"/>
  <c r="S634" i="2"/>
  <c r="S633" i="2"/>
  <c r="U633" i="2"/>
  <c r="V633" i="2" s="1"/>
  <c r="S632" i="2"/>
  <c r="U632" i="2"/>
  <c r="V632" i="2" s="1"/>
  <c r="U631" i="2"/>
  <c r="V631" i="2" s="1"/>
  <c r="S631" i="2"/>
  <c r="U630" i="2"/>
  <c r="V630" i="2" s="1"/>
  <c r="S630" i="2"/>
  <c r="U629" i="2"/>
  <c r="V629" i="2" s="1"/>
  <c r="S629" i="2"/>
  <c r="U628" i="2"/>
  <c r="V628" i="2"/>
  <c r="S628" i="2"/>
  <c r="S627" i="2"/>
  <c r="U627" i="2"/>
  <c r="V627" i="2"/>
  <c r="U626" i="2"/>
  <c r="V626" i="2"/>
  <c r="S626" i="2"/>
  <c r="S625" i="2"/>
  <c r="U625" i="2"/>
  <c r="V625" i="2"/>
  <c r="U624" i="2"/>
  <c r="S624" i="2"/>
  <c r="V624" i="2"/>
  <c r="U623" i="2"/>
  <c r="V623" i="2"/>
  <c r="S623" i="2"/>
  <c r="U622" i="2"/>
  <c r="V622" i="2"/>
  <c r="S622" i="2"/>
  <c r="S621" i="2"/>
  <c r="U621" i="2"/>
  <c r="V621" i="2"/>
  <c r="S620" i="2"/>
  <c r="V620" i="2"/>
  <c r="U620" i="2"/>
  <c r="V619" i="2"/>
  <c r="S619" i="2"/>
  <c r="U619" i="2"/>
  <c r="S618" i="2"/>
  <c r="U618" i="2"/>
  <c r="V618" i="2"/>
  <c r="V617" i="2"/>
  <c r="U617" i="2"/>
  <c r="S617" i="2"/>
  <c r="U616" i="2"/>
  <c r="S616" i="2"/>
  <c r="V616" i="2"/>
  <c r="U615" i="2"/>
  <c r="S615" i="2"/>
  <c r="V615" i="2"/>
  <c r="V614" i="2"/>
  <c r="U614" i="2"/>
  <c r="S614" i="2"/>
  <c r="V613" i="2"/>
  <c r="S613" i="2"/>
  <c r="U613" i="2"/>
  <c r="U612" i="2"/>
  <c r="V612" i="2"/>
  <c r="S612" i="2"/>
  <c r="V611" i="2"/>
  <c r="U611" i="2"/>
  <c r="S611" i="2"/>
  <c r="U610" i="2"/>
  <c r="V610" i="2"/>
  <c r="S610" i="2"/>
  <c r="V609" i="2"/>
  <c r="S609" i="2"/>
  <c r="U609" i="2"/>
  <c r="S608" i="2"/>
  <c r="V608" i="2"/>
  <c r="U608" i="2"/>
  <c r="U607" i="2"/>
  <c r="S607" i="2"/>
  <c r="V607" i="2"/>
  <c r="S606" i="2"/>
  <c r="U606" i="2"/>
  <c r="V606" i="2"/>
  <c r="U605" i="2"/>
  <c r="V605" i="2"/>
  <c r="S605" i="2"/>
  <c r="V604" i="2"/>
  <c r="S604" i="2"/>
  <c r="U604" i="2"/>
  <c r="S603" i="2"/>
  <c r="U603" i="2"/>
  <c r="V603" i="2"/>
  <c r="V602" i="2"/>
  <c r="S602" i="2"/>
  <c r="U602" i="2"/>
  <c r="U601" i="2"/>
  <c r="S601" i="2"/>
  <c r="V601" i="2"/>
  <c r="U599" i="2"/>
  <c r="S599" i="2"/>
  <c r="V599" i="2"/>
  <c r="V598" i="2"/>
  <c r="U598" i="2"/>
  <c r="S598" i="2"/>
  <c r="U597" i="2"/>
  <c r="V597" i="2"/>
  <c r="S597" i="2"/>
  <c r="S596" i="2"/>
  <c r="U596" i="2"/>
  <c r="V596" i="2"/>
  <c r="V595" i="2"/>
  <c r="S595" i="2"/>
  <c r="U595" i="2"/>
  <c r="V594" i="2"/>
  <c r="U594" i="2"/>
  <c r="S594" i="2"/>
  <c r="U593" i="2"/>
  <c r="S593" i="2"/>
  <c r="V593" i="2"/>
  <c r="V592" i="2"/>
  <c r="S592" i="2"/>
  <c r="U592" i="2"/>
  <c r="U591" i="2"/>
  <c r="S591" i="2"/>
  <c r="V591" i="2"/>
  <c r="V590" i="2"/>
  <c r="S590" i="2"/>
  <c r="U590" i="2"/>
  <c r="S589" i="2"/>
  <c r="U589" i="2"/>
  <c r="V589" i="2"/>
  <c r="S588" i="2"/>
  <c r="V588" i="2"/>
  <c r="U588" i="2"/>
  <c r="S587" i="2"/>
  <c r="U587" i="2"/>
  <c r="V587" i="2"/>
  <c r="U586" i="2"/>
  <c r="V586" i="2"/>
  <c r="U585" i="2"/>
  <c r="V585" i="2"/>
  <c r="S585" i="2"/>
  <c r="V584" i="2"/>
  <c r="U584" i="2"/>
  <c r="S584" i="2"/>
  <c r="V583" i="2"/>
  <c r="S583" i="2"/>
  <c r="U583" i="2"/>
  <c r="U582" i="2"/>
  <c r="V582" i="2"/>
  <c r="S581" i="2"/>
  <c r="V581" i="2"/>
  <c r="U581" i="2"/>
  <c r="S580" i="2"/>
  <c r="V580" i="2"/>
  <c r="U580" i="2"/>
  <c r="V579" i="2"/>
  <c r="U579" i="2"/>
  <c r="S579" i="2"/>
  <c r="U578" i="2"/>
  <c r="V578" i="2"/>
  <c r="V577" i="2"/>
  <c r="U577" i="2"/>
  <c r="S577" i="2"/>
  <c r="S576" i="2"/>
  <c r="V576" i="2"/>
  <c r="U576" i="2"/>
  <c r="S575" i="2"/>
  <c r="V575" i="2"/>
  <c r="U575" i="2"/>
  <c r="V574" i="2"/>
  <c r="S574" i="2"/>
  <c r="U574" i="2"/>
  <c r="S573" i="2"/>
  <c r="V573" i="2"/>
  <c r="U573" i="2"/>
  <c r="U572" i="2"/>
  <c r="S572" i="2"/>
  <c r="V572" i="2"/>
  <c r="V571" i="2"/>
  <c r="U571" i="2"/>
  <c r="S571" i="2"/>
  <c r="U570" i="2"/>
  <c r="S570" i="2"/>
  <c r="V570" i="2"/>
  <c r="V569" i="2"/>
  <c r="U569" i="2"/>
  <c r="S569" i="2"/>
  <c r="U568" i="2"/>
  <c r="V568" i="2"/>
  <c r="S568" i="2"/>
  <c r="S567" i="2"/>
  <c r="U567" i="2"/>
  <c r="U566" i="2"/>
  <c r="V566" i="2"/>
  <c r="S566" i="2"/>
  <c r="U565" i="2"/>
  <c r="V565" i="2"/>
  <c r="S564" i="2"/>
  <c r="V564" i="2"/>
  <c r="U564" i="2"/>
  <c r="S563" i="2"/>
  <c r="V563" i="2"/>
  <c r="U563" i="2"/>
  <c r="V562" i="2"/>
  <c r="S562" i="2"/>
  <c r="U562" i="2"/>
  <c r="U561" i="2"/>
  <c r="V561" i="2"/>
  <c r="S561" i="2"/>
  <c r="V560" i="2"/>
  <c r="U560" i="2"/>
  <c r="U559" i="2"/>
  <c r="V559" i="2"/>
  <c r="S559" i="2"/>
  <c r="S558" i="2"/>
  <c r="V558" i="2"/>
  <c r="U558" i="2"/>
  <c r="U557" i="2"/>
  <c r="V557" i="2"/>
  <c r="S557" i="2"/>
  <c r="S556" i="2"/>
  <c r="U556" i="2"/>
  <c r="V556" i="2"/>
  <c r="V555" i="2"/>
  <c r="U555" i="2"/>
  <c r="S555" i="2"/>
  <c r="V554" i="2"/>
  <c r="U554" i="2"/>
  <c r="S554" i="2"/>
  <c r="S553" i="2"/>
  <c r="V553" i="2"/>
  <c r="U553" i="2"/>
  <c r="U552" i="2"/>
  <c r="S552" i="2"/>
  <c r="V552" i="2"/>
  <c r="S551" i="2"/>
  <c r="U551" i="2"/>
  <c r="V551" i="2"/>
  <c r="U550" i="2"/>
  <c r="S550" i="2"/>
  <c r="V550" i="2"/>
  <c r="V549" i="2"/>
  <c r="U549" i="2"/>
  <c r="S549" i="2"/>
  <c r="V548" i="2"/>
  <c r="S548" i="2"/>
  <c r="U548" i="2"/>
  <c r="U547" i="2"/>
  <c r="V547" i="2"/>
  <c r="S547" i="2"/>
  <c r="V546" i="2"/>
  <c r="U546" i="2"/>
  <c r="S546" i="2"/>
  <c r="V545" i="2"/>
  <c r="S545" i="2"/>
  <c r="U545" i="2"/>
  <c r="U544" i="2"/>
  <c r="S544" i="2"/>
  <c r="V544" i="2"/>
  <c r="U543" i="2"/>
  <c r="S543" i="2"/>
  <c r="V543" i="2"/>
  <c r="U542" i="2"/>
  <c r="V542" i="2"/>
  <c r="S542" i="2"/>
  <c r="V541" i="2"/>
  <c r="S541" i="2"/>
  <c r="U541" i="2"/>
  <c r="S540" i="2"/>
  <c r="U540" i="2"/>
  <c r="V540" i="2"/>
  <c r="U539" i="2"/>
  <c r="V539" i="2"/>
  <c r="S539" i="2"/>
  <c r="U538" i="2"/>
  <c r="S538" i="2"/>
  <c r="V538" i="2"/>
  <c r="S537" i="2"/>
  <c r="U537" i="2"/>
  <c r="V537" i="2"/>
  <c r="S536" i="2"/>
  <c r="V536" i="2"/>
  <c r="U536" i="2"/>
  <c r="S535" i="2"/>
  <c r="U535" i="2"/>
  <c r="V535" i="2"/>
  <c r="U534" i="2"/>
  <c r="S534" i="2"/>
  <c r="V534" i="2"/>
  <c r="S533" i="2"/>
  <c r="V533" i="2"/>
  <c r="U533" i="2"/>
  <c r="U532" i="2"/>
  <c r="S532" i="2"/>
  <c r="V532" i="2"/>
  <c r="S531" i="2"/>
  <c r="U531" i="2"/>
  <c r="V531" i="2"/>
  <c r="S530" i="2"/>
  <c r="U530" i="2"/>
  <c r="V530" i="2"/>
  <c r="V529" i="2"/>
  <c r="S529" i="2"/>
  <c r="U529" i="2"/>
  <c r="V528" i="2"/>
  <c r="S528" i="2"/>
  <c r="U528" i="2"/>
  <c r="U527" i="2"/>
  <c r="V527" i="2"/>
  <c r="S527" i="2"/>
  <c r="S526" i="2"/>
  <c r="V526" i="2"/>
  <c r="U526" i="2"/>
  <c r="S525" i="2"/>
  <c r="U525" i="2"/>
  <c r="V525" i="2"/>
  <c r="V524" i="2"/>
  <c r="S524" i="2"/>
  <c r="U524" i="2"/>
  <c r="V522" i="2"/>
  <c r="U522" i="2"/>
  <c r="S522" i="2"/>
  <c r="U521" i="2"/>
  <c r="V521" i="2"/>
  <c r="U520" i="2"/>
  <c r="S520" i="2"/>
  <c r="V520" i="2"/>
  <c r="V519" i="2"/>
  <c r="S519" i="2"/>
  <c r="U519" i="2"/>
  <c r="S518" i="2"/>
  <c r="V518" i="2"/>
  <c r="U518" i="2"/>
  <c r="S517" i="2"/>
  <c r="V517" i="2"/>
  <c r="U517" i="2"/>
  <c r="V516" i="2"/>
  <c r="U516" i="2"/>
  <c r="S516" i="2"/>
  <c r="U511" i="2"/>
  <c r="S511" i="2"/>
  <c r="V511" i="2"/>
  <c r="V510" i="2"/>
  <c r="U510" i="2"/>
  <c r="S510" i="2"/>
  <c r="S506" i="2"/>
  <c r="V506" i="2"/>
  <c r="U506" i="2"/>
  <c r="U505" i="2"/>
  <c r="V505" i="2"/>
  <c r="S505" i="2"/>
  <c r="S502" i="2"/>
  <c r="U502" i="2"/>
  <c r="V502" i="2"/>
  <c r="V500" i="2"/>
  <c r="U500" i="2"/>
  <c r="S500" i="2"/>
  <c r="U498" i="2"/>
  <c r="V498" i="2"/>
  <c r="X498" i="2" s="1"/>
  <c r="A499" i="2" s="1"/>
  <c r="X499" i="2" s="1"/>
  <c r="A500" i="2" s="1"/>
  <c r="X500" i="2" s="1"/>
  <c r="A501" i="2" s="1"/>
  <c r="X501" i="2" s="1"/>
  <c r="A502" i="2" s="1"/>
  <c r="X502" i="2" s="1"/>
  <c r="A503" i="2" s="1"/>
  <c r="X503" i="2" s="1"/>
  <c r="A504" i="2" s="1"/>
  <c r="X504" i="2" s="1"/>
  <c r="A505" i="2" s="1"/>
  <c r="X505" i="2" s="1"/>
  <c r="A506" i="2" s="1"/>
  <c r="X506" i="2" s="1"/>
  <c r="A507" i="2" s="1"/>
  <c r="X507" i="2" s="1"/>
  <c r="A508" i="2" s="1"/>
  <c r="X508" i="2" s="1"/>
  <c r="A509" i="2" s="1"/>
  <c r="X509" i="2" s="1"/>
  <c r="A510" i="2" s="1"/>
  <c r="X510" i="2" s="1"/>
  <c r="A511" i="2" s="1"/>
  <c r="X511" i="2" s="1"/>
  <c r="A512" i="2" s="1"/>
  <c r="X512" i="2" s="1"/>
  <c r="A513" i="2" s="1"/>
  <c r="X513" i="2" s="1"/>
  <c r="A514" i="2" s="1"/>
  <c r="X514" i="2" s="1"/>
  <c r="A515" i="2" s="1"/>
  <c r="X515" i="2" s="1"/>
  <c r="A516" i="2" s="1"/>
  <c r="X516" i="2" s="1"/>
  <c r="A517" i="2" s="1"/>
  <c r="X517" i="2" s="1"/>
  <c r="A518" i="2" s="1"/>
  <c r="X518" i="2" s="1"/>
  <c r="A519" i="2" s="1"/>
  <c r="X519" i="2" s="1"/>
  <c r="A520" i="2" s="1"/>
  <c r="X520" i="2" s="1"/>
  <c r="A521" i="2" s="1"/>
  <c r="X521" i="2" s="1"/>
  <c r="A522" i="2" s="1"/>
  <c r="X522" i="2" s="1"/>
  <c r="A523" i="2" s="1"/>
  <c r="X523" i="2" s="1"/>
  <c r="A524" i="2" s="1"/>
  <c r="X524" i="2" s="1"/>
  <c r="A525" i="2" s="1"/>
  <c r="X525" i="2" s="1"/>
  <c r="A526" i="2" s="1"/>
  <c r="X526" i="2" s="1"/>
  <c r="A527" i="2" s="1"/>
  <c r="X527" i="2" s="1"/>
  <c r="A528" i="2" s="1"/>
  <c r="X528" i="2" s="1"/>
  <c r="A529" i="2" s="1"/>
  <c r="X529" i="2" s="1"/>
  <c r="A530" i="2" s="1"/>
  <c r="X530" i="2" s="1"/>
  <c r="A531" i="2" s="1"/>
  <c r="X531" i="2" s="1"/>
  <c r="A532" i="2" s="1"/>
  <c r="X532" i="2" s="1"/>
  <c r="A533" i="2" s="1"/>
  <c r="X533" i="2" s="1"/>
  <c r="A534" i="2" s="1"/>
  <c r="X534" i="2" s="1"/>
  <c r="A535" i="2" s="1"/>
  <c r="X535" i="2" s="1"/>
  <c r="A536" i="2" s="1"/>
  <c r="X536" i="2" s="1"/>
  <c r="A537" i="2" s="1"/>
  <c r="X537" i="2" s="1"/>
  <c r="A538" i="2" s="1"/>
  <c r="X538" i="2" s="1"/>
  <c r="A539" i="2" s="1"/>
  <c r="X539" i="2" s="1"/>
  <c r="A540" i="2" s="1"/>
  <c r="X540" i="2" s="1"/>
  <c r="A541" i="2" s="1"/>
  <c r="X541" i="2" s="1"/>
  <c r="A542" i="2" s="1"/>
  <c r="X542" i="2" s="1"/>
  <c r="A543" i="2" s="1"/>
  <c r="X543" i="2" s="1"/>
  <c r="A544" i="2" s="1"/>
  <c r="X544" i="2" s="1"/>
  <c r="A545" i="2" s="1"/>
  <c r="X545" i="2" s="1"/>
  <c r="A546" i="2" s="1"/>
  <c r="X546" i="2" s="1"/>
  <c r="A547" i="2" s="1"/>
  <c r="X547" i="2" s="1"/>
  <c r="A548" i="2" s="1"/>
  <c r="X548" i="2" s="1"/>
  <c r="A549" i="2" s="1"/>
  <c r="X549" i="2" s="1"/>
  <c r="A550" i="2" s="1"/>
  <c r="X550" i="2" s="1"/>
  <c r="A551" i="2" s="1"/>
  <c r="X551" i="2" s="1"/>
  <c r="A552" i="2" s="1"/>
  <c r="X552" i="2" s="1"/>
  <c r="A553" i="2" s="1"/>
  <c r="X553" i="2" s="1"/>
  <c r="A554" i="2" s="1"/>
  <c r="X554" i="2" s="1"/>
  <c r="A555" i="2" s="1"/>
  <c r="X555" i="2" s="1"/>
  <c r="A556" i="2" s="1"/>
  <c r="X556" i="2" s="1"/>
  <c r="A557" i="2" s="1"/>
  <c r="X557" i="2" s="1"/>
  <c r="A558" i="2" s="1"/>
  <c r="X558" i="2" s="1"/>
  <c r="A559" i="2" s="1"/>
  <c r="X559" i="2" s="1"/>
  <c r="A560" i="2" s="1"/>
  <c r="X560" i="2" s="1"/>
  <c r="A561" i="2" s="1"/>
  <c r="X561" i="2" s="1"/>
  <c r="A562" i="2" s="1"/>
  <c r="X562" i="2" s="1"/>
  <c r="A563" i="2" s="1"/>
  <c r="X563" i="2" s="1"/>
  <c r="A564" i="2" s="1"/>
  <c r="X564" i="2" s="1"/>
  <c r="A565" i="2" s="1"/>
  <c r="X565" i="2" s="1"/>
  <c r="A566" i="2" s="1"/>
  <c r="X566" i="2" s="1"/>
  <c r="A567" i="2" s="1"/>
  <c r="X567" i="2" s="1"/>
  <c r="A568" i="2" s="1"/>
  <c r="X568" i="2" s="1"/>
  <c r="A569" i="2" s="1"/>
  <c r="X569" i="2" s="1"/>
  <c r="A570" i="2" s="1"/>
  <c r="X570" i="2" s="1"/>
  <c r="A571" i="2" s="1"/>
  <c r="X571" i="2" s="1"/>
  <c r="A572" i="2" s="1"/>
  <c r="X572" i="2" s="1"/>
  <c r="A573" i="2" s="1"/>
  <c r="X573" i="2" s="1"/>
  <c r="A574" i="2" s="1"/>
  <c r="X574" i="2" s="1"/>
  <c r="A575" i="2" s="1"/>
  <c r="X575" i="2" s="1"/>
  <c r="A576" i="2" s="1"/>
  <c r="X576" i="2" s="1"/>
  <c r="A577" i="2" s="1"/>
  <c r="X577" i="2" s="1"/>
  <c r="A578" i="2" s="1"/>
  <c r="X578" i="2" s="1"/>
  <c r="A579" i="2" s="1"/>
  <c r="X579" i="2" s="1"/>
  <c r="A580" i="2" s="1"/>
  <c r="X580" i="2" s="1"/>
  <c r="A581" i="2" s="1"/>
  <c r="X581" i="2" s="1"/>
  <c r="A582" i="2" s="1"/>
  <c r="X582" i="2" s="1"/>
  <c r="A583" i="2" s="1"/>
  <c r="X583" i="2" s="1"/>
  <c r="A584" i="2" s="1"/>
  <c r="X584" i="2" s="1"/>
  <c r="A585" i="2" s="1"/>
  <c r="X585" i="2" s="1"/>
  <c r="A586" i="2" s="1"/>
  <c r="X586" i="2" s="1"/>
  <c r="A587" i="2" s="1"/>
  <c r="X587" i="2" s="1"/>
  <c r="A588" i="2" s="1"/>
  <c r="X588" i="2" s="1"/>
  <c r="A589" i="2" s="1"/>
  <c r="X589" i="2" s="1"/>
  <c r="A590" i="2" s="1"/>
  <c r="X590" i="2" s="1"/>
  <c r="A591" i="2" s="1"/>
  <c r="X591" i="2" s="1"/>
  <c r="A592" i="2" s="1"/>
  <c r="X592" i="2" s="1"/>
  <c r="A593" i="2" s="1"/>
  <c r="X593" i="2" s="1"/>
  <c r="A594" i="2" s="1"/>
  <c r="X594" i="2" s="1"/>
  <c r="A595" i="2" s="1"/>
  <c r="X595" i="2" s="1"/>
  <c r="A596" i="2" s="1"/>
  <c r="X596" i="2" s="1"/>
  <c r="A597" i="2" s="1"/>
  <c r="X597" i="2" s="1"/>
  <c r="S498" i="2"/>
  <c r="S496" i="2"/>
  <c r="U496" i="2"/>
  <c r="S495" i="2"/>
  <c r="U495" i="2"/>
  <c r="A599" i="2"/>
  <c r="X599" i="2" s="1"/>
  <c r="A600" i="2" s="1"/>
  <c r="X600" i="2" s="1"/>
  <c r="A598" i="2"/>
  <c r="X598" i="2" s="1"/>
  <c r="S492" i="2"/>
  <c r="U492" i="2"/>
  <c r="V492" i="2" s="1"/>
  <c r="U491" i="2"/>
  <c r="V491" i="2" s="1"/>
  <c r="S491" i="2"/>
  <c r="U490" i="2"/>
  <c r="V490" i="2" s="1"/>
  <c r="S490" i="2"/>
  <c r="U489" i="2"/>
  <c r="S489" i="2"/>
  <c r="V489" i="2"/>
  <c r="S488" i="2"/>
  <c r="V488" i="2"/>
  <c r="U488" i="2"/>
  <c r="V487" i="2"/>
  <c r="U487" i="2"/>
  <c r="S487" i="2"/>
  <c r="V486" i="2"/>
  <c r="S486" i="2"/>
  <c r="U486" i="2"/>
  <c r="U485" i="2"/>
  <c r="S485" i="2"/>
  <c r="V485" i="2"/>
  <c r="S484" i="2"/>
  <c r="V484" i="2"/>
  <c r="U484" i="2"/>
  <c r="V483" i="2"/>
  <c r="S483" i="2"/>
  <c r="U483" i="2"/>
  <c r="V482" i="2"/>
  <c r="U482" i="2"/>
  <c r="S482" i="2"/>
  <c r="V481" i="2"/>
  <c r="S481" i="2"/>
  <c r="U481" i="2"/>
  <c r="V480" i="2"/>
  <c r="U480" i="2"/>
  <c r="S480" i="2"/>
  <c r="U479" i="2"/>
  <c r="S479" i="2"/>
  <c r="V478" i="2"/>
  <c r="U478" i="2"/>
  <c r="S478" i="2"/>
  <c r="V477" i="2"/>
  <c r="U477" i="2"/>
  <c r="S477" i="2"/>
  <c r="V476" i="2"/>
  <c r="U476" i="2"/>
  <c r="S476" i="2"/>
  <c r="S475" i="2"/>
  <c r="V475" i="2"/>
  <c r="U475" i="2"/>
  <c r="S474" i="2"/>
  <c r="U474" i="2"/>
  <c r="V474" i="2"/>
  <c r="S473" i="2"/>
  <c r="U473" i="2"/>
  <c r="V473" i="2"/>
  <c r="S472" i="2"/>
  <c r="U472" i="2"/>
  <c r="V472" i="2"/>
  <c r="V471" i="2"/>
  <c r="U471" i="2"/>
  <c r="S471" i="2"/>
  <c r="U470" i="2"/>
  <c r="S470" i="2"/>
  <c r="V470" i="2"/>
  <c r="S469" i="2"/>
  <c r="V469" i="2"/>
  <c r="U469" i="2"/>
  <c r="S468" i="2"/>
  <c r="U468" i="2"/>
  <c r="V468" i="2"/>
  <c r="V467" i="2"/>
  <c r="U467" i="2"/>
  <c r="S467" i="2"/>
  <c r="V466" i="2"/>
  <c r="U466" i="2"/>
  <c r="S466" i="2"/>
  <c r="V465" i="2"/>
  <c r="U465" i="2"/>
  <c r="S465" i="2"/>
  <c r="U464" i="2"/>
  <c r="V464" i="2"/>
  <c r="S464" i="2"/>
  <c r="S463" i="2"/>
  <c r="V463" i="2"/>
  <c r="U463" i="2"/>
  <c r="S462" i="2"/>
  <c r="U462" i="2"/>
  <c r="V462" i="2"/>
  <c r="S461" i="2"/>
  <c r="U461" i="2"/>
  <c r="V461" i="2"/>
  <c r="V460" i="2"/>
  <c r="U460" i="2"/>
  <c r="S460" i="2"/>
  <c r="U459" i="2"/>
  <c r="S459" i="2"/>
  <c r="V459" i="2"/>
  <c r="S458" i="2"/>
  <c r="V458" i="2"/>
  <c r="U458" i="2"/>
  <c r="V457" i="2"/>
  <c r="U457" i="2"/>
  <c r="S457" i="2"/>
  <c r="V456" i="2"/>
  <c r="U456" i="2"/>
  <c r="S456" i="2"/>
  <c r="S455" i="2"/>
  <c r="U455" i="2"/>
  <c r="V455" i="2"/>
  <c r="V454" i="2"/>
  <c r="S454" i="2"/>
  <c r="U454" i="2"/>
  <c r="U453" i="2"/>
  <c r="V453" i="2"/>
  <c r="S453" i="2"/>
  <c r="S452" i="2"/>
  <c r="U452" i="2"/>
  <c r="V452" i="2"/>
  <c r="S451" i="2"/>
  <c r="U451" i="2"/>
  <c r="V451" i="2"/>
  <c r="U450" i="2"/>
  <c r="V450" i="2"/>
  <c r="S450" i="2"/>
  <c r="S449" i="2"/>
  <c r="U449" i="2"/>
  <c r="V449" i="2"/>
  <c r="S448" i="2"/>
  <c r="U448" i="2"/>
  <c r="V448" i="2"/>
  <c r="V447" i="2"/>
  <c r="S447" i="2"/>
  <c r="U447" i="2"/>
  <c r="S446" i="2"/>
  <c r="U446" i="2"/>
  <c r="V446" i="2"/>
  <c r="S445" i="2"/>
  <c r="U445" i="2"/>
  <c r="V445" i="2"/>
  <c r="S444" i="2"/>
  <c r="U444" i="2"/>
  <c r="V444" i="2"/>
  <c r="V443" i="2"/>
  <c r="S443" i="2"/>
  <c r="U443" i="2"/>
  <c r="S442" i="2"/>
  <c r="U442" i="2"/>
  <c r="V442" i="2"/>
  <c r="S441" i="2"/>
  <c r="U441" i="2"/>
  <c r="V441" i="2"/>
  <c r="S440" i="2"/>
  <c r="U440" i="2"/>
  <c r="V440" i="2"/>
  <c r="S439" i="2"/>
  <c r="U439" i="2"/>
  <c r="V439" i="2"/>
  <c r="S438" i="2"/>
  <c r="U438" i="2"/>
  <c r="V438" i="2"/>
  <c r="S437" i="2"/>
  <c r="U437" i="2"/>
  <c r="V437" i="2"/>
  <c r="S436" i="2"/>
  <c r="U436" i="2"/>
  <c r="V436" i="2"/>
  <c r="U435" i="2"/>
  <c r="S435" i="2"/>
  <c r="V435" i="2"/>
  <c r="S434" i="2"/>
  <c r="V434" i="2"/>
  <c r="U434" i="2"/>
  <c r="V433" i="2"/>
  <c r="S433" i="2"/>
  <c r="U433" i="2"/>
  <c r="U432" i="2"/>
  <c r="V432" i="2"/>
  <c r="S432" i="2"/>
  <c r="V431" i="2"/>
  <c r="U431" i="2"/>
  <c r="S431" i="2"/>
  <c r="V430" i="2"/>
  <c r="U430" i="2"/>
  <c r="S430" i="2"/>
  <c r="V429" i="2"/>
  <c r="U429" i="2"/>
  <c r="S429" i="2"/>
  <c r="V428" i="2"/>
  <c r="U428" i="2"/>
  <c r="S428" i="2"/>
  <c r="S427" i="2"/>
  <c r="U427" i="2"/>
  <c r="V427" i="2"/>
  <c r="U426" i="2"/>
  <c r="S426" i="2"/>
  <c r="V426" i="2"/>
  <c r="S425" i="2"/>
  <c r="U425" i="2"/>
  <c r="V425" i="2"/>
  <c r="U424" i="2"/>
  <c r="S424" i="2"/>
  <c r="V424" i="2"/>
  <c r="S423" i="2"/>
  <c r="U423" i="2"/>
  <c r="V423" i="2"/>
  <c r="S422" i="2"/>
  <c r="U422" i="2"/>
  <c r="V422" i="2"/>
  <c r="S421" i="2"/>
  <c r="U421" i="2"/>
  <c r="V421" i="2"/>
  <c r="S420" i="2"/>
  <c r="U420" i="2"/>
  <c r="V420" i="2"/>
  <c r="S419" i="2"/>
  <c r="U419" i="2"/>
  <c r="V419" i="2"/>
  <c r="S418" i="2"/>
  <c r="V418" i="2"/>
  <c r="U418" i="2"/>
  <c r="S417" i="2"/>
  <c r="U417" i="2"/>
  <c r="V417" i="2"/>
  <c r="U416" i="2"/>
  <c r="V416" i="2"/>
  <c r="S416" i="2"/>
  <c r="S415" i="2"/>
  <c r="U415" i="2"/>
  <c r="V415" i="2"/>
  <c r="S414" i="2"/>
  <c r="U414" i="2"/>
  <c r="V414" i="2"/>
  <c r="S413" i="2"/>
  <c r="U413" i="2"/>
  <c r="V413" i="2"/>
  <c r="V412" i="2"/>
  <c r="U412" i="2"/>
  <c r="S412" i="2"/>
  <c r="V411" i="2"/>
  <c r="S411" i="2"/>
  <c r="U411" i="2"/>
  <c r="V409" i="2"/>
  <c r="U409" i="2"/>
  <c r="S409" i="2"/>
  <c r="U408" i="2"/>
  <c r="S408" i="2"/>
  <c r="V408" i="2"/>
  <c r="V407" i="2"/>
  <c r="S407" i="2"/>
  <c r="U407" i="2"/>
  <c r="U406" i="2"/>
  <c r="S406" i="2"/>
  <c r="V406" i="2"/>
  <c r="V405" i="2"/>
  <c r="S405" i="2"/>
  <c r="U405" i="2"/>
  <c r="U404" i="2"/>
  <c r="V404" i="2"/>
  <c r="S404" i="2"/>
  <c r="V403" i="2"/>
  <c r="U403" i="2"/>
  <c r="S403" i="2"/>
  <c r="S402" i="2"/>
  <c r="V402" i="2"/>
  <c r="U402" i="2"/>
  <c r="V401" i="2"/>
  <c r="U401" i="2"/>
  <c r="S401" i="2"/>
  <c r="U399" i="2"/>
  <c r="S399" i="2"/>
  <c r="V399" i="2"/>
  <c r="V398" i="2"/>
  <c r="U398" i="2"/>
  <c r="S398" i="2"/>
  <c r="V397" i="2"/>
  <c r="U397" i="2"/>
  <c r="V396" i="2"/>
  <c r="U396" i="2"/>
  <c r="V395" i="2"/>
  <c r="U395" i="2"/>
  <c r="S395" i="2"/>
  <c r="S394" i="2"/>
  <c r="U394" i="2"/>
  <c r="V394" i="2"/>
  <c r="U391" i="2"/>
  <c r="V391" i="2"/>
  <c r="S391" i="2"/>
  <c r="U390" i="2"/>
  <c r="V390" i="2"/>
  <c r="S390" i="2"/>
  <c r="V389" i="2"/>
  <c r="U389" i="2"/>
  <c r="S389" i="2"/>
  <c r="V388" i="2"/>
  <c r="S388" i="2"/>
  <c r="U388" i="2"/>
  <c r="V387" i="2"/>
  <c r="U387" i="2"/>
  <c r="S387" i="2"/>
  <c r="U386" i="2"/>
  <c r="V386" i="2"/>
  <c r="S386" i="2"/>
  <c r="V385" i="2"/>
  <c r="U385" i="2"/>
  <c r="S385" i="2"/>
  <c r="V381" i="2"/>
  <c r="U381" i="2"/>
  <c r="S381" i="2"/>
  <c r="V380" i="2"/>
  <c r="X380" i="2" s="1"/>
  <c r="A381" i="2" s="1"/>
  <c r="X381" i="2" s="1"/>
  <c r="A382" i="2" s="1"/>
  <c r="X382" i="2" s="1"/>
  <c r="A383" i="2" s="1"/>
  <c r="X383" i="2" s="1"/>
  <c r="A384" i="2" s="1"/>
  <c r="X384" i="2" s="1"/>
  <c r="A385" i="2" s="1"/>
  <c r="X385" i="2" s="1"/>
  <c r="A386" i="2" s="1"/>
  <c r="X386" i="2" s="1"/>
  <c r="A387" i="2" s="1"/>
  <c r="X387" i="2" s="1"/>
  <c r="A388" i="2" s="1"/>
  <c r="X388" i="2" s="1"/>
  <c r="A389" i="2" s="1"/>
  <c r="X389" i="2" s="1"/>
  <c r="A390" i="2" s="1"/>
  <c r="X390" i="2" s="1"/>
  <c r="A391" i="2" s="1"/>
  <c r="X391" i="2" s="1"/>
  <c r="A392" i="2" s="1"/>
  <c r="X392" i="2" s="1"/>
  <c r="A393" i="2" s="1"/>
  <c r="X393" i="2" s="1"/>
  <c r="A394" i="2" s="1"/>
  <c r="X394" i="2" s="1"/>
  <c r="A395" i="2" s="1"/>
  <c r="X395" i="2" s="1"/>
  <c r="A396" i="2" s="1"/>
  <c r="X396" i="2" s="1"/>
  <c r="A397" i="2" s="1"/>
  <c r="X397" i="2" s="1"/>
  <c r="A398" i="2" s="1"/>
  <c r="X398" i="2" s="1"/>
  <c r="A399" i="2" s="1"/>
  <c r="X399" i="2" s="1"/>
  <c r="A400" i="2" s="1"/>
  <c r="X400" i="2" s="1"/>
  <c r="A401" i="2" s="1"/>
  <c r="X401" i="2" s="1"/>
  <c r="A402" i="2" s="1"/>
  <c r="X402" i="2" s="1"/>
  <c r="A403" i="2" s="1"/>
  <c r="X403" i="2" s="1"/>
  <c r="A404" i="2" s="1"/>
  <c r="X404" i="2" s="1"/>
  <c r="A405" i="2" s="1"/>
  <c r="X405" i="2" s="1"/>
  <c r="A406" i="2" s="1"/>
  <c r="X406" i="2" s="1"/>
  <c r="A407" i="2" s="1"/>
  <c r="X407" i="2" s="1"/>
  <c r="A408" i="2" s="1"/>
  <c r="X408" i="2" s="1"/>
  <c r="A409" i="2" s="1"/>
  <c r="X409" i="2" s="1"/>
  <c r="A410" i="2" s="1"/>
  <c r="X410" i="2" s="1"/>
  <c r="A411" i="2" s="1"/>
  <c r="X411" i="2" s="1"/>
  <c r="A412" i="2" s="1"/>
  <c r="X412" i="2" s="1"/>
  <c r="A413" i="2" s="1"/>
  <c r="X413" i="2" s="1"/>
  <c r="A414" i="2" s="1"/>
  <c r="X414" i="2" s="1"/>
  <c r="A415" i="2" s="1"/>
  <c r="X415" i="2" s="1"/>
  <c r="A416" i="2" s="1"/>
  <c r="X416" i="2" s="1"/>
  <c r="A417" i="2" s="1"/>
  <c r="X417" i="2" s="1"/>
  <c r="A418" i="2" s="1"/>
  <c r="X418" i="2" s="1"/>
  <c r="A419" i="2" s="1"/>
  <c r="X419" i="2" s="1"/>
  <c r="A420" i="2" s="1"/>
  <c r="X420" i="2" s="1"/>
  <c r="A421" i="2" s="1"/>
  <c r="X421" i="2" s="1"/>
  <c r="A422" i="2" s="1"/>
  <c r="X422" i="2" s="1"/>
  <c r="A423" i="2" s="1"/>
  <c r="X423" i="2" s="1"/>
  <c r="A424" i="2" s="1"/>
  <c r="X424" i="2" s="1"/>
  <c r="A425" i="2" s="1"/>
  <c r="X425" i="2" s="1"/>
  <c r="A426" i="2" s="1"/>
  <c r="X426" i="2" s="1"/>
  <c r="A427" i="2" s="1"/>
  <c r="X427" i="2" s="1"/>
  <c r="A428" i="2" s="1"/>
  <c r="X428" i="2" s="1"/>
  <c r="A429" i="2" s="1"/>
  <c r="X429" i="2" s="1"/>
  <c r="A430" i="2" s="1"/>
  <c r="X430" i="2" s="1"/>
  <c r="A431" i="2" s="1"/>
  <c r="X431" i="2" s="1"/>
  <c r="A432" i="2" s="1"/>
  <c r="X432" i="2" s="1"/>
  <c r="A433" i="2" s="1"/>
  <c r="X433" i="2" s="1"/>
  <c r="A434" i="2" s="1"/>
  <c r="X434" i="2" s="1"/>
  <c r="A435" i="2" s="1"/>
  <c r="X435" i="2" s="1"/>
  <c r="A436" i="2" s="1"/>
  <c r="X436" i="2" s="1"/>
  <c r="A437" i="2" s="1"/>
  <c r="X437" i="2" s="1"/>
  <c r="A438" i="2" s="1"/>
  <c r="X438" i="2" s="1"/>
  <c r="A439" i="2" s="1"/>
  <c r="X439" i="2" s="1"/>
  <c r="A440" i="2" s="1"/>
  <c r="X440" i="2" s="1"/>
  <c r="A441" i="2" s="1"/>
  <c r="X441" i="2" s="1"/>
  <c r="A442" i="2" s="1"/>
  <c r="X442" i="2" s="1"/>
  <c r="A443" i="2" s="1"/>
  <c r="X443" i="2" s="1"/>
  <c r="A444" i="2" s="1"/>
  <c r="X444" i="2" s="1"/>
  <c r="A445" i="2" s="1"/>
  <c r="X445" i="2" s="1"/>
  <c r="A446" i="2" s="1"/>
  <c r="X446" i="2" s="1"/>
  <c r="A447" i="2" s="1"/>
  <c r="X447" i="2" s="1"/>
  <c r="A448" i="2" s="1"/>
  <c r="X448" i="2" s="1"/>
  <c r="A449" i="2" s="1"/>
  <c r="X449" i="2" s="1"/>
  <c r="A450" i="2" s="1"/>
  <c r="X450" i="2" s="1"/>
  <c r="A451" i="2" s="1"/>
  <c r="X451" i="2" s="1"/>
  <c r="A452" i="2" s="1"/>
  <c r="X452" i="2" s="1"/>
  <c r="A453" i="2" s="1"/>
  <c r="X453" i="2" s="1"/>
  <c r="A454" i="2" s="1"/>
  <c r="X454" i="2" s="1"/>
  <c r="A455" i="2" s="1"/>
  <c r="X455" i="2" s="1"/>
  <c r="A456" i="2" s="1"/>
  <c r="X456" i="2" s="1"/>
  <c r="A457" i="2" s="1"/>
  <c r="X457" i="2" s="1"/>
  <c r="A458" i="2" s="1"/>
  <c r="X458" i="2" s="1"/>
  <c r="A459" i="2" s="1"/>
  <c r="X459" i="2" s="1"/>
  <c r="A460" i="2" s="1"/>
  <c r="X460" i="2" s="1"/>
  <c r="A461" i="2" s="1"/>
  <c r="X461" i="2" s="1"/>
  <c r="A462" i="2" s="1"/>
  <c r="X462" i="2" s="1"/>
  <c r="A463" i="2" s="1"/>
  <c r="X463" i="2" s="1"/>
  <c r="A464" i="2" s="1"/>
  <c r="X464" i="2" s="1"/>
  <c r="A465" i="2" s="1"/>
  <c r="X465" i="2" s="1"/>
  <c r="A466" i="2" s="1"/>
  <c r="X466" i="2" s="1"/>
  <c r="A467" i="2" s="1"/>
  <c r="X467" i="2" s="1"/>
  <c r="A468" i="2" s="1"/>
  <c r="X468" i="2" s="1"/>
  <c r="A469" i="2" s="1"/>
  <c r="X469" i="2" s="1"/>
  <c r="U380" i="2"/>
  <c r="S380" i="2"/>
  <c r="A470" i="2"/>
  <c r="X470" i="2" s="1"/>
  <c r="A471" i="2" s="1"/>
  <c r="X471" i="2" s="1"/>
  <c r="A472" i="2" s="1"/>
  <c r="X472" i="2" s="1"/>
  <c r="A473" i="2" s="1"/>
  <c r="X473" i="2" s="1"/>
  <c r="A474" i="2" s="1"/>
  <c r="X474" i="2" s="1"/>
  <c r="A475" i="2" s="1"/>
  <c r="X475" i="2" s="1"/>
  <c r="A476" i="2" s="1"/>
  <c r="X476" i="2" s="1"/>
  <c r="A477" i="2" s="1"/>
  <c r="X477" i="2" s="1"/>
  <c r="A478" i="2" s="1"/>
  <c r="X478" i="2" s="1"/>
  <c r="A479" i="2" s="1"/>
  <c r="X479" i="2" s="1"/>
  <c r="A480" i="2" s="1"/>
  <c r="X480" i="2" s="1"/>
  <c r="A481" i="2" s="1"/>
  <c r="X481" i="2" s="1"/>
  <c r="A482" i="2" s="1"/>
  <c r="X482" i="2" s="1"/>
  <c r="A483" i="2" s="1"/>
  <c r="X483" i="2" s="1"/>
  <c r="A484" i="2" s="1"/>
  <c r="X484" i="2" s="1"/>
  <c r="A485" i="2" s="1"/>
  <c r="X485" i="2" s="1"/>
  <c r="A486" i="2" s="1"/>
  <c r="X486" i="2" s="1"/>
  <c r="A487" i="2" s="1"/>
  <c r="X487" i="2" s="1"/>
  <c r="A488" i="2" s="1"/>
  <c r="X488" i="2" s="1"/>
  <c r="A360" i="2"/>
  <c r="U377" i="2"/>
  <c r="V377" i="2" s="1"/>
  <c r="S377" i="2"/>
  <c r="U376" i="2"/>
  <c r="V376" i="2" s="1"/>
  <c r="S376" i="2"/>
  <c r="S375" i="2"/>
  <c r="U375" i="2"/>
  <c r="V375" i="2" s="1"/>
  <c r="S374" i="2"/>
  <c r="U374" i="2"/>
  <c r="V374" i="2" s="1"/>
  <c r="S373" i="2"/>
  <c r="U373" i="2"/>
  <c r="V373" i="2" s="1"/>
  <c r="U372" i="2"/>
  <c r="V372" i="2" s="1"/>
  <c r="S372" i="2"/>
  <c r="S371" i="2"/>
  <c r="U371" i="2"/>
  <c r="V371" i="2" s="1"/>
  <c r="S370" i="2"/>
  <c r="U370" i="2"/>
  <c r="V370" i="2" s="1"/>
  <c r="S369" i="2"/>
  <c r="U369" i="2"/>
  <c r="V369" i="2"/>
  <c r="S368" i="2"/>
  <c r="U368" i="2"/>
  <c r="V368" i="2"/>
  <c r="S367" i="2"/>
  <c r="U367" i="2"/>
  <c r="V367" i="2"/>
  <c r="S366" i="2"/>
  <c r="U366" i="2"/>
  <c r="V366" i="2"/>
  <c r="U365" i="2"/>
  <c r="V365" i="2"/>
  <c r="S365" i="2"/>
  <c r="S364" i="2"/>
  <c r="U364" i="2"/>
  <c r="V364" i="2"/>
  <c r="S363" i="2"/>
  <c r="V363" i="2"/>
  <c r="U363" i="2"/>
  <c r="S362" i="2"/>
  <c r="V362" i="2"/>
  <c r="U362" i="2"/>
  <c r="S361" i="2"/>
  <c r="U361" i="2"/>
  <c r="V361" i="2"/>
  <c r="S360" i="2"/>
  <c r="U360" i="2"/>
  <c r="V360" i="2"/>
  <c r="U359" i="2"/>
  <c r="V359" i="2"/>
  <c r="S359" i="2"/>
  <c r="S358" i="2"/>
  <c r="U358" i="2"/>
  <c r="V358" i="2"/>
  <c r="S357" i="2"/>
  <c r="U357" i="2"/>
  <c r="V357" i="2"/>
  <c r="S356" i="2"/>
  <c r="V356" i="2"/>
  <c r="U356" i="2"/>
  <c r="V355" i="2"/>
  <c r="U355" i="2"/>
  <c r="S355" i="2"/>
  <c r="V354" i="2"/>
  <c r="U354" i="2"/>
  <c r="S354" i="2"/>
  <c r="V353" i="2"/>
  <c r="S353" i="2"/>
  <c r="U353" i="2"/>
  <c r="V352" i="2"/>
  <c r="U352" i="2"/>
  <c r="S352" i="2"/>
  <c r="V351" i="2"/>
  <c r="U351" i="2"/>
  <c r="S351" i="2"/>
  <c r="V350" i="2"/>
  <c r="S350" i="2"/>
  <c r="U350" i="2"/>
  <c r="V349" i="2"/>
  <c r="U349" i="2"/>
  <c r="S349" i="2"/>
  <c r="V348" i="2"/>
  <c r="U348" i="2"/>
  <c r="S348" i="2"/>
  <c r="S347" i="2"/>
  <c r="U347" i="2"/>
  <c r="V347" i="2"/>
  <c r="V346" i="2"/>
  <c r="U346" i="2"/>
  <c r="S346" i="2"/>
  <c r="U345" i="2"/>
  <c r="S345" i="2"/>
  <c r="V345" i="2"/>
  <c r="U344" i="2"/>
  <c r="S344" i="2"/>
  <c r="V344" i="2"/>
  <c r="U343" i="2"/>
  <c r="S343" i="2"/>
  <c r="V343" i="2"/>
  <c r="S342" i="2"/>
  <c r="U342" i="2"/>
  <c r="V342" i="2"/>
  <c r="S341" i="2"/>
  <c r="U341" i="2"/>
  <c r="V341" i="2"/>
  <c r="V340" i="2"/>
  <c r="U340" i="2"/>
  <c r="S340" i="2"/>
  <c r="S339" i="2"/>
  <c r="U339" i="2"/>
  <c r="V339" i="2"/>
  <c r="S338" i="2"/>
  <c r="U338" i="2"/>
  <c r="V338" i="2"/>
  <c r="S337" i="2"/>
  <c r="V337" i="2"/>
  <c r="U337" i="2"/>
  <c r="U336" i="2"/>
  <c r="S336" i="2"/>
  <c r="V336" i="2"/>
  <c r="S335" i="2"/>
  <c r="U335" i="2"/>
  <c r="V335" i="2"/>
  <c r="S334" i="2"/>
  <c r="U334" i="2"/>
  <c r="V334" i="2"/>
  <c r="S333" i="2"/>
  <c r="V333" i="2"/>
  <c r="U333" i="2"/>
  <c r="V332" i="2"/>
  <c r="S332" i="2"/>
  <c r="U332" i="2"/>
  <c r="V331" i="2"/>
  <c r="S331" i="2"/>
  <c r="U331" i="2"/>
  <c r="V330" i="2"/>
  <c r="U330" i="2"/>
  <c r="S330" i="2"/>
  <c r="V329" i="2"/>
  <c r="U329" i="2"/>
  <c r="S329" i="2"/>
  <c r="V328" i="2"/>
  <c r="S328" i="2"/>
  <c r="U328" i="2"/>
  <c r="S327" i="2"/>
  <c r="U327" i="2"/>
  <c r="V327" i="2"/>
  <c r="S326" i="2"/>
  <c r="U326" i="2"/>
  <c r="V326" i="2"/>
  <c r="V325" i="2"/>
  <c r="U325" i="2"/>
  <c r="S325" i="2"/>
  <c r="V324" i="2"/>
  <c r="S324" i="2"/>
  <c r="U324" i="2"/>
  <c r="U323" i="2"/>
  <c r="S323" i="2"/>
  <c r="V323" i="2"/>
  <c r="V322" i="2"/>
  <c r="S322" i="2"/>
  <c r="U322" i="2"/>
  <c r="V321" i="2"/>
  <c r="U321" i="2"/>
  <c r="S321" i="2"/>
  <c r="U320" i="2"/>
  <c r="V320" i="2"/>
  <c r="S320" i="2"/>
  <c r="U319" i="2"/>
  <c r="S319" i="2"/>
  <c r="V319" i="2"/>
  <c r="S318" i="2"/>
  <c r="U318" i="2"/>
  <c r="V318" i="2"/>
  <c r="U317" i="2"/>
  <c r="S317" i="2"/>
  <c r="V317" i="2"/>
  <c r="V316" i="2"/>
  <c r="S316" i="2"/>
  <c r="U316" i="2"/>
  <c r="U315" i="2"/>
  <c r="S315" i="2"/>
  <c r="V315" i="2"/>
  <c r="U314" i="2"/>
  <c r="S314" i="2"/>
  <c r="V314" i="2"/>
  <c r="S313" i="2"/>
  <c r="U313" i="2"/>
  <c r="V313" i="2"/>
  <c r="S312" i="2"/>
  <c r="U312" i="2"/>
  <c r="V312" i="2"/>
  <c r="S311" i="2"/>
  <c r="U311" i="2"/>
  <c r="V311" i="2"/>
  <c r="U310" i="2"/>
  <c r="S310" i="2"/>
  <c r="V310" i="2"/>
  <c r="V309" i="2"/>
  <c r="S309" i="2"/>
  <c r="U309" i="2"/>
  <c r="U308" i="2"/>
  <c r="V308" i="2"/>
  <c r="S308" i="2"/>
  <c r="S307" i="2"/>
  <c r="U307" i="2"/>
  <c r="V307" i="2"/>
  <c r="S306" i="2"/>
  <c r="U306" i="2"/>
  <c r="V306" i="2"/>
  <c r="V305" i="2"/>
  <c r="U305" i="2"/>
  <c r="S305" i="2"/>
  <c r="S304" i="2"/>
  <c r="V304" i="2"/>
  <c r="U304" i="2"/>
  <c r="U303" i="2"/>
  <c r="V303" i="2"/>
  <c r="S303" i="2"/>
  <c r="U302" i="2"/>
  <c r="V302" i="2"/>
  <c r="S302" i="2"/>
  <c r="V301" i="2"/>
  <c r="U301" i="2"/>
  <c r="S301" i="2"/>
  <c r="V300" i="2"/>
  <c r="U300" i="2"/>
  <c r="S300" i="2"/>
  <c r="V299" i="2"/>
  <c r="U299" i="2"/>
  <c r="S299" i="2"/>
  <c r="S298" i="2"/>
  <c r="V298" i="2"/>
  <c r="U298" i="2"/>
  <c r="S297" i="2"/>
  <c r="U297" i="2"/>
  <c r="V297" i="2"/>
  <c r="S296" i="2"/>
  <c r="V296" i="2"/>
  <c r="U296" i="2"/>
  <c r="S295" i="2"/>
  <c r="U295" i="2"/>
  <c r="V295" i="2"/>
  <c r="S294" i="2"/>
  <c r="U294" i="2"/>
  <c r="V294" i="2"/>
  <c r="V293" i="2"/>
  <c r="U293" i="2"/>
  <c r="S293" i="2"/>
  <c r="S292" i="2"/>
  <c r="V292" i="2"/>
  <c r="U292" i="2"/>
  <c r="V291" i="2"/>
  <c r="U291" i="2"/>
  <c r="S291" i="2"/>
  <c r="U290" i="2"/>
  <c r="V290" i="2"/>
  <c r="S290" i="2"/>
  <c r="U289" i="2"/>
  <c r="S289" i="2"/>
  <c r="V289" i="2"/>
  <c r="V288" i="2"/>
  <c r="U288" i="2"/>
  <c r="S288" i="2"/>
  <c r="V286" i="2"/>
  <c r="U286" i="2"/>
  <c r="S286" i="2"/>
  <c r="V284" i="2"/>
  <c r="U284" i="2"/>
  <c r="S284" i="2"/>
  <c r="V281" i="2"/>
  <c r="U281" i="2"/>
  <c r="S281" i="2"/>
  <c r="V279" i="2"/>
  <c r="U279" i="2"/>
  <c r="S279" i="2"/>
  <c r="V278" i="2"/>
  <c r="U278" i="2"/>
  <c r="S278" i="2"/>
  <c r="U276" i="2"/>
  <c r="V276" i="2"/>
  <c r="S276" i="2"/>
  <c r="V273" i="2"/>
  <c r="X273" i="2" s="1"/>
  <c r="A274" i="2" s="1"/>
  <c r="X274" i="2" s="1"/>
  <c r="A275" i="2" s="1"/>
  <c r="X275" i="2" s="1"/>
  <c r="A276" i="2" s="1"/>
  <c r="X276" i="2" s="1"/>
  <c r="A277" i="2" s="1"/>
  <c r="X277" i="2" s="1"/>
  <c r="A278" i="2" s="1"/>
  <c r="X278" i="2" s="1"/>
  <c r="A279" i="2" s="1"/>
  <c r="X279" i="2" s="1"/>
  <c r="A280" i="2" s="1"/>
  <c r="X280" i="2" s="1"/>
  <c r="A281" i="2" s="1"/>
  <c r="X281" i="2" s="1"/>
  <c r="A282" i="2" s="1"/>
  <c r="X282" i="2" s="1"/>
  <c r="A283" i="2" s="1"/>
  <c r="X283" i="2" s="1"/>
  <c r="A284" i="2" s="1"/>
  <c r="X284" i="2" s="1"/>
  <c r="A285" i="2" s="1"/>
  <c r="X285" i="2" s="1"/>
  <c r="A286" i="2" s="1"/>
  <c r="X286" i="2" s="1"/>
  <c r="A287" i="2" s="1"/>
  <c r="X287" i="2" s="1"/>
  <c r="A288" i="2" s="1"/>
  <c r="X288" i="2" s="1"/>
  <c r="A289" i="2" s="1"/>
  <c r="X289" i="2" s="1"/>
  <c r="A290" i="2" s="1"/>
  <c r="X290" i="2" s="1"/>
  <c r="A291" i="2" s="1"/>
  <c r="X291" i="2" s="1"/>
  <c r="A292" i="2" s="1"/>
  <c r="X292" i="2" s="1"/>
  <c r="A293" i="2" s="1"/>
  <c r="X293" i="2" s="1"/>
  <c r="A294" i="2" s="1"/>
  <c r="X294" i="2" s="1"/>
  <c r="A295" i="2" s="1"/>
  <c r="X295" i="2" s="1"/>
  <c r="A296" i="2" s="1"/>
  <c r="X296" i="2" s="1"/>
  <c r="A297" i="2" s="1"/>
  <c r="X297" i="2" s="1"/>
  <c r="A298" i="2" s="1"/>
  <c r="X298" i="2" s="1"/>
  <c r="A299" i="2" s="1"/>
  <c r="X299" i="2" s="1"/>
  <c r="A300" i="2" s="1"/>
  <c r="X300" i="2" s="1"/>
  <c r="A301" i="2" s="1"/>
  <c r="X301" i="2" s="1"/>
  <c r="A302" i="2" s="1"/>
  <c r="X302" i="2" s="1"/>
  <c r="A303" i="2" s="1"/>
  <c r="X303" i="2" s="1"/>
  <c r="A304" i="2" s="1"/>
  <c r="X304" i="2" s="1"/>
  <c r="A305" i="2" s="1"/>
  <c r="X305" i="2" s="1"/>
  <c r="A306" i="2" s="1"/>
  <c r="X306" i="2" s="1"/>
  <c r="A307" i="2" s="1"/>
  <c r="X307" i="2" s="1"/>
  <c r="A308" i="2" s="1"/>
  <c r="X308" i="2" s="1"/>
  <c r="A309" i="2" s="1"/>
  <c r="X309" i="2" s="1"/>
  <c r="A310" i="2" s="1"/>
  <c r="X310" i="2" s="1"/>
  <c r="A311" i="2" s="1"/>
  <c r="X311" i="2" s="1"/>
  <c r="A312" i="2" s="1"/>
  <c r="X312" i="2" s="1"/>
  <c r="A313" i="2" s="1"/>
  <c r="X313" i="2" s="1"/>
  <c r="A314" i="2" s="1"/>
  <c r="X314" i="2" s="1"/>
  <c r="A315" i="2" s="1"/>
  <c r="X315" i="2" s="1"/>
  <c r="A316" i="2" s="1"/>
  <c r="X316" i="2" s="1"/>
  <c r="A317" i="2" s="1"/>
  <c r="X317" i="2" s="1"/>
  <c r="A318" i="2" s="1"/>
  <c r="X318" i="2" s="1"/>
  <c r="A319" i="2" s="1"/>
  <c r="X319" i="2" s="1"/>
  <c r="A320" i="2" s="1"/>
  <c r="X320" i="2" s="1"/>
  <c r="A321" i="2" s="1"/>
  <c r="X321" i="2" s="1"/>
  <c r="A322" i="2" s="1"/>
  <c r="X322" i="2" s="1"/>
  <c r="A323" i="2" s="1"/>
  <c r="X323" i="2" s="1"/>
  <c r="A324" i="2" s="1"/>
  <c r="X324" i="2" s="1"/>
  <c r="A325" i="2" s="1"/>
  <c r="X325" i="2" s="1"/>
  <c r="A326" i="2" s="1"/>
  <c r="X326" i="2" s="1"/>
  <c r="A327" i="2" s="1"/>
  <c r="X327" i="2" s="1"/>
  <c r="A328" i="2" s="1"/>
  <c r="X328" i="2" s="1"/>
  <c r="A329" i="2" s="1"/>
  <c r="X329" i="2" s="1"/>
  <c r="A330" i="2" s="1"/>
  <c r="X330" i="2" s="1"/>
  <c r="A331" i="2" s="1"/>
  <c r="X331" i="2" s="1"/>
  <c r="A332" i="2" s="1"/>
  <c r="X332" i="2" s="1"/>
  <c r="A333" i="2" s="1"/>
  <c r="X333" i="2" s="1"/>
  <c r="A334" i="2" s="1"/>
  <c r="X334" i="2" s="1"/>
  <c r="A335" i="2" s="1"/>
  <c r="X335" i="2" s="1"/>
  <c r="A336" i="2" s="1"/>
  <c r="X336" i="2" s="1"/>
  <c r="A337" i="2" s="1"/>
  <c r="X337" i="2" s="1"/>
  <c r="A338" i="2" s="1"/>
  <c r="X338" i="2" s="1"/>
  <c r="A339" i="2" s="1"/>
  <c r="X339" i="2" s="1"/>
  <c r="A340" i="2" s="1"/>
  <c r="X340" i="2" s="1"/>
  <c r="A341" i="2" s="1"/>
  <c r="X341" i="2" s="1"/>
  <c r="A342" i="2" s="1"/>
  <c r="X342" i="2" s="1"/>
  <c r="A343" i="2" s="1"/>
  <c r="X343" i="2" s="1"/>
  <c r="A344" i="2" s="1"/>
  <c r="X344" i="2" s="1"/>
  <c r="A345" i="2" s="1"/>
  <c r="X345" i="2" s="1"/>
  <c r="A346" i="2" s="1"/>
  <c r="X346" i="2" s="1"/>
  <c r="A347" i="2" s="1"/>
  <c r="X347" i="2" s="1"/>
  <c r="A348" i="2" s="1"/>
  <c r="X348" i="2" s="1"/>
  <c r="A349" i="2" s="1"/>
  <c r="X349" i="2" s="1"/>
  <c r="A350" i="2" s="1"/>
  <c r="X350" i="2" s="1"/>
  <c r="A351" i="2" s="1"/>
  <c r="X351" i="2" s="1"/>
  <c r="A352" i="2" s="1"/>
  <c r="X352" i="2" s="1"/>
  <c r="A353" i="2" s="1"/>
  <c r="X353" i="2" s="1"/>
  <c r="A354" i="2" s="1"/>
  <c r="X354" i="2" s="1"/>
  <c r="A355" i="2" s="1"/>
  <c r="X355" i="2" s="1"/>
  <c r="A356" i="2" s="1"/>
  <c r="X356" i="2" s="1"/>
  <c r="A357" i="2" s="1"/>
  <c r="X357" i="2" s="1"/>
  <c r="A358" i="2" s="1"/>
  <c r="X358" i="2" s="1"/>
  <c r="A359" i="2" s="1"/>
  <c r="X359" i="2" s="1"/>
  <c r="U273" i="2"/>
  <c r="S273" i="2"/>
  <c r="U268" i="2"/>
  <c r="V268" i="2" s="1"/>
  <c r="S268" i="2"/>
  <c r="U267" i="2"/>
  <c r="V267" i="2" s="1"/>
  <c r="S267" i="2"/>
  <c r="S266" i="2"/>
  <c r="U266" i="2"/>
  <c r="V266" i="2" s="1"/>
  <c r="S265" i="2"/>
  <c r="U265" i="2"/>
  <c r="V265" i="2" s="1"/>
  <c r="S264" i="2"/>
  <c r="U264" i="2"/>
  <c r="V264" i="2" s="1"/>
  <c r="S263" i="2"/>
  <c r="U263" i="2"/>
  <c r="V263" i="2" s="1"/>
  <c r="U262" i="2"/>
  <c r="V262" i="2" s="1"/>
  <c r="S262" i="2"/>
  <c r="U261" i="2"/>
  <c r="V261" i="2" s="1"/>
  <c r="S261" i="2"/>
  <c r="S260" i="2"/>
  <c r="U260" i="2"/>
  <c r="V260" i="2" s="1"/>
  <c r="S259" i="2"/>
  <c r="U259" i="2"/>
  <c r="V259" i="2" s="1"/>
  <c r="S258" i="2"/>
  <c r="U258" i="2"/>
  <c r="V258" i="2"/>
  <c r="V257" i="2"/>
  <c r="U257" i="2"/>
  <c r="S257" i="2"/>
  <c r="S256" i="2"/>
  <c r="U256" i="2"/>
  <c r="V256" i="2"/>
  <c r="S255" i="2"/>
  <c r="U255" i="2"/>
  <c r="V255" i="2"/>
  <c r="V254" i="2"/>
  <c r="S254" i="2"/>
  <c r="U254" i="2"/>
  <c r="S253" i="2"/>
  <c r="U253" i="2"/>
  <c r="V253" i="2"/>
  <c r="S252" i="2"/>
  <c r="U252" i="2"/>
  <c r="V252" i="2"/>
  <c r="S251" i="2"/>
  <c r="V251" i="2"/>
  <c r="U251" i="2"/>
  <c r="V250" i="2"/>
  <c r="S250" i="2"/>
  <c r="U250" i="2"/>
  <c r="V249" i="2"/>
  <c r="S249" i="2"/>
  <c r="U249" i="2"/>
  <c r="S248" i="2"/>
  <c r="U248" i="2"/>
  <c r="V248" i="2"/>
  <c r="V247" i="2"/>
  <c r="U247" i="2"/>
  <c r="S247" i="2"/>
  <c r="S246" i="2"/>
  <c r="U246" i="2"/>
  <c r="V246" i="2"/>
  <c r="S245" i="2"/>
  <c r="U245" i="2"/>
  <c r="V245" i="2"/>
  <c r="V244" i="2"/>
  <c r="S244" i="2"/>
  <c r="U244" i="2"/>
  <c r="V243" i="2"/>
  <c r="U243" i="2"/>
  <c r="S243" i="2"/>
  <c r="U242" i="2"/>
  <c r="S242" i="2"/>
  <c r="V242" i="2"/>
  <c r="U241" i="2"/>
  <c r="S241" i="2"/>
  <c r="V241" i="2"/>
  <c r="S240" i="2"/>
  <c r="V240" i="2"/>
  <c r="U240" i="2"/>
  <c r="V239" i="2"/>
  <c r="U239" i="2"/>
  <c r="S239" i="2"/>
  <c r="S238" i="2"/>
  <c r="U238" i="2"/>
  <c r="V238" i="2"/>
  <c r="S237" i="2"/>
  <c r="U237" i="2"/>
  <c r="V237" i="2"/>
  <c r="S236" i="2"/>
  <c r="U236" i="2"/>
  <c r="V236" i="2"/>
  <c r="S235" i="2"/>
  <c r="V235" i="2"/>
  <c r="U235" i="2"/>
  <c r="V234" i="2"/>
  <c r="U234" i="2"/>
  <c r="S234" i="2"/>
  <c r="V233" i="2"/>
  <c r="U233" i="2"/>
  <c r="S233" i="2"/>
  <c r="U232" i="2"/>
  <c r="S232" i="2"/>
  <c r="V232" i="2"/>
  <c r="V231" i="2"/>
  <c r="U231" i="2"/>
  <c r="S231" i="2"/>
  <c r="U230" i="2"/>
  <c r="S230" i="2"/>
  <c r="V230" i="2"/>
  <c r="S229" i="2"/>
  <c r="V229" i="2"/>
  <c r="U229" i="2"/>
  <c r="V228" i="2"/>
  <c r="U228" i="2"/>
  <c r="S228" i="2"/>
  <c r="V227" i="2"/>
  <c r="S227" i="2"/>
  <c r="U227" i="2"/>
  <c r="S226" i="2"/>
  <c r="V226" i="2"/>
  <c r="U226" i="2"/>
  <c r="S225" i="2"/>
  <c r="U225" i="2"/>
  <c r="V225" i="2"/>
  <c r="U224" i="2"/>
  <c r="V224" i="2"/>
  <c r="S224" i="2"/>
  <c r="V223" i="2"/>
  <c r="U223" i="2"/>
  <c r="S223" i="2"/>
  <c r="V222" i="2"/>
  <c r="U222" i="2"/>
  <c r="S222" i="2"/>
  <c r="V221" i="2"/>
  <c r="U221" i="2"/>
  <c r="S221" i="2"/>
  <c r="S220" i="2"/>
  <c r="U220" i="2"/>
  <c r="V220" i="2"/>
  <c r="U219" i="2"/>
  <c r="S219" i="2"/>
  <c r="V219" i="2"/>
  <c r="S218" i="2"/>
  <c r="U218" i="2"/>
  <c r="V218" i="2"/>
  <c r="S217" i="2"/>
  <c r="U217" i="2"/>
  <c r="V217" i="2"/>
  <c r="S216" i="2"/>
  <c r="U216" i="2"/>
  <c r="V216" i="2"/>
  <c r="S215" i="2"/>
  <c r="U215" i="2"/>
  <c r="V215" i="2"/>
  <c r="S214" i="2"/>
  <c r="V214" i="2"/>
  <c r="U214" i="2"/>
  <c r="S213" i="2"/>
  <c r="U213" i="2"/>
  <c r="V213" i="2"/>
  <c r="S212" i="2"/>
  <c r="U212" i="2"/>
  <c r="V212" i="2"/>
  <c r="V211" i="2"/>
  <c r="S211" i="2"/>
  <c r="U211" i="2"/>
  <c r="S210" i="2"/>
  <c r="V210" i="2"/>
  <c r="U210" i="2"/>
  <c r="S209" i="2"/>
  <c r="U209" i="2"/>
  <c r="V209" i="2"/>
  <c r="S208" i="2"/>
  <c r="U208" i="2"/>
  <c r="V208" i="2"/>
  <c r="S207" i="2"/>
  <c r="U207" i="2"/>
  <c r="V207" i="2"/>
  <c r="U206" i="2"/>
  <c r="S206" i="2"/>
  <c r="V206" i="2"/>
  <c r="V205" i="2"/>
  <c r="U205" i="2"/>
  <c r="S205" i="2"/>
  <c r="S204" i="2"/>
  <c r="V204" i="2"/>
  <c r="U204" i="2"/>
  <c r="S203" i="2"/>
  <c r="U203" i="2"/>
  <c r="V203" i="2"/>
  <c r="S202" i="2"/>
  <c r="U202" i="2"/>
  <c r="V202" i="2"/>
  <c r="V201" i="2"/>
  <c r="U201" i="2"/>
  <c r="S201" i="2"/>
  <c r="V200" i="2"/>
  <c r="U200" i="2"/>
  <c r="S200" i="2"/>
  <c r="S199" i="2"/>
  <c r="V199" i="2"/>
  <c r="U199" i="2"/>
  <c r="V198" i="2"/>
  <c r="U198" i="2"/>
  <c r="S198" i="2"/>
  <c r="V197" i="2"/>
  <c r="U197" i="2"/>
  <c r="S197" i="2"/>
  <c r="V196" i="2"/>
  <c r="U196" i="2"/>
  <c r="S196" i="2"/>
  <c r="V195" i="2"/>
  <c r="U195" i="2"/>
  <c r="S195" i="2"/>
  <c r="S194" i="2"/>
  <c r="V194" i="2"/>
  <c r="U194" i="2"/>
  <c r="S193" i="2"/>
  <c r="U193" i="2"/>
  <c r="V193" i="2"/>
  <c r="V192" i="2"/>
  <c r="U192" i="2"/>
  <c r="S192" i="2"/>
  <c r="S191" i="2"/>
  <c r="U191" i="2"/>
  <c r="V191" i="2"/>
  <c r="V190" i="2"/>
  <c r="U190" i="2"/>
  <c r="S190" i="2"/>
  <c r="U188" i="2"/>
  <c r="V188" i="2"/>
  <c r="S188" i="2"/>
  <c r="V187" i="2"/>
  <c r="U187" i="2"/>
  <c r="S187" i="2"/>
  <c r="V186" i="2"/>
  <c r="U186" i="2"/>
  <c r="S186" i="2"/>
  <c r="U185" i="2"/>
  <c r="S185" i="2"/>
  <c r="V185" i="2"/>
  <c r="S184" i="2"/>
  <c r="U184" i="2"/>
  <c r="V184" i="2"/>
  <c r="S183" i="2"/>
  <c r="U183" i="2"/>
  <c r="V183" i="2"/>
  <c r="U182" i="2"/>
  <c r="V182" i="2"/>
  <c r="S182" i="2"/>
  <c r="U181" i="2"/>
  <c r="S181" i="2"/>
  <c r="V181" i="2"/>
  <c r="V180" i="2"/>
  <c r="U180" i="2"/>
  <c r="S180" i="2"/>
  <c r="V179" i="2"/>
  <c r="U179" i="2"/>
  <c r="S179" i="2"/>
  <c r="V178" i="2"/>
  <c r="U178" i="2"/>
  <c r="S178" i="2"/>
  <c r="V176" i="2"/>
  <c r="U176" i="2"/>
  <c r="S176" i="2"/>
  <c r="V175" i="2"/>
  <c r="U175" i="2"/>
  <c r="S175" i="2"/>
  <c r="V174" i="2"/>
  <c r="U174" i="2"/>
  <c r="S174" i="2"/>
  <c r="V173" i="2"/>
  <c r="U173" i="2"/>
  <c r="S173" i="2"/>
  <c r="V172" i="2"/>
  <c r="U172" i="2"/>
  <c r="S172" i="2"/>
  <c r="V171" i="2"/>
  <c r="S171" i="2"/>
  <c r="U171" i="2"/>
  <c r="V170" i="2"/>
  <c r="U170" i="2"/>
  <c r="S170" i="2"/>
  <c r="V169" i="2"/>
  <c r="U169" i="2"/>
  <c r="S169" i="2"/>
  <c r="U168" i="2"/>
  <c r="V168" i="2"/>
  <c r="S168" i="2"/>
  <c r="U167" i="2"/>
  <c r="S167" i="2"/>
  <c r="V167" i="2"/>
  <c r="U166" i="2"/>
  <c r="V166" i="2"/>
  <c r="S166" i="2"/>
  <c r="U163" i="2"/>
  <c r="S163" i="2"/>
  <c r="V163" i="2"/>
  <c r="V162" i="2"/>
  <c r="U162" i="2"/>
  <c r="S162" i="2"/>
  <c r="U161" i="2"/>
  <c r="V161" i="2"/>
  <c r="S161" i="2"/>
  <c r="V159" i="2"/>
  <c r="S159" i="2"/>
  <c r="U159" i="2"/>
  <c r="U155" i="2"/>
  <c r="S155" i="2"/>
  <c r="V155" i="2"/>
  <c r="V154" i="2"/>
  <c r="U154" i="2"/>
  <c r="S154" i="2"/>
  <c r="V153" i="2"/>
  <c r="S153" i="2"/>
  <c r="U153" i="2"/>
  <c r="S152" i="2"/>
  <c r="U152" i="2"/>
  <c r="V152" i="2"/>
  <c r="U151" i="2"/>
  <c r="V151" i="2"/>
  <c r="S151" i="2"/>
  <c r="V150" i="2"/>
  <c r="U150" i="2"/>
  <c r="S150" i="2"/>
  <c r="S149" i="2"/>
  <c r="V149" i="2"/>
  <c r="X149" i="2" s="1"/>
  <c r="A150" i="2" s="1"/>
  <c r="X150" i="2" s="1"/>
  <c r="A151" i="2" s="1"/>
  <c r="X151" i="2" s="1"/>
  <c r="A152" i="2" s="1"/>
  <c r="X152" i="2" s="1"/>
  <c r="A153" i="2" s="1"/>
  <c r="X153" i="2" s="1"/>
  <c r="A154" i="2" s="1"/>
  <c r="X154" i="2" s="1"/>
  <c r="A155" i="2" s="1"/>
  <c r="X155" i="2" s="1"/>
  <c r="A156" i="2" s="1"/>
  <c r="X156" i="2" s="1"/>
  <c r="A157" i="2" s="1"/>
  <c r="X157" i="2" s="1"/>
  <c r="A158" i="2" s="1"/>
  <c r="X158" i="2" s="1"/>
  <c r="A159" i="2" s="1"/>
  <c r="X159" i="2" s="1"/>
  <c r="A160" i="2" s="1"/>
  <c r="X160" i="2" s="1"/>
  <c r="A161" i="2" s="1"/>
  <c r="X161" i="2" s="1"/>
  <c r="A162" i="2" s="1"/>
  <c r="X162" i="2" s="1"/>
  <c r="A163" i="2" s="1"/>
  <c r="X163" i="2" s="1"/>
  <c r="A164" i="2" s="1"/>
  <c r="X164" i="2" s="1"/>
  <c r="A165" i="2" s="1"/>
  <c r="X165" i="2" s="1"/>
  <c r="A166" i="2" s="1"/>
  <c r="X166" i="2" s="1"/>
  <c r="A167" i="2" s="1"/>
  <c r="X167" i="2" s="1"/>
  <c r="A168" i="2" s="1"/>
  <c r="X168" i="2" s="1"/>
  <c r="A169" i="2" s="1"/>
  <c r="X169" i="2" s="1"/>
  <c r="A170" i="2" s="1"/>
  <c r="X170" i="2" s="1"/>
  <c r="A171" i="2" s="1"/>
  <c r="X171" i="2" s="1"/>
  <c r="A172" i="2" s="1"/>
  <c r="X172" i="2" s="1"/>
  <c r="A173" i="2" s="1"/>
  <c r="X173" i="2" s="1"/>
  <c r="A174" i="2" s="1"/>
  <c r="X174" i="2" s="1"/>
  <c r="A175" i="2" s="1"/>
  <c r="X175" i="2" s="1"/>
  <c r="A176" i="2" s="1"/>
  <c r="X176" i="2" s="1"/>
  <c r="A177" i="2" s="1"/>
  <c r="X177" i="2" s="1"/>
  <c r="A178" i="2" s="1"/>
  <c r="X178" i="2" s="1"/>
  <c r="A179" i="2" s="1"/>
  <c r="X179" i="2" s="1"/>
  <c r="A180" i="2" s="1"/>
  <c r="X180" i="2" s="1"/>
  <c r="A181" i="2" s="1"/>
  <c r="X181" i="2" s="1"/>
  <c r="A182" i="2" s="1"/>
  <c r="X182" i="2" s="1"/>
  <c r="A183" i="2" s="1"/>
  <c r="X183" i="2" s="1"/>
  <c r="A184" i="2" s="1"/>
  <c r="X184" i="2" s="1"/>
  <c r="A185" i="2" s="1"/>
  <c r="X185" i="2" s="1"/>
  <c r="A186" i="2" s="1"/>
  <c r="X186" i="2" s="1"/>
  <c r="A187" i="2" s="1"/>
  <c r="X187" i="2" s="1"/>
  <c r="A188" i="2" s="1"/>
  <c r="X188" i="2" s="1"/>
  <c r="A189" i="2" s="1"/>
  <c r="X189" i="2" s="1"/>
  <c r="A190" i="2" s="1"/>
  <c r="X190" i="2" s="1"/>
  <c r="A191" i="2" s="1"/>
  <c r="X191" i="2" s="1"/>
  <c r="A192" i="2" s="1"/>
  <c r="X192" i="2" s="1"/>
  <c r="A193" i="2" s="1"/>
  <c r="X193" i="2" s="1"/>
  <c r="A194" i="2" s="1"/>
  <c r="X194" i="2" s="1"/>
  <c r="A195" i="2" s="1"/>
  <c r="X195" i="2" s="1"/>
  <c r="A196" i="2" s="1"/>
  <c r="X196" i="2" s="1"/>
  <c r="A197" i="2" s="1"/>
  <c r="X197" i="2" s="1"/>
  <c r="A198" i="2" s="1"/>
  <c r="X198" i="2" s="1"/>
  <c r="A199" i="2" s="1"/>
  <c r="X199" i="2" s="1"/>
  <c r="A200" i="2" s="1"/>
  <c r="X200" i="2" s="1"/>
  <c r="A201" i="2" s="1"/>
  <c r="X201" i="2" s="1"/>
  <c r="A202" i="2" s="1"/>
  <c r="X202" i="2" s="1"/>
  <c r="A203" i="2" s="1"/>
  <c r="X203" i="2" s="1"/>
  <c r="A204" i="2" s="1"/>
  <c r="X204" i="2" s="1"/>
  <c r="A205" i="2" s="1"/>
  <c r="X205" i="2" s="1"/>
  <c r="A206" i="2" s="1"/>
  <c r="X206" i="2" s="1"/>
  <c r="A207" i="2" s="1"/>
  <c r="X207" i="2" s="1"/>
  <c r="A208" i="2" s="1"/>
  <c r="X208" i="2" s="1"/>
  <c r="A209" i="2" s="1"/>
  <c r="X209" i="2" s="1"/>
  <c r="A210" i="2" s="1"/>
  <c r="X210" i="2" s="1"/>
  <c r="A211" i="2" s="1"/>
  <c r="X211" i="2" s="1"/>
  <c r="A212" i="2" s="1"/>
  <c r="X212" i="2" s="1"/>
  <c r="A213" i="2" s="1"/>
  <c r="X213" i="2" s="1"/>
  <c r="A214" i="2" s="1"/>
  <c r="X214" i="2" s="1"/>
  <c r="A215" i="2" s="1"/>
  <c r="X215" i="2" s="1"/>
  <c r="A216" i="2" s="1"/>
  <c r="X216" i="2" s="1"/>
  <c r="A217" i="2" s="1"/>
  <c r="X217" i="2" s="1"/>
  <c r="A218" i="2" s="1"/>
  <c r="X218" i="2" s="1"/>
  <c r="A219" i="2" s="1"/>
  <c r="X219" i="2" s="1"/>
  <c r="A220" i="2" s="1"/>
  <c r="X220" i="2" s="1"/>
  <c r="A221" i="2" s="1"/>
  <c r="X221" i="2" s="1"/>
  <c r="A222" i="2" s="1"/>
  <c r="X222" i="2" s="1"/>
  <c r="A223" i="2" s="1"/>
  <c r="X223" i="2" s="1"/>
  <c r="A224" i="2" s="1"/>
  <c r="X224" i="2" s="1"/>
  <c r="A225" i="2" s="1"/>
  <c r="X225" i="2" s="1"/>
  <c r="A226" i="2" s="1"/>
  <c r="X226" i="2" s="1"/>
  <c r="A227" i="2" s="1"/>
  <c r="X227" i="2" s="1"/>
  <c r="A228" i="2" s="1"/>
  <c r="X228" i="2" s="1"/>
  <c r="A229" i="2" s="1"/>
  <c r="X229" i="2" s="1"/>
  <c r="A230" i="2" s="1"/>
  <c r="X230" i="2" s="1"/>
  <c r="A231" i="2" s="1"/>
  <c r="X231" i="2" s="1"/>
  <c r="A232" i="2" s="1"/>
  <c r="X232" i="2" s="1"/>
  <c r="A233" i="2" s="1"/>
  <c r="X233" i="2" s="1"/>
  <c r="A234" i="2" s="1"/>
  <c r="X234" i="2" s="1"/>
  <c r="A235" i="2" s="1"/>
  <c r="X235" i="2" s="1"/>
  <c r="A236" i="2" s="1"/>
  <c r="X236" i="2" s="1"/>
  <c r="A237" i="2" s="1"/>
  <c r="X237" i="2" s="1"/>
  <c r="A238" i="2" s="1"/>
  <c r="X238" i="2" s="1"/>
  <c r="A239" i="2" s="1"/>
  <c r="X239" i="2" s="1"/>
  <c r="A240" i="2" s="1"/>
  <c r="X240" i="2" s="1"/>
  <c r="A241" i="2" s="1"/>
  <c r="X241" i="2" s="1"/>
  <c r="A242" i="2" s="1"/>
  <c r="X242" i="2" s="1"/>
  <c r="A243" i="2" s="1"/>
  <c r="X243" i="2" s="1"/>
  <c r="A244" i="2" s="1"/>
  <c r="X244" i="2" s="1"/>
  <c r="A245" i="2" s="1"/>
  <c r="X245" i="2" s="1"/>
  <c r="A246" i="2" s="1"/>
  <c r="X246" i="2" s="1"/>
  <c r="A247" i="2" s="1"/>
  <c r="X247" i="2" s="1"/>
  <c r="A248" i="2" s="1"/>
  <c r="X248" i="2" s="1"/>
  <c r="A249" i="2" s="1"/>
  <c r="X249" i="2" s="1"/>
  <c r="A250" i="2" s="1"/>
  <c r="X250" i="2" s="1"/>
  <c r="A251" i="2" s="1"/>
  <c r="X251" i="2" s="1"/>
  <c r="A252" i="2" s="1"/>
  <c r="X252" i="2" s="1"/>
  <c r="A253" i="2" s="1"/>
  <c r="X253" i="2" s="1"/>
  <c r="A254" i="2" s="1"/>
  <c r="X254" i="2" s="1"/>
  <c r="A255" i="2" s="1"/>
  <c r="X255" i="2" s="1"/>
  <c r="U149" i="2"/>
  <c r="S145" i="2"/>
  <c r="U145" i="2"/>
  <c r="V145" i="2" s="1"/>
  <c r="S143" i="2"/>
  <c r="U143" i="2"/>
  <c r="V143" i="2" s="1"/>
  <c r="S142" i="2"/>
  <c r="U142" i="2"/>
  <c r="V142" i="2" s="1"/>
  <c r="S141" i="2"/>
  <c r="U141" i="2"/>
  <c r="V141" i="2" s="1"/>
  <c r="S140" i="2"/>
  <c r="U140" i="2"/>
  <c r="V140" i="2"/>
  <c r="V139" i="2"/>
  <c r="U139" i="2"/>
  <c r="S139" i="2"/>
  <c r="S138" i="2"/>
  <c r="V138" i="2"/>
  <c r="U138" i="2"/>
  <c r="V137" i="2"/>
  <c r="U137" i="2"/>
  <c r="S137" i="2"/>
  <c r="V136" i="2"/>
  <c r="S136" i="2"/>
  <c r="U136" i="2"/>
  <c r="S135" i="2"/>
  <c r="U135" i="2"/>
  <c r="V135" i="2"/>
  <c r="S134" i="2"/>
  <c r="U134" i="2"/>
  <c r="V134" i="2"/>
  <c r="X134" i="2" s="1"/>
  <c r="A135" i="2" s="1"/>
  <c r="X135" i="2" s="1"/>
  <c r="S131" i="2"/>
  <c r="U131" i="2"/>
  <c r="V131" i="2" s="1"/>
  <c r="U130" i="2"/>
  <c r="V130" i="2" s="1"/>
  <c r="S130" i="2"/>
  <c r="S129" i="2"/>
  <c r="U129" i="2"/>
  <c r="V129" i="2" s="1"/>
  <c r="S128" i="2"/>
  <c r="U128" i="2"/>
  <c r="V128" i="2" s="1"/>
  <c r="S127" i="2"/>
  <c r="U127" i="2"/>
  <c r="V127" i="2" s="1"/>
  <c r="U126" i="2"/>
  <c r="V126" i="2" s="1"/>
  <c r="S126" i="2"/>
  <c r="S125" i="2"/>
  <c r="U125" i="2"/>
  <c r="V125" i="2" s="1"/>
  <c r="S124" i="2"/>
  <c r="U124" i="2"/>
  <c r="V124" i="2" s="1"/>
  <c r="U123" i="2"/>
  <c r="V123" i="2" s="1"/>
  <c r="S123" i="2"/>
  <c r="U122" i="2"/>
  <c r="V122" i="2" s="1"/>
  <c r="S122" i="2"/>
  <c r="S121" i="2"/>
  <c r="U121" i="2"/>
  <c r="V121" i="2" s="1"/>
  <c r="S120" i="2"/>
  <c r="U120" i="2"/>
  <c r="V120" i="2" s="1"/>
  <c r="U119" i="2"/>
  <c r="V119" i="2" s="1"/>
  <c r="S119" i="2"/>
  <c r="U118" i="2"/>
  <c r="V118" i="2" s="1"/>
  <c r="S118" i="2"/>
  <c r="U116" i="2"/>
  <c r="V116" i="2" s="1"/>
  <c r="S116" i="2"/>
  <c r="U115" i="2"/>
  <c r="S115" i="2"/>
  <c r="V115" i="2"/>
  <c r="V114" i="2"/>
  <c r="U114" i="2"/>
  <c r="S114" i="2"/>
  <c r="S113" i="2"/>
  <c r="U113" i="2"/>
  <c r="V113" i="2"/>
  <c r="X113" i="2" s="1"/>
  <c r="A114" i="2" s="1"/>
  <c r="X114" i="2" s="1"/>
  <c r="A115" i="2" s="1"/>
  <c r="X115" i="2" s="1"/>
  <c r="A116" i="2" s="1"/>
  <c r="S110" i="2"/>
  <c r="U110" i="2"/>
  <c r="V110" i="2" s="1"/>
  <c r="U109" i="2"/>
  <c r="V109" i="2" s="1"/>
  <c r="S109" i="2"/>
  <c r="U108" i="2"/>
  <c r="V108" i="2" s="1"/>
  <c r="S108" i="2"/>
  <c r="S107" i="2"/>
  <c r="U107" i="2"/>
  <c r="V107" i="2" s="1"/>
  <c r="S106" i="2"/>
  <c r="U106" i="2"/>
  <c r="V106" i="2" s="1"/>
  <c r="U105" i="2"/>
  <c r="V105" i="2" s="1"/>
  <c r="S105" i="2"/>
  <c r="S104" i="2"/>
  <c r="U104" i="2"/>
  <c r="V104" i="2" s="1"/>
  <c r="U103" i="2"/>
  <c r="V103" i="2" s="1"/>
  <c r="S103" i="2"/>
  <c r="U102" i="2"/>
  <c r="V102" i="2" s="1"/>
  <c r="S102" i="2"/>
  <c r="S101" i="2"/>
  <c r="U101" i="2"/>
  <c r="V101" i="2" s="1"/>
  <c r="U100" i="2"/>
  <c r="V100" i="2" s="1"/>
  <c r="S100" i="2"/>
  <c r="U99" i="2"/>
  <c r="V99" i="2" s="1"/>
  <c r="S99" i="2"/>
  <c r="S98" i="2"/>
  <c r="U98" i="2"/>
  <c r="V98" i="2" s="1"/>
  <c r="S97" i="2"/>
  <c r="V97" i="2"/>
  <c r="U97" i="2"/>
  <c r="U96" i="2"/>
  <c r="S96" i="2"/>
  <c r="V96" i="2"/>
  <c r="V95" i="2"/>
  <c r="X95" i="2" s="1"/>
  <c r="A96" i="2" s="1"/>
  <c r="X96" i="2" s="1"/>
  <c r="A97" i="2" s="1"/>
  <c r="X97" i="2" s="1"/>
  <c r="A98" i="2" s="1"/>
  <c r="U95" i="2"/>
  <c r="S95" i="2"/>
  <c r="U92" i="2"/>
  <c r="V92" i="2" s="1"/>
  <c r="S92" i="2"/>
  <c r="U91" i="2"/>
  <c r="V91" i="2" s="1"/>
  <c r="S91" i="2"/>
  <c r="U90" i="2"/>
  <c r="V90" i="2" s="1"/>
  <c r="S90" i="2"/>
  <c r="S89" i="2"/>
  <c r="U89" i="2"/>
  <c r="V89" i="2" s="1"/>
  <c r="S88" i="2"/>
  <c r="U88" i="2"/>
  <c r="V88" i="2" s="1"/>
  <c r="S87" i="2"/>
  <c r="U87" i="2"/>
  <c r="V87" i="2" s="1"/>
  <c r="U86" i="2"/>
  <c r="V86" i="2" s="1"/>
  <c r="S86" i="2"/>
  <c r="S85" i="2"/>
  <c r="U85" i="2"/>
  <c r="V85" i="2" s="1"/>
  <c r="U84" i="2"/>
  <c r="V84" i="2" s="1"/>
  <c r="S84" i="2"/>
  <c r="U83" i="2"/>
  <c r="V83" i="2"/>
  <c r="S83" i="2"/>
  <c r="U80" i="2"/>
  <c r="V80" i="2" s="1"/>
  <c r="S80" i="2"/>
  <c r="U79" i="2"/>
  <c r="V79" i="2" s="1"/>
  <c r="S79" i="2"/>
  <c r="U78" i="2"/>
  <c r="V78" i="2" s="1"/>
  <c r="S78" i="2"/>
  <c r="U77" i="2"/>
  <c r="V77" i="2" s="1"/>
  <c r="S77" i="2"/>
  <c r="U76" i="2"/>
  <c r="V76" i="2" s="1"/>
  <c r="S76" i="2"/>
  <c r="U75" i="2"/>
  <c r="V75" i="2" s="1"/>
  <c r="S75" i="2"/>
  <c r="S74" i="2"/>
  <c r="U74" i="2"/>
  <c r="V74" i="2" s="1"/>
  <c r="S73" i="2"/>
  <c r="U73" i="2"/>
  <c r="V73" i="2" s="1"/>
  <c r="S72" i="2"/>
  <c r="U72" i="2"/>
  <c r="V72" i="2" s="1"/>
  <c r="U71" i="2"/>
  <c r="V71" i="2" s="1"/>
  <c r="S71" i="2"/>
  <c r="U70" i="2"/>
  <c r="V70" i="2" s="1"/>
  <c r="S70" i="2"/>
  <c r="U69" i="2"/>
  <c r="V69" i="2" s="1"/>
  <c r="S69" i="2"/>
  <c r="V68" i="2"/>
  <c r="U68" i="2"/>
  <c r="S68" i="2"/>
  <c r="U67" i="2"/>
  <c r="S67" i="2"/>
  <c r="V67" i="2"/>
  <c r="V66" i="2"/>
  <c r="U66" i="2"/>
  <c r="S66" i="2"/>
  <c r="S65" i="2"/>
  <c r="U65" i="2"/>
  <c r="V65" i="2"/>
  <c r="X65" i="2" s="1"/>
  <c r="A66" i="2" s="1"/>
  <c r="X66" i="2" s="1"/>
  <c r="A67" i="2" s="1"/>
  <c r="X67" i="2" s="1"/>
  <c r="A68" i="2" s="1"/>
  <c r="X68" i="2" s="1"/>
  <c r="A69" i="2" s="1"/>
  <c r="S62" i="2"/>
  <c r="U62" i="2"/>
  <c r="V62" i="2" s="1"/>
  <c r="S61" i="2"/>
  <c r="U61" i="2"/>
  <c r="V61" i="2" s="1"/>
  <c r="S60" i="2"/>
  <c r="U60" i="2"/>
  <c r="V60" i="2" s="1"/>
  <c r="U59" i="2"/>
  <c r="V59" i="2" s="1"/>
  <c r="S59" i="2"/>
  <c r="S58" i="2"/>
  <c r="U58" i="2"/>
  <c r="V58" i="2" s="1"/>
  <c r="S57" i="2"/>
  <c r="U57" i="2"/>
  <c r="V57" i="2" s="1"/>
  <c r="S56" i="2"/>
  <c r="U56" i="2"/>
  <c r="V56" i="2" s="1"/>
  <c r="S55" i="2"/>
  <c r="U55" i="2"/>
  <c r="V55" i="2" s="1"/>
  <c r="S54" i="2"/>
  <c r="U54" i="2"/>
  <c r="V54" i="2" s="1"/>
  <c r="U53" i="2"/>
  <c r="V53" i="2" s="1"/>
  <c r="S53" i="2"/>
  <c r="S52" i="2"/>
  <c r="U52" i="2"/>
  <c r="V52" i="2" s="1"/>
  <c r="U51" i="2"/>
  <c r="V51" i="2" s="1"/>
  <c r="S51" i="2"/>
  <c r="U50" i="2"/>
  <c r="V50" i="2" s="1"/>
  <c r="S50" i="2"/>
  <c r="U49" i="2"/>
  <c r="V49" i="2" s="1"/>
  <c r="S49" i="2"/>
  <c r="V48" i="2"/>
  <c r="X48" i="2" s="1"/>
  <c r="A49" i="2" s="1"/>
  <c r="X49" i="2" s="1"/>
  <c r="A50" i="2" s="1"/>
  <c r="S48" i="2"/>
  <c r="U48" i="2"/>
  <c r="C49" i="2"/>
  <c r="U45" i="2"/>
  <c r="V45" i="2" s="1"/>
  <c r="S45" i="2"/>
  <c r="S44" i="2"/>
  <c r="U44" i="2"/>
  <c r="V44" i="2" s="1"/>
  <c r="U43" i="2"/>
  <c r="V43" i="2" s="1"/>
  <c r="S43" i="2"/>
  <c r="S42" i="2"/>
  <c r="U42" i="2"/>
  <c r="V42" i="2" s="1"/>
  <c r="S41" i="2"/>
  <c r="U41" i="2"/>
  <c r="V41" i="2" s="1"/>
  <c r="U40" i="2"/>
  <c r="V40" i="2" s="1"/>
  <c r="S40" i="2"/>
  <c r="U39" i="2"/>
  <c r="V39" i="2" s="1"/>
  <c r="S39" i="2"/>
  <c r="U38" i="2"/>
  <c r="V38" i="2" s="1"/>
  <c r="S38" i="2"/>
  <c r="U36" i="2"/>
  <c r="V36" i="2" s="1"/>
  <c r="S36" i="2"/>
  <c r="S35" i="2"/>
  <c r="U35" i="2"/>
  <c r="V35" i="2" s="1"/>
  <c r="S34" i="2"/>
  <c r="U34" i="2"/>
  <c r="V34" i="2" s="1"/>
  <c r="V33" i="2"/>
  <c r="S33" i="2"/>
  <c r="U33" i="2"/>
  <c r="V32" i="2"/>
  <c r="S32" i="2"/>
  <c r="U32" i="2"/>
  <c r="U31" i="2"/>
  <c r="S31" i="2"/>
  <c r="V31" i="2"/>
  <c r="U30" i="2"/>
  <c r="V30" i="2"/>
  <c r="S30" i="2"/>
  <c r="V29" i="2"/>
  <c r="X29" i="2" s="1"/>
  <c r="A30" i="2" s="1"/>
  <c r="X30" i="2" s="1"/>
  <c r="A31" i="2" s="1"/>
  <c r="X31" i="2" s="1"/>
  <c r="A32" i="2" s="1"/>
  <c r="X32" i="2" s="1"/>
  <c r="A33" i="2" s="1"/>
  <c r="X33" i="2" s="1"/>
  <c r="A34" i="2" s="1"/>
  <c r="U29" i="2"/>
  <c r="S29" i="2"/>
  <c r="U26" i="2"/>
  <c r="V26" i="2" s="1"/>
  <c r="S26" i="2"/>
  <c r="U25" i="2"/>
  <c r="V25" i="2" s="1"/>
  <c r="S25" i="2"/>
  <c r="S24" i="2"/>
  <c r="U24" i="2"/>
  <c r="V24" i="2" s="1"/>
  <c r="U23" i="2"/>
  <c r="V23" i="2" s="1"/>
  <c r="S23" i="2"/>
  <c r="U22" i="2"/>
  <c r="V22" i="2" s="1"/>
  <c r="S22" i="2"/>
  <c r="S21" i="2"/>
  <c r="U21" i="2"/>
  <c r="V21" i="2" s="1"/>
  <c r="X21" i="2" s="1"/>
  <c r="A22" i="2" s="1"/>
  <c r="U20" i="2"/>
  <c r="V20" i="2" s="1"/>
  <c r="X20" i="2" s="1"/>
  <c r="A21" i="2" s="1"/>
  <c r="C21" i="2" s="1"/>
  <c r="S20" i="2"/>
  <c r="S19" i="2"/>
  <c r="U19" i="2"/>
  <c r="V19" i="2" s="1"/>
  <c r="X19" i="2" s="1"/>
  <c r="A20" i="2" s="1"/>
  <c r="C20" i="2" s="1"/>
  <c r="S18" i="2"/>
  <c r="U18" i="2"/>
  <c r="V18" i="2" s="1"/>
  <c r="X18" i="2" s="1"/>
  <c r="A19" i="2" s="1"/>
  <c r="C19" i="2" s="1"/>
  <c r="S17" i="2"/>
  <c r="U17" i="2"/>
  <c r="V17" i="2" s="1"/>
  <c r="X17" i="2" s="1"/>
  <c r="A18" i="2" s="1"/>
  <c r="C18" i="2" s="1"/>
  <c r="S16" i="2"/>
  <c r="U16" i="2"/>
  <c r="V16" i="2" s="1"/>
  <c r="X16" i="2" s="1"/>
  <c r="A17" i="2" s="1"/>
  <c r="C17" i="2" s="1"/>
  <c r="U15" i="2"/>
  <c r="V15" i="2" s="1"/>
  <c r="X15" i="2" s="1"/>
  <c r="A16" i="2" s="1"/>
  <c r="C16" i="2" s="1"/>
  <c r="S15" i="2"/>
  <c r="S14" i="2"/>
  <c r="U14" i="2"/>
  <c r="V14" i="2" s="1"/>
  <c r="S13" i="2"/>
  <c r="U13" i="2"/>
  <c r="V13" i="2" s="1"/>
  <c r="U12" i="2"/>
  <c r="S12" i="2"/>
  <c r="V12" i="2"/>
  <c r="V11" i="2"/>
  <c r="X11" i="2" s="1"/>
  <c r="A12" i="2" s="1"/>
  <c r="X12" i="2" s="1"/>
  <c r="A13" i="2" s="1"/>
  <c r="S11" i="2"/>
  <c r="U11" i="2"/>
  <c r="B1819" i="1"/>
  <c r="V2641" i="1"/>
  <c r="X2641" i="1" s="1"/>
  <c r="A2647" i="1" s="1"/>
  <c r="U2641" i="1"/>
  <c r="S2641" i="1"/>
  <c r="U2627" i="1"/>
  <c r="V2627" i="1" s="1"/>
  <c r="S2627" i="1"/>
  <c r="U2626" i="1"/>
  <c r="V2626" i="1" s="1"/>
  <c r="S2626" i="1"/>
  <c r="U2625" i="1"/>
  <c r="V2625" i="1" s="1"/>
  <c r="S2625" i="1"/>
  <c r="V2624" i="1"/>
  <c r="U2624" i="1"/>
  <c r="S2624" i="1"/>
  <c r="S2623" i="1"/>
  <c r="V2623" i="1"/>
  <c r="U2623" i="1"/>
  <c r="U2622" i="1"/>
  <c r="V2622" i="1"/>
  <c r="S2622" i="1"/>
  <c r="V2621" i="1"/>
  <c r="X2621" i="1" s="1"/>
  <c r="A2622" i="1" s="1"/>
  <c r="X2622" i="1" s="1"/>
  <c r="A2623" i="1" s="1"/>
  <c r="X2623" i="1" s="1"/>
  <c r="A2624" i="1" s="1"/>
  <c r="X2624" i="1" s="1"/>
  <c r="A2625" i="1" s="1"/>
  <c r="S2621" i="1"/>
  <c r="U2621" i="1"/>
  <c r="C2625" i="1"/>
  <c r="X2625" i="1"/>
  <c r="A2626" i="1" s="1"/>
  <c r="S2618" i="1"/>
  <c r="U2618" i="1"/>
  <c r="V2618" i="1"/>
  <c r="U2617" i="1"/>
  <c r="V2617" i="1" s="1"/>
  <c r="S2617" i="1"/>
  <c r="S2616" i="1"/>
  <c r="U2616" i="1"/>
  <c r="V2616" i="1" s="1"/>
  <c r="S2615" i="1"/>
  <c r="U2615" i="1"/>
  <c r="V2615" i="1" s="1"/>
  <c r="S2614" i="1"/>
  <c r="U2614" i="1"/>
  <c r="V2614" i="1" s="1"/>
  <c r="V2613" i="1"/>
  <c r="S2613" i="1"/>
  <c r="U2613" i="1"/>
  <c r="S2612" i="1"/>
  <c r="V2612" i="1"/>
  <c r="U2612" i="1"/>
  <c r="U2611" i="1"/>
  <c r="S2611" i="1"/>
  <c r="V2611" i="1"/>
  <c r="V2610" i="1"/>
  <c r="U2610" i="1"/>
  <c r="S2610" i="1"/>
  <c r="V2609" i="1"/>
  <c r="S2609" i="1"/>
  <c r="U2609" i="1"/>
  <c r="U2608" i="1"/>
  <c r="S2608" i="1"/>
  <c r="V2608" i="1"/>
  <c r="U2607" i="1"/>
  <c r="V2607" i="1"/>
  <c r="S2607" i="1"/>
  <c r="V2606" i="1"/>
  <c r="U2606" i="1"/>
  <c r="V2605" i="1"/>
  <c r="S2605" i="1"/>
  <c r="U2605" i="1"/>
  <c r="V2604" i="1"/>
  <c r="U2604" i="1"/>
  <c r="U2603" i="1"/>
  <c r="S2603" i="1"/>
  <c r="V2603" i="1"/>
  <c r="U2602" i="1"/>
  <c r="V2602" i="1"/>
  <c r="S2602" i="1"/>
  <c r="U2601" i="1"/>
  <c r="S2601" i="1"/>
  <c r="V2601" i="1"/>
  <c r="V2600" i="1"/>
  <c r="U2600" i="1"/>
  <c r="S2600" i="1"/>
  <c r="V2599" i="1"/>
  <c r="U2599" i="1"/>
  <c r="S2599" i="1"/>
  <c r="V2598" i="1"/>
  <c r="S2598" i="1"/>
  <c r="U2598" i="1"/>
  <c r="V2597" i="1"/>
  <c r="U2597" i="1"/>
  <c r="S2597" i="1"/>
  <c r="V2596" i="1"/>
  <c r="S2596" i="1"/>
  <c r="U2596" i="1"/>
  <c r="S2595" i="1"/>
  <c r="U2595" i="1"/>
  <c r="V2595" i="1"/>
  <c r="S2594" i="1"/>
  <c r="V2594" i="1"/>
  <c r="U2594" i="1"/>
  <c r="S2593" i="1"/>
  <c r="U2593" i="1"/>
  <c r="V2593" i="1"/>
  <c r="V2592" i="1"/>
  <c r="U2592" i="1"/>
  <c r="S2592" i="1"/>
  <c r="U2591" i="1"/>
  <c r="V2591" i="1"/>
  <c r="S2591" i="1"/>
  <c r="S2590" i="1"/>
  <c r="U2590" i="1"/>
  <c r="V2590" i="1"/>
  <c r="U2589" i="1"/>
  <c r="V2589" i="1"/>
  <c r="S2589" i="1"/>
  <c r="U2588" i="1"/>
  <c r="S2588" i="1"/>
  <c r="V2588" i="1"/>
  <c r="U2587" i="1"/>
  <c r="S2587" i="1"/>
  <c r="V2587" i="1"/>
  <c r="S2586" i="1"/>
  <c r="U2586" i="1"/>
  <c r="V2586" i="1"/>
  <c r="S2585" i="1"/>
  <c r="V2585" i="1"/>
  <c r="U2585" i="1"/>
  <c r="U2584" i="1"/>
  <c r="V2584" i="1"/>
  <c r="S2584" i="1"/>
  <c r="U2583" i="1"/>
  <c r="S2583" i="1"/>
  <c r="V2583" i="1"/>
  <c r="U2582" i="1"/>
  <c r="S2582" i="1"/>
  <c r="V2582" i="1"/>
  <c r="S2581" i="1"/>
  <c r="V2581" i="1"/>
  <c r="U2581" i="1"/>
  <c r="U2580" i="1"/>
  <c r="S2580" i="1"/>
  <c r="V2580" i="1"/>
  <c r="S2579" i="1"/>
  <c r="U2579" i="1"/>
  <c r="V2579" i="1"/>
  <c r="U2578" i="1"/>
  <c r="V2578" i="1"/>
  <c r="S2578" i="1"/>
  <c r="U2577" i="1"/>
  <c r="V2577" i="1"/>
  <c r="S2577" i="1"/>
  <c r="V2576" i="1"/>
  <c r="U2576" i="1"/>
  <c r="S2576" i="1"/>
  <c r="U2575" i="1"/>
  <c r="V2575" i="1"/>
  <c r="S2575" i="1"/>
  <c r="S2574" i="1"/>
  <c r="V2574" i="1"/>
  <c r="U2574" i="1"/>
  <c r="S2573" i="1"/>
  <c r="V2573" i="1"/>
  <c r="U2573" i="1"/>
  <c r="S2572" i="1"/>
  <c r="V2572" i="1"/>
  <c r="U2572" i="1"/>
  <c r="V2571" i="1"/>
  <c r="U2571" i="1"/>
  <c r="S2571" i="1"/>
  <c r="V2570" i="1"/>
  <c r="S2570" i="1"/>
  <c r="U2570" i="1"/>
  <c r="V2569" i="1"/>
  <c r="S2569" i="1"/>
  <c r="U2569" i="1"/>
  <c r="U2568" i="1"/>
  <c r="S2568" i="1"/>
  <c r="V2568" i="1"/>
  <c r="V2567" i="1"/>
  <c r="U2567" i="1"/>
  <c r="S2567" i="1"/>
  <c r="S2566" i="1"/>
  <c r="V2566" i="1"/>
  <c r="U2566" i="1"/>
  <c r="S2565" i="1"/>
  <c r="U2565" i="1"/>
  <c r="V2565" i="1"/>
  <c r="U2564" i="1"/>
  <c r="S2564" i="1"/>
  <c r="V2564" i="1"/>
  <c r="S2563" i="1"/>
  <c r="U2563" i="1"/>
  <c r="V2563" i="1"/>
  <c r="V2562" i="1"/>
  <c r="S2562" i="1"/>
  <c r="S2561" i="1"/>
  <c r="U2561" i="1"/>
  <c r="V2561" i="1"/>
  <c r="S2560" i="1"/>
  <c r="U2560" i="1"/>
  <c r="V2560" i="1"/>
  <c r="S2559" i="1"/>
  <c r="U2559" i="1"/>
  <c r="V2559" i="1"/>
  <c r="X2559" i="1" s="1"/>
  <c r="A2560" i="1" s="1"/>
  <c r="X2560" i="1" s="1"/>
  <c r="A2561" i="1" s="1"/>
  <c r="X2561" i="1" s="1"/>
  <c r="A2562" i="1" s="1"/>
  <c r="X2562" i="1" s="1"/>
  <c r="A2563" i="1" s="1"/>
  <c r="X2563" i="1" s="1"/>
  <c r="A2564" i="1" s="1"/>
  <c r="X2564" i="1" s="1"/>
  <c r="A2565" i="1" s="1"/>
  <c r="X2565" i="1" s="1"/>
  <c r="A2566" i="1" s="1"/>
  <c r="X2566" i="1" s="1"/>
  <c r="A2567" i="1" s="1"/>
  <c r="X2567" i="1" s="1"/>
  <c r="A2568" i="1" s="1"/>
  <c r="X2568" i="1" s="1"/>
  <c r="A2569" i="1" s="1"/>
  <c r="X2569" i="1" s="1"/>
  <c r="A2570" i="1" s="1"/>
  <c r="X2570" i="1" s="1"/>
  <c r="A2571" i="1" s="1"/>
  <c r="X2571" i="1" s="1"/>
  <c r="A2572" i="1" s="1"/>
  <c r="X2572" i="1" s="1"/>
  <c r="A2573" i="1" s="1"/>
  <c r="X2573" i="1" s="1"/>
  <c r="A2574" i="1" s="1"/>
  <c r="X2574" i="1" s="1"/>
  <c r="A2575" i="1" s="1"/>
  <c r="X2575" i="1" s="1"/>
  <c r="A2576" i="1" s="1"/>
  <c r="X2576" i="1" s="1"/>
  <c r="A2577" i="1" s="1"/>
  <c r="X2577" i="1" s="1"/>
  <c r="A2578" i="1" s="1"/>
  <c r="X2578" i="1" s="1"/>
  <c r="A2579" i="1" s="1"/>
  <c r="X2579" i="1" s="1"/>
  <c r="A2580" i="1" s="1"/>
  <c r="X2580" i="1" s="1"/>
  <c r="A2581" i="1" s="1"/>
  <c r="X2581" i="1" s="1"/>
  <c r="A2582" i="1" s="1"/>
  <c r="X2582" i="1" s="1"/>
  <c r="A2583" i="1" s="1"/>
  <c r="X2583" i="1" s="1"/>
  <c r="A2584" i="1" s="1"/>
  <c r="X2584" i="1" s="1"/>
  <c r="A2585" i="1" s="1"/>
  <c r="X2585" i="1" s="1"/>
  <c r="A2586" i="1" s="1"/>
  <c r="X2586" i="1" s="1"/>
  <c r="A2587" i="1" s="1"/>
  <c r="X2587" i="1" s="1"/>
  <c r="A2588" i="1" s="1"/>
  <c r="X2588" i="1" s="1"/>
  <c r="A2589" i="1" s="1"/>
  <c r="X2589" i="1" s="1"/>
  <c r="A2590" i="1" s="1"/>
  <c r="X2590" i="1" s="1"/>
  <c r="A2591" i="1" s="1"/>
  <c r="X2591" i="1" s="1"/>
  <c r="A2592" i="1" s="1"/>
  <c r="X2592" i="1" s="1"/>
  <c r="A2593" i="1" s="1"/>
  <c r="X2593" i="1" s="1"/>
  <c r="A2594" i="1" s="1"/>
  <c r="X2594" i="1" s="1"/>
  <c r="A2595" i="1" s="1"/>
  <c r="X2595" i="1" s="1"/>
  <c r="A2596" i="1" s="1"/>
  <c r="X2596" i="1" s="1"/>
  <c r="A2597" i="1" s="1"/>
  <c r="X2597" i="1" s="1"/>
  <c r="A2598" i="1" s="1"/>
  <c r="X2598" i="1" s="1"/>
  <c r="A2599" i="1" s="1"/>
  <c r="X2599" i="1" s="1"/>
  <c r="A2600" i="1" s="1"/>
  <c r="X2600" i="1" s="1"/>
  <c r="A2601" i="1" s="1"/>
  <c r="X2601" i="1" s="1"/>
  <c r="A2602" i="1" s="1"/>
  <c r="X2602" i="1" s="1"/>
  <c r="A2603" i="1" s="1"/>
  <c r="X2603" i="1" s="1"/>
  <c r="A2604" i="1" s="1"/>
  <c r="X2604" i="1" s="1"/>
  <c r="A2605" i="1" s="1"/>
  <c r="X2605" i="1" s="1"/>
  <c r="A2606" i="1" s="1"/>
  <c r="X2606" i="1" s="1"/>
  <c r="A2607" i="1" s="1"/>
  <c r="X2607" i="1" s="1"/>
  <c r="A2608" i="1" s="1"/>
  <c r="X2608" i="1" s="1"/>
  <c r="A2609" i="1" s="1"/>
  <c r="X2609" i="1" s="1"/>
  <c r="A2610" i="1" s="1"/>
  <c r="X2610" i="1" s="1"/>
  <c r="A2611" i="1" s="1"/>
  <c r="X2611" i="1" s="1"/>
  <c r="A2612" i="1" s="1"/>
  <c r="X2612" i="1" s="1"/>
  <c r="A2613" i="1" s="1"/>
  <c r="X2613" i="1" s="1"/>
  <c r="A2614" i="1" s="1"/>
  <c r="C2614" i="1"/>
  <c r="X2614" i="1"/>
  <c r="A2615" i="1" s="1"/>
  <c r="S2556" i="1"/>
  <c r="U2556" i="1"/>
  <c r="V2556" i="1" s="1"/>
  <c r="U2555" i="1"/>
  <c r="V2555" i="1" s="1"/>
  <c r="S2555" i="1"/>
  <c r="U2554" i="1"/>
  <c r="V2554" i="1" s="1"/>
  <c r="S2554" i="1"/>
  <c r="S2553" i="1"/>
  <c r="U2553" i="1"/>
  <c r="V2553" i="1" s="1"/>
  <c r="S2552" i="1"/>
  <c r="U2552" i="1"/>
  <c r="V2552" i="1" s="1"/>
  <c r="U2551" i="1"/>
  <c r="V2551" i="1" s="1"/>
  <c r="S2551" i="1"/>
  <c r="S2550" i="1"/>
  <c r="U2550" i="1"/>
  <c r="V2550" i="1" s="1"/>
  <c r="S2549" i="1"/>
  <c r="U2549" i="1"/>
  <c r="V2549" i="1" s="1"/>
  <c r="U2548" i="1"/>
  <c r="V2548" i="1" s="1"/>
  <c r="S2548" i="1"/>
  <c r="S2547" i="1"/>
  <c r="U2547" i="1"/>
  <c r="V2547" i="1" s="1"/>
  <c r="S2546" i="1"/>
  <c r="U2546" i="1"/>
  <c r="V2546" i="1" s="1"/>
  <c r="S2545" i="1"/>
  <c r="U2545" i="1"/>
  <c r="V2545" i="1" s="1"/>
  <c r="S2544" i="1"/>
  <c r="U2544" i="1"/>
  <c r="V2544" i="1"/>
  <c r="S2543" i="1"/>
  <c r="U2543" i="1"/>
  <c r="V2543" i="1"/>
  <c r="V2542" i="1"/>
  <c r="U2542" i="1"/>
  <c r="S2542" i="1"/>
  <c r="V2541" i="1"/>
  <c r="U2541" i="1"/>
  <c r="S2541" i="1"/>
  <c r="S2540" i="1"/>
  <c r="U2540" i="1"/>
  <c r="V2540" i="1"/>
  <c r="V2539" i="1"/>
  <c r="S2539" i="1"/>
  <c r="U2539" i="1"/>
  <c r="U2538" i="1"/>
  <c r="V2538" i="1"/>
  <c r="S2538" i="1"/>
  <c r="U2537" i="1"/>
  <c r="V2537" i="1"/>
  <c r="V2536" i="1"/>
  <c r="U2536" i="1"/>
  <c r="S2536" i="1"/>
  <c r="V2535" i="1"/>
  <c r="U2535" i="1"/>
  <c r="S2535" i="1"/>
  <c r="U2534" i="1"/>
  <c r="S2534" i="1"/>
  <c r="V2534" i="1"/>
  <c r="V2533" i="1"/>
  <c r="S2533" i="1"/>
  <c r="U2533" i="1"/>
  <c r="V2532" i="1"/>
  <c r="S2532" i="1"/>
  <c r="U2532" i="1"/>
  <c r="V2531" i="1"/>
  <c r="U2531" i="1"/>
  <c r="S2531" i="1"/>
  <c r="S2530" i="1"/>
  <c r="U2530" i="1"/>
  <c r="V2530" i="1"/>
  <c r="U2529" i="1"/>
  <c r="V2529" i="1"/>
  <c r="S2529" i="1"/>
  <c r="V2528" i="1"/>
  <c r="U2528" i="1"/>
  <c r="S2527" i="1"/>
  <c r="V2527" i="1"/>
  <c r="U2527" i="1"/>
  <c r="V2526" i="1"/>
  <c r="U2526" i="1"/>
  <c r="V2525" i="1"/>
  <c r="S2525" i="1"/>
  <c r="U2525" i="1"/>
  <c r="U2524" i="1"/>
  <c r="S2524" i="1"/>
  <c r="V2524" i="1"/>
  <c r="V2523" i="1"/>
  <c r="U2523" i="1"/>
  <c r="S2523" i="1"/>
  <c r="U2522" i="1"/>
  <c r="V2522" i="1"/>
  <c r="U2521" i="1"/>
  <c r="S2521" i="1"/>
  <c r="V2521" i="1"/>
  <c r="V2520" i="1"/>
  <c r="U2520" i="1"/>
  <c r="S2520" i="1"/>
  <c r="U2519" i="1"/>
  <c r="V2519" i="1"/>
  <c r="S2519" i="1"/>
  <c r="S2518" i="1"/>
  <c r="V2518" i="1"/>
  <c r="U2518" i="1"/>
  <c r="U2517" i="1"/>
  <c r="S2517" i="1"/>
  <c r="V2517" i="1"/>
  <c r="U2516" i="1"/>
  <c r="V2516" i="1"/>
  <c r="S2515" i="1"/>
  <c r="U2515" i="1"/>
  <c r="V2514" i="1"/>
  <c r="U2514" i="1"/>
  <c r="S2514" i="1"/>
  <c r="V2513" i="1"/>
  <c r="U2513" i="1"/>
  <c r="S2512" i="1"/>
  <c r="U2512" i="1"/>
  <c r="V2512" i="1"/>
  <c r="U2511" i="1"/>
  <c r="V2511" i="1"/>
  <c r="S2511" i="1"/>
  <c r="V2510" i="1"/>
  <c r="U2510" i="1"/>
  <c r="S2510" i="1"/>
  <c r="S2509" i="1"/>
  <c r="U2509" i="1"/>
  <c r="V2509" i="1"/>
  <c r="V2508" i="1"/>
  <c r="S2508" i="1"/>
  <c r="U2508" i="1"/>
  <c r="S2506" i="1"/>
  <c r="V2506" i="1"/>
  <c r="U2506" i="1"/>
  <c r="U2505" i="1"/>
  <c r="V2505" i="1"/>
  <c r="S2505" i="1"/>
  <c r="V2504" i="1"/>
  <c r="U2504" i="1"/>
  <c r="S2504" i="1"/>
  <c r="U2503" i="1"/>
  <c r="V2503" i="1"/>
  <c r="S2502" i="1"/>
  <c r="V2502" i="1"/>
  <c r="U2502" i="1"/>
  <c r="S2501" i="1"/>
  <c r="V2501" i="1"/>
  <c r="U2501" i="1"/>
  <c r="V2500" i="1"/>
  <c r="S2500" i="1"/>
  <c r="U2500" i="1"/>
  <c r="V2499" i="1"/>
  <c r="S2499" i="1"/>
  <c r="U2499" i="1"/>
  <c r="V2498" i="1"/>
  <c r="U2498" i="1"/>
  <c r="S2498" i="1"/>
  <c r="U2497" i="1"/>
  <c r="V2497" i="1"/>
  <c r="U2496" i="1"/>
  <c r="V2496" i="1"/>
  <c r="S2496" i="1"/>
  <c r="V2495" i="1"/>
  <c r="U2495" i="1"/>
  <c r="U2494" i="1"/>
  <c r="V2494" i="1"/>
  <c r="S2494" i="1"/>
  <c r="V2493" i="1"/>
  <c r="U2493" i="1"/>
  <c r="U2492" i="1"/>
  <c r="S2492" i="1"/>
  <c r="V2492" i="1"/>
  <c r="S2490" i="1"/>
  <c r="V2490" i="1"/>
  <c r="U2490" i="1"/>
  <c r="S2489" i="1"/>
  <c r="V2489" i="1"/>
  <c r="U2489" i="1"/>
  <c r="U2488" i="1"/>
  <c r="V2488" i="1"/>
  <c r="X2488" i="1" s="1"/>
  <c r="A2489" i="1" s="1"/>
  <c r="X2489" i="1" s="1"/>
  <c r="A2490" i="1" s="1"/>
  <c r="X2490" i="1" s="1"/>
  <c r="A2491" i="1" s="1"/>
  <c r="X2491" i="1" s="1"/>
  <c r="A2492" i="1" s="1"/>
  <c r="X2492" i="1" s="1"/>
  <c r="A2493" i="1" s="1"/>
  <c r="X2493" i="1" s="1"/>
  <c r="A2494" i="1" s="1"/>
  <c r="X2494" i="1" s="1"/>
  <c r="A2495" i="1" s="1"/>
  <c r="X2495" i="1" s="1"/>
  <c r="A2496" i="1" s="1"/>
  <c r="X2496" i="1" s="1"/>
  <c r="A2497" i="1" s="1"/>
  <c r="X2497" i="1" s="1"/>
  <c r="A2498" i="1" s="1"/>
  <c r="X2498" i="1" s="1"/>
  <c r="A2499" i="1" s="1"/>
  <c r="X2499" i="1" s="1"/>
  <c r="A2500" i="1" s="1"/>
  <c r="X2500" i="1" s="1"/>
  <c r="A2501" i="1" s="1"/>
  <c r="X2501" i="1" s="1"/>
  <c r="A2502" i="1" s="1"/>
  <c r="X2502" i="1" s="1"/>
  <c r="A2503" i="1" s="1"/>
  <c r="X2503" i="1" s="1"/>
  <c r="A2504" i="1" s="1"/>
  <c r="X2504" i="1" s="1"/>
  <c r="A2505" i="1" s="1"/>
  <c r="X2505" i="1" s="1"/>
  <c r="A2506" i="1" s="1"/>
  <c r="X2506" i="1" s="1"/>
  <c r="A2507" i="1" s="1"/>
  <c r="X2507" i="1" s="1"/>
  <c r="A2508" i="1" s="1"/>
  <c r="X2508" i="1" s="1"/>
  <c r="A2509" i="1" s="1"/>
  <c r="X2509" i="1" s="1"/>
  <c r="A2510" i="1" s="1"/>
  <c r="X2510" i="1" s="1"/>
  <c r="A2511" i="1" s="1"/>
  <c r="X2511" i="1" s="1"/>
  <c r="A2512" i="1" s="1"/>
  <c r="X2512" i="1" s="1"/>
  <c r="A2513" i="1" s="1"/>
  <c r="X2513" i="1" s="1"/>
  <c r="A2514" i="1" s="1"/>
  <c r="X2514" i="1" s="1"/>
  <c r="A2515" i="1" s="1"/>
  <c r="X2515" i="1" s="1"/>
  <c r="A2516" i="1" s="1"/>
  <c r="X2516" i="1" s="1"/>
  <c r="A2517" i="1" s="1"/>
  <c r="X2517" i="1" s="1"/>
  <c r="A2518" i="1" s="1"/>
  <c r="X2518" i="1" s="1"/>
  <c r="A2519" i="1" s="1"/>
  <c r="X2519" i="1" s="1"/>
  <c r="A2520" i="1" s="1"/>
  <c r="X2520" i="1" s="1"/>
  <c r="A2521" i="1" s="1"/>
  <c r="X2521" i="1" s="1"/>
  <c r="A2522" i="1" s="1"/>
  <c r="X2522" i="1" s="1"/>
  <c r="A2523" i="1" s="1"/>
  <c r="X2523" i="1" s="1"/>
  <c r="A2524" i="1" s="1"/>
  <c r="X2524" i="1" s="1"/>
  <c r="A2525" i="1" s="1"/>
  <c r="X2525" i="1" s="1"/>
  <c r="A2526" i="1" s="1"/>
  <c r="X2526" i="1" s="1"/>
  <c r="A2527" i="1" s="1"/>
  <c r="X2527" i="1" s="1"/>
  <c r="A2528" i="1" s="1"/>
  <c r="X2528" i="1" s="1"/>
  <c r="A2529" i="1" s="1"/>
  <c r="X2529" i="1" s="1"/>
  <c r="A2530" i="1" s="1"/>
  <c r="X2530" i="1" s="1"/>
  <c r="A2531" i="1" s="1"/>
  <c r="X2531" i="1" s="1"/>
  <c r="A2532" i="1" s="1"/>
  <c r="X2532" i="1" s="1"/>
  <c r="A2533" i="1" s="1"/>
  <c r="X2533" i="1" s="1"/>
  <c r="A2534" i="1" s="1"/>
  <c r="X2534" i="1" s="1"/>
  <c r="A2535" i="1" s="1"/>
  <c r="X2535" i="1" s="1"/>
  <c r="A2536" i="1" s="1"/>
  <c r="X2536" i="1" s="1"/>
  <c r="A2537" i="1" s="1"/>
  <c r="X2537" i="1" s="1"/>
  <c r="A2538" i="1" s="1"/>
  <c r="X2538" i="1" s="1"/>
  <c r="A2539" i="1" s="1"/>
  <c r="X2539" i="1" s="1"/>
  <c r="A2540" i="1" s="1"/>
  <c r="X2540" i="1" s="1"/>
  <c r="A2541" i="1" s="1"/>
  <c r="X2541" i="1" s="1"/>
  <c r="A2542" i="1" s="1"/>
  <c r="X2542" i="1" s="1"/>
  <c r="A2543" i="1" s="1"/>
  <c r="X2543" i="1" s="1"/>
  <c r="A2544" i="1" s="1"/>
  <c r="X2544" i="1" s="1"/>
  <c r="A2545" i="1" s="1"/>
  <c r="S2488" i="1"/>
  <c r="C2545" i="1"/>
  <c r="X2545" i="1"/>
  <c r="A2546" i="1" s="1"/>
  <c r="U2483" i="1"/>
  <c r="V2483" i="1" s="1"/>
  <c r="S2483" i="1"/>
  <c r="U2482" i="1"/>
  <c r="V2482" i="1" s="1"/>
  <c r="S2482" i="1"/>
  <c r="U2481" i="1"/>
  <c r="V2481" i="1" s="1"/>
  <c r="S2481" i="1"/>
  <c r="S2479" i="1"/>
  <c r="U2479" i="1"/>
  <c r="V2479" i="1" s="1"/>
  <c r="S2478" i="1"/>
  <c r="U2478" i="1"/>
  <c r="V2478" i="1" s="1"/>
  <c r="U2476" i="1"/>
  <c r="V2476" i="1" s="1"/>
  <c r="S2476" i="1"/>
  <c r="U2475" i="1"/>
  <c r="V2475" i="1" s="1"/>
  <c r="S2475" i="1"/>
  <c r="U2474" i="1"/>
  <c r="S2474" i="1"/>
  <c r="V2474" i="1"/>
  <c r="V2473" i="1"/>
  <c r="U2473" i="1"/>
  <c r="S2473" i="1"/>
  <c r="U2472" i="1"/>
  <c r="S2472" i="1"/>
  <c r="V2472" i="1"/>
  <c r="V2471" i="1"/>
  <c r="U2471" i="1"/>
  <c r="S2471" i="1"/>
  <c r="V2470" i="1"/>
  <c r="U2470" i="1"/>
  <c r="S2470" i="1"/>
  <c r="V2469" i="1"/>
  <c r="S2469" i="1"/>
  <c r="U2469" i="1"/>
  <c r="V2468" i="1"/>
  <c r="U2468" i="1"/>
  <c r="S2468" i="1"/>
  <c r="U2467" i="1"/>
  <c r="S2467" i="1"/>
  <c r="V2467" i="1"/>
  <c r="V2466" i="1"/>
  <c r="S2466" i="1"/>
  <c r="U2466" i="1"/>
  <c r="S2465" i="1"/>
  <c r="U2465" i="1"/>
  <c r="V2465" i="1"/>
  <c r="U2464" i="1"/>
  <c r="V2464" i="1"/>
  <c r="S2463" i="1"/>
  <c r="V2463" i="1"/>
  <c r="U2463" i="1"/>
  <c r="U2462" i="1"/>
  <c r="S2462" i="1"/>
  <c r="V2462" i="1"/>
  <c r="V2461" i="1"/>
  <c r="U2461" i="1"/>
  <c r="S2461" i="1"/>
  <c r="S2460" i="1"/>
  <c r="U2460" i="1"/>
  <c r="V2460" i="1"/>
  <c r="S2459" i="1"/>
  <c r="U2459" i="1"/>
  <c r="V2459" i="1"/>
  <c r="V2458" i="1"/>
  <c r="U2458" i="1"/>
  <c r="S2458" i="1"/>
  <c r="S2457" i="1"/>
  <c r="U2457" i="1"/>
  <c r="S2456" i="1"/>
  <c r="U2456" i="1"/>
  <c r="V2456" i="1"/>
  <c r="U2455" i="1"/>
  <c r="S2455" i="1"/>
  <c r="V2455" i="1"/>
  <c r="S2454" i="1"/>
  <c r="V2454" i="1"/>
  <c r="U2454" i="1"/>
  <c r="S2453" i="1"/>
  <c r="U2453" i="1"/>
  <c r="V2453" i="1"/>
  <c r="V2452" i="1"/>
  <c r="U2452" i="1"/>
  <c r="S2452" i="1"/>
  <c r="S2451" i="1"/>
  <c r="V2451" i="1"/>
  <c r="U2451" i="1"/>
  <c r="V2450" i="1"/>
  <c r="S2450" i="1"/>
  <c r="U2450" i="1"/>
  <c r="V2449" i="1"/>
  <c r="U2449" i="1"/>
  <c r="V2448" i="1"/>
  <c r="U2448" i="1"/>
  <c r="S2448" i="1"/>
  <c r="V2447" i="1"/>
  <c r="S2447" i="1"/>
  <c r="U2447" i="1"/>
  <c r="U2446" i="1"/>
  <c r="V2446" i="1"/>
  <c r="S2446" i="1"/>
  <c r="V2445" i="1"/>
  <c r="U2445" i="1"/>
  <c r="S2444" i="1"/>
  <c r="U2444" i="1"/>
  <c r="V2444" i="1"/>
  <c r="U2443" i="1"/>
  <c r="V2443" i="1"/>
  <c r="S2443" i="1"/>
  <c r="S2442" i="1"/>
  <c r="U2442" i="1"/>
  <c r="V2442" i="1"/>
  <c r="S2441" i="1"/>
  <c r="U2441" i="1"/>
  <c r="V2441" i="1"/>
  <c r="S2440" i="1"/>
  <c r="V2440" i="1"/>
  <c r="U2440" i="1"/>
  <c r="V2439" i="1"/>
  <c r="U2439" i="1"/>
  <c r="S2439" i="1"/>
  <c r="U2438" i="1"/>
  <c r="S2438" i="1"/>
  <c r="V2438" i="1"/>
  <c r="V2437" i="1"/>
  <c r="S2437" i="1"/>
  <c r="U2437" i="1"/>
  <c r="S2436" i="1"/>
  <c r="U2436" i="1"/>
  <c r="V2436" i="1"/>
  <c r="V2435" i="1"/>
  <c r="U2435" i="1"/>
  <c r="S2435" i="1"/>
  <c r="V2434" i="1"/>
  <c r="S2434" i="1"/>
  <c r="U2434" i="1"/>
  <c r="S2433" i="1"/>
  <c r="U2433" i="1"/>
  <c r="V2433" i="1"/>
  <c r="V2432" i="1"/>
  <c r="U2432" i="1"/>
  <c r="S2432" i="1"/>
  <c r="V2431" i="1"/>
  <c r="U2431" i="1"/>
  <c r="S2431" i="1"/>
  <c r="V2430" i="1"/>
  <c r="U2430" i="1"/>
  <c r="S2430" i="1"/>
  <c r="S2429" i="1"/>
  <c r="V2429" i="1"/>
  <c r="U2429" i="1"/>
  <c r="S2428" i="1"/>
  <c r="U2428" i="1"/>
  <c r="V2428" i="1"/>
  <c r="S2427" i="1"/>
  <c r="U2427" i="1"/>
  <c r="V2427" i="1"/>
  <c r="U2426" i="1"/>
  <c r="V2426" i="1"/>
  <c r="S2426" i="1"/>
  <c r="V2425" i="1"/>
  <c r="U2425" i="1"/>
  <c r="S2425" i="1"/>
  <c r="V2424" i="1"/>
  <c r="U2424" i="1"/>
  <c r="S2424" i="1"/>
  <c r="V2423" i="1"/>
  <c r="S2423" i="1"/>
  <c r="U2423" i="1"/>
  <c r="V2422" i="1"/>
  <c r="S2422" i="1"/>
  <c r="U2422" i="1"/>
  <c r="S2421" i="1"/>
  <c r="U2421" i="1"/>
  <c r="V2421" i="1"/>
  <c r="S2420" i="1"/>
  <c r="V2420" i="1"/>
  <c r="U2420" i="1"/>
  <c r="S2419" i="1"/>
  <c r="U2419" i="1"/>
  <c r="V2419" i="1"/>
  <c r="U2418" i="1"/>
  <c r="V2418" i="1"/>
  <c r="S2418" i="1"/>
  <c r="U2417" i="1"/>
  <c r="S2417" i="1"/>
  <c r="V2417" i="1"/>
  <c r="V2416" i="1"/>
  <c r="S2416" i="1"/>
  <c r="U2416" i="1"/>
  <c r="U2415" i="1"/>
  <c r="S2415" i="1"/>
  <c r="V2415" i="1"/>
  <c r="S2414" i="1"/>
  <c r="U2414" i="1"/>
  <c r="V2414" i="1"/>
  <c r="U2413" i="1"/>
  <c r="S2413" i="1"/>
  <c r="V2413" i="1"/>
  <c r="S2412" i="1"/>
  <c r="V2412" i="1"/>
  <c r="U2412" i="1"/>
  <c r="V2411" i="1"/>
  <c r="S2411" i="1"/>
  <c r="U2411" i="1"/>
  <c r="S2410" i="1"/>
  <c r="V2410" i="1"/>
  <c r="V2409" i="1"/>
  <c r="U2409" i="1"/>
  <c r="U2408" i="1"/>
  <c r="V2408" i="1"/>
  <c r="S2408" i="1"/>
  <c r="U2407" i="1"/>
  <c r="V2407" i="1"/>
  <c r="S2407" i="1"/>
  <c r="U2406" i="1"/>
  <c r="V2406" i="1"/>
  <c r="S2406" i="1"/>
  <c r="S2405" i="1"/>
  <c r="V2405" i="1"/>
  <c r="U2405" i="1"/>
  <c r="V2404" i="1"/>
  <c r="S2404" i="1"/>
  <c r="U2404" i="1"/>
  <c r="V2403" i="1"/>
  <c r="U2403" i="1"/>
  <c r="S2403" i="1"/>
  <c r="V2402" i="1"/>
  <c r="U2402" i="1"/>
  <c r="S2402" i="1"/>
  <c r="S2401" i="1"/>
  <c r="U2401" i="1"/>
  <c r="V2401" i="1"/>
  <c r="V2400" i="1"/>
  <c r="S2400" i="1"/>
  <c r="U2400" i="1"/>
  <c r="V2399" i="1"/>
  <c r="U2399" i="1"/>
  <c r="S2399" i="1"/>
  <c r="V2398" i="1"/>
  <c r="U2398" i="1"/>
  <c r="U2394" i="1"/>
  <c r="V2394" i="1"/>
  <c r="S2394" i="1"/>
  <c r="S2393" i="1"/>
  <c r="U2393" i="1"/>
  <c r="S2392" i="1"/>
  <c r="U2392" i="1"/>
  <c r="V2392" i="1"/>
  <c r="S2388" i="1"/>
  <c r="U2388" i="1"/>
  <c r="V2387" i="1"/>
  <c r="U2387" i="1"/>
  <c r="S2387" i="1"/>
  <c r="S2385" i="1"/>
  <c r="U2385" i="1"/>
  <c r="V2385" i="1"/>
  <c r="X2385" i="1" s="1"/>
  <c r="A2386" i="1" s="1"/>
  <c r="X2386" i="1" s="1"/>
  <c r="A2387" i="1" s="1"/>
  <c r="X2387" i="1" s="1"/>
  <c r="A2388" i="1" s="1"/>
  <c r="X2388" i="1" s="1"/>
  <c r="A2389" i="1" s="1"/>
  <c r="X2389" i="1" s="1"/>
  <c r="A2390" i="1" s="1"/>
  <c r="X2390" i="1" s="1"/>
  <c r="A2391" i="1" s="1"/>
  <c r="X2391" i="1" s="1"/>
  <c r="A2392" i="1" s="1"/>
  <c r="X2392" i="1" s="1"/>
  <c r="A2393" i="1" s="1"/>
  <c r="X2393" i="1" s="1"/>
  <c r="A2394" i="1" s="1"/>
  <c r="X2394" i="1" s="1"/>
  <c r="A2395" i="1" s="1"/>
  <c r="X2395" i="1" s="1"/>
  <c r="A2396" i="1" s="1"/>
  <c r="X2396" i="1" s="1"/>
  <c r="A2397" i="1" s="1"/>
  <c r="X2397" i="1" s="1"/>
  <c r="A2398" i="1" s="1"/>
  <c r="X2398" i="1" s="1"/>
  <c r="A2399" i="1" s="1"/>
  <c r="X2399" i="1" s="1"/>
  <c r="A2400" i="1" s="1"/>
  <c r="X2400" i="1" s="1"/>
  <c r="A2401" i="1" s="1"/>
  <c r="X2401" i="1" s="1"/>
  <c r="A2402" i="1" s="1"/>
  <c r="X2402" i="1" s="1"/>
  <c r="A2403" i="1" s="1"/>
  <c r="X2403" i="1" s="1"/>
  <c r="A2404" i="1" s="1"/>
  <c r="X2404" i="1" s="1"/>
  <c r="A2405" i="1" s="1"/>
  <c r="X2405" i="1" s="1"/>
  <c r="A2406" i="1" s="1"/>
  <c r="X2406" i="1" s="1"/>
  <c r="A2407" i="1" s="1"/>
  <c r="X2407" i="1" s="1"/>
  <c r="A2408" i="1" s="1"/>
  <c r="X2408" i="1" s="1"/>
  <c r="A2409" i="1" s="1"/>
  <c r="X2409" i="1" s="1"/>
  <c r="A2410" i="1" s="1"/>
  <c r="X2410" i="1" s="1"/>
  <c r="A2411" i="1" s="1"/>
  <c r="X2411" i="1" s="1"/>
  <c r="A2412" i="1" s="1"/>
  <c r="X2412" i="1" s="1"/>
  <c r="A2413" i="1" s="1"/>
  <c r="X2413" i="1" s="1"/>
  <c r="A2414" i="1" s="1"/>
  <c r="X2414" i="1" s="1"/>
  <c r="A2415" i="1" s="1"/>
  <c r="X2415" i="1" s="1"/>
  <c r="A2416" i="1" s="1"/>
  <c r="X2416" i="1" s="1"/>
  <c r="A2417" i="1" s="1"/>
  <c r="X2417" i="1" s="1"/>
  <c r="A2418" i="1" s="1"/>
  <c r="X2418" i="1" s="1"/>
  <c r="A2419" i="1" s="1"/>
  <c r="X2419" i="1" s="1"/>
  <c r="A2420" i="1" s="1"/>
  <c r="X2420" i="1" s="1"/>
  <c r="A2421" i="1" s="1"/>
  <c r="X2421" i="1" s="1"/>
  <c r="A2422" i="1" s="1"/>
  <c r="X2422" i="1" s="1"/>
  <c r="A2423" i="1" s="1"/>
  <c r="X2423" i="1" s="1"/>
  <c r="A2424" i="1" s="1"/>
  <c r="X2424" i="1" s="1"/>
  <c r="A2425" i="1" s="1"/>
  <c r="X2425" i="1" s="1"/>
  <c r="A2426" i="1" s="1"/>
  <c r="X2426" i="1" s="1"/>
  <c r="A2427" i="1" s="1"/>
  <c r="X2427" i="1" s="1"/>
  <c r="A2428" i="1" s="1"/>
  <c r="X2428" i="1" s="1"/>
  <c r="A2429" i="1" s="1"/>
  <c r="X2429" i="1" s="1"/>
  <c r="A2430" i="1" s="1"/>
  <c r="X2430" i="1" s="1"/>
  <c r="A2431" i="1" s="1"/>
  <c r="X2431" i="1" s="1"/>
  <c r="A2432" i="1" s="1"/>
  <c r="X2432" i="1" s="1"/>
  <c r="A2433" i="1" s="1"/>
  <c r="X2433" i="1" s="1"/>
  <c r="A2434" i="1" s="1"/>
  <c r="X2434" i="1" s="1"/>
  <c r="A2435" i="1" s="1"/>
  <c r="X2435" i="1" s="1"/>
  <c r="A2436" i="1" s="1"/>
  <c r="X2436" i="1" s="1"/>
  <c r="A2437" i="1" s="1"/>
  <c r="X2437" i="1" s="1"/>
  <c r="A2438" i="1" s="1"/>
  <c r="X2438" i="1" s="1"/>
  <c r="A2439" i="1" s="1"/>
  <c r="X2439" i="1" s="1"/>
  <c r="A2440" i="1" s="1"/>
  <c r="X2440" i="1" s="1"/>
  <c r="A2441" i="1" s="1"/>
  <c r="X2441" i="1" s="1"/>
  <c r="A2442" i="1" s="1"/>
  <c r="X2442" i="1" s="1"/>
  <c r="A2443" i="1" s="1"/>
  <c r="X2443" i="1" s="1"/>
  <c r="A2444" i="1" s="1"/>
  <c r="X2444" i="1" s="1"/>
  <c r="A2445" i="1" s="1"/>
  <c r="X2445" i="1" s="1"/>
  <c r="A2446" i="1" s="1"/>
  <c r="X2446" i="1" s="1"/>
  <c r="A2447" i="1" s="1"/>
  <c r="X2447" i="1" s="1"/>
  <c r="A2448" i="1" s="1"/>
  <c r="X2448" i="1" s="1"/>
  <c r="A2449" i="1" s="1"/>
  <c r="X2449" i="1" s="1"/>
  <c r="A2450" i="1" s="1"/>
  <c r="X2450" i="1" s="1"/>
  <c r="A2451" i="1" s="1"/>
  <c r="X2451" i="1" s="1"/>
  <c r="A2452" i="1" s="1"/>
  <c r="X2452" i="1" s="1"/>
  <c r="A2453" i="1" s="1"/>
  <c r="X2453" i="1" s="1"/>
  <c r="A2454" i="1" s="1"/>
  <c r="X2454" i="1" s="1"/>
  <c r="A2455" i="1" s="1"/>
  <c r="X2455" i="1" s="1"/>
  <c r="A2456" i="1" s="1"/>
  <c r="X2456" i="1" s="1"/>
  <c r="A2457" i="1" s="1"/>
  <c r="X2457" i="1" s="1"/>
  <c r="A2458" i="1" s="1"/>
  <c r="X2458" i="1" s="1"/>
  <c r="A2459" i="1" s="1"/>
  <c r="X2459" i="1" s="1"/>
  <c r="A2460" i="1" s="1"/>
  <c r="X2460" i="1" s="1"/>
  <c r="A2461" i="1" s="1"/>
  <c r="X2461" i="1" s="1"/>
  <c r="A2462" i="1" s="1"/>
  <c r="X2462" i="1" s="1"/>
  <c r="A2463" i="1" s="1"/>
  <c r="X2463" i="1" s="1"/>
  <c r="A2464" i="1" s="1"/>
  <c r="X2464" i="1" s="1"/>
  <c r="A2465" i="1" s="1"/>
  <c r="X2465" i="1" s="1"/>
  <c r="A2466" i="1" s="1"/>
  <c r="X2466" i="1" s="1"/>
  <c r="A2467" i="1" s="1"/>
  <c r="X2467" i="1" s="1"/>
  <c r="A2468" i="1" s="1"/>
  <c r="X2468" i="1" s="1"/>
  <c r="A2469" i="1" s="1"/>
  <c r="X2469" i="1" s="1"/>
  <c r="A2470" i="1" s="1"/>
  <c r="X2470" i="1" s="1"/>
  <c r="A2471" i="1" s="1"/>
  <c r="X2471" i="1" s="1"/>
  <c r="A2472" i="1" s="1"/>
  <c r="X2472" i="1" s="1"/>
  <c r="A2473" i="1" s="1"/>
  <c r="X2473" i="1" s="1"/>
  <c r="A2474" i="1" s="1"/>
  <c r="X2474" i="1" s="1"/>
  <c r="A2475" i="1" s="1"/>
  <c r="C2475" i="1"/>
  <c r="X2475" i="1"/>
  <c r="A2476" i="1" s="1"/>
  <c r="U2382" i="1"/>
  <c r="V2382" i="1" s="1"/>
  <c r="S2382" i="1"/>
  <c r="U2379" i="1"/>
  <c r="V2379" i="1" s="1"/>
  <c r="S2379" i="1"/>
  <c r="S2378" i="1"/>
  <c r="U2378" i="1"/>
  <c r="V2378" i="1" s="1"/>
  <c r="U2374" i="1"/>
  <c r="V2374" i="1" s="1"/>
  <c r="S2374" i="1"/>
  <c r="S2373" i="1"/>
  <c r="U2373" i="1"/>
  <c r="V2373" i="1" s="1"/>
  <c r="S2371" i="1"/>
  <c r="U2371" i="1"/>
  <c r="V2371" i="1" s="1"/>
  <c r="S2370" i="1"/>
  <c r="U2370" i="1"/>
  <c r="V2370" i="1" s="1"/>
  <c r="S2369" i="1"/>
  <c r="U2369" i="1"/>
  <c r="V2369" i="1" s="1"/>
  <c r="S2367" i="1"/>
  <c r="U2367" i="1"/>
  <c r="V2367" i="1" s="1"/>
  <c r="U2366" i="1"/>
  <c r="V2366" i="1" s="1"/>
  <c r="S2366" i="1"/>
  <c r="U2365" i="1"/>
  <c r="V2365" i="1" s="1"/>
  <c r="S2365" i="1"/>
  <c r="U2364" i="1"/>
  <c r="V2364" i="1" s="1"/>
  <c r="S2364" i="1"/>
  <c r="U2363" i="1"/>
  <c r="V2363" i="1" s="1"/>
  <c r="S2363" i="1"/>
  <c r="S2362" i="1"/>
  <c r="U2362" i="1"/>
  <c r="V2362" i="1" s="1"/>
  <c r="U2361" i="1"/>
  <c r="S2361" i="1"/>
  <c r="V2361" i="1"/>
  <c r="U2360" i="1"/>
  <c r="V2360" i="1"/>
  <c r="S2360" i="1"/>
  <c r="V2359" i="1"/>
  <c r="U2359" i="1"/>
  <c r="S2358" i="1"/>
  <c r="U2358" i="1"/>
  <c r="V2358" i="1"/>
  <c r="S2357" i="1"/>
  <c r="V2357" i="1"/>
  <c r="U2357" i="1"/>
  <c r="V2356" i="1"/>
  <c r="U2356" i="1"/>
  <c r="S2356" i="1"/>
  <c r="U2355" i="1"/>
  <c r="V2355" i="1"/>
  <c r="V2354" i="1"/>
  <c r="U2354" i="1"/>
  <c r="S2354" i="1"/>
  <c r="V2353" i="1"/>
  <c r="S2353" i="1"/>
  <c r="U2353" i="1"/>
  <c r="S2352" i="1"/>
  <c r="V2352" i="1"/>
  <c r="U2352" i="1"/>
  <c r="U2351" i="1"/>
  <c r="S2351" i="1"/>
  <c r="V2351" i="1"/>
  <c r="V2350" i="1"/>
  <c r="U2350" i="1"/>
  <c r="S2350" i="1"/>
  <c r="U2349" i="1"/>
  <c r="S2349" i="1"/>
  <c r="V2349" i="1"/>
  <c r="S2348" i="1"/>
  <c r="U2348" i="1"/>
  <c r="V2348" i="1"/>
  <c r="V2347" i="1"/>
  <c r="S2347" i="1"/>
  <c r="U2347" i="1"/>
  <c r="S2346" i="1"/>
  <c r="V2346" i="1"/>
  <c r="U2346" i="1"/>
  <c r="U2345" i="1"/>
  <c r="S2345" i="1"/>
  <c r="V2345" i="1"/>
  <c r="S2344" i="1"/>
  <c r="V2344" i="1"/>
  <c r="U2344" i="1"/>
  <c r="S2343" i="1"/>
  <c r="U2343" i="1"/>
  <c r="V2343" i="1"/>
  <c r="U2342" i="1"/>
  <c r="S2342" i="1"/>
  <c r="V2342" i="1"/>
  <c r="S2341" i="1"/>
  <c r="U2341" i="1"/>
  <c r="V2341" i="1"/>
  <c r="U2340" i="1"/>
  <c r="V2340" i="1"/>
  <c r="S2340" i="1"/>
  <c r="V2339" i="1"/>
  <c r="S2339" i="1"/>
  <c r="U2339" i="1"/>
  <c r="S2338" i="1"/>
  <c r="V2338" i="1"/>
  <c r="U2337" i="1"/>
  <c r="V2337" i="1"/>
  <c r="U2336" i="1"/>
  <c r="V2336" i="1"/>
  <c r="S2335" i="1"/>
  <c r="V2335" i="1"/>
  <c r="U2335" i="1"/>
  <c r="U2334" i="1"/>
  <c r="S2334" i="1"/>
  <c r="V2334" i="1"/>
  <c r="V2333" i="1"/>
  <c r="S2333" i="1"/>
  <c r="U2333" i="1"/>
  <c r="U2332" i="1"/>
  <c r="S2332" i="1"/>
  <c r="V2332" i="1"/>
  <c r="V2331" i="1"/>
  <c r="S2331" i="1"/>
  <c r="U2331" i="1"/>
  <c r="U2330" i="1"/>
  <c r="V2330" i="1"/>
  <c r="S2330" i="1"/>
  <c r="S2329" i="1"/>
  <c r="V2329" i="1"/>
  <c r="U2329" i="1"/>
  <c r="V2328" i="1"/>
  <c r="S2328" i="1"/>
  <c r="U2328" i="1"/>
  <c r="V2327" i="1"/>
  <c r="S2327" i="1"/>
  <c r="U2327" i="1"/>
  <c r="U2326" i="1"/>
  <c r="S2326" i="1"/>
  <c r="V2326" i="1"/>
  <c r="U2325" i="1"/>
  <c r="S2325" i="1"/>
  <c r="V2325" i="1"/>
  <c r="U2324" i="1"/>
  <c r="S2324" i="1"/>
  <c r="V2324" i="1"/>
  <c r="V2323" i="1"/>
  <c r="U2323" i="1"/>
  <c r="S2323" i="1"/>
  <c r="V2322" i="1"/>
  <c r="U2322" i="1"/>
  <c r="S2322" i="1"/>
  <c r="V2321" i="1"/>
  <c r="U2321" i="1"/>
  <c r="S2321" i="1"/>
  <c r="S2320" i="1"/>
  <c r="U2320" i="1"/>
  <c r="V2320" i="1"/>
  <c r="V2319" i="1"/>
  <c r="S2319" i="1"/>
  <c r="U2319" i="1"/>
  <c r="S2318" i="1"/>
  <c r="U2318" i="1"/>
  <c r="V2318" i="1"/>
  <c r="U2317" i="1"/>
  <c r="S2317" i="1"/>
  <c r="V2317" i="1"/>
  <c r="V2316" i="1"/>
  <c r="S2316" i="1"/>
  <c r="U2316" i="1"/>
  <c r="V2315" i="1"/>
  <c r="U2315" i="1"/>
  <c r="S2315" i="1"/>
  <c r="S2314" i="1"/>
  <c r="V2314" i="1"/>
  <c r="V2313" i="1"/>
  <c r="U2313" i="1"/>
  <c r="S2313" i="1"/>
  <c r="S2312" i="1"/>
  <c r="U2312" i="1"/>
  <c r="V2312" i="1"/>
  <c r="V2311" i="1"/>
  <c r="U2311" i="1"/>
  <c r="S2311" i="1"/>
  <c r="V2310" i="1"/>
  <c r="U2310" i="1"/>
  <c r="S2310" i="1"/>
  <c r="S2309" i="1"/>
  <c r="U2309" i="1"/>
  <c r="V2309" i="1"/>
  <c r="U2308" i="1"/>
  <c r="S2308" i="1"/>
  <c r="V2308" i="1"/>
  <c r="S2307" i="1"/>
  <c r="U2307" i="1"/>
  <c r="V2307" i="1"/>
  <c r="S2306" i="1"/>
  <c r="U2306" i="1"/>
  <c r="V2306" i="1"/>
  <c r="V2305" i="1"/>
  <c r="S2305" i="1"/>
  <c r="U2305" i="1"/>
  <c r="S2304" i="1"/>
  <c r="V2304" i="1"/>
  <c r="U2304" i="1"/>
  <c r="S2303" i="1"/>
  <c r="U2303" i="1"/>
  <c r="V2303" i="1"/>
  <c r="V2302" i="1"/>
  <c r="S2302" i="1"/>
  <c r="U2302" i="1"/>
  <c r="U2301" i="1"/>
  <c r="V2301" i="1"/>
  <c r="S2301" i="1"/>
  <c r="U2300" i="1"/>
  <c r="V2300" i="1"/>
  <c r="S2300" i="1"/>
  <c r="U2299" i="1"/>
  <c r="V2299" i="1"/>
  <c r="S2299" i="1"/>
  <c r="S2298" i="1"/>
  <c r="U2298" i="1"/>
  <c r="V2298" i="1"/>
  <c r="V2297" i="1"/>
  <c r="U2297" i="1"/>
  <c r="S2296" i="1"/>
  <c r="V2296" i="1"/>
  <c r="U2296" i="1"/>
  <c r="S2295" i="1"/>
  <c r="U2295" i="1"/>
  <c r="V2295" i="1"/>
  <c r="V2294" i="1"/>
  <c r="S2294" i="1"/>
  <c r="U2294" i="1"/>
  <c r="S2293" i="1"/>
  <c r="U2293" i="1"/>
  <c r="V2293" i="1"/>
  <c r="S2292" i="1"/>
  <c r="U2292" i="1"/>
  <c r="V2292" i="1"/>
  <c r="V2291" i="1"/>
  <c r="S2291" i="1"/>
  <c r="U2291" i="1"/>
  <c r="U2290" i="1"/>
  <c r="S2290" i="1"/>
  <c r="V2290" i="1"/>
  <c r="U2289" i="1"/>
  <c r="V2289" i="1"/>
  <c r="V2288" i="1"/>
  <c r="S2288" i="1"/>
  <c r="U2288" i="1"/>
  <c r="U2287" i="1"/>
  <c r="V2287" i="1"/>
  <c r="S2287" i="1"/>
  <c r="S2286" i="1"/>
  <c r="U2286" i="1"/>
  <c r="V2286" i="1"/>
  <c r="U2285" i="1"/>
  <c r="S2285" i="1"/>
  <c r="V2285" i="1"/>
  <c r="V2284" i="1"/>
  <c r="U2284" i="1"/>
  <c r="S2284" i="1"/>
  <c r="S2283" i="1"/>
  <c r="U2283" i="1"/>
  <c r="V2283" i="1"/>
  <c r="S2282" i="1"/>
  <c r="U2282" i="1"/>
  <c r="V2282" i="1"/>
  <c r="S2281" i="1"/>
  <c r="V2281" i="1"/>
  <c r="U2281" i="1"/>
  <c r="S2280" i="1"/>
  <c r="U2280" i="1"/>
  <c r="V2280" i="1"/>
  <c r="U2279" i="1"/>
  <c r="V2279" i="1"/>
  <c r="S2279" i="1"/>
  <c r="U2278" i="1"/>
  <c r="V2278" i="1"/>
  <c r="S2278" i="1"/>
  <c r="S2277" i="1"/>
  <c r="V2277" i="1"/>
  <c r="U2277" i="1"/>
  <c r="U2276" i="1"/>
  <c r="V2276" i="1"/>
  <c r="S2276" i="1"/>
  <c r="V2275" i="1"/>
  <c r="U2275" i="1"/>
  <c r="S2275" i="1"/>
  <c r="V2273" i="1"/>
  <c r="U2273" i="1"/>
  <c r="S2273" i="1"/>
  <c r="U2272" i="1"/>
  <c r="V2272" i="1"/>
  <c r="S2271" i="1"/>
  <c r="U2271" i="1"/>
  <c r="V2271" i="1"/>
  <c r="S2270" i="1"/>
  <c r="V2270" i="1"/>
  <c r="U2270" i="1"/>
  <c r="V2269" i="1"/>
  <c r="U2269" i="1"/>
  <c r="S2268" i="1"/>
  <c r="V2268" i="1"/>
  <c r="U2268" i="1"/>
  <c r="S2267" i="1"/>
  <c r="V2267" i="1"/>
  <c r="U2267" i="1"/>
  <c r="S2266" i="1"/>
  <c r="V2266" i="1"/>
  <c r="U2266" i="1"/>
  <c r="U2265" i="1"/>
  <c r="V2265" i="1"/>
  <c r="S2264" i="1"/>
  <c r="U2264" i="1"/>
  <c r="V2264" i="1"/>
  <c r="U2263" i="1"/>
  <c r="V2263" i="1"/>
  <c r="U2262" i="1"/>
  <c r="V2262" i="1"/>
  <c r="S2261" i="1"/>
  <c r="V2261" i="1"/>
  <c r="U2261" i="1"/>
  <c r="V2260" i="1"/>
  <c r="S2260" i="1"/>
  <c r="U2260" i="1"/>
  <c r="S2259" i="1"/>
  <c r="V2259" i="1"/>
  <c r="U2259" i="1"/>
  <c r="V2258" i="1"/>
  <c r="U2258" i="1"/>
  <c r="S2257" i="1"/>
  <c r="U2257" i="1"/>
  <c r="V2257" i="1"/>
  <c r="U2256" i="1"/>
  <c r="V2256" i="1"/>
  <c r="S2256" i="1"/>
  <c r="S2255" i="1"/>
  <c r="V2255" i="1"/>
  <c r="U2255" i="1"/>
  <c r="V2254" i="1"/>
  <c r="S2254" i="1"/>
  <c r="U2254" i="1"/>
  <c r="V2253" i="1"/>
  <c r="U2253" i="1"/>
  <c r="U2252" i="1"/>
  <c r="V2252" i="1"/>
  <c r="S2252" i="1"/>
  <c r="S2251" i="1"/>
  <c r="V2251" i="1"/>
  <c r="U2251" i="1"/>
  <c r="V2250" i="1"/>
  <c r="U2250" i="1"/>
  <c r="S2250" i="1"/>
  <c r="U2249" i="1"/>
  <c r="S2249" i="1"/>
  <c r="V2249" i="1"/>
  <c r="U2248" i="1"/>
  <c r="V2248" i="1"/>
  <c r="U2247" i="1"/>
  <c r="V2247" i="1"/>
  <c r="V2246" i="1"/>
  <c r="U2246" i="1"/>
  <c r="V2245" i="1"/>
  <c r="S2245" i="1"/>
  <c r="U2245" i="1"/>
  <c r="S2244" i="1"/>
  <c r="V2244" i="1"/>
  <c r="U2244" i="1"/>
  <c r="V2243" i="1"/>
  <c r="U2243" i="1"/>
  <c r="V2242" i="1"/>
  <c r="S2242" i="1"/>
  <c r="U2242" i="1"/>
  <c r="U2241" i="1"/>
  <c r="V2241" i="1"/>
  <c r="V2240" i="1"/>
  <c r="U2240" i="1"/>
  <c r="S2240" i="1"/>
  <c r="S2239" i="1"/>
  <c r="V2239" i="1"/>
  <c r="U2239" i="1"/>
  <c r="V2238" i="1"/>
  <c r="U2238" i="1"/>
  <c r="S2238" i="1"/>
  <c r="S2237" i="1"/>
  <c r="U2237" i="1"/>
  <c r="V2237" i="1"/>
  <c r="U2236" i="1"/>
  <c r="V2236" i="1"/>
  <c r="S2236" i="1"/>
  <c r="V2235" i="1"/>
  <c r="U2235" i="1"/>
  <c r="V2234" i="1"/>
  <c r="U2234" i="1"/>
  <c r="S2234" i="1"/>
  <c r="U2233" i="1"/>
  <c r="S2233" i="1"/>
  <c r="V2233" i="1"/>
  <c r="U2232" i="1"/>
  <c r="S2232" i="1"/>
  <c r="V2232" i="1"/>
  <c r="V2231" i="1"/>
  <c r="S2231" i="1"/>
  <c r="U2231" i="1"/>
  <c r="S2230" i="1"/>
  <c r="U2230" i="1"/>
  <c r="V2230" i="1"/>
  <c r="S2229" i="1"/>
  <c r="U2229" i="1"/>
  <c r="V2229" i="1"/>
  <c r="V2228" i="1"/>
  <c r="S2228" i="1"/>
  <c r="U2228" i="1"/>
  <c r="S2227" i="1"/>
  <c r="U2227" i="1"/>
  <c r="V2227" i="1"/>
  <c r="S2226" i="1"/>
  <c r="U2226" i="1"/>
  <c r="V2226" i="1"/>
  <c r="S2225" i="1"/>
  <c r="V2225" i="1"/>
  <c r="U2225" i="1"/>
  <c r="U2224" i="1"/>
  <c r="S2224" i="1"/>
  <c r="V2224" i="1"/>
  <c r="S2223" i="1"/>
  <c r="U2223" i="1"/>
  <c r="V2223" i="1"/>
  <c r="S2222" i="1"/>
  <c r="U2222" i="1"/>
  <c r="V2222" i="1"/>
  <c r="S2221" i="1"/>
  <c r="V2221" i="1"/>
  <c r="U2221" i="1"/>
  <c r="S2220" i="1"/>
  <c r="V2220" i="1"/>
  <c r="U2220" i="1"/>
  <c r="U2219" i="1"/>
  <c r="V2219" i="1"/>
  <c r="S2219" i="1"/>
  <c r="V2218" i="1"/>
  <c r="U2218" i="1"/>
  <c r="S2218" i="1"/>
  <c r="S2217" i="1"/>
  <c r="U2217" i="1"/>
  <c r="V2217" i="1"/>
  <c r="V2216" i="1"/>
  <c r="U2216" i="1"/>
  <c r="S2216" i="1"/>
  <c r="S2215" i="1"/>
  <c r="U2215" i="1"/>
  <c r="V2215" i="1"/>
  <c r="V2214" i="1"/>
  <c r="U2214" i="1"/>
  <c r="S2214" i="1"/>
  <c r="V2213" i="1"/>
  <c r="U2213" i="1"/>
  <c r="S2213" i="1"/>
  <c r="V2212" i="1"/>
  <c r="U2212" i="1"/>
  <c r="U2209" i="1"/>
  <c r="S2209" i="1"/>
  <c r="V2209" i="1"/>
  <c r="U2208" i="1"/>
  <c r="S2208" i="1"/>
  <c r="V2208" i="1"/>
  <c r="S2207" i="1"/>
  <c r="V2207" i="1"/>
  <c r="U2207" i="1"/>
  <c r="S2206" i="1"/>
  <c r="U2206" i="1"/>
  <c r="V2206" i="1"/>
  <c r="V2205" i="1"/>
  <c r="S2205" i="1"/>
  <c r="U2205" i="1"/>
  <c r="S2204" i="1"/>
  <c r="U2204" i="1"/>
  <c r="V2204" i="1"/>
  <c r="V2203" i="1"/>
  <c r="S2203" i="1"/>
  <c r="U2203" i="1"/>
  <c r="S2202" i="1"/>
  <c r="V2202" i="1"/>
  <c r="U2202" i="1"/>
  <c r="V2201" i="1"/>
  <c r="S2201" i="1"/>
  <c r="U2201" i="1"/>
  <c r="V2200" i="1"/>
  <c r="S2200" i="1"/>
  <c r="U2200" i="1"/>
  <c r="V2199" i="1"/>
  <c r="U2199" i="1"/>
  <c r="S2199" i="1"/>
  <c r="U2198" i="1"/>
  <c r="S2198" i="1"/>
  <c r="V2198" i="1"/>
  <c r="U2197" i="1"/>
  <c r="S2197" i="1"/>
  <c r="V2197" i="1"/>
  <c r="U2196" i="1"/>
  <c r="S2196" i="1"/>
  <c r="V2196" i="1"/>
  <c r="U2195" i="1"/>
  <c r="S2195" i="1"/>
  <c r="V2195" i="1"/>
  <c r="U2194" i="1"/>
  <c r="V2194" i="1"/>
  <c r="U2193" i="1"/>
  <c r="S2193" i="1"/>
  <c r="V2193" i="1"/>
  <c r="U2192" i="1"/>
  <c r="S2192" i="1"/>
  <c r="V2192" i="1"/>
  <c r="U2191" i="1"/>
  <c r="S2191" i="1"/>
  <c r="V2191" i="1"/>
  <c r="S2190" i="1"/>
  <c r="V2190" i="1"/>
  <c r="U2190" i="1"/>
  <c r="V2189" i="1"/>
  <c r="S2189" i="1"/>
  <c r="U2189" i="1"/>
  <c r="U2188" i="1"/>
  <c r="S2188" i="1"/>
  <c r="V2188" i="1"/>
  <c r="V2185" i="1"/>
  <c r="U2185" i="1"/>
  <c r="S2185" i="1"/>
  <c r="V2184" i="1"/>
  <c r="U2184" i="1"/>
  <c r="S2184" i="1"/>
  <c r="U2183" i="1"/>
  <c r="V2183" i="1"/>
  <c r="S2182" i="1"/>
  <c r="V2182" i="1"/>
  <c r="U2182" i="1"/>
  <c r="S2181" i="1"/>
  <c r="V2181" i="1"/>
  <c r="U2181" i="1"/>
  <c r="V2180" i="1"/>
  <c r="U2180" i="1"/>
  <c r="S2180" i="1"/>
  <c r="S2179" i="1"/>
  <c r="V2179" i="1"/>
  <c r="U2179" i="1"/>
  <c r="U2178" i="1"/>
  <c r="V2178" i="1"/>
  <c r="S2178" i="1"/>
  <c r="S2177" i="1"/>
  <c r="V2177" i="1"/>
  <c r="U2177" i="1"/>
  <c r="U2176" i="1"/>
  <c r="V2176" i="1"/>
  <c r="S2176" i="1"/>
  <c r="V2175" i="1"/>
  <c r="U2175" i="1"/>
  <c r="U2174" i="1"/>
  <c r="S2174" i="1"/>
  <c r="V2174" i="1"/>
  <c r="S2173" i="1"/>
  <c r="V2173" i="1"/>
  <c r="U2173" i="1"/>
  <c r="S2172" i="1"/>
  <c r="V2172" i="1"/>
  <c r="S2170" i="1"/>
  <c r="U2170" i="1"/>
  <c r="V2170" i="1"/>
  <c r="S2169" i="1"/>
  <c r="V2169" i="1"/>
  <c r="U2169" i="1"/>
  <c r="S2168" i="1"/>
  <c r="U2168" i="1"/>
  <c r="V2168" i="1"/>
  <c r="S2167" i="1"/>
  <c r="U2167" i="1"/>
  <c r="V2167" i="1"/>
  <c r="S2166" i="1"/>
  <c r="U2166" i="1"/>
  <c r="V2166" i="1"/>
  <c r="V2165" i="1"/>
  <c r="U2165" i="1"/>
  <c r="S2165" i="1"/>
  <c r="U2164" i="1"/>
  <c r="S2164" i="1"/>
  <c r="V2164" i="1"/>
  <c r="V2163" i="1"/>
  <c r="U2163" i="1"/>
  <c r="S2163" i="1"/>
  <c r="S2162" i="1"/>
  <c r="V2162" i="1"/>
  <c r="U2162" i="1"/>
  <c r="U2161" i="1"/>
  <c r="S2161" i="1"/>
  <c r="V2161" i="1"/>
  <c r="S2160" i="1"/>
  <c r="V2160" i="1"/>
  <c r="U2160" i="1"/>
  <c r="V2159" i="1"/>
  <c r="U2159" i="1"/>
  <c r="S2159" i="1"/>
  <c r="V2158" i="1"/>
  <c r="U2158" i="1"/>
  <c r="S2158" i="1"/>
  <c r="V2157" i="1"/>
  <c r="U2157" i="1"/>
  <c r="S2157" i="1"/>
  <c r="V2156" i="1"/>
  <c r="U2156" i="1"/>
  <c r="S2156" i="1"/>
  <c r="U2155" i="1"/>
  <c r="S2155" i="1"/>
  <c r="V2155" i="1"/>
  <c r="S2154" i="1"/>
  <c r="V2154" i="1"/>
  <c r="U2154" i="1"/>
  <c r="V2153" i="1"/>
  <c r="U2153" i="1"/>
  <c r="S2153" i="1"/>
  <c r="S2152" i="1"/>
  <c r="V2152" i="1"/>
  <c r="U2152" i="1"/>
  <c r="S2151" i="1"/>
  <c r="V2151" i="1"/>
  <c r="U2151" i="1"/>
  <c r="S2150" i="1"/>
  <c r="V2150" i="1"/>
  <c r="U2150" i="1"/>
  <c r="S2149" i="1"/>
  <c r="V2149" i="1"/>
  <c r="U2149" i="1"/>
  <c r="S2144" i="1"/>
  <c r="V2144" i="1"/>
  <c r="U2144" i="1"/>
  <c r="V2143" i="1"/>
  <c r="U2143" i="1"/>
  <c r="S2143" i="1"/>
  <c r="S2139" i="1"/>
  <c r="V2139" i="1"/>
  <c r="U2139" i="1"/>
  <c r="S2138" i="1"/>
  <c r="U2138" i="1"/>
  <c r="V2138" i="1"/>
  <c r="S2137" i="1"/>
  <c r="U2137" i="1"/>
  <c r="V2137" i="1"/>
  <c r="V2132" i="1"/>
  <c r="U2132" i="1"/>
  <c r="S2132" i="1"/>
  <c r="V2131" i="1"/>
  <c r="U2131" i="1"/>
  <c r="S2131" i="1"/>
  <c r="V2130" i="1"/>
  <c r="U2130" i="1"/>
  <c r="S2130" i="1"/>
  <c r="S2129" i="1"/>
  <c r="V2129" i="1"/>
  <c r="X2129" i="1" s="1"/>
  <c r="A2130" i="1" s="1"/>
  <c r="X2130" i="1" s="1"/>
  <c r="A2131" i="1" s="1"/>
  <c r="X2131" i="1" s="1"/>
  <c r="A2132" i="1" s="1"/>
  <c r="X2132" i="1" s="1"/>
  <c r="A2133" i="1" s="1"/>
  <c r="X2133" i="1" s="1"/>
  <c r="A2134" i="1" s="1"/>
  <c r="X2134" i="1" s="1"/>
  <c r="A2135" i="1" s="1"/>
  <c r="X2135" i="1" s="1"/>
  <c r="A2136" i="1" s="1"/>
  <c r="X2136" i="1" s="1"/>
  <c r="A2137" i="1" s="1"/>
  <c r="X2137" i="1" s="1"/>
  <c r="A2138" i="1" s="1"/>
  <c r="X2138" i="1" s="1"/>
  <c r="A2139" i="1" s="1"/>
  <c r="X2139" i="1" s="1"/>
  <c r="A2140" i="1" s="1"/>
  <c r="X2140" i="1" s="1"/>
  <c r="A2141" i="1" s="1"/>
  <c r="X2141" i="1" s="1"/>
  <c r="A2142" i="1" s="1"/>
  <c r="X2142" i="1" s="1"/>
  <c r="A2143" i="1" s="1"/>
  <c r="X2143" i="1" s="1"/>
  <c r="A2144" i="1" s="1"/>
  <c r="X2144" i="1" s="1"/>
  <c r="A2145" i="1" s="1"/>
  <c r="X2145" i="1" s="1"/>
  <c r="A2146" i="1" s="1"/>
  <c r="X2146" i="1" s="1"/>
  <c r="A2147" i="1" s="1"/>
  <c r="X2147" i="1" s="1"/>
  <c r="A2148" i="1" s="1"/>
  <c r="X2148" i="1" s="1"/>
  <c r="A2149" i="1" s="1"/>
  <c r="X2149" i="1" s="1"/>
  <c r="A2150" i="1" s="1"/>
  <c r="X2150" i="1" s="1"/>
  <c r="A2151" i="1" s="1"/>
  <c r="X2151" i="1" s="1"/>
  <c r="A2152" i="1" s="1"/>
  <c r="X2152" i="1" s="1"/>
  <c r="A2153" i="1" s="1"/>
  <c r="X2153" i="1" s="1"/>
  <c r="A2154" i="1" s="1"/>
  <c r="X2154" i="1" s="1"/>
  <c r="A2155" i="1" s="1"/>
  <c r="X2155" i="1" s="1"/>
  <c r="A2156" i="1" s="1"/>
  <c r="X2156" i="1" s="1"/>
  <c r="A2157" i="1" s="1"/>
  <c r="X2157" i="1" s="1"/>
  <c r="A2158" i="1" s="1"/>
  <c r="X2158" i="1" s="1"/>
  <c r="A2159" i="1" s="1"/>
  <c r="X2159" i="1" s="1"/>
  <c r="A2160" i="1" s="1"/>
  <c r="X2160" i="1" s="1"/>
  <c r="A2161" i="1" s="1"/>
  <c r="X2161" i="1" s="1"/>
  <c r="A2162" i="1" s="1"/>
  <c r="X2162" i="1" s="1"/>
  <c r="A2163" i="1" s="1"/>
  <c r="X2163" i="1" s="1"/>
  <c r="A2164" i="1" s="1"/>
  <c r="X2164" i="1" s="1"/>
  <c r="A2165" i="1" s="1"/>
  <c r="X2165" i="1" s="1"/>
  <c r="A2166" i="1" s="1"/>
  <c r="X2166" i="1" s="1"/>
  <c r="A2167" i="1" s="1"/>
  <c r="X2167" i="1" s="1"/>
  <c r="A2168" i="1" s="1"/>
  <c r="X2168" i="1" s="1"/>
  <c r="A2169" i="1" s="1"/>
  <c r="X2169" i="1" s="1"/>
  <c r="A2170" i="1" s="1"/>
  <c r="X2170" i="1" s="1"/>
  <c r="A2171" i="1" s="1"/>
  <c r="X2171" i="1" s="1"/>
  <c r="A2172" i="1" s="1"/>
  <c r="X2172" i="1" s="1"/>
  <c r="A2173" i="1" s="1"/>
  <c r="X2173" i="1" s="1"/>
  <c r="A2174" i="1" s="1"/>
  <c r="X2174" i="1" s="1"/>
  <c r="A2175" i="1" s="1"/>
  <c r="X2175" i="1" s="1"/>
  <c r="A2176" i="1" s="1"/>
  <c r="X2176" i="1" s="1"/>
  <c r="A2177" i="1" s="1"/>
  <c r="X2177" i="1" s="1"/>
  <c r="A2178" i="1" s="1"/>
  <c r="X2178" i="1" s="1"/>
  <c r="A2179" i="1" s="1"/>
  <c r="X2179" i="1" s="1"/>
  <c r="A2180" i="1" s="1"/>
  <c r="X2180" i="1" s="1"/>
  <c r="A2181" i="1" s="1"/>
  <c r="X2181" i="1" s="1"/>
  <c r="A2182" i="1" s="1"/>
  <c r="X2182" i="1" s="1"/>
  <c r="A2183" i="1" s="1"/>
  <c r="X2183" i="1" s="1"/>
  <c r="A2184" i="1" s="1"/>
  <c r="X2184" i="1" s="1"/>
  <c r="A2185" i="1" s="1"/>
  <c r="X2185" i="1" s="1"/>
  <c r="A2186" i="1" s="1"/>
  <c r="X2186" i="1" s="1"/>
  <c r="A2187" i="1" s="1"/>
  <c r="X2187" i="1" s="1"/>
  <c r="A2188" i="1" s="1"/>
  <c r="X2188" i="1" s="1"/>
  <c r="A2189" i="1" s="1"/>
  <c r="X2189" i="1" s="1"/>
  <c r="A2190" i="1" s="1"/>
  <c r="X2190" i="1" s="1"/>
  <c r="A2191" i="1" s="1"/>
  <c r="X2191" i="1" s="1"/>
  <c r="A2192" i="1" s="1"/>
  <c r="X2192" i="1" s="1"/>
  <c r="A2193" i="1" s="1"/>
  <c r="X2193" i="1" s="1"/>
  <c r="A2194" i="1" s="1"/>
  <c r="X2194" i="1" s="1"/>
  <c r="A2195" i="1" s="1"/>
  <c r="X2195" i="1" s="1"/>
  <c r="A2196" i="1" s="1"/>
  <c r="X2196" i="1" s="1"/>
  <c r="A2197" i="1" s="1"/>
  <c r="X2197" i="1" s="1"/>
  <c r="A2198" i="1" s="1"/>
  <c r="X2198" i="1" s="1"/>
  <c r="A2199" i="1" s="1"/>
  <c r="X2199" i="1" s="1"/>
  <c r="A2200" i="1" s="1"/>
  <c r="X2200" i="1" s="1"/>
  <c r="A2201" i="1" s="1"/>
  <c r="X2201" i="1" s="1"/>
  <c r="A2202" i="1" s="1"/>
  <c r="X2202" i="1" s="1"/>
  <c r="A2203" i="1" s="1"/>
  <c r="X2203" i="1" s="1"/>
  <c r="A2204" i="1" s="1"/>
  <c r="X2204" i="1" s="1"/>
  <c r="A2205" i="1" s="1"/>
  <c r="X2205" i="1" s="1"/>
  <c r="A2206" i="1" s="1"/>
  <c r="X2206" i="1" s="1"/>
  <c r="A2207" i="1" s="1"/>
  <c r="X2207" i="1" s="1"/>
  <c r="A2208" i="1" s="1"/>
  <c r="X2208" i="1" s="1"/>
  <c r="A2209" i="1" s="1"/>
  <c r="X2209" i="1" s="1"/>
  <c r="A2210" i="1" s="1"/>
  <c r="X2210" i="1" s="1"/>
  <c r="A2211" i="1" s="1"/>
  <c r="X2211" i="1" s="1"/>
  <c r="A2212" i="1" s="1"/>
  <c r="X2212" i="1" s="1"/>
  <c r="A2213" i="1" s="1"/>
  <c r="X2213" i="1" s="1"/>
  <c r="A2214" i="1" s="1"/>
  <c r="X2214" i="1" s="1"/>
  <c r="A2215" i="1" s="1"/>
  <c r="X2215" i="1" s="1"/>
  <c r="A2216" i="1" s="1"/>
  <c r="X2216" i="1" s="1"/>
  <c r="A2217" i="1" s="1"/>
  <c r="X2217" i="1" s="1"/>
  <c r="A2218" i="1" s="1"/>
  <c r="X2218" i="1" s="1"/>
  <c r="A2219" i="1" s="1"/>
  <c r="X2219" i="1" s="1"/>
  <c r="A2220" i="1" s="1"/>
  <c r="X2220" i="1" s="1"/>
  <c r="A2221" i="1" s="1"/>
  <c r="X2221" i="1" s="1"/>
  <c r="A2222" i="1" s="1"/>
  <c r="X2222" i="1" s="1"/>
  <c r="A2223" i="1" s="1"/>
  <c r="X2223" i="1" s="1"/>
  <c r="A2224" i="1" s="1"/>
  <c r="X2224" i="1" s="1"/>
  <c r="A2225" i="1" s="1"/>
  <c r="X2225" i="1" s="1"/>
  <c r="A2226" i="1" s="1"/>
  <c r="X2226" i="1" s="1"/>
  <c r="A2227" i="1" s="1"/>
  <c r="X2227" i="1" s="1"/>
  <c r="A2228" i="1" s="1"/>
  <c r="X2228" i="1" s="1"/>
  <c r="A2229" i="1" s="1"/>
  <c r="X2229" i="1" s="1"/>
  <c r="A2230" i="1" s="1"/>
  <c r="X2230" i="1" s="1"/>
  <c r="A2231" i="1" s="1"/>
  <c r="U2129" i="1"/>
  <c r="U2125" i="1"/>
  <c r="V2125" i="1" s="1"/>
  <c r="S2125" i="1"/>
  <c r="U2124" i="1"/>
  <c r="V2124" i="1" s="1"/>
  <c r="S2124" i="1"/>
  <c r="U2122" i="1"/>
  <c r="V2122" i="1" s="1"/>
  <c r="S2122" i="1"/>
  <c r="S2121" i="1"/>
  <c r="U2121" i="1"/>
  <c r="V2121" i="1" s="1"/>
  <c r="U2120" i="1"/>
  <c r="V2120" i="1" s="1"/>
  <c r="S2120" i="1"/>
  <c r="S2119" i="1"/>
  <c r="U2119" i="1"/>
  <c r="V2119" i="1" s="1"/>
  <c r="S2118" i="1"/>
  <c r="U2118" i="1"/>
  <c r="V2118" i="1" s="1"/>
  <c r="S2116" i="1"/>
  <c r="U2116" i="1"/>
  <c r="V2116" i="1" s="1"/>
  <c r="U2115" i="1"/>
  <c r="V2115" i="1" s="1"/>
  <c r="S2115" i="1"/>
  <c r="S2114" i="1"/>
  <c r="U2114" i="1"/>
  <c r="V2114" i="1" s="1"/>
  <c r="U2113" i="1"/>
  <c r="V2113" i="1" s="1"/>
  <c r="S2113" i="1"/>
  <c r="U2112" i="1"/>
  <c r="V2112" i="1" s="1"/>
  <c r="S2112" i="1"/>
  <c r="V2111" i="1"/>
  <c r="U2111" i="1"/>
  <c r="S2111" i="1"/>
  <c r="S2110" i="1"/>
  <c r="U2110" i="1"/>
  <c r="V2110" i="1"/>
  <c r="S2109" i="1"/>
  <c r="U2109" i="1"/>
  <c r="V2109" i="1"/>
  <c r="S2108" i="1"/>
  <c r="U2108" i="1"/>
  <c r="V2108" i="1"/>
  <c r="S2107" i="1"/>
  <c r="U2107" i="1"/>
  <c r="V2107" i="1"/>
  <c r="S2106" i="1"/>
  <c r="U2106" i="1"/>
  <c r="V2106" i="1"/>
  <c r="S2105" i="1"/>
  <c r="U2105" i="1"/>
  <c r="V2105" i="1"/>
  <c r="U2104" i="1"/>
  <c r="S2104" i="1"/>
  <c r="V2104" i="1"/>
  <c r="S2103" i="1"/>
  <c r="U2103" i="1"/>
  <c r="V2103" i="1"/>
  <c r="U2102" i="1"/>
  <c r="V2102" i="1"/>
  <c r="S2102" i="1"/>
  <c r="V2101" i="1"/>
  <c r="S2101" i="1"/>
  <c r="U2101" i="1"/>
  <c r="S2100" i="1"/>
  <c r="U2100" i="1"/>
  <c r="V2100" i="1"/>
  <c r="S2099" i="1"/>
  <c r="U2099" i="1"/>
  <c r="V2099" i="1"/>
  <c r="U2098" i="1"/>
  <c r="V2098" i="1"/>
  <c r="S2098" i="1"/>
  <c r="V2097" i="1"/>
  <c r="U2097" i="1"/>
  <c r="S2097" i="1"/>
  <c r="V2096" i="1"/>
  <c r="S2096" i="1"/>
  <c r="U2096" i="1"/>
  <c r="S2095" i="1"/>
  <c r="U2095" i="1"/>
  <c r="V2095" i="1"/>
  <c r="S2094" i="1"/>
  <c r="U2094" i="1"/>
  <c r="V2094" i="1"/>
  <c r="S2093" i="1"/>
  <c r="U2093" i="1"/>
  <c r="V2093" i="1"/>
  <c r="S2091" i="1"/>
  <c r="U2091" i="1"/>
  <c r="V2091" i="1"/>
  <c r="U2090" i="1"/>
  <c r="S2090" i="1"/>
  <c r="V2090" i="1"/>
  <c r="V2089" i="1"/>
  <c r="U2089" i="1"/>
  <c r="S2089" i="1"/>
  <c r="S2088" i="1"/>
  <c r="U2088" i="1"/>
  <c r="V2088" i="1"/>
  <c r="V2087" i="1"/>
  <c r="U2087" i="1"/>
  <c r="S2087" i="1"/>
  <c r="U2086" i="1"/>
  <c r="V2086" i="1"/>
  <c r="S2086" i="1"/>
  <c r="V2085" i="1"/>
  <c r="S2085" i="1"/>
  <c r="U2085" i="1"/>
  <c r="U2084" i="1"/>
  <c r="S2084" i="1"/>
  <c r="V2084" i="1"/>
  <c r="V2083" i="1"/>
  <c r="U2083" i="1"/>
  <c r="S2083" i="1"/>
  <c r="V2081" i="1"/>
  <c r="S2081" i="1"/>
  <c r="U2081" i="1"/>
  <c r="U2080" i="1"/>
  <c r="S2080" i="1"/>
  <c r="V2080" i="1"/>
  <c r="V2079" i="1"/>
  <c r="U2079" i="1"/>
  <c r="S2079" i="1"/>
  <c r="V2078" i="1"/>
  <c r="U2078" i="1"/>
  <c r="S2078" i="1"/>
  <c r="S2077" i="1"/>
  <c r="U2077" i="1"/>
  <c r="V2077" i="1"/>
  <c r="V2076" i="1"/>
  <c r="U2076" i="1"/>
  <c r="S2076" i="1"/>
  <c r="V2075" i="1"/>
  <c r="U2075" i="1"/>
  <c r="S2075" i="1"/>
  <c r="V2074" i="1"/>
  <c r="U2074" i="1"/>
  <c r="S2074" i="1"/>
  <c r="V2073" i="1"/>
  <c r="U2073" i="1"/>
  <c r="S2073" i="1"/>
  <c r="U2072" i="1"/>
  <c r="S2072" i="1"/>
  <c r="V2072" i="1"/>
  <c r="S2071" i="1"/>
  <c r="V2071" i="1"/>
  <c r="U2071" i="1"/>
  <c r="V2070" i="1"/>
  <c r="U2070" i="1"/>
  <c r="S2070" i="1"/>
  <c r="V2068" i="1"/>
  <c r="U2068" i="1"/>
  <c r="S2068" i="1"/>
  <c r="U2067" i="1"/>
  <c r="S2067" i="1"/>
  <c r="V2067" i="1"/>
  <c r="V2066" i="1"/>
  <c r="U2066" i="1"/>
  <c r="S2066" i="1"/>
  <c r="S2065" i="1"/>
  <c r="V2065" i="1"/>
  <c r="U2065" i="1"/>
  <c r="S2064" i="1"/>
  <c r="V2064" i="1"/>
  <c r="U2064" i="1"/>
  <c r="S2063" i="1"/>
  <c r="V2063" i="1"/>
  <c r="U2063" i="1"/>
  <c r="V2062" i="1"/>
  <c r="U2062" i="1"/>
  <c r="S2062" i="1"/>
  <c r="V2061" i="1"/>
  <c r="U2061" i="1"/>
  <c r="S2061" i="1"/>
  <c r="V2060" i="1"/>
  <c r="U2060" i="1"/>
  <c r="S2060" i="1"/>
  <c r="V2059" i="1"/>
  <c r="U2059" i="1"/>
  <c r="S2059" i="1"/>
  <c r="V2058" i="1"/>
  <c r="U2058" i="1"/>
  <c r="S2058" i="1"/>
  <c r="S2057" i="1"/>
  <c r="U2057" i="1"/>
  <c r="V2057" i="1"/>
  <c r="S2056" i="1"/>
  <c r="V2056" i="1"/>
  <c r="U2056" i="1"/>
  <c r="V2055" i="1"/>
  <c r="U2055" i="1"/>
  <c r="S2055" i="1"/>
  <c r="U2054" i="1"/>
  <c r="S2054" i="1"/>
  <c r="V2054" i="1"/>
  <c r="V2053" i="1"/>
  <c r="U2053" i="1"/>
  <c r="S2053" i="1"/>
  <c r="V2052" i="1"/>
  <c r="U2052" i="1"/>
  <c r="S2052" i="1"/>
  <c r="V2051" i="1"/>
  <c r="S2051" i="1"/>
  <c r="U2051" i="1"/>
  <c r="S2050" i="1"/>
  <c r="V2050" i="1"/>
  <c r="U2050" i="1"/>
  <c r="V2049" i="1"/>
  <c r="U2049" i="1"/>
  <c r="S2049" i="1"/>
  <c r="V2048" i="1"/>
  <c r="U2048" i="1"/>
  <c r="S2048" i="1"/>
  <c r="V2047" i="1"/>
  <c r="U2047" i="1"/>
  <c r="S2047" i="1"/>
  <c r="U2046" i="1"/>
  <c r="V2046" i="1"/>
  <c r="S2046" i="1"/>
  <c r="S2045" i="1"/>
  <c r="V2045" i="1"/>
  <c r="U2045" i="1"/>
  <c r="V2044" i="1"/>
  <c r="U2044" i="1"/>
  <c r="S2044" i="1"/>
  <c r="V2043" i="1"/>
  <c r="U2043" i="1"/>
  <c r="S2043" i="1"/>
  <c r="V2042" i="1"/>
  <c r="U2042" i="1"/>
  <c r="S2042" i="1"/>
  <c r="V2041" i="1"/>
  <c r="U2041" i="1"/>
  <c r="S2041" i="1"/>
  <c r="V2040" i="1"/>
  <c r="U2040" i="1"/>
  <c r="S2040" i="1"/>
  <c r="V2039" i="1"/>
  <c r="S2039" i="1"/>
  <c r="U2039" i="1"/>
  <c r="V2038" i="1"/>
  <c r="S2038" i="1"/>
  <c r="U2038" i="1"/>
  <c r="S2037" i="1"/>
  <c r="U2037" i="1"/>
  <c r="V2037" i="1"/>
  <c r="S2036" i="1"/>
  <c r="V2036" i="1"/>
  <c r="U2036" i="1"/>
  <c r="S2035" i="1"/>
  <c r="U2035" i="1"/>
  <c r="V2035" i="1"/>
  <c r="U2034" i="1"/>
  <c r="S2034" i="1"/>
  <c r="V2034" i="1"/>
  <c r="V2032" i="1"/>
  <c r="S2032" i="1"/>
  <c r="U2032" i="1"/>
  <c r="V2031" i="1"/>
  <c r="S2031" i="1"/>
  <c r="U2031" i="1"/>
  <c r="V2030" i="1"/>
  <c r="S2030" i="1"/>
  <c r="U2030" i="1"/>
  <c r="S2029" i="1"/>
  <c r="U2029" i="1"/>
  <c r="V2029" i="1"/>
  <c r="S2028" i="1"/>
  <c r="U2028" i="1"/>
  <c r="V2028" i="1"/>
  <c r="S2027" i="1"/>
  <c r="U2027" i="1"/>
  <c r="V2027" i="1"/>
  <c r="S2026" i="1"/>
  <c r="U2026" i="1"/>
  <c r="V2026" i="1"/>
  <c r="S2025" i="1"/>
  <c r="U2025" i="1"/>
  <c r="V2025" i="1"/>
  <c r="U2024" i="1"/>
  <c r="S2024" i="1"/>
  <c r="V2024" i="1"/>
  <c r="U2023" i="1"/>
  <c r="S2023" i="1"/>
  <c r="V2023" i="1"/>
  <c r="U2022" i="1"/>
  <c r="S2022" i="1"/>
  <c r="V2022" i="1"/>
  <c r="S2021" i="1"/>
  <c r="U2021" i="1"/>
  <c r="V2021" i="1"/>
  <c r="S2020" i="1"/>
  <c r="U2020" i="1"/>
  <c r="V2020" i="1"/>
  <c r="U2019" i="1"/>
  <c r="V2019" i="1"/>
  <c r="S2019" i="1"/>
  <c r="V2018" i="1"/>
  <c r="S2018" i="1"/>
  <c r="U2018" i="1"/>
  <c r="S2017" i="1"/>
  <c r="U2017" i="1"/>
  <c r="V2017" i="1"/>
  <c r="U2016" i="1"/>
  <c r="S2016" i="1"/>
  <c r="V2016" i="1"/>
  <c r="V2015" i="1"/>
  <c r="U2015" i="1"/>
  <c r="S2015" i="1"/>
  <c r="U2014" i="1"/>
  <c r="V2014" i="1"/>
  <c r="S2014" i="1"/>
  <c r="U2013" i="1"/>
  <c r="V2013" i="1"/>
  <c r="S2013" i="1"/>
  <c r="U2012" i="1"/>
  <c r="V2012" i="1"/>
  <c r="S2012" i="1"/>
  <c r="S2011" i="1"/>
  <c r="V2011" i="1"/>
  <c r="U2011" i="1"/>
  <c r="V2010" i="1"/>
  <c r="U2010" i="1"/>
  <c r="S2010" i="1"/>
  <c r="V2009" i="1"/>
  <c r="U2009" i="1"/>
  <c r="S2009" i="1"/>
  <c r="V2008" i="1"/>
  <c r="U2008" i="1"/>
  <c r="S2008" i="1"/>
  <c r="V2007" i="1"/>
  <c r="U2007" i="1"/>
  <c r="S2007" i="1"/>
  <c r="S2006" i="1"/>
  <c r="U2006" i="1"/>
  <c r="V2006" i="1"/>
  <c r="U2005" i="1"/>
  <c r="S2005" i="1"/>
  <c r="V2005" i="1"/>
  <c r="V2004" i="1"/>
  <c r="U2004" i="1"/>
  <c r="S2004" i="1"/>
  <c r="V2003" i="1"/>
  <c r="U2003" i="1"/>
  <c r="S2003" i="1"/>
  <c r="S2002" i="1"/>
  <c r="V2002" i="1"/>
  <c r="U2002" i="1"/>
  <c r="V2001" i="1"/>
  <c r="U2001" i="1"/>
  <c r="S2001" i="1"/>
  <c r="V2000" i="1"/>
  <c r="U2000" i="1"/>
  <c r="S2000" i="1"/>
  <c r="U1999" i="1"/>
  <c r="V1999" i="1"/>
  <c r="S1999" i="1"/>
  <c r="U1998" i="1"/>
  <c r="S1998" i="1"/>
  <c r="V1998" i="1"/>
  <c r="U1997" i="1"/>
  <c r="V1997" i="1"/>
  <c r="S1997" i="1"/>
  <c r="S1996" i="1"/>
  <c r="U1996" i="1"/>
  <c r="V1996" i="1"/>
  <c r="S1995" i="1"/>
  <c r="U1995" i="1"/>
  <c r="V1995" i="1"/>
  <c r="S1994" i="1"/>
  <c r="U1994" i="1"/>
  <c r="V1994" i="1"/>
  <c r="U1993" i="1"/>
  <c r="V1993" i="1"/>
  <c r="S1993" i="1"/>
  <c r="U1992" i="1"/>
  <c r="S1992" i="1"/>
  <c r="V1992" i="1"/>
  <c r="V1991" i="1"/>
  <c r="S1991" i="1"/>
  <c r="U1991" i="1"/>
  <c r="S1990" i="1"/>
  <c r="U1990" i="1"/>
  <c r="V1990" i="1"/>
  <c r="U1989" i="1"/>
  <c r="V1989" i="1"/>
  <c r="S1989" i="1"/>
  <c r="S1988" i="1"/>
  <c r="U1988" i="1"/>
  <c r="V1988" i="1"/>
  <c r="U1987" i="1"/>
  <c r="V1987" i="1"/>
  <c r="S1987" i="1"/>
  <c r="V1986" i="1"/>
  <c r="U1986" i="1"/>
  <c r="S1986" i="1"/>
  <c r="U1985" i="1"/>
  <c r="S1985" i="1"/>
  <c r="V1985" i="1"/>
  <c r="V1984" i="1"/>
  <c r="U1984" i="1"/>
  <c r="S1984" i="1"/>
  <c r="V1983" i="1"/>
  <c r="U1983" i="1"/>
  <c r="S1983" i="1"/>
  <c r="V1982" i="1"/>
  <c r="U1982" i="1"/>
  <c r="S1982" i="1"/>
  <c r="V1981" i="1"/>
  <c r="U1981" i="1"/>
  <c r="S1981" i="1"/>
  <c r="V1980" i="1"/>
  <c r="U1980" i="1"/>
  <c r="S1980" i="1"/>
  <c r="V1979" i="1"/>
  <c r="U1979" i="1"/>
  <c r="S1979" i="1"/>
  <c r="V1978" i="1"/>
  <c r="U1978" i="1"/>
  <c r="S1978" i="1"/>
  <c r="V1977" i="1"/>
  <c r="U1977" i="1"/>
  <c r="S1977" i="1"/>
  <c r="V1976" i="1"/>
  <c r="U1976" i="1"/>
  <c r="S1976" i="1"/>
  <c r="V1975" i="1"/>
  <c r="U1975" i="1"/>
  <c r="S1975" i="1"/>
  <c r="U1974" i="1"/>
  <c r="V1974" i="1"/>
  <c r="S1974" i="1"/>
  <c r="V1973" i="1"/>
  <c r="U1973" i="1"/>
  <c r="S1973" i="1"/>
  <c r="S1972" i="1"/>
  <c r="U1972" i="1"/>
  <c r="V1972" i="1"/>
  <c r="U1971" i="1"/>
  <c r="V1971" i="1"/>
  <c r="S1971" i="1"/>
  <c r="V1970" i="1"/>
  <c r="S1970" i="1"/>
  <c r="U1970" i="1"/>
  <c r="S1969" i="1"/>
  <c r="U1969" i="1"/>
  <c r="V1969" i="1"/>
  <c r="V1968" i="1"/>
  <c r="S1968" i="1"/>
  <c r="U1968" i="1"/>
  <c r="S1967" i="1"/>
  <c r="U1967" i="1"/>
  <c r="V1967" i="1"/>
  <c r="V1966" i="1"/>
  <c r="U1966" i="1"/>
  <c r="S1966" i="1"/>
  <c r="S1965" i="1"/>
  <c r="V1965" i="1"/>
  <c r="U1965" i="1"/>
  <c r="V1964" i="1"/>
  <c r="U1964" i="1"/>
  <c r="S1964" i="1"/>
  <c r="V1963" i="1"/>
  <c r="U1963" i="1"/>
  <c r="S1963" i="1"/>
  <c r="V1962" i="1"/>
  <c r="U1962" i="1"/>
  <c r="S1962" i="1"/>
  <c r="V1961" i="1"/>
  <c r="U1961" i="1"/>
  <c r="S1961" i="1"/>
  <c r="V1960" i="1"/>
  <c r="U1960" i="1"/>
  <c r="S1960" i="1"/>
  <c r="S1959" i="1"/>
  <c r="U1959" i="1"/>
  <c r="V1959" i="1"/>
  <c r="U1958" i="1"/>
  <c r="V1958" i="1"/>
  <c r="S1958" i="1"/>
  <c r="S1957" i="1"/>
  <c r="U1957" i="1"/>
  <c r="V1957" i="1"/>
  <c r="V1956" i="1"/>
  <c r="U1956" i="1"/>
  <c r="S1956" i="1"/>
  <c r="U1955" i="1"/>
  <c r="S1955" i="1"/>
  <c r="V1955" i="1"/>
  <c r="V1954" i="1"/>
  <c r="U1954" i="1"/>
  <c r="S1954" i="1"/>
  <c r="V1953" i="1"/>
  <c r="U1953" i="1"/>
  <c r="S1953" i="1"/>
  <c r="U1952" i="1"/>
  <c r="S1952" i="1"/>
  <c r="V1952" i="1"/>
  <c r="S1951" i="1"/>
  <c r="V1951" i="1"/>
  <c r="U1951" i="1"/>
  <c r="U1947" i="1"/>
  <c r="S1947" i="1"/>
  <c r="V1947" i="1"/>
  <c r="U1946" i="1"/>
  <c r="S1946" i="1"/>
  <c r="V1946" i="1"/>
  <c r="S1945" i="1"/>
  <c r="V1945" i="1"/>
  <c r="U1945" i="1"/>
  <c r="U1944" i="1"/>
  <c r="S1944" i="1"/>
  <c r="V1944" i="1"/>
  <c r="V1943" i="1"/>
  <c r="S1943" i="1"/>
  <c r="U1943" i="1"/>
  <c r="U1942" i="1"/>
  <c r="S1942" i="1"/>
  <c r="V1942" i="1"/>
  <c r="X1942" i="1" s="1"/>
  <c r="A1943" i="1" s="1"/>
  <c r="X1943" i="1" s="1"/>
  <c r="A1944" i="1" s="1"/>
  <c r="X1944" i="1" s="1"/>
  <c r="A1945" i="1" s="1"/>
  <c r="X1945" i="1" s="1"/>
  <c r="A1946" i="1" s="1"/>
  <c r="X1946" i="1" s="1"/>
  <c r="A1947" i="1" s="1"/>
  <c r="X1947" i="1" s="1"/>
  <c r="A1948" i="1" s="1"/>
  <c r="X1948" i="1" s="1"/>
  <c r="A1949" i="1" s="1"/>
  <c r="X1949" i="1" s="1"/>
  <c r="A1950" i="1" s="1"/>
  <c r="X1950" i="1" s="1"/>
  <c r="A1951" i="1" s="1"/>
  <c r="X1951" i="1" s="1"/>
  <c r="A1952" i="1" s="1"/>
  <c r="X1952" i="1" s="1"/>
  <c r="A1953" i="1" s="1"/>
  <c r="X1953" i="1" s="1"/>
  <c r="A1954" i="1" s="1"/>
  <c r="X1954" i="1" s="1"/>
  <c r="A1955" i="1" s="1"/>
  <c r="X1955" i="1" s="1"/>
  <c r="A1956" i="1" s="1"/>
  <c r="X1956" i="1" s="1"/>
  <c r="A1957" i="1" s="1"/>
  <c r="X1957" i="1" s="1"/>
  <c r="A1958" i="1" s="1"/>
  <c r="X1958" i="1" s="1"/>
  <c r="A1959" i="1" s="1"/>
  <c r="X1959" i="1" s="1"/>
  <c r="A1960" i="1" s="1"/>
  <c r="X1960" i="1" s="1"/>
  <c r="A1961" i="1" s="1"/>
  <c r="X1961" i="1" s="1"/>
  <c r="A1962" i="1" s="1"/>
  <c r="X1962" i="1" s="1"/>
  <c r="A1963" i="1" s="1"/>
  <c r="X1963" i="1" s="1"/>
  <c r="A1964" i="1" s="1"/>
  <c r="X1964" i="1" s="1"/>
  <c r="A1965" i="1" s="1"/>
  <c r="X1965" i="1" s="1"/>
  <c r="A1966" i="1" s="1"/>
  <c r="X1966" i="1" s="1"/>
  <c r="A1967" i="1" s="1"/>
  <c r="X1967" i="1" s="1"/>
  <c r="A1968" i="1" s="1"/>
  <c r="X1968" i="1" s="1"/>
  <c r="A1969" i="1" s="1"/>
  <c r="X1969" i="1" s="1"/>
  <c r="A1970" i="1" s="1"/>
  <c r="X1970" i="1" s="1"/>
  <c r="A1971" i="1" s="1"/>
  <c r="X1971" i="1" s="1"/>
  <c r="A1972" i="1" s="1"/>
  <c r="X1972" i="1" s="1"/>
  <c r="A1973" i="1" s="1"/>
  <c r="X1973" i="1" s="1"/>
  <c r="A1974" i="1" s="1"/>
  <c r="X1974" i="1" s="1"/>
  <c r="A1975" i="1" s="1"/>
  <c r="X1975" i="1" s="1"/>
  <c r="A1976" i="1" s="1"/>
  <c r="X1976" i="1" s="1"/>
  <c r="A1977" i="1" s="1"/>
  <c r="X1977" i="1" s="1"/>
  <c r="A1978" i="1" s="1"/>
  <c r="X1978" i="1" s="1"/>
  <c r="A1979" i="1" s="1"/>
  <c r="X1979" i="1" s="1"/>
  <c r="A1980" i="1" s="1"/>
  <c r="X1980" i="1" s="1"/>
  <c r="A1981" i="1" s="1"/>
  <c r="X1981" i="1" s="1"/>
  <c r="A1982" i="1" s="1"/>
  <c r="X1982" i="1" s="1"/>
  <c r="A1983" i="1" s="1"/>
  <c r="X1983" i="1" s="1"/>
  <c r="A1984" i="1" s="1"/>
  <c r="X1984" i="1" s="1"/>
  <c r="A1985" i="1" s="1"/>
  <c r="X1985" i="1" s="1"/>
  <c r="A1986" i="1" s="1"/>
  <c r="X1986" i="1" s="1"/>
  <c r="A1987" i="1" s="1"/>
  <c r="X1987" i="1" s="1"/>
  <c r="A1988" i="1" s="1"/>
  <c r="X1988" i="1" s="1"/>
  <c r="A1989" i="1" s="1"/>
  <c r="X1989" i="1" s="1"/>
  <c r="A1990" i="1" s="1"/>
  <c r="X1990" i="1" s="1"/>
  <c r="A1991" i="1" s="1"/>
  <c r="X1991" i="1" s="1"/>
  <c r="A1992" i="1" s="1"/>
  <c r="X1992" i="1" s="1"/>
  <c r="A1993" i="1" s="1"/>
  <c r="X1993" i="1" s="1"/>
  <c r="A1994" i="1" s="1"/>
  <c r="X1994" i="1" s="1"/>
  <c r="A1995" i="1" s="1"/>
  <c r="X1995" i="1" s="1"/>
  <c r="A1996" i="1" s="1"/>
  <c r="X1996" i="1" s="1"/>
  <c r="A1997" i="1" s="1"/>
  <c r="X1997" i="1" s="1"/>
  <c r="A1998" i="1" s="1"/>
  <c r="X1998" i="1" s="1"/>
  <c r="A1999" i="1" s="1"/>
  <c r="X1999" i="1" s="1"/>
  <c r="A2000" i="1" s="1"/>
  <c r="X2000" i="1" s="1"/>
  <c r="A2001" i="1" s="1"/>
  <c r="X2001" i="1" s="1"/>
  <c r="A2002" i="1" s="1"/>
  <c r="X2002" i="1" s="1"/>
  <c r="A2003" i="1" s="1"/>
  <c r="X2003" i="1" s="1"/>
  <c r="A2004" i="1" s="1"/>
  <c r="X2004" i="1" s="1"/>
  <c r="A2005" i="1" s="1"/>
  <c r="X2005" i="1" s="1"/>
  <c r="A2006" i="1" s="1"/>
  <c r="X2006" i="1" s="1"/>
  <c r="A2007" i="1" s="1"/>
  <c r="X2007" i="1" s="1"/>
  <c r="A2008" i="1" s="1"/>
  <c r="X2008" i="1" s="1"/>
  <c r="A2009" i="1" s="1"/>
  <c r="X2009" i="1" s="1"/>
  <c r="A2010" i="1" s="1"/>
  <c r="X2010" i="1" s="1"/>
  <c r="A2011" i="1" s="1"/>
  <c r="X2011" i="1" s="1"/>
  <c r="A2012" i="1" s="1"/>
  <c r="X2012" i="1" s="1"/>
  <c r="A2013" i="1" s="1"/>
  <c r="X2013" i="1" s="1"/>
  <c r="A2014" i="1" s="1"/>
  <c r="X2014" i="1" s="1"/>
  <c r="A2015" i="1" s="1"/>
  <c r="X2015" i="1" s="1"/>
  <c r="A2016" i="1" s="1"/>
  <c r="X2016" i="1" s="1"/>
  <c r="A2017" i="1" s="1"/>
  <c r="X2017" i="1" s="1"/>
  <c r="A2018" i="1" s="1"/>
  <c r="X2018" i="1" s="1"/>
  <c r="A2019" i="1" s="1"/>
  <c r="X2019" i="1" s="1"/>
  <c r="A2020" i="1" s="1"/>
  <c r="X2020" i="1" s="1"/>
  <c r="A2021" i="1" s="1"/>
  <c r="X2021" i="1" s="1"/>
  <c r="A2022" i="1" s="1"/>
  <c r="X2022" i="1" s="1"/>
  <c r="A2023" i="1" s="1"/>
  <c r="X2023" i="1" s="1"/>
  <c r="A2024" i="1" s="1"/>
  <c r="X2024" i="1" s="1"/>
  <c r="A2025" i="1" s="1"/>
  <c r="X2025" i="1" s="1"/>
  <c r="A2026" i="1" s="1"/>
  <c r="X2026" i="1" s="1"/>
  <c r="A2027" i="1" s="1"/>
  <c r="X2027" i="1" s="1"/>
  <c r="A2028" i="1" s="1"/>
  <c r="X2028" i="1" s="1"/>
  <c r="A2029" i="1" s="1"/>
  <c r="X2029" i="1" s="1"/>
  <c r="A2030" i="1" s="1"/>
  <c r="X2030" i="1" s="1"/>
  <c r="A2031" i="1" s="1"/>
  <c r="X2031" i="1" s="1"/>
  <c r="A2032" i="1" s="1"/>
  <c r="X2032" i="1" s="1"/>
  <c r="A2033" i="1" s="1"/>
  <c r="X2033" i="1" s="1"/>
  <c r="A2034" i="1" s="1"/>
  <c r="X2034" i="1" s="1"/>
  <c r="A2035" i="1" s="1"/>
  <c r="X2035" i="1" s="1"/>
  <c r="A2036" i="1" s="1"/>
  <c r="X2036" i="1" s="1"/>
  <c r="A2037" i="1" s="1"/>
  <c r="X2037" i="1" s="1"/>
  <c r="A2038" i="1" s="1"/>
  <c r="X2038" i="1" s="1"/>
  <c r="A2039" i="1" s="1"/>
  <c r="X2039" i="1" s="1"/>
  <c r="A2040" i="1" s="1"/>
  <c r="X2040" i="1" s="1"/>
  <c r="A2041" i="1" s="1"/>
  <c r="X2041" i="1" s="1"/>
  <c r="A2042" i="1" s="1"/>
  <c r="X2042" i="1" s="1"/>
  <c r="A2043" i="1" s="1"/>
  <c r="X2043" i="1" s="1"/>
  <c r="A2044" i="1" s="1"/>
  <c r="X2044" i="1" s="1"/>
  <c r="A2045" i="1" s="1"/>
  <c r="X2045" i="1" s="1"/>
  <c r="A2046" i="1" s="1"/>
  <c r="X2046" i="1" s="1"/>
  <c r="A2047" i="1" s="1"/>
  <c r="X2047" i="1" s="1"/>
  <c r="A2048" i="1" s="1"/>
  <c r="X2048" i="1" s="1"/>
  <c r="A2049" i="1" s="1"/>
  <c r="X2049" i="1" s="1"/>
  <c r="A2050" i="1" s="1"/>
  <c r="X2050" i="1" s="1"/>
  <c r="A2051" i="1" s="1"/>
  <c r="X2051" i="1" s="1"/>
  <c r="A2052" i="1" s="1"/>
  <c r="X2052" i="1" s="1"/>
  <c r="A2053" i="1" s="1"/>
  <c r="X2053" i="1" s="1"/>
  <c r="A2054" i="1" s="1"/>
  <c r="X2054" i="1" s="1"/>
  <c r="A2055" i="1" s="1"/>
  <c r="X2055" i="1" s="1"/>
  <c r="A2056" i="1" s="1"/>
  <c r="X2056" i="1" s="1"/>
  <c r="A2057" i="1" s="1"/>
  <c r="X2057" i="1" s="1"/>
  <c r="A2058" i="1" s="1"/>
  <c r="X2058" i="1" s="1"/>
  <c r="A2059" i="1" s="1"/>
  <c r="X2059" i="1" s="1"/>
  <c r="A2060" i="1" s="1"/>
  <c r="X2060" i="1" s="1"/>
  <c r="A2061" i="1" s="1"/>
  <c r="X2061" i="1" s="1"/>
  <c r="A2062" i="1" s="1"/>
  <c r="X2062" i="1" s="1"/>
  <c r="A2063" i="1" s="1"/>
  <c r="X2063" i="1" s="1"/>
  <c r="A2064" i="1" s="1"/>
  <c r="X2064" i="1" s="1"/>
  <c r="A2065" i="1" s="1"/>
  <c r="X2065" i="1" s="1"/>
  <c r="A2066" i="1" s="1"/>
  <c r="X2066" i="1" s="1"/>
  <c r="A2067" i="1" s="1"/>
  <c r="X2067" i="1" s="1"/>
  <c r="A2068" i="1" s="1"/>
  <c r="X2068" i="1" s="1"/>
  <c r="A2069" i="1" s="1"/>
  <c r="X2069" i="1" s="1"/>
  <c r="A2070" i="1" s="1"/>
  <c r="X2070" i="1" s="1"/>
  <c r="A2071" i="1" s="1"/>
  <c r="X2071" i="1" s="1"/>
  <c r="A2072" i="1" s="1"/>
  <c r="X2072" i="1" s="1"/>
  <c r="A2073" i="1" s="1"/>
  <c r="X2073" i="1" s="1"/>
  <c r="A2074" i="1" s="1"/>
  <c r="X2074" i="1" s="1"/>
  <c r="A2075" i="1" s="1"/>
  <c r="X2075" i="1" s="1"/>
  <c r="A2076" i="1" s="1"/>
  <c r="X2076" i="1" s="1"/>
  <c r="A2077" i="1" s="1"/>
  <c r="X2077" i="1" s="1"/>
  <c r="A2078" i="1" s="1"/>
  <c r="X2078" i="1" s="1"/>
  <c r="A2079" i="1" s="1"/>
  <c r="X2079" i="1" s="1"/>
  <c r="A2080" i="1" s="1"/>
  <c r="X2080" i="1" s="1"/>
  <c r="A2081" i="1" s="1"/>
  <c r="X2081" i="1" s="1"/>
  <c r="A2082" i="1" s="1"/>
  <c r="X2082" i="1" s="1"/>
  <c r="A2083" i="1" s="1"/>
  <c r="X2083" i="1" s="1"/>
  <c r="A2084" i="1" s="1"/>
  <c r="X2084" i="1" s="1"/>
  <c r="A2085" i="1" s="1"/>
  <c r="X2085" i="1" s="1"/>
  <c r="A2086" i="1" s="1"/>
  <c r="X2086" i="1" s="1"/>
  <c r="A2087" i="1" s="1"/>
  <c r="X2087" i="1" s="1"/>
  <c r="A2088" i="1" s="1"/>
  <c r="X2088" i="1" s="1"/>
  <c r="A2089" i="1" s="1"/>
  <c r="X2089" i="1" s="1"/>
  <c r="A2090" i="1" s="1"/>
  <c r="X2090" i="1" s="1"/>
  <c r="A2091" i="1" s="1"/>
  <c r="X2091" i="1" s="1"/>
  <c r="A2092" i="1" s="1"/>
  <c r="X2092" i="1" s="1"/>
  <c r="A2093" i="1" s="1"/>
  <c r="X2093" i="1" s="1"/>
  <c r="A2094" i="1" s="1"/>
  <c r="X2094" i="1" s="1"/>
  <c r="A2095" i="1" s="1"/>
  <c r="X2095" i="1" s="1"/>
  <c r="A2096" i="1" s="1"/>
  <c r="X2096" i="1" s="1"/>
  <c r="A2097" i="1" s="1"/>
  <c r="X2097" i="1" s="1"/>
  <c r="A2098" i="1" s="1"/>
  <c r="X2098" i="1" s="1"/>
  <c r="U1939" i="1"/>
  <c r="V1939" i="1" s="1"/>
  <c r="S1939" i="1"/>
  <c r="U1938" i="1"/>
  <c r="V1938" i="1" s="1"/>
  <c r="S1938" i="1"/>
  <c r="S1937" i="1"/>
  <c r="U1937" i="1"/>
  <c r="V1937" i="1" s="1"/>
  <c r="S1936" i="1"/>
  <c r="U1936" i="1"/>
  <c r="V1936" i="1" s="1"/>
  <c r="U1935" i="1"/>
  <c r="V1935" i="1" s="1"/>
  <c r="S1935" i="1"/>
  <c r="S1934" i="1"/>
  <c r="U1934" i="1"/>
  <c r="V1934" i="1" s="1"/>
  <c r="S1933" i="1"/>
  <c r="U1933" i="1"/>
  <c r="V1933" i="1" s="1"/>
  <c r="S1932" i="1"/>
  <c r="U1932" i="1"/>
  <c r="V1932" i="1" s="1"/>
  <c r="S1931" i="1"/>
  <c r="U1931" i="1"/>
  <c r="V1931" i="1" s="1"/>
  <c r="S1930" i="1"/>
  <c r="U1930" i="1"/>
  <c r="V1930" i="1" s="1"/>
  <c r="S1929" i="1"/>
  <c r="U1929" i="1"/>
  <c r="V1929" i="1" s="1"/>
  <c r="U1928" i="1"/>
  <c r="V1928" i="1" s="1"/>
  <c r="S1928" i="1"/>
  <c r="U1927" i="1"/>
  <c r="V1927" i="1" s="1"/>
  <c r="S1927" i="1"/>
  <c r="V1926" i="1"/>
  <c r="U1926" i="1"/>
  <c r="S1926" i="1"/>
  <c r="V1925" i="1"/>
  <c r="U1925" i="1"/>
  <c r="S1925" i="1"/>
  <c r="V1924" i="1"/>
  <c r="U1924" i="1"/>
  <c r="S1924" i="1"/>
  <c r="U1923" i="1"/>
  <c r="V1923" i="1"/>
  <c r="S1923" i="1"/>
  <c r="S1922" i="1"/>
  <c r="V1922" i="1"/>
  <c r="U1922" i="1"/>
  <c r="S1921" i="1"/>
  <c r="U1921" i="1"/>
  <c r="V1921" i="1"/>
  <c r="V1919" i="1"/>
  <c r="U1919" i="1"/>
  <c r="S1919" i="1"/>
  <c r="S1918" i="1"/>
  <c r="V1918" i="1"/>
  <c r="U1918" i="1"/>
  <c r="U1917" i="1"/>
  <c r="V1917" i="1"/>
  <c r="S1917" i="1"/>
  <c r="S1916" i="1"/>
  <c r="U1916" i="1"/>
  <c r="V1916" i="1"/>
  <c r="S1915" i="1"/>
  <c r="U1915" i="1"/>
  <c r="V1915" i="1"/>
  <c r="S1914" i="1"/>
  <c r="U1914" i="1"/>
  <c r="V1914" i="1"/>
  <c r="S1913" i="1"/>
  <c r="V1913" i="1"/>
  <c r="U1913" i="1"/>
  <c r="U1912" i="1"/>
  <c r="S1912" i="1"/>
  <c r="V1912" i="1"/>
  <c r="S1911" i="1"/>
  <c r="V1911" i="1"/>
  <c r="U1911" i="1"/>
  <c r="S1910" i="1"/>
  <c r="V1910" i="1"/>
  <c r="U1910" i="1"/>
  <c r="V1909" i="1"/>
  <c r="U1909" i="1"/>
  <c r="S1909" i="1"/>
  <c r="V1908" i="1"/>
  <c r="U1908" i="1"/>
  <c r="S1908" i="1"/>
  <c r="V1907" i="1"/>
  <c r="S1907" i="1"/>
  <c r="U1907" i="1"/>
  <c r="U1906" i="1"/>
  <c r="S1906" i="1"/>
  <c r="V1906" i="1"/>
  <c r="V1905" i="1"/>
  <c r="U1905" i="1"/>
  <c r="S1905" i="1"/>
  <c r="V1904" i="1"/>
  <c r="U1904" i="1"/>
  <c r="S1904" i="1"/>
  <c r="V1903" i="1"/>
  <c r="U1903" i="1"/>
  <c r="S1903" i="1"/>
  <c r="V1902" i="1"/>
  <c r="U1902" i="1"/>
  <c r="S1902" i="1"/>
  <c r="U1901" i="1"/>
  <c r="V1901" i="1"/>
  <c r="S1901" i="1"/>
  <c r="S1900" i="1"/>
  <c r="U1900" i="1"/>
  <c r="V1900" i="1"/>
  <c r="V1899" i="1"/>
  <c r="S1899" i="1"/>
  <c r="U1899" i="1"/>
  <c r="S1898" i="1"/>
  <c r="V1898" i="1"/>
  <c r="U1898" i="1"/>
  <c r="U1897" i="1"/>
  <c r="V1897" i="1"/>
  <c r="S1896" i="1"/>
  <c r="U1896" i="1"/>
  <c r="V1896" i="1"/>
  <c r="V1895" i="1"/>
  <c r="S1895" i="1"/>
  <c r="U1895" i="1"/>
  <c r="U1894" i="1"/>
  <c r="S1894" i="1"/>
  <c r="V1894" i="1"/>
  <c r="V1893" i="1"/>
  <c r="S1893" i="1"/>
  <c r="U1893" i="1"/>
  <c r="V1892" i="1"/>
  <c r="S1892" i="1"/>
  <c r="U1892" i="1"/>
  <c r="U1891" i="1"/>
  <c r="S1891" i="1"/>
  <c r="V1891" i="1"/>
  <c r="S1890" i="1"/>
  <c r="V1890" i="1"/>
  <c r="U1890" i="1"/>
  <c r="U1889" i="1"/>
  <c r="S1889" i="1"/>
  <c r="V1889" i="1"/>
  <c r="S1888" i="1"/>
  <c r="U1888" i="1"/>
  <c r="V1888" i="1"/>
  <c r="V1887" i="1"/>
  <c r="U1887" i="1"/>
  <c r="S1887" i="1"/>
  <c r="V1886" i="1"/>
  <c r="S1886" i="1"/>
  <c r="U1886" i="1"/>
  <c r="S1885" i="1"/>
  <c r="U1885" i="1"/>
  <c r="V1885" i="1"/>
  <c r="V1884" i="1"/>
  <c r="U1884" i="1"/>
  <c r="S1884" i="1"/>
  <c r="V1883" i="1"/>
  <c r="S1883" i="1"/>
  <c r="U1882" i="1"/>
  <c r="S1882" i="1"/>
  <c r="V1882" i="1"/>
  <c r="U1881" i="1"/>
  <c r="S1881" i="1"/>
  <c r="V1881" i="1"/>
  <c r="U1880" i="1"/>
  <c r="S1880" i="1"/>
  <c r="V1880" i="1"/>
  <c r="U1879" i="1"/>
  <c r="V1879" i="1"/>
  <c r="S1879" i="1"/>
  <c r="U1878" i="1"/>
  <c r="S1878" i="1"/>
  <c r="V1878" i="1"/>
  <c r="V1877" i="1"/>
  <c r="U1877" i="1"/>
  <c r="S1877" i="1"/>
  <c r="V1876" i="1"/>
  <c r="S1876" i="1"/>
  <c r="U1876" i="1"/>
  <c r="S1875" i="1"/>
  <c r="V1875" i="1"/>
  <c r="U1875" i="1"/>
  <c r="U1874" i="1"/>
  <c r="V1874" i="1"/>
  <c r="S1874" i="1"/>
  <c r="V1873" i="1"/>
  <c r="U1873" i="1"/>
  <c r="V1872" i="1"/>
  <c r="U1872" i="1"/>
  <c r="S1872" i="1"/>
  <c r="S1871" i="1"/>
  <c r="V1871" i="1"/>
  <c r="U1871" i="1"/>
  <c r="S1870" i="1"/>
  <c r="V1870" i="1"/>
  <c r="U1870" i="1"/>
  <c r="S1869" i="1"/>
  <c r="U1869" i="1"/>
  <c r="V1869" i="1"/>
  <c r="S1868" i="1"/>
  <c r="U1868" i="1"/>
  <c r="V1868" i="1"/>
  <c r="U1867" i="1"/>
  <c r="V1867" i="1"/>
  <c r="S1866" i="1"/>
  <c r="V1866" i="1"/>
  <c r="U1866" i="1"/>
  <c r="S1865" i="1"/>
  <c r="U1865" i="1"/>
  <c r="V1865" i="1"/>
  <c r="S1864" i="1"/>
  <c r="U1864" i="1"/>
  <c r="V1864" i="1"/>
  <c r="S1863" i="1"/>
  <c r="V1863" i="1"/>
  <c r="U1863" i="1"/>
  <c r="V1862" i="1"/>
  <c r="S1862" i="1"/>
  <c r="U1862" i="1"/>
  <c r="V1861" i="1"/>
  <c r="U1861" i="1"/>
  <c r="S1861" i="1"/>
  <c r="V1860" i="1"/>
  <c r="U1860" i="1"/>
  <c r="S1860" i="1"/>
  <c r="V1859" i="1"/>
  <c r="S1859" i="1"/>
  <c r="U1859" i="1"/>
  <c r="S1858" i="1"/>
  <c r="U1858" i="1"/>
  <c r="V1858" i="1"/>
  <c r="S1857" i="1"/>
  <c r="U1857" i="1"/>
  <c r="V1857" i="1"/>
  <c r="U1856" i="1"/>
  <c r="V1856" i="1"/>
  <c r="S1856" i="1"/>
  <c r="S1855" i="1"/>
  <c r="V1855" i="1"/>
  <c r="U1855" i="1"/>
  <c r="U1854" i="1"/>
  <c r="V1854" i="1"/>
  <c r="S1854" i="1"/>
  <c r="V1852" i="1"/>
  <c r="U1852" i="1"/>
  <c r="S1852" i="1"/>
  <c r="V1848" i="1"/>
  <c r="U1848" i="1"/>
  <c r="S1848" i="1"/>
  <c r="V1844" i="1"/>
  <c r="U1844" i="1"/>
  <c r="S1844" i="1"/>
  <c r="V1842" i="1"/>
  <c r="S1842" i="1"/>
  <c r="U1842" i="1"/>
  <c r="U1841" i="1"/>
  <c r="V1841" i="1"/>
  <c r="V1840" i="1"/>
  <c r="U1840" i="1"/>
  <c r="S1840" i="1"/>
  <c r="V1837" i="1"/>
  <c r="X1837" i="1" s="1"/>
  <c r="A1838" i="1" s="1"/>
  <c r="X1838" i="1" s="1"/>
  <c r="A1839" i="1" s="1"/>
  <c r="X1839" i="1" s="1"/>
  <c r="A1840" i="1" s="1"/>
  <c r="X1840" i="1" s="1"/>
  <c r="A1841" i="1" s="1"/>
  <c r="X1841" i="1" s="1"/>
  <c r="A1842" i="1" s="1"/>
  <c r="X1842" i="1" s="1"/>
  <c r="A1843" i="1" s="1"/>
  <c r="X1843" i="1" s="1"/>
  <c r="A1844" i="1" s="1"/>
  <c r="X1844" i="1" s="1"/>
  <c r="A1845" i="1" s="1"/>
  <c r="X1845" i="1" s="1"/>
  <c r="A1846" i="1" s="1"/>
  <c r="X1846" i="1" s="1"/>
  <c r="A1847" i="1" s="1"/>
  <c r="X1847" i="1" s="1"/>
  <c r="A1848" i="1" s="1"/>
  <c r="X1848" i="1" s="1"/>
  <c r="A1849" i="1" s="1"/>
  <c r="X1849" i="1" s="1"/>
  <c r="A1850" i="1" s="1"/>
  <c r="X1850" i="1" s="1"/>
  <c r="A1851" i="1" s="1"/>
  <c r="X1851" i="1" s="1"/>
  <c r="A1852" i="1" s="1"/>
  <c r="X1852" i="1" s="1"/>
  <c r="A1853" i="1" s="1"/>
  <c r="X1853" i="1" s="1"/>
  <c r="A1854" i="1" s="1"/>
  <c r="X1854" i="1" s="1"/>
  <c r="A1855" i="1" s="1"/>
  <c r="X1855" i="1" s="1"/>
  <c r="A1856" i="1" s="1"/>
  <c r="X1856" i="1" s="1"/>
  <c r="A1857" i="1" s="1"/>
  <c r="X1857" i="1" s="1"/>
  <c r="A1858" i="1" s="1"/>
  <c r="X1858" i="1" s="1"/>
  <c r="A1859" i="1" s="1"/>
  <c r="X1859" i="1" s="1"/>
  <c r="A1860" i="1" s="1"/>
  <c r="X1860" i="1" s="1"/>
  <c r="A1861" i="1" s="1"/>
  <c r="X1861" i="1" s="1"/>
  <c r="A1862" i="1" s="1"/>
  <c r="X1862" i="1" s="1"/>
  <c r="A1863" i="1" s="1"/>
  <c r="X1863" i="1" s="1"/>
  <c r="A1864" i="1" s="1"/>
  <c r="X1864" i="1" s="1"/>
  <c r="A1865" i="1" s="1"/>
  <c r="X1865" i="1" s="1"/>
  <c r="A1866" i="1" s="1"/>
  <c r="X1866" i="1" s="1"/>
  <c r="A1867" i="1" s="1"/>
  <c r="X1867" i="1" s="1"/>
  <c r="A1868" i="1" s="1"/>
  <c r="X1868" i="1" s="1"/>
  <c r="A1869" i="1" s="1"/>
  <c r="X1869" i="1" s="1"/>
  <c r="A1870" i="1" s="1"/>
  <c r="X1870" i="1" s="1"/>
  <c r="A1871" i="1" s="1"/>
  <c r="X1871" i="1" s="1"/>
  <c r="A1872" i="1" s="1"/>
  <c r="X1872" i="1" s="1"/>
  <c r="A1873" i="1" s="1"/>
  <c r="X1873" i="1" s="1"/>
  <c r="A1874" i="1" s="1"/>
  <c r="X1874" i="1" s="1"/>
  <c r="A1875" i="1" s="1"/>
  <c r="X1875" i="1" s="1"/>
  <c r="A1876" i="1" s="1"/>
  <c r="X1876" i="1" s="1"/>
  <c r="A1877" i="1" s="1"/>
  <c r="X1877" i="1" s="1"/>
  <c r="A1878" i="1" s="1"/>
  <c r="X1878" i="1" s="1"/>
  <c r="A1879" i="1" s="1"/>
  <c r="X1879" i="1" s="1"/>
  <c r="A1880" i="1" s="1"/>
  <c r="X1880" i="1" s="1"/>
  <c r="A1881" i="1" s="1"/>
  <c r="X1881" i="1" s="1"/>
  <c r="A1882" i="1" s="1"/>
  <c r="X1882" i="1" s="1"/>
  <c r="A1883" i="1" s="1"/>
  <c r="X1883" i="1" s="1"/>
  <c r="A1884" i="1" s="1"/>
  <c r="X1884" i="1" s="1"/>
  <c r="A1885" i="1" s="1"/>
  <c r="X1885" i="1" s="1"/>
  <c r="A1886" i="1" s="1"/>
  <c r="X1886" i="1" s="1"/>
  <c r="A1887" i="1" s="1"/>
  <c r="X1887" i="1" s="1"/>
  <c r="A1888" i="1" s="1"/>
  <c r="X1888" i="1" s="1"/>
  <c r="A1889" i="1" s="1"/>
  <c r="X1889" i="1" s="1"/>
  <c r="A1890" i="1" s="1"/>
  <c r="X1890" i="1" s="1"/>
  <c r="A1891" i="1" s="1"/>
  <c r="X1891" i="1" s="1"/>
  <c r="A1892" i="1" s="1"/>
  <c r="X1892" i="1" s="1"/>
  <c r="A1893" i="1" s="1"/>
  <c r="X1893" i="1" s="1"/>
  <c r="A1894" i="1" s="1"/>
  <c r="X1894" i="1" s="1"/>
  <c r="A1895" i="1" s="1"/>
  <c r="X1895" i="1" s="1"/>
  <c r="A1896" i="1" s="1"/>
  <c r="X1896" i="1" s="1"/>
  <c r="A1897" i="1" s="1"/>
  <c r="X1897" i="1" s="1"/>
  <c r="A1898" i="1" s="1"/>
  <c r="X1898" i="1" s="1"/>
  <c r="A1899" i="1" s="1"/>
  <c r="X1899" i="1" s="1"/>
  <c r="A1900" i="1" s="1"/>
  <c r="X1900" i="1" s="1"/>
  <c r="A1901" i="1" s="1"/>
  <c r="X1901" i="1" s="1"/>
  <c r="A1902" i="1" s="1"/>
  <c r="X1902" i="1" s="1"/>
  <c r="A1903" i="1" s="1"/>
  <c r="X1903" i="1" s="1"/>
  <c r="A1904" i="1" s="1"/>
  <c r="X1904" i="1" s="1"/>
  <c r="A1905" i="1" s="1"/>
  <c r="X1905" i="1" s="1"/>
  <c r="A1906" i="1" s="1"/>
  <c r="X1906" i="1" s="1"/>
  <c r="A1907" i="1" s="1"/>
  <c r="X1907" i="1" s="1"/>
  <c r="A1908" i="1" s="1"/>
  <c r="X1908" i="1" s="1"/>
  <c r="A1909" i="1" s="1"/>
  <c r="X1909" i="1" s="1"/>
  <c r="A1910" i="1" s="1"/>
  <c r="X1910" i="1" s="1"/>
  <c r="A1911" i="1" s="1"/>
  <c r="X1911" i="1" s="1"/>
  <c r="A1912" i="1" s="1"/>
  <c r="X1912" i="1" s="1"/>
  <c r="A1913" i="1" s="1"/>
  <c r="X1913" i="1" s="1"/>
  <c r="A1914" i="1" s="1"/>
  <c r="X1914" i="1" s="1"/>
  <c r="A1915" i="1" s="1"/>
  <c r="X1915" i="1" s="1"/>
  <c r="A1916" i="1" s="1"/>
  <c r="X1916" i="1" s="1"/>
  <c r="A1917" i="1" s="1"/>
  <c r="X1917" i="1" s="1"/>
  <c r="A1918" i="1" s="1"/>
  <c r="X1918" i="1" s="1"/>
  <c r="A1919" i="1" s="1"/>
  <c r="X1919" i="1" s="1"/>
  <c r="A1920" i="1" s="1"/>
  <c r="X1920" i="1" s="1"/>
  <c r="A1921" i="1" s="1"/>
  <c r="X1921" i="1" s="1"/>
  <c r="A1922" i="1" s="1"/>
  <c r="X1922" i="1" s="1"/>
  <c r="A1923" i="1" s="1"/>
  <c r="X1923" i="1" s="1"/>
  <c r="A1924" i="1" s="1"/>
  <c r="X1924" i="1" s="1"/>
  <c r="A1925" i="1" s="1"/>
  <c r="X1925" i="1" s="1"/>
  <c r="A1926" i="1" s="1"/>
  <c r="X1926" i="1" s="1"/>
  <c r="S1837" i="1"/>
  <c r="U1837" i="1"/>
  <c r="A1927" i="1"/>
  <c r="A2107" i="1"/>
  <c r="U1834" i="1"/>
  <c r="V1834" i="1" s="1"/>
  <c r="S1834" i="1"/>
  <c r="U1833" i="1"/>
  <c r="V1833" i="1" s="1"/>
  <c r="S1833" i="1"/>
  <c r="U1832" i="1"/>
  <c r="V1832" i="1" s="1"/>
  <c r="S1832" i="1"/>
  <c r="U1831" i="1"/>
  <c r="V1831" i="1" s="1"/>
  <c r="S1831" i="1"/>
  <c r="U1830" i="1"/>
  <c r="V1830" i="1" s="1"/>
  <c r="S1830" i="1"/>
  <c r="U1829" i="1"/>
  <c r="V1829" i="1" s="1"/>
  <c r="S1829" i="1"/>
  <c r="U1828" i="1"/>
  <c r="V1828" i="1" s="1"/>
  <c r="S1828" i="1"/>
  <c r="S1827" i="1"/>
  <c r="U1827" i="1"/>
  <c r="V1827" i="1" s="1"/>
  <c r="S1826" i="1"/>
  <c r="U1826" i="1"/>
  <c r="V1826" i="1" s="1"/>
  <c r="S1825" i="1"/>
  <c r="U1825" i="1"/>
  <c r="V1825" i="1" s="1"/>
  <c r="S1824" i="1"/>
  <c r="U1824" i="1"/>
  <c r="V1824" i="1" s="1"/>
  <c r="S1822" i="1"/>
  <c r="U1822" i="1"/>
  <c r="V1822" i="1" s="1"/>
  <c r="U1821" i="1"/>
  <c r="V1821" i="1" s="1"/>
  <c r="S1821" i="1"/>
  <c r="S1820" i="1"/>
  <c r="U1820" i="1"/>
  <c r="V1820" i="1" s="1"/>
  <c r="U1819" i="1"/>
  <c r="V1819" i="1" s="1"/>
  <c r="S1819" i="1"/>
  <c r="S1818" i="1"/>
  <c r="U1818" i="1"/>
  <c r="V1818" i="1" s="1"/>
  <c r="U1817" i="1"/>
  <c r="V1817" i="1" s="1"/>
  <c r="S1817" i="1"/>
  <c r="S1816" i="1"/>
  <c r="U1816" i="1"/>
  <c r="V1816" i="1" s="1"/>
  <c r="S1815" i="1"/>
  <c r="U1815" i="1"/>
  <c r="V1815" i="1" s="1"/>
  <c r="S1814" i="1"/>
  <c r="V1814" i="1"/>
  <c r="U1814" i="1"/>
  <c r="V1813" i="1"/>
  <c r="U1813" i="1"/>
  <c r="S1813" i="1"/>
  <c r="V1812" i="1"/>
  <c r="S1812" i="1"/>
  <c r="S1811" i="1"/>
  <c r="V1811" i="1"/>
  <c r="U1811" i="1"/>
  <c r="V1810" i="1"/>
  <c r="U1810" i="1"/>
  <c r="S1809" i="1"/>
  <c r="V1809" i="1"/>
  <c r="U1809" i="1"/>
  <c r="S1808" i="1"/>
  <c r="U1808" i="1"/>
  <c r="V1808" i="1"/>
  <c r="U1807" i="1"/>
  <c r="S1807" i="1"/>
  <c r="V1807" i="1"/>
  <c r="V1806" i="1"/>
  <c r="U1806" i="1"/>
  <c r="S1806" i="1"/>
  <c r="S1805" i="1"/>
  <c r="U1805" i="1"/>
  <c r="V1805" i="1"/>
  <c r="U1804" i="1"/>
  <c r="S1804" i="1"/>
  <c r="V1804" i="1"/>
  <c r="U1803" i="1"/>
  <c r="V1803" i="1"/>
  <c r="S1803" i="1"/>
  <c r="V1802" i="1"/>
  <c r="S1802" i="1"/>
  <c r="U1802" i="1"/>
  <c r="S1801" i="1"/>
  <c r="U1801" i="1"/>
  <c r="V1801" i="1"/>
  <c r="S1800" i="1"/>
  <c r="V1800" i="1"/>
  <c r="U1800" i="1"/>
  <c r="V1799" i="1"/>
  <c r="U1799" i="1"/>
  <c r="S1799" i="1"/>
  <c r="S1798" i="1"/>
  <c r="V1798" i="1"/>
  <c r="U1798" i="1"/>
  <c r="V1797" i="1"/>
  <c r="S1797" i="1"/>
  <c r="U1797" i="1"/>
  <c r="V1796" i="1"/>
  <c r="U1796" i="1"/>
  <c r="S1796" i="1"/>
  <c r="U1795" i="1"/>
  <c r="S1795" i="1"/>
  <c r="V1795" i="1"/>
  <c r="V1794" i="1"/>
  <c r="U1794" i="1"/>
  <c r="S1794" i="1"/>
  <c r="U1793" i="1"/>
  <c r="V1793" i="1"/>
  <c r="S1793" i="1"/>
  <c r="S1792" i="1"/>
  <c r="V1792" i="1"/>
  <c r="U1792" i="1"/>
  <c r="S1791" i="1"/>
  <c r="V1791" i="1"/>
  <c r="U1791" i="1"/>
  <c r="U1790" i="1"/>
  <c r="S1790" i="1"/>
  <c r="V1790" i="1"/>
  <c r="U1789" i="1"/>
  <c r="V1789" i="1"/>
  <c r="S1789" i="1"/>
  <c r="S1788" i="1"/>
  <c r="U1788" i="1"/>
  <c r="V1788" i="1"/>
  <c r="S1787" i="1"/>
  <c r="U1787" i="1"/>
  <c r="U1786" i="1"/>
  <c r="V1786" i="1"/>
  <c r="S1786" i="1"/>
  <c r="U1785" i="1"/>
  <c r="V1785" i="1"/>
  <c r="S1785" i="1"/>
  <c r="S1784" i="1"/>
  <c r="U1784" i="1"/>
  <c r="V1784" i="1"/>
  <c r="V1783" i="1"/>
  <c r="S1783" i="1"/>
  <c r="U1783" i="1"/>
  <c r="S1782" i="1"/>
  <c r="U1782" i="1"/>
  <c r="V1782" i="1"/>
  <c r="S1781" i="1"/>
  <c r="U1781" i="1"/>
  <c r="V1781" i="1"/>
  <c r="U1780" i="1"/>
  <c r="V1780" i="1"/>
  <c r="S1780" i="1"/>
  <c r="V1779" i="1"/>
  <c r="S1779" i="1"/>
  <c r="S1778" i="1"/>
  <c r="V1778" i="1"/>
  <c r="U1778" i="1"/>
  <c r="U1777" i="1"/>
  <c r="V1777" i="1"/>
  <c r="S1777" i="1"/>
  <c r="S1776" i="1"/>
  <c r="U1776" i="1"/>
  <c r="V1776" i="1"/>
  <c r="V1775" i="1"/>
  <c r="U1775" i="1"/>
  <c r="S1775" i="1"/>
  <c r="S1774" i="1"/>
  <c r="U1774" i="1"/>
  <c r="V1774" i="1"/>
  <c r="U1773" i="1"/>
  <c r="V1773" i="1"/>
  <c r="S1773" i="1"/>
  <c r="S1772" i="1"/>
  <c r="U1772" i="1"/>
  <c r="V1772" i="1"/>
  <c r="V1771" i="1"/>
  <c r="U1771" i="1"/>
  <c r="S1771" i="1"/>
  <c r="S1770" i="1"/>
  <c r="V1770" i="1"/>
  <c r="U1770" i="1"/>
  <c r="U1769" i="1"/>
  <c r="S1769" i="1"/>
  <c r="V1769" i="1"/>
  <c r="U1768" i="1"/>
  <c r="S1768" i="1"/>
  <c r="V1768" i="1"/>
  <c r="V1767" i="1"/>
  <c r="S1767" i="1"/>
  <c r="U1767" i="1"/>
  <c r="V1766" i="1"/>
  <c r="U1766" i="1"/>
  <c r="S1765" i="1"/>
  <c r="U1765" i="1"/>
  <c r="V1765" i="1"/>
  <c r="U1764" i="1"/>
  <c r="V1764" i="1"/>
  <c r="V1763" i="1"/>
  <c r="U1763" i="1"/>
  <c r="S1763" i="1"/>
  <c r="V1762" i="1"/>
  <c r="U1762" i="1"/>
  <c r="S1762" i="1"/>
  <c r="U1761" i="1"/>
  <c r="V1761" i="1"/>
  <c r="S1761" i="1"/>
  <c r="V1760" i="1"/>
  <c r="U1760" i="1"/>
  <c r="S1760" i="1"/>
  <c r="V1759" i="1"/>
  <c r="U1759" i="1"/>
  <c r="S1759" i="1"/>
  <c r="S1758" i="1"/>
  <c r="V1758" i="1"/>
  <c r="U1758" i="1"/>
  <c r="V1757" i="1"/>
  <c r="U1757" i="1"/>
  <c r="S1756" i="1"/>
  <c r="U1756" i="1"/>
  <c r="V1756" i="1"/>
  <c r="S1755" i="1"/>
  <c r="U1755" i="1"/>
  <c r="V1755" i="1"/>
  <c r="U1754" i="1"/>
  <c r="S1754" i="1"/>
  <c r="V1754" i="1"/>
  <c r="V1753" i="1"/>
  <c r="S1753" i="1"/>
  <c r="U1753" i="1"/>
  <c r="V1752" i="1"/>
  <c r="S1752" i="1"/>
  <c r="U1752" i="1"/>
  <c r="V1751" i="1"/>
  <c r="U1751" i="1"/>
  <c r="S1751" i="1"/>
  <c r="V1750" i="1"/>
  <c r="U1750" i="1"/>
  <c r="S1750" i="1"/>
  <c r="V1749" i="1"/>
  <c r="U1749" i="1"/>
  <c r="S1749" i="1"/>
  <c r="V1748" i="1"/>
  <c r="U1748" i="1"/>
  <c r="S1748" i="1"/>
  <c r="U1747" i="1"/>
  <c r="V1747" i="1"/>
  <c r="V1746" i="1"/>
  <c r="U1746" i="1"/>
  <c r="V1745" i="1"/>
  <c r="U1745" i="1"/>
  <c r="S1745" i="1"/>
  <c r="S1744" i="1"/>
  <c r="U1744" i="1"/>
  <c r="V1744" i="1"/>
  <c r="S1743" i="1"/>
  <c r="V1743" i="1"/>
  <c r="U1743" i="1"/>
  <c r="U1742" i="1"/>
  <c r="V1742" i="1"/>
  <c r="S1742" i="1"/>
  <c r="V1741" i="1"/>
  <c r="S1741" i="1"/>
  <c r="U1741" i="1"/>
  <c r="S1740" i="1"/>
  <c r="U1740" i="1"/>
  <c r="V1740" i="1"/>
  <c r="S1739" i="1"/>
  <c r="U1739" i="1"/>
  <c r="V1739" i="1"/>
  <c r="S1738" i="1"/>
  <c r="U1738" i="1"/>
  <c r="V1738" i="1"/>
  <c r="S1737" i="1"/>
  <c r="U1737" i="1"/>
  <c r="V1737" i="1"/>
  <c r="V1736" i="1"/>
  <c r="U1736" i="1"/>
  <c r="S1736" i="1"/>
  <c r="V1735" i="1"/>
  <c r="U1735" i="1"/>
  <c r="S1735" i="1"/>
  <c r="V1734" i="1"/>
  <c r="U1734" i="1"/>
  <c r="S1734" i="1"/>
  <c r="S1733" i="1"/>
  <c r="U1733" i="1"/>
  <c r="V1733" i="1"/>
  <c r="U1732" i="1"/>
  <c r="S1732" i="1"/>
  <c r="V1732" i="1"/>
  <c r="V1731" i="1"/>
  <c r="U1731" i="1"/>
  <c r="S1731" i="1"/>
  <c r="V1730" i="1"/>
  <c r="U1730" i="1"/>
  <c r="S1730" i="1"/>
  <c r="V1729" i="1"/>
  <c r="S1729" i="1"/>
  <c r="U1727" i="1"/>
  <c r="V1727" i="1"/>
  <c r="S1727" i="1"/>
  <c r="V1722" i="1"/>
  <c r="S1722" i="1"/>
  <c r="U1722" i="1"/>
  <c r="S1720" i="1"/>
  <c r="V1720" i="1"/>
  <c r="V1719" i="1"/>
  <c r="U1719" i="1"/>
  <c r="S1719" i="1"/>
  <c r="S1718" i="1"/>
  <c r="V1718" i="1"/>
  <c r="U1718" i="1"/>
  <c r="U1715" i="1"/>
  <c r="S1715" i="1"/>
  <c r="V1715" i="1"/>
  <c r="S1713" i="1"/>
  <c r="U1713" i="1"/>
  <c r="V1713" i="1"/>
  <c r="S1709" i="1"/>
  <c r="U1709" i="1"/>
  <c r="V1709" i="1"/>
  <c r="S1708" i="1"/>
  <c r="V1708" i="1"/>
  <c r="U1708" i="1"/>
  <c r="U1706" i="1"/>
  <c r="V1706" i="1"/>
  <c r="S1706" i="1"/>
  <c r="U1704" i="1"/>
  <c r="V1704" i="1"/>
  <c r="S1704" i="1"/>
  <c r="V1702" i="1"/>
  <c r="X1702" i="1" s="1"/>
  <c r="A1703" i="1" s="1"/>
  <c r="X1703" i="1" s="1"/>
  <c r="A1704" i="1" s="1"/>
  <c r="X1704" i="1" s="1"/>
  <c r="A1705" i="1" s="1"/>
  <c r="X1705" i="1" s="1"/>
  <c r="A1706" i="1" s="1"/>
  <c r="X1706" i="1" s="1"/>
  <c r="A1707" i="1" s="1"/>
  <c r="X1707" i="1" s="1"/>
  <c r="A1708" i="1" s="1"/>
  <c r="X1708" i="1" s="1"/>
  <c r="A1709" i="1" s="1"/>
  <c r="X1709" i="1" s="1"/>
  <c r="A1710" i="1" s="1"/>
  <c r="X1710" i="1" s="1"/>
  <c r="A1711" i="1" s="1"/>
  <c r="X1711" i="1" s="1"/>
  <c r="A1712" i="1" s="1"/>
  <c r="X1712" i="1" s="1"/>
  <c r="A1713" i="1" s="1"/>
  <c r="X1713" i="1" s="1"/>
  <c r="A1714" i="1" s="1"/>
  <c r="X1714" i="1" s="1"/>
  <c r="A1715" i="1" s="1"/>
  <c r="X1715" i="1" s="1"/>
  <c r="A1716" i="1" s="1"/>
  <c r="X1716" i="1" s="1"/>
  <c r="A1717" i="1" s="1"/>
  <c r="X1717" i="1" s="1"/>
  <c r="A1718" i="1" s="1"/>
  <c r="X1718" i="1" s="1"/>
  <c r="A1719" i="1" s="1"/>
  <c r="X1719" i="1" s="1"/>
  <c r="A1720" i="1" s="1"/>
  <c r="X1720" i="1" s="1"/>
  <c r="A1721" i="1" s="1"/>
  <c r="X1721" i="1" s="1"/>
  <c r="A1722" i="1" s="1"/>
  <c r="X1722" i="1" s="1"/>
  <c r="A1723" i="1" s="1"/>
  <c r="X1723" i="1" s="1"/>
  <c r="A1724" i="1" s="1"/>
  <c r="X1724" i="1" s="1"/>
  <c r="A1725" i="1" s="1"/>
  <c r="X1725" i="1" s="1"/>
  <c r="A1726" i="1" s="1"/>
  <c r="X1726" i="1" s="1"/>
  <c r="A1727" i="1" s="1"/>
  <c r="X1727" i="1" s="1"/>
  <c r="A1728" i="1" s="1"/>
  <c r="X1728" i="1" s="1"/>
  <c r="A1729" i="1" s="1"/>
  <c r="X1729" i="1" s="1"/>
  <c r="A1730" i="1" s="1"/>
  <c r="X1730" i="1" s="1"/>
  <c r="A1731" i="1" s="1"/>
  <c r="X1731" i="1" s="1"/>
  <c r="A1732" i="1" s="1"/>
  <c r="X1732" i="1" s="1"/>
  <c r="A1733" i="1" s="1"/>
  <c r="X1733" i="1" s="1"/>
  <c r="A1734" i="1" s="1"/>
  <c r="X1734" i="1" s="1"/>
  <c r="A1735" i="1" s="1"/>
  <c r="X1735" i="1" s="1"/>
  <c r="A1736" i="1" s="1"/>
  <c r="X1736" i="1" s="1"/>
  <c r="A1737" i="1" s="1"/>
  <c r="X1737" i="1" s="1"/>
  <c r="A1738" i="1" s="1"/>
  <c r="X1738" i="1" s="1"/>
  <c r="A1739" i="1" s="1"/>
  <c r="X1739" i="1" s="1"/>
  <c r="A1740" i="1" s="1"/>
  <c r="X1740" i="1" s="1"/>
  <c r="A1741" i="1" s="1"/>
  <c r="X1741" i="1" s="1"/>
  <c r="A1742" i="1" s="1"/>
  <c r="X1742" i="1" s="1"/>
  <c r="A1743" i="1" s="1"/>
  <c r="X1743" i="1" s="1"/>
  <c r="A1744" i="1" s="1"/>
  <c r="X1744" i="1" s="1"/>
  <c r="A1745" i="1" s="1"/>
  <c r="X1745" i="1" s="1"/>
  <c r="A1746" i="1" s="1"/>
  <c r="X1746" i="1" s="1"/>
  <c r="A1747" i="1" s="1"/>
  <c r="X1747" i="1" s="1"/>
  <c r="A1748" i="1" s="1"/>
  <c r="X1748" i="1" s="1"/>
  <c r="A1749" i="1" s="1"/>
  <c r="X1749" i="1" s="1"/>
  <c r="A1750" i="1" s="1"/>
  <c r="X1750" i="1" s="1"/>
  <c r="A1751" i="1" s="1"/>
  <c r="X1751" i="1" s="1"/>
  <c r="A1752" i="1" s="1"/>
  <c r="X1752" i="1" s="1"/>
  <c r="A1753" i="1" s="1"/>
  <c r="X1753" i="1" s="1"/>
  <c r="A1754" i="1" s="1"/>
  <c r="X1754" i="1" s="1"/>
  <c r="A1755" i="1" s="1"/>
  <c r="X1755" i="1" s="1"/>
  <c r="A1756" i="1" s="1"/>
  <c r="X1756" i="1" s="1"/>
  <c r="A1757" i="1" s="1"/>
  <c r="X1757" i="1" s="1"/>
  <c r="A1758" i="1" s="1"/>
  <c r="X1758" i="1" s="1"/>
  <c r="A1759" i="1" s="1"/>
  <c r="X1759" i="1" s="1"/>
  <c r="A1760" i="1" s="1"/>
  <c r="X1760" i="1" s="1"/>
  <c r="A1761" i="1" s="1"/>
  <c r="X1761" i="1" s="1"/>
  <c r="A1762" i="1" s="1"/>
  <c r="X1762" i="1" s="1"/>
  <c r="A1763" i="1" s="1"/>
  <c r="X1763" i="1" s="1"/>
  <c r="A1764" i="1" s="1"/>
  <c r="X1764" i="1" s="1"/>
  <c r="A1765" i="1" s="1"/>
  <c r="X1765" i="1" s="1"/>
  <c r="A1766" i="1" s="1"/>
  <c r="X1766" i="1" s="1"/>
  <c r="A1767" i="1" s="1"/>
  <c r="X1767" i="1" s="1"/>
  <c r="A1768" i="1" s="1"/>
  <c r="X1768" i="1" s="1"/>
  <c r="A1769" i="1" s="1"/>
  <c r="X1769" i="1" s="1"/>
  <c r="A1770" i="1" s="1"/>
  <c r="X1770" i="1" s="1"/>
  <c r="A1771" i="1" s="1"/>
  <c r="X1771" i="1" s="1"/>
  <c r="A1772" i="1" s="1"/>
  <c r="X1772" i="1" s="1"/>
  <c r="A1773" i="1" s="1"/>
  <c r="X1773" i="1" s="1"/>
  <c r="A1774" i="1" s="1"/>
  <c r="X1774" i="1" s="1"/>
  <c r="A1775" i="1" s="1"/>
  <c r="X1775" i="1" s="1"/>
  <c r="A1776" i="1" s="1"/>
  <c r="X1776" i="1" s="1"/>
  <c r="A1777" i="1" s="1"/>
  <c r="X1777" i="1" s="1"/>
  <c r="A1778" i="1" s="1"/>
  <c r="X1778" i="1" s="1"/>
  <c r="A1779" i="1" s="1"/>
  <c r="X1779" i="1" s="1"/>
  <c r="A1780" i="1" s="1"/>
  <c r="X1780" i="1" s="1"/>
  <c r="A1781" i="1" s="1"/>
  <c r="X1781" i="1" s="1"/>
  <c r="A1782" i="1" s="1"/>
  <c r="X1782" i="1" s="1"/>
  <c r="A1783" i="1" s="1"/>
  <c r="X1783" i="1" s="1"/>
  <c r="A1784" i="1" s="1"/>
  <c r="X1784" i="1" s="1"/>
  <c r="A1785" i="1" s="1"/>
  <c r="X1785" i="1" s="1"/>
  <c r="A1786" i="1" s="1"/>
  <c r="X1786" i="1" s="1"/>
  <c r="A1787" i="1" s="1"/>
  <c r="X1787" i="1" s="1"/>
  <c r="A1788" i="1" s="1"/>
  <c r="X1788" i="1" s="1"/>
  <c r="A1789" i="1" s="1"/>
  <c r="X1789" i="1" s="1"/>
  <c r="A1790" i="1" s="1"/>
  <c r="X1790" i="1" s="1"/>
  <c r="A1791" i="1" s="1"/>
  <c r="X1791" i="1" s="1"/>
  <c r="A1792" i="1" s="1"/>
  <c r="X1792" i="1" s="1"/>
  <c r="A1793" i="1" s="1"/>
  <c r="X1793" i="1" s="1"/>
  <c r="A1794" i="1" s="1"/>
  <c r="X1794" i="1" s="1"/>
  <c r="A1795" i="1" s="1"/>
  <c r="X1795" i="1" s="1"/>
  <c r="A1796" i="1" s="1"/>
  <c r="X1796" i="1" s="1"/>
  <c r="A1797" i="1" s="1"/>
  <c r="X1797" i="1" s="1"/>
  <c r="A1798" i="1" s="1"/>
  <c r="X1798" i="1" s="1"/>
  <c r="A1799" i="1" s="1"/>
  <c r="X1799" i="1" s="1"/>
  <c r="A1800" i="1" s="1"/>
  <c r="X1800" i="1" s="1"/>
  <c r="A1801" i="1" s="1"/>
  <c r="X1801" i="1" s="1"/>
  <c r="A1802" i="1" s="1"/>
  <c r="X1802" i="1" s="1"/>
  <c r="A1803" i="1" s="1"/>
  <c r="X1803" i="1" s="1"/>
  <c r="S1702" i="1"/>
  <c r="U1702" i="1"/>
  <c r="A1805" i="1"/>
  <c r="X1805" i="1" s="1"/>
  <c r="A1806" i="1" s="1"/>
  <c r="X1806" i="1" s="1"/>
  <c r="A1807" i="1" s="1"/>
  <c r="X1807" i="1" s="1"/>
  <c r="A1808" i="1" s="1"/>
  <c r="X1808" i="1" s="1"/>
  <c r="A1809" i="1" s="1"/>
  <c r="X1809" i="1" s="1"/>
  <c r="A1810" i="1" s="1"/>
  <c r="X1810" i="1" s="1"/>
  <c r="A1811" i="1" s="1"/>
  <c r="X1811" i="1" s="1"/>
  <c r="A1812" i="1" s="1"/>
  <c r="X1812" i="1" s="1"/>
  <c r="A1813" i="1" s="1"/>
  <c r="X1813" i="1" s="1"/>
  <c r="A1814" i="1" s="1"/>
  <c r="X1814" i="1" s="1"/>
  <c r="A1815" i="1" s="1"/>
  <c r="A1804" i="1"/>
  <c r="X1804" i="1" s="1"/>
  <c r="U1698" i="1"/>
  <c r="V1698" i="1" s="1"/>
  <c r="S1698" i="1"/>
  <c r="S1697" i="1"/>
  <c r="U1697" i="1"/>
  <c r="V1697" i="1" s="1"/>
  <c r="S1696" i="1"/>
  <c r="U1696" i="1"/>
  <c r="V1696" i="1" s="1"/>
  <c r="U1695" i="1"/>
  <c r="V1695" i="1" s="1"/>
  <c r="S1695" i="1"/>
  <c r="S1694" i="1"/>
  <c r="U1694" i="1"/>
  <c r="V1694" i="1" s="1"/>
  <c r="S1693" i="1"/>
  <c r="U1693" i="1"/>
  <c r="V1693" i="1" s="1"/>
  <c r="U1692" i="1"/>
  <c r="V1692" i="1" s="1"/>
  <c r="S1692" i="1"/>
  <c r="U1691" i="1"/>
  <c r="V1691" i="1" s="1"/>
  <c r="S1691" i="1"/>
  <c r="S1690" i="1"/>
  <c r="U1690" i="1"/>
  <c r="V1690" i="1" s="1"/>
  <c r="U1689" i="1"/>
  <c r="V1689" i="1" s="1"/>
  <c r="S1689" i="1"/>
  <c r="U1688" i="1"/>
  <c r="V1688" i="1" s="1"/>
  <c r="S1688" i="1"/>
  <c r="S1687" i="1"/>
  <c r="U1687" i="1"/>
  <c r="V1687" i="1" s="1"/>
  <c r="S1686" i="1"/>
  <c r="U1686" i="1"/>
  <c r="V1686" i="1" s="1"/>
  <c r="U1685" i="1"/>
  <c r="V1685" i="1" s="1"/>
  <c r="S1685" i="1"/>
  <c r="S1684" i="1"/>
  <c r="U1684" i="1"/>
  <c r="V1684" i="1" s="1"/>
  <c r="S1683" i="1"/>
  <c r="U1683" i="1"/>
  <c r="V1683" i="1" s="1"/>
  <c r="S1682" i="1"/>
  <c r="U1682" i="1"/>
  <c r="V1682" i="1"/>
  <c r="U1681" i="1"/>
  <c r="V1681" i="1"/>
  <c r="S1681" i="1"/>
  <c r="S1680" i="1"/>
  <c r="V1680" i="1"/>
  <c r="U1680" i="1"/>
  <c r="V1679" i="1"/>
  <c r="U1679" i="1"/>
  <c r="S1679" i="1"/>
  <c r="V1678" i="1"/>
  <c r="U1678" i="1"/>
  <c r="S1678" i="1"/>
  <c r="U1677" i="1"/>
  <c r="V1677" i="1"/>
  <c r="S1677" i="1"/>
  <c r="S1676" i="1"/>
  <c r="V1676" i="1"/>
  <c r="U1676" i="1"/>
  <c r="V1675" i="1"/>
  <c r="U1675" i="1"/>
  <c r="S1675" i="1"/>
  <c r="U1674" i="1"/>
  <c r="S1674" i="1"/>
  <c r="V1674" i="1"/>
  <c r="S1673" i="1"/>
  <c r="U1673" i="1"/>
  <c r="V1673" i="1"/>
  <c r="S1672" i="1"/>
  <c r="U1672" i="1"/>
  <c r="V1672" i="1"/>
  <c r="V1671" i="1"/>
  <c r="U1671" i="1"/>
  <c r="S1671" i="1"/>
  <c r="U1670" i="1"/>
  <c r="S1670" i="1"/>
  <c r="V1670" i="1"/>
  <c r="V1669" i="1"/>
  <c r="U1669" i="1"/>
  <c r="S1669" i="1"/>
  <c r="S1668" i="1"/>
  <c r="U1668" i="1"/>
  <c r="V1668" i="1"/>
  <c r="S1667" i="1"/>
  <c r="U1667" i="1"/>
  <c r="V1667" i="1"/>
  <c r="U1666" i="1"/>
  <c r="V1666" i="1"/>
  <c r="S1666" i="1"/>
  <c r="V1665" i="1"/>
  <c r="U1665" i="1"/>
  <c r="S1665" i="1"/>
  <c r="V1664" i="1"/>
  <c r="S1664" i="1"/>
  <c r="U1664" i="1"/>
  <c r="V1663" i="1"/>
  <c r="U1663" i="1"/>
  <c r="S1663" i="1"/>
  <c r="U1662" i="1"/>
  <c r="S1662" i="1"/>
  <c r="V1662" i="1"/>
  <c r="S1661" i="1"/>
  <c r="U1661" i="1"/>
  <c r="V1661" i="1"/>
  <c r="V1660" i="1"/>
  <c r="S1660" i="1"/>
  <c r="U1660" i="1"/>
  <c r="V1659" i="1"/>
  <c r="U1659" i="1"/>
  <c r="S1659" i="1"/>
  <c r="V1658" i="1"/>
  <c r="U1658" i="1"/>
  <c r="S1658" i="1"/>
  <c r="V1657" i="1"/>
  <c r="U1657" i="1"/>
  <c r="S1657" i="1"/>
  <c r="U1656" i="1"/>
  <c r="V1656" i="1"/>
  <c r="S1656" i="1"/>
  <c r="U1655" i="1"/>
  <c r="S1655" i="1"/>
  <c r="V1655" i="1"/>
  <c r="S1654" i="1"/>
  <c r="U1654" i="1"/>
  <c r="V1654" i="1"/>
  <c r="S1653" i="1"/>
  <c r="V1653" i="1"/>
  <c r="U1653" i="1"/>
  <c r="S1652" i="1"/>
  <c r="V1652" i="1"/>
  <c r="U1652" i="1"/>
  <c r="S1651" i="1"/>
  <c r="U1651" i="1"/>
  <c r="V1651" i="1"/>
  <c r="V1650" i="1"/>
  <c r="S1650" i="1"/>
  <c r="U1650" i="1"/>
  <c r="U1649" i="1"/>
  <c r="V1649" i="1"/>
  <c r="S1649" i="1"/>
  <c r="U1648" i="1"/>
  <c r="S1648" i="1"/>
  <c r="V1648" i="1"/>
  <c r="S1647" i="1"/>
  <c r="U1647" i="1"/>
  <c r="V1647" i="1"/>
  <c r="V1646" i="1"/>
  <c r="U1646" i="1"/>
  <c r="S1646" i="1"/>
  <c r="V1645" i="1"/>
  <c r="U1645" i="1"/>
  <c r="S1645" i="1"/>
  <c r="V1644" i="1"/>
  <c r="S1644" i="1"/>
  <c r="U1644" i="1"/>
  <c r="S1643" i="1"/>
  <c r="V1643" i="1"/>
  <c r="U1643" i="1"/>
  <c r="U1642" i="1"/>
  <c r="V1642" i="1"/>
  <c r="S1642" i="1"/>
  <c r="V1641" i="1"/>
  <c r="U1641" i="1"/>
  <c r="S1641" i="1"/>
  <c r="V1640" i="1"/>
  <c r="U1640" i="1"/>
  <c r="S1640" i="1"/>
  <c r="V1639" i="1"/>
  <c r="U1639" i="1"/>
  <c r="S1639" i="1"/>
  <c r="S1638" i="1"/>
  <c r="V1638" i="1"/>
  <c r="U1638" i="1"/>
  <c r="V1637" i="1"/>
  <c r="S1637" i="1"/>
  <c r="U1637" i="1"/>
  <c r="S1636" i="1"/>
  <c r="U1636" i="1"/>
  <c r="V1636" i="1"/>
  <c r="S1635" i="1"/>
  <c r="U1635" i="1"/>
  <c r="V1635" i="1"/>
  <c r="V1634" i="1"/>
  <c r="S1634" i="1"/>
  <c r="U1634" i="1"/>
  <c r="V1633" i="1"/>
  <c r="U1633" i="1"/>
  <c r="S1633" i="1"/>
  <c r="V1632" i="1"/>
  <c r="U1632" i="1"/>
  <c r="S1632" i="1"/>
  <c r="V1631" i="1"/>
  <c r="U1631" i="1"/>
  <c r="S1631" i="1"/>
  <c r="V1630" i="1"/>
  <c r="U1630" i="1"/>
  <c r="S1630" i="1"/>
  <c r="S1629" i="1"/>
  <c r="U1629" i="1"/>
  <c r="V1629" i="1"/>
  <c r="V1628" i="1"/>
  <c r="U1628" i="1"/>
  <c r="S1628" i="1"/>
  <c r="V1627" i="1"/>
  <c r="U1627" i="1"/>
  <c r="S1627" i="1"/>
  <c r="U1626" i="1"/>
  <c r="S1626" i="1"/>
  <c r="V1626" i="1"/>
  <c r="V1625" i="1"/>
  <c r="U1625" i="1"/>
  <c r="S1625" i="1"/>
  <c r="S1624" i="1"/>
  <c r="U1624" i="1"/>
  <c r="V1624" i="1"/>
  <c r="U1623" i="1"/>
  <c r="V1623" i="1"/>
  <c r="S1623" i="1"/>
  <c r="S1622" i="1"/>
  <c r="U1622" i="1"/>
  <c r="V1622" i="1"/>
  <c r="S1621" i="1"/>
  <c r="U1621" i="1"/>
  <c r="V1621" i="1"/>
  <c r="U1620" i="1"/>
  <c r="S1620" i="1"/>
  <c r="V1620" i="1"/>
  <c r="V1619" i="1"/>
  <c r="U1619" i="1"/>
  <c r="S1619" i="1"/>
  <c r="U1618" i="1"/>
  <c r="S1618" i="1"/>
  <c r="V1618" i="1"/>
  <c r="V1617" i="1"/>
  <c r="U1617" i="1"/>
  <c r="S1617" i="1"/>
  <c r="S1616" i="1"/>
  <c r="U1616" i="1"/>
  <c r="V1616" i="1"/>
  <c r="S1615" i="1"/>
  <c r="V1615" i="1"/>
  <c r="U1615" i="1"/>
  <c r="U1614" i="1"/>
  <c r="S1614" i="1"/>
  <c r="V1614" i="1"/>
  <c r="V1613" i="1"/>
  <c r="U1613" i="1"/>
  <c r="S1613" i="1"/>
  <c r="V1612" i="1"/>
  <c r="U1612" i="1"/>
  <c r="S1612" i="1"/>
  <c r="U1611" i="1"/>
  <c r="S1611" i="1"/>
  <c r="V1611" i="1"/>
  <c r="V1610" i="1"/>
  <c r="U1610" i="1"/>
  <c r="S1610" i="1"/>
  <c r="V1609" i="1"/>
  <c r="U1609" i="1"/>
  <c r="S1609" i="1"/>
  <c r="V1608" i="1"/>
  <c r="U1608" i="1"/>
  <c r="S1608" i="1"/>
  <c r="U1607" i="1"/>
  <c r="S1607" i="1"/>
  <c r="V1607" i="1"/>
  <c r="S1606" i="1"/>
  <c r="U1606" i="1"/>
  <c r="V1606" i="1"/>
  <c r="S1605" i="1"/>
  <c r="U1605" i="1"/>
  <c r="V1605" i="1"/>
  <c r="V1604" i="1"/>
  <c r="U1604" i="1"/>
  <c r="S1604" i="1"/>
  <c r="V1603" i="1"/>
  <c r="U1603" i="1"/>
  <c r="S1603" i="1"/>
  <c r="V1602" i="1"/>
  <c r="S1602" i="1"/>
  <c r="U1602" i="1"/>
  <c r="V1601" i="1"/>
  <c r="S1601" i="1"/>
  <c r="U1601" i="1"/>
  <c r="S1600" i="1"/>
  <c r="U1600" i="1"/>
  <c r="V1600" i="1"/>
  <c r="S1599" i="1"/>
  <c r="V1599" i="1"/>
  <c r="U1599" i="1"/>
  <c r="U1598" i="1"/>
  <c r="S1598" i="1"/>
  <c r="V1598" i="1"/>
  <c r="V1597" i="1"/>
  <c r="S1597" i="1"/>
  <c r="U1597" i="1"/>
  <c r="S1596" i="1"/>
  <c r="V1596" i="1"/>
  <c r="U1596" i="1"/>
  <c r="S1595" i="1"/>
  <c r="U1595" i="1"/>
  <c r="V1595" i="1"/>
  <c r="S1594" i="1"/>
  <c r="U1594" i="1"/>
  <c r="V1594" i="1"/>
  <c r="V1593" i="1"/>
  <c r="U1593" i="1"/>
  <c r="S1593" i="1"/>
  <c r="V1592" i="1"/>
  <c r="U1592" i="1"/>
  <c r="S1592" i="1"/>
  <c r="U1591" i="1"/>
  <c r="S1591" i="1"/>
  <c r="V1591" i="1"/>
  <c r="V1590" i="1"/>
  <c r="S1590" i="1"/>
  <c r="U1590" i="1"/>
  <c r="V1589" i="1"/>
  <c r="U1589" i="1"/>
  <c r="S1589" i="1"/>
  <c r="V1588" i="1"/>
  <c r="S1588" i="1"/>
  <c r="U1588" i="1"/>
  <c r="U1587" i="1"/>
  <c r="V1587" i="1"/>
  <c r="S1587" i="1"/>
  <c r="S1586" i="1"/>
  <c r="V1586" i="1"/>
  <c r="U1586" i="1"/>
  <c r="S1585" i="1"/>
  <c r="V1585" i="1"/>
  <c r="U1585" i="1"/>
  <c r="V1584" i="1"/>
  <c r="U1584" i="1"/>
  <c r="S1584" i="1"/>
  <c r="V1583" i="1"/>
  <c r="U1583" i="1"/>
  <c r="S1583" i="1"/>
  <c r="V1582" i="1"/>
  <c r="U1582" i="1"/>
  <c r="S1582" i="1"/>
  <c r="S1581" i="1"/>
  <c r="V1581" i="1"/>
  <c r="U1581" i="1"/>
  <c r="U1580" i="1"/>
  <c r="V1580" i="1"/>
  <c r="S1580" i="1"/>
  <c r="S1579" i="1"/>
  <c r="U1579" i="1"/>
  <c r="V1579" i="1"/>
  <c r="U1578" i="1"/>
  <c r="V1578" i="1"/>
  <c r="S1578" i="1"/>
  <c r="S1577" i="1"/>
  <c r="V1577" i="1"/>
  <c r="U1577" i="1"/>
  <c r="S1576" i="1"/>
  <c r="V1576" i="1"/>
  <c r="U1576" i="1"/>
  <c r="S1575" i="1"/>
  <c r="V1575" i="1"/>
  <c r="U1575" i="1"/>
  <c r="U1574" i="1"/>
  <c r="S1574" i="1"/>
  <c r="V1574" i="1"/>
  <c r="V1573" i="1"/>
  <c r="U1573" i="1"/>
  <c r="S1573" i="1"/>
  <c r="U1572" i="1"/>
  <c r="S1572" i="1"/>
  <c r="V1572" i="1"/>
  <c r="S1571" i="1"/>
  <c r="U1571" i="1"/>
  <c r="V1571" i="1"/>
  <c r="V1570" i="1"/>
  <c r="S1570" i="1"/>
  <c r="U1570" i="1"/>
  <c r="V1569" i="1"/>
  <c r="U1569" i="1"/>
  <c r="S1569" i="1"/>
  <c r="U1568" i="1"/>
  <c r="V1568" i="1"/>
  <c r="S1568" i="1"/>
  <c r="U1567" i="1"/>
  <c r="V1567" i="1"/>
  <c r="S1567" i="1"/>
  <c r="U1566" i="1"/>
  <c r="V1566" i="1"/>
  <c r="S1566" i="1"/>
  <c r="U1565" i="1"/>
  <c r="S1565" i="1"/>
  <c r="V1565" i="1"/>
  <c r="U1564" i="1"/>
  <c r="V1564" i="1"/>
  <c r="S1564" i="1"/>
  <c r="V1563" i="1"/>
  <c r="S1563" i="1"/>
  <c r="U1563" i="1"/>
  <c r="S1562" i="1"/>
  <c r="U1562" i="1"/>
  <c r="V1562" i="1"/>
  <c r="V1561" i="1"/>
  <c r="S1561" i="1"/>
  <c r="U1561" i="1"/>
  <c r="V1560" i="1"/>
  <c r="S1560" i="1"/>
  <c r="U1560" i="1"/>
  <c r="U1559" i="1"/>
  <c r="S1559" i="1"/>
  <c r="V1559" i="1"/>
  <c r="U1558" i="1"/>
  <c r="V1558" i="1"/>
  <c r="S1558" i="1"/>
  <c r="U1557" i="1"/>
  <c r="S1557" i="1"/>
  <c r="V1557" i="1"/>
  <c r="V1556" i="1"/>
  <c r="U1556" i="1"/>
  <c r="S1556" i="1"/>
  <c r="S1555" i="1"/>
  <c r="U1555" i="1"/>
  <c r="V1555" i="1"/>
  <c r="S1554" i="1"/>
  <c r="U1554" i="1"/>
  <c r="V1554" i="1"/>
  <c r="S1553" i="1"/>
  <c r="U1553" i="1"/>
  <c r="V1553" i="1"/>
  <c r="U1552" i="1"/>
  <c r="V1552" i="1"/>
  <c r="S1552" i="1"/>
  <c r="V1551" i="1"/>
  <c r="U1551" i="1"/>
  <c r="S1551" i="1"/>
  <c r="V1550" i="1"/>
  <c r="U1550" i="1"/>
  <c r="S1550" i="1"/>
  <c r="S1549" i="1"/>
  <c r="U1549" i="1"/>
  <c r="V1549" i="1"/>
  <c r="S1548" i="1"/>
  <c r="U1548" i="1"/>
  <c r="V1548" i="1"/>
  <c r="U1547" i="1"/>
  <c r="S1547" i="1"/>
  <c r="V1547" i="1"/>
  <c r="U1546" i="1"/>
  <c r="V1546" i="1"/>
  <c r="S1546" i="1"/>
  <c r="S1545" i="1"/>
  <c r="V1545" i="1"/>
  <c r="U1545" i="1"/>
  <c r="V1544" i="1"/>
  <c r="U1544" i="1"/>
  <c r="S1544" i="1"/>
  <c r="S1543" i="1"/>
  <c r="U1543" i="1"/>
  <c r="V1543" i="1"/>
  <c r="V1542" i="1"/>
  <c r="U1542" i="1"/>
  <c r="S1542" i="1"/>
  <c r="V1541" i="1"/>
  <c r="U1541" i="1"/>
  <c r="S1541" i="1"/>
  <c r="V1540" i="1"/>
  <c r="S1540" i="1"/>
  <c r="U1540" i="1"/>
  <c r="S1539" i="1"/>
  <c r="U1539" i="1"/>
  <c r="V1539" i="1"/>
  <c r="S1538" i="1"/>
  <c r="V1538" i="1"/>
  <c r="U1538" i="1"/>
  <c r="V1537" i="1"/>
  <c r="U1537" i="1"/>
  <c r="S1537" i="1"/>
  <c r="V1536" i="1"/>
  <c r="S1536" i="1"/>
  <c r="U1536" i="1"/>
  <c r="V1535" i="1"/>
  <c r="S1535" i="1"/>
  <c r="U1535" i="1"/>
  <c r="U1533" i="1"/>
  <c r="S1533" i="1"/>
  <c r="V1533" i="1"/>
  <c r="S1532" i="1"/>
  <c r="U1532" i="1"/>
  <c r="V1532" i="1"/>
  <c r="V1531" i="1"/>
  <c r="U1531" i="1"/>
  <c r="S1531" i="1"/>
  <c r="S1530" i="1"/>
  <c r="V1530" i="1"/>
  <c r="U1530" i="1"/>
  <c r="V1529" i="1"/>
  <c r="S1529" i="1"/>
  <c r="U1529" i="1"/>
  <c r="S1528" i="1"/>
  <c r="U1528" i="1"/>
  <c r="V1528" i="1"/>
  <c r="S1527" i="1"/>
  <c r="U1527" i="1"/>
  <c r="V1527" i="1"/>
  <c r="S1526" i="1"/>
  <c r="U1526" i="1"/>
  <c r="V1526" i="1"/>
  <c r="U1525" i="1"/>
  <c r="V1525" i="1"/>
  <c r="S1525" i="1"/>
  <c r="V1524" i="1"/>
  <c r="U1524" i="1"/>
  <c r="S1524" i="1"/>
  <c r="S1523" i="1"/>
  <c r="V1523" i="1"/>
  <c r="U1523" i="1"/>
  <c r="S1522" i="1"/>
  <c r="U1522" i="1"/>
  <c r="V1522" i="1"/>
  <c r="S1521" i="1"/>
  <c r="U1521" i="1"/>
  <c r="V1521" i="1"/>
  <c r="U1520" i="1"/>
  <c r="V1520" i="1"/>
  <c r="S1520" i="1"/>
  <c r="V1519" i="1"/>
  <c r="U1519" i="1"/>
  <c r="S1519" i="1"/>
  <c r="V1518" i="1"/>
  <c r="U1518" i="1"/>
  <c r="S1518" i="1"/>
  <c r="U1517" i="1"/>
  <c r="S1517" i="1"/>
  <c r="V1517" i="1"/>
  <c r="V1516" i="1"/>
  <c r="S1516" i="1"/>
  <c r="U1516" i="1"/>
  <c r="S1515" i="1"/>
  <c r="U1515" i="1"/>
  <c r="V1515" i="1"/>
  <c r="S1514" i="1"/>
  <c r="U1514" i="1"/>
  <c r="V1514" i="1"/>
  <c r="S1513" i="1"/>
  <c r="V1513" i="1"/>
  <c r="U1513" i="1"/>
  <c r="V1512" i="1"/>
  <c r="U1512" i="1"/>
  <c r="S1512" i="1"/>
  <c r="V1511" i="1"/>
  <c r="U1511" i="1"/>
  <c r="S1511" i="1"/>
  <c r="V1510" i="1"/>
  <c r="U1510" i="1"/>
  <c r="S1510" i="1"/>
  <c r="V1509" i="1"/>
  <c r="U1509" i="1"/>
  <c r="S1509" i="1"/>
  <c r="V1508" i="1"/>
  <c r="U1508" i="1"/>
  <c r="S1508" i="1"/>
  <c r="S1507" i="1"/>
  <c r="U1507" i="1"/>
  <c r="V1507" i="1"/>
  <c r="S1506" i="1"/>
  <c r="U1506" i="1"/>
  <c r="V1506" i="1"/>
  <c r="V1505" i="1"/>
  <c r="S1505" i="1"/>
  <c r="U1505" i="1"/>
  <c r="V1504" i="1"/>
  <c r="U1504" i="1"/>
  <c r="S1504" i="1"/>
  <c r="V1503" i="1"/>
  <c r="U1503" i="1"/>
  <c r="S1503" i="1"/>
  <c r="V1502" i="1"/>
  <c r="U1502" i="1"/>
  <c r="S1502" i="1"/>
  <c r="U1501" i="1"/>
  <c r="S1501" i="1"/>
  <c r="V1501" i="1"/>
  <c r="S1500" i="1"/>
  <c r="V1500" i="1"/>
  <c r="U1500" i="1"/>
  <c r="V1499" i="1"/>
  <c r="U1499" i="1"/>
  <c r="S1499" i="1"/>
  <c r="S1498" i="1"/>
  <c r="U1498" i="1"/>
  <c r="V1498" i="1"/>
  <c r="V1497" i="1"/>
  <c r="U1497" i="1"/>
  <c r="S1497" i="1"/>
  <c r="V1496" i="1"/>
  <c r="U1496" i="1"/>
  <c r="S1496" i="1"/>
  <c r="V1495" i="1"/>
  <c r="U1495" i="1"/>
  <c r="S1495" i="1"/>
  <c r="V1494" i="1"/>
  <c r="U1494" i="1"/>
  <c r="S1494" i="1"/>
  <c r="V1493" i="1"/>
  <c r="S1493" i="1"/>
  <c r="U1493" i="1"/>
  <c r="U1492" i="1"/>
  <c r="V1492" i="1"/>
  <c r="S1492" i="1"/>
  <c r="V1491" i="1"/>
  <c r="U1491" i="1"/>
  <c r="S1491" i="1"/>
  <c r="U1490" i="1"/>
  <c r="S1490" i="1"/>
  <c r="V1490" i="1"/>
  <c r="V1489" i="1"/>
  <c r="S1489" i="1"/>
  <c r="U1489" i="1"/>
  <c r="V1488" i="1"/>
  <c r="S1488" i="1"/>
  <c r="U1488" i="1"/>
  <c r="S1487" i="1"/>
  <c r="U1487" i="1"/>
  <c r="V1487" i="1"/>
  <c r="S1486" i="1"/>
  <c r="U1486" i="1"/>
  <c r="V1486" i="1"/>
  <c r="S1485" i="1"/>
  <c r="U1485" i="1"/>
  <c r="V1485" i="1"/>
  <c r="S1484" i="1"/>
  <c r="U1484" i="1"/>
  <c r="V1484" i="1"/>
  <c r="S1483" i="1"/>
  <c r="U1483" i="1"/>
  <c r="V1483" i="1"/>
  <c r="V1482" i="1"/>
  <c r="S1482" i="1"/>
  <c r="U1482" i="1"/>
  <c r="U1481" i="1"/>
  <c r="V1481" i="1"/>
  <c r="S1481" i="1"/>
  <c r="S1480" i="1"/>
  <c r="V1480" i="1"/>
  <c r="U1480" i="1"/>
  <c r="V1479" i="1"/>
  <c r="U1479" i="1"/>
  <c r="S1479" i="1"/>
  <c r="V1478" i="1"/>
  <c r="U1478" i="1"/>
  <c r="S1478" i="1"/>
  <c r="U1477" i="1"/>
  <c r="S1477" i="1"/>
  <c r="V1477" i="1"/>
  <c r="S1476" i="1"/>
  <c r="U1476" i="1"/>
  <c r="V1476" i="1"/>
  <c r="S1475" i="1"/>
  <c r="U1475" i="1"/>
  <c r="V1475" i="1"/>
  <c r="V1473" i="1"/>
  <c r="S1473" i="1"/>
  <c r="U1473" i="1"/>
  <c r="V1472" i="1"/>
  <c r="U1472" i="1"/>
  <c r="S1472" i="1"/>
  <c r="V1471" i="1"/>
  <c r="U1471" i="1"/>
  <c r="S1471" i="1"/>
  <c r="V1470" i="1"/>
  <c r="U1470" i="1"/>
  <c r="S1470" i="1"/>
  <c r="U1469" i="1"/>
  <c r="V1469" i="1"/>
  <c r="S1469" i="1"/>
  <c r="S1468" i="1"/>
  <c r="V1468" i="1"/>
  <c r="U1468" i="1"/>
  <c r="S1467" i="1"/>
  <c r="U1467" i="1"/>
  <c r="V1467" i="1"/>
  <c r="S1466" i="1"/>
  <c r="U1466" i="1"/>
  <c r="V1466" i="1"/>
  <c r="S1465" i="1"/>
  <c r="U1465" i="1"/>
  <c r="V1465" i="1"/>
  <c r="S1464" i="1"/>
  <c r="U1464" i="1"/>
  <c r="V1464" i="1"/>
  <c r="S1463" i="1"/>
  <c r="U1463" i="1"/>
  <c r="V1463" i="1"/>
  <c r="S1462" i="1"/>
  <c r="U1462" i="1"/>
  <c r="V1462" i="1"/>
  <c r="V1461" i="1"/>
  <c r="S1461" i="1"/>
  <c r="U1461" i="1"/>
  <c r="S1460" i="1"/>
  <c r="U1460" i="1"/>
  <c r="V1460" i="1"/>
  <c r="U1459" i="1"/>
  <c r="S1459" i="1"/>
  <c r="V1459" i="1"/>
  <c r="V1458" i="1"/>
  <c r="U1458" i="1"/>
  <c r="S1458" i="1"/>
  <c r="V1457" i="1"/>
  <c r="U1457" i="1"/>
  <c r="S1457" i="1"/>
  <c r="V1456" i="1"/>
  <c r="U1456" i="1"/>
  <c r="S1456" i="1"/>
  <c r="U1455" i="1"/>
  <c r="S1455" i="1"/>
  <c r="V1455" i="1"/>
  <c r="V1454" i="1"/>
  <c r="U1454" i="1"/>
  <c r="S1454" i="1"/>
  <c r="V1453" i="1"/>
  <c r="U1453" i="1"/>
  <c r="S1453" i="1"/>
  <c r="V1452" i="1"/>
  <c r="U1452" i="1"/>
  <c r="S1452" i="1"/>
  <c r="U1451" i="1"/>
  <c r="S1451" i="1"/>
  <c r="V1451" i="1"/>
  <c r="V1450" i="1"/>
  <c r="U1450" i="1"/>
  <c r="S1450" i="1"/>
  <c r="V1449" i="1"/>
  <c r="U1449" i="1"/>
  <c r="S1449" i="1"/>
  <c r="V1448" i="1"/>
  <c r="U1448" i="1"/>
  <c r="S1448" i="1"/>
  <c r="U1447" i="1"/>
  <c r="S1447" i="1"/>
  <c r="V1447" i="1"/>
  <c r="U1446" i="1"/>
  <c r="S1446" i="1"/>
  <c r="V1446" i="1"/>
  <c r="S1445" i="1"/>
  <c r="U1445" i="1"/>
  <c r="V1445" i="1"/>
  <c r="S1443" i="1"/>
  <c r="U1443" i="1"/>
  <c r="V1443" i="1"/>
  <c r="U1442" i="1"/>
  <c r="V1442" i="1"/>
  <c r="S1442" i="1"/>
  <c r="U1441" i="1"/>
  <c r="V1441" i="1"/>
  <c r="S1441" i="1"/>
  <c r="S1440" i="1"/>
  <c r="U1440" i="1"/>
  <c r="V1440" i="1"/>
  <c r="S1439" i="1"/>
  <c r="U1439" i="1"/>
  <c r="V1439" i="1"/>
  <c r="U1438" i="1"/>
  <c r="V1438" i="1"/>
  <c r="S1438" i="1"/>
  <c r="V1437" i="1"/>
  <c r="S1437" i="1"/>
  <c r="U1437" i="1"/>
  <c r="S1436" i="1"/>
  <c r="U1436" i="1"/>
  <c r="V1436" i="1"/>
  <c r="S1435" i="1"/>
  <c r="U1435" i="1"/>
  <c r="V1435" i="1"/>
  <c r="V1434" i="1"/>
  <c r="U1434" i="1"/>
  <c r="S1434" i="1"/>
  <c r="V1433" i="1"/>
  <c r="U1433" i="1"/>
  <c r="S1433" i="1"/>
  <c r="S1432" i="1"/>
  <c r="V1432" i="1"/>
  <c r="U1432" i="1"/>
  <c r="V1431" i="1"/>
  <c r="U1431" i="1"/>
  <c r="S1431" i="1"/>
  <c r="V1430" i="1"/>
  <c r="U1430" i="1"/>
  <c r="S1430" i="1"/>
  <c r="S1429" i="1"/>
  <c r="U1429" i="1"/>
  <c r="V1429" i="1"/>
  <c r="S1428" i="1"/>
  <c r="U1428" i="1"/>
  <c r="V1428" i="1"/>
  <c r="S1427" i="1"/>
  <c r="U1427" i="1"/>
  <c r="V1427" i="1"/>
  <c r="S1426" i="1"/>
  <c r="V1426" i="1"/>
  <c r="U1426" i="1"/>
  <c r="V1425" i="1"/>
  <c r="S1425" i="1"/>
  <c r="U1425" i="1"/>
  <c r="S1424" i="1"/>
  <c r="U1424" i="1"/>
  <c r="V1424" i="1"/>
  <c r="V1423" i="1"/>
  <c r="S1423" i="1"/>
  <c r="U1423" i="1"/>
  <c r="S1422" i="1"/>
  <c r="U1422" i="1"/>
  <c r="V1422" i="1"/>
  <c r="U1421" i="1"/>
  <c r="V1421" i="1"/>
  <c r="S1421" i="1"/>
  <c r="V1420" i="1"/>
  <c r="S1420" i="1"/>
  <c r="U1420" i="1"/>
  <c r="S1419" i="1"/>
  <c r="V1419" i="1"/>
  <c r="U1419" i="1"/>
  <c r="U1418" i="1"/>
  <c r="S1418" i="1"/>
  <c r="V1418" i="1"/>
  <c r="S1417" i="1"/>
  <c r="U1417" i="1"/>
  <c r="V1417" i="1"/>
  <c r="U1411" i="1"/>
  <c r="S1411" i="1"/>
  <c r="V1411" i="1"/>
  <c r="S1410" i="1"/>
  <c r="U1410" i="1"/>
  <c r="V1410" i="1"/>
  <c r="V1409" i="1"/>
  <c r="S1409" i="1"/>
  <c r="U1409" i="1"/>
  <c r="S1407" i="1"/>
  <c r="U1407" i="1"/>
  <c r="V1407" i="1"/>
  <c r="V1406" i="1"/>
  <c r="S1406" i="1"/>
  <c r="U1406" i="1"/>
  <c r="U1404" i="1"/>
  <c r="V1404" i="1"/>
  <c r="S1404" i="1"/>
  <c r="V1403" i="1"/>
  <c r="U1403" i="1"/>
  <c r="S1403" i="1"/>
  <c r="U1401" i="1"/>
  <c r="V1401" i="1"/>
  <c r="S1401" i="1"/>
  <c r="V1400" i="1"/>
  <c r="U1400" i="1"/>
  <c r="S1400" i="1"/>
  <c r="V1398" i="1"/>
  <c r="U1398" i="1"/>
  <c r="S1398" i="1"/>
  <c r="V1397" i="1"/>
  <c r="U1397" i="1"/>
  <c r="S1397" i="1"/>
  <c r="U1396" i="1"/>
  <c r="V1396" i="1"/>
  <c r="S1396" i="1"/>
  <c r="S1394" i="1"/>
  <c r="V1394" i="1"/>
  <c r="U1394" i="1"/>
  <c r="V1393" i="1"/>
  <c r="U1393" i="1"/>
  <c r="S1393" i="1"/>
  <c r="V1391" i="1"/>
  <c r="U1391" i="1"/>
  <c r="S1391" i="1"/>
  <c r="S1390" i="1"/>
  <c r="V1390" i="1"/>
  <c r="U1390" i="1"/>
  <c r="V1387" i="1"/>
  <c r="U1387" i="1"/>
  <c r="S1387" i="1"/>
  <c r="V1384" i="1"/>
  <c r="U1384" i="1"/>
  <c r="S1384" i="1"/>
  <c r="S1382" i="1"/>
  <c r="U1382" i="1"/>
  <c r="V1382" i="1"/>
  <c r="U1379" i="1"/>
  <c r="S1379" i="1"/>
  <c r="V1379" i="1"/>
  <c r="V1378" i="1"/>
  <c r="S1378" i="1"/>
  <c r="U1378" i="1"/>
  <c r="V1377" i="1"/>
  <c r="U1377" i="1"/>
  <c r="S1377" i="1"/>
  <c r="V1376" i="1"/>
  <c r="U1376" i="1"/>
  <c r="S1376" i="1"/>
  <c r="S1372" i="1"/>
  <c r="V1372" i="1"/>
  <c r="X1372" i="1" s="1"/>
  <c r="A1373" i="1" s="1"/>
  <c r="X1373" i="1" s="1"/>
  <c r="A1374" i="1" s="1"/>
  <c r="X1374" i="1" s="1"/>
  <c r="A1375" i="1" s="1"/>
  <c r="X1375" i="1" s="1"/>
  <c r="A1376" i="1" s="1"/>
  <c r="X1376" i="1" s="1"/>
  <c r="A1377" i="1" s="1"/>
  <c r="X1377" i="1" s="1"/>
  <c r="A1378" i="1" s="1"/>
  <c r="X1378" i="1" s="1"/>
  <c r="A1379" i="1" s="1"/>
  <c r="X1379" i="1" s="1"/>
  <c r="A1380" i="1" s="1"/>
  <c r="X1380" i="1" s="1"/>
  <c r="A1381" i="1" s="1"/>
  <c r="X1381" i="1" s="1"/>
  <c r="A1382" i="1" s="1"/>
  <c r="X1382" i="1" s="1"/>
  <c r="A1383" i="1" s="1"/>
  <c r="X1383" i="1" s="1"/>
  <c r="A1384" i="1" s="1"/>
  <c r="X1384" i="1" s="1"/>
  <c r="A1385" i="1" s="1"/>
  <c r="X1385" i="1" s="1"/>
  <c r="A1386" i="1" s="1"/>
  <c r="X1386" i="1" s="1"/>
  <c r="A1387" i="1" s="1"/>
  <c r="X1387" i="1" s="1"/>
  <c r="A1388" i="1" s="1"/>
  <c r="X1388" i="1" s="1"/>
  <c r="A1389" i="1" s="1"/>
  <c r="X1389" i="1" s="1"/>
  <c r="A1390" i="1" s="1"/>
  <c r="X1390" i="1" s="1"/>
  <c r="A1391" i="1" s="1"/>
  <c r="X1391" i="1" s="1"/>
  <c r="A1392" i="1" s="1"/>
  <c r="X1392" i="1" s="1"/>
  <c r="A1393" i="1" s="1"/>
  <c r="X1393" i="1" s="1"/>
  <c r="A1394" i="1" s="1"/>
  <c r="X1394" i="1" s="1"/>
  <c r="A1395" i="1" s="1"/>
  <c r="X1395" i="1" s="1"/>
  <c r="A1396" i="1" s="1"/>
  <c r="X1396" i="1" s="1"/>
  <c r="A1397" i="1" s="1"/>
  <c r="X1397" i="1" s="1"/>
  <c r="A1398" i="1" s="1"/>
  <c r="X1398" i="1" s="1"/>
  <c r="A1399" i="1" s="1"/>
  <c r="X1399" i="1" s="1"/>
  <c r="A1400" i="1" s="1"/>
  <c r="X1400" i="1" s="1"/>
  <c r="A1401" i="1" s="1"/>
  <c r="X1401" i="1" s="1"/>
  <c r="A1402" i="1" s="1"/>
  <c r="X1402" i="1" s="1"/>
  <c r="A1403" i="1" s="1"/>
  <c r="X1403" i="1" s="1"/>
  <c r="A1404" i="1" s="1"/>
  <c r="X1404" i="1" s="1"/>
  <c r="A1405" i="1" s="1"/>
  <c r="X1405" i="1" s="1"/>
  <c r="A1406" i="1" s="1"/>
  <c r="X1406" i="1" s="1"/>
  <c r="A1407" i="1" s="1"/>
  <c r="X1407" i="1" s="1"/>
  <c r="A1408" i="1" s="1"/>
  <c r="X1408" i="1" s="1"/>
  <c r="A1409" i="1" s="1"/>
  <c r="X1409" i="1" s="1"/>
  <c r="A1410" i="1" s="1"/>
  <c r="X1410" i="1" s="1"/>
  <c r="A1411" i="1" s="1"/>
  <c r="X1411" i="1" s="1"/>
  <c r="A1412" i="1" s="1"/>
  <c r="X1412" i="1" s="1"/>
  <c r="A1413" i="1" s="1"/>
  <c r="X1413" i="1" s="1"/>
  <c r="A1414" i="1" s="1"/>
  <c r="X1414" i="1" s="1"/>
  <c r="A1415" i="1" s="1"/>
  <c r="X1415" i="1" s="1"/>
  <c r="A1416" i="1" s="1"/>
  <c r="X1416" i="1" s="1"/>
  <c r="A1417" i="1" s="1"/>
  <c r="X1417" i="1" s="1"/>
  <c r="A1418" i="1" s="1"/>
  <c r="X1418" i="1" s="1"/>
  <c r="A1419" i="1" s="1"/>
  <c r="X1419" i="1" s="1"/>
  <c r="A1420" i="1" s="1"/>
  <c r="X1420" i="1" s="1"/>
  <c r="A1421" i="1" s="1"/>
  <c r="X1421" i="1" s="1"/>
  <c r="A1422" i="1" s="1"/>
  <c r="X1422" i="1" s="1"/>
  <c r="A1423" i="1" s="1"/>
  <c r="X1423" i="1" s="1"/>
  <c r="A1424" i="1" s="1"/>
  <c r="X1424" i="1" s="1"/>
  <c r="A1425" i="1" s="1"/>
  <c r="X1425" i="1" s="1"/>
  <c r="A1426" i="1" s="1"/>
  <c r="X1426" i="1" s="1"/>
  <c r="A1427" i="1" s="1"/>
  <c r="X1427" i="1" s="1"/>
  <c r="A1428" i="1" s="1"/>
  <c r="X1428" i="1" s="1"/>
  <c r="A1429" i="1" s="1"/>
  <c r="X1429" i="1" s="1"/>
  <c r="A1430" i="1" s="1"/>
  <c r="X1430" i="1" s="1"/>
  <c r="A1431" i="1" s="1"/>
  <c r="X1431" i="1" s="1"/>
  <c r="A1432" i="1" s="1"/>
  <c r="X1432" i="1" s="1"/>
  <c r="A1433" i="1" s="1"/>
  <c r="X1433" i="1" s="1"/>
  <c r="A1434" i="1" s="1"/>
  <c r="X1434" i="1" s="1"/>
  <c r="A1435" i="1" s="1"/>
  <c r="X1435" i="1" s="1"/>
  <c r="A1436" i="1" s="1"/>
  <c r="X1436" i="1" s="1"/>
  <c r="A1437" i="1" s="1"/>
  <c r="X1437" i="1" s="1"/>
  <c r="A1438" i="1" s="1"/>
  <c r="X1438" i="1" s="1"/>
  <c r="A1439" i="1" s="1"/>
  <c r="X1439" i="1" s="1"/>
  <c r="A1440" i="1" s="1"/>
  <c r="X1440" i="1" s="1"/>
  <c r="A1441" i="1" s="1"/>
  <c r="X1441" i="1" s="1"/>
  <c r="A1442" i="1" s="1"/>
  <c r="X1442" i="1" s="1"/>
  <c r="A1443" i="1" s="1"/>
  <c r="X1443" i="1" s="1"/>
  <c r="A1444" i="1" s="1"/>
  <c r="X1444" i="1" s="1"/>
  <c r="A1445" i="1" s="1"/>
  <c r="X1445" i="1" s="1"/>
  <c r="A1446" i="1" s="1"/>
  <c r="X1446" i="1" s="1"/>
  <c r="A1447" i="1" s="1"/>
  <c r="X1447" i="1" s="1"/>
  <c r="A1448" i="1" s="1"/>
  <c r="X1448" i="1" s="1"/>
  <c r="A1449" i="1" s="1"/>
  <c r="X1449" i="1" s="1"/>
  <c r="A1450" i="1" s="1"/>
  <c r="X1450" i="1" s="1"/>
  <c r="A1451" i="1" s="1"/>
  <c r="X1451" i="1" s="1"/>
  <c r="A1452" i="1" s="1"/>
  <c r="X1452" i="1" s="1"/>
  <c r="A1453" i="1" s="1"/>
  <c r="X1453" i="1" s="1"/>
  <c r="A1454" i="1" s="1"/>
  <c r="X1454" i="1" s="1"/>
  <c r="A1455" i="1" s="1"/>
  <c r="X1455" i="1" s="1"/>
  <c r="A1456" i="1" s="1"/>
  <c r="X1456" i="1" s="1"/>
  <c r="A1457" i="1" s="1"/>
  <c r="X1457" i="1" s="1"/>
  <c r="A1458" i="1" s="1"/>
  <c r="X1458" i="1" s="1"/>
  <c r="A1459" i="1" s="1"/>
  <c r="X1459" i="1" s="1"/>
  <c r="A1460" i="1" s="1"/>
  <c r="X1460" i="1" s="1"/>
  <c r="A1461" i="1" s="1"/>
  <c r="X1461" i="1" s="1"/>
  <c r="A1462" i="1" s="1"/>
  <c r="X1462" i="1" s="1"/>
  <c r="A1463" i="1" s="1"/>
  <c r="X1463" i="1" s="1"/>
  <c r="A1464" i="1" s="1"/>
  <c r="X1464" i="1" s="1"/>
  <c r="A1465" i="1" s="1"/>
  <c r="X1465" i="1" s="1"/>
  <c r="A1466" i="1" s="1"/>
  <c r="X1466" i="1" s="1"/>
  <c r="A1467" i="1" s="1"/>
  <c r="X1467" i="1" s="1"/>
  <c r="A1468" i="1" s="1"/>
  <c r="X1468" i="1" s="1"/>
  <c r="A1469" i="1" s="1"/>
  <c r="X1469" i="1" s="1"/>
  <c r="A1470" i="1" s="1"/>
  <c r="X1470" i="1" s="1"/>
  <c r="A1471" i="1" s="1"/>
  <c r="X1471" i="1" s="1"/>
  <c r="A1472" i="1" s="1"/>
  <c r="X1472" i="1" s="1"/>
  <c r="A1473" i="1" s="1"/>
  <c r="X1473" i="1" s="1"/>
  <c r="A1474" i="1" s="1"/>
  <c r="X1474" i="1" s="1"/>
  <c r="A1475" i="1" s="1"/>
  <c r="X1475" i="1" s="1"/>
  <c r="A1476" i="1" s="1"/>
  <c r="X1476" i="1" s="1"/>
  <c r="A1477" i="1" s="1"/>
  <c r="X1477" i="1" s="1"/>
  <c r="A1478" i="1" s="1"/>
  <c r="X1478" i="1" s="1"/>
  <c r="A1479" i="1" s="1"/>
  <c r="X1479" i="1" s="1"/>
  <c r="A1480" i="1" s="1"/>
  <c r="X1480" i="1" s="1"/>
  <c r="A1481" i="1" s="1"/>
  <c r="X1481" i="1" s="1"/>
  <c r="A1482" i="1" s="1"/>
  <c r="X1482" i="1" s="1"/>
  <c r="A1483" i="1" s="1"/>
  <c r="X1483" i="1" s="1"/>
  <c r="A1484" i="1" s="1"/>
  <c r="X1484" i="1" s="1"/>
  <c r="A1485" i="1" s="1"/>
  <c r="X1485" i="1" s="1"/>
  <c r="A1486" i="1" s="1"/>
  <c r="X1486" i="1" s="1"/>
  <c r="A1487" i="1" s="1"/>
  <c r="X1487" i="1" s="1"/>
  <c r="A1488" i="1" s="1"/>
  <c r="X1488" i="1" s="1"/>
  <c r="A1489" i="1" s="1"/>
  <c r="X1489" i="1" s="1"/>
  <c r="A1490" i="1" s="1"/>
  <c r="X1490" i="1" s="1"/>
  <c r="A1491" i="1" s="1"/>
  <c r="X1491" i="1" s="1"/>
  <c r="A1492" i="1" s="1"/>
  <c r="X1492" i="1" s="1"/>
  <c r="A1493" i="1" s="1"/>
  <c r="X1493" i="1" s="1"/>
  <c r="A1494" i="1" s="1"/>
  <c r="X1494" i="1" s="1"/>
  <c r="A1495" i="1" s="1"/>
  <c r="X1495" i="1" s="1"/>
  <c r="A1496" i="1" s="1"/>
  <c r="X1496" i="1" s="1"/>
  <c r="A1497" i="1" s="1"/>
  <c r="X1497" i="1" s="1"/>
  <c r="A1498" i="1" s="1"/>
  <c r="X1498" i="1" s="1"/>
  <c r="A1499" i="1" s="1"/>
  <c r="X1499" i="1" s="1"/>
  <c r="A1500" i="1" s="1"/>
  <c r="X1500" i="1" s="1"/>
  <c r="A1501" i="1" s="1"/>
  <c r="X1501" i="1" s="1"/>
  <c r="A1502" i="1" s="1"/>
  <c r="X1502" i="1" s="1"/>
  <c r="A1503" i="1" s="1"/>
  <c r="X1503" i="1" s="1"/>
  <c r="A1504" i="1" s="1"/>
  <c r="X1504" i="1" s="1"/>
  <c r="A1505" i="1" s="1"/>
  <c r="X1505" i="1" s="1"/>
  <c r="A1506" i="1" s="1"/>
  <c r="X1506" i="1" s="1"/>
  <c r="A1507" i="1" s="1"/>
  <c r="X1507" i="1" s="1"/>
  <c r="A1508" i="1" s="1"/>
  <c r="X1508" i="1" s="1"/>
  <c r="A1509" i="1" s="1"/>
  <c r="X1509" i="1" s="1"/>
  <c r="A1510" i="1" s="1"/>
  <c r="X1510" i="1" s="1"/>
  <c r="A1511" i="1" s="1"/>
  <c r="X1511" i="1" s="1"/>
  <c r="A1512" i="1" s="1"/>
  <c r="X1512" i="1" s="1"/>
  <c r="A1513" i="1" s="1"/>
  <c r="X1513" i="1" s="1"/>
  <c r="A1514" i="1" s="1"/>
  <c r="X1514" i="1" s="1"/>
  <c r="A1515" i="1" s="1"/>
  <c r="X1515" i="1" s="1"/>
  <c r="A1516" i="1" s="1"/>
  <c r="X1516" i="1" s="1"/>
  <c r="A1517" i="1" s="1"/>
  <c r="X1517" i="1" s="1"/>
  <c r="A1518" i="1" s="1"/>
  <c r="X1518" i="1" s="1"/>
  <c r="A1519" i="1" s="1"/>
  <c r="X1519" i="1" s="1"/>
  <c r="A1520" i="1" s="1"/>
  <c r="X1520" i="1" s="1"/>
  <c r="A1521" i="1" s="1"/>
  <c r="X1521" i="1" s="1"/>
  <c r="A1522" i="1" s="1"/>
  <c r="X1522" i="1" s="1"/>
  <c r="A1523" i="1" s="1"/>
  <c r="X1523" i="1" s="1"/>
  <c r="A1524" i="1" s="1"/>
  <c r="X1524" i="1" s="1"/>
  <c r="A1525" i="1" s="1"/>
  <c r="X1525" i="1" s="1"/>
  <c r="A1526" i="1" s="1"/>
  <c r="X1526" i="1" s="1"/>
  <c r="A1527" i="1" s="1"/>
  <c r="X1527" i="1" s="1"/>
  <c r="A1528" i="1" s="1"/>
  <c r="X1528" i="1" s="1"/>
  <c r="A1529" i="1" s="1"/>
  <c r="X1529" i="1" s="1"/>
  <c r="A1530" i="1" s="1"/>
  <c r="X1530" i="1" s="1"/>
  <c r="A1531" i="1" s="1"/>
  <c r="X1531" i="1" s="1"/>
  <c r="A1532" i="1" s="1"/>
  <c r="X1532" i="1" s="1"/>
  <c r="A1533" i="1" s="1"/>
  <c r="X1533" i="1" s="1"/>
  <c r="A1534" i="1" s="1"/>
  <c r="X1534" i="1" s="1"/>
  <c r="A1535" i="1" s="1"/>
  <c r="X1535" i="1" s="1"/>
  <c r="A1536" i="1" s="1"/>
  <c r="X1536" i="1" s="1"/>
  <c r="A1537" i="1" s="1"/>
  <c r="X1537" i="1" s="1"/>
  <c r="A1538" i="1" s="1"/>
  <c r="X1538" i="1" s="1"/>
  <c r="A1539" i="1" s="1"/>
  <c r="X1539" i="1" s="1"/>
  <c r="A1540" i="1" s="1"/>
  <c r="X1540" i="1" s="1"/>
  <c r="A1541" i="1" s="1"/>
  <c r="X1541" i="1" s="1"/>
  <c r="A1542" i="1" s="1"/>
  <c r="X1542" i="1" s="1"/>
  <c r="A1543" i="1" s="1"/>
  <c r="X1543" i="1" s="1"/>
  <c r="A1544" i="1" s="1"/>
  <c r="X1544" i="1" s="1"/>
  <c r="A1545" i="1" s="1"/>
  <c r="X1545" i="1" s="1"/>
  <c r="A1546" i="1" s="1"/>
  <c r="X1546" i="1" s="1"/>
  <c r="A1547" i="1" s="1"/>
  <c r="X1547" i="1" s="1"/>
  <c r="A1548" i="1" s="1"/>
  <c r="X1548" i="1" s="1"/>
  <c r="A1549" i="1" s="1"/>
  <c r="X1549" i="1" s="1"/>
  <c r="A1550" i="1" s="1"/>
  <c r="X1550" i="1" s="1"/>
  <c r="A1551" i="1" s="1"/>
  <c r="X1551" i="1" s="1"/>
  <c r="A1552" i="1" s="1"/>
  <c r="X1552" i="1" s="1"/>
  <c r="A1553" i="1" s="1"/>
  <c r="X1553" i="1" s="1"/>
  <c r="A1554" i="1" s="1"/>
  <c r="X1554" i="1" s="1"/>
  <c r="A1555" i="1" s="1"/>
  <c r="X1555" i="1" s="1"/>
  <c r="A1556" i="1" s="1"/>
  <c r="X1556" i="1" s="1"/>
  <c r="A1557" i="1" s="1"/>
  <c r="X1557" i="1" s="1"/>
  <c r="A1558" i="1" s="1"/>
  <c r="X1558" i="1" s="1"/>
  <c r="A1559" i="1" s="1"/>
  <c r="X1559" i="1" s="1"/>
  <c r="A1560" i="1" s="1"/>
  <c r="X1560" i="1" s="1"/>
  <c r="A1561" i="1" s="1"/>
  <c r="X1561" i="1" s="1"/>
  <c r="A1562" i="1" s="1"/>
  <c r="X1562" i="1" s="1"/>
  <c r="A1563" i="1" s="1"/>
  <c r="X1563" i="1" s="1"/>
  <c r="A1564" i="1" s="1"/>
  <c r="X1564" i="1" s="1"/>
  <c r="A1565" i="1" s="1"/>
  <c r="X1565" i="1" s="1"/>
  <c r="A1566" i="1" s="1"/>
  <c r="X1566" i="1" s="1"/>
  <c r="A1567" i="1" s="1"/>
  <c r="X1567" i="1" s="1"/>
  <c r="A1568" i="1" s="1"/>
  <c r="X1568" i="1" s="1"/>
  <c r="A1569" i="1" s="1"/>
  <c r="X1569" i="1" s="1"/>
  <c r="A1570" i="1" s="1"/>
  <c r="X1570" i="1" s="1"/>
  <c r="A1571" i="1" s="1"/>
  <c r="X1571" i="1" s="1"/>
  <c r="A1572" i="1" s="1"/>
  <c r="X1572" i="1" s="1"/>
  <c r="A1573" i="1" s="1"/>
  <c r="U1372" i="1"/>
  <c r="U1369" i="1"/>
  <c r="V1369" i="1" s="1"/>
  <c r="S1369" i="1"/>
  <c r="U1368" i="1"/>
  <c r="V1368" i="1" s="1"/>
  <c r="S1368" i="1"/>
  <c r="U1367" i="1"/>
  <c r="V1367" i="1" s="1"/>
  <c r="S1367" i="1"/>
  <c r="U1366" i="1"/>
  <c r="V1366" i="1" s="1"/>
  <c r="S1366" i="1"/>
  <c r="U1365" i="1"/>
  <c r="V1365" i="1" s="1"/>
  <c r="S1365" i="1"/>
  <c r="U1364" i="1"/>
  <c r="V1364" i="1" s="1"/>
  <c r="S1364" i="1"/>
  <c r="S1363" i="1"/>
  <c r="U1363" i="1"/>
  <c r="V1363" i="1" s="1"/>
  <c r="S1362" i="1"/>
  <c r="U1362" i="1"/>
  <c r="V1362" i="1" s="1"/>
  <c r="U1361" i="1"/>
  <c r="V1361" i="1" s="1"/>
  <c r="S1361" i="1"/>
  <c r="U1360" i="1"/>
  <c r="V1360" i="1" s="1"/>
  <c r="S1360" i="1"/>
  <c r="U1359" i="1"/>
  <c r="V1359" i="1" s="1"/>
  <c r="S1359" i="1"/>
  <c r="U1358" i="1"/>
  <c r="V1358" i="1" s="1"/>
  <c r="S1358" i="1"/>
  <c r="U1357" i="1"/>
  <c r="V1357" i="1" s="1"/>
  <c r="S1357" i="1"/>
  <c r="U1356" i="1"/>
  <c r="V1356" i="1" s="1"/>
  <c r="S1356" i="1"/>
  <c r="U1355" i="1"/>
  <c r="V1355" i="1"/>
  <c r="S1355" i="1"/>
  <c r="S1354" i="1"/>
  <c r="U1354" i="1"/>
  <c r="V1354" i="1"/>
  <c r="U1353" i="1"/>
  <c r="S1353" i="1"/>
  <c r="V1353" i="1"/>
  <c r="U1352" i="1"/>
  <c r="V1352" i="1"/>
  <c r="S1352" i="1"/>
  <c r="V1351" i="1"/>
  <c r="U1351" i="1"/>
  <c r="S1351" i="1"/>
  <c r="V1350" i="1"/>
  <c r="U1350" i="1"/>
  <c r="S1350" i="1"/>
  <c r="V1349" i="1"/>
  <c r="U1349" i="1"/>
  <c r="S1349" i="1"/>
  <c r="V1348" i="1"/>
  <c r="U1348" i="1"/>
  <c r="S1348" i="1"/>
  <c r="V1347" i="1"/>
  <c r="U1347" i="1"/>
  <c r="S1347" i="1"/>
  <c r="V1346" i="1"/>
  <c r="U1346" i="1"/>
  <c r="S1346" i="1"/>
  <c r="V1345" i="1"/>
  <c r="U1345" i="1"/>
  <c r="S1345" i="1"/>
  <c r="V1344" i="1"/>
  <c r="U1344" i="1"/>
  <c r="S1344" i="1"/>
  <c r="S1343" i="1"/>
  <c r="U1343" i="1"/>
  <c r="V1343" i="1"/>
  <c r="S1342" i="1"/>
  <c r="U1342" i="1"/>
  <c r="V1342" i="1"/>
  <c r="S1341" i="1"/>
  <c r="U1341" i="1"/>
  <c r="V1341" i="1"/>
  <c r="V1340" i="1"/>
  <c r="U1340" i="1"/>
  <c r="S1340" i="1"/>
  <c r="V1339" i="1"/>
  <c r="U1339" i="1"/>
  <c r="S1339" i="1"/>
  <c r="V1338" i="1"/>
  <c r="U1338" i="1"/>
  <c r="S1338" i="1"/>
  <c r="V1337" i="1"/>
  <c r="U1337" i="1"/>
  <c r="S1337" i="1"/>
  <c r="V1336" i="1"/>
  <c r="U1336" i="1"/>
  <c r="S1336" i="1"/>
  <c r="S1335" i="1"/>
  <c r="U1335" i="1"/>
  <c r="V1335" i="1"/>
  <c r="V1334" i="1"/>
  <c r="U1334" i="1"/>
  <c r="S1334" i="1"/>
  <c r="V1333" i="1"/>
  <c r="U1333" i="1"/>
  <c r="S1333" i="1"/>
  <c r="S1332" i="1"/>
  <c r="V1332" i="1"/>
  <c r="U1332" i="1"/>
  <c r="V1331" i="1"/>
  <c r="U1331" i="1"/>
  <c r="S1331" i="1"/>
  <c r="V1330" i="1"/>
  <c r="U1330" i="1"/>
  <c r="S1330" i="1"/>
  <c r="V1329" i="1"/>
  <c r="U1329" i="1"/>
  <c r="S1329" i="1"/>
  <c r="S1327" i="1"/>
  <c r="V1327" i="1"/>
  <c r="U1327" i="1"/>
  <c r="U1326" i="1"/>
  <c r="V1326" i="1"/>
  <c r="S1326" i="1"/>
  <c r="U1325" i="1"/>
  <c r="V1325" i="1"/>
  <c r="S1325" i="1"/>
  <c r="S1324" i="1"/>
  <c r="V1324" i="1"/>
  <c r="U1323" i="1"/>
  <c r="V1323" i="1"/>
  <c r="S1323" i="1"/>
  <c r="U1322" i="1"/>
  <c r="V1322" i="1"/>
  <c r="S1321" i="1"/>
  <c r="U1321" i="1"/>
  <c r="V1321" i="1"/>
  <c r="V1320" i="1"/>
  <c r="S1320" i="1"/>
  <c r="U1320" i="1"/>
  <c r="S1319" i="1"/>
  <c r="U1319" i="1"/>
  <c r="V1319" i="1"/>
  <c r="U1318" i="1"/>
  <c r="S1318" i="1"/>
  <c r="V1318" i="1"/>
  <c r="U1317" i="1"/>
  <c r="S1317" i="1"/>
  <c r="V1317" i="1"/>
  <c r="U1316" i="1"/>
  <c r="V1316" i="1"/>
  <c r="S1315" i="1"/>
  <c r="U1315" i="1"/>
  <c r="V1315" i="1"/>
  <c r="U1314" i="1"/>
  <c r="V1314" i="1"/>
  <c r="S1314" i="1"/>
  <c r="S1313" i="1"/>
  <c r="U1313" i="1"/>
  <c r="V1313" i="1"/>
  <c r="U1312" i="1"/>
  <c r="S1312" i="1"/>
  <c r="V1312" i="1"/>
  <c r="U1311" i="1"/>
  <c r="S1311" i="1"/>
  <c r="V1311" i="1"/>
  <c r="V1310" i="1"/>
  <c r="S1310" i="1"/>
  <c r="U1310" i="1"/>
  <c r="V1309" i="1"/>
  <c r="S1309" i="1"/>
  <c r="U1309" i="1"/>
  <c r="V1308" i="1"/>
  <c r="S1308" i="1"/>
  <c r="U1308" i="1"/>
  <c r="S1307" i="1"/>
  <c r="V1307" i="1"/>
  <c r="U1307" i="1"/>
  <c r="S1306" i="1"/>
  <c r="U1306" i="1"/>
  <c r="V1306" i="1"/>
  <c r="S1305" i="1"/>
  <c r="V1305" i="1"/>
  <c r="U1305" i="1"/>
  <c r="S1304" i="1"/>
  <c r="V1304" i="1"/>
  <c r="U1304" i="1"/>
  <c r="V1303" i="1"/>
  <c r="U1303" i="1"/>
  <c r="U1302" i="1"/>
  <c r="S1302" i="1"/>
  <c r="V1302" i="1"/>
  <c r="U1301" i="1"/>
  <c r="V1301" i="1"/>
  <c r="S1301" i="1"/>
  <c r="V1300" i="1"/>
  <c r="U1300" i="1"/>
  <c r="V1299" i="1"/>
  <c r="S1299" i="1"/>
  <c r="U1299" i="1"/>
  <c r="V1298" i="1"/>
  <c r="S1298" i="1"/>
  <c r="U1298" i="1"/>
  <c r="S1297" i="1"/>
  <c r="U1297" i="1"/>
  <c r="V1297" i="1"/>
  <c r="U1296" i="1"/>
  <c r="V1296" i="1"/>
  <c r="S1296" i="1"/>
  <c r="S1295" i="1"/>
  <c r="V1295" i="1"/>
  <c r="U1295" i="1"/>
  <c r="V1294" i="1"/>
  <c r="U1294" i="1"/>
  <c r="S1294" i="1"/>
  <c r="U1293" i="1"/>
  <c r="S1293" i="1"/>
  <c r="V1293" i="1"/>
  <c r="V1292" i="1"/>
  <c r="S1292" i="1"/>
  <c r="U1292" i="1"/>
  <c r="U1291" i="1"/>
  <c r="V1291" i="1"/>
  <c r="S1291" i="1"/>
  <c r="V1290" i="1"/>
  <c r="U1290" i="1"/>
  <c r="S1290" i="1"/>
  <c r="U1289" i="1"/>
  <c r="V1289" i="1"/>
  <c r="S1289" i="1"/>
  <c r="U1288" i="1"/>
  <c r="V1288" i="1"/>
  <c r="S1288" i="1"/>
  <c r="S1287" i="1"/>
  <c r="V1287" i="1"/>
  <c r="U1287" i="1"/>
  <c r="S1286" i="1"/>
  <c r="V1286" i="1"/>
  <c r="S1284" i="1"/>
  <c r="V1284" i="1"/>
  <c r="U1284" i="1"/>
  <c r="S1283" i="1"/>
  <c r="V1283" i="1"/>
  <c r="U1283" i="1"/>
  <c r="V1282" i="1"/>
  <c r="S1282" i="1"/>
  <c r="S1281" i="1"/>
  <c r="U1281" i="1"/>
  <c r="V1281" i="1"/>
  <c r="V1280" i="1"/>
  <c r="S1280" i="1"/>
  <c r="U1280" i="1"/>
  <c r="V1279" i="1"/>
  <c r="U1279" i="1"/>
  <c r="S1279" i="1"/>
  <c r="U1278" i="1"/>
  <c r="V1278" i="1"/>
  <c r="S1278" i="1"/>
  <c r="U1277" i="1"/>
  <c r="V1277" i="1"/>
  <c r="S1276" i="1"/>
  <c r="U1276" i="1"/>
  <c r="V1276" i="1"/>
  <c r="V1275" i="1"/>
  <c r="S1275" i="1"/>
  <c r="U1275" i="1"/>
  <c r="U1274" i="1"/>
  <c r="V1274" i="1"/>
  <c r="S1274" i="1"/>
  <c r="S1273" i="1"/>
  <c r="U1273" i="1"/>
  <c r="V1273" i="1"/>
  <c r="V1272" i="1"/>
  <c r="S1272" i="1"/>
  <c r="U1272" i="1"/>
  <c r="U1271" i="1"/>
  <c r="V1271" i="1"/>
  <c r="S1271" i="1"/>
  <c r="S1270" i="1"/>
  <c r="V1270" i="1"/>
  <c r="U1270" i="1"/>
  <c r="S1269" i="1"/>
  <c r="U1269" i="1"/>
  <c r="V1269" i="1"/>
  <c r="U1268" i="1"/>
  <c r="V1268" i="1"/>
  <c r="V1267" i="1"/>
  <c r="S1267" i="1"/>
  <c r="U1267" i="1"/>
  <c r="S1266" i="1"/>
  <c r="U1266" i="1"/>
  <c r="V1266" i="1"/>
  <c r="U1265" i="1"/>
  <c r="S1265" i="1"/>
  <c r="V1265" i="1"/>
  <c r="V1264" i="1"/>
  <c r="U1264" i="1"/>
  <c r="V1263" i="1"/>
  <c r="U1263" i="1"/>
  <c r="S1263" i="1"/>
  <c r="U1262" i="1"/>
  <c r="V1262" i="1"/>
  <c r="S1262" i="1"/>
  <c r="V1261" i="1"/>
  <c r="S1261" i="1"/>
  <c r="U1261" i="1"/>
  <c r="V1260" i="1"/>
  <c r="U1260" i="1"/>
  <c r="V1259" i="1"/>
  <c r="S1259" i="1"/>
  <c r="U1259" i="1"/>
  <c r="U1258" i="1"/>
  <c r="S1258" i="1"/>
  <c r="V1258" i="1"/>
  <c r="S1257" i="1"/>
  <c r="V1257" i="1"/>
  <c r="S1256" i="1"/>
  <c r="U1256" i="1"/>
  <c r="V1256" i="1"/>
  <c r="S1255" i="1"/>
  <c r="U1255" i="1"/>
  <c r="V1255" i="1"/>
  <c r="S1254" i="1"/>
  <c r="V1254" i="1"/>
  <c r="U1254" i="1"/>
  <c r="U1253" i="1"/>
  <c r="S1253" i="1"/>
  <c r="V1253" i="1"/>
  <c r="U1252" i="1"/>
  <c r="V1252" i="1"/>
  <c r="S1251" i="1"/>
  <c r="V1251" i="1"/>
  <c r="U1251" i="1"/>
  <c r="U1250" i="1"/>
  <c r="S1250" i="1"/>
  <c r="V1250" i="1"/>
  <c r="S1249" i="1"/>
  <c r="V1249" i="1"/>
  <c r="U1249" i="1"/>
  <c r="S1248" i="1"/>
  <c r="V1248" i="1"/>
  <c r="U1248" i="1"/>
  <c r="V1247" i="1"/>
  <c r="S1247" i="1"/>
  <c r="U1247" i="1"/>
  <c r="S1246" i="1"/>
  <c r="U1246" i="1"/>
  <c r="V1246" i="1"/>
  <c r="U1245" i="1"/>
  <c r="S1245" i="1"/>
  <c r="V1245" i="1"/>
  <c r="S1243" i="1"/>
  <c r="V1243" i="1"/>
  <c r="U1243" i="1"/>
  <c r="U1242" i="1"/>
  <c r="V1242" i="1"/>
  <c r="S1242" i="1"/>
  <c r="V1241" i="1"/>
  <c r="S1241" i="1"/>
  <c r="U1241" i="1"/>
  <c r="S1240" i="1"/>
  <c r="V1240" i="1"/>
  <c r="V1239" i="1"/>
  <c r="S1239" i="1"/>
  <c r="S1238" i="1"/>
  <c r="V1238" i="1"/>
  <c r="U1238" i="1"/>
  <c r="U1237" i="1"/>
  <c r="S1237" i="1"/>
  <c r="V1237" i="1"/>
  <c r="U1236" i="1"/>
  <c r="V1236" i="1"/>
  <c r="S1235" i="1"/>
  <c r="V1235" i="1"/>
  <c r="U1235" i="1"/>
  <c r="S1234" i="1"/>
  <c r="V1234" i="1"/>
  <c r="U1234" i="1"/>
  <c r="V1232" i="1"/>
  <c r="S1232" i="1"/>
  <c r="U1232" i="1"/>
  <c r="V1231" i="1"/>
  <c r="U1231" i="1"/>
  <c r="S1231" i="1"/>
  <c r="S1230" i="1"/>
  <c r="V1230" i="1"/>
  <c r="U1230" i="1"/>
  <c r="V1229" i="1"/>
  <c r="S1229" i="1"/>
  <c r="U1229" i="1"/>
  <c r="U1228" i="1"/>
  <c r="S1228" i="1"/>
  <c r="V1228" i="1"/>
  <c r="S1227" i="1"/>
  <c r="U1227" i="1"/>
  <c r="V1227" i="1"/>
  <c r="V1226" i="1"/>
  <c r="U1226" i="1"/>
  <c r="S1226" i="1"/>
  <c r="U1225" i="1"/>
  <c r="S1225" i="1"/>
  <c r="V1225" i="1"/>
  <c r="U1224" i="1"/>
  <c r="S1224" i="1"/>
  <c r="V1224" i="1"/>
  <c r="V1223" i="1"/>
  <c r="U1223" i="1"/>
  <c r="S1223" i="1"/>
  <c r="V1222" i="1"/>
  <c r="U1222" i="1"/>
  <c r="S1222" i="1"/>
  <c r="V1221" i="1"/>
  <c r="U1221" i="1"/>
  <c r="S1221" i="1"/>
  <c r="V1220" i="1"/>
  <c r="U1220" i="1"/>
  <c r="S1220" i="1"/>
  <c r="V1219" i="1"/>
  <c r="S1219" i="1"/>
  <c r="U1219" i="1"/>
  <c r="S1218" i="1"/>
  <c r="V1218" i="1"/>
  <c r="U1218" i="1"/>
  <c r="V1217" i="1"/>
  <c r="U1217" i="1"/>
  <c r="S1217" i="1"/>
  <c r="V1216" i="1"/>
  <c r="U1216" i="1"/>
  <c r="S1216" i="1"/>
  <c r="U1215" i="1"/>
  <c r="V1215" i="1"/>
  <c r="S1215" i="1"/>
  <c r="V1214" i="1"/>
  <c r="U1214" i="1"/>
  <c r="S1214" i="1"/>
  <c r="V1213" i="1"/>
  <c r="U1213" i="1"/>
  <c r="S1213" i="1"/>
  <c r="V1212" i="1"/>
  <c r="U1212" i="1"/>
  <c r="S1212" i="1"/>
  <c r="V1211" i="1"/>
  <c r="U1211" i="1"/>
  <c r="S1211" i="1"/>
  <c r="S1210" i="1"/>
  <c r="V1210" i="1"/>
  <c r="U1210" i="1"/>
  <c r="V1209" i="1"/>
  <c r="U1209" i="1"/>
  <c r="S1209" i="1"/>
  <c r="V1208" i="1"/>
  <c r="U1208" i="1"/>
  <c r="S1208" i="1"/>
  <c r="V1207" i="1"/>
  <c r="U1207" i="1"/>
  <c r="S1207" i="1"/>
  <c r="V1206" i="1"/>
  <c r="U1206" i="1"/>
  <c r="S1206" i="1"/>
  <c r="V1205" i="1"/>
  <c r="U1205" i="1"/>
  <c r="S1205" i="1"/>
  <c r="U1204" i="1"/>
  <c r="V1204" i="1"/>
  <c r="S1204" i="1"/>
  <c r="S1203" i="1"/>
  <c r="U1203" i="1"/>
  <c r="V1203" i="1"/>
  <c r="S1202" i="1"/>
  <c r="U1202" i="1"/>
  <c r="V1202" i="1"/>
  <c r="U1198" i="1"/>
  <c r="V1198" i="1"/>
  <c r="S1198" i="1"/>
  <c r="V1196" i="1"/>
  <c r="S1196" i="1"/>
  <c r="U1196" i="1"/>
  <c r="V1195" i="1"/>
  <c r="S1195" i="1"/>
  <c r="U1195" i="1"/>
  <c r="S1194" i="1"/>
  <c r="U1194" i="1"/>
  <c r="V1194" i="1"/>
  <c r="U1189" i="1"/>
  <c r="V1189" i="1"/>
  <c r="S1189" i="1"/>
  <c r="S1187" i="1"/>
  <c r="U1187" i="1"/>
  <c r="V1187" i="1"/>
  <c r="S1184" i="1"/>
  <c r="U1184" i="1"/>
  <c r="V1184" i="1"/>
  <c r="S1183" i="1"/>
  <c r="V1183" i="1"/>
  <c r="U1183" i="1"/>
  <c r="V1182" i="1"/>
  <c r="U1182" i="1"/>
  <c r="S1182" i="1"/>
  <c r="U1181" i="1"/>
  <c r="S1181" i="1"/>
  <c r="V1181" i="1"/>
  <c r="U1180" i="1"/>
  <c r="S1180" i="1"/>
  <c r="V1180" i="1"/>
  <c r="V1179" i="1"/>
  <c r="U1179" i="1"/>
  <c r="S1179" i="1"/>
  <c r="U1178" i="1"/>
  <c r="S1178" i="1"/>
  <c r="V1178" i="1"/>
  <c r="V1177" i="1"/>
  <c r="U1177" i="1"/>
  <c r="S1177" i="1"/>
  <c r="U1176" i="1"/>
  <c r="S1176" i="1"/>
  <c r="V1176" i="1"/>
  <c r="V1175" i="1"/>
  <c r="U1175" i="1"/>
  <c r="S1175" i="1"/>
  <c r="V1174" i="1"/>
  <c r="U1174" i="1"/>
  <c r="S1174" i="1"/>
  <c r="S1173" i="1"/>
  <c r="U1173" i="1"/>
  <c r="V1173" i="1"/>
  <c r="U1172" i="1"/>
  <c r="V1172" i="1"/>
  <c r="S1172" i="1"/>
  <c r="U1171" i="1"/>
  <c r="S1171" i="1"/>
  <c r="V1171" i="1"/>
  <c r="V1168" i="1"/>
  <c r="X1168" i="1" s="1"/>
  <c r="A1169" i="1" s="1"/>
  <c r="X1169" i="1" s="1"/>
  <c r="A1170" i="1" s="1"/>
  <c r="X1170" i="1" s="1"/>
  <c r="A1171" i="1" s="1"/>
  <c r="X1171" i="1" s="1"/>
  <c r="A1172" i="1" s="1"/>
  <c r="X1172" i="1" s="1"/>
  <c r="A1173" i="1" s="1"/>
  <c r="X1173" i="1" s="1"/>
  <c r="A1174" i="1" s="1"/>
  <c r="X1174" i="1" s="1"/>
  <c r="A1175" i="1" s="1"/>
  <c r="X1175" i="1" s="1"/>
  <c r="A1176" i="1" s="1"/>
  <c r="X1176" i="1" s="1"/>
  <c r="A1177" i="1" s="1"/>
  <c r="X1177" i="1" s="1"/>
  <c r="A1178" i="1" s="1"/>
  <c r="X1178" i="1" s="1"/>
  <c r="A1179" i="1" s="1"/>
  <c r="X1179" i="1" s="1"/>
  <c r="A1180" i="1" s="1"/>
  <c r="X1180" i="1" s="1"/>
  <c r="A1181" i="1" s="1"/>
  <c r="X1181" i="1" s="1"/>
  <c r="A1182" i="1" s="1"/>
  <c r="X1182" i="1" s="1"/>
  <c r="A1183" i="1" s="1"/>
  <c r="X1183" i="1" s="1"/>
  <c r="A1184" i="1" s="1"/>
  <c r="X1184" i="1" s="1"/>
  <c r="A1185" i="1" s="1"/>
  <c r="X1185" i="1" s="1"/>
  <c r="A1186" i="1" s="1"/>
  <c r="X1186" i="1" s="1"/>
  <c r="A1187" i="1" s="1"/>
  <c r="X1187" i="1" s="1"/>
  <c r="A1188" i="1" s="1"/>
  <c r="X1188" i="1" s="1"/>
  <c r="A1189" i="1" s="1"/>
  <c r="X1189" i="1" s="1"/>
  <c r="A1190" i="1" s="1"/>
  <c r="X1190" i="1" s="1"/>
  <c r="A1191" i="1" s="1"/>
  <c r="X1191" i="1" s="1"/>
  <c r="A1192" i="1" s="1"/>
  <c r="X1192" i="1" s="1"/>
  <c r="A1193" i="1" s="1"/>
  <c r="X1193" i="1" s="1"/>
  <c r="A1194" i="1" s="1"/>
  <c r="X1194" i="1" s="1"/>
  <c r="A1195" i="1" s="1"/>
  <c r="X1195" i="1" s="1"/>
  <c r="A1196" i="1" s="1"/>
  <c r="X1196" i="1" s="1"/>
  <c r="A1197" i="1" s="1"/>
  <c r="X1197" i="1" s="1"/>
  <c r="A1198" i="1" s="1"/>
  <c r="X1198" i="1" s="1"/>
  <c r="A1199" i="1" s="1"/>
  <c r="X1199" i="1" s="1"/>
  <c r="A1200" i="1" s="1"/>
  <c r="X1200" i="1" s="1"/>
  <c r="A1201" i="1" s="1"/>
  <c r="X1201" i="1" s="1"/>
  <c r="A1202" i="1" s="1"/>
  <c r="X1202" i="1" s="1"/>
  <c r="A1203" i="1" s="1"/>
  <c r="X1203" i="1" s="1"/>
  <c r="A1204" i="1" s="1"/>
  <c r="X1204" i="1" s="1"/>
  <c r="A1205" i="1" s="1"/>
  <c r="X1205" i="1" s="1"/>
  <c r="A1206" i="1" s="1"/>
  <c r="X1206" i="1" s="1"/>
  <c r="A1207" i="1" s="1"/>
  <c r="X1207" i="1" s="1"/>
  <c r="A1208" i="1" s="1"/>
  <c r="X1208" i="1" s="1"/>
  <c r="A1209" i="1" s="1"/>
  <c r="X1209" i="1" s="1"/>
  <c r="A1210" i="1" s="1"/>
  <c r="X1210" i="1" s="1"/>
  <c r="A1211" i="1" s="1"/>
  <c r="X1211" i="1" s="1"/>
  <c r="A1212" i="1" s="1"/>
  <c r="X1212" i="1" s="1"/>
  <c r="A1213" i="1" s="1"/>
  <c r="X1213" i="1" s="1"/>
  <c r="A1214" i="1" s="1"/>
  <c r="X1214" i="1" s="1"/>
  <c r="A1215" i="1" s="1"/>
  <c r="X1215" i="1" s="1"/>
  <c r="A1216" i="1" s="1"/>
  <c r="X1216" i="1" s="1"/>
  <c r="A1217" i="1" s="1"/>
  <c r="X1217" i="1" s="1"/>
  <c r="A1218" i="1" s="1"/>
  <c r="X1218" i="1" s="1"/>
  <c r="A1219" i="1" s="1"/>
  <c r="X1219" i="1" s="1"/>
  <c r="A1220" i="1" s="1"/>
  <c r="X1220" i="1" s="1"/>
  <c r="A1221" i="1" s="1"/>
  <c r="X1221" i="1" s="1"/>
  <c r="A1222" i="1" s="1"/>
  <c r="X1222" i="1" s="1"/>
  <c r="A1223" i="1" s="1"/>
  <c r="X1223" i="1" s="1"/>
  <c r="A1224" i="1" s="1"/>
  <c r="X1224" i="1" s="1"/>
  <c r="A1225" i="1" s="1"/>
  <c r="X1225" i="1" s="1"/>
  <c r="A1226" i="1" s="1"/>
  <c r="X1226" i="1" s="1"/>
  <c r="A1227" i="1" s="1"/>
  <c r="X1227" i="1" s="1"/>
  <c r="A1228" i="1" s="1"/>
  <c r="X1228" i="1" s="1"/>
  <c r="A1229" i="1" s="1"/>
  <c r="X1229" i="1" s="1"/>
  <c r="A1230" i="1" s="1"/>
  <c r="X1230" i="1" s="1"/>
  <c r="A1231" i="1" s="1"/>
  <c r="X1231" i="1" s="1"/>
  <c r="A1232" i="1" s="1"/>
  <c r="X1232" i="1" s="1"/>
  <c r="A1233" i="1" s="1"/>
  <c r="X1233" i="1" s="1"/>
  <c r="A1234" i="1" s="1"/>
  <c r="X1234" i="1" s="1"/>
  <c r="A1235" i="1" s="1"/>
  <c r="X1235" i="1" s="1"/>
  <c r="A1236" i="1" s="1"/>
  <c r="X1236" i="1" s="1"/>
  <c r="A1237" i="1" s="1"/>
  <c r="X1237" i="1" s="1"/>
  <c r="A1238" i="1" s="1"/>
  <c r="X1238" i="1" s="1"/>
  <c r="A1239" i="1" s="1"/>
  <c r="X1239" i="1" s="1"/>
  <c r="A1240" i="1" s="1"/>
  <c r="X1240" i="1" s="1"/>
  <c r="A1241" i="1" s="1"/>
  <c r="X1241" i="1" s="1"/>
  <c r="A1242" i="1" s="1"/>
  <c r="X1242" i="1" s="1"/>
  <c r="A1243" i="1" s="1"/>
  <c r="X1243" i="1" s="1"/>
  <c r="A1244" i="1" s="1"/>
  <c r="X1244" i="1" s="1"/>
  <c r="A1245" i="1" s="1"/>
  <c r="X1245" i="1" s="1"/>
  <c r="A1246" i="1" s="1"/>
  <c r="X1246" i="1" s="1"/>
  <c r="A1247" i="1" s="1"/>
  <c r="X1247" i="1" s="1"/>
  <c r="A1248" i="1" s="1"/>
  <c r="X1248" i="1" s="1"/>
  <c r="A1249" i="1" s="1"/>
  <c r="X1249" i="1" s="1"/>
  <c r="A1250" i="1" s="1"/>
  <c r="X1250" i="1" s="1"/>
  <c r="A1251" i="1" s="1"/>
  <c r="X1251" i="1" s="1"/>
  <c r="A1252" i="1" s="1"/>
  <c r="X1252" i="1" s="1"/>
  <c r="A1253" i="1" s="1"/>
  <c r="X1253" i="1" s="1"/>
  <c r="A1254" i="1" s="1"/>
  <c r="X1254" i="1" s="1"/>
  <c r="A1255" i="1" s="1"/>
  <c r="X1255" i="1" s="1"/>
  <c r="A1256" i="1" s="1"/>
  <c r="X1256" i="1" s="1"/>
  <c r="A1257" i="1" s="1"/>
  <c r="X1257" i="1" s="1"/>
  <c r="A1258" i="1" s="1"/>
  <c r="X1258" i="1" s="1"/>
  <c r="A1259" i="1" s="1"/>
  <c r="X1259" i="1" s="1"/>
  <c r="A1260" i="1" s="1"/>
  <c r="X1260" i="1" s="1"/>
  <c r="A1261" i="1" s="1"/>
  <c r="X1261" i="1" s="1"/>
  <c r="A1262" i="1" s="1"/>
  <c r="X1262" i="1" s="1"/>
  <c r="A1263" i="1" s="1"/>
  <c r="X1263" i="1" s="1"/>
  <c r="A1264" i="1" s="1"/>
  <c r="X1264" i="1" s="1"/>
  <c r="A1265" i="1" s="1"/>
  <c r="X1265" i="1" s="1"/>
  <c r="A1266" i="1" s="1"/>
  <c r="X1266" i="1" s="1"/>
  <c r="A1267" i="1" s="1"/>
  <c r="X1267" i="1" s="1"/>
  <c r="A1268" i="1" s="1"/>
  <c r="X1268" i="1" s="1"/>
  <c r="A1269" i="1" s="1"/>
  <c r="X1269" i="1" s="1"/>
  <c r="A1270" i="1" s="1"/>
  <c r="X1270" i="1" s="1"/>
  <c r="A1271" i="1" s="1"/>
  <c r="X1271" i="1" s="1"/>
  <c r="A1272" i="1" s="1"/>
  <c r="X1272" i="1" s="1"/>
  <c r="A1273" i="1" s="1"/>
  <c r="X1273" i="1" s="1"/>
  <c r="A1274" i="1" s="1"/>
  <c r="X1274" i="1" s="1"/>
  <c r="A1275" i="1" s="1"/>
  <c r="X1275" i="1" s="1"/>
  <c r="A1276" i="1" s="1"/>
  <c r="X1276" i="1" s="1"/>
  <c r="A1277" i="1" s="1"/>
  <c r="X1277" i="1" s="1"/>
  <c r="A1278" i="1" s="1"/>
  <c r="X1278" i="1" s="1"/>
  <c r="A1279" i="1" s="1"/>
  <c r="X1279" i="1" s="1"/>
  <c r="A1280" i="1" s="1"/>
  <c r="X1280" i="1" s="1"/>
  <c r="A1281" i="1" s="1"/>
  <c r="X1281" i="1" s="1"/>
  <c r="A1282" i="1" s="1"/>
  <c r="X1282" i="1" s="1"/>
  <c r="A1283" i="1" s="1"/>
  <c r="X1283" i="1" s="1"/>
  <c r="A1284" i="1" s="1"/>
  <c r="X1284" i="1" s="1"/>
  <c r="A1285" i="1" s="1"/>
  <c r="X1285" i="1" s="1"/>
  <c r="A1286" i="1" s="1"/>
  <c r="X1286" i="1" s="1"/>
  <c r="A1287" i="1" s="1"/>
  <c r="X1287" i="1" s="1"/>
  <c r="A1288" i="1" s="1"/>
  <c r="X1288" i="1" s="1"/>
  <c r="A1289" i="1" s="1"/>
  <c r="X1289" i="1" s="1"/>
  <c r="A1290" i="1" s="1"/>
  <c r="X1290" i="1" s="1"/>
  <c r="A1291" i="1" s="1"/>
  <c r="X1291" i="1" s="1"/>
  <c r="A1292" i="1" s="1"/>
  <c r="X1292" i="1" s="1"/>
  <c r="A1293" i="1" s="1"/>
  <c r="X1293" i="1" s="1"/>
  <c r="A1294" i="1" s="1"/>
  <c r="X1294" i="1" s="1"/>
  <c r="A1295" i="1" s="1"/>
  <c r="X1295" i="1" s="1"/>
  <c r="A1296" i="1" s="1"/>
  <c r="X1296" i="1" s="1"/>
  <c r="A1297" i="1" s="1"/>
  <c r="X1297" i="1" s="1"/>
  <c r="A1298" i="1" s="1"/>
  <c r="X1298" i="1" s="1"/>
  <c r="A1299" i="1" s="1"/>
  <c r="X1299" i="1" s="1"/>
  <c r="A1300" i="1" s="1"/>
  <c r="X1300" i="1" s="1"/>
  <c r="A1301" i="1" s="1"/>
  <c r="X1301" i="1" s="1"/>
  <c r="A1302" i="1" s="1"/>
  <c r="X1302" i="1" s="1"/>
  <c r="A1303" i="1" s="1"/>
  <c r="X1303" i="1" s="1"/>
  <c r="A1304" i="1" s="1"/>
  <c r="X1304" i="1" s="1"/>
  <c r="A1305" i="1" s="1"/>
  <c r="X1305" i="1" s="1"/>
  <c r="A1306" i="1" s="1"/>
  <c r="X1306" i="1" s="1"/>
  <c r="A1307" i="1" s="1"/>
  <c r="X1307" i="1" s="1"/>
  <c r="A1308" i="1" s="1"/>
  <c r="X1308" i="1" s="1"/>
  <c r="A1309" i="1" s="1"/>
  <c r="X1309" i="1" s="1"/>
  <c r="A1310" i="1" s="1"/>
  <c r="X1310" i="1" s="1"/>
  <c r="A1311" i="1" s="1"/>
  <c r="X1311" i="1" s="1"/>
  <c r="A1312" i="1" s="1"/>
  <c r="X1312" i="1" s="1"/>
  <c r="A1313" i="1" s="1"/>
  <c r="X1313" i="1" s="1"/>
  <c r="A1314" i="1" s="1"/>
  <c r="X1314" i="1" s="1"/>
  <c r="A1315" i="1" s="1"/>
  <c r="X1315" i="1" s="1"/>
  <c r="A1316" i="1" s="1"/>
  <c r="X1316" i="1" s="1"/>
  <c r="A1317" i="1" s="1"/>
  <c r="X1317" i="1" s="1"/>
  <c r="A1318" i="1" s="1"/>
  <c r="X1318" i="1" s="1"/>
  <c r="A1319" i="1" s="1"/>
  <c r="X1319" i="1" s="1"/>
  <c r="A1320" i="1" s="1"/>
  <c r="X1320" i="1" s="1"/>
  <c r="A1321" i="1" s="1"/>
  <c r="X1321" i="1" s="1"/>
  <c r="A1322" i="1" s="1"/>
  <c r="X1322" i="1" s="1"/>
  <c r="A1323" i="1" s="1"/>
  <c r="X1323" i="1" s="1"/>
  <c r="A1324" i="1" s="1"/>
  <c r="X1324" i="1" s="1"/>
  <c r="A1325" i="1" s="1"/>
  <c r="X1325" i="1" s="1"/>
  <c r="A1326" i="1" s="1"/>
  <c r="X1326" i="1" s="1"/>
  <c r="A1327" i="1" s="1"/>
  <c r="X1327" i="1" s="1"/>
  <c r="A1328" i="1" s="1"/>
  <c r="X1328" i="1" s="1"/>
  <c r="A1329" i="1" s="1"/>
  <c r="X1329" i="1" s="1"/>
  <c r="A1330" i="1" s="1"/>
  <c r="X1330" i="1" s="1"/>
  <c r="A1331" i="1" s="1"/>
  <c r="X1331" i="1" s="1"/>
  <c r="A1332" i="1" s="1"/>
  <c r="X1332" i="1" s="1"/>
  <c r="A1333" i="1" s="1"/>
  <c r="X1333" i="1" s="1"/>
  <c r="A1334" i="1" s="1"/>
  <c r="X1334" i="1" s="1"/>
  <c r="A1335" i="1" s="1"/>
  <c r="X1335" i="1" s="1"/>
  <c r="A1336" i="1" s="1"/>
  <c r="X1336" i="1" s="1"/>
  <c r="A1337" i="1" s="1"/>
  <c r="X1337" i="1" s="1"/>
  <c r="A1338" i="1" s="1"/>
  <c r="X1338" i="1" s="1"/>
  <c r="A1339" i="1" s="1"/>
  <c r="X1339" i="1" s="1"/>
  <c r="A1340" i="1" s="1"/>
  <c r="X1340" i="1" s="1"/>
  <c r="A1341" i="1" s="1"/>
  <c r="X1341" i="1" s="1"/>
  <c r="A1342" i="1" s="1"/>
  <c r="X1342" i="1" s="1"/>
  <c r="A1343" i="1" s="1"/>
  <c r="X1343" i="1" s="1"/>
  <c r="A1344" i="1" s="1"/>
  <c r="X1344" i="1" s="1"/>
  <c r="A1345" i="1" s="1"/>
  <c r="X1345" i="1" s="1"/>
  <c r="A1346" i="1" s="1"/>
  <c r="X1346" i="1" s="1"/>
  <c r="A1347" i="1" s="1"/>
  <c r="X1347" i="1" s="1"/>
  <c r="A1348" i="1" s="1"/>
  <c r="X1348" i="1" s="1"/>
  <c r="A1349" i="1" s="1"/>
  <c r="X1349" i="1" s="1"/>
  <c r="A1350" i="1" s="1"/>
  <c r="X1350" i="1" s="1"/>
  <c r="A1351" i="1" s="1"/>
  <c r="X1351" i="1" s="1"/>
  <c r="A1352" i="1" s="1"/>
  <c r="X1352" i="1" s="1"/>
  <c r="A1353" i="1" s="1"/>
  <c r="X1353" i="1" s="1"/>
  <c r="A1354" i="1" s="1"/>
  <c r="X1354" i="1" s="1"/>
  <c r="A1355" i="1" s="1"/>
  <c r="X1355" i="1" s="1"/>
  <c r="A1356" i="1" s="1"/>
  <c r="U1168" i="1"/>
  <c r="S1168" i="1"/>
  <c r="U1164" i="1"/>
  <c r="V1164" i="1" s="1"/>
  <c r="S1164" i="1"/>
  <c r="S1163" i="1"/>
  <c r="U1163" i="1"/>
  <c r="V1163" i="1" s="1"/>
  <c r="S1162" i="1"/>
  <c r="U1162" i="1"/>
  <c r="V1162" i="1" s="1"/>
  <c r="S1161" i="1"/>
  <c r="U1161" i="1"/>
  <c r="V1161" i="1" s="1"/>
  <c r="U1160" i="1"/>
  <c r="V1160" i="1" s="1"/>
  <c r="S1160" i="1"/>
  <c r="U1159" i="1"/>
  <c r="V1159" i="1" s="1"/>
  <c r="S1159" i="1"/>
  <c r="U1158" i="1"/>
  <c r="V1158" i="1" s="1"/>
  <c r="S1158" i="1"/>
  <c r="U1157" i="1"/>
  <c r="V1157" i="1" s="1"/>
  <c r="S1157" i="1"/>
  <c r="U1156" i="1"/>
  <c r="V1156" i="1" s="1"/>
  <c r="S1156" i="1"/>
  <c r="U1155" i="1"/>
  <c r="V1155" i="1" s="1"/>
  <c r="S1155" i="1"/>
  <c r="U1154" i="1"/>
  <c r="V1154" i="1" s="1"/>
  <c r="S1154" i="1"/>
  <c r="S1153" i="1"/>
  <c r="U1153" i="1"/>
  <c r="V1153" i="1" s="1"/>
  <c r="U1152" i="1"/>
  <c r="V1152" i="1" s="1"/>
  <c r="S1152" i="1"/>
  <c r="S1151" i="1"/>
  <c r="U1151" i="1"/>
  <c r="V1151" i="1" s="1"/>
  <c r="S1150" i="1"/>
  <c r="U1150" i="1"/>
  <c r="V1150" i="1" s="1"/>
  <c r="S1149" i="1"/>
  <c r="U1149" i="1"/>
  <c r="V1149" i="1" s="1"/>
  <c r="U1148" i="1"/>
  <c r="V1148" i="1" s="1"/>
  <c r="S1148" i="1"/>
  <c r="U1147" i="1"/>
  <c r="V1147" i="1" s="1"/>
  <c r="S1147" i="1"/>
  <c r="U1145" i="1"/>
  <c r="V1145" i="1" s="1"/>
  <c r="S1145" i="1"/>
  <c r="U1144" i="1"/>
  <c r="V1144" i="1" s="1"/>
  <c r="S1144" i="1"/>
  <c r="U1143" i="1"/>
  <c r="V1143" i="1" s="1"/>
  <c r="S1143" i="1"/>
  <c r="U1142" i="1"/>
  <c r="V1142" i="1" s="1"/>
  <c r="S1142" i="1"/>
  <c r="U1141" i="1"/>
  <c r="S1141" i="1"/>
  <c r="V1141" i="1"/>
  <c r="S1140" i="1"/>
  <c r="V1140" i="1"/>
  <c r="U1140" i="1"/>
  <c r="S1139" i="1"/>
  <c r="V1139" i="1"/>
  <c r="U1139" i="1"/>
  <c r="U1138" i="1"/>
  <c r="V1138" i="1"/>
  <c r="S1138" i="1"/>
  <c r="U1137" i="1"/>
  <c r="S1137" i="1"/>
  <c r="V1137" i="1"/>
  <c r="S1136" i="1"/>
  <c r="V1136" i="1"/>
  <c r="U1136" i="1"/>
  <c r="U1135" i="1"/>
  <c r="S1135" i="1"/>
  <c r="V1135" i="1"/>
  <c r="S1134" i="1"/>
  <c r="U1134" i="1"/>
  <c r="V1134" i="1"/>
  <c r="S1133" i="1"/>
  <c r="V1133" i="1"/>
  <c r="U1133" i="1"/>
  <c r="V1132" i="1"/>
  <c r="U1132" i="1"/>
  <c r="S1132" i="1"/>
  <c r="U1131" i="1"/>
  <c r="S1131" i="1"/>
  <c r="V1131" i="1"/>
  <c r="U1130" i="1"/>
  <c r="V1130" i="1"/>
  <c r="S1130" i="1"/>
  <c r="V1129" i="1"/>
  <c r="U1129" i="1"/>
  <c r="S1129" i="1"/>
  <c r="U1128" i="1"/>
  <c r="V1128" i="1"/>
  <c r="S1128" i="1"/>
  <c r="U1127" i="1"/>
  <c r="V1127" i="1"/>
  <c r="S1127" i="1"/>
  <c r="U1126" i="1"/>
  <c r="S1126" i="1"/>
  <c r="V1126" i="1"/>
  <c r="S1125" i="1"/>
  <c r="V1125" i="1"/>
  <c r="U1125" i="1"/>
  <c r="U1124" i="1"/>
  <c r="S1124" i="1"/>
  <c r="V1124" i="1"/>
  <c r="V1123" i="1"/>
  <c r="S1123" i="1"/>
  <c r="U1123" i="1"/>
  <c r="U1122" i="1"/>
  <c r="V1122" i="1"/>
  <c r="S1122" i="1"/>
  <c r="S1121" i="1"/>
  <c r="U1121" i="1"/>
  <c r="V1121" i="1"/>
  <c r="U1120" i="1"/>
  <c r="S1120" i="1"/>
  <c r="V1120" i="1"/>
  <c r="V1119" i="1"/>
  <c r="U1119" i="1"/>
  <c r="S1119" i="1"/>
  <c r="S1118" i="1"/>
  <c r="U1118" i="1"/>
  <c r="V1118" i="1"/>
  <c r="U1117" i="1"/>
  <c r="S1117" i="1"/>
  <c r="V1117" i="1"/>
  <c r="V1116" i="1"/>
  <c r="S1116" i="1"/>
  <c r="U1116" i="1"/>
  <c r="V1115" i="1"/>
  <c r="S1115" i="1"/>
  <c r="U1115" i="1"/>
  <c r="V1114" i="1"/>
  <c r="S1114" i="1"/>
  <c r="U1114" i="1"/>
  <c r="S1113" i="1"/>
  <c r="U1113" i="1"/>
  <c r="V1113" i="1"/>
  <c r="V1112" i="1"/>
  <c r="S1112" i="1"/>
  <c r="U1112" i="1"/>
  <c r="S1111" i="1"/>
  <c r="U1111" i="1"/>
  <c r="V1111" i="1"/>
  <c r="U1110" i="1"/>
  <c r="V1110" i="1"/>
  <c r="S1110" i="1"/>
  <c r="U1109" i="1"/>
  <c r="S1109" i="1"/>
  <c r="V1109" i="1"/>
  <c r="V1108" i="1"/>
  <c r="S1108" i="1"/>
  <c r="U1108" i="1"/>
  <c r="U1107" i="1"/>
  <c r="V1107" i="1"/>
  <c r="S1107" i="1"/>
  <c r="U1106" i="1"/>
  <c r="V1106" i="1"/>
  <c r="S1106" i="1"/>
  <c r="S1105" i="1"/>
  <c r="U1105" i="1"/>
  <c r="V1105" i="1"/>
  <c r="S1104" i="1"/>
  <c r="V1104" i="1"/>
  <c r="U1104" i="1"/>
  <c r="S1103" i="1"/>
  <c r="V1103" i="1"/>
  <c r="U1103" i="1"/>
  <c r="V1102" i="1"/>
  <c r="U1102" i="1"/>
  <c r="S1102" i="1"/>
  <c r="V1101" i="1"/>
  <c r="U1101" i="1"/>
  <c r="S1101" i="1"/>
  <c r="V1100" i="1"/>
  <c r="U1100" i="1"/>
  <c r="S1100" i="1"/>
  <c r="U1099" i="1"/>
  <c r="V1099" i="1"/>
  <c r="S1099" i="1"/>
  <c r="V1098" i="1"/>
  <c r="U1098" i="1"/>
  <c r="S1098" i="1"/>
  <c r="S1097" i="1"/>
  <c r="V1097" i="1"/>
  <c r="U1097" i="1"/>
  <c r="S1096" i="1"/>
  <c r="V1096" i="1"/>
  <c r="U1096" i="1"/>
  <c r="V1095" i="1"/>
  <c r="S1095" i="1"/>
  <c r="U1095" i="1"/>
  <c r="V1094" i="1"/>
  <c r="U1094" i="1"/>
  <c r="S1094" i="1"/>
  <c r="U1093" i="1"/>
  <c r="S1093" i="1"/>
  <c r="V1093" i="1"/>
  <c r="U1092" i="1"/>
  <c r="S1092" i="1"/>
  <c r="V1092" i="1"/>
  <c r="S1091" i="1"/>
  <c r="V1091" i="1"/>
  <c r="U1091" i="1"/>
  <c r="U1090" i="1"/>
  <c r="S1090" i="1"/>
  <c r="V1090" i="1"/>
  <c r="U1089" i="1"/>
  <c r="V1089" i="1"/>
  <c r="S1089" i="1"/>
  <c r="U1088" i="1"/>
  <c r="S1088" i="1"/>
  <c r="V1088" i="1"/>
  <c r="V1087" i="1"/>
  <c r="S1087" i="1"/>
  <c r="U1087" i="1"/>
  <c r="S1086" i="1"/>
  <c r="V1086" i="1"/>
  <c r="U1086" i="1"/>
  <c r="V1085" i="1"/>
  <c r="S1085" i="1"/>
  <c r="U1085" i="1"/>
  <c r="S1084" i="1"/>
  <c r="U1084" i="1"/>
  <c r="V1084" i="1"/>
  <c r="U1083" i="1"/>
  <c r="V1083" i="1"/>
  <c r="S1083" i="1"/>
  <c r="V1082" i="1"/>
  <c r="S1082" i="1"/>
  <c r="U1082" i="1"/>
  <c r="V1081" i="1"/>
  <c r="U1081" i="1"/>
  <c r="S1081" i="1"/>
  <c r="U1080" i="1"/>
  <c r="S1080" i="1"/>
  <c r="V1080" i="1"/>
  <c r="U1079" i="1"/>
  <c r="V1079" i="1"/>
  <c r="S1079" i="1"/>
  <c r="V1078" i="1"/>
  <c r="U1078" i="1"/>
  <c r="S1078" i="1"/>
  <c r="S1077" i="1"/>
  <c r="V1077" i="1"/>
  <c r="U1077" i="1"/>
  <c r="V1076" i="1"/>
  <c r="S1076" i="1"/>
  <c r="U1076" i="1"/>
  <c r="U1075" i="1"/>
  <c r="V1075" i="1"/>
  <c r="S1075" i="1"/>
  <c r="U1074" i="1"/>
  <c r="S1074" i="1"/>
  <c r="V1074" i="1"/>
  <c r="U1073" i="1"/>
  <c r="V1073" i="1"/>
  <c r="S1073" i="1"/>
  <c r="V1072" i="1"/>
  <c r="S1072" i="1"/>
  <c r="U1072" i="1"/>
  <c r="U1071" i="1"/>
  <c r="V1071" i="1"/>
  <c r="S1071" i="1"/>
  <c r="U1070" i="1"/>
  <c r="V1070" i="1"/>
  <c r="S1070" i="1"/>
  <c r="S1069" i="1"/>
  <c r="V1069" i="1"/>
  <c r="U1069" i="1"/>
  <c r="U1068" i="1"/>
  <c r="V1068" i="1"/>
  <c r="S1068" i="1"/>
  <c r="V1067" i="1"/>
  <c r="S1067" i="1"/>
  <c r="U1067" i="1"/>
  <c r="U1066" i="1"/>
  <c r="V1066" i="1"/>
  <c r="S1066" i="1"/>
  <c r="S1065" i="1"/>
  <c r="V1065" i="1"/>
  <c r="U1065" i="1"/>
  <c r="V1064" i="1"/>
  <c r="U1064" i="1"/>
  <c r="S1064" i="1"/>
  <c r="S1063" i="1"/>
  <c r="V1063" i="1"/>
  <c r="U1063" i="1"/>
  <c r="S1062" i="1"/>
  <c r="V1062" i="1"/>
  <c r="U1062" i="1"/>
  <c r="V1061" i="1"/>
  <c r="S1061" i="1"/>
  <c r="U1061" i="1"/>
  <c r="U1060" i="1"/>
  <c r="S1060" i="1"/>
  <c r="V1060" i="1"/>
  <c r="S1059" i="1"/>
  <c r="U1059" i="1"/>
  <c r="V1059" i="1"/>
  <c r="S1058" i="1"/>
  <c r="V1058" i="1"/>
  <c r="U1058" i="1"/>
  <c r="U1057" i="1"/>
  <c r="S1057" i="1"/>
  <c r="V1057" i="1"/>
  <c r="V1056" i="1"/>
  <c r="S1056" i="1"/>
  <c r="U1056" i="1"/>
  <c r="U1055" i="1"/>
  <c r="S1055" i="1"/>
  <c r="V1055" i="1"/>
  <c r="U1054" i="1"/>
  <c r="V1054" i="1"/>
  <c r="S1054" i="1"/>
  <c r="V1053" i="1"/>
  <c r="U1053" i="1"/>
  <c r="S1053" i="1"/>
  <c r="S1052" i="1"/>
  <c r="U1052" i="1"/>
  <c r="V1052" i="1"/>
  <c r="U1051" i="1"/>
  <c r="V1051" i="1"/>
  <c r="S1051" i="1"/>
  <c r="U1050" i="1"/>
  <c r="S1050" i="1"/>
  <c r="V1050" i="1"/>
  <c r="U1049" i="1"/>
  <c r="S1049" i="1"/>
  <c r="V1049" i="1"/>
  <c r="U1048" i="1"/>
  <c r="S1048" i="1"/>
  <c r="V1048" i="1"/>
  <c r="S1047" i="1"/>
  <c r="U1047" i="1"/>
  <c r="V1047" i="1"/>
  <c r="U1046" i="1"/>
  <c r="S1046" i="1"/>
  <c r="V1046" i="1"/>
  <c r="V1045" i="1"/>
  <c r="U1045" i="1"/>
  <c r="S1045" i="1"/>
  <c r="V1044" i="1"/>
  <c r="S1044" i="1"/>
  <c r="U1044" i="1"/>
  <c r="U1043" i="1"/>
  <c r="S1043" i="1"/>
  <c r="V1043" i="1"/>
  <c r="U1042" i="1"/>
  <c r="S1042" i="1"/>
  <c r="V1042" i="1"/>
  <c r="S1041" i="1"/>
  <c r="V1041" i="1"/>
  <c r="U1041" i="1"/>
  <c r="U1040" i="1"/>
  <c r="S1040" i="1"/>
  <c r="V1040" i="1"/>
  <c r="V1039" i="1"/>
  <c r="U1039" i="1"/>
  <c r="S1039" i="1"/>
  <c r="V1038" i="1"/>
  <c r="U1038" i="1"/>
  <c r="S1038" i="1"/>
  <c r="U1037" i="1"/>
  <c r="S1037" i="1"/>
  <c r="V1037" i="1"/>
  <c r="V1036" i="1"/>
  <c r="U1036" i="1"/>
  <c r="S1036" i="1"/>
  <c r="S1035" i="1"/>
  <c r="U1035" i="1"/>
  <c r="V1035" i="1"/>
  <c r="V1034" i="1"/>
  <c r="S1034" i="1"/>
  <c r="U1034" i="1"/>
  <c r="V1033" i="1"/>
  <c r="U1033" i="1"/>
  <c r="S1033" i="1"/>
  <c r="V1032" i="1"/>
  <c r="S1032" i="1"/>
  <c r="U1032" i="1"/>
  <c r="U1031" i="1"/>
  <c r="S1031" i="1"/>
  <c r="V1031" i="1"/>
  <c r="U1030" i="1"/>
  <c r="S1030" i="1"/>
  <c r="V1030" i="1"/>
  <c r="V1029" i="1"/>
  <c r="S1029" i="1"/>
  <c r="U1029" i="1"/>
  <c r="U1028" i="1"/>
  <c r="S1028" i="1"/>
  <c r="V1028" i="1"/>
  <c r="V1027" i="1"/>
  <c r="S1027" i="1"/>
  <c r="U1027" i="1"/>
  <c r="U1026" i="1"/>
  <c r="S1026" i="1"/>
  <c r="V1026" i="1"/>
  <c r="U1025" i="1"/>
  <c r="S1025" i="1"/>
  <c r="V1025" i="1"/>
  <c r="S1024" i="1"/>
  <c r="V1024" i="1"/>
  <c r="U1024" i="1"/>
  <c r="S1023" i="1"/>
  <c r="V1023" i="1"/>
  <c r="U1023" i="1"/>
  <c r="V1022" i="1"/>
  <c r="U1022" i="1"/>
  <c r="S1022" i="1"/>
  <c r="S1021" i="1"/>
  <c r="U1021" i="1"/>
  <c r="V1021" i="1"/>
  <c r="S1020" i="1"/>
  <c r="U1020" i="1"/>
  <c r="V1020" i="1"/>
  <c r="V1019" i="1"/>
  <c r="S1019" i="1"/>
  <c r="U1019" i="1"/>
  <c r="V1018" i="1"/>
  <c r="U1018" i="1"/>
  <c r="S1018" i="1"/>
  <c r="U1017" i="1"/>
  <c r="V1017" i="1"/>
  <c r="S1017" i="1"/>
  <c r="U1016" i="1"/>
  <c r="V1016" i="1"/>
  <c r="S1016" i="1"/>
  <c r="V1015" i="1"/>
  <c r="U1015" i="1"/>
  <c r="S1015" i="1"/>
  <c r="U1014" i="1"/>
  <c r="S1014" i="1"/>
  <c r="V1014" i="1"/>
  <c r="S1013" i="1"/>
  <c r="U1013" i="1"/>
  <c r="V1013" i="1"/>
  <c r="U1012" i="1"/>
  <c r="V1012" i="1"/>
  <c r="S1012" i="1"/>
  <c r="U1011" i="1"/>
  <c r="V1011" i="1"/>
  <c r="S1011" i="1"/>
  <c r="S1010" i="1"/>
  <c r="U1010" i="1"/>
  <c r="V1010" i="1"/>
  <c r="S1009" i="1"/>
  <c r="V1009" i="1"/>
  <c r="U1009" i="1"/>
  <c r="V1008" i="1"/>
  <c r="S1008" i="1"/>
  <c r="U1008" i="1"/>
  <c r="V1007" i="1"/>
  <c r="S1007" i="1"/>
  <c r="U1007" i="1"/>
  <c r="U1006" i="1"/>
  <c r="V1006" i="1"/>
  <c r="S1006" i="1"/>
  <c r="S1005" i="1"/>
  <c r="V1005" i="1"/>
  <c r="U1005" i="1"/>
  <c r="V1004" i="1"/>
  <c r="U1004" i="1"/>
  <c r="S1004" i="1"/>
  <c r="V1003" i="1"/>
  <c r="U1003" i="1"/>
  <c r="S1003" i="1"/>
  <c r="V1002" i="1"/>
  <c r="S1002" i="1"/>
  <c r="U1002" i="1"/>
  <c r="V1001" i="1"/>
  <c r="U1001" i="1"/>
  <c r="S1001" i="1"/>
  <c r="U1000" i="1"/>
  <c r="S1000" i="1"/>
  <c r="V1000" i="1"/>
  <c r="V999" i="1"/>
  <c r="S999" i="1"/>
  <c r="U999" i="1"/>
  <c r="V998" i="1"/>
  <c r="S998" i="1"/>
  <c r="U998" i="1"/>
  <c r="V997" i="1"/>
  <c r="S997" i="1"/>
  <c r="U997" i="1"/>
  <c r="U996" i="1"/>
  <c r="V996" i="1"/>
  <c r="S996" i="1"/>
  <c r="S995" i="1"/>
  <c r="V995" i="1"/>
  <c r="U995" i="1"/>
  <c r="V994" i="1"/>
  <c r="S994" i="1"/>
  <c r="U994" i="1"/>
  <c r="U993" i="1"/>
  <c r="S993" i="1"/>
  <c r="V993" i="1"/>
  <c r="V992" i="1"/>
  <c r="S992" i="1"/>
  <c r="U992" i="1"/>
  <c r="S991" i="1"/>
  <c r="U991" i="1"/>
  <c r="V991" i="1"/>
  <c r="U990" i="1"/>
  <c r="V990" i="1"/>
  <c r="S990" i="1"/>
  <c r="S989" i="1"/>
  <c r="V989" i="1"/>
  <c r="U989" i="1"/>
  <c r="S988" i="1"/>
  <c r="U988" i="1"/>
  <c r="V988" i="1"/>
  <c r="U987" i="1"/>
  <c r="S987" i="1"/>
  <c r="V987" i="1"/>
  <c r="U986" i="1"/>
  <c r="S986" i="1"/>
  <c r="V986" i="1"/>
  <c r="U985" i="1"/>
  <c r="V985" i="1"/>
  <c r="V984" i="1"/>
  <c r="U984" i="1"/>
  <c r="S984" i="1"/>
  <c r="U983" i="1"/>
  <c r="S983" i="1"/>
  <c r="V983" i="1"/>
  <c r="U982" i="1"/>
  <c r="S982" i="1"/>
  <c r="V982" i="1"/>
  <c r="U981" i="1"/>
  <c r="V981" i="1"/>
  <c r="S981" i="1"/>
  <c r="U980" i="1"/>
  <c r="V980" i="1"/>
  <c r="S980" i="1"/>
  <c r="V979" i="1"/>
  <c r="S979" i="1"/>
  <c r="U979" i="1"/>
  <c r="V978" i="1"/>
  <c r="S978" i="1"/>
  <c r="U978" i="1"/>
  <c r="V977" i="1"/>
  <c r="U977" i="1"/>
  <c r="S977" i="1"/>
  <c r="S976" i="1"/>
  <c r="U976" i="1"/>
  <c r="V976" i="1"/>
  <c r="V974" i="1"/>
  <c r="S974" i="1"/>
  <c r="U974" i="1"/>
  <c r="S973" i="1"/>
  <c r="V973" i="1"/>
  <c r="U973" i="1"/>
  <c r="V972" i="1"/>
  <c r="X972" i="1" s="1"/>
  <c r="A973" i="1" s="1"/>
  <c r="X973" i="1" s="1"/>
  <c r="A974" i="1" s="1"/>
  <c r="X974" i="1" s="1"/>
  <c r="A975" i="1" s="1"/>
  <c r="X975" i="1" s="1"/>
  <c r="A976" i="1" s="1"/>
  <c r="X976" i="1" s="1"/>
  <c r="A977" i="1" s="1"/>
  <c r="X977" i="1" s="1"/>
  <c r="A978" i="1" s="1"/>
  <c r="X978" i="1" s="1"/>
  <c r="A979" i="1" s="1"/>
  <c r="X979" i="1" s="1"/>
  <c r="A980" i="1" s="1"/>
  <c r="X980" i="1" s="1"/>
  <c r="A981" i="1" s="1"/>
  <c r="X981" i="1" s="1"/>
  <c r="A982" i="1" s="1"/>
  <c r="X982" i="1" s="1"/>
  <c r="A983" i="1" s="1"/>
  <c r="X983" i="1" s="1"/>
  <c r="A984" i="1" s="1"/>
  <c r="X984" i="1" s="1"/>
  <c r="A985" i="1" s="1"/>
  <c r="X985" i="1" s="1"/>
  <c r="A986" i="1" s="1"/>
  <c r="X986" i="1" s="1"/>
  <c r="A987" i="1" s="1"/>
  <c r="X987" i="1" s="1"/>
  <c r="A988" i="1" s="1"/>
  <c r="X988" i="1" s="1"/>
  <c r="A989" i="1" s="1"/>
  <c r="X989" i="1" s="1"/>
  <c r="A990" i="1" s="1"/>
  <c r="X990" i="1" s="1"/>
  <c r="A991" i="1" s="1"/>
  <c r="X991" i="1" s="1"/>
  <c r="A992" i="1" s="1"/>
  <c r="X992" i="1" s="1"/>
  <c r="A993" i="1" s="1"/>
  <c r="X993" i="1" s="1"/>
  <c r="A994" i="1" s="1"/>
  <c r="X994" i="1" s="1"/>
  <c r="A995" i="1" s="1"/>
  <c r="X995" i="1" s="1"/>
  <c r="A996" i="1" s="1"/>
  <c r="X996" i="1" s="1"/>
  <c r="A997" i="1" s="1"/>
  <c r="X997" i="1" s="1"/>
  <c r="A998" i="1" s="1"/>
  <c r="X998" i="1" s="1"/>
  <c r="A999" i="1" s="1"/>
  <c r="X999" i="1" s="1"/>
  <c r="A1000" i="1" s="1"/>
  <c r="X1000" i="1" s="1"/>
  <c r="A1001" i="1" s="1"/>
  <c r="X1001" i="1" s="1"/>
  <c r="A1002" i="1" s="1"/>
  <c r="X1002" i="1" s="1"/>
  <c r="A1003" i="1" s="1"/>
  <c r="X1003" i="1" s="1"/>
  <c r="A1004" i="1" s="1"/>
  <c r="X1004" i="1" s="1"/>
  <c r="A1005" i="1" s="1"/>
  <c r="X1005" i="1" s="1"/>
  <c r="A1006" i="1" s="1"/>
  <c r="X1006" i="1" s="1"/>
  <c r="A1007" i="1" s="1"/>
  <c r="X1007" i="1" s="1"/>
  <c r="A1008" i="1" s="1"/>
  <c r="X1008" i="1" s="1"/>
  <c r="A1009" i="1" s="1"/>
  <c r="X1009" i="1" s="1"/>
  <c r="A1010" i="1" s="1"/>
  <c r="X1010" i="1" s="1"/>
  <c r="A1011" i="1" s="1"/>
  <c r="X1011" i="1" s="1"/>
  <c r="A1012" i="1" s="1"/>
  <c r="X1012" i="1" s="1"/>
  <c r="A1013" i="1" s="1"/>
  <c r="X1013" i="1" s="1"/>
  <c r="A1014" i="1" s="1"/>
  <c r="X1014" i="1" s="1"/>
  <c r="A1015" i="1" s="1"/>
  <c r="X1015" i="1" s="1"/>
  <c r="A1016" i="1" s="1"/>
  <c r="X1016" i="1" s="1"/>
  <c r="A1017" i="1" s="1"/>
  <c r="X1017" i="1" s="1"/>
  <c r="A1018" i="1" s="1"/>
  <c r="X1018" i="1" s="1"/>
  <c r="A1019" i="1" s="1"/>
  <c r="X1019" i="1" s="1"/>
  <c r="A1020" i="1" s="1"/>
  <c r="X1020" i="1" s="1"/>
  <c r="A1021" i="1" s="1"/>
  <c r="X1021" i="1" s="1"/>
  <c r="A1022" i="1" s="1"/>
  <c r="X1022" i="1" s="1"/>
  <c r="A1023" i="1" s="1"/>
  <c r="X1023" i="1" s="1"/>
  <c r="A1024" i="1" s="1"/>
  <c r="X1024" i="1" s="1"/>
  <c r="A1025" i="1" s="1"/>
  <c r="X1025" i="1" s="1"/>
  <c r="A1026" i="1" s="1"/>
  <c r="X1026" i="1" s="1"/>
  <c r="A1027" i="1" s="1"/>
  <c r="X1027" i="1" s="1"/>
  <c r="A1028" i="1" s="1"/>
  <c r="X1028" i="1" s="1"/>
  <c r="A1029" i="1" s="1"/>
  <c r="X1029" i="1" s="1"/>
  <c r="A1030" i="1" s="1"/>
  <c r="X1030" i="1" s="1"/>
  <c r="A1031" i="1" s="1"/>
  <c r="X1031" i="1" s="1"/>
  <c r="A1032" i="1" s="1"/>
  <c r="X1032" i="1" s="1"/>
  <c r="A1033" i="1" s="1"/>
  <c r="X1033" i="1" s="1"/>
  <c r="A1034" i="1" s="1"/>
  <c r="X1034" i="1" s="1"/>
  <c r="A1035" i="1" s="1"/>
  <c r="X1035" i="1" s="1"/>
  <c r="A1036" i="1" s="1"/>
  <c r="X1036" i="1" s="1"/>
  <c r="A1037" i="1" s="1"/>
  <c r="X1037" i="1" s="1"/>
  <c r="A1038" i="1" s="1"/>
  <c r="X1038" i="1" s="1"/>
  <c r="A1039" i="1" s="1"/>
  <c r="X1039" i="1" s="1"/>
  <c r="A1040" i="1" s="1"/>
  <c r="X1040" i="1" s="1"/>
  <c r="A1041" i="1" s="1"/>
  <c r="X1041" i="1" s="1"/>
  <c r="A1042" i="1" s="1"/>
  <c r="X1042" i="1" s="1"/>
  <c r="A1043" i="1" s="1"/>
  <c r="X1043" i="1" s="1"/>
  <c r="A1044" i="1" s="1"/>
  <c r="X1044" i="1" s="1"/>
  <c r="A1045" i="1" s="1"/>
  <c r="X1045" i="1" s="1"/>
  <c r="A1046" i="1" s="1"/>
  <c r="X1046" i="1" s="1"/>
  <c r="A1047" i="1" s="1"/>
  <c r="X1047" i="1" s="1"/>
  <c r="A1048" i="1" s="1"/>
  <c r="X1048" i="1" s="1"/>
  <c r="A1049" i="1" s="1"/>
  <c r="X1049" i="1" s="1"/>
  <c r="A1050" i="1" s="1"/>
  <c r="X1050" i="1" s="1"/>
  <c r="A1051" i="1" s="1"/>
  <c r="X1051" i="1" s="1"/>
  <c r="A1052" i="1" s="1"/>
  <c r="X1052" i="1" s="1"/>
  <c r="A1053" i="1" s="1"/>
  <c r="X1053" i="1" s="1"/>
  <c r="A1054" i="1" s="1"/>
  <c r="X1054" i="1" s="1"/>
  <c r="A1055" i="1" s="1"/>
  <c r="X1055" i="1" s="1"/>
  <c r="A1056" i="1" s="1"/>
  <c r="X1056" i="1" s="1"/>
  <c r="A1057" i="1" s="1"/>
  <c r="X1057" i="1" s="1"/>
  <c r="A1058" i="1" s="1"/>
  <c r="X1058" i="1" s="1"/>
  <c r="A1059" i="1" s="1"/>
  <c r="X1059" i="1" s="1"/>
  <c r="A1060" i="1" s="1"/>
  <c r="X1060" i="1" s="1"/>
  <c r="A1061" i="1" s="1"/>
  <c r="X1061" i="1" s="1"/>
  <c r="A1062" i="1" s="1"/>
  <c r="X1062" i="1" s="1"/>
  <c r="A1063" i="1" s="1"/>
  <c r="X1063" i="1" s="1"/>
  <c r="A1064" i="1" s="1"/>
  <c r="X1064" i="1" s="1"/>
  <c r="A1065" i="1" s="1"/>
  <c r="X1065" i="1" s="1"/>
  <c r="A1066" i="1" s="1"/>
  <c r="X1066" i="1" s="1"/>
  <c r="A1067" i="1" s="1"/>
  <c r="X1067" i="1" s="1"/>
  <c r="A1068" i="1" s="1"/>
  <c r="X1068" i="1" s="1"/>
  <c r="A1069" i="1" s="1"/>
  <c r="X1069" i="1" s="1"/>
  <c r="A1070" i="1" s="1"/>
  <c r="X1070" i="1" s="1"/>
  <c r="A1071" i="1" s="1"/>
  <c r="X1071" i="1" s="1"/>
  <c r="A1072" i="1" s="1"/>
  <c r="X1072" i="1" s="1"/>
  <c r="A1073" i="1" s="1"/>
  <c r="X1073" i="1" s="1"/>
  <c r="A1074" i="1" s="1"/>
  <c r="X1074" i="1" s="1"/>
  <c r="A1075" i="1" s="1"/>
  <c r="X1075" i="1" s="1"/>
  <c r="A1076" i="1" s="1"/>
  <c r="X1076" i="1" s="1"/>
  <c r="A1077" i="1" s="1"/>
  <c r="X1077" i="1" s="1"/>
  <c r="A1078" i="1" s="1"/>
  <c r="X1078" i="1" s="1"/>
  <c r="A1079" i="1" s="1"/>
  <c r="X1079" i="1" s="1"/>
  <c r="A1080" i="1" s="1"/>
  <c r="X1080" i="1" s="1"/>
  <c r="A1081" i="1" s="1"/>
  <c r="X1081" i="1" s="1"/>
  <c r="A1082" i="1" s="1"/>
  <c r="X1082" i="1" s="1"/>
  <c r="A1083" i="1" s="1"/>
  <c r="X1083" i="1" s="1"/>
  <c r="A1084" i="1" s="1"/>
  <c r="X1084" i="1" s="1"/>
  <c r="A1085" i="1" s="1"/>
  <c r="X1085" i="1" s="1"/>
  <c r="A1086" i="1" s="1"/>
  <c r="X1086" i="1" s="1"/>
  <c r="A1087" i="1" s="1"/>
  <c r="X1087" i="1" s="1"/>
  <c r="A1088" i="1" s="1"/>
  <c r="X1088" i="1" s="1"/>
  <c r="A1089" i="1" s="1"/>
  <c r="X1089" i="1" s="1"/>
  <c r="A1090" i="1" s="1"/>
  <c r="X1090" i="1" s="1"/>
  <c r="A1091" i="1" s="1"/>
  <c r="X1091" i="1" s="1"/>
  <c r="A1092" i="1" s="1"/>
  <c r="X1092" i="1" s="1"/>
  <c r="A1093" i="1" s="1"/>
  <c r="X1093" i="1" s="1"/>
  <c r="A1094" i="1" s="1"/>
  <c r="X1094" i="1" s="1"/>
  <c r="A1095" i="1" s="1"/>
  <c r="X1095" i="1" s="1"/>
  <c r="A1096" i="1" s="1"/>
  <c r="X1096" i="1" s="1"/>
  <c r="A1097" i="1" s="1"/>
  <c r="X1097" i="1" s="1"/>
  <c r="A1098" i="1" s="1"/>
  <c r="X1098" i="1" s="1"/>
  <c r="A1099" i="1" s="1"/>
  <c r="X1099" i="1" s="1"/>
  <c r="A1100" i="1" s="1"/>
  <c r="X1100" i="1" s="1"/>
  <c r="A1101" i="1" s="1"/>
  <c r="X1101" i="1" s="1"/>
  <c r="A1102" i="1" s="1"/>
  <c r="X1102" i="1" s="1"/>
  <c r="A1103" i="1" s="1"/>
  <c r="X1103" i="1" s="1"/>
  <c r="A1104" i="1" s="1"/>
  <c r="X1104" i="1" s="1"/>
  <c r="A1105" i="1" s="1"/>
  <c r="X1105" i="1" s="1"/>
  <c r="A1106" i="1" s="1"/>
  <c r="X1106" i="1" s="1"/>
  <c r="A1107" i="1" s="1"/>
  <c r="X1107" i="1" s="1"/>
  <c r="A1108" i="1" s="1"/>
  <c r="X1108" i="1" s="1"/>
  <c r="A1109" i="1" s="1"/>
  <c r="X1109" i="1" s="1"/>
  <c r="A1110" i="1" s="1"/>
  <c r="X1110" i="1" s="1"/>
  <c r="A1111" i="1" s="1"/>
  <c r="X1111" i="1" s="1"/>
  <c r="A1112" i="1" s="1"/>
  <c r="X1112" i="1" s="1"/>
  <c r="A1113" i="1" s="1"/>
  <c r="X1113" i="1" s="1"/>
  <c r="A1114" i="1" s="1"/>
  <c r="X1114" i="1" s="1"/>
  <c r="A1115" i="1" s="1"/>
  <c r="X1115" i="1" s="1"/>
  <c r="A1116" i="1" s="1"/>
  <c r="X1116" i="1" s="1"/>
  <c r="A1117" i="1" s="1"/>
  <c r="X1117" i="1" s="1"/>
  <c r="A1118" i="1" s="1"/>
  <c r="X1118" i="1" s="1"/>
  <c r="A1119" i="1" s="1"/>
  <c r="X1119" i="1" s="1"/>
  <c r="A1120" i="1" s="1"/>
  <c r="X1120" i="1" s="1"/>
  <c r="A1121" i="1" s="1"/>
  <c r="X1121" i="1" s="1"/>
  <c r="A1122" i="1" s="1"/>
  <c r="X1122" i="1" s="1"/>
  <c r="A1123" i="1" s="1"/>
  <c r="X1123" i="1" s="1"/>
  <c r="A1124" i="1" s="1"/>
  <c r="X1124" i="1" s="1"/>
  <c r="A1125" i="1" s="1"/>
  <c r="X1125" i="1" s="1"/>
  <c r="A1126" i="1" s="1"/>
  <c r="X1126" i="1" s="1"/>
  <c r="A1127" i="1" s="1"/>
  <c r="X1127" i="1" s="1"/>
  <c r="A1128" i="1" s="1"/>
  <c r="X1128" i="1" s="1"/>
  <c r="A1129" i="1" s="1"/>
  <c r="X1129" i="1" s="1"/>
  <c r="A1130" i="1" s="1"/>
  <c r="X1130" i="1" s="1"/>
  <c r="A1131" i="1" s="1"/>
  <c r="X1131" i="1" s="1"/>
  <c r="A1132" i="1" s="1"/>
  <c r="X1132" i="1" s="1"/>
  <c r="A1133" i="1" s="1"/>
  <c r="X1133" i="1" s="1"/>
  <c r="A1134" i="1" s="1"/>
  <c r="X1134" i="1" s="1"/>
  <c r="A1135" i="1" s="1"/>
  <c r="X1135" i="1" s="1"/>
  <c r="A1136" i="1" s="1"/>
  <c r="X1136" i="1" s="1"/>
  <c r="A1137" i="1" s="1"/>
  <c r="X1137" i="1" s="1"/>
  <c r="A1138" i="1" s="1"/>
  <c r="X1138" i="1" s="1"/>
  <c r="A1139" i="1" s="1"/>
  <c r="X1139" i="1" s="1"/>
  <c r="A1140" i="1" s="1"/>
  <c r="X1140" i="1" s="1"/>
  <c r="A1141" i="1" s="1"/>
  <c r="X1141" i="1" s="1"/>
  <c r="A1142" i="1" s="1"/>
  <c r="S972" i="1"/>
  <c r="U972" i="1"/>
  <c r="S969" i="1"/>
  <c r="U969" i="1"/>
  <c r="V969" i="1" s="1"/>
  <c r="U968" i="1"/>
  <c r="V968" i="1" s="1"/>
  <c r="S968" i="1"/>
  <c r="S967" i="1"/>
  <c r="U967" i="1"/>
  <c r="V967" i="1" s="1"/>
  <c r="S966" i="1"/>
  <c r="U966" i="1"/>
  <c r="V966" i="1" s="1"/>
  <c r="U965" i="1"/>
  <c r="V965" i="1" s="1"/>
  <c r="S965" i="1"/>
  <c r="S964" i="1"/>
  <c r="U964" i="1"/>
  <c r="V964" i="1" s="1"/>
  <c r="S963" i="1"/>
  <c r="U963" i="1"/>
  <c r="V963" i="1" s="1"/>
  <c r="U962" i="1"/>
  <c r="V962" i="1" s="1"/>
  <c r="S962" i="1"/>
  <c r="S961" i="1"/>
  <c r="U961" i="1"/>
  <c r="V961" i="1" s="1"/>
  <c r="U960" i="1"/>
  <c r="V960" i="1" s="1"/>
  <c r="S960" i="1"/>
  <c r="S959" i="1"/>
  <c r="U959" i="1"/>
  <c r="V959" i="1" s="1"/>
  <c r="S958" i="1"/>
  <c r="U958" i="1"/>
  <c r="V958" i="1" s="1"/>
  <c r="S957" i="1"/>
  <c r="U957" i="1"/>
  <c r="V957" i="1" s="1"/>
  <c r="S956" i="1"/>
  <c r="U956" i="1"/>
  <c r="V956" i="1" s="1"/>
  <c r="S955" i="1"/>
  <c r="U955" i="1"/>
  <c r="V955" i="1" s="1"/>
  <c r="S954" i="1"/>
  <c r="U954" i="1"/>
  <c r="V954" i="1" s="1"/>
  <c r="U953" i="1"/>
  <c r="V953" i="1" s="1"/>
  <c r="S953" i="1"/>
  <c r="V952" i="1"/>
  <c r="U952" i="1"/>
  <c r="S952" i="1"/>
  <c r="V951" i="1"/>
  <c r="S951" i="1"/>
  <c r="U951" i="1"/>
  <c r="V950" i="1"/>
  <c r="U950" i="1"/>
  <c r="S950" i="1"/>
  <c r="U949" i="1"/>
  <c r="S949" i="1"/>
  <c r="V949" i="1"/>
  <c r="S948" i="1"/>
  <c r="U948" i="1"/>
  <c r="V948" i="1"/>
  <c r="S947" i="1"/>
  <c r="U947" i="1"/>
  <c r="V947" i="1"/>
  <c r="U946" i="1"/>
  <c r="V946" i="1"/>
  <c r="S946" i="1"/>
  <c r="V945" i="1"/>
  <c r="S945" i="1"/>
  <c r="U945" i="1"/>
  <c r="S944" i="1"/>
  <c r="V944" i="1"/>
  <c r="U944" i="1"/>
  <c r="S943" i="1"/>
  <c r="V943" i="1"/>
  <c r="U943" i="1"/>
  <c r="V942" i="1"/>
  <c r="S942" i="1"/>
  <c r="U942" i="1"/>
  <c r="U941" i="1"/>
  <c r="V941" i="1"/>
  <c r="S941" i="1"/>
  <c r="V940" i="1"/>
  <c r="S940" i="1"/>
  <c r="U940" i="1"/>
  <c r="U939" i="1"/>
  <c r="V939" i="1"/>
  <c r="S939" i="1"/>
  <c r="V938" i="1"/>
  <c r="S938" i="1"/>
  <c r="U938" i="1"/>
  <c r="S937" i="1"/>
  <c r="U937" i="1"/>
  <c r="V937" i="1"/>
  <c r="U936" i="1"/>
  <c r="V936" i="1"/>
  <c r="S936" i="1"/>
  <c r="S935" i="1"/>
  <c r="V935" i="1"/>
  <c r="U935" i="1"/>
  <c r="V934" i="1"/>
  <c r="S934" i="1"/>
  <c r="U934" i="1"/>
  <c r="V933" i="1"/>
  <c r="U933" i="1"/>
  <c r="S933" i="1"/>
  <c r="S932" i="1"/>
  <c r="U932" i="1"/>
  <c r="V932" i="1"/>
  <c r="V931" i="1"/>
  <c r="U931" i="1"/>
  <c r="S931" i="1"/>
  <c r="V930" i="1"/>
  <c r="S930" i="1"/>
  <c r="U930" i="1"/>
  <c r="S929" i="1"/>
  <c r="V929" i="1"/>
  <c r="U929" i="1"/>
  <c r="V928" i="1"/>
  <c r="S928" i="1"/>
  <c r="U928" i="1"/>
  <c r="S927" i="1"/>
  <c r="U927" i="1"/>
  <c r="V927" i="1"/>
  <c r="U926" i="1"/>
  <c r="V926" i="1"/>
  <c r="S926" i="1"/>
  <c r="U925" i="1"/>
  <c r="V925" i="1"/>
  <c r="S925" i="1"/>
  <c r="U924" i="1"/>
  <c r="S924" i="1"/>
  <c r="V924" i="1"/>
  <c r="U923" i="1"/>
  <c r="S923" i="1"/>
  <c r="V923" i="1"/>
  <c r="U922" i="1"/>
  <c r="S922" i="1"/>
  <c r="V922" i="1"/>
  <c r="V921" i="1"/>
  <c r="U921" i="1"/>
  <c r="S921" i="1"/>
  <c r="S920" i="1"/>
  <c r="V920" i="1"/>
  <c r="U920" i="1"/>
  <c r="U919" i="1"/>
  <c r="V919" i="1"/>
  <c r="S919" i="1"/>
  <c r="S918" i="1"/>
  <c r="U918" i="1"/>
  <c r="V918" i="1"/>
  <c r="U917" i="1"/>
  <c r="V917" i="1"/>
  <c r="S917" i="1"/>
  <c r="U916" i="1"/>
  <c r="S916" i="1"/>
  <c r="V916" i="1"/>
  <c r="U915" i="1"/>
  <c r="V915" i="1"/>
  <c r="S915" i="1"/>
  <c r="V914" i="1"/>
  <c r="U914" i="1"/>
  <c r="S914" i="1"/>
  <c r="U913" i="1"/>
  <c r="V913" i="1"/>
  <c r="S913" i="1"/>
  <c r="V912" i="1"/>
  <c r="S912" i="1"/>
  <c r="U912" i="1"/>
  <c r="V911" i="1"/>
  <c r="S911" i="1"/>
  <c r="U911" i="1"/>
  <c r="S910" i="1"/>
  <c r="V910" i="1"/>
  <c r="U910" i="1"/>
  <c r="V909" i="1"/>
  <c r="S909" i="1"/>
  <c r="U909" i="1"/>
  <c r="U908" i="1"/>
  <c r="V908" i="1"/>
  <c r="S908" i="1"/>
  <c r="V907" i="1"/>
  <c r="S907" i="1"/>
  <c r="U907" i="1"/>
  <c r="S906" i="1"/>
  <c r="U906" i="1"/>
  <c r="V906" i="1"/>
  <c r="U905" i="1"/>
  <c r="S905" i="1"/>
  <c r="V905" i="1"/>
  <c r="S904" i="1"/>
  <c r="U904" i="1"/>
  <c r="V904" i="1"/>
  <c r="S903" i="1"/>
  <c r="U903" i="1"/>
  <c r="V903" i="1"/>
  <c r="S902" i="1"/>
  <c r="V902" i="1"/>
  <c r="U902" i="1"/>
  <c r="V901" i="1"/>
  <c r="S901" i="1"/>
  <c r="U901" i="1"/>
  <c r="S900" i="1"/>
  <c r="V900" i="1"/>
  <c r="U900" i="1"/>
  <c r="V899" i="1"/>
  <c r="U899" i="1"/>
  <c r="S899" i="1"/>
  <c r="V898" i="1"/>
  <c r="U898" i="1"/>
  <c r="S898" i="1"/>
  <c r="S897" i="1"/>
  <c r="V897" i="1"/>
  <c r="U897" i="1"/>
  <c r="U896" i="1"/>
  <c r="S896" i="1"/>
  <c r="V896" i="1"/>
  <c r="S895" i="1"/>
  <c r="V895" i="1"/>
  <c r="U895" i="1"/>
  <c r="U894" i="1"/>
  <c r="S894" i="1"/>
  <c r="V894" i="1"/>
  <c r="U893" i="1"/>
  <c r="S893" i="1"/>
  <c r="V893" i="1"/>
  <c r="V892" i="1"/>
  <c r="S892" i="1"/>
  <c r="U892" i="1"/>
  <c r="S891" i="1"/>
  <c r="U891" i="1"/>
  <c r="V891" i="1"/>
  <c r="V890" i="1"/>
  <c r="S890" i="1"/>
  <c r="U890" i="1"/>
  <c r="U889" i="1"/>
  <c r="V889" i="1"/>
  <c r="S889" i="1"/>
  <c r="V888" i="1"/>
  <c r="S888" i="1"/>
  <c r="U888" i="1"/>
  <c r="S887" i="1"/>
  <c r="U887" i="1"/>
  <c r="V887" i="1"/>
  <c r="U886" i="1"/>
  <c r="S886" i="1"/>
  <c r="V886" i="1"/>
  <c r="V885" i="1"/>
  <c r="S885" i="1"/>
  <c r="U885" i="1"/>
  <c r="S884" i="1"/>
  <c r="U884" i="1"/>
  <c r="V884" i="1"/>
  <c r="S883" i="1"/>
  <c r="U883" i="1"/>
  <c r="V883" i="1"/>
  <c r="V882" i="1"/>
  <c r="U882" i="1"/>
  <c r="S882" i="1"/>
  <c r="U881" i="1"/>
  <c r="S881" i="1"/>
  <c r="V881" i="1"/>
  <c r="V880" i="1"/>
  <c r="U880" i="1"/>
  <c r="S880" i="1"/>
  <c r="V879" i="1"/>
  <c r="U879" i="1"/>
  <c r="U878" i="1"/>
  <c r="S878" i="1"/>
  <c r="V878" i="1"/>
  <c r="V877" i="1"/>
  <c r="S877" i="1"/>
  <c r="U877" i="1"/>
  <c r="U876" i="1"/>
  <c r="S876" i="1"/>
  <c r="V876" i="1"/>
  <c r="U875" i="1"/>
  <c r="V875" i="1"/>
  <c r="S875" i="1"/>
  <c r="V874" i="1"/>
  <c r="U874" i="1"/>
  <c r="S874" i="1"/>
  <c r="S873" i="1"/>
  <c r="V873" i="1"/>
  <c r="U873" i="1"/>
  <c r="U872" i="1"/>
  <c r="V872" i="1"/>
  <c r="S872" i="1"/>
  <c r="U871" i="1"/>
  <c r="V871" i="1"/>
  <c r="S871" i="1"/>
  <c r="V870" i="1"/>
  <c r="U870" i="1"/>
  <c r="S870" i="1"/>
  <c r="S869" i="1"/>
  <c r="U869" i="1"/>
  <c r="V869" i="1"/>
  <c r="S868" i="1"/>
  <c r="U868" i="1"/>
  <c r="V868" i="1"/>
  <c r="S867" i="1"/>
  <c r="U867" i="1"/>
  <c r="V867" i="1"/>
  <c r="S866" i="1"/>
  <c r="U866" i="1"/>
  <c r="V866" i="1"/>
  <c r="U865" i="1"/>
  <c r="S865" i="1"/>
  <c r="V865" i="1"/>
  <c r="V864" i="1"/>
  <c r="S864" i="1"/>
  <c r="U864" i="1"/>
  <c r="V863" i="1"/>
  <c r="S863" i="1"/>
  <c r="U863" i="1"/>
  <c r="U862" i="1"/>
  <c r="S862" i="1"/>
  <c r="V862" i="1"/>
  <c r="V861" i="1"/>
  <c r="U861" i="1"/>
  <c r="S861" i="1"/>
  <c r="V860" i="1"/>
  <c r="U860" i="1"/>
  <c r="S860" i="1"/>
  <c r="V859" i="1"/>
  <c r="S859" i="1"/>
  <c r="U859" i="1"/>
  <c r="S858" i="1"/>
  <c r="U858" i="1"/>
  <c r="V858" i="1"/>
  <c r="U857" i="1"/>
  <c r="V857" i="1"/>
  <c r="S857" i="1"/>
  <c r="U856" i="1"/>
  <c r="S856" i="1"/>
  <c r="V856" i="1"/>
  <c r="V855" i="1"/>
  <c r="U855" i="1"/>
  <c r="S855" i="1"/>
  <c r="S854" i="1"/>
  <c r="U854" i="1"/>
  <c r="V854" i="1"/>
  <c r="U853" i="1"/>
  <c r="V853" i="1"/>
  <c r="U852" i="1"/>
  <c r="V852" i="1"/>
  <c r="S852" i="1"/>
  <c r="U851" i="1"/>
  <c r="S851" i="1"/>
  <c r="V851" i="1"/>
  <c r="S850" i="1"/>
  <c r="V850" i="1"/>
  <c r="U850" i="1"/>
  <c r="U849" i="1"/>
  <c r="V849" i="1"/>
  <c r="S849" i="1"/>
  <c r="U848" i="1"/>
  <c r="V848" i="1"/>
  <c r="S848" i="1"/>
  <c r="V847" i="1"/>
  <c r="S847" i="1"/>
  <c r="U847" i="1"/>
  <c r="U846" i="1"/>
  <c r="V846" i="1"/>
  <c r="S846" i="1"/>
  <c r="U845" i="1"/>
  <c r="S845" i="1"/>
  <c r="V845" i="1"/>
  <c r="S844" i="1"/>
  <c r="V844" i="1"/>
  <c r="U844" i="1"/>
  <c r="U843" i="1"/>
  <c r="S843" i="1"/>
  <c r="V843" i="1"/>
  <c r="S842" i="1"/>
  <c r="V842" i="1"/>
  <c r="U842" i="1"/>
  <c r="S841" i="1"/>
  <c r="U841" i="1"/>
  <c r="V841" i="1"/>
  <c r="S840" i="1"/>
  <c r="V840" i="1"/>
  <c r="U840" i="1"/>
  <c r="S839" i="1"/>
  <c r="U839" i="1"/>
  <c r="V839" i="1"/>
  <c r="V838" i="1"/>
  <c r="S838" i="1"/>
  <c r="U838" i="1"/>
  <c r="V837" i="1"/>
  <c r="S837" i="1"/>
  <c r="U837" i="1"/>
  <c r="U836" i="1"/>
  <c r="S836" i="1"/>
  <c r="V836" i="1"/>
  <c r="U835" i="1"/>
  <c r="V835" i="1"/>
  <c r="S835" i="1"/>
  <c r="V834" i="1"/>
  <c r="S834" i="1"/>
  <c r="U834" i="1"/>
  <c r="V833" i="1"/>
  <c r="S833" i="1"/>
  <c r="U833" i="1"/>
  <c r="S832" i="1"/>
  <c r="U832" i="1"/>
  <c r="V832" i="1"/>
  <c r="V831" i="1"/>
  <c r="S831" i="1"/>
  <c r="U831" i="1"/>
  <c r="S830" i="1"/>
  <c r="U830" i="1"/>
  <c r="V830" i="1"/>
  <c r="U829" i="1"/>
  <c r="S829" i="1"/>
  <c r="V829" i="1"/>
  <c r="U828" i="1"/>
  <c r="V828" i="1"/>
  <c r="S828" i="1"/>
  <c r="U827" i="1"/>
  <c r="V827" i="1"/>
  <c r="S827" i="1"/>
  <c r="U826" i="1"/>
  <c r="V826" i="1"/>
  <c r="S826" i="1"/>
  <c r="U825" i="1"/>
  <c r="V825" i="1"/>
  <c r="S825" i="1"/>
  <c r="V824" i="1"/>
  <c r="S824" i="1"/>
  <c r="U824" i="1"/>
  <c r="U823" i="1"/>
  <c r="V823" i="1"/>
  <c r="S823" i="1"/>
  <c r="U822" i="1"/>
  <c r="V822" i="1"/>
  <c r="V821" i="1"/>
  <c r="S821" i="1"/>
  <c r="U821" i="1"/>
  <c r="S820" i="1"/>
  <c r="V820" i="1"/>
  <c r="U820" i="1"/>
  <c r="U819" i="1"/>
  <c r="S819" i="1"/>
  <c r="V819" i="1"/>
  <c r="U818" i="1"/>
  <c r="V818" i="1"/>
  <c r="S818" i="1"/>
  <c r="U817" i="1"/>
  <c r="V817" i="1"/>
  <c r="S817" i="1"/>
  <c r="U816" i="1"/>
  <c r="S816" i="1"/>
  <c r="V816" i="1"/>
  <c r="U815" i="1"/>
  <c r="V815" i="1"/>
  <c r="S815" i="1"/>
  <c r="S814" i="1"/>
  <c r="V814" i="1"/>
  <c r="U814" i="1"/>
  <c r="S813" i="1"/>
  <c r="V813" i="1"/>
  <c r="U813" i="1"/>
  <c r="V812" i="1"/>
  <c r="U812" i="1"/>
  <c r="S812" i="1"/>
  <c r="S811" i="1"/>
  <c r="U811" i="1"/>
  <c r="V811" i="1"/>
  <c r="V810" i="1"/>
  <c r="U810" i="1"/>
  <c r="S810" i="1"/>
  <c r="V809" i="1"/>
  <c r="U809" i="1"/>
  <c r="S809" i="1"/>
  <c r="S808" i="1"/>
  <c r="U808" i="1"/>
  <c r="V808" i="1"/>
  <c r="S807" i="1"/>
  <c r="V807" i="1"/>
  <c r="U807" i="1"/>
  <c r="S806" i="1"/>
  <c r="U806" i="1"/>
  <c r="V806" i="1"/>
  <c r="U805" i="1"/>
  <c r="S805" i="1"/>
  <c r="V805" i="1"/>
  <c r="U804" i="1"/>
  <c r="S804" i="1"/>
  <c r="V804" i="1"/>
  <c r="V803" i="1"/>
  <c r="S803" i="1"/>
  <c r="U803" i="1"/>
  <c r="S802" i="1"/>
  <c r="U802" i="1"/>
  <c r="V802" i="1"/>
  <c r="U801" i="1"/>
  <c r="V801" i="1"/>
  <c r="S801" i="1"/>
  <c r="U800" i="1"/>
  <c r="V800" i="1"/>
  <c r="S800" i="1"/>
  <c r="V799" i="1"/>
  <c r="S799" i="1"/>
  <c r="U799" i="1"/>
  <c r="S798" i="1"/>
  <c r="V798" i="1"/>
  <c r="U798" i="1"/>
  <c r="U797" i="1"/>
  <c r="V797" i="1"/>
  <c r="S797" i="1"/>
  <c r="U796" i="1"/>
  <c r="S796" i="1"/>
  <c r="V796" i="1"/>
  <c r="S794" i="1"/>
  <c r="U794" i="1"/>
  <c r="V794" i="1"/>
  <c r="V792" i="1"/>
  <c r="S792" i="1"/>
  <c r="U792" i="1"/>
  <c r="S791" i="1"/>
  <c r="U791" i="1"/>
  <c r="V791" i="1"/>
  <c r="S790" i="1"/>
  <c r="V790" i="1"/>
  <c r="U790" i="1"/>
  <c r="U789" i="1"/>
  <c r="V789" i="1"/>
  <c r="S789" i="1"/>
  <c r="S788" i="1"/>
  <c r="U788" i="1"/>
  <c r="V788" i="1"/>
  <c r="V787" i="1"/>
  <c r="S787" i="1"/>
  <c r="U787" i="1"/>
  <c r="U786" i="1"/>
  <c r="V786" i="1"/>
  <c r="S786" i="1"/>
  <c r="U785" i="1"/>
  <c r="V785" i="1"/>
  <c r="S785" i="1"/>
  <c r="U784" i="1"/>
  <c r="S784" i="1"/>
  <c r="V784" i="1"/>
  <c r="S783" i="1"/>
  <c r="U783" i="1"/>
  <c r="V783" i="1"/>
  <c r="V782" i="1"/>
  <c r="S782" i="1"/>
  <c r="U782" i="1"/>
  <c r="V781" i="1"/>
  <c r="U781" i="1"/>
  <c r="S781" i="1"/>
  <c r="S780" i="1"/>
  <c r="U780" i="1"/>
  <c r="V780" i="1"/>
  <c r="S779" i="1"/>
  <c r="V779" i="1"/>
  <c r="U779" i="1"/>
  <c r="S778" i="1"/>
  <c r="V778" i="1"/>
  <c r="U778" i="1"/>
  <c r="U777" i="1"/>
  <c r="S777" i="1"/>
  <c r="V777" i="1"/>
  <c r="S776" i="1"/>
  <c r="U776" i="1"/>
  <c r="V776" i="1"/>
  <c r="U775" i="1"/>
  <c r="S775" i="1"/>
  <c r="V775" i="1"/>
  <c r="V774" i="1"/>
  <c r="U774" i="1"/>
  <c r="S774" i="1"/>
  <c r="S773" i="1"/>
  <c r="U773" i="1"/>
  <c r="V773" i="1"/>
  <c r="V772" i="1"/>
  <c r="S772" i="1"/>
  <c r="U772" i="1"/>
  <c r="U771" i="1"/>
  <c r="S771" i="1"/>
  <c r="V771" i="1"/>
  <c r="U770" i="1"/>
  <c r="S770" i="1"/>
  <c r="V770" i="1"/>
  <c r="U769" i="1"/>
  <c r="S769" i="1"/>
  <c r="V769" i="1"/>
  <c r="S768" i="1"/>
  <c r="V768" i="1"/>
  <c r="U768" i="1"/>
  <c r="U767" i="1"/>
  <c r="V767" i="1"/>
  <c r="S767" i="1"/>
  <c r="S766" i="1"/>
  <c r="V766" i="1"/>
  <c r="U766" i="1"/>
  <c r="S765" i="1"/>
  <c r="V765" i="1"/>
  <c r="U765" i="1"/>
  <c r="U764" i="1"/>
  <c r="V764" i="1"/>
  <c r="S764" i="1"/>
  <c r="S763" i="1"/>
  <c r="U763" i="1"/>
  <c r="V763" i="1"/>
  <c r="S762" i="1"/>
  <c r="U762" i="1"/>
  <c r="V762" i="1"/>
  <c r="S761" i="1"/>
  <c r="U761" i="1"/>
  <c r="V761" i="1"/>
  <c r="S760" i="1"/>
  <c r="U760" i="1"/>
  <c r="V760" i="1"/>
  <c r="V759" i="1"/>
  <c r="U759" i="1"/>
  <c r="S759" i="1"/>
  <c r="U758" i="1"/>
  <c r="S758" i="1"/>
  <c r="V758" i="1"/>
  <c r="V757" i="1"/>
  <c r="U757" i="1"/>
  <c r="S757" i="1"/>
  <c r="V756" i="1"/>
  <c r="U756" i="1"/>
  <c r="S756" i="1"/>
  <c r="V755" i="1"/>
  <c r="U755" i="1"/>
  <c r="S755" i="1"/>
  <c r="V754" i="1"/>
  <c r="U754" i="1"/>
  <c r="S754" i="1"/>
  <c r="V753" i="1"/>
  <c r="U753" i="1"/>
  <c r="S753" i="1"/>
  <c r="U752" i="1"/>
  <c r="V752" i="1"/>
  <c r="X752" i="1" s="1"/>
  <c r="A753" i="1" s="1"/>
  <c r="X753" i="1" s="1"/>
  <c r="A754" i="1" s="1"/>
  <c r="X754" i="1" s="1"/>
  <c r="A755" i="1" s="1"/>
  <c r="X755" i="1" s="1"/>
  <c r="A756" i="1" s="1"/>
  <c r="X756" i="1" s="1"/>
  <c r="A757" i="1" s="1"/>
  <c r="X757" i="1" s="1"/>
  <c r="A758" i="1" s="1"/>
  <c r="X758" i="1" s="1"/>
  <c r="A759" i="1" s="1"/>
  <c r="X759" i="1" s="1"/>
  <c r="A760" i="1" s="1"/>
  <c r="X760" i="1" s="1"/>
  <c r="A761" i="1" s="1"/>
  <c r="X761" i="1" s="1"/>
  <c r="A762" i="1" s="1"/>
  <c r="X762" i="1" s="1"/>
  <c r="A763" i="1" s="1"/>
  <c r="X763" i="1" s="1"/>
  <c r="A764" i="1" s="1"/>
  <c r="X764" i="1" s="1"/>
  <c r="A765" i="1" s="1"/>
  <c r="X765" i="1" s="1"/>
  <c r="A766" i="1" s="1"/>
  <c r="X766" i="1" s="1"/>
  <c r="A767" i="1" s="1"/>
  <c r="X767" i="1" s="1"/>
  <c r="A768" i="1" s="1"/>
  <c r="X768" i="1" s="1"/>
  <c r="A769" i="1" s="1"/>
  <c r="X769" i="1" s="1"/>
  <c r="A770" i="1" s="1"/>
  <c r="X770" i="1" s="1"/>
  <c r="A771" i="1" s="1"/>
  <c r="X771" i="1" s="1"/>
  <c r="A772" i="1" s="1"/>
  <c r="X772" i="1" s="1"/>
  <c r="A773" i="1" s="1"/>
  <c r="X773" i="1" s="1"/>
  <c r="A774" i="1" s="1"/>
  <c r="X774" i="1" s="1"/>
  <c r="A775" i="1" s="1"/>
  <c r="X775" i="1" s="1"/>
  <c r="A776" i="1" s="1"/>
  <c r="X776" i="1" s="1"/>
  <c r="A777" i="1" s="1"/>
  <c r="X777" i="1" s="1"/>
  <c r="A778" i="1" s="1"/>
  <c r="S752" i="1"/>
  <c r="U750" i="1"/>
  <c r="V750" i="1"/>
  <c r="S750" i="1"/>
  <c r="S749" i="1"/>
  <c r="U749" i="1"/>
  <c r="V749" i="1"/>
  <c r="S748" i="1"/>
  <c r="V748" i="1"/>
  <c r="U748" i="1"/>
  <c r="U747" i="1"/>
  <c r="V747" i="1"/>
  <c r="S747" i="1"/>
  <c r="V746" i="1"/>
  <c r="S746" i="1"/>
  <c r="U746" i="1"/>
  <c r="V745" i="1"/>
  <c r="S745" i="1"/>
  <c r="U745" i="1"/>
  <c r="V744" i="1"/>
  <c r="U744" i="1"/>
  <c r="S744" i="1"/>
  <c r="S743" i="1"/>
  <c r="V743" i="1"/>
  <c r="U743" i="1"/>
  <c r="S742" i="1"/>
  <c r="U742" i="1"/>
  <c r="V742" i="1"/>
  <c r="V741" i="1"/>
  <c r="U741" i="1"/>
  <c r="S741" i="1"/>
  <c r="V740" i="1"/>
  <c r="S740" i="1"/>
  <c r="U740" i="1"/>
  <c r="V739" i="1"/>
  <c r="U739" i="1"/>
  <c r="S739" i="1"/>
  <c r="V738" i="1"/>
  <c r="U738" i="1"/>
  <c r="S738" i="1"/>
  <c r="U737" i="1"/>
  <c r="V737" i="1"/>
  <c r="X737" i="1" s="1"/>
  <c r="A738" i="1" s="1"/>
  <c r="X738" i="1" s="1"/>
  <c r="A739" i="1" s="1"/>
  <c r="X739" i="1" s="1"/>
  <c r="A740" i="1" s="1"/>
  <c r="X740" i="1" s="1"/>
  <c r="A741" i="1" s="1"/>
  <c r="X741" i="1" s="1"/>
  <c r="A742" i="1" s="1"/>
  <c r="X742" i="1" s="1"/>
  <c r="A743" i="1" s="1"/>
  <c r="X743" i="1" s="1"/>
  <c r="A744" i="1" s="1"/>
  <c r="X744" i="1" s="1"/>
  <c r="A745" i="1" s="1"/>
  <c r="X745" i="1" s="1"/>
  <c r="A746" i="1" s="1"/>
  <c r="X746" i="1" s="1"/>
  <c r="A747" i="1" s="1"/>
  <c r="X747" i="1" s="1"/>
  <c r="A748" i="1" s="1"/>
  <c r="X748" i="1" s="1"/>
  <c r="A749" i="1" s="1"/>
  <c r="X749" i="1" s="1"/>
  <c r="A750" i="1" s="1"/>
  <c r="X750" i="1" s="1"/>
  <c r="S737" i="1"/>
  <c r="S734" i="1"/>
  <c r="U734" i="1"/>
  <c r="V734" i="1" s="1"/>
  <c r="S733" i="1"/>
  <c r="U733" i="1"/>
  <c r="V733" i="1" s="1"/>
  <c r="U732" i="1"/>
  <c r="V732" i="1" s="1"/>
  <c r="S732" i="1"/>
  <c r="S731" i="1"/>
  <c r="U731" i="1"/>
  <c r="V731" i="1" s="1"/>
  <c r="S730" i="1"/>
  <c r="U730" i="1"/>
  <c r="V730" i="1" s="1"/>
  <c r="U729" i="1"/>
  <c r="V729" i="1" s="1"/>
  <c r="S729" i="1"/>
  <c r="S728" i="1"/>
  <c r="U728" i="1"/>
  <c r="V728" i="1" s="1"/>
  <c r="U727" i="1"/>
  <c r="V727" i="1" s="1"/>
  <c r="S727" i="1"/>
  <c r="S726" i="1"/>
  <c r="U726" i="1"/>
  <c r="V726" i="1" s="1"/>
  <c r="S725" i="1"/>
  <c r="V725" i="1"/>
  <c r="U725" i="1"/>
  <c r="S724" i="1"/>
  <c r="U724" i="1"/>
  <c r="V724" i="1"/>
  <c r="S723" i="1"/>
  <c r="U723" i="1"/>
  <c r="V723" i="1"/>
  <c r="U722" i="1"/>
  <c r="S722" i="1"/>
  <c r="V722" i="1"/>
  <c r="U721" i="1"/>
  <c r="V721" i="1"/>
  <c r="S721" i="1"/>
  <c r="V720" i="1"/>
  <c r="U720" i="1"/>
  <c r="S720" i="1"/>
  <c r="U719" i="1"/>
  <c r="V719" i="1"/>
  <c r="S719" i="1"/>
  <c r="S718" i="1"/>
  <c r="U718" i="1"/>
  <c r="V718" i="1"/>
  <c r="S717" i="1"/>
  <c r="U717" i="1"/>
  <c r="V717" i="1"/>
  <c r="S716" i="1"/>
  <c r="U716" i="1"/>
  <c r="V716" i="1"/>
  <c r="S715" i="1"/>
  <c r="U715" i="1"/>
  <c r="V715" i="1"/>
  <c r="V714" i="1"/>
  <c r="U714" i="1"/>
  <c r="S714" i="1"/>
  <c r="S713" i="1"/>
  <c r="U713" i="1"/>
  <c r="V713" i="1"/>
  <c r="U712" i="1"/>
  <c r="S712" i="1"/>
  <c r="V712" i="1"/>
  <c r="V711" i="1"/>
  <c r="U711" i="1"/>
  <c r="S711" i="1"/>
  <c r="V710" i="1"/>
  <c r="U710" i="1"/>
  <c r="S710" i="1"/>
  <c r="S709" i="1"/>
  <c r="U709" i="1"/>
  <c r="V709" i="1"/>
  <c r="S708" i="1"/>
  <c r="U708" i="1"/>
  <c r="V708" i="1"/>
  <c r="V707" i="1"/>
  <c r="U707" i="1"/>
  <c r="S707" i="1"/>
  <c r="S706" i="1"/>
  <c r="V706" i="1"/>
  <c r="U706" i="1"/>
  <c r="S705" i="1"/>
  <c r="U705" i="1"/>
  <c r="V705" i="1"/>
  <c r="U704" i="1"/>
  <c r="S704" i="1"/>
  <c r="V704" i="1"/>
  <c r="S703" i="1"/>
  <c r="U703" i="1"/>
  <c r="V703" i="1"/>
  <c r="S702" i="1"/>
  <c r="U702" i="1"/>
  <c r="V702" i="1"/>
  <c r="U701" i="1"/>
  <c r="V701" i="1"/>
  <c r="S701" i="1"/>
  <c r="V700" i="1"/>
  <c r="U700" i="1"/>
  <c r="S700" i="1"/>
  <c r="V699" i="1"/>
  <c r="U699" i="1"/>
  <c r="S699" i="1"/>
  <c r="U698" i="1"/>
  <c r="V698" i="1"/>
  <c r="S698" i="1"/>
  <c r="V697" i="1"/>
  <c r="U697" i="1"/>
  <c r="S697" i="1"/>
  <c r="U696" i="1"/>
  <c r="V696" i="1"/>
  <c r="S696" i="1"/>
  <c r="U695" i="1"/>
  <c r="S695" i="1"/>
  <c r="V695" i="1"/>
  <c r="V694" i="1"/>
  <c r="U694" i="1"/>
  <c r="S694" i="1"/>
  <c r="V693" i="1"/>
  <c r="U693" i="1"/>
  <c r="S693" i="1"/>
  <c r="V692" i="1"/>
  <c r="U692" i="1"/>
  <c r="S692" i="1"/>
  <c r="S691" i="1"/>
  <c r="V691" i="1"/>
  <c r="U691" i="1"/>
  <c r="V690" i="1"/>
  <c r="U690" i="1"/>
  <c r="S690" i="1"/>
  <c r="S689" i="1"/>
  <c r="U689" i="1"/>
  <c r="V689" i="1"/>
  <c r="V688" i="1"/>
  <c r="U688" i="1"/>
  <c r="S688" i="1"/>
  <c r="S687" i="1"/>
  <c r="U687" i="1"/>
  <c r="V687" i="1"/>
  <c r="S686" i="1"/>
  <c r="U686" i="1"/>
  <c r="V686" i="1"/>
  <c r="U685" i="1"/>
  <c r="V685" i="1"/>
  <c r="S685" i="1"/>
  <c r="S684" i="1"/>
  <c r="V684" i="1"/>
  <c r="U684" i="1"/>
  <c r="S683" i="1"/>
  <c r="V683" i="1"/>
  <c r="U683" i="1"/>
  <c r="V682" i="1"/>
  <c r="U682" i="1"/>
  <c r="S682" i="1"/>
  <c r="S681" i="1"/>
  <c r="U681" i="1"/>
  <c r="V681" i="1"/>
  <c r="U680" i="1"/>
  <c r="V680" i="1"/>
  <c r="S680" i="1"/>
  <c r="U679" i="1"/>
  <c r="S679" i="1"/>
  <c r="V679" i="1"/>
  <c r="S678" i="1"/>
  <c r="U678" i="1"/>
  <c r="V678" i="1"/>
  <c r="S677" i="1"/>
  <c r="U677" i="1"/>
  <c r="V677" i="1"/>
  <c r="U676" i="1"/>
  <c r="V676" i="1"/>
  <c r="S676" i="1"/>
  <c r="U675" i="1"/>
  <c r="V675" i="1"/>
  <c r="S675" i="1"/>
  <c r="U674" i="1"/>
  <c r="S674" i="1"/>
  <c r="V674" i="1"/>
  <c r="V673" i="1"/>
  <c r="U673" i="1"/>
  <c r="S673" i="1"/>
  <c r="S672" i="1"/>
  <c r="V672" i="1"/>
  <c r="U672" i="1"/>
  <c r="S671" i="1"/>
  <c r="U671" i="1"/>
  <c r="V671" i="1"/>
  <c r="U670" i="1"/>
  <c r="V670" i="1"/>
  <c r="S670" i="1"/>
  <c r="S669" i="1"/>
  <c r="U669" i="1"/>
  <c r="V669" i="1"/>
  <c r="S668" i="1"/>
  <c r="U668" i="1"/>
  <c r="V668" i="1"/>
  <c r="S667" i="1"/>
  <c r="U667" i="1"/>
  <c r="V667" i="1"/>
  <c r="U666" i="1"/>
  <c r="S666" i="1"/>
  <c r="V666" i="1"/>
  <c r="V665" i="1"/>
  <c r="S665" i="1"/>
  <c r="U665" i="1"/>
  <c r="U664" i="1"/>
  <c r="V664" i="1"/>
  <c r="S664" i="1"/>
  <c r="S663" i="1"/>
  <c r="U663" i="1"/>
  <c r="V663" i="1"/>
  <c r="S662" i="1"/>
  <c r="U662" i="1"/>
  <c r="V662" i="1"/>
  <c r="U661" i="1"/>
  <c r="S661" i="1"/>
  <c r="V661" i="1"/>
  <c r="S660" i="1"/>
  <c r="U660" i="1"/>
  <c r="V660" i="1"/>
  <c r="S659" i="1"/>
  <c r="U659" i="1"/>
  <c r="V659" i="1"/>
  <c r="U658" i="1"/>
  <c r="S658" i="1"/>
  <c r="V658" i="1"/>
  <c r="V657" i="1"/>
  <c r="S657" i="1"/>
  <c r="U657" i="1"/>
  <c r="S656" i="1"/>
  <c r="U656" i="1"/>
  <c r="V656" i="1"/>
  <c r="V655" i="1"/>
  <c r="U655" i="1"/>
  <c r="S655" i="1"/>
  <c r="U654" i="1"/>
  <c r="V654" i="1"/>
  <c r="S654" i="1"/>
  <c r="S653" i="1"/>
  <c r="V653" i="1"/>
  <c r="U653" i="1"/>
  <c r="S652" i="1"/>
  <c r="U652" i="1"/>
  <c r="V652" i="1"/>
  <c r="S651" i="1"/>
  <c r="U651" i="1"/>
  <c r="V651" i="1"/>
  <c r="U650" i="1"/>
  <c r="S650" i="1"/>
  <c r="V650" i="1"/>
  <c r="S649" i="1"/>
  <c r="U649" i="1"/>
  <c r="V649" i="1"/>
  <c r="U648" i="1"/>
  <c r="V648" i="1"/>
  <c r="S648" i="1"/>
  <c r="S647" i="1"/>
  <c r="U647" i="1"/>
  <c r="V647" i="1"/>
  <c r="U646" i="1"/>
  <c r="S646" i="1"/>
  <c r="V646" i="1"/>
  <c r="V645" i="1"/>
  <c r="U645" i="1"/>
  <c r="S645" i="1"/>
  <c r="S644" i="1"/>
  <c r="V644" i="1"/>
  <c r="U644" i="1"/>
  <c r="S643" i="1"/>
  <c r="U643" i="1"/>
  <c r="V643" i="1"/>
  <c r="S642" i="1"/>
  <c r="U642" i="1"/>
  <c r="V642" i="1"/>
  <c r="S641" i="1"/>
  <c r="U641" i="1"/>
  <c r="V641" i="1"/>
  <c r="S640" i="1"/>
  <c r="V640" i="1"/>
  <c r="U640" i="1"/>
  <c r="V639" i="1"/>
  <c r="U639" i="1"/>
  <c r="S639" i="1"/>
  <c r="S638" i="1"/>
  <c r="U638" i="1"/>
  <c r="V638" i="1"/>
  <c r="S637" i="1"/>
  <c r="V637" i="1"/>
  <c r="U637" i="1"/>
  <c r="U636" i="1"/>
  <c r="V636" i="1"/>
  <c r="S636" i="1"/>
  <c r="V635" i="1"/>
  <c r="S635" i="1"/>
  <c r="U635" i="1"/>
  <c r="V634" i="1"/>
  <c r="U634" i="1"/>
  <c r="S634" i="1"/>
  <c r="U633" i="1"/>
  <c r="V633" i="1"/>
  <c r="S633" i="1"/>
  <c r="V632" i="1"/>
  <c r="U632" i="1"/>
  <c r="S632" i="1"/>
  <c r="V631" i="1"/>
  <c r="S631" i="1"/>
  <c r="U631" i="1"/>
  <c r="V629" i="1"/>
  <c r="U629" i="1"/>
  <c r="S629" i="1"/>
  <c r="U628" i="1"/>
  <c r="V628" i="1"/>
  <c r="S628" i="1"/>
  <c r="V627" i="1"/>
  <c r="U627" i="1"/>
  <c r="S627" i="1"/>
  <c r="V626" i="1"/>
  <c r="S626" i="1"/>
  <c r="U626" i="1"/>
  <c r="U625" i="1"/>
  <c r="V625" i="1"/>
  <c r="S625" i="1"/>
  <c r="V624" i="1"/>
  <c r="U624" i="1"/>
  <c r="S624" i="1"/>
  <c r="U623" i="1"/>
  <c r="S623" i="1"/>
  <c r="V623" i="1"/>
  <c r="S622" i="1"/>
  <c r="V622" i="1"/>
  <c r="U622" i="1"/>
  <c r="V621" i="1"/>
  <c r="U621" i="1"/>
  <c r="S621" i="1"/>
  <c r="U620" i="1"/>
  <c r="V620" i="1"/>
  <c r="S620" i="1"/>
  <c r="V619" i="1"/>
  <c r="U619" i="1"/>
  <c r="S619" i="1"/>
  <c r="V618" i="1"/>
  <c r="U618" i="1"/>
  <c r="S618" i="1"/>
  <c r="V617" i="1"/>
  <c r="U617" i="1"/>
  <c r="S617" i="1"/>
  <c r="V616" i="1"/>
  <c r="U616" i="1"/>
  <c r="S616" i="1"/>
  <c r="V615" i="1"/>
  <c r="U615" i="1"/>
  <c r="S615" i="1"/>
  <c r="S614" i="1"/>
  <c r="U614" i="1"/>
  <c r="V614" i="1"/>
  <c r="S613" i="1"/>
  <c r="V613" i="1"/>
  <c r="U613" i="1"/>
  <c r="V612" i="1"/>
  <c r="U612" i="1"/>
  <c r="S612" i="1"/>
  <c r="V611" i="1"/>
  <c r="U611" i="1"/>
  <c r="S611" i="1"/>
  <c r="U610" i="1"/>
  <c r="V610" i="1"/>
  <c r="S610" i="1"/>
  <c r="V609" i="1"/>
  <c r="S609" i="1"/>
  <c r="U609" i="1"/>
  <c r="V608" i="1"/>
  <c r="S608" i="1"/>
  <c r="U608" i="1"/>
  <c r="S607" i="1"/>
  <c r="U607" i="1"/>
  <c r="V607" i="1"/>
  <c r="V606" i="1"/>
  <c r="U606" i="1"/>
  <c r="S606" i="1"/>
  <c r="U605" i="1"/>
  <c r="S605" i="1"/>
  <c r="V605" i="1"/>
  <c r="V604" i="1"/>
  <c r="U604" i="1"/>
  <c r="S604" i="1"/>
  <c r="V603" i="1"/>
  <c r="U603" i="1"/>
  <c r="S603" i="1"/>
  <c r="S602" i="1"/>
  <c r="U602" i="1"/>
  <c r="V602" i="1"/>
  <c r="S601" i="1"/>
  <c r="U601" i="1"/>
  <c r="V601" i="1"/>
  <c r="V600" i="1"/>
  <c r="U600" i="1"/>
  <c r="S600" i="1"/>
  <c r="V599" i="1"/>
  <c r="U599" i="1"/>
  <c r="S599" i="1"/>
  <c r="V598" i="1"/>
  <c r="S598" i="1"/>
  <c r="U598" i="1"/>
  <c r="S597" i="1"/>
  <c r="U597" i="1"/>
  <c r="V597" i="1"/>
  <c r="S596" i="1"/>
  <c r="U596" i="1"/>
  <c r="V596" i="1"/>
  <c r="S595" i="1"/>
  <c r="U595" i="1"/>
  <c r="V595" i="1"/>
  <c r="V594" i="1"/>
  <c r="S594" i="1"/>
  <c r="U594" i="1"/>
  <c r="S593" i="1"/>
  <c r="U593" i="1"/>
  <c r="V593" i="1"/>
  <c r="V592" i="1"/>
  <c r="U592" i="1"/>
  <c r="S592" i="1"/>
  <c r="S591" i="1"/>
  <c r="V591" i="1"/>
  <c r="U591" i="1"/>
  <c r="V590" i="1"/>
  <c r="U590" i="1"/>
  <c r="S590" i="1"/>
  <c r="U589" i="1"/>
  <c r="V589" i="1"/>
  <c r="S589" i="1"/>
  <c r="U588" i="1"/>
  <c r="S588" i="1"/>
  <c r="V588" i="1"/>
  <c r="V587" i="1"/>
  <c r="U587" i="1"/>
  <c r="S587" i="1"/>
  <c r="V586" i="1"/>
  <c r="U586" i="1"/>
  <c r="S586" i="1"/>
  <c r="U585" i="1"/>
  <c r="V585" i="1"/>
  <c r="S585" i="1"/>
  <c r="V584" i="1"/>
  <c r="U584" i="1"/>
  <c r="S584" i="1"/>
  <c r="U583" i="1"/>
  <c r="V583" i="1"/>
  <c r="S583" i="1"/>
  <c r="S582" i="1"/>
  <c r="U582" i="1"/>
  <c r="V582" i="1"/>
  <c r="U581" i="1"/>
  <c r="V581" i="1"/>
  <c r="S581" i="1"/>
  <c r="S580" i="1"/>
  <c r="U580" i="1"/>
  <c r="V580" i="1"/>
  <c r="V579" i="1"/>
  <c r="U579" i="1"/>
  <c r="S579" i="1"/>
  <c r="V578" i="1"/>
  <c r="U578" i="1"/>
  <c r="S578" i="1"/>
  <c r="V577" i="1"/>
  <c r="S577" i="1"/>
  <c r="U577" i="1"/>
  <c r="S576" i="1"/>
  <c r="V576" i="1"/>
  <c r="U576" i="1"/>
  <c r="V575" i="1"/>
  <c r="S575" i="1"/>
  <c r="U575" i="1"/>
  <c r="S574" i="1"/>
  <c r="U574" i="1"/>
  <c r="V574" i="1"/>
  <c r="S573" i="1"/>
  <c r="U573" i="1"/>
  <c r="V573" i="1"/>
  <c r="V572" i="1"/>
  <c r="U572" i="1"/>
  <c r="S572" i="1"/>
  <c r="V571" i="1"/>
  <c r="U571" i="1"/>
  <c r="S571" i="1"/>
  <c r="S570" i="1"/>
  <c r="U570" i="1"/>
  <c r="V570" i="1"/>
  <c r="U569" i="1"/>
  <c r="V569" i="1"/>
  <c r="S569" i="1"/>
  <c r="S568" i="1"/>
  <c r="U568" i="1"/>
  <c r="V568" i="1"/>
  <c r="V567" i="1"/>
  <c r="U567" i="1"/>
  <c r="S567" i="1"/>
  <c r="S565" i="1"/>
  <c r="V565" i="1"/>
  <c r="U565" i="1"/>
  <c r="S564" i="1"/>
  <c r="U564" i="1"/>
  <c r="V564" i="1"/>
  <c r="V563" i="1"/>
  <c r="U563" i="1"/>
  <c r="S563" i="1"/>
  <c r="S562" i="1"/>
  <c r="U562" i="1"/>
  <c r="V562" i="1"/>
  <c r="S561" i="1"/>
  <c r="U561" i="1"/>
  <c r="V561" i="1"/>
  <c r="S560" i="1"/>
  <c r="U560" i="1"/>
  <c r="V560" i="1"/>
  <c r="U559" i="1"/>
  <c r="V559" i="1"/>
  <c r="S559" i="1"/>
  <c r="V558" i="1"/>
  <c r="U558" i="1"/>
  <c r="S558" i="1"/>
  <c r="V557" i="1"/>
  <c r="U557" i="1"/>
  <c r="S557" i="1"/>
  <c r="V556" i="1"/>
  <c r="U556" i="1"/>
  <c r="S556" i="1"/>
  <c r="V555" i="1"/>
  <c r="U555" i="1"/>
  <c r="S555" i="1"/>
  <c r="U554" i="1"/>
  <c r="V554" i="1"/>
  <c r="S554" i="1"/>
  <c r="U553" i="1"/>
  <c r="V553" i="1"/>
  <c r="S553" i="1"/>
  <c r="U552" i="1"/>
  <c r="S552" i="1"/>
  <c r="V552" i="1"/>
  <c r="V551" i="1"/>
  <c r="S551" i="1"/>
  <c r="U551" i="1"/>
  <c r="V550" i="1"/>
  <c r="U550" i="1"/>
  <c r="S550" i="1"/>
  <c r="U549" i="1"/>
  <c r="S549" i="1"/>
  <c r="V549" i="1"/>
  <c r="V548" i="1"/>
  <c r="S548" i="1"/>
  <c r="U548" i="1"/>
  <c r="S547" i="1"/>
  <c r="U547" i="1"/>
  <c r="V547" i="1"/>
  <c r="U546" i="1"/>
  <c r="S546" i="1"/>
  <c r="V546" i="1"/>
  <c r="V545" i="1"/>
  <c r="U545" i="1"/>
  <c r="S545" i="1"/>
  <c r="V544" i="1"/>
  <c r="U544" i="1"/>
  <c r="S544" i="1"/>
  <c r="S541" i="1"/>
  <c r="V541" i="1"/>
  <c r="U541" i="1"/>
  <c r="V540" i="1"/>
  <c r="U540" i="1"/>
  <c r="S540" i="1"/>
  <c r="U539" i="1"/>
  <c r="V539" i="1"/>
  <c r="S538" i="1"/>
  <c r="U538" i="1"/>
  <c r="V538" i="1"/>
  <c r="V537" i="1"/>
  <c r="S537" i="1"/>
  <c r="U537" i="1"/>
  <c r="S536" i="1"/>
  <c r="U536" i="1"/>
  <c r="V536" i="1"/>
  <c r="U535" i="1"/>
  <c r="V535" i="1"/>
  <c r="S535" i="1"/>
  <c r="V534" i="1"/>
  <c r="U534" i="1"/>
  <c r="S534" i="1"/>
  <c r="V533" i="1"/>
  <c r="U533" i="1"/>
  <c r="S533" i="1"/>
  <c r="U532" i="1"/>
  <c r="V532" i="1"/>
  <c r="S532" i="1"/>
  <c r="V531" i="1"/>
  <c r="U531" i="1"/>
  <c r="S531" i="1"/>
  <c r="V530" i="1"/>
  <c r="U530" i="1"/>
  <c r="S530" i="1"/>
  <c r="S529" i="1"/>
  <c r="V529" i="1"/>
  <c r="U529" i="1"/>
  <c r="S528" i="1"/>
  <c r="U528" i="1"/>
  <c r="V528" i="1"/>
  <c r="S527" i="1"/>
  <c r="U527" i="1"/>
  <c r="V527" i="1"/>
  <c r="S526" i="1"/>
  <c r="V526" i="1"/>
  <c r="U526" i="1"/>
  <c r="S525" i="1"/>
  <c r="U525" i="1"/>
  <c r="V525" i="1"/>
  <c r="S524" i="1"/>
  <c r="U524" i="1"/>
  <c r="V524" i="1"/>
  <c r="S523" i="1"/>
  <c r="U523" i="1"/>
  <c r="V523" i="1"/>
  <c r="U522" i="1"/>
  <c r="S522" i="1"/>
  <c r="V522" i="1"/>
  <c r="V521" i="1"/>
  <c r="U521" i="1"/>
  <c r="S521" i="1"/>
  <c r="V520" i="1"/>
  <c r="U520" i="1"/>
  <c r="S520" i="1"/>
  <c r="V519" i="1"/>
  <c r="S519" i="1"/>
  <c r="U519" i="1"/>
  <c r="U518" i="1"/>
  <c r="V518" i="1"/>
  <c r="S518" i="1"/>
  <c r="V517" i="1"/>
  <c r="U517" i="1"/>
  <c r="S517" i="1"/>
  <c r="V516" i="1"/>
  <c r="U516" i="1"/>
  <c r="S516" i="1"/>
  <c r="U515" i="1"/>
  <c r="V515" i="1"/>
  <c r="S515" i="1"/>
  <c r="S514" i="1"/>
  <c r="V514" i="1"/>
  <c r="U514" i="1"/>
  <c r="U513" i="1"/>
  <c r="S513" i="1"/>
  <c r="V513" i="1"/>
  <c r="U512" i="1"/>
  <c r="V512" i="1"/>
  <c r="S512" i="1"/>
  <c r="V511" i="1"/>
  <c r="U511" i="1"/>
  <c r="S511" i="1"/>
  <c r="V510" i="1"/>
  <c r="S510" i="1"/>
  <c r="U510" i="1"/>
  <c r="S509" i="1"/>
  <c r="V509" i="1"/>
  <c r="U509" i="1"/>
  <c r="S508" i="1"/>
  <c r="V508" i="1"/>
  <c r="U508" i="1"/>
  <c r="U507" i="1"/>
  <c r="V507" i="1"/>
  <c r="S507" i="1"/>
  <c r="U506" i="1"/>
  <c r="V506" i="1"/>
  <c r="S506" i="1"/>
  <c r="U505" i="1"/>
  <c r="S505" i="1"/>
  <c r="V505" i="1"/>
  <c r="U500" i="1"/>
  <c r="V500" i="1"/>
  <c r="S500" i="1"/>
  <c r="U499" i="1"/>
  <c r="S499" i="1"/>
  <c r="V499" i="1"/>
  <c r="U495" i="1"/>
  <c r="V495" i="1"/>
  <c r="S495" i="1"/>
  <c r="U494" i="1"/>
  <c r="V494" i="1"/>
  <c r="S494" i="1"/>
  <c r="U493" i="1"/>
  <c r="V493" i="1"/>
  <c r="S493" i="1"/>
  <c r="V488" i="1"/>
  <c r="U488" i="1"/>
  <c r="S488" i="1"/>
  <c r="U487" i="1"/>
  <c r="V487" i="1"/>
  <c r="S487" i="1"/>
  <c r="S486" i="1"/>
  <c r="U486" i="1"/>
  <c r="V486" i="1"/>
  <c r="V485" i="1"/>
  <c r="X485" i="1" s="1"/>
  <c r="A486" i="1" s="1"/>
  <c r="X486" i="1" s="1"/>
  <c r="A487" i="1" s="1"/>
  <c r="X487" i="1" s="1"/>
  <c r="A488" i="1" s="1"/>
  <c r="X488" i="1" s="1"/>
  <c r="A489" i="1" s="1"/>
  <c r="X489" i="1" s="1"/>
  <c r="A490" i="1" s="1"/>
  <c r="X490" i="1" s="1"/>
  <c r="A491" i="1" s="1"/>
  <c r="X491" i="1" s="1"/>
  <c r="A492" i="1" s="1"/>
  <c r="X492" i="1" s="1"/>
  <c r="A493" i="1" s="1"/>
  <c r="X493" i="1" s="1"/>
  <c r="A494" i="1" s="1"/>
  <c r="X494" i="1" s="1"/>
  <c r="A495" i="1" s="1"/>
  <c r="X495" i="1" s="1"/>
  <c r="A496" i="1" s="1"/>
  <c r="X496" i="1" s="1"/>
  <c r="A497" i="1" s="1"/>
  <c r="X497" i="1" s="1"/>
  <c r="A498" i="1" s="1"/>
  <c r="X498" i="1" s="1"/>
  <c r="A499" i="1" s="1"/>
  <c r="X499" i="1" s="1"/>
  <c r="A500" i="1" s="1"/>
  <c r="X500" i="1" s="1"/>
  <c r="A501" i="1" s="1"/>
  <c r="X501" i="1" s="1"/>
  <c r="A502" i="1" s="1"/>
  <c r="X502" i="1" s="1"/>
  <c r="A503" i="1" s="1"/>
  <c r="X503" i="1" s="1"/>
  <c r="A504" i="1" s="1"/>
  <c r="X504" i="1" s="1"/>
  <c r="A505" i="1" s="1"/>
  <c r="X505" i="1" s="1"/>
  <c r="A506" i="1" s="1"/>
  <c r="X506" i="1" s="1"/>
  <c r="A507" i="1" s="1"/>
  <c r="X507" i="1" s="1"/>
  <c r="A508" i="1" s="1"/>
  <c r="X508" i="1" s="1"/>
  <c r="A509" i="1" s="1"/>
  <c r="X509" i="1" s="1"/>
  <c r="A510" i="1" s="1"/>
  <c r="X510" i="1" s="1"/>
  <c r="A511" i="1" s="1"/>
  <c r="X511" i="1" s="1"/>
  <c r="A512" i="1" s="1"/>
  <c r="X512" i="1" s="1"/>
  <c r="A513" i="1" s="1"/>
  <c r="X513" i="1" s="1"/>
  <c r="A514" i="1" s="1"/>
  <c r="X514" i="1" s="1"/>
  <c r="A515" i="1" s="1"/>
  <c r="X515" i="1" s="1"/>
  <c r="A516" i="1" s="1"/>
  <c r="X516" i="1" s="1"/>
  <c r="A517" i="1" s="1"/>
  <c r="X517" i="1" s="1"/>
  <c r="A518" i="1" s="1"/>
  <c r="X518" i="1" s="1"/>
  <c r="A519" i="1" s="1"/>
  <c r="X519" i="1" s="1"/>
  <c r="A520" i="1" s="1"/>
  <c r="X520" i="1" s="1"/>
  <c r="A521" i="1" s="1"/>
  <c r="X521" i="1" s="1"/>
  <c r="A522" i="1" s="1"/>
  <c r="X522" i="1" s="1"/>
  <c r="A523" i="1" s="1"/>
  <c r="X523" i="1" s="1"/>
  <c r="A524" i="1" s="1"/>
  <c r="X524" i="1" s="1"/>
  <c r="A525" i="1" s="1"/>
  <c r="X525" i="1" s="1"/>
  <c r="A526" i="1" s="1"/>
  <c r="X526" i="1" s="1"/>
  <c r="A527" i="1" s="1"/>
  <c r="X527" i="1" s="1"/>
  <c r="A528" i="1" s="1"/>
  <c r="X528" i="1" s="1"/>
  <c r="A529" i="1" s="1"/>
  <c r="X529" i="1" s="1"/>
  <c r="A530" i="1" s="1"/>
  <c r="X530" i="1" s="1"/>
  <c r="A531" i="1" s="1"/>
  <c r="X531" i="1" s="1"/>
  <c r="A532" i="1" s="1"/>
  <c r="X532" i="1" s="1"/>
  <c r="A533" i="1" s="1"/>
  <c r="X533" i="1" s="1"/>
  <c r="A534" i="1" s="1"/>
  <c r="X534" i="1" s="1"/>
  <c r="A535" i="1" s="1"/>
  <c r="X535" i="1" s="1"/>
  <c r="A536" i="1" s="1"/>
  <c r="X536" i="1" s="1"/>
  <c r="A537" i="1" s="1"/>
  <c r="X537" i="1" s="1"/>
  <c r="A538" i="1" s="1"/>
  <c r="X538" i="1" s="1"/>
  <c r="A539" i="1" s="1"/>
  <c r="X539" i="1" s="1"/>
  <c r="A540" i="1" s="1"/>
  <c r="X540" i="1" s="1"/>
  <c r="A541" i="1" s="1"/>
  <c r="X541" i="1" s="1"/>
  <c r="A542" i="1" s="1"/>
  <c r="X542" i="1" s="1"/>
  <c r="A543" i="1" s="1"/>
  <c r="X543" i="1" s="1"/>
  <c r="A544" i="1" s="1"/>
  <c r="X544" i="1" s="1"/>
  <c r="A545" i="1" s="1"/>
  <c r="X545" i="1" s="1"/>
  <c r="A546" i="1" s="1"/>
  <c r="X546" i="1" s="1"/>
  <c r="A547" i="1" s="1"/>
  <c r="X547" i="1" s="1"/>
  <c r="A548" i="1" s="1"/>
  <c r="X548" i="1" s="1"/>
  <c r="A549" i="1" s="1"/>
  <c r="X549" i="1" s="1"/>
  <c r="A550" i="1" s="1"/>
  <c r="X550" i="1" s="1"/>
  <c r="A551" i="1" s="1"/>
  <c r="X551" i="1" s="1"/>
  <c r="A552" i="1" s="1"/>
  <c r="X552" i="1" s="1"/>
  <c r="A553" i="1" s="1"/>
  <c r="X553" i="1" s="1"/>
  <c r="A554" i="1" s="1"/>
  <c r="X554" i="1" s="1"/>
  <c r="A555" i="1" s="1"/>
  <c r="X555" i="1" s="1"/>
  <c r="A556" i="1" s="1"/>
  <c r="X556" i="1" s="1"/>
  <c r="A557" i="1" s="1"/>
  <c r="X557" i="1" s="1"/>
  <c r="A558" i="1" s="1"/>
  <c r="X558" i="1" s="1"/>
  <c r="A559" i="1" s="1"/>
  <c r="X559" i="1" s="1"/>
  <c r="A560" i="1" s="1"/>
  <c r="X560" i="1" s="1"/>
  <c r="A561" i="1" s="1"/>
  <c r="X561" i="1" s="1"/>
  <c r="A562" i="1" s="1"/>
  <c r="X562" i="1" s="1"/>
  <c r="A563" i="1" s="1"/>
  <c r="X563" i="1" s="1"/>
  <c r="A564" i="1" s="1"/>
  <c r="X564" i="1" s="1"/>
  <c r="A565" i="1" s="1"/>
  <c r="X565" i="1" s="1"/>
  <c r="A566" i="1" s="1"/>
  <c r="X566" i="1" s="1"/>
  <c r="A567" i="1" s="1"/>
  <c r="X567" i="1" s="1"/>
  <c r="A568" i="1" s="1"/>
  <c r="X568" i="1" s="1"/>
  <c r="A569" i="1" s="1"/>
  <c r="X569" i="1" s="1"/>
  <c r="A570" i="1" s="1"/>
  <c r="X570" i="1" s="1"/>
  <c r="A571" i="1" s="1"/>
  <c r="X571" i="1" s="1"/>
  <c r="A572" i="1" s="1"/>
  <c r="X572" i="1" s="1"/>
  <c r="A573" i="1" s="1"/>
  <c r="X573" i="1" s="1"/>
  <c r="A574" i="1" s="1"/>
  <c r="X574" i="1" s="1"/>
  <c r="A575" i="1" s="1"/>
  <c r="X575" i="1" s="1"/>
  <c r="A576" i="1" s="1"/>
  <c r="X576" i="1" s="1"/>
  <c r="A577" i="1" s="1"/>
  <c r="X577" i="1" s="1"/>
  <c r="A578" i="1" s="1"/>
  <c r="X578" i="1" s="1"/>
  <c r="A579" i="1" s="1"/>
  <c r="X579" i="1" s="1"/>
  <c r="A580" i="1" s="1"/>
  <c r="X580" i="1" s="1"/>
  <c r="A581" i="1" s="1"/>
  <c r="X581" i="1" s="1"/>
  <c r="A582" i="1" s="1"/>
  <c r="X582" i="1" s="1"/>
  <c r="A583" i="1" s="1"/>
  <c r="X583" i="1" s="1"/>
  <c r="A584" i="1" s="1"/>
  <c r="X584" i="1" s="1"/>
  <c r="A585" i="1" s="1"/>
  <c r="X585" i="1" s="1"/>
  <c r="A586" i="1" s="1"/>
  <c r="X586" i="1" s="1"/>
  <c r="A587" i="1" s="1"/>
  <c r="X587" i="1" s="1"/>
  <c r="A588" i="1" s="1"/>
  <c r="X588" i="1" s="1"/>
  <c r="A589" i="1" s="1"/>
  <c r="X589" i="1" s="1"/>
  <c r="A590" i="1" s="1"/>
  <c r="X590" i="1" s="1"/>
  <c r="A591" i="1" s="1"/>
  <c r="X591" i="1" s="1"/>
  <c r="A592" i="1" s="1"/>
  <c r="X592" i="1" s="1"/>
  <c r="A593" i="1" s="1"/>
  <c r="X593" i="1" s="1"/>
  <c r="A594" i="1" s="1"/>
  <c r="X594" i="1" s="1"/>
  <c r="A595" i="1" s="1"/>
  <c r="X595" i="1" s="1"/>
  <c r="A596" i="1" s="1"/>
  <c r="X596" i="1" s="1"/>
  <c r="A597" i="1" s="1"/>
  <c r="X597" i="1" s="1"/>
  <c r="A598" i="1" s="1"/>
  <c r="X598" i="1" s="1"/>
  <c r="A599" i="1" s="1"/>
  <c r="X599" i="1" s="1"/>
  <c r="A600" i="1" s="1"/>
  <c r="X600" i="1" s="1"/>
  <c r="A601" i="1" s="1"/>
  <c r="X601" i="1" s="1"/>
  <c r="A602" i="1" s="1"/>
  <c r="X602" i="1" s="1"/>
  <c r="A603" i="1" s="1"/>
  <c r="X603" i="1" s="1"/>
  <c r="A604" i="1" s="1"/>
  <c r="X604" i="1" s="1"/>
  <c r="A605" i="1" s="1"/>
  <c r="X605" i="1" s="1"/>
  <c r="A606" i="1" s="1"/>
  <c r="X606" i="1" s="1"/>
  <c r="A607" i="1" s="1"/>
  <c r="X607" i="1" s="1"/>
  <c r="A608" i="1" s="1"/>
  <c r="X608" i="1" s="1"/>
  <c r="A609" i="1" s="1"/>
  <c r="X609" i="1" s="1"/>
  <c r="A610" i="1" s="1"/>
  <c r="X610" i="1" s="1"/>
  <c r="A611" i="1" s="1"/>
  <c r="X611" i="1" s="1"/>
  <c r="A612" i="1" s="1"/>
  <c r="X612" i="1" s="1"/>
  <c r="A613" i="1" s="1"/>
  <c r="X613" i="1" s="1"/>
  <c r="A614" i="1" s="1"/>
  <c r="X614" i="1" s="1"/>
  <c r="A615" i="1" s="1"/>
  <c r="X615" i="1" s="1"/>
  <c r="A616" i="1" s="1"/>
  <c r="X616" i="1" s="1"/>
  <c r="A617" i="1" s="1"/>
  <c r="X617" i="1" s="1"/>
  <c r="A618" i="1" s="1"/>
  <c r="X618" i="1" s="1"/>
  <c r="A619" i="1" s="1"/>
  <c r="X619" i="1" s="1"/>
  <c r="A620" i="1" s="1"/>
  <c r="X620" i="1" s="1"/>
  <c r="A621" i="1" s="1"/>
  <c r="X621" i="1" s="1"/>
  <c r="A622" i="1" s="1"/>
  <c r="X622" i="1" s="1"/>
  <c r="A623" i="1" s="1"/>
  <c r="X623" i="1" s="1"/>
  <c r="A624" i="1" s="1"/>
  <c r="X624" i="1" s="1"/>
  <c r="A625" i="1" s="1"/>
  <c r="X625" i="1" s="1"/>
  <c r="A626" i="1" s="1"/>
  <c r="X626" i="1" s="1"/>
  <c r="A627" i="1" s="1"/>
  <c r="X627" i="1" s="1"/>
  <c r="A628" i="1" s="1"/>
  <c r="X628" i="1" s="1"/>
  <c r="A629" i="1" s="1"/>
  <c r="X629" i="1" s="1"/>
  <c r="A630" i="1" s="1"/>
  <c r="X630" i="1" s="1"/>
  <c r="A631" i="1" s="1"/>
  <c r="X631" i="1" s="1"/>
  <c r="A632" i="1" s="1"/>
  <c r="X632" i="1" s="1"/>
  <c r="A633" i="1" s="1"/>
  <c r="X633" i="1" s="1"/>
  <c r="A634" i="1" s="1"/>
  <c r="X634" i="1" s="1"/>
  <c r="A635" i="1" s="1"/>
  <c r="X635" i="1" s="1"/>
  <c r="A636" i="1" s="1"/>
  <c r="X636" i="1" s="1"/>
  <c r="A637" i="1" s="1"/>
  <c r="X637" i="1" s="1"/>
  <c r="A638" i="1" s="1"/>
  <c r="X638" i="1" s="1"/>
  <c r="A639" i="1" s="1"/>
  <c r="X639" i="1" s="1"/>
  <c r="A640" i="1" s="1"/>
  <c r="X640" i="1" s="1"/>
  <c r="A641" i="1" s="1"/>
  <c r="X641" i="1" s="1"/>
  <c r="A642" i="1" s="1"/>
  <c r="X642" i="1" s="1"/>
  <c r="A643" i="1" s="1"/>
  <c r="X643" i="1" s="1"/>
  <c r="A644" i="1" s="1"/>
  <c r="X644" i="1" s="1"/>
  <c r="A645" i="1" s="1"/>
  <c r="X645" i="1" s="1"/>
  <c r="A646" i="1" s="1"/>
  <c r="X646" i="1" s="1"/>
  <c r="A647" i="1" s="1"/>
  <c r="X647" i="1" s="1"/>
  <c r="A648" i="1" s="1"/>
  <c r="X648" i="1" s="1"/>
  <c r="A649" i="1" s="1"/>
  <c r="X649" i="1" s="1"/>
  <c r="A650" i="1" s="1"/>
  <c r="X650" i="1" s="1"/>
  <c r="A651" i="1" s="1"/>
  <c r="X651" i="1" s="1"/>
  <c r="A652" i="1" s="1"/>
  <c r="X652" i="1" s="1"/>
  <c r="A653" i="1" s="1"/>
  <c r="X653" i="1" s="1"/>
  <c r="A654" i="1" s="1"/>
  <c r="X654" i="1" s="1"/>
  <c r="A655" i="1" s="1"/>
  <c r="X655" i="1" s="1"/>
  <c r="A656" i="1" s="1"/>
  <c r="X656" i="1" s="1"/>
  <c r="A657" i="1" s="1"/>
  <c r="X657" i="1" s="1"/>
  <c r="A658" i="1" s="1"/>
  <c r="X658" i="1" s="1"/>
  <c r="A659" i="1" s="1"/>
  <c r="X659" i="1" s="1"/>
  <c r="A660" i="1" s="1"/>
  <c r="X660" i="1" s="1"/>
  <c r="A661" i="1" s="1"/>
  <c r="X661" i="1" s="1"/>
  <c r="A662" i="1" s="1"/>
  <c r="X662" i="1" s="1"/>
  <c r="A663" i="1" s="1"/>
  <c r="X663" i="1" s="1"/>
  <c r="A664" i="1" s="1"/>
  <c r="X664" i="1" s="1"/>
  <c r="A665" i="1" s="1"/>
  <c r="X665" i="1" s="1"/>
  <c r="A666" i="1" s="1"/>
  <c r="X666" i="1" s="1"/>
  <c r="A667" i="1" s="1"/>
  <c r="X667" i="1" s="1"/>
  <c r="A668" i="1" s="1"/>
  <c r="X668" i="1" s="1"/>
  <c r="A669" i="1" s="1"/>
  <c r="X669" i="1" s="1"/>
  <c r="A670" i="1" s="1"/>
  <c r="X670" i="1" s="1"/>
  <c r="A671" i="1" s="1"/>
  <c r="X671" i="1" s="1"/>
  <c r="A672" i="1" s="1"/>
  <c r="X672" i="1" s="1"/>
  <c r="A673" i="1" s="1"/>
  <c r="X673" i="1" s="1"/>
  <c r="A674" i="1" s="1"/>
  <c r="X674" i="1" s="1"/>
  <c r="A675" i="1" s="1"/>
  <c r="X675" i="1" s="1"/>
  <c r="A676" i="1" s="1"/>
  <c r="X676" i="1" s="1"/>
  <c r="A677" i="1" s="1"/>
  <c r="X677" i="1" s="1"/>
  <c r="A678" i="1" s="1"/>
  <c r="X678" i="1" s="1"/>
  <c r="A679" i="1" s="1"/>
  <c r="X679" i="1" s="1"/>
  <c r="A680" i="1" s="1"/>
  <c r="X680" i="1" s="1"/>
  <c r="A681" i="1" s="1"/>
  <c r="X681" i="1" s="1"/>
  <c r="A682" i="1" s="1"/>
  <c r="X682" i="1" s="1"/>
  <c r="A683" i="1" s="1"/>
  <c r="X683" i="1" s="1"/>
  <c r="A684" i="1" s="1"/>
  <c r="X684" i="1" s="1"/>
  <c r="A685" i="1" s="1"/>
  <c r="X685" i="1" s="1"/>
  <c r="A686" i="1" s="1"/>
  <c r="X686" i="1" s="1"/>
  <c r="A687" i="1" s="1"/>
  <c r="X687" i="1" s="1"/>
  <c r="A688" i="1" s="1"/>
  <c r="X688" i="1" s="1"/>
  <c r="A689" i="1" s="1"/>
  <c r="X689" i="1" s="1"/>
  <c r="A690" i="1" s="1"/>
  <c r="X690" i="1" s="1"/>
  <c r="A691" i="1" s="1"/>
  <c r="X691" i="1" s="1"/>
  <c r="A692" i="1" s="1"/>
  <c r="X692" i="1" s="1"/>
  <c r="A693" i="1" s="1"/>
  <c r="X693" i="1" s="1"/>
  <c r="A694" i="1" s="1"/>
  <c r="X694" i="1" s="1"/>
  <c r="A695" i="1" s="1"/>
  <c r="X695" i="1" s="1"/>
  <c r="A696" i="1" s="1"/>
  <c r="X696" i="1" s="1"/>
  <c r="A697" i="1" s="1"/>
  <c r="X697" i="1" s="1"/>
  <c r="A698" i="1" s="1"/>
  <c r="X698" i="1" s="1"/>
  <c r="A699" i="1" s="1"/>
  <c r="X699" i="1" s="1"/>
  <c r="A700" i="1" s="1"/>
  <c r="X700" i="1" s="1"/>
  <c r="A701" i="1" s="1"/>
  <c r="X701" i="1" s="1"/>
  <c r="A702" i="1" s="1"/>
  <c r="X702" i="1" s="1"/>
  <c r="A703" i="1" s="1"/>
  <c r="X703" i="1" s="1"/>
  <c r="A704" i="1" s="1"/>
  <c r="X704" i="1" s="1"/>
  <c r="A705" i="1" s="1"/>
  <c r="X705" i="1" s="1"/>
  <c r="A706" i="1" s="1"/>
  <c r="X706" i="1" s="1"/>
  <c r="A707" i="1" s="1"/>
  <c r="X707" i="1" s="1"/>
  <c r="A708" i="1" s="1"/>
  <c r="X708" i="1" s="1"/>
  <c r="A709" i="1" s="1"/>
  <c r="X709" i="1" s="1"/>
  <c r="A710" i="1" s="1"/>
  <c r="X710" i="1" s="1"/>
  <c r="A711" i="1" s="1"/>
  <c r="X711" i="1" s="1"/>
  <c r="A712" i="1" s="1"/>
  <c r="X712" i="1" s="1"/>
  <c r="A713" i="1" s="1"/>
  <c r="X713" i="1" s="1"/>
  <c r="A714" i="1" s="1"/>
  <c r="X714" i="1" s="1"/>
  <c r="A715" i="1" s="1"/>
  <c r="X715" i="1" s="1"/>
  <c r="A716" i="1" s="1"/>
  <c r="X716" i="1" s="1"/>
  <c r="A717" i="1" s="1"/>
  <c r="X717" i="1" s="1"/>
  <c r="A718" i="1" s="1"/>
  <c r="X718" i="1" s="1"/>
  <c r="A719" i="1" s="1"/>
  <c r="X719" i="1" s="1"/>
  <c r="A720" i="1" s="1"/>
  <c r="X720" i="1" s="1"/>
  <c r="A721" i="1" s="1"/>
  <c r="X721" i="1" s="1"/>
  <c r="S485" i="1"/>
  <c r="U485" i="1"/>
  <c r="S481" i="1"/>
  <c r="U481" i="1"/>
  <c r="V481" i="1" s="1"/>
  <c r="S480" i="1"/>
  <c r="U480" i="1"/>
  <c r="V480" i="1" s="1"/>
  <c r="U479" i="1"/>
  <c r="V479" i="1" s="1"/>
  <c r="S479" i="1"/>
  <c r="U478" i="1"/>
  <c r="V478" i="1" s="1"/>
  <c r="S478" i="1"/>
  <c r="S477" i="1"/>
  <c r="U477" i="1"/>
  <c r="V477" i="1" s="1"/>
  <c r="U476" i="1"/>
  <c r="V476" i="1" s="1"/>
  <c r="S476" i="1"/>
  <c r="U475" i="1"/>
  <c r="V475" i="1" s="1"/>
  <c r="S475" i="1"/>
  <c r="S474" i="1"/>
  <c r="U474" i="1"/>
  <c r="V474" i="1" s="1"/>
  <c r="U473" i="1"/>
  <c r="V473" i="1" s="1"/>
  <c r="S473" i="1"/>
  <c r="S472" i="1"/>
  <c r="U472" i="1"/>
  <c r="V472" i="1" s="1"/>
  <c r="U471" i="1"/>
  <c r="V471" i="1" s="1"/>
  <c r="S471" i="1"/>
  <c r="U470" i="1"/>
  <c r="V470" i="1" s="1"/>
  <c r="S470" i="1"/>
  <c r="U469" i="1"/>
  <c r="V469" i="1" s="1"/>
  <c r="S469" i="1"/>
  <c r="U468" i="1"/>
  <c r="V468" i="1" s="1"/>
  <c r="S468" i="1"/>
  <c r="U467" i="1"/>
  <c r="V467" i="1" s="1"/>
  <c r="S467" i="1"/>
  <c r="S466" i="1"/>
  <c r="U466" i="1"/>
  <c r="V466" i="1" s="1"/>
  <c r="U465" i="1"/>
  <c r="V465" i="1" s="1"/>
  <c r="S465" i="1"/>
  <c r="U464" i="1"/>
  <c r="V464" i="1" s="1"/>
  <c r="S464" i="1"/>
  <c r="U463" i="1"/>
  <c r="V463" i="1" s="1"/>
  <c r="S463" i="1"/>
  <c r="S462" i="1"/>
  <c r="U462" i="1"/>
  <c r="V462" i="1" s="1"/>
  <c r="S461" i="1"/>
  <c r="U461" i="1"/>
  <c r="V461" i="1" s="1"/>
  <c r="U460" i="1"/>
  <c r="V460" i="1" s="1"/>
  <c r="S460" i="1"/>
  <c r="S459" i="1"/>
  <c r="U459" i="1"/>
  <c r="V459" i="1" s="1"/>
  <c r="U458" i="1"/>
  <c r="V458" i="1" s="1"/>
  <c r="S458" i="1"/>
  <c r="U457" i="1"/>
  <c r="V457" i="1" s="1"/>
  <c r="S457" i="1"/>
  <c r="S456" i="1"/>
  <c r="U456" i="1"/>
  <c r="V456" i="1" s="1"/>
  <c r="U455" i="1"/>
  <c r="V455" i="1" s="1"/>
  <c r="S455" i="1"/>
  <c r="S454" i="1"/>
  <c r="U454" i="1"/>
  <c r="V454" i="1" s="1"/>
  <c r="U453" i="1"/>
  <c r="V453" i="1" s="1"/>
  <c r="S453" i="1"/>
  <c r="U452" i="1"/>
  <c r="V452" i="1" s="1"/>
  <c r="S452" i="1"/>
  <c r="S451" i="1"/>
  <c r="U451" i="1"/>
  <c r="V451" i="1" s="1"/>
  <c r="U450" i="1"/>
  <c r="V450" i="1" s="1"/>
  <c r="S450" i="1"/>
  <c r="U449" i="1"/>
  <c r="V449" i="1" s="1"/>
  <c r="S449" i="1"/>
  <c r="S448" i="1"/>
  <c r="U448" i="1"/>
  <c r="V448" i="1" s="1"/>
  <c r="U447" i="1"/>
  <c r="V447" i="1" s="1"/>
  <c r="S447" i="1"/>
  <c r="S446" i="1"/>
  <c r="U446" i="1"/>
  <c r="V446" i="1" s="1"/>
  <c r="U445" i="1"/>
  <c r="V445" i="1" s="1"/>
  <c r="S445" i="1"/>
  <c r="U444" i="1"/>
  <c r="V444" i="1" s="1"/>
  <c r="S444" i="1"/>
  <c r="U443" i="1"/>
  <c r="V443" i="1" s="1"/>
  <c r="S443" i="1"/>
  <c r="S442" i="1"/>
  <c r="U442" i="1"/>
  <c r="V442" i="1" s="1"/>
  <c r="S441" i="1"/>
  <c r="U441" i="1"/>
  <c r="V441" i="1" s="1"/>
  <c r="S440" i="1"/>
  <c r="U440" i="1"/>
  <c r="V440" i="1" s="1"/>
  <c r="V439" i="1"/>
  <c r="S439" i="1"/>
  <c r="U439" i="1"/>
  <c r="V438" i="1"/>
  <c r="U438" i="1"/>
  <c r="S438" i="1"/>
  <c r="S437" i="1"/>
  <c r="U437" i="1"/>
  <c r="V437" i="1"/>
  <c r="U436" i="1"/>
  <c r="V436" i="1"/>
  <c r="S436" i="1"/>
  <c r="V435" i="1"/>
  <c r="S435" i="1"/>
  <c r="U435" i="1"/>
  <c r="U434" i="1"/>
  <c r="V434" i="1"/>
  <c r="S434" i="1"/>
  <c r="S433" i="1"/>
  <c r="V433" i="1"/>
  <c r="U433" i="1"/>
  <c r="S432" i="1"/>
  <c r="U432" i="1"/>
  <c r="V432" i="1"/>
  <c r="U431" i="1"/>
  <c r="S431" i="1"/>
  <c r="V431" i="1"/>
  <c r="U430" i="1"/>
  <c r="V430" i="1"/>
  <c r="S430" i="1"/>
  <c r="V429" i="1"/>
  <c r="S429" i="1"/>
  <c r="U429" i="1"/>
  <c r="S428" i="1"/>
  <c r="U428" i="1"/>
  <c r="V428" i="1"/>
  <c r="S427" i="1"/>
  <c r="V427" i="1"/>
  <c r="U427" i="1"/>
  <c r="S426" i="1"/>
  <c r="V426" i="1"/>
  <c r="U426" i="1"/>
  <c r="U425" i="1"/>
  <c r="V425" i="1"/>
  <c r="S425" i="1"/>
  <c r="U424" i="1"/>
  <c r="V424" i="1"/>
  <c r="S424" i="1"/>
  <c r="U423" i="1"/>
  <c r="V423" i="1"/>
  <c r="S423" i="1"/>
  <c r="U422" i="1"/>
  <c r="S422" i="1"/>
  <c r="V422" i="1"/>
  <c r="V421" i="1"/>
  <c r="S421" i="1"/>
  <c r="U421" i="1"/>
  <c r="S420" i="1"/>
  <c r="V420" i="1"/>
  <c r="U420" i="1"/>
  <c r="U419" i="1"/>
  <c r="S419" i="1"/>
  <c r="V419" i="1"/>
  <c r="S418" i="1"/>
  <c r="U418" i="1"/>
  <c r="V418" i="1"/>
  <c r="U417" i="1"/>
  <c r="S417" i="1"/>
  <c r="V417" i="1"/>
  <c r="U416" i="1"/>
  <c r="V416" i="1"/>
  <c r="S416" i="1"/>
  <c r="V415" i="1"/>
  <c r="S415" i="1"/>
  <c r="U415" i="1"/>
  <c r="U414" i="1"/>
  <c r="V414" i="1"/>
  <c r="S414" i="1"/>
  <c r="V413" i="1"/>
  <c r="S413" i="1"/>
  <c r="U413" i="1"/>
  <c r="U412" i="1"/>
  <c r="V412" i="1"/>
  <c r="S412" i="1"/>
  <c r="U410" i="1"/>
  <c r="V410" i="1"/>
  <c r="S410" i="1"/>
  <c r="U409" i="1"/>
  <c r="V409" i="1"/>
  <c r="S409" i="1"/>
  <c r="U408" i="1"/>
  <c r="S408" i="1"/>
  <c r="V408" i="1"/>
  <c r="U407" i="1"/>
  <c r="V407" i="1"/>
  <c r="S407" i="1"/>
  <c r="S406" i="1"/>
  <c r="U406" i="1"/>
  <c r="V406" i="1"/>
  <c r="V405" i="1"/>
  <c r="S405" i="1"/>
  <c r="U405" i="1"/>
  <c r="S404" i="1"/>
  <c r="V404" i="1"/>
  <c r="U404" i="1"/>
  <c r="V403" i="1"/>
  <c r="S403" i="1"/>
  <c r="U403" i="1"/>
  <c r="U402" i="1"/>
  <c r="S402" i="1"/>
  <c r="V402" i="1"/>
  <c r="V401" i="1"/>
  <c r="U401" i="1"/>
  <c r="S401" i="1"/>
  <c r="U400" i="1"/>
  <c r="V400" i="1"/>
  <c r="S400" i="1"/>
  <c r="U399" i="1"/>
  <c r="S399" i="1"/>
  <c r="V399" i="1"/>
  <c r="S398" i="1"/>
  <c r="V398" i="1"/>
  <c r="U398" i="1"/>
  <c r="V397" i="1"/>
  <c r="S397" i="1"/>
  <c r="U397" i="1"/>
  <c r="V396" i="1"/>
  <c r="U396" i="1"/>
  <c r="S396" i="1"/>
  <c r="V395" i="1"/>
  <c r="U395" i="1"/>
  <c r="S395" i="1"/>
  <c r="U394" i="1"/>
  <c r="V394" i="1"/>
  <c r="S394" i="1"/>
  <c r="V393" i="1"/>
  <c r="U393" i="1"/>
  <c r="S393" i="1"/>
  <c r="U392" i="1"/>
  <c r="V392" i="1"/>
  <c r="S392" i="1"/>
  <c r="S391" i="1"/>
  <c r="V391" i="1"/>
  <c r="U391" i="1"/>
  <c r="S390" i="1"/>
  <c r="V390" i="1"/>
  <c r="U390" i="1"/>
  <c r="S389" i="1"/>
  <c r="V389" i="1"/>
  <c r="U389" i="1"/>
  <c r="S388" i="1"/>
  <c r="V388" i="1"/>
  <c r="U388" i="1"/>
  <c r="U387" i="1"/>
  <c r="S387" i="1"/>
  <c r="V387" i="1"/>
  <c r="V386" i="1"/>
  <c r="S386" i="1"/>
  <c r="U386" i="1"/>
  <c r="U385" i="1"/>
  <c r="S385" i="1"/>
  <c r="V385" i="1"/>
  <c r="U384" i="1"/>
  <c r="V384" i="1"/>
  <c r="S384" i="1"/>
  <c r="V383" i="1"/>
  <c r="S383" i="1"/>
  <c r="U383" i="1"/>
  <c r="S382" i="1"/>
  <c r="V382" i="1"/>
  <c r="U382" i="1"/>
  <c r="V381" i="1"/>
  <c r="U381" i="1"/>
  <c r="S381" i="1"/>
  <c r="U380" i="1"/>
  <c r="V380" i="1"/>
  <c r="S380" i="1"/>
  <c r="S379" i="1"/>
  <c r="U379" i="1"/>
  <c r="V379" i="1"/>
  <c r="U378" i="1"/>
  <c r="S378" i="1"/>
  <c r="V378" i="1"/>
  <c r="U377" i="1"/>
  <c r="S377" i="1"/>
  <c r="V377" i="1"/>
  <c r="S376" i="1"/>
  <c r="U376" i="1"/>
  <c r="V376" i="1"/>
  <c r="V375" i="1"/>
  <c r="U375" i="1"/>
  <c r="S375" i="1"/>
  <c r="S374" i="1"/>
  <c r="U374" i="1"/>
  <c r="V374" i="1"/>
  <c r="S373" i="1"/>
  <c r="V373" i="1"/>
  <c r="U373" i="1"/>
  <c r="V372" i="1"/>
  <c r="U372" i="1"/>
  <c r="S372" i="1"/>
  <c r="S371" i="1"/>
  <c r="U371" i="1"/>
  <c r="V371" i="1"/>
  <c r="S370" i="1"/>
  <c r="V370" i="1"/>
  <c r="U370" i="1"/>
  <c r="V369" i="1"/>
  <c r="S369" i="1"/>
  <c r="U369" i="1"/>
  <c r="U368" i="1"/>
  <c r="S368" i="1"/>
  <c r="V368" i="1"/>
  <c r="V367" i="1"/>
  <c r="S367" i="1"/>
  <c r="U367" i="1"/>
  <c r="V366" i="1"/>
  <c r="U366" i="1"/>
  <c r="S366" i="1"/>
  <c r="U365" i="1"/>
  <c r="V365" i="1"/>
  <c r="S365" i="1"/>
  <c r="S364" i="1"/>
  <c r="U364" i="1"/>
  <c r="V364" i="1"/>
  <c r="V363" i="1"/>
  <c r="U363" i="1"/>
  <c r="S363" i="1"/>
  <c r="V362" i="1"/>
  <c r="U362" i="1"/>
  <c r="S362" i="1"/>
  <c r="U361" i="1"/>
  <c r="S361" i="1"/>
  <c r="V361" i="1"/>
  <c r="S360" i="1"/>
  <c r="V360" i="1"/>
  <c r="U360" i="1"/>
  <c r="V359" i="1"/>
  <c r="U359" i="1"/>
  <c r="S358" i="1"/>
  <c r="V358" i="1"/>
  <c r="U358" i="1"/>
  <c r="U357" i="1"/>
  <c r="V357" i="1"/>
  <c r="S357" i="1"/>
  <c r="U356" i="1"/>
  <c r="V356" i="1"/>
  <c r="S356" i="1"/>
  <c r="U355" i="1"/>
  <c r="V355" i="1"/>
  <c r="S355" i="1"/>
  <c r="V354" i="1"/>
  <c r="U354" i="1"/>
  <c r="S354" i="1"/>
  <c r="S353" i="1"/>
  <c r="V353" i="1"/>
  <c r="U353" i="1"/>
  <c r="V352" i="1"/>
  <c r="S352" i="1"/>
  <c r="U352" i="1"/>
  <c r="S351" i="1"/>
  <c r="U351" i="1"/>
  <c r="V351" i="1"/>
  <c r="S350" i="1"/>
  <c r="U350" i="1"/>
  <c r="V350" i="1"/>
  <c r="V349" i="1"/>
  <c r="U349" i="1"/>
  <c r="S349" i="1"/>
  <c r="V348" i="1"/>
  <c r="U348" i="1"/>
  <c r="S348" i="1"/>
  <c r="S347" i="1"/>
  <c r="V347" i="1"/>
  <c r="U347" i="1"/>
  <c r="S346" i="1"/>
  <c r="U346" i="1"/>
  <c r="V346" i="1"/>
  <c r="S345" i="1"/>
  <c r="V345" i="1"/>
  <c r="U345" i="1"/>
  <c r="U344" i="1"/>
  <c r="S344" i="1"/>
  <c r="V344" i="1"/>
  <c r="U343" i="1"/>
  <c r="S343" i="1"/>
  <c r="V343" i="1"/>
  <c r="V342" i="1"/>
  <c r="U342" i="1"/>
  <c r="S342" i="1"/>
  <c r="S341" i="1"/>
  <c r="V341" i="1"/>
  <c r="U341" i="1"/>
  <c r="V340" i="1"/>
  <c r="U340" i="1"/>
  <c r="S339" i="1"/>
  <c r="U339" i="1"/>
  <c r="V339" i="1"/>
  <c r="V338" i="1"/>
  <c r="S338" i="1"/>
  <c r="U338" i="1"/>
  <c r="V337" i="1"/>
  <c r="U337" i="1"/>
  <c r="S337" i="1"/>
  <c r="U336" i="1"/>
  <c r="V336" i="1"/>
  <c r="S336" i="1"/>
  <c r="U335" i="1"/>
  <c r="S335" i="1"/>
  <c r="V335" i="1"/>
  <c r="U334" i="1"/>
  <c r="V334" i="1"/>
  <c r="S334" i="1"/>
  <c r="S333" i="1"/>
  <c r="V333" i="1"/>
  <c r="U333" i="1"/>
  <c r="S332" i="1"/>
  <c r="V332" i="1"/>
  <c r="U332" i="1"/>
  <c r="V331" i="1"/>
  <c r="U331" i="1"/>
  <c r="V330" i="1"/>
  <c r="U330" i="1"/>
  <c r="V329" i="1"/>
  <c r="S329" i="1"/>
  <c r="U329" i="1"/>
  <c r="V328" i="1"/>
  <c r="S328" i="1"/>
  <c r="U328" i="1"/>
  <c r="S327" i="1"/>
  <c r="V327" i="1"/>
  <c r="U327" i="1"/>
  <c r="V326" i="1"/>
  <c r="S326" i="1"/>
  <c r="U326" i="1"/>
  <c r="S325" i="1"/>
  <c r="V325" i="1"/>
  <c r="U325" i="1"/>
  <c r="S324" i="1"/>
  <c r="U324" i="1"/>
  <c r="V324" i="1"/>
  <c r="S323" i="1"/>
  <c r="V323" i="1"/>
  <c r="U323" i="1"/>
  <c r="S322" i="1"/>
  <c r="U322" i="1"/>
  <c r="V322" i="1"/>
  <c r="S321" i="1"/>
  <c r="U321" i="1"/>
  <c r="V321" i="1"/>
  <c r="S320" i="1"/>
  <c r="U320" i="1"/>
  <c r="V320" i="1"/>
  <c r="V319" i="1"/>
  <c r="U319" i="1"/>
  <c r="S319" i="1"/>
  <c r="U318" i="1"/>
  <c r="V318" i="1"/>
  <c r="S318" i="1"/>
  <c r="S317" i="1"/>
  <c r="U317" i="1"/>
  <c r="V317" i="1"/>
  <c r="S316" i="1"/>
  <c r="V316" i="1"/>
  <c r="U316" i="1"/>
  <c r="V315" i="1"/>
  <c r="S315" i="1"/>
  <c r="U315" i="1"/>
  <c r="V314" i="1"/>
  <c r="U314" i="1"/>
  <c r="S314" i="1"/>
  <c r="U313" i="1"/>
  <c r="S313" i="1"/>
  <c r="V313" i="1"/>
  <c r="U312" i="1"/>
  <c r="V312" i="1"/>
  <c r="S312" i="1"/>
  <c r="U311" i="1"/>
  <c r="V311" i="1"/>
  <c r="S311" i="1"/>
  <c r="V310" i="1"/>
  <c r="U310" i="1"/>
  <c r="S310" i="1"/>
  <c r="V309" i="1"/>
  <c r="S309" i="1"/>
  <c r="U309" i="1"/>
  <c r="U308" i="1"/>
  <c r="V308" i="1"/>
  <c r="S308" i="1"/>
  <c r="V307" i="1"/>
  <c r="S307" i="1"/>
  <c r="U307" i="1"/>
  <c r="S306" i="1"/>
  <c r="U306" i="1"/>
  <c r="V306" i="1"/>
  <c r="S305" i="1"/>
  <c r="V305" i="1"/>
  <c r="U305" i="1"/>
  <c r="V304" i="1"/>
  <c r="S304" i="1"/>
  <c r="U304" i="1"/>
  <c r="S303" i="1"/>
  <c r="V303" i="1"/>
  <c r="U303" i="1"/>
  <c r="V302" i="1"/>
  <c r="S302" i="1"/>
  <c r="U302" i="1"/>
  <c r="S301" i="1"/>
  <c r="U301" i="1"/>
  <c r="V301" i="1"/>
  <c r="V300" i="1"/>
  <c r="U300" i="1"/>
  <c r="S300" i="1"/>
  <c r="V299" i="1"/>
  <c r="U299" i="1"/>
  <c r="S299" i="1"/>
  <c r="U298" i="1"/>
  <c r="S298" i="1"/>
  <c r="V298" i="1"/>
  <c r="S297" i="1"/>
  <c r="U297" i="1"/>
  <c r="V297" i="1"/>
  <c r="S296" i="1"/>
  <c r="U296" i="1"/>
  <c r="V296" i="1"/>
  <c r="V295" i="1"/>
  <c r="U295" i="1"/>
  <c r="S295" i="1"/>
  <c r="V294" i="1"/>
  <c r="U294" i="1"/>
  <c r="S294" i="1"/>
  <c r="V293" i="1"/>
  <c r="S293" i="1"/>
  <c r="U293" i="1"/>
  <c r="V292" i="1"/>
  <c r="U292" i="1"/>
  <c r="S292" i="1"/>
  <c r="V291" i="1"/>
  <c r="S291" i="1"/>
  <c r="U291" i="1"/>
  <c r="V290" i="1"/>
  <c r="U290" i="1"/>
  <c r="S290" i="1"/>
  <c r="U289" i="1"/>
  <c r="S289" i="1"/>
  <c r="V289" i="1"/>
  <c r="V288" i="1"/>
  <c r="U288" i="1"/>
  <c r="S288" i="1"/>
  <c r="V287" i="1"/>
  <c r="U287" i="1"/>
  <c r="S287" i="1"/>
  <c r="V286" i="1"/>
  <c r="S286" i="1"/>
  <c r="U286" i="1"/>
  <c r="V285" i="1"/>
  <c r="U285" i="1"/>
  <c r="S285" i="1"/>
  <c r="V284" i="1"/>
  <c r="U284" i="1"/>
  <c r="S284" i="1"/>
  <c r="S283" i="1"/>
  <c r="V283" i="1"/>
  <c r="U283" i="1"/>
  <c r="V282" i="1"/>
  <c r="U282" i="1"/>
  <c r="S282" i="1"/>
  <c r="S281" i="1"/>
  <c r="V281" i="1"/>
  <c r="U281" i="1"/>
  <c r="V280" i="1"/>
  <c r="U280" i="1"/>
  <c r="S280" i="1"/>
  <c r="U279" i="1"/>
  <c r="S279" i="1"/>
  <c r="V279" i="1"/>
  <c r="S278" i="1"/>
  <c r="U278" i="1"/>
  <c r="V278" i="1"/>
  <c r="U277" i="1"/>
  <c r="S277" i="1"/>
  <c r="V277" i="1"/>
  <c r="S276" i="1"/>
  <c r="U276" i="1"/>
  <c r="V276" i="1"/>
  <c r="V275" i="1"/>
  <c r="U275" i="1"/>
  <c r="S275" i="1"/>
  <c r="U274" i="1"/>
  <c r="S274" i="1"/>
  <c r="V274" i="1"/>
  <c r="U273" i="1"/>
  <c r="V273" i="1"/>
  <c r="S273" i="1"/>
  <c r="S272" i="1"/>
  <c r="V272" i="1"/>
  <c r="U272" i="1"/>
  <c r="V271" i="1"/>
  <c r="U271" i="1"/>
  <c r="S271" i="1"/>
  <c r="V270" i="1"/>
  <c r="U270" i="1"/>
  <c r="S270" i="1"/>
  <c r="V269" i="1"/>
  <c r="U269" i="1"/>
  <c r="S269" i="1"/>
  <c r="U268" i="1"/>
  <c r="V268" i="1"/>
  <c r="S268" i="1"/>
  <c r="U267" i="1"/>
  <c r="S267" i="1"/>
  <c r="V267" i="1"/>
  <c r="V266" i="1"/>
  <c r="U266" i="1"/>
  <c r="S266" i="1"/>
  <c r="V265" i="1"/>
  <c r="S265" i="1"/>
  <c r="U265" i="1"/>
  <c r="S264" i="1"/>
  <c r="U264" i="1"/>
  <c r="V264" i="1"/>
  <c r="U263" i="1"/>
  <c r="S263" i="1"/>
  <c r="V263" i="1"/>
  <c r="V262" i="1"/>
  <c r="U262" i="1"/>
  <c r="S262" i="1"/>
  <c r="U261" i="1"/>
  <c r="S261" i="1"/>
  <c r="V261" i="1"/>
  <c r="V260" i="1"/>
  <c r="U260" i="1"/>
  <c r="S260" i="1"/>
  <c r="V259" i="1"/>
  <c r="S259" i="1"/>
  <c r="U259" i="1"/>
  <c r="V258" i="1"/>
  <c r="U258" i="1"/>
  <c r="S258" i="1"/>
  <c r="U257" i="1"/>
  <c r="S257" i="1"/>
  <c r="V257" i="1"/>
  <c r="S256" i="1"/>
  <c r="U256" i="1"/>
  <c r="V256" i="1"/>
  <c r="S255" i="1"/>
  <c r="U255" i="1"/>
  <c r="V255" i="1"/>
  <c r="V254" i="1"/>
  <c r="S254" i="1"/>
  <c r="U254" i="1"/>
  <c r="V253" i="1"/>
  <c r="S253" i="1"/>
  <c r="U253" i="1"/>
  <c r="U252" i="1"/>
  <c r="V252" i="1"/>
  <c r="S252" i="1"/>
  <c r="V251" i="1"/>
  <c r="U251" i="1"/>
  <c r="S251" i="1"/>
  <c r="S250" i="1"/>
  <c r="V250" i="1"/>
  <c r="U250" i="1"/>
  <c r="V249" i="1"/>
  <c r="U249" i="1"/>
  <c r="S249" i="1"/>
  <c r="U248" i="1"/>
  <c r="V248" i="1"/>
  <c r="S248" i="1"/>
  <c r="S247" i="1"/>
  <c r="U247" i="1"/>
  <c r="V247" i="1"/>
  <c r="V246" i="1"/>
  <c r="U246" i="1"/>
  <c r="S246" i="1"/>
  <c r="V245" i="1"/>
  <c r="S245" i="1"/>
  <c r="U245" i="1"/>
  <c r="V244" i="1"/>
  <c r="U244" i="1"/>
  <c r="S244" i="1"/>
  <c r="S243" i="1"/>
  <c r="U243" i="1"/>
  <c r="V243" i="1"/>
  <c r="U242" i="1"/>
  <c r="V242" i="1"/>
  <c r="S242" i="1"/>
  <c r="U241" i="1"/>
  <c r="S241" i="1"/>
  <c r="V241" i="1"/>
  <c r="S240" i="1"/>
  <c r="U240" i="1"/>
  <c r="V240" i="1"/>
  <c r="S239" i="1"/>
  <c r="U239" i="1"/>
  <c r="V239" i="1"/>
  <c r="U238" i="1"/>
  <c r="V238" i="1"/>
  <c r="S238" i="1"/>
  <c r="S237" i="1"/>
  <c r="U237" i="1"/>
  <c r="V237" i="1"/>
  <c r="U236" i="1"/>
  <c r="S236" i="1"/>
  <c r="V236" i="1"/>
  <c r="V235" i="1"/>
  <c r="U235" i="1"/>
  <c r="S235" i="1"/>
  <c r="V234" i="1"/>
  <c r="U234" i="1"/>
  <c r="S234" i="1"/>
  <c r="V233" i="1"/>
  <c r="U233" i="1"/>
  <c r="S233" i="1"/>
  <c r="S232" i="1"/>
  <c r="U232" i="1"/>
  <c r="V232" i="1"/>
  <c r="S231" i="1"/>
  <c r="V231" i="1"/>
  <c r="U231" i="1"/>
  <c r="V230" i="1"/>
  <c r="U230" i="1"/>
  <c r="S230" i="1"/>
  <c r="S229" i="1"/>
  <c r="U229" i="1"/>
  <c r="V229" i="1"/>
  <c r="U228" i="1"/>
  <c r="S228" i="1"/>
  <c r="V228" i="1"/>
  <c r="V227" i="1"/>
  <c r="U227" i="1"/>
  <c r="S227" i="1"/>
  <c r="U226" i="1"/>
  <c r="V226" i="1"/>
  <c r="S226" i="1"/>
  <c r="U225" i="1"/>
  <c r="V225" i="1"/>
  <c r="S225" i="1"/>
  <c r="S224" i="1"/>
  <c r="U224" i="1"/>
  <c r="V224" i="1"/>
  <c r="S223" i="1"/>
  <c r="U223" i="1"/>
  <c r="V223" i="1"/>
  <c r="V222" i="1"/>
  <c r="S222" i="1"/>
  <c r="U222" i="1"/>
  <c r="U221" i="1"/>
  <c r="V221" i="1"/>
  <c r="S221" i="1"/>
  <c r="U220" i="1"/>
  <c r="S220" i="1"/>
  <c r="V220" i="1"/>
  <c r="V219" i="1"/>
  <c r="U219" i="1"/>
  <c r="S219" i="1"/>
  <c r="U218" i="1"/>
  <c r="V218" i="1"/>
  <c r="S218" i="1"/>
  <c r="V217" i="1"/>
  <c r="U217" i="1"/>
  <c r="S217" i="1"/>
  <c r="V216" i="1"/>
  <c r="U216" i="1"/>
  <c r="S216" i="1"/>
  <c r="V215" i="1"/>
  <c r="U215" i="1"/>
  <c r="S215" i="1"/>
  <c r="V214" i="1"/>
  <c r="U214" i="1"/>
  <c r="S214" i="1"/>
  <c r="V213" i="1"/>
  <c r="U213" i="1"/>
  <c r="S213" i="1"/>
  <c r="S212" i="1"/>
  <c r="V212" i="1"/>
  <c r="U212" i="1"/>
  <c r="U211" i="1"/>
  <c r="S211" i="1"/>
  <c r="V211" i="1"/>
  <c r="S210" i="1"/>
  <c r="U210" i="1"/>
  <c r="V210" i="1"/>
  <c r="V209" i="1"/>
  <c r="U209" i="1"/>
  <c r="S209" i="1"/>
  <c r="V208" i="1"/>
  <c r="S208" i="1"/>
  <c r="U208" i="1"/>
  <c r="S207" i="1"/>
  <c r="U207" i="1"/>
  <c r="V207" i="1"/>
  <c r="S206" i="1"/>
  <c r="V206" i="1"/>
  <c r="U206" i="1"/>
  <c r="V205" i="1"/>
  <c r="U205" i="1"/>
  <c r="S205" i="1"/>
  <c r="V204" i="1"/>
  <c r="U204" i="1"/>
  <c r="S204" i="1"/>
  <c r="S203" i="1"/>
  <c r="U203" i="1"/>
  <c r="V203" i="1"/>
  <c r="S202" i="1"/>
  <c r="V202" i="1"/>
  <c r="U202" i="1"/>
  <c r="V201" i="1"/>
  <c r="U201" i="1"/>
  <c r="S201" i="1"/>
  <c r="V200" i="1"/>
  <c r="U200" i="1"/>
  <c r="S200" i="1"/>
  <c r="V199" i="1"/>
  <c r="X199" i="1" s="1"/>
  <c r="A200" i="1" s="1"/>
  <c r="X200" i="1" s="1"/>
  <c r="A201" i="1" s="1"/>
  <c r="X201" i="1" s="1"/>
  <c r="A202" i="1" s="1"/>
  <c r="X202" i="1" s="1"/>
  <c r="A203" i="1" s="1"/>
  <c r="X203" i="1" s="1"/>
  <c r="A204" i="1" s="1"/>
  <c r="X204" i="1" s="1"/>
  <c r="A205" i="1" s="1"/>
  <c r="X205" i="1" s="1"/>
  <c r="A206" i="1" s="1"/>
  <c r="X206" i="1" s="1"/>
  <c r="A207" i="1" s="1"/>
  <c r="X207" i="1" s="1"/>
  <c r="A208" i="1" s="1"/>
  <c r="X208" i="1" s="1"/>
  <c r="A209" i="1" s="1"/>
  <c r="X209" i="1" s="1"/>
  <c r="A210" i="1" s="1"/>
  <c r="X210" i="1" s="1"/>
  <c r="A211" i="1" s="1"/>
  <c r="X211" i="1" s="1"/>
  <c r="A212" i="1" s="1"/>
  <c r="X212" i="1" s="1"/>
  <c r="A213" i="1" s="1"/>
  <c r="X213" i="1" s="1"/>
  <c r="A214" i="1" s="1"/>
  <c r="X214" i="1" s="1"/>
  <c r="A215" i="1" s="1"/>
  <c r="X215" i="1" s="1"/>
  <c r="A216" i="1" s="1"/>
  <c r="X216" i="1" s="1"/>
  <c r="A217" i="1" s="1"/>
  <c r="X217" i="1" s="1"/>
  <c r="A218" i="1" s="1"/>
  <c r="X218" i="1" s="1"/>
  <c r="A219" i="1" s="1"/>
  <c r="X219" i="1" s="1"/>
  <c r="A220" i="1" s="1"/>
  <c r="X220" i="1" s="1"/>
  <c r="A221" i="1" s="1"/>
  <c r="X221" i="1" s="1"/>
  <c r="A222" i="1" s="1"/>
  <c r="X222" i="1" s="1"/>
  <c r="A223" i="1" s="1"/>
  <c r="X223" i="1" s="1"/>
  <c r="A224" i="1" s="1"/>
  <c r="X224" i="1" s="1"/>
  <c r="A225" i="1" s="1"/>
  <c r="X225" i="1" s="1"/>
  <c r="A226" i="1" s="1"/>
  <c r="X226" i="1" s="1"/>
  <c r="A227" i="1" s="1"/>
  <c r="X227" i="1" s="1"/>
  <c r="A228" i="1" s="1"/>
  <c r="X228" i="1" s="1"/>
  <c r="A229" i="1" s="1"/>
  <c r="X229" i="1" s="1"/>
  <c r="A230" i="1" s="1"/>
  <c r="X230" i="1" s="1"/>
  <c r="A231" i="1" s="1"/>
  <c r="X231" i="1" s="1"/>
  <c r="A232" i="1" s="1"/>
  <c r="X232" i="1" s="1"/>
  <c r="A233" i="1" s="1"/>
  <c r="X233" i="1" s="1"/>
  <c r="A234" i="1" s="1"/>
  <c r="X234" i="1" s="1"/>
  <c r="A235" i="1" s="1"/>
  <c r="X235" i="1" s="1"/>
  <c r="A236" i="1" s="1"/>
  <c r="X236" i="1" s="1"/>
  <c r="A237" i="1" s="1"/>
  <c r="X237" i="1" s="1"/>
  <c r="A238" i="1" s="1"/>
  <c r="X238" i="1" s="1"/>
  <c r="A239" i="1" s="1"/>
  <c r="X239" i="1" s="1"/>
  <c r="A240" i="1" s="1"/>
  <c r="X240" i="1" s="1"/>
  <c r="A241" i="1" s="1"/>
  <c r="X241" i="1" s="1"/>
  <c r="A242" i="1" s="1"/>
  <c r="X242" i="1" s="1"/>
  <c r="A243" i="1" s="1"/>
  <c r="X243" i="1" s="1"/>
  <c r="A244" i="1" s="1"/>
  <c r="X244" i="1" s="1"/>
  <c r="A245" i="1" s="1"/>
  <c r="X245" i="1" s="1"/>
  <c r="A246" i="1" s="1"/>
  <c r="X246" i="1" s="1"/>
  <c r="A247" i="1" s="1"/>
  <c r="X247" i="1" s="1"/>
  <c r="A248" i="1" s="1"/>
  <c r="X248" i="1" s="1"/>
  <c r="A249" i="1" s="1"/>
  <c r="X249" i="1" s="1"/>
  <c r="A250" i="1" s="1"/>
  <c r="X250" i="1" s="1"/>
  <c r="A251" i="1" s="1"/>
  <c r="X251" i="1" s="1"/>
  <c r="A252" i="1" s="1"/>
  <c r="X252" i="1" s="1"/>
  <c r="A253" i="1" s="1"/>
  <c r="X253" i="1" s="1"/>
  <c r="A254" i="1" s="1"/>
  <c r="U199" i="1"/>
  <c r="S199" i="1"/>
  <c r="U195" i="1"/>
  <c r="V195" i="1" s="1"/>
  <c r="S195" i="1"/>
  <c r="S194" i="1"/>
  <c r="U194" i="1"/>
  <c r="V194" i="1" s="1"/>
  <c r="S193" i="1"/>
  <c r="U193" i="1"/>
  <c r="V193" i="1" s="1"/>
  <c r="S192" i="1"/>
  <c r="U192" i="1"/>
  <c r="V192" i="1" s="1"/>
  <c r="S191" i="1"/>
  <c r="U191" i="1"/>
  <c r="V191" i="1" s="1"/>
  <c r="S190" i="1"/>
  <c r="U190" i="1"/>
  <c r="V190" i="1" s="1"/>
  <c r="S189" i="1"/>
  <c r="U189" i="1"/>
  <c r="V189" i="1" s="1"/>
  <c r="S188" i="1"/>
  <c r="U188" i="1"/>
  <c r="V188" i="1" s="1"/>
  <c r="S187" i="1"/>
  <c r="U187" i="1"/>
  <c r="V187" i="1" s="1"/>
  <c r="S186" i="1"/>
  <c r="U186" i="1"/>
  <c r="V186" i="1" s="1"/>
  <c r="S185" i="1"/>
  <c r="U185" i="1"/>
  <c r="V185" i="1" s="1"/>
  <c r="S184" i="1"/>
  <c r="U184" i="1"/>
  <c r="V184" i="1" s="1"/>
  <c r="S183" i="1"/>
  <c r="U183" i="1"/>
  <c r="V183" i="1" s="1"/>
  <c r="S182" i="1"/>
  <c r="U182" i="1"/>
  <c r="V182" i="1" s="1"/>
  <c r="S181" i="1"/>
  <c r="U181" i="1"/>
  <c r="V181" i="1" s="1"/>
  <c r="S180" i="1"/>
  <c r="U180" i="1"/>
  <c r="V180" i="1" s="1"/>
  <c r="S179" i="1"/>
  <c r="U179" i="1"/>
  <c r="V179" i="1" s="1"/>
  <c r="S178" i="1"/>
  <c r="U178" i="1"/>
  <c r="V178" i="1"/>
  <c r="S177" i="1"/>
  <c r="U177" i="1"/>
  <c r="V177" i="1"/>
  <c r="S176" i="1"/>
  <c r="U176" i="1"/>
  <c r="V176" i="1"/>
  <c r="U175" i="1"/>
  <c r="V175" i="1"/>
  <c r="S175" i="1"/>
  <c r="U174" i="1"/>
  <c r="V174" i="1"/>
  <c r="S174" i="1"/>
  <c r="S173" i="1"/>
  <c r="U173" i="1"/>
  <c r="V173" i="1"/>
  <c r="S172" i="1"/>
  <c r="U172" i="1"/>
  <c r="V172" i="1"/>
  <c r="S171" i="1"/>
  <c r="U171" i="1"/>
  <c r="V171" i="1"/>
  <c r="S170" i="1"/>
  <c r="U170" i="1"/>
  <c r="V170" i="1"/>
  <c r="S169" i="1"/>
  <c r="U169" i="1"/>
  <c r="V169" i="1"/>
  <c r="V168" i="1"/>
  <c r="U168" i="1"/>
  <c r="S168" i="1"/>
  <c r="V167" i="1"/>
  <c r="U167" i="1"/>
  <c r="S167" i="1"/>
  <c r="S166" i="1"/>
  <c r="U166" i="1"/>
  <c r="V166" i="1"/>
  <c r="V165" i="1"/>
  <c r="U165" i="1"/>
  <c r="S165" i="1"/>
  <c r="V164" i="1"/>
  <c r="U164" i="1"/>
  <c r="S164" i="1"/>
  <c r="S163" i="1"/>
  <c r="U163" i="1"/>
  <c r="V163" i="1"/>
  <c r="V162" i="1"/>
  <c r="U162" i="1"/>
  <c r="S162" i="1"/>
  <c r="S161" i="1"/>
  <c r="V161" i="1"/>
  <c r="U161" i="1"/>
  <c r="V160" i="1"/>
  <c r="U160" i="1"/>
  <c r="S160" i="1"/>
  <c r="V159" i="1"/>
  <c r="U159" i="1"/>
  <c r="S159" i="1"/>
  <c r="V158" i="1"/>
  <c r="S158" i="1"/>
  <c r="U158" i="1"/>
  <c r="V157" i="1"/>
  <c r="U157" i="1"/>
  <c r="S157" i="1"/>
  <c r="U156" i="1"/>
  <c r="V156" i="1"/>
  <c r="S156" i="1"/>
  <c r="V155" i="1"/>
  <c r="U155" i="1"/>
  <c r="S155" i="1"/>
  <c r="V154" i="1"/>
  <c r="U154" i="1"/>
  <c r="S154" i="1"/>
  <c r="S153" i="1"/>
  <c r="V153" i="1"/>
  <c r="U153" i="1"/>
  <c r="S152" i="1"/>
  <c r="U152" i="1"/>
  <c r="V152" i="1"/>
  <c r="U151" i="1"/>
  <c r="V151" i="1"/>
  <c r="S151" i="1"/>
  <c r="S150" i="1"/>
  <c r="U150" i="1"/>
  <c r="V150" i="1"/>
  <c r="U149" i="1"/>
  <c r="S149" i="1"/>
  <c r="V149" i="1"/>
  <c r="V148" i="1"/>
  <c r="S148" i="1"/>
  <c r="U148" i="1"/>
  <c r="V147" i="1"/>
  <c r="U147" i="1"/>
  <c r="S147" i="1"/>
  <c r="V146" i="1"/>
  <c r="U146" i="1"/>
  <c r="S146" i="1"/>
  <c r="V145" i="1"/>
  <c r="U145" i="1"/>
  <c r="S145" i="1"/>
  <c r="V144" i="1"/>
  <c r="U144" i="1"/>
  <c r="S144" i="1"/>
  <c r="V143" i="1"/>
  <c r="U143" i="1"/>
  <c r="S143" i="1"/>
  <c r="V142" i="1"/>
  <c r="U142" i="1"/>
  <c r="S142" i="1"/>
  <c r="S141" i="1"/>
  <c r="V141" i="1"/>
  <c r="U141" i="1"/>
  <c r="V140" i="1"/>
  <c r="S140" i="1"/>
  <c r="U140" i="1"/>
  <c r="S139" i="1"/>
  <c r="U139" i="1"/>
  <c r="V139" i="1"/>
  <c r="V138" i="1"/>
  <c r="U138" i="1"/>
  <c r="S138" i="1"/>
  <c r="V137" i="1"/>
  <c r="U137" i="1"/>
  <c r="S137" i="1"/>
  <c r="V136" i="1"/>
  <c r="S136" i="1"/>
  <c r="U136" i="1"/>
  <c r="V135" i="1"/>
  <c r="U135" i="1"/>
  <c r="S135" i="1"/>
  <c r="V134" i="1"/>
  <c r="S134" i="1"/>
  <c r="U134" i="1"/>
  <c r="S133" i="1"/>
  <c r="U133" i="1"/>
  <c r="V133" i="1"/>
  <c r="S132" i="1"/>
  <c r="U132" i="1"/>
  <c r="V132" i="1"/>
  <c r="U131" i="1"/>
  <c r="V131" i="1"/>
  <c r="S131" i="1"/>
  <c r="V130" i="1"/>
  <c r="U130" i="1"/>
  <c r="S130" i="1"/>
  <c r="V129" i="1"/>
  <c r="U129" i="1"/>
  <c r="S129" i="1"/>
  <c r="U128" i="1"/>
  <c r="V128" i="1"/>
  <c r="S128" i="1"/>
  <c r="S127" i="1"/>
  <c r="U127" i="1"/>
  <c r="V127" i="1"/>
  <c r="S126" i="1"/>
  <c r="U126" i="1"/>
  <c r="V126" i="1"/>
  <c r="V125" i="1"/>
  <c r="U125" i="1"/>
  <c r="S125" i="1"/>
  <c r="S124" i="1"/>
  <c r="U124" i="1"/>
  <c r="V124" i="1"/>
  <c r="U123" i="1"/>
  <c r="V123" i="1"/>
  <c r="S123" i="1"/>
  <c r="V122" i="1"/>
  <c r="U122" i="1"/>
  <c r="S122" i="1"/>
  <c r="V121" i="1"/>
  <c r="U121" i="1"/>
  <c r="S121" i="1"/>
  <c r="U120" i="1"/>
  <c r="S120" i="1"/>
  <c r="V120" i="1"/>
  <c r="S119" i="1"/>
  <c r="U119" i="1"/>
  <c r="V119" i="1"/>
  <c r="S118" i="1"/>
  <c r="U118" i="1"/>
  <c r="V118" i="1"/>
  <c r="S117" i="1"/>
  <c r="V117" i="1"/>
  <c r="U117" i="1"/>
  <c r="V116" i="1"/>
  <c r="S116" i="1"/>
  <c r="U116" i="1"/>
  <c r="U115" i="1"/>
  <c r="V115" i="1"/>
  <c r="S115" i="1"/>
  <c r="S114" i="1"/>
  <c r="V114" i="1"/>
  <c r="U114" i="1"/>
  <c r="S113" i="1"/>
  <c r="U113" i="1"/>
  <c r="V113" i="1"/>
  <c r="S112" i="1"/>
  <c r="U112" i="1"/>
  <c r="V112" i="1"/>
  <c r="S111" i="1"/>
  <c r="U111" i="1"/>
  <c r="V111" i="1"/>
  <c r="U110" i="1"/>
  <c r="V110" i="1"/>
  <c r="S110" i="1"/>
  <c r="S109" i="1"/>
  <c r="V109" i="1"/>
  <c r="U109" i="1"/>
  <c r="U108" i="1"/>
  <c r="V108" i="1"/>
  <c r="S108" i="1"/>
  <c r="V107" i="1"/>
  <c r="U107" i="1"/>
  <c r="S107" i="1"/>
  <c r="V106" i="1"/>
  <c r="U106" i="1"/>
  <c r="S106" i="1"/>
  <c r="U105" i="1"/>
  <c r="V105" i="1"/>
  <c r="S105" i="1"/>
  <c r="U104" i="1"/>
  <c r="S104" i="1"/>
  <c r="V104" i="1"/>
  <c r="S103" i="1"/>
  <c r="V103" i="1"/>
  <c r="U103" i="1"/>
  <c r="S102" i="1"/>
  <c r="V102" i="1"/>
  <c r="U102" i="1"/>
  <c r="V101" i="1"/>
  <c r="U101" i="1"/>
  <c r="S101" i="1"/>
  <c r="U100" i="1"/>
  <c r="S100" i="1"/>
  <c r="V100" i="1"/>
  <c r="S99" i="1"/>
  <c r="U99" i="1"/>
  <c r="V99" i="1"/>
  <c r="S98" i="1"/>
  <c r="U98" i="1"/>
  <c r="V98" i="1"/>
  <c r="V97" i="1"/>
  <c r="U97" i="1"/>
  <c r="S97" i="1"/>
  <c r="V96" i="1"/>
  <c r="U96" i="1"/>
  <c r="S96" i="1"/>
  <c r="V95" i="1"/>
  <c r="U95" i="1"/>
  <c r="S95" i="1"/>
  <c r="U94" i="1"/>
  <c r="V94" i="1"/>
  <c r="S94" i="1"/>
  <c r="S93" i="1"/>
  <c r="U93" i="1"/>
  <c r="V93" i="1"/>
  <c r="S92" i="1"/>
  <c r="U92" i="1"/>
  <c r="V92" i="1"/>
  <c r="S91" i="1"/>
  <c r="U91" i="1"/>
  <c r="V91" i="1"/>
  <c r="S90" i="1"/>
  <c r="U90" i="1"/>
  <c r="V90" i="1"/>
  <c r="S89" i="1"/>
  <c r="U89" i="1"/>
  <c r="V89" i="1"/>
  <c r="U88" i="1"/>
  <c r="S88" i="1"/>
  <c r="V88" i="1"/>
  <c r="S87" i="1"/>
  <c r="U87" i="1"/>
  <c r="V87" i="1"/>
  <c r="U86" i="1"/>
  <c r="S86" i="1"/>
  <c r="V86" i="1"/>
  <c r="V85" i="1"/>
  <c r="U85" i="1"/>
  <c r="S85" i="1"/>
  <c r="V84" i="1"/>
  <c r="U84" i="1"/>
  <c r="S84" i="1"/>
  <c r="V83" i="1"/>
  <c r="U83" i="1"/>
  <c r="S83" i="1"/>
  <c r="V82" i="1"/>
  <c r="U82" i="1"/>
  <c r="S82" i="1"/>
  <c r="U81" i="1"/>
  <c r="V81" i="1"/>
  <c r="S81" i="1"/>
  <c r="S80" i="1"/>
  <c r="U80" i="1"/>
  <c r="V80" i="1"/>
  <c r="V78" i="1"/>
  <c r="S78" i="1"/>
  <c r="U78" i="1"/>
  <c r="S77" i="1"/>
  <c r="U77" i="1"/>
  <c r="V77" i="1"/>
  <c r="S76" i="1"/>
  <c r="U76" i="1"/>
  <c r="V76" i="1"/>
  <c r="S75" i="1"/>
  <c r="U75" i="1"/>
  <c r="V75" i="1"/>
  <c r="V74" i="1"/>
  <c r="U74" i="1"/>
  <c r="S74" i="1"/>
  <c r="S73" i="1"/>
  <c r="U73" i="1"/>
  <c r="V73" i="1"/>
  <c r="S72" i="1"/>
  <c r="U72" i="1"/>
  <c r="V72" i="1"/>
  <c r="U71" i="1"/>
  <c r="V71" i="1"/>
  <c r="S71" i="1"/>
  <c r="S70" i="1"/>
  <c r="U70" i="1"/>
  <c r="V70" i="1"/>
  <c r="S69" i="1"/>
  <c r="U69" i="1"/>
  <c r="V69" i="1"/>
  <c r="U68" i="1"/>
  <c r="V68" i="1"/>
  <c r="S68" i="1"/>
  <c r="U67" i="1"/>
  <c r="S67" i="1"/>
  <c r="V67" i="1"/>
  <c r="S66" i="1"/>
  <c r="U66" i="1"/>
  <c r="V66" i="1"/>
  <c r="U65" i="1"/>
  <c r="S65" i="1"/>
  <c r="V65" i="1"/>
  <c r="S64" i="1"/>
  <c r="V64" i="1"/>
  <c r="U64" i="1"/>
  <c r="S63" i="1"/>
  <c r="U63" i="1"/>
  <c r="V63" i="1"/>
  <c r="S62" i="1"/>
  <c r="U62" i="1"/>
  <c r="V62" i="1"/>
  <c r="S61" i="1"/>
  <c r="U61" i="1"/>
  <c r="V61" i="1"/>
  <c r="S60" i="1"/>
  <c r="V60" i="1"/>
  <c r="U60" i="1"/>
  <c r="V59" i="1"/>
  <c r="U59" i="1"/>
  <c r="S59" i="1"/>
  <c r="S58" i="1"/>
  <c r="V58" i="1"/>
  <c r="U58" i="1"/>
  <c r="S57" i="1"/>
  <c r="V57" i="1"/>
  <c r="U57" i="1"/>
  <c r="S56" i="1"/>
  <c r="U56" i="1"/>
  <c r="V56" i="1"/>
  <c r="S55" i="1"/>
  <c r="U55" i="1"/>
  <c r="V55" i="1"/>
  <c r="S54" i="1"/>
  <c r="V54" i="1"/>
  <c r="U54" i="1"/>
  <c r="U53" i="1"/>
  <c r="V53" i="1"/>
  <c r="S53" i="1"/>
  <c r="S52" i="1"/>
  <c r="U52" i="1"/>
  <c r="V52" i="1"/>
  <c r="S51" i="1"/>
  <c r="U51" i="1"/>
  <c r="V51" i="1"/>
  <c r="S50" i="1"/>
  <c r="U50" i="1"/>
  <c r="V50" i="1"/>
  <c r="U49" i="1"/>
  <c r="V49" i="1"/>
  <c r="S49" i="1"/>
  <c r="V48" i="1"/>
  <c r="U48" i="1"/>
  <c r="S48" i="1"/>
  <c r="S47" i="1"/>
  <c r="V47" i="1"/>
  <c r="U47" i="1"/>
  <c r="S46" i="1"/>
  <c r="U46" i="1"/>
  <c r="V46" i="1"/>
  <c r="U45" i="1"/>
  <c r="V45" i="1"/>
  <c r="S45" i="1"/>
  <c r="V44" i="1"/>
  <c r="U44" i="1"/>
  <c r="S44" i="1"/>
  <c r="S43" i="1"/>
  <c r="V43" i="1"/>
  <c r="U43" i="1"/>
  <c r="V41" i="1"/>
  <c r="U41" i="1"/>
  <c r="S41" i="1"/>
  <c r="S40" i="1"/>
  <c r="U40" i="1"/>
  <c r="V40" i="1"/>
  <c r="V35" i="1"/>
  <c r="U35" i="1"/>
  <c r="S35" i="1"/>
  <c r="V33" i="1"/>
  <c r="S33" i="1"/>
  <c r="U33" i="1"/>
  <c r="V24" i="1"/>
  <c r="U24" i="1"/>
  <c r="S24" i="1"/>
  <c r="S19" i="1"/>
  <c r="U19" i="1"/>
  <c r="V19" i="1"/>
  <c r="S15" i="1"/>
  <c r="U15" i="1"/>
  <c r="V15" i="1"/>
  <c r="S14" i="1"/>
  <c r="U14" i="1"/>
  <c r="V14" i="1"/>
  <c r="X14" i="1" s="1"/>
  <c r="A15" i="1" s="1"/>
  <c r="X15" i="1" s="1"/>
  <c r="A16" i="1" s="1"/>
  <c r="X16" i="1" s="1"/>
  <c r="A17" i="1" s="1"/>
  <c r="X17" i="1" s="1"/>
  <c r="A18" i="1" s="1"/>
  <c r="X18" i="1" s="1"/>
  <c r="A19" i="1" s="1"/>
  <c r="X19" i="1" s="1"/>
  <c r="A20" i="1" s="1"/>
  <c r="X20" i="1" s="1"/>
  <c r="A21" i="1" s="1"/>
  <c r="X21" i="1" s="1"/>
  <c r="A22" i="1" s="1"/>
  <c r="X22" i="1" s="1"/>
  <c r="A23" i="1" s="1"/>
  <c r="X23" i="1" s="1"/>
  <c r="A24" i="1" s="1"/>
  <c r="X24" i="1" s="1"/>
  <c r="A25" i="1" s="1"/>
  <c r="X25" i="1" s="1"/>
  <c r="A26" i="1" s="1"/>
  <c r="X26" i="1" s="1"/>
  <c r="A27" i="1" s="1"/>
  <c r="X27" i="1" s="1"/>
  <c r="A28" i="1" s="1"/>
  <c r="X28" i="1" s="1"/>
  <c r="A29" i="1" s="1"/>
  <c r="X29" i="1" s="1"/>
  <c r="A30" i="1" s="1"/>
  <c r="X30" i="1" s="1"/>
  <c r="A31" i="1" s="1"/>
  <c r="X31" i="1" s="1"/>
  <c r="A32" i="1" s="1"/>
  <c r="X32" i="1" s="1"/>
  <c r="A33" i="1" s="1"/>
  <c r="X33" i="1" s="1"/>
  <c r="A34" i="1" s="1"/>
  <c r="X34" i="1" s="1"/>
  <c r="A35" i="1" s="1"/>
  <c r="X35" i="1" s="1"/>
  <c r="A36" i="1" s="1"/>
  <c r="X36" i="1" s="1"/>
  <c r="A37" i="1" s="1"/>
  <c r="X37" i="1" s="1"/>
  <c r="A38" i="1" s="1"/>
  <c r="X38" i="1" s="1"/>
  <c r="A39" i="1" s="1"/>
  <c r="X39" i="1" s="1"/>
  <c r="A40" i="1" s="1"/>
  <c r="X40" i="1" s="1"/>
  <c r="A41" i="1" s="1"/>
  <c r="X41" i="1" s="1"/>
  <c r="A42" i="1" s="1"/>
  <c r="X42" i="1" s="1"/>
  <c r="A43" i="1" s="1"/>
  <c r="X43" i="1" s="1"/>
  <c r="A44" i="1" s="1"/>
  <c r="X44" i="1" s="1"/>
  <c r="A45" i="1" s="1"/>
  <c r="X45" i="1" s="1"/>
  <c r="A46" i="1" s="1"/>
  <c r="X46" i="1" s="1"/>
  <c r="A47" i="1" s="1"/>
  <c r="X47" i="1" s="1"/>
  <c r="A48" i="1" s="1"/>
  <c r="X48" i="1" s="1"/>
  <c r="A49" i="1" s="1"/>
  <c r="X49" i="1" s="1"/>
  <c r="A50" i="1" s="1"/>
  <c r="X50" i="1" s="1"/>
  <c r="A51" i="1" s="1"/>
  <c r="X51" i="1" s="1"/>
  <c r="A52" i="1" s="1"/>
  <c r="X52" i="1" s="1"/>
  <c r="A53" i="1" s="1"/>
  <c r="X53" i="1" s="1"/>
  <c r="A54" i="1" s="1"/>
  <c r="X54" i="1" s="1"/>
  <c r="A55" i="1" s="1"/>
  <c r="X55" i="1" s="1"/>
  <c r="A56" i="1" s="1"/>
  <c r="X56" i="1" s="1"/>
  <c r="A57" i="1" s="1"/>
  <c r="X57" i="1" s="1"/>
  <c r="A58" i="1" s="1"/>
  <c r="X58" i="1" s="1"/>
  <c r="A59" i="1" s="1"/>
  <c r="X59" i="1" s="1"/>
  <c r="A60" i="1" s="1"/>
  <c r="X60" i="1" s="1"/>
  <c r="A61" i="1" s="1"/>
  <c r="X61" i="1" s="1"/>
  <c r="A62" i="1" s="1"/>
  <c r="X62" i="1" s="1"/>
  <c r="A63" i="1" s="1"/>
  <c r="X63" i="1" s="1"/>
  <c r="A64" i="1" s="1"/>
  <c r="X64" i="1" s="1"/>
  <c r="A65" i="1" s="1"/>
  <c r="X65" i="1" s="1"/>
  <c r="A66" i="1" s="1"/>
  <c r="X66" i="1" s="1"/>
  <c r="A67" i="1" s="1"/>
  <c r="X67" i="1" s="1"/>
  <c r="A68" i="1" s="1"/>
  <c r="X68" i="1" s="1"/>
  <c r="A69" i="1" s="1"/>
  <c r="X69" i="1" s="1"/>
  <c r="A70" i="1" s="1"/>
  <c r="X70" i="1" s="1"/>
  <c r="A71" i="1" s="1"/>
  <c r="X71" i="1" s="1"/>
  <c r="A72" i="1" s="1"/>
  <c r="X72" i="1" s="1"/>
  <c r="A73" i="1" s="1"/>
  <c r="X73" i="1" s="1"/>
  <c r="A74" i="1" s="1"/>
  <c r="X74" i="1" s="1"/>
  <c r="A75" i="1" s="1"/>
  <c r="X75" i="1" s="1"/>
  <c r="A76" i="1" s="1"/>
  <c r="X76" i="1" s="1"/>
  <c r="A77" i="1" s="1"/>
  <c r="X77" i="1" s="1"/>
  <c r="A78" i="1" s="1"/>
  <c r="X78" i="1" s="1"/>
  <c r="A79" i="1" s="1"/>
  <c r="X79" i="1" s="1"/>
  <c r="A80" i="1" s="1"/>
  <c r="X80" i="1" s="1"/>
  <c r="A81" i="1" s="1"/>
  <c r="X81" i="1" s="1"/>
  <c r="A82" i="1" s="1"/>
  <c r="X82" i="1" s="1"/>
  <c r="A83" i="1" s="1"/>
  <c r="X83" i="1" s="1"/>
  <c r="A84" i="1" s="1"/>
  <c r="X84" i="1" s="1"/>
  <c r="A85" i="1" s="1"/>
  <c r="X85" i="1" s="1"/>
  <c r="A86" i="1" s="1"/>
  <c r="X86" i="1" s="1"/>
  <c r="A87" i="1" s="1"/>
  <c r="X87" i="1" s="1"/>
  <c r="A88" i="1" s="1"/>
  <c r="X88" i="1" s="1"/>
  <c r="A89" i="1" s="1"/>
  <c r="X89" i="1" s="1"/>
  <c r="A90" i="1" s="1"/>
  <c r="X90" i="1" s="1"/>
  <c r="A91" i="1" s="1"/>
  <c r="X91" i="1" s="1"/>
  <c r="A92" i="1" s="1"/>
  <c r="X92" i="1" s="1"/>
  <c r="A93" i="1" s="1"/>
  <c r="X93" i="1" s="1"/>
  <c r="A94" i="1" s="1"/>
  <c r="X94" i="1" s="1"/>
  <c r="A95" i="1" s="1"/>
  <c r="X95" i="1" s="1"/>
  <c r="A96" i="1" s="1"/>
  <c r="X96" i="1" s="1"/>
  <c r="A97" i="1" s="1"/>
  <c r="X97" i="1" s="1"/>
  <c r="A98" i="1" s="1"/>
  <c r="X98" i="1" s="1"/>
  <c r="A99" i="1" s="1"/>
  <c r="X99" i="1" s="1"/>
  <c r="A100" i="1" s="1"/>
  <c r="X100" i="1" s="1"/>
  <c r="A101" i="1" s="1"/>
  <c r="X101" i="1" s="1"/>
  <c r="A102" i="1" s="1"/>
  <c r="X102" i="1" s="1"/>
  <c r="A103" i="1" s="1"/>
  <c r="X103" i="1" s="1"/>
  <c r="A104" i="1" s="1"/>
  <c r="X104" i="1" s="1"/>
  <c r="A105" i="1" s="1"/>
  <c r="X105" i="1" s="1"/>
  <c r="A106" i="1" s="1"/>
  <c r="X106" i="1" s="1"/>
  <c r="A107" i="1" s="1"/>
  <c r="X107" i="1" s="1"/>
  <c r="A108" i="1" s="1"/>
  <c r="X108" i="1" s="1"/>
  <c r="A109" i="1" s="1"/>
  <c r="X109" i="1" s="1"/>
  <c r="A110" i="1" s="1"/>
  <c r="X110" i="1" s="1"/>
  <c r="A111" i="1" s="1"/>
  <c r="X111" i="1" s="1"/>
  <c r="A112" i="1" s="1"/>
  <c r="X112" i="1" s="1"/>
  <c r="A113" i="1" s="1"/>
  <c r="X113" i="1" s="1"/>
  <c r="A114" i="1" s="1"/>
  <c r="X114" i="1" s="1"/>
  <c r="A115" i="1" s="1"/>
  <c r="X115" i="1" s="1"/>
  <c r="A116" i="1" s="1"/>
  <c r="X116" i="1" s="1"/>
  <c r="A117" i="1" s="1"/>
  <c r="X117" i="1" s="1"/>
  <c r="A118" i="1" s="1"/>
  <c r="X118" i="1" s="1"/>
  <c r="A119" i="1" s="1"/>
  <c r="X119" i="1" s="1"/>
  <c r="A120" i="1" s="1"/>
  <c r="X120" i="1" s="1"/>
  <c r="A121" i="1" s="1"/>
  <c r="X121" i="1" s="1"/>
  <c r="A122" i="1" s="1"/>
  <c r="X122" i="1" s="1"/>
  <c r="A123" i="1" s="1"/>
  <c r="X123" i="1" s="1"/>
  <c r="A124" i="1" s="1"/>
  <c r="X124" i="1" s="1"/>
  <c r="A125" i="1" s="1"/>
  <c r="X125" i="1" s="1"/>
  <c r="A126" i="1" s="1"/>
  <c r="X126" i="1" s="1"/>
  <c r="A127" i="1" s="1"/>
  <c r="X127" i="1" s="1"/>
  <c r="A128" i="1" s="1"/>
  <c r="X128" i="1" s="1"/>
  <c r="A129" i="1" s="1"/>
  <c r="X129" i="1" s="1"/>
  <c r="A130" i="1" s="1"/>
  <c r="X130" i="1" s="1"/>
  <c r="A131" i="1" s="1"/>
  <c r="X131" i="1" s="1"/>
  <c r="A132" i="1" s="1"/>
  <c r="X132" i="1" s="1"/>
  <c r="A133" i="1" s="1"/>
  <c r="X133" i="1" s="1"/>
  <c r="A134" i="1" s="1"/>
  <c r="X134" i="1" s="1"/>
  <c r="A135" i="1" s="1"/>
  <c r="X135" i="1" s="1"/>
  <c r="A136" i="1" s="1"/>
  <c r="X136" i="1" s="1"/>
  <c r="A137" i="1" s="1"/>
  <c r="X137" i="1" s="1"/>
  <c r="A138" i="1" s="1"/>
  <c r="X138" i="1" s="1"/>
  <c r="A139" i="1" s="1"/>
  <c r="X139" i="1" s="1"/>
  <c r="A140" i="1" s="1"/>
  <c r="X140" i="1" s="1"/>
  <c r="A141" i="1" s="1"/>
  <c r="X141" i="1" s="1"/>
  <c r="A142" i="1" s="1"/>
  <c r="X142" i="1" s="1"/>
  <c r="A143" i="1" s="1"/>
  <c r="X143" i="1" s="1"/>
  <c r="A144" i="1" s="1"/>
  <c r="X144" i="1" s="1"/>
  <c r="A145" i="1" s="1"/>
  <c r="X145" i="1" s="1"/>
  <c r="A146" i="1" s="1"/>
  <c r="X146" i="1" s="1"/>
  <c r="A147" i="1" s="1"/>
  <c r="X147" i="1" s="1"/>
  <c r="A148" i="1" s="1"/>
  <c r="X148" i="1" s="1"/>
  <c r="A149" i="1" s="1"/>
  <c r="X149" i="1" s="1"/>
  <c r="A150" i="1" s="1"/>
  <c r="X150" i="1" s="1"/>
  <c r="A151" i="1" s="1"/>
  <c r="X151" i="1" s="1"/>
  <c r="A152" i="1" s="1"/>
  <c r="X152" i="1" s="1"/>
  <c r="A153" i="1" s="1"/>
  <c r="X153" i="1" s="1"/>
  <c r="A154" i="1" s="1"/>
  <c r="X154" i="1" s="1"/>
  <c r="A155" i="1" s="1"/>
  <c r="X155" i="1" s="1"/>
  <c r="A156" i="1" s="1"/>
  <c r="X156" i="1" s="1"/>
  <c r="A157" i="1" s="1"/>
  <c r="X157" i="1" s="1"/>
  <c r="A158" i="1" s="1"/>
  <c r="X158" i="1" s="1"/>
  <c r="A159" i="1" s="1"/>
  <c r="X159" i="1" s="1"/>
  <c r="A160" i="1" s="1"/>
  <c r="X160" i="1" s="1"/>
  <c r="A161" i="1" s="1"/>
  <c r="X161" i="1" s="1"/>
  <c r="A162" i="1" s="1"/>
  <c r="X162" i="1" s="1"/>
  <c r="A163" i="1" s="1"/>
  <c r="X163" i="1" s="1"/>
  <c r="A164" i="1" s="1"/>
  <c r="X164" i="1" s="1"/>
  <c r="A165" i="1" s="1"/>
  <c r="X165" i="1" s="1"/>
  <c r="A166" i="1" s="1"/>
  <c r="X166" i="1" s="1"/>
  <c r="A167" i="1" s="1"/>
  <c r="X167" i="1" s="1"/>
  <c r="A168" i="1" s="1"/>
  <c r="X168" i="1" s="1"/>
  <c r="A169" i="1" s="1"/>
  <c r="X169" i="1" s="1"/>
  <c r="A170" i="1" s="1"/>
  <c r="X170" i="1" s="1"/>
  <c r="A171" i="1" s="1"/>
  <c r="X171" i="1" s="1"/>
  <c r="A172" i="1" s="1"/>
  <c r="X172" i="1" s="1"/>
  <c r="A173" i="1" s="1"/>
  <c r="X173" i="1" s="1"/>
  <c r="A174" i="1" s="1"/>
  <c r="X174" i="1" s="1"/>
  <c r="A175" i="1" s="1"/>
  <c r="X175" i="1" s="1"/>
  <c r="A176" i="1" s="1"/>
  <c r="X176" i="1" s="1"/>
  <c r="A177" i="1" s="1"/>
  <c r="X177" i="1" s="1"/>
  <c r="A178" i="1" s="1"/>
  <c r="X178" i="1" s="1"/>
  <c r="A179" i="1" s="1"/>
  <c r="C179" i="1"/>
  <c r="X179" i="1"/>
  <c r="A180" i="1" s="1"/>
  <c r="X106" i="3" l="1"/>
  <c r="A107" i="3" s="1"/>
  <c r="C106" i="3"/>
  <c r="C425" i="3"/>
  <c r="X425" i="3"/>
  <c r="A426" i="3" s="1"/>
  <c r="C318" i="3"/>
  <c r="X318" i="3"/>
  <c r="A319" i="3" s="1"/>
  <c r="X167" i="3"/>
  <c r="A168" i="3" s="1"/>
  <c r="X168" i="3" s="1"/>
  <c r="A169" i="3" s="1"/>
  <c r="X169" i="3"/>
  <c r="A170" i="3" s="1"/>
  <c r="X170" i="3" s="1"/>
  <c r="A171" i="3" s="1"/>
  <c r="X171" i="3" s="1"/>
  <c r="A172" i="3" s="1"/>
  <c r="X172" i="3" s="1"/>
  <c r="A173" i="3" s="1"/>
  <c r="X173" i="3" s="1"/>
  <c r="A174" i="3" s="1"/>
  <c r="X174" i="3" s="1"/>
  <c r="A175" i="3" s="1"/>
  <c r="X175" i="3" s="1"/>
  <c r="A176" i="3" s="1"/>
  <c r="X176" i="3" s="1"/>
  <c r="A177" i="3" s="1"/>
  <c r="X177" i="3" s="1"/>
  <c r="A178" i="3" s="1"/>
  <c r="X178" i="3" s="1"/>
  <c r="A179" i="3" s="1"/>
  <c r="X179" i="3" s="1"/>
  <c r="A180" i="3" s="1"/>
  <c r="X180" i="3" s="1"/>
  <c r="A181" i="3" s="1"/>
  <c r="X181" i="3" s="1"/>
  <c r="A182" i="3" s="1"/>
  <c r="X182" i="3" s="1"/>
  <c r="A183" i="3" s="1"/>
  <c r="X183" i="3" s="1"/>
  <c r="A184" i="3" s="1"/>
  <c r="X184" i="3" s="1"/>
  <c r="A185" i="3" s="1"/>
  <c r="X185" i="3" s="1"/>
  <c r="A186" i="3" s="1"/>
  <c r="X186" i="3" s="1"/>
  <c r="A187" i="3" s="1"/>
  <c r="X187" i="3" s="1"/>
  <c r="A188" i="3" s="1"/>
  <c r="X188" i="3" s="1"/>
  <c r="A189" i="3" s="1"/>
  <c r="X189" i="3" s="1"/>
  <c r="A190" i="3" s="1"/>
  <c r="C1156" i="2"/>
  <c r="X1156" i="2"/>
  <c r="A1157" i="2" s="1"/>
  <c r="A602" i="2"/>
  <c r="X602" i="2" s="1"/>
  <c r="A603" i="2" s="1"/>
  <c r="X603" i="2" s="1"/>
  <c r="A604" i="2" s="1"/>
  <c r="X604" i="2" s="1"/>
  <c r="A605" i="2" s="1"/>
  <c r="X605" i="2" s="1"/>
  <c r="A606" i="2" s="1"/>
  <c r="X606" i="2" s="1"/>
  <c r="A607" i="2" s="1"/>
  <c r="X607" i="2" s="1"/>
  <c r="A608" i="2" s="1"/>
  <c r="X608" i="2" s="1"/>
  <c r="A601" i="2"/>
  <c r="X601" i="2" s="1"/>
  <c r="A489" i="2"/>
  <c r="X489" i="2" s="1"/>
  <c r="A490" i="2" s="1"/>
  <c r="A362" i="2"/>
  <c r="X362" i="2" s="1"/>
  <c r="A363" i="2" s="1"/>
  <c r="X363" i="2" s="1"/>
  <c r="A364" i="2" s="1"/>
  <c r="X364" i="2" s="1"/>
  <c r="A365" i="2" s="1"/>
  <c r="X365" i="2" s="1"/>
  <c r="A366" i="2" s="1"/>
  <c r="X366" i="2" s="1"/>
  <c r="A367" i="2" s="1"/>
  <c r="X367" i="2" s="1"/>
  <c r="A368" i="2" s="1"/>
  <c r="X368" i="2" s="1"/>
  <c r="A369" i="2" s="1"/>
  <c r="X369" i="2" s="1"/>
  <c r="A370" i="2" s="1"/>
  <c r="X50" i="2"/>
  <c r="A51" i="2" s="1"/>
  <c r="C50" i="2"/>
  <c r="X22" i="2"/>
  <c r="A23" i="2" s="1"/>
  <c r="C22" i="2"/>
  <c r="X360" i="2"/>
  <c r="A361" i="2" s="1"/>
  <c r="X361" i="2" s="1"/>
  <c r="A1579" i="2"/>
  <c r="X1579" i="2" s="1"/>
  <c r="A1580" i="2" s="1"/>
  <c r="X1580" i="2" s="1"/>
  <c r="A1582" i="2" s="1"/>
  <c r="X1582" i="2" s="1"/>
  <c r="A1583" i="2" s="1"/>
  <c r="X1583" i="2" s="1"/>
  <c r="A1584" i="2" s="1"/>
  <c r="X1584" i="2" s="1"/>
  <c r="A1585" i="2" s="1"/>
  <c r="X1585" i="2" s="1"/>
  <c r="A1586" i="2" s="1"/>
  <c r="X1586" i="2" s="1"/>
  <c r="A1587" i="2" s="1"/>
  <c r="X1587" i="2" s="1"/>
  <c r="A1588" i="2" s="1"/>
  <c r="X1588" i="2" s="1"/>
  <c r="A1589" i="2" s="1"/>
  <c r="X1589" i="2" s="1"/>
  <c r="A1590" i="2" s="1"/>
  <c r="X1590" i="2" s="1"/>
  <c r="A1591" i="2" s="1"/>
  <c r="X1591" i="2" s="1"/>
  <c r="A1592" i="2" s="1"/>
  <c r="X1592" i="2" s="1"/>
  <c r="A1593" i="2" s="1"/>
  <c r="X1593" i="2" s="1"/>
  <c r="A1594" i="2" s="1"/>
  <c r="X1594" i="2" s="1"/>
  <c r="A1595" i="2" s="1"/>
  <c r="X1595" i="2" s="1"/>
  <c r="A1596" i="2" s="1"/>
  <c r="X1596" i="2" s="1"/>
  <c r="A1597" i="2" s="1"/>
  <c r="X1597" i="2" s="1"/>
  <c r="A1598" i="2" s="1"/>
  <c r="X1598" i="2" s="1"/>
  <c r="A1599" i="2" s="1"/>
  <c r="X1599" i="2" s="1"/>
  <c r="A1600" i="2" s="1"/>
  <c r="X1600" i="2" s="1"/>
  <c r="A1601" i="2" s="1"/>
  <c r="X1601" i="2" s="1"/>
  <c r="A1602" i="2" s="1"/>
  <c r="X1602" i="2" s="1"/>
  <c r="A1603" i="2" s="1"/>
  <c r="X1603" i="2" s="1"/>
  <c r="A1604" i="2" s="1"/>
  <c r="X1604" i="2" s="1"/>
  <c r="A1581" i="2"/>
  <c r="X1581" i="2" s="1"/>
  <c r="A83" i="2"/>
  <c r="X83" i="2" s="1"/>
  <c r="A1458" i="2"/>
  <c r="X1458" i="2" s="1"/>
  <c r="A1459" i="2" s="1"/>
  <c r="X1459" i="2" s="1"/>
  <c r="A1460" i="2" s="1"/>
  <c r="X1460" i="2" s="1"/>
  <c r="A1461" i="2" s="1"/>
  <c r="X1461" i="2" s="1"/>
  <c r="A1462" i="2" s="1"/>
  <c r="A1270" i="2"/>
  <c r="X1270" i="2" s="1"/>
  <c r="A1271" i="2" s="1"/>
  <c r="X1271" i="2" s="1"/>
  <c r="A1272" i="2"/>
  <c r="X1272" i="2" s="1"/>
  <c r="A1273" i="2" s="1"/>
  <c r="X1273" i="2" s="1"/>
  <c r="A1274" i="2" s="1"/>
  <c r="X1274" i="2" s="1"/>
  <c r="A1275" i="2" s="1"/>
  <c r="X1275" i="2" s="1"/>
  <c r="A1276" i="2" s="1"/>
  <c r="X1276" i="2" s="1"/>
  <c r="A1277" i="2" s="1"/>
  <c r="X1277" i="2" s="1"/>
  <c r="A1278" i="2" s="1"/>
  <c r="X1278" i="2" s="1"/>
  <c r="A1279" i="2" s="1"/>
  <c r="X1279" i="2" s="1"/>
  <c r="A1280" i="2" s="1"/>
  <c r="X1280" i="2" s="1"/>
  <c r="A1281" i="2" s="1"/>
  <c r="X1281" i="2" s="1"/>
  <c r="A1282" i="2" s="1"/>
  <c r="X1282" i="2" s="1"/>
  <c r="A1283" i="2" s="1"/>
  <c r="X1036" i="2"/>
  <c r="A1037" i="2" s="1"/>
  <c r="C1036" i="2"/>
  <c r="N740" i="2"/>
  <c r="P740" i="2" s="1"/>
  <c r="A740" i="2"/>
  <c r="X679" i="2"/>
  <c r="A680" i="2" s="1"/>
  <c r="X680" i="2" s="1"/>
  <c r="A681" i="2" s="1"/>
  <c r="X681" i="2" s="1"/>
  <c r="A679" i="2"/>
  <c r="A136" i="2"/>
  <c r="X136" i="2" s="1"/>
  <c r="A137" i="2" s="1"/>
  <c r="X137" i="2" s="1"/>
  <c r="A138" i="2" s="1"/>
  <c r="X138" i="2" s="1"/>
  <c r="A139" i="2" s="1"/>
  <c r="X139" i="2" s="1"/>
  <c r="A140" i="2" s="1"/>
  <c r="X140" i="2" s="1"/>
  <c r="A141" i="2" s="1"/>
  <c r="A256" i="2"/>
  <c r="X256" i="2" s="1"/>
  <c r="A257" i="2" s="1"/>
  <c r="X257" i="2" s="1"/>
  <c r="A258" i="2" s="1"/>
  <c r="X258" i="2" s="1"/>
  <c r="A259" i="2" s="1"/>
  <c r="X116" i="2"/>
  <c r="A117" i="2" s="1"/>
  <c r="C116" i="2"/>
  <c r="X98" i="2"/>
  <c r="A99" i="2" s="1"/>
  <c r="C98" i="2"/>
  <c r="C69" i="2"/>
  <c r="X69" i="2"/>
  <c r="A70" i="2" s="1"/>
  <c r="C34" i="2"/>
  <c r="X34" i="2"/>
  <c r="A35" i="2" s="1"/>
  <c r="C13" i="2"/>
  <c r="X13" i="2"/>
  <c r="A14" i="2" s="1"/>
  <c r="C2626" i="1"/>
  <c r="X2626" i="1"/>
  <c r="A2627" i="1" s="1"/>
  <c r="C2615" i="1"/>
  <c r="X2615" i="1"/>
  <c r="A2616" i="1" s="1"/>
  <c r="C2546" i="1"/>
  <c r="X2546" i="1"/>
  <c r="A2547" i="1" s="1"/>
  <c r="C2476" i="1"/>
  <c r="X2476" i="1"/>
  <c r="A2477" i="1" s="1"/>
  <c r="C1927" i="1"/>
  <c r="X1927" i="1"/>
  <c r="A1928" i="1" s="1"/>
  <c r="C1815" i="1"/>
  <c r="X1815" i="1"/>
  <c r="C180" i="1"/>
  <c r="X180" i="1"/>
  <c r="A181" i="1" s="1"/>
  <c r="X778" i="1"/>
  <c r="A779" i="1" s="1"/>
  <c r="X779" i="1" s="1"/>
  <c r="A780" i="1" s="1"/>
  <c r="X780" i="1" s="1"/>
  <c r="A781" i="1" s="1"/>
  <c r="X781" i="1" s="1"/>
  <c r="A782" i="1" s="1"/>
  <c r="X782" i="1" s="1"/>
  <c r="A783" i="1" s="1"/>
  <c r="X783" i="1" s="1"/>
  <c r="A784" i="1" s="1"/>
  <c r="X784" i="1" s="1"/>
  <c r="A785" i="1" s="1"/>
  <c r="X785" i="1" s="1"/>
  <c r="A786" i="1" s="1"/>
  <c r="X786" i="1" s="1"/>
  <c r="A787" i="1" s="1"/>
  <c r="X787" i="1" s="1"/>
  <c r="A788" i="1" s="1"/>
  <c r="X788" i="1" s="1"/>
  <c r="A789" i="1" s="1"/>
  <c r="X789" i="1" s="1"/>
  <c r="A790" i="1" s="1"/>
  <c r="X790" i="1" s="1"/>
  <c r="A791" i="1" s="1"/>
  <c r="X791" i="1" s="1"/>
  <c r="A792" i="1" s="1"/>
  <c r="X792" i="1" s="1"/>
  <c r="A793" i="1" s="1"/>
  <c r="X793" i="1" s="1"/>
  <c r="A794" i="1" s="1"/>
  <c r="X794" i="1" s="1"/>
  <c r="A795" i="1" s="1"/>
  <c r="X795" i="1" s="1"/>
  <c r="A796" i="1" s="1"/>
  <c r="X796" i="1" s="1"/>
  <c r="A797" i="1" s="1"/>
  <c r="X797" i="1" s="1"/>
  <c r="A798" i="1" s="1"/>
  <c r="X798" i="1" s="1"/>
  <c r="A799" i="1" s="1"/>
  <c r="X799" i="1" s="1"/>
  <c r="A800" i="1" s="1"/>
  <c r="X800" i="1" s="1"/>
  <c r="A801" i="1" s="1"/>
  <c r="X801" i="1" s="1"/>
  <c r="A802" i="1" s="1"/>
  <c r="X802" i="1" s="1"/>
  <c r="A803" i="1" s="1"/>
  <c r="X803" i="1" s="1"/>
  <c r="A804" i="1" s="1"/>
  <c r="X804" i="1" s="1"/>
  <c r="A805" i="1" s="1"/>
  <c r="X805" i="1" s="1"/>
  <c r="A806" i="1" s="1"/>
  <c r="X806" i="1" s="1"/>
  <c r="A807" i="1" s="1"/>
  <c r="X807" i="1" s="1"/>
  <c r="A808" i="1" s="1"/>
  <c r="X808" i="1" s="1"/>
  <c r="A809" i="1" s="1"/>
  <c r="X809" i="1" s="1"/>
  <c r="A810" i="1" s="1"/>
  <c r="X810" i="1" s="1"/>
  <c r="A811" i="1" s="1"/>
  <c r="X811" i="1" s="1"/>
  <c r="A812" i="1" s="1"/>
  <c r="X812" i="1" s="1"/>
  <c r="A813" i="1" s="1"/>
  <c r="X813" i="1" s="1"/>
  <c r="A814" i="1" s="1"/>
  <c r="X814" i="1" s="1"/>
  <c r="A815" i="1" s="1"/>
  <c r="X815" i="1" s="1"/>
  <c r="A816" i="1" s="1"/>
  <c r="X816" i="1" s="1"/>
  <c r="A817" i="1" s="1"/>
  <c r="X817" i="1" s="1"/>
  <c r="A818" i="1" s="1"/>
  <c r="X818" i="1" s="1"/>
  <c r="A819" i="1" s="1"/>
  <c r="X819" i="1" s="1"/>
  <c r="A820" i="1" s="1"/>
  <c r="X820" i="1" s="1"/>
  <c r="A821" i="1" s="1"/>
  <c r="X821" i="1" s="1"/>
  <c r="A822" i="1" s="1"/>
  <c r="X822" i="1" s="1"/>
  <c r="A823" i="1" s="1"/>
  <c r="X823" i="1" s="1"/>
  <c r="A824" i="1" s="1"/>
  <c r="X824" i="1" s="1"/>
  <c r="A825" i="1" s="1"/>
  <c r="X825" i="1" s="1"/>
  <c r="A826" i="1" s="1"/>
  <c r="X826" i="1" s="1"/>
  <c r="A827" i="1" s="1"/>
  <c r="X827" i="1" s="1"/>
  <c r="A828" i="1" s="1"/>
  <c r="X828" i="1" s="1"/>
  <c r="A829" i="1" s="1"/>
  <c r="X829" i="1" s="1"/>
  <c r="A830" i="1" s="1"/>
  <c r="X830" i="1" s="1"/>
  <c r="A831" i="1" s="1"/>
  <c r="X831" i="1" s="1"/>
  <c r="A832" i="1" s="1"/>
  <c r="X832" i="1" s="1"/>
  <c r="A833" i="1" s="1"/>
  <c r="X833" i="1" s="1"/>
  <c r="A834" i="1" s="1"/>
  <c r="X834" i="1" s="1"/>
  <c r="A835" i="1" s="1"/>
  <c r="X835" i="1" s="1"/>
  <c r="A836" i="1" s="1"/>
  <c r="X836" i="1" s="1"/>
  <c r="A837" i="1" s="1"/>
  <c r="X837" i="1" s="1"/>
  <c r="A838" i="1" s="1"/>
  <c r="X838" i="1" s="1"/>
  <c r="A839" i="1" s="1"/>
  <c r="X839" i="1" s="1"/>
  <c r="A840" i="1" s="1"/>
  <c r="X840" i="1" s="1"/>
  <c r="A841" i="1" s="1"/>
  <c r="X841" i="1" s="1"/>
  <c r="A842" i="1" s="1"/>
  <c r="X842" i="1" s="1"/>
  <c r="A843" i="1" s="1"/>
  <c r="X843" i="1" s="1"/>
  <c r="A844" i="1" s="1"/>
  <c r="X844" i="1" s="1"/>
  <c r="A845" i="1" s="1"/>
  <c r="X845" i="1" s="1"/>
  <c r="A846" i="1" s="1"/>
  <c r="X846" i="1" s="1"/>
  <c r="A847" i="1" s="1"/>
  <c r="X847" i="1" s="1"/>
  <c r="A848" i="1" s="1"/>
  <c r="X848" i="1" s="1"/>
  <c r="A849" i="1" s="1"/>
  <c r="X849" i="1" s="1"/>
  <c r="A850" i="1" s="1"/>
  <c r="X850" i="1" s="1"/>
  <c r="A851" i="1" s="1"/>
  <c r="X851" i="1" s="1"/>
  <c r="A852" i="1" s="1"/>
  <c r="X852" i="1" s="1"/>
  <c r="A853" i="1" s="1"/>
  <c r="X853" i="1" s="1"/>
  <c r="A854" i="1" s="1"/>
  <c r="X854" i="1" s="1"/>
  <c r="A855" i="1" s="1"/>
  <c r="X855" i="1" s="1"/>
  <c r="A856" i="1" s="1"/>
  <c r="X856" i="1" s="1"/>
  <c r="A857" i="1" s="1"/>
  <c r="X857" i="1" s="1"/>
  <c r="A858" i="1" s="1"/>
  <c r="X858" i="1" s="1"/>
  <c r="A859" i="1" s="1"/>
  <c r="X859" i="1" s="1"/>
  <c r="A860" i="1" s="1"/>
  <c r="X860" i="1" s="1"/>
  <c r="A861" i="1" s="1"/>
  <c r="X861" i="1" s="1"/>
  <c r="A862" i="1" s="1"/>
  <c r="X862" i="1" s="1"/>
  <c r="A863" i="1" s="1"/>
  <c r="X863" i="1" s="1"/>
  <c r="A864" i="1" s="1"/>
  <c r="X864" i="1" s="1"/>
  <c r="A865" i="1" s="1"/>
  <c r="X865" i="1" s="1"/>
  <c r="A866" i="1" s="1"/>
  <c r="X866" i="1" s="1"/>
  <c r="A867" i="1" s="1"/>
  <c r="X867" i="1" s="1"/>
  <c r="A868" i="1" s="1"/>
  <c r="X868" i="1" s="1"/>
  <c r="A869" i="1" s="1"/>
  <c r="X869" i="1" s="1"/>
  <c r="A870" i="1" s="1"/>
  <c r="X870" i="1" s="1"/>
  <c r="A871" i="1" s="1"/>
  <c r="X871" i="1" s="1"/>
  <c r="A872" i="1" s="1"/>
  <c r="X872" i="1" s="1"/>
  <c r="A873" i="1" s="1"/>
  <c r="X873" i="1" s="1"/>
  <c r="A874" i="1" s="1"/>
  <c r="X874" i="1" s="1"/>
  <c r="A875" i="1" s="1"/>
  <c r="X875" i="1" s="1"/>
  <c r="A876" i="1" s="1"/>
  <c r="X876" i="1" s="1"/>
  <c r="A877" i="1" s="1"/>
  <c r="X877" i="1" s="1"/>
  <c r="A878" i="1" s="1"/>
  <c r="X878" i="1" s="1"/>
  <c r="A879" i="1" s="1"/>
  <c r="X879" i="1" s="1"/>
  <c r="A880" i="1" s="1"/>
  <c r="X880" i="1" s="1"/>
  <c r="A881" i="1" s="1"/>
  <c r="X881" i="1" s="1"/>
  <c r="A882" i="1" s="1"/>
  <c r="X882" i="1" s="1"/>
  <c r="A883" i="1" s="1"/>
  <c r="X883" i="1" s="1"/>
  <c r="A884" i="1" s="1"/>
  <c r="X884" i="1" s="1"/>
  <c r="A885" i="1" s="1"/>
  <c r="X885" i="1" s="1"/>
  <c r="A886" i="1" s="1"/>
  <c r="X886" i="1" s="1"/>
  <c r="A887" i="1" s="1"/>
  <c r="X887" i="1" s="1"/>
  <c r="A888" i="1" s="1"/>
  <c r="X888" i="1" s="1"/>
  <c r="A889" i="1" s="1"/>
  <c r="X889" i="1" s="1"/>
  <c r="A890" i="1" s="1"/>
  <c r="X890" i="1" s="1"/>
  <c r="A891" i="1" s="1"/>
  <c r="X891" i="1" s="1"/>
  <c r="A892" i="1" s="1"/>
  <c r="X892" i="1" s="1"/>
  <c r="A893" i="1" s="1"/>
  <c r="X893" i="1" s="1"/>
  <c r="A894" i="1" s="1"/>
  <c r="X894" i="1" s="1"/>
  <c r="A895" i="1" s="1"/>
  <c r="X895" i="1" s="1"/>
  <c r="A896" i="1" s="1"/>
  <c r="X896" i="1" s="1"/>
  <c r="A897" i="1" s="1"/>
  <c r="X897" i="1" s="1"/>
  <c r="A898" i="1" s="1"/>
  <c r="X898" i="1" s="1"/>
  <c r="A899" i="1" s="1"/>
  <c r="X899" i="1" s="1"/>
  <c r="A900" i="1" s="1"/>
  <c r="X900" i="1" s="1"/>
  <c r="A901" i="1" s="1"/>
  <c r="X901" i="1" s="1"/>
  <c r="A902" i="1" s="1"/>
  <c r="X902" i="1" s="1"/>
  <c r="A903" i="1" s="1"/>
  <c r="X903" i="1" s="1"/>
  <c r="A904" i="1" s="1"/>
  <c r="X904" i="1" s="1"/>
  <c r="A905" i="1" s="1"/>
  <c r="X905" i="1" s="1"/>
  <c r="A906" i="1" s="1"/>
  <c r="X906" i="1" s="1"/>
  <c r="A907" i="1" s="1"/>
  <c r="X907" i="1" s="1"/>
  <c r="A908" i="1" s="1"/>
  <c r="X908" i="1" s="1"/>
  <c r="A909" i="1" s="1"/>
  <c r="X909" i="1" s="1"/>
  <c r="A910" i="1" s="1"/>
  <c r="X910" i="1" s="1"/>
  <c r="A911" i="1" s="1"/>
  <c r="X911" i="1" s="1"/>
  <c r="A912" i="1" s="1"/>
  <c r="X912" i="1" s="1"/>
  <c r="A913" i="1" s="1"/>
  <c r="X913" i="1" s="1"/>
  <c r="A914" i="1" s="1"/>
  <c r="X914" i="1" s="1"/>
  <c r="A915" i="1" s="1"/>
  <c r="X915" i="1" s="1"/>
  <c r="A916" i="1" s="1"/>
  <c r="X916" i="1" s="1"/>
  <c r="A917" i="1" s="1"/>
  <c r="X917" i="1" s="1"/>
  <c r="A918" i="1" s="1"/>
  <c r="X918" i="1" s="1"/>
  <c r="A919" i="1" s="1"/>
  <c r="X919" i="1" s="1"/>
  <c r="A920" i="1" s="1"/>
  <c r="X920" i="1" s="1"/>
  <c r="A921" i="1" s="1"/>
  <c r="X921" i="1" s="1"/>
  <c r="A922" i="1" s="1"/>
  <c r="X922" i="1" s="1"/>
  <c r="A923" i="1" s="1"/>
  <c r="X923" i="1" s="1"/>
  <c r="A924" i="1" s="1"/>
  <c r="X924" i="1" s="1"/>
  <c r="A925" i="1" s="1"/>
  <c r="X925" i="1" s="1"/>
  <c r="A926" i="1" s="1"/>
  <c r="X926" i="1" s="1"/>
  <c r="A927" i="1" s="1"/>
  <c r="X927" i="1" s="1"/>
  <c r="A928" i="1" s="1"/>
  <c r="X928" i="1" s="1"/>
  <c r="A929" i="1" s="1"/>
  <c r="X929" i="1" s="1"/>
  <c r="A930" i="1" s="1"/>
  <c r="X930" i="1" s="1"/>
  <c r="A931" i="1" s="1"/>
  <c r="X931" i="1" s="1"/>
  <c r="A932" i="1" s="1"/>
  <c r="X932" i="1" s="1"/>
  <c r="A933" i="1" s="1"/>
  <c r="X933" i="1" s="1"/>
  <c r="A934" i="1" s="1"/>
  <c r="X934" i="1" s="1"/>
  <c r="A935" i="1" s="1"/>
  <c r="X935" i="1" s="1"/>
  <c r="A936" i="1" s="1"/>
  <c r="X936" i="1" s="1"/>
  <c r="A937" i="1" s="1"/>
  <c r="X937" i="1" s="1"/>
  <c r="A938" i="1" s="1"/>
  <c r="X938" i="1" s="1"/>
  <c r="A939" i="1" s="1"/>
  <c r="X939" i="1" s="1"/>
  <c r="A940" i="1" s="1"/>
  <c r="X940" i="1" s="1"/>
  <c r="A941" i="1" s="1"/>
  <c r="X941" i="1" s="1"/>
  <c r="A942" i="1" s="1"/>
  <c r="X942" i="1" s="1"/>
  <c r="A943" i="1" s="1"/>
  <c r="X943" i="1" s="1"/>
  <c r="A944" i="1" s="1"/>
  <c r="X944" i="1" s="1"/>
  <c r="A945" i="1" s="1"/>
  <c r="X945" i="1" s="1"/>
  <c r="A946" i="1" s="1"/>
  <c r="X946" i="1" s="1"/>
  <c r="A947" i="1" s="1"/>
  <c r="X947" i="1" s="1"/>
  <c r="A948" i="1" s="1"/>
  <c r="X948" i="1" s="1"/>
  <c r="A949" i="1" s="1"/>
  <c r="X949" i="1" s="1"/>
  <c r="A950" i="1" s="1"/>
  <c r="X950" i="1" s="1"/>
  <c r="A951" i="1" s="1"/>
  <c r="X951" i="1" s="1"/>
  <c r="A952" i="1" s="1"/>
  <c r="X952" i="1" s="1"/>
  <c r="A953" i="1" s="1"/>
  <c r="X2231" i="1"/>
  <c r="A2232" i="1" s="1"/>
  <c r="X2232" i="1" s="1"/>
  <c r="A2233" i="1" s="1"/>
  <c r="X2233" i="1" s="1"/>
  <c r="A2234" i="1" s="1"/>
  <c r="X2234" i="1" s="1"/>
  <c r="A2235" i="1" s="1"/>
  <c r="X2235" i="1" s="1"/>
  <c r="A2236" i="1" s="1"/>
  <c r="X2236" i="1" s="1"/>
  <c r="A2237" i="1" s="1"/>
  <c r="X2237" i="1" s="1"/>
  <c r="A2238" i="1" s="1"/>
  <c r="X2238" i="1" s="1"/>
  <c r="A2239" i="1" s="1"/>
  <c r="X2239" i="1" s="1"/>
  <c r="A2240" i="1" s="1"/>
  <c r="X2240" i="1" s="1"/>
  <c r="A2241" i="1" s="1"/>
  <c r="X2241" i="1" s="1"/>
  <c r="A2242" i="1" s="1"/>
  <c r="X2242" i="1" s="1"/>
  <c r="A2243" i="1" s="1"/>
  <c r="X2243" i="1" s="1"/>
  <c r="A2244" i="1" s="1"/>
  <c r="X2244" i="1" s="1"/>
  <c r="A2245" i="1" s="1"/>
  <c r="X2245" i="1" s="1"/>
  <c r="A2246" i="1" s="1"/>
  <c r="X2246" i="1" s="1"/>
  <c r="A2247" i="1" s="1"/>
  <c r="X2247" i="1" s="1"/>
  <c r="A2248" i="1" s="1"/>
  <c r="X2248" i="1" s="1"/>
  <c r="A2249" i="1" s="1"/>
  <c r="X2249" i="1" s="1"/>
  <c r="A2250" i="1" s="1"/>
  <c r="X2250" i="1" s="1"/>
  <c r="A2251" i="1" s="1"/>
  <c r="X2251" i="1" s="1"/>
  <c r="A2252" i="1" s="1"/>
  <c r="X2252" i="1" s="1"/>
  <c r="A2253" i="1" s="1"/>
  <c r="X2253" i="1" s="1"/>
  <c r="A2254" i="1" s="1"/>
  <c r="X2254" i="1" s="1"/>
  <c r="A2255" i="1" s="1"/>
  <c r="X2255" i="1" s="1"/>
  <c r="A2256" i="1" s="1"/>
  <c r="X2256" i="1" s="1"/>
  <c r="A2257" i="1" s="1"/>
  <c r="X2257" i="1" s="1"/>
  <c r="A2258" i="1" s="1"/>
  <c r="X2258" i="1" s="1"/>
  <c r="A2259" i="1" s="1"/>
  <c r="X2259" i="1" s="1"/>
  <c r="A2260" i="1" s="1"/>
  <c r="X2260" i="1" s="1"/>
  <c r="A2261" i="1" s="1"/>
  <c r="X2261" i="1" s="1"/>
  <c r="A2262" i="1" s="1"/>
  <c r="X2262" i="1" s="1"/>
  <c r="A2263" i="1" s="1"/>
  <c r="X2263" i="1" s="1"/>
  <c r="A2264" i="1" s="1"/>
  <c r="X2264" i="1" s="1"/>
  <c r="A2265" i="1" s="1"/>
  <c r="X2265" i="1" s="1"/>
  <c r="A2266" i="1" s="1"/>
  <c r="X2266" i="1" s="1"/>
  <c r="A2267" i="1" s="1"/>
  <c r="X2267" i="1" s="1"/>
  <c r="A2268" i="1" s="1"/>
  <c r="X2268" i="1" s="1"/>
  <c r="A2269" i="1" s="1"/>
  <c r="X2269" i="1" s="1"/>
  <c r="A2270" i="1" s="1"/>
  <c r="X2270" i="1" s="1"/>
  <c r="A2271" i="1" s="1"/>
  <c r="X2271" i="1" s="1"/>
  <c r="A2272" i="1" s="1"/>
  <c r="X2272" i="1" s="1"/>
  <c r="A2273" i="1" s="1"/>
  <c r="X2273" i="1" s="1"/>
  <c r="A2274" i="1" s="1"/>
  <c r="X2274" i="1" s="1"/>
  <c r="A2275" i="1" s="1"/>
  <c r="X2275" i="1" s="1"/>
  <c r="A2276" i="1" s="1"/>
  <c r="X2276" i="1" s="1"/>
  <c r="A2277" i="1" s="1"/>
  <c r="X2277" i="1" s="1"/>
  <c r="A2278" i="1" s="1"/>
  <c r="X2278" i="1" s="1"/>
  <c r="A2279" i="1" s="1"/>
  <c r="X2279" i="1" s="1"/>
  <c r="A2280" i="1" s="1"/>
  <c r="X2280" i="1" s="1"/>
  <c r="A2281" i="1" s="1"/>
  <c r="X2281" i="1" s="1"/>
  <c r="A2282" i="1" s="1"/>
  <c r="X2282" i="1" s="1"/>
  <c r="A2283" i="1" s="1"/>
  <c r="X2283" i="1" s="1"/>
  <c r="A2284" i="1" s="1"/>
  <c r="X2284" i="1" s="1"/>
  <c r="A2285" i="1" s="1"/>
  <c r="X2285" i="1" s="1"/>
  <c r="A2286" i="1" s="1"/>
  <c r="X2286" i="1" s="1"/>
  <c r="A2287" i="1" s="1"/>
  <c r="X2287" i="1" s="1"/>
  <c r="A2288" i="1" s="1"/>
  <c r="X2288" i="1" s="1"/>
  <c r="A2289" i="1" s="1"/>
  <c r="X2289" i="1" s="1"/>
  <c r="A2290" i="1" s="1"/>
  <c r="X2290" i="1" s="1"/>
  <c r="A2291" i="1" s="1"/>
  <c r="X2291" i="1" s="1"/>
  <c r="A2292" i="1" s="1"/>
  <c r="X2292" i="1" s="1"/>
  <c r="A2293" i="1" s="1"/>
  <c r="X2293" i="1" s="1"/>
  <c r="A2294" i="1" s="1"/>
  <c r="X2294" i="1" s="1"/>
  <c r="A2295" i="1" s="1"/>
  <c r="X2295" i="1" s="1"/>
  <c r="A2296" i="1" s="1"/>
  <c r="X2296" i="1" s="1"/>
  <c r="A2297" i="1" s="1"/>
  <c r="X2297" i="1" s="1"/>
  <c r="A2298" i="1" s="1"/>
  <c r="X2298" i="1" s="1"/>
  <c r="A2299" i="1" s="1"/>
  <c r="X2299" i="1" s="1"/>
  <c r="A2300" i="1" s="1"/>
  <c r="X2300" i="1" s="1"/>
  <c r="A2301" i="1" s="1"/>
  <c r="X2301" i="1" s="1"/>
  <c r="A2302" i="1" s="1"/>
  <c r="X2302" i="1" s="1"/>
  <c r="A2303" i="1" s="1"/>
  <c r="X2303" i="1" s="1"/>
  <c r="A2304" i="1" s="1"/>
  <c r="X2304" i="1" s="1"/>
  <c r="A2305" i="1" s="1"/>
  <c r="X2305" i="1" s="1"/>
  <c r="A2306" i="1" s="1"/>
  <c r="X2306" i="1" s="1"/>
  <c r="A2307" i="1" s="1"/>
  <c r="X2307" i="1" s="1"/>
  <c r="A2308" i="1" s="1"/>
  <c r="X2308" i="1" s="1"/>
  <c r="A2309" i="1" s="1"/>
  <c r="X2309" i="1" s="1"/>
  <c r="A2310" i="1" s="1"/>
  <c r="X2310" i="1" s="1"/>
  <c r="A2311" i="1" s="1"/>
  <c r="X2311" i="1" s="1"/>
  <c r="A2312" i="1" s="1"/>
  <c r="X2312" i="1" s="1"/>
  <c r="A2313" i="1" s="1"/>
  <c r="X2313" i="1" s="1"/>
  <c r="A2314" i="1" s="1"/>
  <c r="X2314" i="1" s="1"/>
  <c r="A2315" i="1" s="1"/>
  <c r="X2315" i="1" s="1"/>
  <c r="A2316" i="1" s="1"/>
  <c r="X2316" i="1" s="1"/>
  <c r="A2317" i="1" s="1"/>
  <c r="X2317" i="1" s="1"/>
  <c r="A2318" i="1" s="1"/>
  <c r="X2318" i="1" s="1"/>
  <c r="A2319" i="1" s="1"/>
  <c r="X2319" i="1" s="1"/>
  <c r="A2320" i="1" s="1"/>
  <c r="X2320" i="1" s="1"/>
  <c r="A2321" i="1" s="1"/>
  <c r="X2321" i="1" s="1"/>
  <c r="A2322" i="1" s="1"/>
  <c r="X2322" i="1" s="1"/>
  <c r="A2323" i="1" s="1"/>
  <c r="X2323" i="1" s="1"/>
  <c r="A2324" i="1" s="1"/>
  <c r="X2324" i="1" s="1"/>
  <c r="A2325" i="1" s="1"/>
  <c r="X2325" i="1" s="1"/>
  <c r="A2326" i="1" s="1"/>
  <c r="X2326" i="1" s="1"/>
  <c r="A2327" i="1" s="1"/>
  <c r="X2327" i="1" s="1"/>
  <c r="A2328" i="1" s="1"/>
  <c r="X2328" i="1" s="1"/>
  <c r="A2329" i="1" s="1"/>
  <c r="X2329" i="1" s="1"/>
  <c r="A2330" i="1" s="1"/>
  <c r="X2330" i="1" s="1"/>
  <c r="A2331" i="1" s="1"/>
  <c r="X2331" i="1" s="1"/>
  <c r="A2332" i="1" s="1"/>
  <c r="X2332" i="1" s="1"/>
  <c r="A2333" i="1" s="1"/>
  <c r="X2333" i="1" s="1"/>
  <c r="A2334" i="1" s="1"/>
  <c r="X2334" i="1" s="1"/>
  <c r="A2335" i="1" s="1"/>
  <c r="X2335" i="1" s="1"/>
  <c r="A2336" i="1" s="1"/>
  <c r="X2336" i="1" s="1"/>
  <c r="A2337" i="1" s="1"/>
  <c r="X2337" i="1" s="1"/>
  <c r="A2338" i="1" s="1"/>
  <c r="X2338" i="1" s="1"/>
  <c r="A2339" i="1" s="1"/>
  <c r="X2339" i="1" s="1"/>
  <c r="A2340" i="1" s="1"/>
  <c r="X2340" i="1" s="1"/>
  <c r="A2341" i="1" s="1"/>
  <c r="X2341" i="1" s="1"/>
  <c r="A2342" i="1" s="1"/>
  <c r="X2342" i="1" s="1"/>
  <c r="A2343" i="1" s="1"/>
  <c r="X2343" i="1" s="1"/>
  <c r="A2344" i="1" s="1"/>
  <c r="X2344" i="1" s="1"/>
  <c r="A2345" i="1" s="1"/>
  <c r="X2345" i="1" s="1"/>
  <c r="A2346" i="1" s="1"/>
  <c r="X2346" i="1" s="1"/>
  <c r="A2347" i="1" s="1"/>
  <c r="X2347" i="1" s="1"/>
  <c r="A2348" i="1" s="1"/>
  <c r="X2348" i="1" s="1"/>
  <c r="A2349" i="1" s="1"/>
  <c r="X2349" i="1" s="1"/>
  <c r="A2350" i="1" s="1"/>
  <c r="X2350" i="1" s="1"/>
  <c r="A2351" i="1" s="1"/>
  <c r="X2351" i="1" s="1"/>
  <c r="A2352" i="1" s="1"/>
  <c r="X2352" i="1" s="1"/>
  <c r="A2353" i="1" s="1"/>
  <c r="X2353" i="1" s="1"/>
  <c r="A2354" i="1" s="1"/>
  <c r="X2354" i="1" s="1"/>
  <c r="A2355" i="1" s="1"/>
  <c r="X2355" i="1" s="1"/>
  <c r="A2356" i="1" s="1"/>
  <c r="X2356" i="1" s="1"/>
  <c r="A2357" i="1" s="1"/>
  <c r="X2357" i="1" s="1"/>
  <c r="A2358" i="1" s="1"/>
  <c r="X2358" i="1" s="1"/>
  <c r="A2359" i="1" s="1"/>
  <c r="X2359" i="1" s="1"/>
  <c r="A2360" i="1" s="1"/>
  <c r="X2360" i="1" s="1"/>
  <c r="A2361" i="1" s="1"/>
  <c r="X2361" i="1" s="1"/>
  <c r="A2362" i="1" s="1"/>
  <c r="X2107" i="1"/>
  <c r="A2108" i="1" s="1"/>
  <c r="X2108" i="1" s="1"/>
  <c r="A2109" i="1" s="1"/>
  <c r="X2109" i="1" s="1"/>
  <c r="A2110" i="1" s="1"/>
  <c r="X2110" i="1" s="1"/>
  <c r="A2111" i="1" s="1"/>
  <c r="X2111" i="1" s="1"/>
  <c r="A2112" i="1" s="1"/>
  <c r="X1573" i="1"/>
  <c r="A1574" i="1" s="1"/>
  <c r="X1574" i="1" s="1"/>
  <c r="A1575" i="1" s="1"/>
  <c r="X1575" i="1" s="1"/>
  <c r="A1576" i="1" s="1"/>
  <c r="X1576" i="1" s="1"/>
  <c r="A1577" i="1" s="1"/>
  <c r="X1577" i="1" s="1"/>
  <c r="A1578" i="1" s="1"/>
  <c r="X1578" i="1" s="1"/>
  <c r="A1579" i="1" s="1"/>
  <c r="X1579" i="1" s="1"/>
  <c r="A1580" i="1" s="1"/>
  <c r="X1580" i="1" s="1"/>
  <c r="A1581" i="1" s="1"/>
  <c r="X1581" i="1" s="1"/>
  <c r="A1582" i="1" s="1"/>
  <c r="X1582" i="1" s="1"/>
  <c r="A1583" i="1" s="1"/>
  <c r="X1583" i="1" s="1"/>
  <c r="A1584" i="1" s="1"/>
  <c r="X1584" i="1" s="1"/>
  <c r="A1585" i="1" s="1"/>
  <c r="X1585" i="1" s="1"/>
  <c r="A1586" i="1" s="1"/>
  <c r="X1586" i="1" s="1"/>
  <c r="A1587" i="1" s="1"/>
  <c r="X1587" i="1" s="1"/>
  <c r="A1588" i="1" s="1"/>
  <c r="X1588" i="1" s="1"/>
  <c r="A1589" i="1" s="1"/>
  <c r="X1589" i="1" s="1"/>
  <c r="A1590" i="1" s="1"/>
  <c r="X1590" i="1" s="1"/>
  <c r="A1591" i="1" s="1"/>
  <c r="X1591" i="1" s="1"/>
  <c r="A1592" i="1" s="1"/>
  <c r="X1592" i="1" s="1"/>
  <c r="A1593" i="1" s="1"/>
  <c r="X1593" i="1" s="1"/>
  <c r="A1594" i="1" s="1"/>
  <c r="X1594" i="1" s="1"/>
  <c r="A1595" i="1" s="1"/>
  <c r="X1595" i="1" s="1"/>
  <c r="A1596" i="1" s="1"/>
  <c r="X1596" i="1" s="1"/>
  <c r="A1597" i="1" s="1"/>
  <c r="X1597" i="1" s="1"/>
  <c r="A1598" i="1" s="1"/>
  <c r="X1598" i="1" s="1"/>
  <c r="A1599" i="1" s="1"/>
  <c r="X1599" i="1" s="1"/>
  <c r="A1600" i="1" s="1"/>
  <c r="X1600" i="1" s="1"/>
  <c r="A1601" i="1" s="1"/>
  <c r="X1601" i="1" s="1"/>
  <c r="A1602" i="1" s="1"/>
  <c r="X1602" i="1" s="1"/>
  <c r="A1603" i="1" s="1"/>
  <c r="X1603" i="1" s="1"/>
  <c r="A1604" i="1" s="1"/>
  <c r="X1604" i="1" s="1"/>
  <c r="A1605" i="1" s="1"/>
  <c r="X1605" i="1" s="1"/>
  <c r="A1606" i="1" s="1"/>
  <c r="X1606" i="1" s="1"/>
  <c r="A1607" i="1" s="1"/>
  <c r="X1607" i="1" s="1"/>
  <c r="A1608" i="1" s="1"/>
  <c r="X1608" i="1" s="1"/>
  <c r="A1609" i="1" s="1"/>
  <c r="X1609" i="1" s="1"/>
  <c r="A1610" i="1" s="1"/>
  <c r="X1610" i="1" s="1"/>
  <c r="A1611" i="1" s="1"/>
  <c r="X1611" i="1" s="1"/>
  <c r="A1612" i="1" s="1"/>
  <c r="X1612" i="1" s="1"/>
  <c r="A1613" i="1" s="1"/>
  <c r="X1613" i="1" s="1"/>
  <c r="A1614" i="1" s="1"/>
  <c r="X1614" i="1" s="1"/>
  <c r="A1615" i="1" s="1"/>
  <c r="X1615" i="1" s="1"/>
  <c r="A1616" i="1" s="1"/>
  <c r="X1616" i="1" s="1"/>
  <c r="A1617" i="1" s="1"/>
  <c r="X1617" i="1" s="1"/>
  <c r="A1618" i="1" s="1"/>
  <c r="X1618" i="1" s="1"/>
  <c r="A1619" i="1" s="1"/>
  <c r="X1619" i="1" s="1"/>
  <c r="A1620" i="1" s="1"/>
  <c r="X1620" i="1" s="1"/>
  <c r="A1621" i="1" s="1"/>
  <c r="X1621" i="1" s="1"/>
  <c r="A1622" i="1" s="1"/>
  <c r="X1622" i="1" s="1"/>
  <c r="A1623" i="1" s="1"/>
  <c r="X1623" i="1" s="1"/>
  <c r="A1624" i="1" s="1"/>
  <c r="X1624" i="1" s="1"/>
  <c r="A1625" i="1" s="1"/>
  <c r="X1625" i="1" s="1"/>
  <c r="A1626" i="1" s="1"/>
  <c r="X1626" i="1" s="1"/>
  <c r="A1627" i="1" s="1"/>
  <c r="X1627" i="1" s="1"/>
  <c r="A1628" i="1" s="1"/>
  <c r="X1628" i="1" s="1"/>
  <c r="A1629" i="1" s="1"/>
  <c r="X1629" i="1" s="1"/>
  <c r="A1630" i="1" s="1"/>
  <c r="X1630" i="1" s="1"/>
  <c r="A1631" i="1" s="1"/>
  <c r="X1631" i="1" s="1"/>
  <c r="A1632" i="1" s="1"/>
  <c r="X1632" i="1" s="1"/>
  <c r="A1633" i="1" s="1"/>
  <c r="X1633" i="1" s="1"/>
  <c r="A1634" i="1" s="1"/>
  <c r="X1634" i="1" s="1"/>
  <c r="A1635" i="1" s="1"/>
  <c r="X1635" i="1" s="1"/>
  <c r="A1636" i="1" s="1"/>
  <c r="X1636" i="1" s="1"/>
  <c r="A1637" i="1" s="1"/>
  <c r="X1637" i="1" s="1"/>
  <c r="A1638" i="1" s="1"/>
  <c r="X1638" i="1" s="1"/>
  <c r="A1639" i="1" s="1"/>
  <c r="X1639" i="1" s="1"/>
  <c r="A1640" i="1" s="1"/>
  <c r="X1640" i="1" s="1"/>
  <c r="A1641" i="1" s="1"/>
  <c r="X1641" i="1" s="1"/>
  <c r="A1642" i="1" s="1"/>
  <c r="X1642" i="1" s="1"/>
  <c r="A1643" i="1" s="1"/>
  <c r="X1643" i="1" s="1"/>
  <c r="A1644" i="1" s="1"/>
  <c r="X1644" i="1" s="1"/>
  <c r="A1645" i="1" s="1"/>
  <c r="X1645" i="1" s="1"/>
  <c r="A1646" i="1" s="1"/>
  <c r="X1646" i="1" s="1"/>
  <c r="A1647" i="1" s="1"/>
  <c r="X1647" i="1" s="1"/>
  <c r="A1648" i="1" s="1"/>
  <c r="X1648" i="1" s="1"/>
  <c r="A1649" i="1" s="1"/>
  <c r="X1649" i="1" s="1"/>
  <c r="A1650" i="1" s="1"/>
  <c r="X1650" i="1" s="1"/>
  <c r="A1651" i="1" s="1"/>
  <c r="X1651" i="1" s="1"/>
  <c r="A1652" i="1" s="1"/>
  <c r="X1652" i="1" s="1"/>
  <c r="A1653" i="1" s="1"/>
  <c r="X1653" i="1" s="1"/>
  <c r="A1654" i="1" s="1"/>
  <c r="X1654" i="1" s="1"/>
  <c r="A1655" i="1" s="1"/>
  <c r="X1655" i="1" s="1"/>
  <c r="A1656" i="1" s="1"/>
  <c r="X1656" i="1" s="1"/>
  <c r="A1657" i="1" s="1"/>
  <c r="X1657" i="1" s="1"/>
  <c r="A1658" i="1" s="1"/>
  <c r="X1658" i="1" s="1"/>
  <c r="A1659" i="1" s="1"/>
  <c r="X1659" i="1" s="1"/>
  <c r="A1660" i="1" s="1"/>
  <c r="X1660" i="1" s="1"/>
  <c r="A1661" i="1" s="1"/>
  <c r="X1661" i="1" s="1"/>
  <c r="A1662" i="1" s="1"/>
  <c r="X1662" i="1" s="1"/>
  <c r="A1663" i="1" s="1"/>
  <c r="X1663" i="1" s="1"/>
  <c r="A1664" i="1" s="1"/>
  <c r="X1664" i="1" s="1"/>
  <c r="A1665" i="1" s="1"/>
  <c r="X1665" i="1" s="1"/>
  <c r="A1666" i="1" s="1"/>
  <c r="X1666" i="1" s="1"/>
  <c r="A1667" i="1" s="1"/>
  <c r="X1667" i="1" s="1"/>
  <c r="A1668" i="1" s="1"/>
  <c r="X1668" i="1" s="1"/>
  <c r="A1669" i="1" s="1"/>
  <c r="X1669" i="1" s="1"/>
  <c r="A1670" i="1" s="1"/>
  <c r="X1670" i="1" s="1"/>
  <c r="A1671" i="1" s="1"/>
  <c r="X1671" i="1" s="1"/>
  <c r="A1672" i="1" s="1"/>
  <c r="X1672" i="1" s="1"/>
  <c r="A1673" i="1" s="1"/>
  <c r="X1673" i="1" s="1"/>
  <c r="A1674" i="1" s="1"/>
  <c r="X1674" i="1" s="1"/>
  <c r="A1675" i="1" s="1"/>
  <c r="X1675" i="1" s="1"/>
  <c r="A1676" i="1" s="1"/>
  <c r="X1676" i="1" s="1"/>
  <c r="A1677" i="1" s="1"/>
  <c r="X1677" i="1" s="1"/>
  <c r="A1678" i="1" s="1"/>
  <c r="X1678" i="1" s="1"/>
  <c r="A1679" i="1" s="1"/>
  <c r="X1679" i="1" s="1"/>
  <c r="A1680" i="1" s="1"/>
  <c r="X1680" i="1" s="1"/>
  <c r="A1681" i="1" s="1"/>
  <c r="X1681" i="1" s="1"/>
  <c r="A1682" i="1" s="1"/>
  <c r="X1682" i="1" s="1"/>
  <c r="A1683" i="1" s="1"/>
  <c r="X254" i="1"/>
  <c r="A255" i="1" s="1"/>
  <c r="X255" i="1" s="1"/>
  <c r="A256" i="1" s="1"/>
  <c r="X256" i="1" s="1"/>
  <c r="A257" i="1" s="1"/>
  <c r="X257" i="1" s="1"/>
  <c r="A258" i="1" s="1"/>
  <c r="X258" i="1" s="1"/>
  <c r="A259" i="1" s="1"/>
  <c r="X259" i="1" s="1"/>
  <c r="A260" i="1" s="1"/>
  <c r="X260" i="1" s="1"/>
  <c r="A261" i="1" s="1"/>
  <c r="X261" i="1" s="1"/>
  <c r="A262" i="1" s="1"/>
  <c r="X262" i="1" s="1"/>
  <c r="A263" i="1" s="1"/>
  <c r="X263" i="1" s="1"/>
  <c r="A264" i="1" s="1"/>
  <c r="X264" i="1" s="1"/>
  <c r="A265" i="1" s="1"/>
  <c r="X265" i="1" s="1"/>
  <c r="A266" i="1" s="1"/>
  <c r="X266" i="1" s="1"/>
  <c r="A267" i="1" s="1"/>
  <c r="X267" i="1" s="1"/>
  <c r="A268" i="1" s="1"/>
  <c r="X268" i="1" s="1"/>
  <c r="A269" i="1" s="1"/>
  <c r="X269" i="1" s="1"/>
  <c r="A270" i="1" s="1"/>
  <c r="X270" i="1" s="1"/>
  <c r="A271" i="1" s="1"/>
  <c r="X271" i="1" s="1"/>
  <c r="A272" i="1" s="1"/>
  <c r="X272" i="1" s="1"/>
  <c r="A273" i="1" s="1"/>
  <c r="X273" i="1" s="1"/>
  <c r="A274" i="1" s="1"/>
  <c r="X274" i="1" s="1"/>
  <c r="A275" i="1" s="1"/>
  <c r="X275" i="1" s="1"/>
  <c r="A276" i="1" s="1"/>
  <c r="X276" i="1" s="1"/>
  <c r="A277" i="1" s="1"/>
  <c r="X277" i="1" s="1"/>
  <c r="A278" i="1" s="1"/>
  <c r="X278" i="1" s="1"/>
  <c r="A279" i="1" s="1"/>
  <c r="X279" i="1" s="1"/>
  <c r="A280" i="1" s="1"/>
  <c r="X280" i="1" s="1"/>
  <c r="A281" i="1" s="1"/>
  <c r="X281" i="1" s="1"/>
  <c r="A282" i="1" s="1"/>
  <c r="X282" i="1" s="1"/>
  <c r="A283" i="1" s="1"/>
  <c r="X283" i="1" s="1"/>
  <c r="A284" i="1" s="1"/>
  <c r="X284" i="1" s="1"/>
  <c r="A285" i="1" s="1"/>
  <c r="X285" i="1" s="1"/>
  <c r="A286" i="1" s="1"/>
  <c r="X286" i="1" s="1"/>
  <c r="A287" i="1" s="1"/>
  <c r="X287" i="1" s="1"/>
  <c r="A288" i="1" s="1"/>
  <c r="X288" i="1" s="1"/>
  <c r="A289" i="1" s="1"/>
  <c r="X289" i="1" s="1"/>
  <c r="A290" i="1" s="1"/>
  <c r="X290" i="1" s="1"/>
  <c r="A291" i="1" s="1"/>
  <c r="X291" i="1" s="1"/>
  <c r="A292" i="1" s="1"/>
  <c r="X292" i="1" s="1"/>
  <c r="A293" i="1" s="1"/>
  <c r="X293" i="1" s="1"/>
  <c r="A294" i="1" s="1"/>
  <c r="X294" i="1" s="1"/>
  <c r="A295" i="1" s="1"/>
  <c r="X295" i="1" s="1"/>
  <c r="A296" i="1" s="1"/>
  <c r="X296" i="1" s="1"/>
  <c r="A297" i="1" s="1"/>
  <c r="X297" i="1" s="1"/>
  <c r="A298" i="1" s="1"/>
  <c r="X298" i="1" s="1"/>
  <c r="A299" i="1" s="1"/>
  <c r="X299" i="1" s="1"/>
  <c r="A300" i="1" s="1"/>
  <c r="X300" i="1" s="1"/>
  <c r="A301" i="1" s="1"/>
  <c r="X301" i="1" s="1"/>
  <c r="A302" i="1" s="1"/>
  <c r="X302" i="1" s="1"/>
  <c r="A303" i="1" s="1"/>
  <c r="X303" i="1" s="1"/>
  <c r="A304" i="1" s="1"/>
  <c r="X304" i="1" s="1"/>
  <c r="A305" i="1" s="1"/>
  <c r="X305" i="1" s="1"/>
  <c r="A306" i="1" s="1"/>
  <c r="X306" i="1" s="1"/>
  <c r="A307" i="1" s="1"/>
  <c r="X307" i="1" s="1"/>
  <c r="A308" i="1" s="1"/>
  <c r="X308" i="1" s="1"/>
  <c r="A309" i="1" s="1"/>
  <c r="X309" i="1" s="1"/>
  <c r="A310" i="1" s="1"/>
  <c r="X310" i="1" s="1"/>
  <c r="A311" i="1" s="1"/>
  <c r="X311" i="1" s="1"/>
  <c r="A312" i="1" s="1"/>
  <c r="X312" i="1" s="1"/>
  <c r="A313" i="1" s="1"/>
  <c r="X313" i="1" s="1"/>
  <c r="A314" i="1" s="1"/>
  <c r="X314" i="1" s="1"/>
  <c r="A315" i="1" s="1"/>
  <c r="X315" i="1" s="1"/>
  <c r="A316" i="1" s="1"/>
  <c r="X316" i="1" s="1"/>
  <c r="A317" i="1" s="1"/>
  <c r="X317" i="1" s="1"/>
  <c r="A318" i="1" s="1"/>
  <c r="X318" i="1" s="1"/>
  <c r="A319" i="1" s="1"/>
  <c r="X319" i="1" s="1"/>
  <c r="A320" i="1" s="1"/>
  <c r="X320" i="1" s="1"/>
  <c r="A321" i="1" s="1"/>
  <c r="X321" i="1" s="1"/>
  <c r="A322" i="1" s="1"/>
  <c r="X322" i="1" s="1"/>
  <c r="A323" i="1" s="1"/>
  <c r="X323" i="1" s="1"/>
  <c r="A324" i="1" s="1"/>
  <c r="X324" i="1" s="1"/>
  <c r="A325" i="1" s="1"/>
  <c r="X325" i="1" s="1"/>
  <c r="A326" i="1" s="1"/>
  <c r="X326" i="1" s="1"/>
  <c r="A327" i="1" s="1"/>
  <c r="X327" i="1" s="1"/>
  <c r="A328" i="1" s="1"/>
  <c r="X328" i="1" s="1"/>
  <c r="A329" i="1" s="1"/>
  <c r="X329" i="1" s="1"/>
  <c r="A330" i="1" s="1"/>
  <c r="X330" i="1" s="1"/>
  <c r="A331" i="1" s="1"/>
  <c r="X331" i="1" s="1"/>
  <c r="A332" i="1" s="1"/>
  <c r="X332" i="1" s="1"/>
  <c r="A333" i="1" s="1"/>
  <c r="X333" i="1" s="1"/>
  <c r="A334" i="1" s="1"/>
  <c r="X334" i="1" s="1"/>
  <c r="A335" i="1" s="1"/>
  <c r="X335" i="1" s="1"/>
  <c r="A336" i="1" s="1"/>
  <c r="X336" i="1" s="1"/>
  <c r="A337" i="1" s="1"/>
  <c r="X337" i="1" s="1"/>
  <c r="A338" i="1" s="1"/>
  <c r="X338" i="1" s="1"/>
  <c r="A339" i="1" s="1"/>
  <c r="X339" i="1" s="1"/>
  <c r="A340" i="1" s="1"/>
  <c r="X340" i="1" s="1"/>
  <c r="A341" i="1" s="1"/>
  <c r="X341" i="1" s="1"/>
  <c r="A342" i="1" s="1"/>
  <c r="X342" i="1" s="1"/>
  <c r="A343" i="1" s="1"/>
  <c r="X343" i="1" s="1"/>
  <c r="A344" i="1" s="1"/>
  <c r="X344" i="1" s="1"/>
  <c r="A345" i="1" s="1"/>
  <c r="X345" i="1" s="1"/>
  <c r="A346" i="1" s="1"/>
  <c r="X346" i="1" s="1"/>
  <c r="A347" i="1" s="1"/>
  <c r="X347" i="1" s="1"/>
  <c r="A348" i="1" s="1"/>
  <c r="X348" i="1" s="1"/>
  <c r="A349" i="1" s="1"/>
  <c r="X349" i="1" s="1"/>
  <c r="A350" i="1" s="1"/>
  <c r="X350" i="1" s="1"/>
  <c r="A351" i="1" s="1"/>
  <c r="X351" i="1" s="1"/>
  <c r="A352" i="1" s="1"/>
  <c r="X352" i="1" s="1"/>
  <c r="A353" i="1" s="1"/>
  <c r="X353" i="1" s="1"/>
  <c r="A354" i="1" s="1"/>
  <c r="X354" i="1" s="1"/>
  <c r="A355" i="1" s="1"/>
  <c r="X355" i="1" s="1"/>
  <c r="A356" i="1" s="1"/>
  <c r="X356" i="1" s="1"/>
  <c r="A357" i="1" s="1"/>
  <c r="X357" i="1" s="1"/>
  <c r="A358" i="1" s="1"/>
  <c r="X358" i="1" s="1"/>
  <c r="A359" i="1" s="1"/>
  <c r="X359" i="1" s="1"/>
  <c r="A360" i="1" s="1"/>
  <c r="X360" i="1" s="1"/>
  <c r="A361" i="1" s="1"/>
  <c r="X361" i="1" s="1"/>
  <c r="A362" i="1" s="1"/>
  <c r="X362" i="1" s="1"/>
  <c r="A363" i="1" s="1"/>
  <c r="X363" i="1" s="1"/>
  <c r="A364" i="1" s="1"/>
  <c r="X364" i="1" s="1"/>
  <c r="A365" i="1" s="1"/>
  <c r="X365" i="1" s="1"/>
  <c r="A366" i="1" s="1"/>
  <c r="X366" i="1" s="1"/>
  <c r="A367" i="1" s="1"/>
  <c r="X367" i="1" s="1"/>
  <c r="A368" i="1" s="1"/>
  <c r="X368" i="1" s="1"/>
  <c r="A369" i="1" s="1"/>
  <c r="X369" i="1" s="1"/>
  <c r="A370" i="1" s="1"/>
  <c r="X370" i="1" s="1"/>
  <c r="A371" i="1" s="1"/>
  <c r="X371" i="1" s="1"/>
  <c r="A372" i="1" s="1"/>
  <c r="X372" i="1" s="1"/>
  <c r="A373" i="1" s="1"/>
  <c r="X373" i="1" s="1"/>
  <c r="A374" i="1" s="1"/>
  <c r="X374" i="1" s="1"/>
  <c r="A375" i="1" s="1"/>
  <c r="X375" i="1" s="1"/>
  <c r="A376" i="1" s="1"/>
  <c r="X376" i="1" s="1"/>
  <c r="A377" i="1" s="1"/>
  <c r="X377" i="1" s="1"/>
  <c r="A378" i="1" s="1"/>
  <c r="X378" i="1" s="1"/>
  <c r="A379" i="1" s="1"/>
  <c r="X379" i="1" s="1"/>
  <c r="A380" i="1" s="1"/>
  <c r="X380" i="1" s="1"/>
  <c r="A381" i="1" s="1"/>
  <c r="X381" i="1" s="1"/>
  <c r="A382" i="1" s="1"/>
  <c r="X382" i="1" s="1"/>
  <c r="A383" i="1" s="1"/>
  <c r="X383" i="1" s="1"/>
  <c r="A384" i="1" s="1"/>
  <c r="X384" i="1" s="1"/>
  <c r="A385" i="1" s="1"/>
  <c r="X385" i="1" s="1"/>
  <c r="A386" i="1" s="1"/>
  <c r="X386" i="1" s="1"/>
  <c r="A387" i="1" s="1"/>
  <c r="X387" i="1" s="1"/>
  <c r="A388" i="1" s="1"/>
  <c r="X388" i="1" s="1"/>
  <c r="A389" i="1" s="1"/>
  <c r="X389" i="1" s="1"/>
  <c r="A390" i="1" s="1"/>
  <c r="X390" i="1" s="1"/>
  <c r="A391" i="1" s="1"/>
  <c r="X391" i="1" s="1"/>
  <c r="A392" i="1" s="1"/>
  <c r="X392" i="1" s="1"/>
  <c r="A393" i="1" s="1"/>
  <c r="X393" i="1" s="1"/>
  <c r="A394" i="1" s="1"/>
  <c r="X394" i="1" s="1"/>
  <c r="A395" i="1" s="1"/>
  <c r="X395" i="1" s="1"/>
  <c r="A396" i="1" s="1"/>
  <c r="X396" i="1" s="1"/>
  <c r="A397" i="1" s="1"/>
  <c r="X397" i="1" s="1"/>
  <c r="A398" i="1" s="1"/>
  <c r="X398" i="1" s="1"/>
  <c r="A399" i="1" s="1"/>
  <c r="X399" i="1" s="1"/>
  <c r="A400" i="1" s="1"/>
  <c r="X400" i="1" s="1"/>
  <c r="A401" i="1" s="1"/>
  <c r="X401" i="1" s="1"/>
  <c r="A402" i="1" s="1"/>
  <c r="X402" i="1" s="1"/>
  <c r="A403" i="1" s="1"/>
  <c r="X403" i="1" s="1"/>
  <c r="A404" i="1" s="1"/>
  <c r="X404" i="1" s="1"/>
  <c r="A405" i="1" s="1"/>
  <c r="X405" i="1" s="1"/>
  <c r="A406" i="1" s="1"/>
  <c r="A2099" i="1"/>
  <c r="X2099" i="1" s="1"/>
  <c r="A2100" i="1"/>
  <c r="X2100" i="1" s="1"/>
  <c r="A2101" i="1" s="1"/>
  <c r="X2101" i="1" s="1"/>
  <c r="A2102" i="1" s="1"/>
  <c r="X2102" i="1" s="1"/>
  <c r="A2103" i="1" s="1"/>
  <c r="X2103" i="1" s="1"/>
  <c r="A2104" i="1" s="1"/>
  <c r="X2104" i="1" s="1"/>
  <c r="A2105" i="1" s="1"/>
  <c r="X2105" i="1" s="1"/>
  <c r="A2106" i="1" s="1"/>
  <c r="X2106" i="1" s="1"/>
  <c r="C1356" i="1"/>
  <c r="X1356" i="1"/>
  <c r="C1142" i="1"/>
  <c r="X1142" i="1"/>
  <c r="A1144" i="1" s="1"/>
  <c r="A723" i="1"/>
  <c r="X723" i="1" s="1"/>
  <c r="A722" i="1"/>
  <c r="X722" i="1" s="1"/>
  <c r="A724" i="1" s="1"/>
  <c r="X724" i="1" s="1"/>
  <c r="A725" i="1" s="1"/>
  <c r="X725" i="1" s="1"/>
  <c r="A726" i="1" s="1"/>
  <c r="X107" i="3" l="1"/>
  <c r="A108" i="3" s="1"/>
  <c r="C107" i="3"/>
  <c r="X426" i="3"/>
  <c r="A427" i="3" s="1"/>
  <c r="C426" i="3"/>
  <c r="C319" i="3"/>
  <c r="X319" i="3"/>
  <c r="A320" i="3" s="1"/>
  <c r="C190" i="3"/>
  <c r="X190" i="3"/>
  <c r="A191" i="3" s="1"/>
  <c r="C1157" i="2"/>
  <c r="X1157" i="2"/>
  <c r="A1158" i="2" s="1"/>
  <c r="A610" i="2"/>
  <c r="X610" i="2" s="1"/>
  <c r="A611" i="2" s="1"/>
  <c r="X611" i="2" s="1"/>
  <c r="A612" i="2" s="1"/>
  <c r="X612" i="2" s="1"/>
  <c r="A613" i="2" s="1"/>
  <c r="X613" i="2" s="1"/>
  <c r="A614" i="2" s="1"/>
  <c r="X614" i="2" s="1"/>
  <c r="A615" i="2" s="1"/>
  <c r="X615" i="2" s="1"/>
  <c r="A616" i="2" s="1"/>
  <c r="X616" i="2" s="1"/>
  <c r="A617" i="2" s="1"/>
  <c r="X617" i="2" s="1"/>
  <c r="A618" i="2" s="1"/>
  <c r="X618" i="2" s="1"/>
  <c r="A619" i="2" s="1"/>
  <c r="X619" i="2" s="1"/>
  <c r="A620" i="2" s="1"/>
  <c r="X620" i="2" s="1"/>
  <c r="A621" i="2" s="1"/>
  <c r="X621" i="2" s="1"/>
  <c r="A622" i="2" s="1"/>
  <c r="X622" i="2" s="1"/>
  <c r="A623" i="2" s="1"/>
  <c r="X623" i="2" s="1"/>
  <c r="A624" i="2" s="1"/>
  <c r="X624" i="2" s="1"/>
  <c r="A625" i="2" s="1"/>
  <c r="X625" i="2" s="1"/>
  <c r="A626" i="2" s="1"/>
  <c r="X626" i="2" s="1"/>
  <c r="A627" i="2" s="1"/>
  <c r="X627" i="2" s="1"/>
  <c r="A628" i="2" s="1"/>
  <c r="X628" i="2" s="1"/>
  <c r="A629" i="2" s="1"/>
  <c r="A609" i="2"/>
  <c r="X609" i="2" s="1"/>
  <c r="C490" i="2"/>
  <c r="X490" i="2"/>
  <c r="A491" i="2" s="1"/>
  <c r="C370" i="2"/>
  <c r="X370" i="2"/>
  <c r="A371" i="2" s="1"/>
  <c r="C51" i="2"/>
  <c r="X51" i="2"/>
  <c r="A52" i="2" s="1"/>
  <c r="X23" i="2"/>
  <c r="A24" i="2" s="1"/>
  <c r="C23" i="2"/>
  <c r="A1607" i="2"/>
  <c r="A895" i="2"/>
  <c r="X895" i="2" s="1"/>
  <c r="A896" i="2" s="1"/>
  <c r="X896" i="2" s="1"/>
  <c r="A897" i="2" s="1"/>
  <c r="X897" i="2" s="1"/>
  <c r="A898" i="2" s="1"/>
  <c r="X898" i="2" s="1"/>
  <c r="A84" i="2"/>
  <c r="C1462" i="2"/>
  <c r="X1462" i="2"/>
  <c r="A1463" i="2" s="1"/>
  <c r="X1283" i="2"/>
  <c r="A1284" i="2" s="1"/>
  <c r="C1283" i="2"/>
  <c r="X1037" i="2"/>
  <c r="A1038" i="2" s="1"/>
  <c r="C1037" i="2"/>
  <c r="U740" i="2"/>
  <c r="V740" i="2"/>
  <c r="X740" i="2" s="1"/>
  <c r="A741" i="2" s="1"/>
  <c r="X741" i="2" s="1"/>
  <c r="A742" i="2" s="1"/>
  <c r="X742" i="2" s="1"/>
  <c r="A743" i="2" s="1"/>
  <c r="X743" i="2" s="1"/>
  <c r="A744" i="2" s="1"/>
  <c r="X744" i="2" s="1"/>
  <c r="A745" i="2" s="1"/>
  <c r="X745" i="2" s="1"/>
  <c r="A746" i="2" s="1"/>
  <c r="X746" i="2" s="1"/>
  <c r="A747" i="2" s="1"/>
  <c r="X747" i="2" s="1"/>
  <c r="A748" i="2" s="1"/>
  <c r="X748" i="2" s="1"/>
  <c r="A749" i="2" s="1"/>
  <c r="X749" i="2" s="1"/>
  <c r="A750" i="2" s="1"/>
  <c r="X750" i="2" s="1"/>
  <c r="A751" i="2" s="1"/>
  <c r="X751" i="2" s="1"/>
  <c r="A752" i="2" s="1"/>
  <c r="X752" i="2" s="1"/>
  <c r="A753" i="2" s="1"/>
  <c r="X753" i="2" s="1"/>
  <c r="A754" i="2" s="1"/>
  <c r="X754" i="2" s="1"/>
  <c r="A755" i="2" s="1"/>
  <c r="X755" i="2" s="1"/>
  <c r="A756" i="2" s="1"/>
  <c r="X756" i="2" s="1"/>
  <c r="A757" i="2" s="1"/>
  <c r="X757" i="2" s="1"/>
  <c r="A758" i="2" s="1"/>
  <c r="X758" i="2" s="1"/>
  <c r="A759" i="2" s="1"/>
  <c r="X759" i="2" s="1"/>
  <c r="A760" i="2" s="1"/>
  <c r="X760" i="2" s="1"/>
  <c r="A761" i="2" s="1"/>
  <c r="X761" i="2" s="1"/>
  <c r="A762" i="2" s="1"/>
  <c r="X762" i="2" s="1"/>
  <c r="A763" i="2" s="1"/>
  <c r="X763" i="2" s="1"/>
  <c r="A764" i="2" s="1"/>
  <c r="X764" i="2" s="1"/>
  <c r="A765" i="2" s="1"/>
  <c r="X765" i="2" s="1"/>
  <c r="A766" i="2" s="1"/>
  <c r="X766" i="2" s="1"/>
  <c r="A767" i="2" s="1"/>
  <c r="X767" i="2" s="1"/>
  <c r="A768" i="2" s="1"/>
  <c r="X768" i="2" s="1"/>
  <c r="A769" i="2" s="1"/>
  <c r="X769" i="2" s="1"/>
  <c r="A770" i="2" s="1"/>
  <c r="X770" i="2" s="1"/>
  <c r="A771" i="2" s="1"/>
  <c r="X771" i="2" s="1"/>
  <c r="A772" i="2" s="1"/>
  <c r="X772" i="2" s="1"/>
  <c r="A773" i="2" s="1"/>
  <c r="X773" i="2" s="1"/>
  <c r="A774" i="2" s="1"/>
  <c r="X774" i="2" s="1"/>
  <c r="A775" i="2" s="1"/>
  <c r="X775" i="2" s="1"/>
  <c r="A776" i="2" s="1"/>
  <c r="X776" i="2" s="1"/>
  <c r="A777" i="2" s="1"/>
  <c r="X777" i="2" s="1"/>
  <c r="A778" i="2" s="1"/>
  <c r="X778" i="2" s="1"/>
  <c r="A779" i="2" s="1"/>
  <c r="X779" i="2" s="1"/>
  <c r="A780" i="2" s="1"/>
  <c r="X780" i="2" s="1"/>
  <c r="A781" i="2" s="1"/>
  <c r="X781" i="2" s="1"/>
  <c r="A782" i="2" s="1"/>
  <c r="X782" i="2" s="1"/>
  <c r="A783" i="2" s="1"/>
  <c r="X783" i="2" s="1"/>
  <c r="A784" i="2" s="1"/>
  <c r="X784" i="2" s="1"/>
  <c r="A785" i="2" s="1"/>
  <c r="X785" i="2" s="1"/>
  <c r="A786" i="2" s="1"/>
  <c r="X786" i="2" s="1"/>
  <c r="A787" i="2" s="1"/>
  <c r="X787" i="2" s="1"/>
  <c r="A788" i="2" s="1"/>
  <c r="X788" i="2" s="1"/>
  <c r="A789" i="2" s="1"/>
  <c r="X789" i="2" s="1"/>
  <c r="A790" i="2" s="1"/>
  <c r="X790" i="2" s="1"/>
  <c r="A791" i="2" s="1"/>
  <c r="X791" i="2" s="1"/>
  <c r="A792" i="2" s="1"/>
  <c r="X792" i="2" s="1"/>
  <c r="A793" i="2" s="1"/>
  <c r="X793" i="2" s="1"/>
  <c r="A794" i="2" s="1"/>
  <c r="X794" i="2" s="1"/>
  <c r="A795" i="2" s="1"/>
  <c r="X795" i="2" s="1"/>
  <c r="A796" i="2" s="1"/>
  <c r="X796" i="2" s="1"/>
  <c r="A797" i="2" s="1"/>
  <c r="X797" i="2" s="1"/>
  <c r="A798" i="2" s="1"/>
  <c r="X798" i="2" s="1"/>
  <c r="A799" i="2" s="1"/>
  <c r="X799" i="2" s="1"/>
  <c r="A800" i="2" s="1"/>
  <c r="X800" i="2" s="1"/>
  <c r="A801" i="2" s="1"/>
  <c r="X801" i="2" s="1"/>
  <c r="A802" i="2" s="1"/>
  <c r="X802" i="2" s="1"/>
  <c r="A803" i="2" s="1"/>
  <c r="X803" i="2" s="1"/>
  <c r="A804" i="2" s="1"/>
  <c r="X804" i="2" s="1"/>
  <c r="A805" i="2" s="1"/>
  <c r="X805" i="2" s="1"/>
  <c r="A806" i="2" s="1"/>
  <c r="X806" i="2" s="1"/>
  <c r="A807" i="2" s="1"/>
  <c r="X807" i="2" s="1"/>
  <c r="A808" i="2" s="1"/>
  <c r="X808" i="2" s="1"/>
  <c r="A809" i="2" s="1"/>
  <c r="X809" i="2" s="1"/>
  <c r="A810" i="2" s="1"/>
  <c r="X810" i="2" s="1"/>
  <c r="A811" i="2" s="1"/>
  <c r="X811" i="2" s="1"/>
  <c r="A812" i="2" s="1"/>
  <c r="X812" i="2" s="1"/>
  <c r="A813" i="2" s="1"/>
  <c r="X813" i="2" s="1"/>
  <c r="A814" i="2" s="1"/>
  <c r="X814" i="2" s="1"/>
  <c r="A815" i="2" s="1"/>
  <c r="X815" i="2" s="1"/>
  <c r="A816" i="2" s="1"/>
  <c r="X816" i="2" s="1"/>
  <c r="A817" i="2" s="1"/>
  <c r="X817" i="2" s="1"/>
  <c r="A818" i="2" s="1"/>
  <c r="X818" i="2" s="1"/>
  <c r="A819" i="2" s="1"/>
  <c r="X819" i="2" s="1"/>
  <c r="A820" i="2" s="1"/>
  <c r="X820" i="2" s="1"/>
  <c r="A821" i="2" s="1"/>
  <c r="X821" i="2" s="1"/>
  <c r="A822" i="2" s="1"/>
  <c r="X822" i="2" s="1"/>
  <c r="A823" i="2" s="1"/>
  <c r="X823" i="2" s="1"/>
  <c r="A824" i="2" s="1"/>
  <c r="X824" i="2" s="1"/>
  <c r="A825" i="2" s="1"/>
  <c r="X825" i="2" s="1"/>
  <c r="A826" i="2" s="1"/>
  <c r="X826" i="2" s="1"/>
  <c r="A827" i="2" s="1"/>
  <c r="X827" i="2" s="1"/>
  <c r="A828" i="2" s="1"/>
  <c r="X828" i="2" s="1"/>
  <c r="A829" i="2" s="1"/>
  <c r="X829" i="2" s="1"/>
  <c r="A830" i="2" s="1"/>
  <c r="X830" i="2" s="1"/>
  <c r="A831" i="2" s="1"/>
  <c r="X831" i="2" s="1"/>
  <c r="A832" i="2" s="1"/>
  <c r="X832" i="2" s="1"/>
  <c r="A833" i="2" s="1"/>
  <c r="X833" i="2" s="1"/>
  <c r="A834" i="2" s="1"/>
  <c r="X834" i="2" s="1"/>
  <c r="A835" i="2" s="1"/>
  <c r="X835" i="2" s="1"/>
  <c r="A836" i="2" s="1"/>
  <c r="X836" i="2" s="1"/>
  <c r="A837" i="2" s="1"/>
  <c r="X837" i="2" s="1"/>
  <c r="A838" i="2" s="1"/>
  <c r="X838" i="2" s="1"/>
  <c r="A839" i="2" s="1"/>
  <c r="X839" i="2" s="1"/>
  <c r="A840" i="2" s="1"/>
  <c r="X840" i="2" s="1"/>
  <c r="A841" i="2" s="1"/>
  <c r="X841" i="2" s="1"/>
  <c r="A842" i="2" s="1"/>
  <c r="X842" i="2" s="1"/>
  <c r="A843" i="2" s="1"/>
  <c r="X843" i="2" s="1"/>
  <c r="A844" i="2" s="1"/>
  <c r="X844" i="2" s="1"/>
  <c r="A845" i="2" s="1"/>
  <c r="X845" i="2" s="1"/>
  <c r="A846" i="2" s="1"/>
  <c r="X846" i="2" s="1"/>
  <c r="A847" i="2" s="1"/>
  <c r="X847" i="2" s="1"/>
  <c r="A848" i="2" s="1"/>
  <c r="X848" i="2" s="1"/>
  <c r="A849" i="2" s="1"/>
  <c r="X849" i="2" s="1"/>
  <c r="A850" i="2" s="1"/>
  <c r="X850" i="2" s="1"/>
  <c r="A851" i="2" s="1"/>
  <c r="X851" i="2" s="1"/>
  <c r="A852" i="2" s="1"/>
  <c r="X852" i="2" s="1"/>
  <c r="A853" i="2" s="1"/>
  <c r="X853" i="2" s="1"/>
  <c r="A854" i="2" s="1"/>
  <c r="X854" i="2" s="1"/>
  <c r="A855" i="2" s="1"/>
  <c r="X855" i="2" s="1"/>
  <c r="A856" i="2" s="1"/>
  <c r="X856" i="2" s="1"/>
  <c r="A857" i="2" s="1"/>
  <c r="X857" i="2" s="1"/>
  <c r="A858" i="2" s="1"/>
  <c r="X858" i="2" s="1"/>
  <c r="A859" i="2" s="1"/>
  <c r="X859" i="2" s="1"/>
  <c r="A860" i="2" s="1"/>
  <c r="X860" i="2" s="1"/>
  <c r="S740" i="2"/>
  <c r="X682" i="2"/>
  <c r="A683" i="2" s="1"/>
  <c r="X683" i="2" s="1"/>
  <c r="A684" i="2" s="1"/>
  <c r="X684" i="2" s="1"/>
  <c r="A685" i="2" s="1"/>
  <c r="X685" i="2" s="1"/>
  <c r="A686" i="2" s="1"/>
  <c r="X686" i="2" s="1"/>
  <c r="A687" i="2" s="1"/>
  <c r="X687" i="2" s="1"/>
  <c r="A688" i="2" s="1"/>
  <c r="X688" i="2" s="1"/>
  <c r="A689" i="2" s="1"/>
  <c r="X689" i="2" s="1"/>
  <c r="A690" i="2" s="1"/>
  <c r="X690" i="2" s="1"/>
  <c r="A691" i="2" s="1"/>
  <c r="X691" i="2" s="1"/>
  <c r="A692" i="2" s="1"/>
  <c r="X692" i="2" s="1"/>
  <c r="A693" i="2" s="1"/>
  <c r="X693" i="2" s="1"/>
  <c r="A694" i="2" s="1"/>
  <c r="X694" i="2" s="1"/>
  <c r="A695" i="2" s="1"/>
  <c r="X695" i="2" s="1"/>
  <c r="A696" i="2" s="1"/>
  <c r="X696" i="2" s="1"/>
  <c r="A697" i="2" s="1"/>
  <c r="X697" i="2" s="1"/>
  <c r="A698" i="2" s="1"/>
  <c r="X698" i="2" s="1"/>
  <c r="A699" i="2" s="1"/>
  <c r="X699" i="2" s="1"/>
  <c r="A700" i="2" s="1"/>
  <c r="X700" i="2" s="1"/>
  <c r="A701" i="2" s="1"/>
  <c r="X701" i="2" s="1"/>
  <c r="A702" i="2" s="1"/>
  <c r="X702" i="2" s="1"/>
  <c r="A703" i="2" s="1"/>
  <c r="X703" i="2" s="1"/>
  <c r="A704" i="2" s="1"/>
  <c r="X704" i="2" s="1"/>
  <c r="A705" i="2" s="1"/>
  <c r="X705" i="2" s="1"/>
  <c r="A706" i="2" s="1"/>
  <c r="X706" i="2" s="1"/>
  <c r="A707" i="2" s="1"/>
  <c r="X707" i="2" s="1"/>
  <c r="A708" i="2" s="1"/>
  <c r="X708" i="2" s="1"/>
  <c r="A709" i="2" s="1"/>
  <c r="X709" i="2" s="1"/>
  <c r="A710" i="2" s="1"/>
  <c r="X710" i="2" s="1"/>
  <c r="A711" i="2" s="1"/>
  <c r="X711" i="2" s="1"/>
  <c r="A712" i="2" s="1"/>
  <c r="X712" i="2" s="1"/>
  <c r="A713" i="2" s="1"/>
  <c r="X713" i="2" s="1"/>
  <c r="A714" i="2" s="1"/>
  <c r="X714" i="2" s="1"/>
  <c r="A715" i="2" s="1"/>
  <c r="X715" i="2" s="1"/>
  <c r="A716" i="2" s="1"/>
  <c r="X716" i="2" s="1"/>
  <c r="A717" i="2" s="1"/>
  <c r="X717" i="2" s="1"/>
  <c r="A718" i="2" s="1"/>
  <c r="X718" i="2" s="1"/>
  <c r="A719" i="2" s="1"/>
  <c r="X719" i="2" s="1"/>
  <c r="A720" i="2" s="1"/>
  <c r="X720" i="2" s="1"/>
  <c r="A721" i="2" s="1"/>
  <c r="X721" i="2" s="1"/>
  <c r="A722" i="2" s="1"/>
  <c r="X722" i="2" s="1"/>
  <c r="A723" i="2" s="1"/>
  <c r="A682" i="2"/>
  <c r="X141" i="2"/>
  <c r="A142" i="2" s="1"/>
  <c r="C141" i="2"/>
  <c r="X259" i="2"/>
  <c r="A260" i="2" s="1"/>
  <c r="C259" i="2"/>
  <c r="X117" i="2"/>
  <c r="A118" i="2" s="1"/>
  <c r="C117" i="2"/>
  <c r="X99" i="2"/>
  <c r="A100" i="2" s="1"/>
  <c r="C99" i="2"/>
  <c r="X70" i="2"/>
  <c r="A71" i="2" s="1"/>
  <c r="C70" i="2"/>
  <c r="C35" i="2"/>
  <c r="X35" i="2"/>
  <c r="A36" i="2" s="1"/>
  <c r="X14" i="2"/>
  <c r="A15" i="2" s="1"/>
  <c r="C15" i="2" s="1"/>
  <c r="C14" i="2"/>
  <c r="C2627" i="1"/>
  <c r="X2627" i="1"/>
  <c r="X2616" i="1"/>
  <c r="A2617" i="1" s="1"/>
  <c r="C2616" i="1"/>
  <c r="C2547" i="1"/>
  <c r="X2547" i="1"/>
  <c r="A2548" i="1" s="1"/>
  <c r="C2477" i="1"/>
  <c r="X2477" i="1"/>
  <c r="A2478" i="1" s="1"/>
  <c r="C1928" i="1"/>
  <c r="X1928" i="1"/>
  <c r="A1929" i="1" s="1"/>
  <c r="A1816" i="1"/>
  <c r="X1816" i="1" s="1"/>
  <c r="B1816" i="1"/>
  <c r="C1816" i="1" s="1"/>
  <c r="C181" i="1"/>
  <c r="X181" i="1"/>
  <c r="A182" i="1" s="1"/>
  <c r="X953" i="1"/>
  <c r="A954" i="1" s="1"/>
  <c r="C953" i="1"/>
  <c r="X2362" i="1"/>
  <c r="A2363" i="1" s="1"/>
  <c r="C2362" i="1"/>
  <c r="X2112" i="1"/>
  <c r="A2113" i="1" s="1"/>
  <c r="C2112" i="1"/>
  <c r="X1683" i="1"/>
  <c r="A1684" i="1" s="1"/>
  <c r="C1683" i="1"/>
  <c r="A407" i="1"/>
  <c r="X407" i="1" s="1"/>
  <c r="A408" i="1" s="1"/>
  <c r="X408" i="1" s="1"/>
  <c r="A409" i="1" s="1"/>
  <c r="X409" i="1" s="1"/>
  <c r="A410" i="1" s="1"/>
  <c r="X410" i="1" s="1"/>
  <c r="A411" i="1" s="1"/>
  <c r="X411" i="1" s="1"/>
  <c r="A412" i="1" s="1"/>
  <c r="X412" i="1" s="1"/>
  <c r="A413" i="1" s="1"/>
  <c r="X413" i="1" s="1"/>
  <c r="A414" i="1" s="1"/>
  <c r="X414" i="1" s="1"/>
  <c r="A415" i="1" s="1"/>
  <c r="X415" i="1" s="1"/>
  <c r="A416" i="1" s="1"/>
  <c r="X416" i="1" s="1"/>
  <c r="A417" i="1" s="1"/>
  <c r="X417" i="1" s="1"/>
  <c r="A418" i="1" s="1"/>
  <c r="X418" i="1" s="1"/>
  <c r="A419" i="1" s="1"/>
  <c r="X419" i="1" s="1"/>
  <c r="A420" i="1" s="1"/>
  <c r="X420" i="1" s="1"/>
  <c r="A421" i="1" s="1"/>
  <c r="X421" i="1" s="1"/>
  <c r="A422" i="1" s="1"/>
  <c r="X422" i="1" s="1"/>
  <c r="A423" i="1" s="1"/>
  <c r="X423" i="1" s="1"/>
  <c r="X406" i="1"/>
  <c r="B1357" i="1"/>
  <c r="C1357" i="1" s="1"/>
  <c r="A1357" i="1"/>
  <c r="X1357" i="1" s="1"/>
  <c r="A1358" i="1" s="1"/>
  <c r="X1144" i="1"/>
  <c r="C1144" i="1"/>
  <c r="X726" i="1"/>
  <c r="C726" i="1"/>
  <c r="X108" i="3" l="1"/>
  <c r="A109" i="3" s="1"/>
  <c r="C108" i="3"/>
  <c r="X427" i="3"/>
  <c r="A428" i="3" s="1"/>
  <c r="C427" i="3"/>
  <c r="C320" i="3"/>
  <c r="X320" i="3"/>
  <c r="A321" i="3" s="1"/>
  <c r="X191" i="3"/>
  <c r="A192" i="3" s="1"/>
  <c r="C191" i="3"/>
  <c r="X1158" i="2"/>
  <c r="A1159" i="2" s="1"/>
  <c r="C1158" i="2"/>
  <c r="X629" i="2"/>
  <c r="A630" i="2" s="1"/>
  <c r="C629" i="2"/>
  <c r="C491" i="2"/>
  <c r="X491" i="2"/>
  <c r="A492" i="2" s="1"/>
  <c r="C371" i="2"/>
  <c r="X371" i="2"/>
  <c r="A372" i="2" s="1"/>
  <c r="C52" i="2"/>
  <c r="X52" i="2"/>
  <c r="A53" i="2" s="1"/>
  <c r="X24" i="2"/>
  <c r="A26" i="2" s="1"/>
  <c r="C24" i="2"/>
  <c r="C1607" i="2"/>
  <c r="X1607" i="2"/>
  <c r="A1608" i="2" s="1"/>
  <c r="A899" i="2"/>
  <c r="X899" i="2" s="1"/>
  <c r="A900" i="2" s="1"/>
  <c r="X900" i="2" s="1"/>
  <c r="A901" i="2" s="1"/>
  <c r="A1605" i="2"/>
  <c r="X1605" i="2" s="1"/>
  <c r="A1606" i="2" s="1"/>
  <c r="X1606" i="2" s="1"/>
  <c r="C84" i="2"/>
  <c r="X84" i="2"/>
  <c r="A85" i="2" s="1"/>
  <c r="X1463" i="2"/>
  <c r="A1464" i="2" s="1"/>
  <c r="C1463" i="2"/>
  <c r="C1284" i="2"/>
  <c r="X1284" i="2"/>
  <c r="A1285" i="2" s="1"/>
  <c r="C1038" i="2"/>
  <c r="X1038" i="2"/>
  <c r="X723" i="2"/>
  <c r="A724" i="2" s="1"/>
  <c r="C723" i="2"/>
  <c r="C142" i="2"/>
  <c r="X142" i="2"/>
  <c r="A143" i="2" s="1"/>
  <c r="C260" i="2"/>
  <c r="X260" i="2"/>
  <c r="A261" i="2" s="1"/>
  <c r="C118" i="2"/>
  <c r="X118" i="2"/>
  <c r="A119" i="2" s="1"/>
  <c r="C100" i="2"/>
  <c r="X100" i="2"/>
  <c r="A101" i="2" s="1"/>
  <c r="C71" i="2"/>
  <c r="X71" i="2"/>
  <c r="A72" i="2" s="1"/>
  <c r="X36" i="2"/>
  <c r="A37" i="2" s="1"/>
  <c r="C36" i="2"/>
  <c r="C2617" i="1"/>
  <c r="X2617" i="1"/>
  <c r="A2618" i="1" s="1"/>
  <c r="X2618" i="1" s="1"/>
  <c r="C2548" i="1"/>
  <c r="X2548" i="1"/>
  <c r="A2549" i="1" s="1"/>
  <c r="X2478" i="1"/>
  <c r="A2479" i="1" s="1"/>
  <c r="C2478" i="1"/>
  <c r="C1929" i="1"/>
  <c r="X1929" i="1"/>
  <c r="A1930" i="1" s="1"/>
  <c r="A1817" i="1"/>
  <c r="X1817" i="1" s="1"/>
  <c r="A1818" i="1" s="1"/>
  <c r="X1818" i="1" s="1"/>
  <c r="B1817" i="1"/>
  <c r="C1817" i="1" s="1"/>
  <c r="C182" i="1"/>
  <c r="X182" i="1"/>
  <c r="A183" i="1" s="1"/>
  <c r="C954" i="1"/>
  <c r="X954" i="1"/>
  <c r="A955" i="1" s="1"/>
  <c r="X955" i="1" s="1"/>
  <c r="X2363" i="1"/>
  <c r="A2364" i="1" s="1"/>
  <c r="C2363" i="1"/>
  <c r="C2113" i="1"/>
  <c r="X2113" i="1"/>
  <c r="A2114" i="1" s="1"/>
  <c r="X1684" i="1"/>
  <c r="C1684" i="1"/>
  <c r="A424" i="1"/>
  <c r="X424" i="1" s="1"/>
  <c r="A425" i="1"/>
  <c r="X425" i="1" s="1"/>
  <c r="A426" i="1" s="1"/>
  <c r="X426" i="1" s="1"/>
  <c r="A427" i="1" s="1"/>
  <c r="X427" i="1" s="1"/>
  <c r="A428" i="1" s="1"/>
  <c r="X428" i="1" s="1"/>
  <c r="A429" i="1" s="1"/>
  <c r="X429" i="1" s="1"/>
  <c r="A430" i="1" s="1"/>
  <c r="X430" i="1" s="1"/>
  <c r="A431" i="1" s="1"/>
  <c r="X431" i="1" s="1"/>
  <c r="A432" i="1" s="1"/>
  <c r="X432" i="1" s="1"/>
  <c r="A433" i="1" s="1"/>
  <c r="X433" i="1" s="1"/>
  <c r="A434" i="1" s="1"/>
  <c r="X434" i="1" s="1"/>
  <c r="A435" i="1" s="1"/>
  <c r="X435" i="1" s="1"/>
  <c r="A436" i="1" s="1"/>
  <c r="X436" i="1" s="1"/>
  <c r="A437" i="1" s="1"/>
  <c r="X437" i="1" s="1"/>
  <c r="A438" i="1" s="1"/>
  <c r="X438" i="1" s="1"/>
  <c r="A439" i="1" s="1"/>
  <c r="X439" i="1" s="1"/>
  <c r="C1358" i="1"/>
  <c r="X1358" i="1"/>
  <c r="A1359" i="1" s="1"/>
  <c r="B1145" i="1"/>
  <c r="A1145" i="1"/>
  <c r="X1145" i="1" s="1"/>
  <c r="A727" i="1"/>
  <c r="X727" i="1" s="1"/>
  <c r="A728" i="1" s="1"/>
  <c r="B727" i="1"/>
  <c r="C727" i="1" s="1"/>
  <c r="C109" i="3" l="1"/>
  <c r="X109" i="3"/>
  <c r="A110" i="3" s="1"/>
  <c r="C428" i="3"/>
  <c r="X428" i="3"/>
  <c r="A429" i="3" s="1"/>
  <c r="X321" i="3"/>
  <c r="A322" i="3" s="1"/>
  <c r="C321" i="3"/>
  <c r="C192" i="3"/>
  <c r="X192" i="3"/>
  <c r="A193" i="3" s="1"/>
  <c r="X1159" i="2"/>
  <c r="C1159" i="2"/>
  <c r="C630" i="2"/>
  <c r="X630" i="2"/>
  <c r="A631" i="2" s="1"/>
  <c r="C492" i="2"/>
  <c r="X492" i="2"/>
  <c r="C372" i="2"/>
  <c r="X372" i="2"/>
  <c r="A373" i="2" s="1"/>
  <c r="C53" i="2"/>
  <c r="X53" i="2"/>
  <c r="A54" i="2" s="1"/>
  <c r="X26" i="2"/>
  <c r="A25" i="2" s="1"/>
  <c r="C26" i="2"/>
  <c r="C1608" i="2"/>
  <c r="X1608" i="2"/>
  <c r="A1609" i="2" s="1"/>
  <c r="C901" i="2"/>
  <c r="X901" i="2"/>
  <c r="A902" i="2" s="1"/>
  <c r="C85" i="2"/>
  <c r="X85" i="2"/>
  <c r="X1464" i="2"/>
  <c r="A1465" i="2" s="1"/>
  <c r="C1464" i="2"/>
  <c r="C1285" i="2"/>
  <c r="X1285" i="2"/>
  <c r="A1286" i="2" s="1"/>
  <c r="A1039" i="2"/>
  <c r="X1039" i="2" s="1"/>
  <c r="A1040" i="2" s="1"/>
  <c r="B1039" i="2"/>
  <c r="C1039" i="2" s="1"/>
  <c r="C724" i="2"/>
  <c r="X724" i="2"/>
  <c r="C143" i="2"/>
  <c r="X143" i="2"/>
  <c r="C261" i="2"/>
  <c r="X261" i="2"/>
  <c r="C119" i="2"/>
  <c r="X119" i="2"/>
  <c r="A120" i="2" s="1"/>
  <c r="C101" i="2"/>
  <c r="X101" i="2"/>
  <c r="A102" i="2" s="1"/>
  <c r="C72" i="2"/>
  <c r="X72" i="2"/>
  <c r="A73" i="2" s="1"/>
  <c r="C37" i="2"/>
  <c r="X37" i="2"/>
  <c r="A38" i="2" s="1"/>
  <c r="C2549" i="1"/>
  <c r="X2549" i="1"/>
  <c r="A2550" i="1" s="1"/>
  <c r="C2479" i="1"/>
  <c r="X2479" i="1"/>
  <c r="A2480" i="1" s="1"/>
  <c r="C1930" i="1"/>
  <c r="X1930" i="1"/>
  <c r="A1931" i="1" s="1"/>
  <c r="A1819" i="1"/>
  <c r="B1820" i="1"/>
  <c r="C183" i="1"/>
  <c r="X183" i="1"/>
  <c r="A184" i="1" s="1"/>
  <c r="A956" i="1"/>
  <c r="X956" i="1" s="1"/>
  <c r="A957" i="1" s="1"/>
  <c r="B958" i="1"/>
  <c r="X2364" i="1"/>
  <c r="A2365" i="1" s="1"/>
  <c r="C2364" i="1"/>
  <c r="C2114" i="1"/>
  <c r="X2114" i="1"/>
  <c r="A2115" i="1" s="1"/>
  <c r="A1685" i="1"/>
  <c r="X1685" i="1" s="1"/>
  <c r="B1685" i="1"/>
  <c r="C1685" i="1" s="1"/>
  <c r="A440" i="1"/>
  <c r="A441" i="1"/>
  <c r="C1359" i="1"/>
  <c r="X1359" i="1"/>
  <c r="A1360" i="1" s="1"/>
  <c r="B955" i="1"/>
  <c r="C955" i="1" s="1"/>
  <c r="A1146" i="1"/>
  <c r="C728" i="1"/>
  <c r="X728" i="1"/>
  <c r="A729" i="1" s="1"/>
  <c r="C1145" i="1"/>
  <c r="C110" i="3" l="1"/>
  <c r="X110" i="3"/>
  <c r="A111" i="3" s="1"/>
  <c r="C429" i="3"/>
  <c r="X429" i="3"/>
  <c r="A430" i="3" s="1"/>
  <c r="X322" i="3"/>
  <c r="A323" i="3" s="1"/>
  <c r="C322" i="3"/>
  <c r="X193" i="3"/>
  <c r="A194" i="3" s="1"/>
  <c r="C193" i="3"/>
  <c r="C631" i="2"/>
  <c r="X631" i="2"/>
  <c r="A632" i="2" s="1"/>
  <c r="C373" i="2"/>
  <c r="X373" i="2"/>
  <c r="X54" i="2"/>
  <c r="A55" i="2" s="1"/>
  <c r="C54" i="2"/>
  <c r="C25" i="2"/>
  <c r="X25" i="2"/>
  <c r="C1609" i="2"/>
  <c r="X1609" i="2"/>
  <c r="A1610" i="2" s="1"/>
  <c r="C902" i="2"/>
  <c r="X902" i="2"/>
  <c r="A903" i="2" s="1"/>
  <c r="X1465" i="2"/>
  <c r="A1466" i="2" s="1"/>
  <c r="C1465" i="2"/>
  <c r="C1286" i="2"/>
  <c r="X1286" i="2"/>
  <c r="A1287" i="2" s="1"/>
  <c r="C1040" i="2"/>
  <c r="X1040" i="2"/>
  <c r="A1041" i="2" s="1"/>
  <c r="A144" i="2"/>
  <c r="A86" i="2"/>
  <c r="X86" i="2" s="1"/>
  <c r="A87" i="2" s="1"/>
  <c r="X87" i="2" s="1"/>
  <c r="A88" i="2" s="1"/>
  <c r="A262" i="2"/>
  <c r="A374" i="2"/>
  <c r="C120" i="2"/>
  <c r="X120" i="2"/>
  <c r="C102" i="2"/>
  <c r="X102" i="2"/>
  <c r="C73" i="2"/>
  <c r="X73" i="2"/>
  <c r="A74" i="2" s="1"/>
  <c r="X38" i="2"/>
  <c r="A39" i="2" s="1"/>
  <c r="C38" i="2"/>
  <c r="C2550" i="1"/>
  <c r="X2550" i="1"/>
  <c r="A2551" i="1" s="1"/>
  <c r="X2480" i="1"/>
  <c r="A2481" i="1" s="1"/>
  <c r="C2480" i="1"/>
  <c r="C1931" i="1"/>
  <c r="X1931" i="1"/>
  <c r="A1932" i="1" s="1"/>
  <c r="C1819" i="1"/>
  <c r="X1819" i="1"/>
  <c r="C184" i="1"/>
  <c r="X184" i="1"/>
  <c r="A185" i="1" s="1"/>
  <c r="C957" i="1"/>
  <c r="X957" i="1"/>
  <c r="A958" i="1" s="1"/>
  <c r="C2365" i="1"/>
  <c r="X2365" i="1"/>
  <c r="C2115" i="1"/>
  <c r="X2115" i="1"/>
  <c r="A2116" i="1" s="1"/>
  <c r="A1686" i="1"/>
  <c r="X1686" i="1" s="1"/>
  <c r="B1686" i="1"/>
  <c r="C1686" i="1" s="1"/>
  <c r="X440" i="1"/>
  <c r="A442" i="1" s="1"/>
  <c r="C440" i="1"/>
  <c r="C441" i="1"/>
  <c r="X441" i="1"/>
  <c r="C1360" i="1"/>
  <c r="X1360" i="1"/>
  <c r="A1361" i="1" s="1"/>
  <c r="C1146" i="1"/>
  <c r="X1146" i="1"/>
  <c r="A1147" i="1" s="1"/>
  <c r="C729" i="1"/>
  <c r="X729" i="1"/>
  <c r="A730" i="1" s="1"/>
  <c r="C111" i="3" l="1"/>
  <c r="X111" i="3"/>
  <c r="A112" i="3" s="1"/>
  <c r="C430" i="3"/>
  <c r="X430" i="3"/>
  <c r="A431" i="3" s="1"/>
  <c r="X323" i="3"/>
  <c r="C323" i="3"/>
  <c r="X194" i="3"/>
  <c r="A195" i="3" s="1"/>
  <c r="C194" i="3"/>
  <c r="X632" i="2"/>
  <c r="A633" i="2" s="1"/>
  <c r="C632" i="2"/>
  <c r="C55" i="2"/>
  <c r="X55" i="2"/>
  <c r="A56" i="2" s="1"/>
  <c r="X1610" i="2"/>
  <c r="A1611" i="2" s="1"/>
  <c r="C1610" i="2"/>
  <c r="C903" i="2"/>
  <c r="X903" i="2"/>
  <c r="A904" i="2" s="1"/>
  <c r="X1466" i="2"/>
  <c r="A1467" i="2" s="1"/>
  <c r="C1466" i="2"/>
  <c r="C1287" i="2"/>
  <c r="X1287" i="2"/>
  <c r="A1288" i="2" s="1"/>
  <c r="C1041" i="2"/>
  <c r="X1041" i="2"/>
  <c r="A1042" i="2" s="1"/>
  <c r="C144" i="2"/>
  <c r="X144" i="2"/>
  <c r="A145" i="2" s="1"/>
  <c r="C88" i="2"/>
  <c r="X88" i="2"/>
  <c r="A89" i="2" s="1"/>
  <c r="C262" i="2"/>
  <c r="X262" i="2"/>
  <c r="A263" i="2" s="1"/>
  <c r="C374" i="2"/>
  <c r="X374" i="2"/>
  <c r="A375" i="2" s="1"/>
  <c r="A121" i="2"/>
  <c r="A725" i="2"/>
  <c r="A103" i="2"/>
  <c r="A1730" i="2"/>
  <c r="C74" i="2"/>
  <c r="X74" i="2"/>
  <c r="A75" i="2" s="1"/>
  <c r="X39" i="2"/>
  <c r="C39" i="2"/>
  <c r="C2551" i="1"/>
  <c r="X2551" i="1"/>
  <c r="X2481" i="1"/>
  <c r="A2482" i="1" s="1"/>
  <c r="C2481" i="1"/>
  <c r="C1932" i="1"/>
  <c r="X1932" i="1"/>
  <c r="A1933" i="1" s="1"/>
  <c r="A1820" i="1"/>
  <c r="B1818" i="1"/>
  <c r="C1818" i="1" s="1"/>
  <c r="C185" i="1"/>
  <c r="X185" i="1"/>
  <c r="A186" i="1" s="1"/>
  <c r="C958" i="1"/>
  <c r="X958" i="1"/>
  <c r="C2116" i="1"/>
  <c r="X2116" i="1"/>
  <c r="A2118" i="1" s="1"/>
  <c r="A1687" i="1"/>
  <c r="X1687" i="1" s="1"/>
  <c r="B1687" i="1"/>
  <c r="C1687" i="1" s="1"/>
  <c r="X442" i="1"/>
  <c r="A443" i="1" s="1"/>
  <c r="C442" i="1"/>
  <c r="C1361" i="1"/>
  <c r="X1361" i="1"/>
  <c r="A1362" i="1" s="1"/>
  <c r="X1147" i="1"/>
  <c r="A1148" i="1" s="1"/>
  <c r="C1147" i="1"/>
  <c r="C730" i="1"/>
  <c r="X730" i="1"/>
  <c r="A731" i="1" s="1"/>
  <c r="X112" i="3" l="1"/>
  <c r="A113" i="3" s="1"/>
  <c r="C112" i="3"/>
  <c r="C431" i="3"/>
  <c r="X431" i="3"/>
  <c r="A432" i="3" s="1"/>
  <c r="X195" i="3"/>
  <c r="A196" i="3" s="1"/>
  <c r="C195" i="3"/>
  <c r="C633" i="2"/>
  <c r="X633" i="2"/>
  <c r="A634" i="2" s="1"/>
  <c r="C56" i="2"/>
  <c r="X56" i="2"/>
  <c r="A57" i="2" s="1"/>
  <c r="C1611" i="2"/>
  <c r="X1611" i="2"/>
  <c r="A1612" i="2" s="1"/>
  <c r="C904" i="2"/>
  <c r="X904" i="2"/>
  <c r="A905" i="2" s="1"/>
  <c r="C1467" i="2"/>
  <c r="X1467" i="2"/>
  <c r="A1468" i="2" s="1"/>
  <c r="X1288" i="2"/>
  <c r="A1289" i="2" s="1"/>
  <c r="C1288" i="2"/>
  <c r="C1042" i="2"/>
  <c r="X1042" i="2"/>
  <c r="A1043" i="2" s="1"/>
  <c r="C145" i="2"/>
  <c r="X145" i="2"/>
  <c r="C89" i="2"/>
  <c r="X89" i="2"/>
  <c r="A90" i="2" s="1"/>
  <c r="C263" i="2"/>
  <c r="X263" i="2"/>
  <c r="A264" i="2" s="1"/>
  <c r="C375" i="2"/>
  <c r="X375" i="2"/>
  <c r="A376" i="2" s="1"/>
  <c r="C121" i="2"/>
  <c r="X121" i="2"/>
  <c r="A122" i="2" s="1"/>
  <c r="X725" i="2"/>
  <c r="A726" i="2" s="1"/>
  <c r="C725" i="2"/>
  <c r="C103" i="2"/>
  <c r="X103" i="2"/>
  <c r="A104" i="2" s="1"/>
  <c r="C1730" i="2"/>
  <c r="X1730" i="2"/>
  <c r="A1731" i="2" s="1"/>
  <c r="C75" i="2"/>
  <c r="X75" i="2"/>
  <c r="A76" i="2" s="1"/>
  <c r="A40" i="2"/>
  <c r="A61" i="2"/>
  <c r="A2552" i="1"/>
  <c r="C2482" i="1"/>
  <c r="X2482" i="1"/>
  <c r="A2483" i="1" s="1"/>
  <c r="C1933" i="1"/>
  <c r="X1933" i="1"/>
  <c r="A1934" i="1" s="1"/>
  <c r="C1820" i="1"/>
  <c r="X1820" i="1"/>
  <c r="C186" i="1"/>
  <c r="X186" i="1"/>
  <c r="A187" i="1" s="1"/>
  <c r="A1143" i="1"/>
  <c r="B956" i="1"/>
  <c r="C956" i="1" s="1"/>
  <c r="A959" i="1"/>
  <c r="C2118" i="1"/>
  <c r="X2118" i="1"/>
  <c r="A2119" i="1" s="1"/>
  <c r="A1688" i="1"/>
  <c r="X1688" i="1" s="1"/>
  <c r="A1689" i="1" s="1"/>
  <c r="B1688" i="1"/>
  <c r="C1688" i="1" s="1"/>
  <c r="C443" i="1"/>
  <c r="X443" i="1"/>
  <c r="A444" i="1" s="1"/>
  <c r="C1362" i="1"/>
  <c r="X1362" i="1"/>
  <c r="A1363" i="1" s="1"/>
  <c r="X1148" i="1"/>
  <c r="A1149" i="1" s="1"/>
  <c r="C1148" i="1"/>
  <c r="C731" i="1"/>
  <c r="X731" i="1"/>
  <c r="A732" i="1" s="1"/>
  <c r="X113" i="3" l="1"/>
  <c r="A114" i="3" s="1"/>
  <c r="C113" i="3"/>
  <c r="C432" i="3"/>
  <c r="X432" i="3"/>
  <c r="A433" i="3" s="1"/>
  <c r="C196" i="3"/>
  <c r="X196" i="3"/>
  <c r="X634" i="2"/>
  <c r="A635" i="2" s="1"/>
  <c r="C634" i="2"/>
  <c r="C57" i="2"/>
  <c r="X57" i="2"/>
  <c r="A58" i="2" s="1"/>
  <c r="C1612" i="2"/>
  <c r="X1612" i="2"/>
  <c r="A1613" i="2" s="1"/>
  <c r="C905" i="2"/>
  <c r="X905" i="2"/>
  <c r="A906" i="2" s="1"/>
  <c r="C1468" i="2"/>
  <c r="X1468" i="2"/>
  <c r="A1469" i="2" s="1"/>
  <c r="X1289" i="2"/>
  <c r="A1290" i="2" s="1"/>
  <c r="C1289" i="2"/>
  <c r="C1043" i="2"/>
  <c r="X1043" i="2"/>
  <c r="A1044" i="2" s="1"/>
  <c r="C90" i="2"/>
  <c r="X90" i="2"/>
  <c r="A91" i="2" s="1"/>
  <c r="C264" i="2"/>
  <c r="X264" i="2"/>
  <c r="A265" i="2" s="1"/>
  <c r="C376" i="2"/>
  <c r="X376" i="2"/>
  <c r="A377" i="2" s="1"/>
  <c r="C122" i="2"/>
  <c r="X122" i="2"/>
  <c r="A123" i="2" s="1"/>
  <c r="C726" i="2"/>
  <c r="X726" i="2"/>
  <c r="A727" i="2" s="1"/>
  <c r="C104" i="2"/>
  <c r="X104" i="2"/>
  <c r="A105" i="2" s="1"/>
  <c r="C1731" i="2"/>
  <c r="X1731" i="2"/>
  <c r="C76" i="2"/>
  <c r="X76" i="2"/>
  <c r="A77" i="2" s="1"/>
  <c r="X40" i="2"/>
  <c r="A41" i="2" s="1"/>
  <c r="C40" i="2"/>
  <c r="C61" i="2"/>
  <c r="X61" i="2"/>
  <c r="A62" i="2" s="1"/>
  <c r="X2552" i="1"/>
  <c r="A2553" i="1" s="1"/>
  <c r="C2552" i="1"/>
  <c r="C2483" i="1"/>
  <c r="X2483" i="1"/>
  <c r="A2484" i="1" s="1"/>
  <c r="C1934" i="1"/>
  <c r="X1934" i="1"/>
  <c r="A1935" i="1" s="1"/>
  <c r="A1821" i="1"/>
  <c r="X1821" i="1" s="1"/>
  <c r="B1821" i="1"/>
  <c r="C1821" i="1" s="1"/>
  <c r="C187" i="1"/>
  <c r="X187" i="1"/>
  <c r="A188" i="1" s="1"/>
  <c r="X1143" i="1"/>
  <c r="C1143" i="1"/>
  <c r="C959" i="1"/>
  <c r="X959" i="1"/>
  <c r="A960" i="1" s="1"/>
  <c r="C2119" i="1"/>
  <c r="X2119" i="1"/>
  <c r="A2120" i="1" s="1"/>
  <c r="C1689" i="1"/>
  <c r="X1689" i="1"/>
  <c r="A1690" i="1" s="1"/>
  <c r="C444" i="1"/>
  <c r="X444" i="1"/>
  <c r="A445" i="1" s="1"/>
  <c r="C1363" i="1"/>
  <c r="X1363" i="1"/>
  <c r="A1364" i="1" s="1"/>
  <c r="X1149" i="1"/>
  <c r="A1150" i="1" s="1"/>
  <c r="C1149" i="1"/>
  <c r="C732" i="1"/>
  <c r="X732" i="1"/>
  <c r="A733" i="1" s="1"/>
  <c r="C114" i="3" l="1"/>
  <c r="X114" i="3"/>
  <c r="A115" i="3" s="1"/>
  <c r="C433" i="3"/>
  <c r="X433" i="3"/>
  <c r="A434" i="3" s="1"/>
  <c r="X635" i="2"/>
  <c r="A636" i="2" s="1"/>
  <c r="C635" i="2"/>
  <c r="C58" i="2"/>
  <c r="X58" i="2"/>
  <c r="A59" i="2" s="1"/>
  <c r="X1613" i="2"/>
  <c r="A1614" i="2" s="1"/>
  <c r="C1613" i="2"/>
  <c r="C906" i="2"/>
  <c r="X906" i="2"/>
  <c r="A907" i="2" s="1"/>
  <c r="X1469" i="2"/>
  <c r="A1470" i="2" s="1"/>
  <c r="C1469" i="2"/>
  <c r="C1290" i="2"/>
  <c r="X1290" i="2"/>
  <c r="A1291" i="2" s="1"/>
  <c r="C1044" i="2"/>
  <c r="X1044" i="2"/>
  <c r="A1045" i="2" s="1"/>
  <c r="C91" i="2"/>
  <c r="X91" i="2"/>
  <c r="A92" i="2" s="1"/>
  <c r="C265" i="2"/>
  <c r="X265" i="2"/>
  <c r="A266" i="2" s="1"/>
  <c r="C377" i="2"/>
  <c r="X377" i="2"/>
  <c r="C123" i="2"/>
  <c r="X123" i="2"/>
  <c r="A124" i="2" s="1"/>
  <c r="C727" i="2"/>
  <c r="X727" i="2"/>
  <c r="A728" i="2" s="1"/>
  <c r="C105" i="2"/>
  <c r="X105" i="2"/>
  <c r="C77" i="2"/>
  <c r="X77" i="2"/>
  <c r="A78" i="2" s="1"/>
  <c r="X41" i="2"/>
  <c r="A42" i="2" s="1"/>
  <c r="C41" i="2"/>
  <c r="C62" i="2"/>
  <c r="X62" i="2"/>
  <c r="X2553" i="1"/>
  <c r="A2554" i="1" s="1"/>
  <c r="C2553" i="1"/>
  <c r="C2484" i="1"/>
  <c r="X2484" i="1"/>
  <c r="C1935" i="1"/>
  <c r="X1935" i="1"/>
  <c r="A1936" i="1" s="1"/>
  <c r="A1822" i="1"/>
  <c r="X1822" i="1" s="1"/>
  <c r="A1823" i="1" s="1"/>
  <c r="B1822" i="1"/>
  <c r="C188" i="1"/>
  <c r="X188" i="1"/>
  <c r="A189" i="1" s="1"/>
  <c r="C960" i="1"/>
  <c r="X960" i="1"/>
  <c r="A961" i="1" s="1"/>
  <c r="C2120" i="1"/>
  <c r="X2120" i="1"/>
  <c r="A2121" i="1" s="1"/>
  <c r="C1690" i="1"/>
  <c r="X1690" i="1"/>
  <c r="A1691" i="1" s="1"/>
  <c r="C445" i="1"/>
  <c r="X445" i="1"/>
  <c r="A446" i="1" s="1"/>
  <c r="C1364" i="1"/>
  <c r="X1364" i="1"/>
  <c r="A1365" i="1" s="1"/>
  <c r="C1150" i="1"/>
  <c r="X1150" i="1"/>
  <c r="A1151" i="1" s="1"/>
  <c r="C733" i="1"/>
  <c r="X733" i="1"/>
  <c r="A734" i="1" s="1"/>
  <c r="C115" i="3" l="1"/>
  <c r="X115" i="3"/>
  <c r="A116" i="3" s="1"/>
  <c r="C434" i="3"/>
  <c r="X434" i="3"/>
  <c r="C636" i="2"/>
  <c r="X636" i="2"/>
  <c r="A637" i="2" s="1"/>
  <c r="C59" i="2"/>
  <c r="X59" i="2"/>
  <c r="A60" i="2" s="1"/>
  <c r="X1614" i="2"/>
  <c r="A1615" i="2" s="1"/>
  <c r="C1614" i="2"/>
  <c r="C907" i="2"/>
  <c r="X907" i="2"/>
  <c r="A908" i="2" s="1"/>
  <c r="X1470" i="2"/>
  <c r="A1471" i="2" s="1"/>
  <c r="C1470" i="2"/>
  <c r="C1291" i="2"/>
  <c r="X1291" i="2"/>
  <c r="A1292" i="2" s="1"/>
  <c r="C1045" i="2"/>
  <c r="X1045" i="2"/>
  <c r="A1046" i="2" s="1"/>
  <c r="C92" i="2"/>
  <c r="X92" i="2"/>
  <c r="C266" i="2"/>
  <c r="X266" i="2"/>
  <c r="A267" i="2" s="1"/>
  <c r="C124" i="2"/>
  <c r="X124" i="2"/>
  <c r="A125" i="2" s="1"/>
  <c r="C728" i="2"/>
  <c r="X728" i="2"/>
  <c r="A729" i="2" s="1"/>
  <c r="A106" i="2"/>
  <c r="A108" i="2"/>
  <c r="C78" i="2"/>
  <c r="X78" i="2"/>
  <c r="A79" i="2" s="1"/>
  <c r="X42" i="2"/>
  <c r="A43" i="2" s="1"/>
  <c r="C42" i="2"/>
  <c r="C2554" i="1"/>
  <c r="X2554" i="1"/>
  <c r="A2555" i="1" s="1"/>
  <c r="C1936" i="1"/>
  <c r="X1936" i="1"/>
  <c r="A1937" i="1" s="1"/>
  <c r="C1823" i="1"/>
  <c r="X1823" i="1"/>
  <c r="A1824" i="1" s="1"/>
  <c r="C189" i="1"/>
  <c r="X189" i="1"/>
  <c r="A190" i="1" s="1"/>
  <c r="C961" i="1"/>
  <c r="X961" i="1"/>
  <c r="A962" i="1" s="1"/>
  <c r="C2121" i="1"/>
  <c r="X2121" i="1"/>
  <c r="A2122" i="1" s="1"/>
  <c r="C1691" i="1"/>
  <c r="X1691" i="1"/>
  <c r="A1692" i="1" s="1"/>
  <c r="C446" i="1"/>
  <c r="X446" i="1"/>
  <c r="A447" i="1" s="1"/>
  <c r="C1365" i="1"/>
  <c r="X1365" i="1"/>
  <c r="A1366" i="1" s="1"/>
  <c r="C1151" i="1"/>
  <c r="X1151" i="1"/>
  <c r="A1152" i="1" s="1"/>
  <c r="C734" i="1"/>
  <c r="X734" i="1"/>
  <c r="C1822" i="1"/>
  <c r="C116" i="3" l="1"/>
  <c r="X116" i="3"/>
  <c r="A117" i="3" s="1"/>
  <c r="C637" i="2"/>
  <c r="X637" i="2"/>
  <c r="A638" i="2" s="1"/>
  <c r="C60" i="2"/>
  <c r="X60" i="2"/>
  <c r="X1615" i="2"/>
  <c r="A1616" i="2" s="1"/>
  <c r="C1615" i="2"/>
  <c r="C908" i="2"/>
  <c r="X908" i="2"/>
  <c r="A909" i="2" s="1"/>
  <c r="X1471" i="2"/>
  <c r="A1472" i="2" s="1"/>
  <c r="C1471" i="2"/>
  <c r="X1292" i="2"/>
  <c r="A1293" i="2" s="1"/>
  <c r="C1292" i="2"/>
  <c r="C1046" i="2"/>
  <c r="X1046" i="2"/>
  <c r="A1047" i="2" s="1"/>
  <c r="C267" i="2"/>
  <c r="X267" i="2"/>
  <c r="A268" i="2" s="1"/>
  <c r="C125" i="2"/>
  <c r="X125" i="2"/>
  <c r="A126" i="2" s="1"/>
  <c r="X729" i="2"/>
  <c r="A730" i="2" s="1"/>
  <c r="C729" i="2"/>
  <c r="C106" i="2"/>
  <c r="X106" i="2"/>
  <c r="A107" i="2" s="1"/>
  <c r="C108" i="2"/>
  <c r="X108" i="2"/>
  <c r="A109" i="2" s="1"/>
  <c r="C79" i="2"/>
  <c r="X79" i="2"/>
  <c r="A80" i="2" s="1"/>
  <c r="X43" i="2"/>
  <c r="A44" i="2" s="1"/>
  <c r="C43" i="2"/>
  <c r="X2555" i="1"/>
  <c r="A2556" i="1" s="1"/>
  <c r="C2555" i="1"/>
  <c r="C1937" i="1"/>
  <c r="X1937" i="1"/>
  <c r="A1939" i="1" s="1"/>
  <c r="X1939" i="1" s="1"/>
  <c r="A1938" i="1" s="1"/>
  <c r="X1824" i="1"/>
  <c r="A1825" i="1" s="1"/>
  <c r="C1824" i="1"/>
  <c r="C190" i="1"/>
  <c r="X190" i="1"/>
  <c r="A191" i="1" s="1"/>
  <c r="C962" i="1"/>
  <c r="X962" i="1"/>
  <c r="A963" i="1" s="1"/>
  <c r="C2122" i="1"/>
  <c r="X2122" i="1"/>
  <c r="A2123" i="1" s="1"/>
  <c r="C1692" i="1"/>
  <c r="X1692" i="1"/>
  <c r="A1693" i="1" s="1"/>
  <c r="X447" i="1"/>
  <c r="A448" i="1" s="1"/>
  <c r="C447" i="1"/>
  <c r="C1366" i="1"/>
  <c r="X1366" i="1"/>
  <c r="A1367" i="1" s="1"/>
  <c r="C1152" i="1"/>
  <c r="X1152" i="1"/>
  <c r="A1153" i="1" s="1"/>
  <c r="C117" i="3" l="1"/>
  <c r="X117" i="3"/>
  <c r="A118" i="3" s="1"/>
  <c r="X638" i="2"/>
  <c r="A639" i="2" s="1"/>
  <c r="C638" i="2"/>
  <c r="X1616" i="2"/>
  <c r="A1617" i="2" s="1"/>
  <c r="C1616" i="2"/>
  <c r="C909" i="2"/>
  <c r="X909" i="2"/>
  <c r="A910" i="2" s="1"/>
  <c r="X1472" i="2"/>
  <c r="A1473" i="2" s="1"/>
  <c r="C1472" i="2"/>
  <c r="C1293" i="2"/>
  <c r="X1293" i="2"/>
  <c r="A1294" i="2" s="1"/>
  <c r="X1294" i="2" s="1"/>
  <c r="A1295" i="2" s="1"/>
  <c r="C1047" i="2"/>
  <c r="X1047" i="2"/>
  <c r="A1048" i="2" s="1"/>
  <c r="C268" i="2"/>
  <c r="X268" i="2"/>
  <c r="C126" i="2"/>
  <c r="X126" i="2"/>
  <c r="A127" i="2" s="1"/>
  <c r="X730" i="2"/>
  <c r="A731" i="2" s="1"/>
  <c r="C730" i="2"/>
  <c r="C107" i="2"/>
  <c r="X107" i="2"/>
  <c r="C109" i="2"/>
  <c r="X109" i="2"/>
  <c r="A110" i="2" s="1"/>
  <c r="C80" i="2"/>
  <c r="X80" i="2"/>
  <c r="X44" i="2"/>
  <c r="A45" i="2" s="1"/>
  <c r="C44" i="2"/>
  <c r="C2556" i="1"/>
  <c r="X2556" i="1"/>
  <c r="C1938" i="1"/>
  <c r="X1938" i="1"/>
  <c r="C1825" i="1"/>
  <c r="X1825" i="1"/>
  <c r="A1826" i="1" s="1"/>
  <c r="C191" i="1"/>
  <c r="X191" i="1"/>
  <c r="A192" i="1" s="1"/>
  <c r="C963" i="1"/>
  <c r="X963" i="1"/>
  <c r="A964" i="1" s="1"/>
  <c r="C2123" i="1"/>
  <c r="X2123" i="1"/>
  <c r="A2124" i="1" s="1"/>
  <c r="C1693" i="1"/>
  <c r="X1693" i="1"/>
  <c r="A1694" i="1" s="1"/>
  <c r="C448" i="1"/>
  <c r="X448" i="1"/>
  <c r="C1367" i="1"/>
  <c r="X1367" i="1"/>
  <c r="A1368" i="1" s="1"/>
  <c r="C1153" i="1"/>
  <c r="X1153" i="1"/>
  <c r="A1154" i="1" s="1"/>
  <c r="C118" i="3" l="1"/>
  <c r="X118" i="3"/>
  <c r="A119" i="3" s="1"/>
  <c r="X639" i="2"/>
  <c r="C639" i="2"/>
  <c r="C1617" i="2"/>
  <c r="X1617" i="2"/>
  <c r="C910" i="2"/>
  <c r="X910" i="2"/>
  <c r="A911" i="2" s="1"/>
  <c r="X1473" i="2"/>
  <c r="A1474" i="2" s="1"/>
  <c r="C1473" i="2"/>
  <c r="C1295" i="2"/>
  <c r="X1295" i="2"/>
  <c r="A1296" i="2" s="1"/>
  <c r="C1048" i="2"/>
  <c r="X1048" i="2"/>
  <c r="C127" i="2"/>
  <c r="X127" i="2"/>
  <c r="A128" i="2" s="1"/>
  <c r="X731" i="2"/>
  <c r="A732" i="2" s="1"/>
  <c r="C731" i="2"/>
  <c r="C110" i="2"/>
  <c r="X110" i="2"/>
  <c r="C45" i="2"/>
  <c r="X45" i="2"/>
  <c r="C1826" i="1"/>
  <c r="X1826" i="1"/>
  <c r="A1827" i="1" s="1"/>
  <c r="C192" i="1"/>
  <c r="X192" i="1"/>
  <c r="A193" i="1" s="1"/>
  <c r="C964" i="1"/>
  <c r="X964" i="1"/>
  <c r="A965" i="1" s="1"/>
  <c r="C2124" i="1"/>
  <c r="X2124" i="1"/>
  <c r="A2125" i="1" s="1"/>
  <c r="C1694" i="1"/>
  <c r="X1694" i="1"/>
  <c r="A1695" i="1" s="1"/>
  <c r="A449" i="1"/>
  <c r="A2366" i="1"/>
  <c r="C1368" i="1"/>
  <c r="X1368" i="1"/>
  <c r="A1369" i="1" s="1"/>
  <c r="X1154" i="1"/>
  <c r="C1154" i="1"/>
  <c r="C119" i="3" l="1"/>
  <c r="X119" i="3"/>
  <c r="A120" i="3" s="1"/>
  <c r="C911" i="2"/>
  <c r="X911" i="2"/>
  <c r="A912" i="2" s="1"/>
  <c r="C1474" i="2"/>
  <c r="X1474" i="2"/>
  <c r="A1475" i="2" s="1"/>
  <c r="X1296" i="2"/>
  <c r="C1296" i="2"/>
  <c r="C128" i="2"/>
  <c r="X128" i="2"/>
  <c r="A129" i="2" s="1"/>
  <c r="C732" i="2"/>
  <c r="X732" i="2"/>
  <c r="C1827" i="1"/>
  <c r="X1827" i="1"/>
  <c r="A1828" i="1" s="1"/>
  <c r="C193" i="1"/>
  <c r="X193" i="1"/>
  <c r="A194" i="1" s="1"/>
  <c r="X965" i="1"/>
  <c r="A966" i="1" s="1"/>
  <c r="C965" i="1"/>
  <c r="C2125" i="1"/>
  <c r="X2125" i="1"/>
  <c r="C1695" i="1"/>
  <c r="X1695" i="1"/>
  <c r="A1696" i="1" s="1"/>
  <c r="X449" i="1"/>
  <c r="A450" i="1" s="1"/>
  <c r="C449" i="1"/>
  <c r="C2366" i="1"/>
  <c r="X2366" i="1"/>
  <c r="A2367" i="1" s="1"/>
  <c r="C1369" i="1"/>
  <c r="X1369" i="1"/>
  <c r="A1156" i="1"/>
  <c r="A1155" i="1"/>
  <c r="C120" i="3" l="1"/>
  <c r="X120" i="3"/>
  <c r="C912" i="2"/>
  <c r="X912" i="2"/>
  <c r="A913" i="2" s="1"/>
  <c r="X1475" i="2"/>
  <c r="A1476" i="2" s="1"/>
  <c r="C1475" i="2"/>
  <c r="C129" i="2"/>
  <c r="X129" i="2"/>
  <c r="A130" i="2" s="1"/>
  <c r="C1828" i="1"/>
  <c r="X1828" i="1"/>
  <c r="A1829" i="1" s="1"/>
  <c r="C194" i="1"/>
  <c r="X194" i="1"/>
  <c r="A195" i="1" s="1"/>
  <c r="C966" i="1"/>
  <c r="X966" i="1"/>
  <c r="A967" i="1" s="1"/>
  <c r="C1696" i="1"/>
  <c r="X1696" i="1"/>
  <c r="A1697" i="1" s="1"/>
  <c r="C450" i="1"/>
  <c r="X450" i="1"/>
  <c r="A451" i="1" s="1"/>
  <c r="C2367" i="1"/>
  <c r="X2367" i="1"/>
  <c r="A2368" i="1" s="1"/>
  <c r="C1156" i="1"/>
  <c r="X1156" i="1"/>
  <c r="A1157" i="1" s="1"/>
  <c r="C1155" i="1"/>
  <c r="X1155" i="1"/>
  <c r="C913" i="2" l="1"/>
  <c r="X913" i="2"/>
  <c r="A914" i="2" s="1"/>
  <c r="C1476" i="2"/>
  <c r="X1476" i="2"/>
  <c r="C130" i="2"/>
  <c r="X130" i="2"/>
  <c r="A131" i="2" s="1"/>
  <c r="C1829" i="1"/>
  <c r="X1829" i="1"/>
  <c r="A1830" i="1" s="1"/>
  <c r="C195" i="1"/>
  <c r="X195" i="1"/>
  <c r="X967" i="1"/>
  <c r="A968" i="1" s="1"/>
  <c r="C967" i="1"/>
  <c r="C1697" i="1"/>
  <c r="X1697" i="1"/>
  <c r="A1698" i="1" s="1"/>
  <c r="X451" i="1"/>
  <c r="A452" i="1" s="1"/>
  <c r="C451" i="1"/>
  <c r="C2368" i="1"/>
  <c r="X2368" i="1"/>
  <c r="A2369" i="1" s="1"/>
  <c r="C1157" i="1"/>
  <c r="X1157" i="1"/>
  <c r="A1158" i="1" s="1"/>
  <c r="C914" i="2" l="1"/>
  <c r="X914" i="2"/>
  <c r="A915" i="2" s="1"/>
  <c r="C131" i="2"/>
  <c r="X131" i="2"/>
  <c r="C1830" i="1"/>
  <c r="X1830" i="1"/>
  <c r="A1831" i="1" s="1"/>
  <c r="X968" i="1"/>
  <c r="A969" i="1" s="1"/>
  <c r="C968" i="1"/>
  <c r="C1698" i="1"/>
  <c r="X1698" i="1"/>
  <c r="X452" i="1"/>
  <c r="A453" i="1" s="1"/>
  <c r="C452" i="1"/>
  <c r="C2369" i="1"/>
  <c r="X2369" i="1"/>
  <c r="A2370" i="1" s="1"/>
  <c r="C1158" i="1"/>
  <c r="X1158" i="1"/>
  <c r="A1159" i="1" s="1"/>
  <c r="C915" i="2" l="1"/>
  <c r="X915" i="2"/>
  <c r="A916" i="2" s="1"/>
  <c r="C1831" i="1"/>
  <c r="X1831" i="1"/>
  <c r="A1832" i="1" s="1"/>
  <c r="C969" i="1"/>
  <c r="X969" i="1"/>
  <c r="X453" i="1"/>
  <c r="A454" i="1" s="1"/>
  <c r="C453" i="1"/>
  <c r="X2370" i="1"/>
  <c r="C2370" i="1"/>
  <c r="C1159" i="1"/>
  <c r="X1159" i="1"/>
  <c r="A1160" i="1" s="1"/>
  <c r="C916" i="2" l="1"/>
  <c r="X916" i="2"/>
  <c r="A917" i="2" s="1"/>
  <c r="X917" i="2" s="1"/>
  <c r="A918" i="2" s="1"/>
  <c r="X1832" i="1"/>
  <c r="A1833" i="1" s="1"/>
  <c r="C1832" i="1"/>
  <c r="C454" i="1"/>
  <c r="X454" i="1"/>
  <c r="A455" i="1" s="1"/>
  <c r="A2373" i="1"/>
  <c r="A2371" i="1"/>
  <c r="C1160" i="1"/>
  <c r="X1160" i="1"/>
  <c r="A1161" i="1" s="1"/>
  <c r="C918" i="2" l="1"/>
  <c r="X918" i="2"/>
  <c r="X1833" i="1"/>
  <c r="A1834" i="1" s="1"/>
  <c r="C1833" i="1"/>
  <c r="X455" i="1"/>
  <c r="A456" i="1" s="1"/>
  <c r="C455" i="1"/>
  <c r="C2373" i="1"/>
  <c r="X2373" i="1"/>
  <c r="A2374" i="1" s="1"/>
  <c r="C2371" i="1"/>
  <c r="X2371" i="1"/>
  <c r="A2372" i="1" s="1"/>
  <c r="C1161" i="1"/>
  <c r="X1161" i="1"/>
  <c r="A1162" i="1" s="1"/>
  <c r="A919" i="2" l="1"/>
  <c r="A861" i="2"/>
  <c r="X861" i="2" s="1"/>
  <c r="A862" i="2" s="1"/>
  <c r="X862" i="2" s="1"/>
  <c r="A863" i="2" s="1"/>
  <c r="X863" i="2" s="1"/>
  <c r="A864" i="2" s="1"/>
  <c r="X864" i="2" s="1"/>
  <c r="A865" i="2" s="1"/>
  <c r="X865" i="2" s="1"/>
  <c r="A866" i="2" s="1"/>
  <c r="X866" i="2" s="1"/>
  <c r="A867" i="2" s="1"/>
  <c r="X867" i="2" s="1"/>
  <c r="A868" i="2" s="1"/>
  <c r="X868" i="2" s="1"/>
  <c r="A869" i="2" s="1"/>
  <c r="X869" i="2" s="1"/>
  <c r="A870" i="2" s="1"/>
  <c r="X870" i="2" s="1"/>
  <c r="A871" i="2" s="1"/>
  <c r="X871" i="2" s="1"/>
  <c r="A872" i="2" s="1"/>
  <c r="X872" i="2" s="1"/>
  <c r="A873" i="2" s="1"/>
  <c r="X873" i="2" s="1"/>
  <c r="A874" i="2" s="1"/>
  <c r="X874" i="2" s="1"/>
  <c r="A875" i="2" s="1"/>
  <c r="X875" i="2" s="1"/>
  <c r="A876" i="2" s="1"/>
  <c r="X876" i="2" s="1"/>
  <c r="A877" i="2" s="1"/>
  <c r="X877" i="2" s="1"/>
  <c r="A878" i="2" s="1"/>
  <c r="X878" i="2" s="1"/>
  <c r="A879" i="2" s="1"/>
  <c r="X879" i="2" s="1"/>
  <c r="A880" i="2" s="1"/>
  <c r="X880" i="2" s="1"/>
  <c r="A881" i="2" s="1"/>
  <c r="X881" i="2" s="1"/>
  <c r="A882" i="2" s="1"/>
  <c r="X882" i="2" s="1"/>
  <c r="A883" i="2" s="1"/>
  <c r="X883" i="2" s="1"/>
  <c r="A884" i="2" s="1"/>
  <c r="X884" i="2" s="1"/>
  <c r="A885" i="2" s="1"/>
  <c r="X885" i="2" s="1"/>
  <c r="A886" i="2" s="1"/>
  <c r="X886" i="2" s="1"/>
  <c r="A887" i="2" s="1"/>
  <c r="X887" i="2" s="1"/>
  <c r="A888" i="2" s="1"/>
  <c r="X888" i="2" s="1"/>
  <c r="A889" i="2" s="1"/>
  <c r="X889" i="2" s="1"/>
  <c r="A890" i="2" s="1"/>
  <c r="X890" i="2" s="1"/>
  <c r="A891" i="2" s="1"/>
  <c r="X891" i="2" s="1"/>
  <c r="A892" i="2" s="1"/>
  <c r="X892" i="2" s="1"/>
  <c r="A893" i="2" s="1"/>
  <c r="X893" i="2" s="1"/>
  <c r="A894" i="2" s="1"/>
  <c r="X894" i="2" s="1"/>
  <c r="C1834" i="1"/>
  <c r="X1834" i="1"/>
  <c r="C456" i="1"/>
  <c r="X456" i="1"/>
  <c r="A457" i="1" s="1"/>
  <c r="C2374" i="1"/>
  <c r="X2374" i="1"/>
  <c r="A2375" i="1" s="1"/>
  <c r="X2372" i="1"/>
  <c r="C2372" i="1"/>
  <c r="C1162" i="1"/>
  <c r="X1162" i="1"/>
  <c r="A1163" i="1" s="1"/>
  <c r="C919" i="2" l="1"/>
  <c r="X919" i="2"/>
  <c r="A920" i="2" s="1"/>
  <c r="X457" i="1"/>
  <c r="A458" i="1" s="1"/>
  <c r="C457" i="1"/>
  <c r="C2375" i="1"/>
  <c r="X2375" i="1"/>
  <c r="A2376" i="1" s="1"/>
  <c r="C1163" i="1"/>
  <c r="X1163" i="1"/>
  <c r="A1164" i="1" s="1"/>
  <c r="C920" i="2" l="1"/>
  <c r="X920" i="2"/>
  <c r="X458" i="1"/>
  <c r="A459" i="1" s="1"/>
  <c r="C458" i="1"/>
  <c r="C2376" i="1"/>
  <c r="X2376" i="1"/>
  <c r="A2377" i="1" s="1"/>
  <c r="C1164" i="1"/>
  <c r="X1164" i="1"/>
  <c r="X459" i="1" l="1"/>
  <c r="A460" i="1" s="1"/>
  <c r="C459" i="1"/>
  <c r="C2377" i="1"/>
  <c r="X2377" i="1"/>
  <c r="A2378" i="1" s="1"/>
  <c r="C460" i="1" l="1"/>
  <c r="X460" i="1"/>
  <c r="A461" i="1" s="1"/>
  <c r="C2378" i="1"/>
  <c r="X2378" i="1"/>
  <c r="A2379" i="1" s="1"/>
  <c r="X461" i="1" l="1"/>
  <c r="A462" i="1" s="1"/>
  <c r="C461" i="1"/>
  <c r="C2379" i="1"/>
  <c r="X2379" i="1"/>
  <c r="A2380" i="1" s="1"/>
  <c r="X462" i="1" l="1"/>
  <c r="A463" i="1" s="1"/>
  <c r="C462" i="1"/>
  <c r="X2380" i="1"/>
  <c r="A2381" i="1" s="1"/>
  <c r="C2380" i="1"/>
  <c r="C463" i="1" l="1"/>
  <c r="X463" i="1"/>
  <c r="A464" i="1" s="1"/>
  <c r="C2381" i="1"/>
  <c r="X2381" i="1"/>
  <c r="A2382" i="1" s="1"/>
  <c r="X464" i="1" l="1"/>
  <c r="C464" i="1"/>
  <c r="X2382" i="1"/>
  <c r="C2382" i="1"/>
  <c r="A465" i="1" l="1"/>
  <c r="X465" i="1" s="1"/>
  <c r="B465" i="1"/>
  <c r="C465" i="1" s="1"/>
  <c r="B467" i="1" l="1"/>
  <c r="A466" i="1"/>
  <c r="X466" i="1" l="1"/>
  <c r="A467" i="1" s="1"/>
  <c r="C466" i="1"/>
  <c r="C467" i="1" l="1"/>
  <c r="X467" i="1"/>
  <c r="A468" i="1" s="1"/>
  <c r="X468" i="1" l="1"/>
  <c r="A469" i="1" s="1"/>
  <c r="C468" i="1"/>
  <c r="C469" i="1" l="1"/>
  <c r="X469" i="1"/>
  <c r="A470" i="1" s="1"/>
  <c r="X470" i="1" l="1"/>
  <c r="A471" i="1" s="1"/>
  <c r="C470" i="1"/>
  <c r="C471" i="1" l="1"/>
  <c r="X471" i="1"/>
  <c r="A472" i="1" s="1"/>
  <c r="X472" i="1" l="1"/>
  <c r="A473" i="1" s="1"/>
  <c r="C472" i="1"/>
  <c r="C473" i="1" l="1"/>
  <c r="X473" i="1"/>
  <c r="A474" i="1" s="1"/>
  <c r="X474" i="1" l="1"/>
  <c r="C474" i="1"/>
  <c r="A475" i="1" l="1"/>
  <c r="A481" i="1"/>
  <c r="X481" i="1" s="1"/>
  <c r="X475" i="1" l="1"/>
  <c r="A476" i="1" s="1"/>
  <c r="C475" i="1"/>
  <c r="X476" i="1" l="1"/>
  <c r="A477" i="1" s="1"/>
  <c r="C476" i="1"/>
  <c r="X477" i="1" l="1"/>
  <c r="A478" i="1" s="1"/>
  <c r="C477" i="1"/>
  <c r="X478" i="1" l="1"/>
  <c r="A479" i="1" s="1"/>
  <c r="C478" i="1"/>
  <c r="C479" i="1" l="1"/>
  <c r="X479" i="1"/>
  <c r="A480" i="1" s="1"/>
  <c r="C480" i="1" l="1"/>
  <c r="X480" i="1"/>
</calcChain>
</file>

<file path=xl/sharedStrings.xml><?xml version="1.0" encoding="utf-8"?>
<sst xmlns="http://schemas.openxmlformats.org/spreadsheetml/2006/main" count="24460" uniqueCount="6943">
  <si>
    <t>Period</t>
  </si>
  <si>
    <t>Factory</t>
  </si>
  <si>
    <t>FACTORY 1</t>
  </si>
  <si>
    <t>Purpose</t>
  </si>
  <si>
    <t>The purpose of this document is to plan and control all manufacturing orders in the system and track completion dates</t>
  </si>
  <si>
    <t>Pimms Manufacturing Planning Document</t>
  </si>
  <si>
    <t>KPI</t>
  </si>
  <si>
    <t>Ensure the document is updatted daily as per the production requirements of the organisation</t>
  </si>
  <si>
    <t>Colour representations on Production Plan:</t>
  </si>
  <si>
    <t>Completed order, line is hidden</t>
  </si>
  <si>
    <t>Awaiting confirmation of a trial</t>
  </si>
  <si>
    <t>Ghost Booking</t>
  </si>
  <si>
    <t>Current Order Running</t>
  </si>
  <si>
    <t>To create MO</t>
  </si>
  <si>
    <t>Trial</t>
  </si>
  <si>
    <t>Today's date</t>
  </si>
  <si>
    <t>PROD START DATE</t>
  </si>
  <si>
    <t>ORIGINAL PLANNED DATE</t>
  </si>
  <si>
    <t>DRIFT</t>
  </si>
  <si>
    <t>Reason for Drift</t>
  </si>
  <si>
    <t>MACHINE</t>
  </si>
  <si>
    <t>SALES O/N OR STOCK O/N</t>
  </si>
  <si>
    <t>Month</t>
  </si>
  <si>
    <t>MO Number</t>
  </si>
  <si>
    <t>PRODUCT NAME</t>
  </si>
  <si>
    <t>Pallet type</t>
  </si>
  <si>
    <t>SETUP 
TIME</t>
  </si>
  <si>
    <t>L/S</t>
  </si>
  <si>
    <t>CYCLE
TIME</t>
  </si>
  <si>
    <t>ORDER 
QTY</t>
  </si>
  <si>
    <t>CAV QTY</t>
  </si>
  <si>
    <t>SHOT
QTY</t>
  </si>
  <si>
    <t>OEE</t>
  </si>
  <si>
    <t>REMAIN QTY</t>
  </si>
  <si>
    <t>QTY P/DAY</t>
  </si>
  <si>
    <t>REMAIN HRS</t>
  </si>
  <si>
    <t>REMAIN DAYS</t>
  </si>
  <si>
    <t>SAT-MON</t>
  </si>
  <si>
    <t>PROD END DATE</t>
  </si>
  <si>
    <t>FACTORY 1 MACHINES - MAIN FACTORY</t>
  </si>
  <si>
    <t>PIMMS Production Sheet</t>
  </si>
  <si>
    <t>.</t>
  </si>
  <si>
    <t xml:space="preserve">N650  </t>
  </si>
  <si>
    <t>N650</t>
  </si>
  <si>
    <t>SO/2022/3438-JAN</t>
  </si>
  <si>
    <t>MATT PP BLUE</t>
  </si>
  <si>
    <t>STOCK REPLENISHMENT (SAFELOAD)</t>
  </si>
  <si>
    <t>0.6m Corner Protector (Blue)</t>
  </si>
  <si>
    <t>SO/2022/2643 - JAN</t>
  </si>
  <si>
    <t>0.3m Corner Protector (Ancra-Blue)</t>
  </si>
  <si>
    <t>SO/2023/0009</t>
  </si>
  <si>
    <t>120-HS/35-PE SPIGOT</t>
  </si>
  <si>
    <t>120-HS/75-PE SPIGOT</t>
  </si>
  <si>
    <t>SO/2023/0124</t>
  </si>
  <si>
    <t>120-HS/30-PE SPIGOT</t>
  </si>
  <si>
    <t>STOCK REPLENISHMENT</t>
  </si>
  <si>
    <t>120-HS/85-PE SPIGOT</t>
  </si>
  <si>
    <t>SO/2023/0085</t>
  </si>
  <si>
    <t>120-HS/40-PE SPIGOT</t>
  </si>
  <si>
    <t>120-HS/45-PE SPIGOT</t>
  </si>
  <si>
    <t>120-HS/60-PE SPIGOT</t>
  </si>
  <si>
    <t>6709</t>
  </si>
  <si>
    <t>120-HS/65-PE SPIGOT</t>
  </si>
  <si>
    <t>120-HS/90-PE SPIGOT</t>
  </si>
  <si>
    <t>H650</t>
  </si>
  <si>
    <t>SO/2023/0065</t>
  </si>
  <si>
    <t>WH/MO/07744</t>
  </si>
  <si>
    <t>18L Tote Bin Lid Red (2035C)</t>
  </si>
  <si>
    <t>WH/MO/07745</t>
  </si>
  <si>
    <t>18L Tote Bin Lid Blue (2746C)</t>
  </si>
  <si>
    <t>SO/2022/3311</t>
  </si>
  <si>
    <t>18L Tote Bin Lid Yellow (102C)</t>
  </si>
  <si>
    <t>SO/2023/0295</t>
  </si>
  <si>
    <t>68L Tote Bin Lid Black</t>
  </si>
  <si>
    <t>SO/2023/0323</t>
  </si>
  <si>
    <t>Access Box 300 Floor Black</t>
  </si>
  <si>
    <t xml:space="preserve">FEB-MAR-APR ORDERS </t>
  </si>
  <si>
    <t>7878</t>
  </si>
  <si>
    <t>[SL.P.MX7.B.BK.V] Maxi 700 Base Virgin (Black)</t>
  </si>
  <si>
    <t>SO/2023/0344</t>
  </si>
  <si>
    <t>7885</t>
  </si>
  <si>
    <t>Maxi 700 Base Repellet (Black)</t>
  </si>
  <si>
    <t>6699</t>
  </si>
  <si>
    <t>Maxi 700 Base Virgin (Red)</t>
  </si>
  <si>
    <t>SO/2023/0339</t>
  </si>
  <si>
    <t>7886</t>
  </si>
  <si>
    <t>52L Tote Bin Lid Green (361C)</t>
  </si>
  <si>
    <t>7887</t>
  </si>
  <si>
    <t>18L Tote Bin Lid Green (361C)</t>
  </si>
  <si>
    <t>ORDER+STOCK</t>
  </si>
  <si>
    <t>7625</t>
  </si>
  <si>
    <t>120-HS/50-PE SPIGOT</t>
  </si>
  <si>
    <t>7347</t>
  </si>
  <si>
    <t>120-HS/55-PE SPIGOT</t>
  </si>
  <si>
    <t>7954</t>
  </si>
  <si>
    <t>7731</t>
  </si>
  <si>
    <t>APRIL ORDER</t>
  </si>
  <si>
    <t>[PDA05133] S3000 Base  - Black</t>
  </si>
  <si>
    <t>APRIL + MAY + JUNE</t>
  </si>
  <si>
    <t>7659 + 7660 + 00257</t>
  </si>
  <si>
    <t>Flexi Arm Left(1) and Right(1)</t>
  </si>
  <si>
    <t>APRIL</t>
  </si>
  <si>
    <t>7808 + 7809 + 7662</t>
  </si>
  <si>
    <t>Flamingo Arm Left(1) and Right(1)</t>
  </si>
  <si>
    <t>MAY</t>
  </si>
  <si>
    <t>08221</t>
  </si>
  <si>
    <t>[PCF05009] 120-HS/55-PE SPIGOT</t>
  </si>
  <si>
    <t>08222</t>
  </si>
  <si>
    <t>[PCF05020] VV10-ZR/A-MSPE INLET HEAD</t>
  </si>
  <si>
    <t>08223</t>
  </si>
  <si>
    <t>00038+ 08351 assembly</t>
  </si>
  <si>
    <t>Access Box 300 Chamber Black</t>
  </si>
  <si>
    <t>00040 + '08435</t>
  </si>
  <si>
    <t>JUNE</t>
  </si>
  <si>
    <t>8436</t>
  </si>
  <si>
    <t>So2023/1609</t>
  </si>
  <si>
    <t>8512</t>
  </si>
  <si>
    <t>DC Stock replenishment - June</t>
  </si>
  <si>
    <t>8526</t>
  </si>
  <si>
    <t>[PCF05004] 120-HS/30-PE SPIGOT</t>
  </si>
  <si>
    <t>8527</t>
  </si>
  <si>
    <t>[PCF05007] 120-HS/45-PE SPIGOT</t>
  </si>
  <si>
    <t>8528</t>
  </si>
  <si>
    <t>[PCF05008] 120-HS/50-PE SPIGOT</t>
  </si>
  <si>
    <t>8623</t>
  </si>
  <si>
    <t>8529</t>
  </si>
  <si>
    <t>[PCF05012] 120-HS/70-PE SPIGOT</t>
  </si>
  <si>
    <t>8530</t>
  </si>
  <si>
    <t>[PCF05013] 120-HS/75-PE SPIGOT</t>
  </si>
  <si>
    <t>8531 &amp; 8586</t>
  </si>
  <si>
    <t>[PCF05015] 120-HS/85-PE SPIGOT</t>
  </si>
  <si>
    <t>SO/2023/1731</t>
  </si>
  <si>
    <t>8621</t>
  </si>
  <si>
    <t>[PBC01032] 52L Tote Bin Lid Green (361C)</t>
  </si>
  <si>
    <t>H7001</t>
  </si>
  <si>
    <t>SO2023/1436</t>
  </si>
  <si>
    <t>00075</t>
  </si>
  <si>
    <t>[PBC01059] 68L Tote Bin Lid PNP RED (207C)</t>
  </si>
  <si>
    <t>8532</t>
  </si>
  <si>
    <t>[PCF05016] 120-HS/90-PE SPIGOT</t>
  </si>
  <si>
    <t>BLACK - 1.0M X 1.2M LOCAL</t>
  </si>
  <si>
    <t>SO2023/1890</t>
  </si>
  <si>
    <t>00091</t>
  </si>
  <si>
    <t>[TTB01000] Access Box 300 Floor Black</t>
  </si>
  <si>
    <t>replenishment</t>
  </si>
  <si>
    <t>[PBC01123] 68L Tote Bin Lid BLACK VIRGIN/BATTERY GRADE</t>
  </si>
  <si>
    <t>SO2023/2027</t>
  </si>
  <si>
    <t>00418</t>
  </si>
  <si>
    <t>[PBC01052] 68L Tote Bin Lid Blue (2746C)</t>
  </si>
  <si>
    <t>SO2023/1921</t>
  </si>
  <si>
    <t>000102</t>
  </si>
  <si>
    <t>SO2023/2012</t>
  </si>
  <si>
    <t>8718</t>
  </si>
  <si>
    <t>SO2023/2007</t>
  </si>
  <si>
    <t>8716</t>
  </si>
  <si>
    <t>[PCF05010] 120-HS/60-PE SPIGOT</t>
  </si>
  <si>
    <t>SO2023/2011</t>
  </si>
  <si>
    <t>8717</t>
  </si>
  <si>
    <t>SO2023/2219</t>
  </si>
  <si>
    <t>8803</t>
  </si>
  <si>
    <t>[PBE05021] Global032 Tray</t>
  </si>
  <si>
    <t>SO2023/2231</t>
  </si>
  <si>
    <t>00119</t>
  </si>
  <si>
    <t>00118 &amp; 8825</t>
  </si>
  <si>
    <t>[TTB01001] Access Box 300 Chamber Black &amp; [TTB05000] Access Box 300 [GEN]</t>
  </si>
  <si>
    <t>August Stock Replenishment</t>
  </si>
  <si>
    <t>8881</t>
  </si>
  <si>
    <t>[PCF050101] 120-HS/100-PE SPIGOT</t>
  </si>
  <si>
    <t>8880</t>
  </si>
  <si>
    <t>8879</t>
  </si>
  <si>
    <t>8937</t>
  </si>
  <si>
    <t>8878</t>
  </si>
  <si>
    <t>8877</t>
  </si>
  <si>
    <t>8876</t>
  </si>
  <si>
    <t>8875</t>
  </si>
  <si>
    <t>SO2023/2647</t>
  </si>
  <si>
    <t>9046</t>
  </si>
  <si>
    <t>September Stock Replenishment</t>
  </si>
  <si>
    <t>[PBE05014] Global006 Sleeve</t>
  </si>
  <si>
    <t>SO/2024/0499</t>
  </si>
  <si>
    <t>[PBC01139] 18L Tote Bin Bottom Grey (L36844A)</t>
  </si>
  <si>
    <t>SO/2024/0615</t>
  </si>
  <si>
    <t>10140</t>
  </si>
  <si>
    <t>[PBC01060] 68L Tote Bin Lid Red (2035C)</t>
  </si>
  <si>
    <t>SO/2024/0538</t>
  </si>
  <si>
    <t>10109</t>
  </si>
  <si>
    <t>[PBC01055] 68L Tote Bin Lid Grey (429C)</t>
  </si>
  <si>
    <t>SO/2024/0714</t>
  </si>
  <si>
    <t>10161</t>
  </si>
  <si>
    <t>March Stock Replenishment</t>
  </si>
  <si>
    <t>10108</t>
  </si>
  <si>
    <t>[SL.FG.CP1.2.BL] 1.2m Corner Protector (Blue)</t>
  </si>
  <si>
    <t>SO/2024/0510 ANCRA</t>
  </si>
  <si>
    <t>10137</t>
  </si>
  <si>
    <t>[SL.FG.CP1.0.BL (ANC)] 39" Corner Protector (Ancra-Blue)</t>
  </si>
  <si>
    <t>H4702</t>
  </si>
  <si>
    <t>SO2024/0741</t>
  </si>
  <si>
    <t>10215, 10216, '00271</t>
  </si>
  <si>
    <t>[PDA01024] Flamingo Arm Left, [PDA01025] Flamingo Arm Right &amp; [PDA06004] Flamingo Arm Set</t>
  </si>
  <si>
    <t>So2024/0892</t>
  </si>
  <si>
    <t>10239</t>
  </si>
  <si>
    <t>[PGA06018] Matt PP - Conloo - Blue</t>
  </si>
  <si>
    <t>May Stock Replenishment</t>
  </si>
  <si>
    <t>[SL.FG.CP2.0.BK] 2.0m Corner Protector (Black)</t>
  </si>
  <si>
    <t>10337</t>
  </si>
  <si>
    <t>[SL.FG.CP2.0.RD] 2.0m Corner Protector (Red)</t>
  </si>
  <si>
    <t>10372</t>
  </si>
  <si>
    <t>10371</t>
  </si>
  <si>
    <t>[SL.FG.CP2.0.BL] 2.0m Corner Protector (Blue)</t>
  </si>
  <si>
    <t>10373</t>
  </si>
  <si>
    <t>[SL.FG.CP2.0.YL] 2.0m Corner Protector (Yellow)</t>
  </si>
  <si>
    <t>10374</t>
  </si>
  <si>
    <t>[SL.FG.CP2.0.GR] 2.0m Corner Protector (Green)</t>
  </si>
  <si>
    <t>10375</t>
  </si>
  <si>
    <t>[SL.FG.CP2.0.GY] 2.0m Corner Protector (Grey)</t>
  </si>
  <si>
    <t>June Stock Replenishment</t>
  </si>
  <si>
    <t>10500</t>
  </si>
  <si>
    <t>10376</t>
  </si>
  <si>
    <t>SO/2025/0266</t>
  </si>
  <si>
    <t>11655</t>
  </si>
  <si>
    <t>Assembly Stock</t>
  </si>
  <si>
    <t>11732</t>
  </si>
  <si>
    <t>[SL.P.MX7.B.BK.R] Maxi 700 Base Repellet (Black)</t>
  </si>
  <si>
    <t>11736</t>
  </si>
  <si>
    <t>SO/2025/0376</t>
  </si>
  <si>
    <t>11743 + 00551</t>
  </si>
  <si>
    <t>[PBC01034] 52L Tote Bin Lid Pink (7424C) + [PBC06018] 52L Tote Bin 600x400x320 Pink with Pink Lid (7424C)</t>
  </si>
  <si>
    <t>SO/2025/0477</t>
  </si>
  <si>
    <t>11795</t>
  </si>
  <si>
    <t>348 Per Pallet</t>
  </si>
  <si>
    <t>11804</t>
  </si>
  <si>
    <t>[PBE05025] Global032 Tray (Komati)</t>
  </si>
  <si>
    <t>Mar Stock Replenishment</t>
  </si>
  <si>
    <t>11848</t>
  </si>
  <si>
    <t>[SL.P.MX5.L.CP.BL] Maxi 500 Lid with compartments (Blue)</t>
  </si>
  <si>
    <t>11845</t>
  </si>
  <si>
    <t>[SL.P.MX5.L.CP.YL] Maxi 500 Lid with compartments (Yellow)</t>
  </si>
  <si>
    <t>11847</t>
  </si>
  <si>
    <t>[SL.P.MX5.L.CP.GR] Maxi 500 Lid with compartments (Green)</t>
  </si>
  <si>
    <t>11857</t>
  </si>
  <si>
    <t>[SL.P.MX5.L.CP.BK] Maxi 500 Lid with compartments (Black)</t>
  </si>
  <si>
    <t>SO/2025/0508</t>
  </si>
  <si>
    <t>11842</t>
  </si>
  <si>
    <t>[PBC01059] 68L Tote Bin Lid PnP Red (207C)</t>
  </si>
  <si>
    <t>SO/2025/0801</t>
  </si>
  <si>
    <t>11916</t>
  </si>
  <si>
    <t>SO/2024/2009</t>
  </si>
  <si>
    <t>11942</t>
  </si>
  <si>
    <t>SO/2025/1077</t>
  </si>
  <si>
    <t>H4701</t>
  </si>
  <si>
    <t>SO/2025/1098May</t>
  </si>
  <si>
    <t>12053</t>
  </si>
  <si>
    <t>[PDA05017] Willie Stacker - Seat Black</t>
  </si>
  <si>
    <t>12051</t>
  </si>
  <si>
    <t>[PDA05020] Willie Stacker - Seat Grey</t>
  </si>
  <si>
    <t>12052</t>
  </si>
  <si>
    <t>[PDA05018] Willie Stacker - Seat Blue</t>
  </si>
  <si>
    <t>SO/2025/1127</t>
  </si>
  <si>
    <t>12085 + 00606</t>
  </si>
  <si>
    <t>18L Tote Bin Bottom Yellow (102C) + [PBC06008] 18L Tote Bin 400x300x240 Yellow (102C)</t>
  </si>
  <si>
    <t>12087 + 00608</t>
  </si>
  <si>
    <t>[PBC01121] 18L Tote Bin Bottom Black 60% VIRGIN/40% BATTERY GRADE + [PBC05021] 18L Tote Bin 400x300x240 Black 60% VIRGIN/ 40% BATTERY GRADE</t>
  </si>
  <si>
    <t>12151</t>
  </si>
  <si>
    <t>12086 + 00607</t>
  </si>
  <si>
    <t>[PBC01006] 18L Tote Bin Bottom Pink (7424C) + [PBC06005] 18L Tote Bin 400x300x240 Pink with Pink Lid (7424C)</t>
  </si>
  <si>
    <t>SO/2025/0804</t>
  </si>
  <si>
    <t>12104 + 12105 + 00617</t>
  </si>
  <si>
    <t>SO/2025/1462</t>
  </si>
  <si>
    <t>12241</t>
  </si>
  <si>
    <t xml:space="preserve">
[PBE05021] Global032 Tray </t>
  </si>
  <si>
    <t>SO/2025/1576</t>
  </si>
  <si>
    <t>Dc Stock Replenishment</t>
  </si>
  <si>
    <t>12311</t>
  </si>
  <si>
    <t>12391</t>
  </si>
  <si>
    <t>[SL.FG.CP1.2.BK] 1.2m Corner Protector (Black)</t>
  </si>
  <si>
    <t>12412</t>
  </si>
  <si>
    <t>12419</t>
  </si>
  <si>
    <t>[SL.FG.CP1.2.RD] 1.2m Corner Protector (Red)</t>
  </si>
  <si>
    <t>12439</t>
  </si>
  <si>
    <t>12497</t>
  </si>
  <si>
    <t>SO/2025/1733</t>
  </si>
  <si>
    <t>12457</t>
  </si>
  <si>
    <t>[SL.FG.CP0.3.BL (ANC)] 12” X-treme Guard (50089-12) Blue - Ancra</t>
  </si>
  <si>
    <t>BLUE - 1.2M X 1.0M EXPORT</t>
  </si>
  <si>
    <t>DC Stock</t>
  </si>
  <si>
    <t>12519</t>
  </si>
  <si>
    <t>[SL.FG.CP0.3.BL] 0.3m Corner Protector (Blue)</t>
  </si>
  <si>
    <t>12458</t>
  </si>
  <si>
    <t xml:space="preserve"> [SL.FG.CP0.3.BK (ANC)] 12” X-treme Guard (50089-12) Black - Ancra</t>
  </si>
  <si>
    <t>B4002</t>
  </si>
  <si>
    <t>SO/2025/2145</t>
  </si>
  <si>
    <t>12546 + 00686</t>
  </si>
  <si>
    <t>[TTB01002] Access Box 300 Naked Lid [Gen] Black + [TTB03000] Access Box 300 Lid [Gen] Black</t>
  </si>
  <si>
    <t>SO/2025/2250</t>
  </si>
  <si>
    <t>12573</t>
  </si>
  <si>
    <t>12574</t>
  </si>
  <si>
    <t>12572</t>
  </si>
  <si>
    <t>[PDA05171] Willie Stacker - Seat Yellow</t>
  </si>
  <si>
    <t>12576</t>
  </si>
  <si>
    <t>[PDA05170] Willie Stacker - Seat Light Orange</t>
  </si>
  <si>
    <t>12575</t>
  </si>
  <si>
    <t>[PDA05168] Willie Stacker - Seat Orange</t>
  </si>
  <si>
    <t>12578</t>
  </si>
  <si>
    <t>[PDA05003] Willie Stacker - Back Blue</t>
  </si>
  <si>
    <t>12577</t>
  </si>
  <si>
    <t>[PDA05005] Willie Stacker - Back Grey</t>
  </si>
  <si>
    <t>12579</t>
  </si>
  <si>
    <t>[PDA05169] Willie Stacker - Back Orange</t>
  </si>
  <si>
    <t>12580</t>
  </si>
  <si>
    <t>[PDA05166] Willie Stacker - Back Light Orange</t>
  </si>
  <si>
    <t>12581</t>
  </si>
  <si>
    <t>[PDA05167] Willie Stacker - Back Yellow</t>
  </si>
  <si>
    <t>SO/2025/2101</t>
  </si>
  <si>
    <t>12559</t>
  </si>
  <si>
    <t>SO/2025/2099</t>
  </si>
  <si>
    <t>Aug</t>
  </si>
  <si>
    <t>12622 + 12623</t>
  </si>
  <si>
    <t>12739 + 12741</t>
  </si>
  <si>
    <t>N380</t>
  </si>
  <si>
    <t>SO/2025/2627</t>
  </si>
  <si>
    <t>12772</t>
  </si>
  <si>
    <t>12768</t>
  </si>
  <si>
    <t>12767</t>
  </si>
  <si>
    <t>12769</t>
  </si>
  <si>
    <t>12770</t>
  </si>
  <si>
    <t>12771</t>
  </si>
  <si>
    <t>SO/2025/2516</t>
  </si>
  <si>
    <t>Sept</t>
  </si>
  <si>
    <t>00724 + 01120</t>
  </si>
  <si>
    <t xml:space="preserve">SO to follow </t>
  </si>
  <si>
    <t>01115 + 00718</t>
  </si>
  <si>
    <t>SO/2025/2733</t>
  </si>
  <si>
    <t>00756 + 01156</t>
  </si>
  <si>
    <t>[PBC01103] 18L Tote Bin Bottom Red (2035C) +18LT Tote Bin 400x300x240 Red (2035C)</t>
  </si>
  <si>
    <t>SO/2025/2675</t>
  </si>
  <si>
    <t>00748 + 01149</t>
  </si>
  <si>
    <t>[PBC01151] Grey Basket (Build It) + [PBC06131] Grey Jumbo Basket (Build It)</t>
  </si>
  <si>
    <t>SO/2025/2668</t>
  </si>
  <si>
    <t>00747 + 01148</t>
  </si>
  <si>
    <t>[PBC06050] Grey Jumbo Basket + [PBC01076] Grey Basket</t>
  </si>
  <si>
    <t>SO/2025/2678</t>
  </si>
  <si>
    <t>00751 + 01152</t>
  </si>
  <si>
    <t>[PBC01077] Orange Basket +[PBC06051] Orange Jumbo Basket</t>
  </si>
  <si>
    <t>SO/2025/2677</t>
  </si>
  <si>
    <t>00750 + 01151</t>
  </si>
  <si>
    <t>[PBC01100] Yellow Basket + [PBC06055] Yellow Jumbo Basket</t>
  </si>
  <si>
    <t>SO/2025/2676</t>
  </si>
  <si>
    <t>00749 + 01150</t>
  </si>
  <si>
    <t>[PBC06049] Green Jumbo Basket + [PBC01075] Green Basket</t>
  </si>
  <si>
    <t>SO/2025/2667</t>
  </si>
  <si>
    <t>00746 + 01147</t>
  </si>
  <si>
    <t>[PBC01079] Red Basket + [PBC06053] Red Jumbo Basket</t>
  </si>
  <si>
    <t>SO/2025/2679</t>
  </si>
  <si>
    <t>00752 + 01153</t>
  </si>
  <si>
    <t xml:space="preserve">	[PBC01073] Black Basket + [PBC06047] Black Jumbo Basket</t>
  </si>
  <si>
    <t>Stock</t>
  </si>
  <si>
    <t xml:space="preserve">Oct </t>
  </si>
  <si>
    <t>13088</t>
  </si>
  <si>
    <t>SO/2025/3200</t>
  </si>
  <si>
    <t>Nov</t>
  </si>
  <si>
    <t>13113</t>
  </si>
  <si>
    <t>SO/2025/3199</t>
  </si>
  <si>
    <t>13179</t>
  </si>
  <si>
    <t>13175</t>
  </si>
  <si>
    <t>SO/2025/3198</t>
  </si>
  <si>
    <t>13112</t>
  </si>
  <si>
    <t>[SL.FG.CP1.2.BL (ANC)] 48" Corner Protector (Ancra-Blue)</t>
  </si>
  <si>
    <t>SO/2025/3197</t>
  </si>
  <si>
    <t>13110</t>
  </si>
  <si>
    <t>[SL.FG.CP1.0.BL (ANC)] 39” X-treme Guard (50089-39) Blue - Ancra</t>
  </si>
  <si>
    <t>13302</t>
  </si>
  <si>
    <t>13304</t>
  </si>
  <si>
    <t>SO/2025/4111</t>
  </si>
  <si>
    <t>13320</t>
  </si>
  <si>
    <t>13303</t>
  </si>
  <si>
    <t>SO/2025/4139</t>
  </si>
  <si>
    <t>13337</t>
  </si>
  <si>
    <t>[SL.FG.CP1.2.YL] 1.2m Corner Protector (Yellow)</t>
  </si>
  <si>
    <t>SO/2025/4155</t>
  </si>
  <si>
    <t>13338</t>
  </si>
  <si>
    <t>[SL.FG.CP1.2.GR] 1.2m Corner Protector (Green)</t>
  </si>
  <si>
    <t>13350</t>
  </si>
  <si>
    <t>13470</t>
  </si>
  <si>
    <t>13305</t>
  </si>
  <si>
    <t>13306</t>
  </si>
  <si>
    <t>SO/2026/0313</t>
  </si>
  <si>
    <t>Feb</t>
  </si>
  <si>
    <t>13612</t>
  </si>
  <si>
    <t>[PDA05015] Que Main Frame</t>
  </si>
  <si>
    <t>SO/2026/0324</t>
  </si>
  <si>
    <t>13591 + 00899</t>
  </si>
  <si>
    <t>13592 + 00900</t>
  </si>
  <si>
    <t>SO/2026/0166</t>
  </si>
  <si>
    <t>13551 + 00895</t>
  </si>
  <si>
    <t>Ancra SO/2026/0093</t>
  </si>
  <si>
    <t>13480</t>
  </si>
  <si>
    <t>[SL.FG.CP1.2.BL (ANC)] 48” X-treme Guard (50089-48) Blue- Ancra</t>
  </si>
  <si>
    <t>Stock Mandate</t>
  </si>
  <si>
    <t>Mar</t>
  </si>
  <si>
    <t>13693</t>
  </si>
  <si>
    <t xml:space="preserve"> [SL.FG.CP1.2.RD] 1.2m Corner Protector (Red)</t>
  </si>
  <si>
    <t>Incorrect cycle time</t>
  </si>
  <si>
    <t>13620</t>
  </si>
  <si>
    <t>13619</t>
  </si>
  <si>
    <t>Power outage</t>
  </si>
  <si>
    <t>13694</t>
  </si>
  <si>
    <t>13695</t>
  </si>
  <si>
    <t>13716</t>
  </si>
  <si>
    <t>13895</t>
  </si>
  <si>
    <t>[SL.FG.CP1.2.GY] 1.2m Corner Protector (Grey)</t>
  </si>
  <si>
    <t>13715</t>
  </si>
  <si>
    <t>April</t>
  </si>
  <si>
    <t>13708</t>
  </si>
  <si>
    <t>SO/2026/1317</t>
  </si>
  <si>
    <t>May</t>
  </si>
  <si>
    <t>13993</t>
  </si>
  <si>
    <t>SO/2026/1306</t>
  </si>
  <si>
    <t>13994</t>
  </si>
  <si>
    <t>H700</t>
  </si>
  <si>
    <t xml:space="preserve">Pro Wolf Pack Box Bottom   </t>
  </si>
  <si>
    <t>Print, Assemble and pack in boxes</t>
  </si>
  <si>
    <t>8374 &amp; Assembly</t>
  </si>
  <si>
    <t>DC STOCK - May</t>
  </si>
  <si>
    <t>8439</t>
  </si>
  <si>
    <t>1.2m Corner Protector (Blue)</t>
  </si>
  <si>
    <t>DC STOCK - June</t>
  </si>
  <si>
    <t>8511</t>
  </si>
  <si>
    <t>1.2m Corner Protector (Black)</t>
  </si>
  <si>
    <t>8555</t>
  </si>
  <si>
    <t>8440</t>
  </si>
  <si>
    <t>1.2m Corner Protector (Green)</t>
  </si>
  <si>
    <t>8575</t>
  </si>
  <si>
    <t>00060</t>
  </si>
  <si>
    <t xml:space="preserve"> 52L Tote Bin Bottom YELLOW (109C)</t>
  </si>
  <si>
    <t>00062</t>
  </si>
  <si>
    <t>[PBC01026] 52L Tote Bin Bottom YELLOW (102C)</t>
  </si>
  <si>
    <t>00056</t>
  </si>
  <si>
    <t xml:space="preserve"> 18L Tote Bin Bottom Black 9400</t>
  </si>
  <si>
    <t>00058</t>
  </si>
  <si>
    <t>[PBC01108] 18L Tote Bin Bottom YELLOW (109C)</t>
  </si>
  <si>
    <t>h7001</t>
  </si>
  <si>
    <t>00066</t>
  </si>
  <si>
    <t>[PBC01046] 68L Tote Bin Bottom PINK (7424C)</t>
  </si>
  <si>
    <t>00064</t>
  </si>
  <si>
    <t xml:space="preserve"> 68L Tote Bin Bottom YELLOW (109C)</t>
  </si>
  <si>
    <t>00070</t>
  </si>
  <si>
    <t>[PBC01039] 68L Tote Bin Bottom BLACK</t>
  </si>
  <si>
    <t>00068</t>
  </si>
  <si>
    <t>[PBC01040] 68L Tote Bin Bottom BLUE (2746C)</t>
  </si>
  <si>
    <t>SO/2023/0405, 0540, 3655</t>
  </si>
  <si>
    <t>00078</t>
  </si>
  <si>
    <t>[PGB05013] Pro Wolf Pack Box Bottom</t>
  </si>
  <si>
    <t>SO/2023/1663</t>
  </si>
  <si>
    <t>00079</t>
  </si>
  <si>
    <t>H7002</t>
  </si>
  <si>
    <t>SO2023/1542</t>
  </si>
  <si>
    <t>8700</t>
  </si>
  <si>
    <t>[PDA05021] Xenon Inner Frame</t>
  </si>
  <si>
    <t>h7002</t>
  </si>
  <si>
    <t>[PBC01124] 68L Tote Bin Bottom BLACK VIRGIN/BATTERY GRADE</t>
  </si>
  <si>
    <t>DC STOCK - July</t>
  </si>
  <si>
    <t>8685</t>
  </si>
  <si>
    <t>00417</t>
  </si>
  <si>
    <t>[PBC01040] 68L Tote Bin Bottom Blue (2746C)</t>
  </si>
  <si>
    <t>8779</t>
  </si>
  <si>
    <t>8778</t>
  </si>
  <si>
    <t>8719</t>
  </si>
  <si>
    <t>H750</t>
  </si>
  <si>
    <t>August stock replenishment</t>
  </si>
  <si>
    <t>8851</t>
  </si>
  <si>
    <t>[SL.FG.MC.20T.YL] Mighty Chock 20 Ton (Yellow)</t>
  </si>
  <si>
    <t>8906</t>
  </si>
  <si>
    <t>So2023/2018</t>
  </si>
  <si>
    <t>8922</t>
  </si>
  <si>
    <t>[PGB05025] Pro Wolf Pack Box Lid - High</t>
  </si>
  <si>
    <t>so2023/2549</t>
  </si>
  <si>
    <t>00137 &amp; 8975</t>
  </si>
  <si>
    <t>[PBC06055] Yellow Jumbo Basket</t>
  </si>
  <si>
    <t>So2023/1777</t>
  </si>
  <si>
    <t>00122 &amp; 8915</t>
  </si>
  <si>
    <t>[PBC06049] Green Jumbo Basket</t>
  </si>
  <si>
    <t>So2023/1762</t>
  </si>
  <si>
    <t>00123 &amp; 8916</t>
  </si>
  <si>
    <t>[PBC06053] Red Jumbo Basket</t>
  </si>
  <si>
    <t>So2023/1763</t>
  </si>
  <si>
    <t>00124 &amp; 8917</t>
  </si>
  <si>
    <t>[PBC06054] Red Jumbo Basket (Spar)</t>
  </si>
  <si>
    <t>00138 &amp; 8977</t>
  </si>
  <si>
    <t>[PBC06048] Blue Jumbo Basket</t>
  </si>
  <si>
    <t>So2023/1764</t>
  </si>
  <si>
    <t>00126&amp; 8918</t>
  </si>
  <si>
    <t>So2023/1765</t>
  </si>
  <si>
    <t>00125 &amp; 8919</t>
  </si>
  <si>
    <t>[PBC06050] Grey Jumbo Basket</t>
  </si>
  <si>
    <t>00127 &amp; 8921</t>
  </si>
  <si>
    <t>[PBC06047] Black Jumbo Basket</t>
  </si>
  <si>
    <t>8961</t>
  </si>
  <si>
    <t>SO2023/2657</t>
  </si>
  <si>
    <t>00150 &amp; 9093</t>
  </si>
  <si>
    <t>[PGB05013] Pro Wolf Pack Box Bottom &amp; [PGB06001] Pro Wolf Pack Box Assembled</t>
  </si>
  <si>
    <t>9029</t>
  </si>
  <si>
    <t>October Stock Replenishment</t>
  </si>
  <si>
    <t>9157</t>
  </si>
  <si>
    <t>9158</t>
  </si>
  <si>
    <t>9159</t>
  </si>
  <si>
    <t>9254</t>
  </si>
  <si>
    <t>S02023/3159</t>
  </si>
  <si>
    <t>9276</t>
  </si>
  <si>
    <t>Novmber Stock Replenishment</t>
  </si>
  <si>
    <t>9259</t>
  </si>
  <si>
    <t>00184+ 9326</t>
  </si>
  <si>
    <t>SO2023/3357</t>
  </si>
  <si>
    <t>9335</t>
  </si>
  <si>
    <t>DC Stock Replenishment</t>
  </si>
  <si>
    <t>9393</t>
  </si>
  <si>
    <t>9363</t>
  </si>
  <si>
    <t>Nov &amp; Dec Stock Replenishment</t>
  </si>
  <si>
    <t>9364</t>
  </si>
  <si>
    <t>9435</t>
  </si>
  <si>
    <t>November Stock Replenishmnet</t>
  </si>
  <si>
    <t>[TTA] Aerial Slack Bin Lid Pink (Vuma)</t>
  </si>
  <si>
    <t>SO2023/3531</t>
  </si>
  <si>
    <t>9483</t>
  </si>
  <si>
    <t>1.0m Corner Protector (Yellow) (BLANK LOGO)</t>
  </si>
  <si>
    <t>9436</t>
  </si>
  <si>
    <t>9560</t>
  </si>
  <si>
    <t>9651</t>
  </si>
  <si>
    <t>Ancra SO2023/2933</t>
  </si>
  <si>
    <t>9546</t>
  </si>
  <si>
    <t>[SL.FG.CP0.6.BL (ANC)] 24" Corner Protector (Ancra-Blue)</t>
  </si>
  <si>
    <t>9548</t>
  </si>
  <si>
    <t>9547</t>
  </si>
  <si>
    <t>December Ancra Stock</t>
  </si>
  <si>
    <t>9576</t>
  </si>
  <si>
    <t>SO2023/3364</t>
  </si>
  <si>
    <t>9550</t>
  </si>
  <si>
    <t>[PDA05023] Xenon Main Frame</t>
  </si>
  <si>
    <t>SO2023/3721</t>
  </si>
  <si>
    <t>9734+00238</t>
  </si>
  <si>
    <t>SO2023/3871</t>
  </si>
  <si>
    <t>0225+9658</t>
  </si>
  <si>
    <t>SO2023/3365</t>
  </si>
  <si>
    <t>9887</t>
  </si>
  <si>
    <t>January Stock Replenishment</t>
  </si>
  <si>
    <t>9689</t>
  </si>
  <si>
    <t>SO/2024/3942</t>
  </si>
  <si>
    <t>0234+9714</t>
  </si>
  <si>
    <t>SO/2024/0040</t>
  </si>
  <si>
    <t>0235+ 9715</t>
  </si>
  <si>
    <t>SO/2024/0109</t>
  </si>
  <si>
    <t>00242+9779</t>
  </si>
  <si>
    <t>SO2023/3781</t>
  </si>
  <si>
    <t>00223 + 9632</t>
  </si>
  <si>
    <t>SO/2024/0296</t>
  </si>
  <si>
    <t>00254 + 9968</t>
  </si>
  <si>
    <t xml:space="preserve">March Stock Replenishment </t>
  </si>
  <si>
    <t>[SL.P.MX5.B.BK.R] Maxi 500 Base Repellet (Black)</t>
  </si>
  <si>
    <t>SO2024/0440</t>
  </si>
  <si>
    <t>10039</t>
  </si>
  <si>
    <t>10095</t>
  </si>
  <si>
    <t>[SL.P.DTB12.LS.BK.R] DTB12 Naked Lid Battery Grade (Black) Safeload</t>
  </si>
  <si>
    <t>10094</t>
  </si>
  <si>
    <t>[HF.P.DTB12.LS.BK.R] DTB12 Naked Lid Battery Grade (Black) HFT</t>
  </si>
  <si>
    <t>SO2024/0387</t>
  </si>
  <si>
    <t>10010</t>
  </si>
  <si>
    <t>[PBC01017] 52L Tote Bin Bottom Black</t>
  </si>
  <si>
    <t>10066</t>
  </si>
  <si>
    <t>[PBC01141] 52L Tote Bin Bottom Grey (L36844A)</t>
  </si>
  <si>
    <t>SO/2024/0319</t>
  </si>
  <si>
    <t>00257 + 9996</t>
  </si>
  <si>
    <t>SO/2024/0340</t>
  </si>
  <si>
    <t>00258 + 9997</t>
  </si>
  <si>
    <t>SO/2024/0762</t>
  </si>
  <si>
    <t>10203</t>
  </si>
  <si>
    <t xml:space="preserve">[PGB05013] Pro Wolf Pack Box Bottom   </t>
  </si>
  <si>
    <t>SO/2024/0762 - Container 2 54 on a pallet</t>
  </si>
  <si>
    <t>10255</t>
  </si>
  <si>
    <t>00281 &amp; '10271</t>
  </si>
  <si>
    <t>SO/2024/0762 - local 48 on a pallet</t>
  </si>
  <si>
    <t>10258</t>
  </si>
  <si>
    <t>00282 &amp; 10272</t>
  </si>
  <si>
    <t>SO/2024/0762 - Container 3 54 on a pallet</t>
  </si>
  <si>
    <t>10256</t>
  </si>
  <si>
    <t>SO/2024/0762 - Container 4 54 on a pallet</t>
  </si>
  <si>
    <t>10257</t>
  </si>
  <si>
    <t>00283 &amp; 10273</t>
  </si>
  <si>
    <t>SO/2024/0762 - Container 5 54 on a pallet</t>
  </si>
  <si>
    <t>10377</t>
  </si>
  <si>
    <t>00284 &amp; 10274</t>
  </si>
  <si>
    <t>10394</t>
  </si>
  <si>
    <t>10405</t>
  </si>
  <si>
    <t>SO/2024/1483</t>
  </si>
  <si>
    <t>10461 + 00320</t>
  </si>
  <si>
    <t>SO2024/1508</t>
  </si>
  <si>
    <t>10462 + 00321</t>
  </si>
  <si>
    <t>SO/2024/1494</t>
  </si>
  <si>
    <t>10466</t>
  </si>
  <si>
    <t>[PBC01048] 68L Tote Bin Bottom Red (2035C)</t>
  </si>
  <si>
    <t>SO2024/1631</t>
  </si>
  <si>
    <t>10553 + 00327</t>
  </si>
  <si>
    <t>SO/2024/1778</t>
  </si>
  <si>
    <t>10593 + 00716</t>
  </si>
  <si>
    <t>[PBC01148] 18L Tote Bin Bottom Orange (164C) + 18L Tote Bin 400x300x240 Orange Bin (164c) with Orange Lid (164c)</t>
  </si>
  <si>
    <t>SO/2024/1888</t>
  </si>
  <si>
    <t>10659</t>
  </si>
  <si>
    <t>[PBC01042] 68L Tote Bin Bottom Grey (429C)</t>
  </si>
  <si>
    <t>SO2024/1965</t>
  </si>
  <si>
    <t>10682 + 00356</t>
  </si>
  <si>
    <t>SO2024/2136</t>
  </si>
  <si>
    <t>10797 + 00369</t>
  </si>
  <si>
    <t>SO/2024/2220</t>
  </si>
  <si>
    <t>10815</t>
  </si>
  <si>
    <t>SO/2024/2316</t>
  </si>
  <si>
    <t>10871</t>
  </si>
  <si>
    <t>SO/2024/2338</t>
  </si>
  <si>
    <t>10883 + 00392</t>
  </si>
  <si>
    <t>[PBC01048] 68L Tote Bin Bottom Red (2035C) + [PBC06033] 68L Tote Bin 600x400x365 Red (2035C)</t>
  </si>
  <si>
    <t>10882 + 00391</t>
  </si>
  <si>
    <t>[PBC01046] 68L Tote Bin Bottom Pink (7424C) + [PBC06031] 68L Tote Bin 600x400x365 Pink (7424C)</t>
  </si>
  <si>
    <t>10887 + 00393</t>
  </si>
  <si>
    <t>[PBC01041] 68L Tote Bin Bottom Green (3405C) + [PBC06026] 68L Tote Bin 600x400x365 Green (3405C)</t>
  </si>
  <si>
    <t>SO/2024/2210</t>
  </si>
  <si>
    <t>10798 + 00382</t>
  </si>
  <si>
    <t>[PBC01040] 68L Tote Bin Bottom Blue (2746C) + [PBC06025] 68L Tote Bin 600x400x365 Blue (2746C)</t>
  </si>
  <si>
    <t>SO/2024/2270</t>
  </si>
  <si>
    <t>10843 + 00390</t>
  </si>
  <si>
    <t>[PGB05025] Pro Wolf Pack Box Lid - High &amp; [PGBO6003] Pro Wolf Pack Box Hi Lid Assembled</t>
  </si>
  <si>
    <t>10842 + 00399</t>
  </si>
  <si>
    <t>[PGB05013] Pro Wolf Pack Box Bottom &amp; [PGB06004] Pro Wolf Pack High Lid Box Fully Assembled</t>
  </si>
  <si>
    <t>10898</t>
  </si>
  <si>
    <t>10899</t>
  </si>
  <si>
    <t>SO/2024/2388</t>
  </si>
  <si>
    <t>10916 + 00397</t>
  </si>
  <si>
    <t>Adrian</t>
  </si>
  <si>
    <t xml:space="preserve">11022 + 00426 </t>
  </si>
  <si>
    <t>11021</t>
  </si>
  <si>
    <t>SO/2024/2391</t>
  </si>
  <si>
    <t>11018</t>
  </si>
  <si>
    <t>SO/2024/2602</t>
  </si>
  <si>
    <t>11028 + 00413</t>
  </si>
  <si>
    <t>10983</t>
  </si>
  <si>
    <t>11058</t>
  </si>
  <si>
    <t>11059</t>
  </si>
  <si>
    <t>SO/2024/2766</t>
  </si>
  <si>
    <t>11120 + 00442</t>
  </si>
  <si>
    <t>SO/2024/2764</t>
  </si>
  <si>
    <t>11121 + 00443</t>
  </si>
  <si>
    <t>SO/2024/2809</t>
  </si>
  <si>
    <t>11160 + 00449</t>
  </si>
  <si>
    <t>[PBC01149] 68L Tote Bin Bottom Grey (L36844A)+[PBC06128] 68L Tote Bin 600x400x365 Grey (L36844A)</t>
  </si>
  <si>
    <t>SO/2024/2907</t>
  </si>
  <si>
    <t>11224 + 00466</t>
  </si>
  <si>
    <t>November Stock Replenishment</t>
  </si>
  <si>
    <t>11243</t>
  </si>
  <si>
    <t>SO/2024/2906</t>
  </si>
  <si>
    <t>11222 + 00465</t>
  </si>
  <si>
    <t>[PBC01042] 68L Tote Bin Bottom Grey (429C) + [PBC06027] 68L Tote Bin 600x400x365 Grey (429C) (Property of GLS Supply Chain Equipment)</t>
  </si>
  <si>
    <t>SO/2024/2946</t>
  </si>
  <si>
    <t>11241 + 00470</t>
  </si>
  <si>
    <t>11319 + 00471</t>
  </si>
  <si>
    <t>[PBC01124] 68L Tote Bin Bottom BLACK VIRGIN/BATTERY GRADE + [PBC05022] 68L Tote Bin 600x400x365 Black VIRGIN/BATTERY GRADE</t>
  </si>
  <si>
    <t>11163 + 00447</t>
  </si>
  <si>
    <t>[PBC01139] 18L Tote Bin Bottom Grey (L36844A) + [PBC06126] 18L Tote Bin 400x300x240 Grey (L36844A)</t>
  </si>
  <si>
    <t>11240 + 00469</t>
  </si>
  <si>
    <t>[PBC01002] 18L Tote Bin Bottom Blue (2746C) + [PBC06002] 18L Tote Bin 400x300x240 Blue (2746C)</t>
  </si>
  <si>
    <t>SO/2024/2802</t>
  </si>
  <si>
    <t>11158 + 00446</t>
  </si>
  <si>
    <t>december SO/2024/2888</t>
  </si>
  <si>
    <t>11187 + 00454</t>
  </si>
  <si>
    <t>january SO/2024/2888</t>
  </si>
  <si>
    <t>11188 + 00455</t>
  </si>
  <si>
    <t>Ancra SO2024/2655</t>
  </si>
  <si>
    <t>11258</t>
  </si>
  <si>
    <t xml:space="preserve">	[SL.FG.CP0.6.BL (ANC)] 24” X-treme Guard (50089-24) Blue - Ancra</t>
  </si>
  <si>
    <t>11259</t>
  </si>
  <si>
    <t>11260</t>
  </si>
  <si>
    <t>11461</t>
  </si>
  <si>
    <t>11458</t>
  </si>
  <si>
    <t>11459</t>
  </si>
  <si>
    <t>11460</t>
  </si>
  <si>
    <t>11542</t>
  </si>
  <si>
    <t>11577</t>
  </si>
  <si>
    <t>SO/2024/</t>
  </si>
  <si>
    <t>11537 + 00518</t>
  </si>
  <si>
    <t>11539 + 00519</t>
  </si>
  <si>
    <t>Local Order no lebel</t>
  </si>
  <si>
    <t>11536</t>
  </si>
  <si>
    <t>11578</t>
  </si>
  <si>
    <t>11639</t>
  </si>
  <si>
    <t>11697</t>
  </si>
  <si>
    <t>11733</t>
  </si>
  <si>
    <t>[SL.FG.CP1.2.BK-R] 1.2m Corner Protector (Black-R)</t>
  </si>
  <si>
    <t>11576</t>
  </si>
  <si>
    <t>SO/2025/0245</t>
  </si>
  <si>
    <t>11649 + 00531</t>
  </si>
  <si>
    <t>February Stock Replenishment</t>
  </si>
  <si>
    <t>11696</t>
  </si>
  <si>
    <t>11764</t>
  </si>
  <si>
    <t>11763</t>
  </si>
  <si>
    <t>11813</t>
  </si>
  <si>
    <t>SO/2025/0542</t>
  </si>
  <si>
    <t>11809 + 00570</t>
  </si>
  <si>
    <t xml:space="preserve"> 11843 + 00574</t>
  </si>
  <si>
    <t>[PBC01047] 68L Tote Bin Bottom PnP Blue (295 C)+[PBC06032] 68L Tote Bin 600x400x365 PnP Blue &amp; PnP Red (Pick n Pay)</t>
  </si>
  <si>
    <t>SO/2025/0780</t>
  </si>
  <si>
    <t>11890 + 00583</t>
  </si>
  <si>
    <t>USA Ancra SO/2025/0441</t>
  </si>
  <si>
    <t>11805</t>
  </si>
  <si>
    <t xml:space="preserve">April Stock Replenishment </t>
  </si>
  <si>
    <t>11963</t>
  </si>
  <si>
    <t>[SL.P.MX7.L.CP.BL] Maxi 700 Lid with compartments (Blue)</t>
  </si>
  <si>
    <t>SO/2025/0863</t>
  </si>
  <si>
    <t>11977 + 00595</t>
  </si>
  <si>
    <t>11978</t>
  </si>
  <si>
    <t>SO/2025/0539</t>
  </si>
  <si>
    <t>11932</t>
  </si>
  <si>
    <t>[PCF05025] 700mm Bases</t>
  </si>
  <si>
    <t>12006</t>
  </si>
  <si>
    <t>SO/2025/0963</t>
  </si>
  <si>
    <t>12044</t>
  </si>
  <si>
    <t>SO/2025/0606</t>
  </si>
  <si>
    <t>12019</t>
  </si>
  <si>
    <t>12057</t>
  </si>
  <si>
    <t>12058</t>
  </si>
  <si>
    <t>12135</t>
  </si>
  <si>
    <t>12176</t>
  </si>
  <si>
    <t>12177</t>
  </si>
  <si>
    <t>SO/2025/1226</t>
  </si>
  <si>
    <t>12162</t>
  </si>
  <si>
    <t xml:space="preserve">[PGB05013] Pro Wolf Pack Box Bottom </t>
  </si>
  <si>
    <t>SO/2025/0387</t>
  </si>
  <si>
    <t>12207</t>
  </si>
  <si>
    <t>12206</t>
  </si>
  <si>
    <t>SO/2025/1178</t>
  </si>
  <si>
    <t>12217</t>
  </si>
  <si>
    <t>Dc Stock Replenishment /june</t>
  </si>
  <si>
    <t>12236</t>
  </si>
  <si>
    <t>12218</t>
  </si>
  <si>
    <t>12219</t>
  </si>
  <si>
    <t>12220</t>
  </si>
  <si>
    <t>12262</t>
  </si>
  <si>
    <t>12242</t>
  </si>
  <si>
    <t>12243</t>
  </si>
  <si>
    <t>SO/2025/1397 June</t>
  </si>
  <si>
    <t>12221 + 00630</t>
  </si>
  <si>
    <t>SO/2025/1660 June</t>
  </si>
  <si>
    <t>12345 + 00652</t>
  </si>
  <si>
    <t>12400</t>
  </si>
  <si>
    <t>12403</t>
  </si>
  <si>
    <t>12401</t>
  </si>
  <si>
    <t>12402</t>
  </si>
  <si>
    <t>[SL.P.MX5.L.CP.PK] Maxi 500 Lid with compartments (Pink)</t>
  </si>
  <si>
    <t>12399</t>
  </si>
  <si>
    <t>SO/2025/1963</t>
  </si>
  <si>
    <t>12443</t>
  </si>
  <si>
    <t>[PBC01058] 68L Tote Bin Lid Pink (7424C)</t>
  </si>
  <si>
    <t>12444</t>
  </si>
  <si>
    <t>12442</t>
  </si>
  <si>
    <t>SO/2025/2073</t>
  </si>
  <si>
    <t>12493 + 00679</t>
  </si>
  <si>
    <t>12494 + 00680</t>
  </si>
  <si>
    <t xml:space="preserve">[PGB05013] Pro Wolf Pack Box Bottom &amp; [PGB06004] Pro Wolf Pack High Lid Box Fully Assembled	</t>
  </si>
  <si>
    <t>12536</t>
  </si>
  <si>
    <t>12534</t>
  </si>
  <si>
    <t>12496 + 00682</t>
  </si>
  <si>
    <t>[PGB06003] Pro Wolf Pack Box Hi Lid Assembled + [PGB05025] Pro Wolf Pack Box Lid - High</t>
  </si>
  <si>
    <t>SO/2025/2210</t>
  </si>
  <si>
    <t>12564 + 00690</t>
  </si>
  <si>
    <t>SO/2025/2142</t>
  </si>
  <si>
    <t>12565</t>
  </si>
  <si>
    <t>SO/2025/2274</t>
  </si>
  <si>
    <t>12582</t>
  </si>
  <si>
    <t>12566</t>
  </si>
  <si>
    <t>SO/2025/2329</t>
  </si>
  <si>
    <t>12672</t>
  </si>
  <si>
    <t>12706</t>
  </si>
  <si>
    <t>SO/2025/2337</t>
  </si>
  <si>
    <t>12654</t>
  </si>
  <si>
    <t>SO/2025/2421</t>
  </si>
  <si>
    <t>12677</t>
  </si>
  <si>
    <t>Sep</t>
  </si>
  <si>
    <t>00725 +  01121</t>
  </si>
  <si>
    <t xml:space="preserve">So to follow </t>
  </si>
  <si>
    <t>01116 + 00720</t>
  </si>
  <si>
    <t>00726 + 01122</t>
  </si>
  <si>
    <t>SO/2025/2624</t>
  </si>
  <si>
    <t>01128 + 00736</t>
  </si>
  <si>
    <t>SO/2025/2809</t>
  </si>
  <si>
    <t>01161 +  00758</t>
  </si>
  <si>
    <t>SO/2025/2918</t>
  </si>
  <si>
    <t>12913</t>
  </si>
  <si>
    <t>SO/2933</t>
  </si>
  <si>
    <t>Oct</t>
  </si>
  <si>
    <t>12965</t>
  </si>
  <si>
    <t>SO/2025/3128</t>
  </si>
  <si>
    <t>13065</t>
  </si>
  <si>
    <t>SO/2025/3018</t>
  </si>
  <si>
    <t>13022</t>
  </si>
  <si>
    <t>13023</t>
  </si>
  <si>
    <t>SO/2025/3141</t>
  </si>
  <si>
    <t>13092</t>
  </si>
  <si>
    <t>[PGA05033] Float Top Blue</t>
  </si>
  <si>
    <t>So to follow</t>
  </si>
  <si>
    <t>12972</t>
  </si>
  <si>
    <t>[PCF05024] 600mm Bases</t>
  </si>
  <si>
    <t>SO/2025/3256</t>
  </si>
  <si>
    <t>13123</t>
  </si>
  <si>
    <t>SO/20253517</t>
  </si>
  <si>
    <t>13237</t>
  </si>
  <si>
    <t>SO/2025/3392</t>
  </si>
  <si>
    <t>SO/2025/2690</t>
  </si>
  <si>
    <t>13289 + 00841</t>
  </si>
  <si>
    <t>SO/2025/2688</t>
  </si>
  <si>
    <t>13290 + 00842</t>
  </si>
  <si>
    <t>SO/2025/3425</t>
  </si>
  <si>
    <t>13310 + 00845</t>
  </si>
  <si>
    <t>[PBC01074] Blue Basket + [PBC06048] Blue Jumbo Basket</t>
  </si>
  <si>
    <t>13291 + 00843</t>
  </si>
  <si>
    <t>[PBC01073] Black Basket + [PBC06047] Black Jumbo Basket</t>
  </si>
  <si>
    <t>SO/2025/3746</t>
  </si>
  <si>
    <t>13288 + 00840</t>
  </si>
  <si>
    <t>13299</t>
  </si>
  <si>
    <t>13300</t>
  </si>
  <si>
    <t>SO/2025/3936</t>
  </si>
  <si>
    <t>13335</t>
  </si>
  <si>
    <t>[PBE05036] Global032 Tray (Proptek)</t>
  </si>
  <si>
    <t>RED - 1.0M X 0.9M EXPORT</t>
  </si>
  <si>
    <t>SO/2025/4083</t>
  </si>
  <si>
    <t>13316 + 13317 + 00846</t>
  </si>
  <si>
    <t>SO/2025/4543</t>
  </si>
  <si>
    <t>Dec</t>
  </si>
  <si>
    <t>13365</t>
  </si>
  <si>
    <t>[PBC01121] 18L Tote Bin Bottom Black 60% VIRGIN/40% BATTERY GRADE</t>
  </si>
  <si>
    <t>13366</t>
  </si>
  <si>
    <t>[PBC01002] 18L Tote Bin Bottom Blue (2746C)</t>
  </si>
  <si>
    <t xml:space="preserve">December Stock Replenishment </t>
  </si>
  <si>
    <t>13357</t>
  </si>
  <si>
    <t>13358</t>
  </si>
  <si>
    <t>SO/2025/4574</t>
  </si>
  <si>
    <t>Jan</t>
  </si>
  <si>
    <t>13431</t>
  </si>
  <si>
    <t>SO/2026/0001</t>
  </si>
  <si>
    <t>13449</t>
  </si>
  <si>
    <t>SO/2026/0152</t>
  </si>
  <si>
    <t>13481</t>
  </si>
  <si>
    <t>13387</t>
  </si>
  <si>
    <t>[SL.P.MX7.L.CP.PK] Maxi 700 Lid with compartments (Pink)</t>
  </si>
  <si>
    <t>13388</t>
  </si>
  <si>
    <t>[SL.P.MX7.L.CP.GR] Maxi 700 Lid with compartments (Green)</t>
  </si>
  <si>
    <t xml:space="preserve">Jan-Mar Stock Replenishment  </t>
  </si>
  <si>
    <t>13525 + 00883</t>
  </si>
  <si>
    <t>SO/2026/0393</t>
  </si>
  <si>
    <t>13621 + 00905</t>
  </si>
  <si>
    <t>[PBC06052] Pink Jumbo Basket + [PBC01078] Pink Basket</t>
  </si>
  <si>
    <t>13526 + 00885</t>
  </si>
  <si>
    <t>13527 + 00884</t>
  </si>
  <si>
    <t>13530 + 00888</t>
  </si>
  <si>
    <t>13528 + 00886</t>
  </si>
  <si>
    <t>13529 + 00887</t>
  </si>
  <si>
    <t>SO/2026/0320</t>
  </si>
  <si>
    <t>13600 + 00903</t>
  </si>
  <si>
    <t>[PGB05013] Pro Wolf Pack Box Bottom + [PGB06001] Pro Wolf Pack Box Assembled with Base</t>
  </si>
  <si>
    <t>Feb Stock Replenishment</t>
  </si>
  <si>
    <t>13666</t>
  </si>
  <si>
    <t>Material issue</t>
  </si>
  <si>
    <t>SO/20260779</t>
  </si>
  <si>
    <t>13701</t>
  </si>
  <si>
    <t xml:space="preserve">Stock Mandate </t>
  </si>
  <si>
    <t>13699 + 00917</t>
  </si>
  <si>
    <t>[TTB01001] Access Box 300 Chamber Black + [TTB05000] Access Box 300 [GEN]</t>
  </si>
  <si>
    <t>13750 + 13751</t>
  </si>
  <si>
    <t>SO/2026/1004</t>
  </si>
  <si>
    <t>13800 + 00939</t>
  </si>
  <si>
    <t>13799 + 00938</t>
  </si>
  <si>
    <t>13798 + 00937</t>
  </si>
  <si>
    <t>13794 + 00935</t>
  </si>
  <si>
    <t>SO/2026/0984</t>
  </si>
  <si>
    <t>13803 + 00942</t>
  </si>
  <si>
    <t>13802 + 00941</t>
  </si>
  <si>
    <t>SO/2026/1078</t>
  </si>
  <si>
    <t>13837 + 00946</t>
  </si>
  <si>
    <t>13801 + 00940</t>
  </si>
  <si>
    <t>SO/2026/1083</t>
  </si>
  <si>
    <t>13839 + 00948</t>
  </si>
  <si>
    <t>SO/2026/1084</t>
  </si>
  <si>
    <t>13838 + 00947</t>
  </si>
  <si>
    <t>SO/2026/1077</t>
  </si>
  <si>
    <t>13840 + 00949</t>
  </si>
  <si>
    <t>SO/2026/1075</t>
  </si>
  <si>
    <t>13841 + 00950</t>
  </si>
  <si>
    <t>13845 + 00951</t>
  </si>
  <si>
    <t>[PBC01079] Red Basket + [PBC06054] Red Jumbo Basket (Spar)</t>
  </si>
  <si>
    <t>SO/2026/1082</t>
  </si>
  <si>
    <t xml:space="preserve"> 13846 + 00952</t>
  </si>
  <si>
    <t>SO/2026/1297</t>
  </si>
  <si>
    <t>13948 + 13949</t>
  </si>
  <si>
    <t>SO/2026/1080</t>
  </si>
  <si>
    <t xml:space="preserve"> 13836 + 00944 </t>
  </si>
  <si>
    <t>April Stock Replenishment</t>
  </si>
  <si>
    <t>13962</t>
  </si>
  <si>
    <t>Stock Replenishment</t>
  </si>
  <si>
    <t>14018</t>
  </si>
  <si>
    <t>14019</t>
  </si>
  <si>
    <t>[SL.P.MX7.L.CP.YL] Maxi 700 Lid with compartments (Yellow)</t>
  </si>
  <si>
    <t>14020</t>
  </si>
  <si>
    <t>14021</t>
  </si>
  <si>
    <t>14022</t>
  </si>
  <si>
    <t>[SL.P.MX7.L.CP.BK] Maxi 700 Lid with compartments (Black)</t>
  </si>
  <si>
    <t>SO/2026//0887</t>
  </si>
  <si>
    <t>14054 + 14055</t>
  </si>
  <si>
    <t>SO/2026/1232</t>
  </si>
  <si>
    <t>13971</t>
  </si>
  <si>
    <t>13968</t>
  </si>
  <si>
    <t>14103</t>
  </si>
  <si>
    <t>13972</t>
  </si>
  <si>
    <t>SO/2026/1448</t>
  </si>
  <si>
    <t>14048</t>
  </si>
  <si>
    <t>14049</t>
  </si>
  <si>
    <t xml:space="preserve">Trail </t>
  </si>
  <si>
    <t xml:space="preserve">[PBE05002] 128S67I Tray </t>
  </si>
  <si>
    <t>SO/2022/3254</t>
  </si>
  <si>
    <t>Blue Ribbon Classic Dolly (Complete)</t>
  </si>
  <si>
    <t>MAXI 700 LID WITH COMPARTMENTS (BLUE)</t>
  </si>
  <si>
    <t>MAXI 700 LID WITH COMPARTMENTS (GREEN)</t>
  </si>
  <si>
    <t>MAXI 500 LID WITH COMPARTMENTS (BLUE)</t>
  </si>
  <si>
    <t>MAXI 500 LID WITH COMPARTMENTS (YELLOW)</t>
  </si>
  <si>
    <t>SO/2022/3456 - JAN</t>
  </si>
  <si>
    <t>SO/2022/3549</t>
  </si>
  <si>
    <t>SO/2022/3558</t>
  </si>
  <si>
    <t>FRONT RUNNER - PRO WOLF PACK HIGH LID</t>
  </si>
  <si>
    <t>WH/MO/07742</t>
  </si>
  <si>
    <t>18L Tote Bin Bottom Blue (2746C)</t>
  </si>
  <si>
    <t>WH/MO/07743</t>
  </si>
  <si>
    <t>18L Tote Bin Bottom Red (2035C)</t>
  </si>
  <si>
    <t>18L Tote Bin Bottom Green (361C)</t>
  </si>
  <si>
    <t>FEB</t>
  </si>
  <si>
    <t>SO/2022/3591-mar</t>
  </si>
  <si>
    <t>new order</t>
  </si>
  <si>
    <t>00318ASS+07991</t>
  </si>
  <si>
    <t>Access Box 300 Lid [Gen] Black</t>
  </si>
  <si>
    <t>SO/2023/0484</t>
  </si>
  <si>
    <t>08010</t>
  </si>
  <si>
    <t>Que Main Frame</t>
  </si>
  <si>
    <t>08017</t>
  </si>
  <si>
    <t>Que Inner Frame</t>
  </si>
  <si>
    <t>APRIL + MAY ORDER</t>
  </si>
  <si>
    <t>07538</t>
  </si>
  <si>
    <t>700mm Bases</t>
  </si>
  <si>
    <t>SO/2023/0390 - DEL 14 APRIL</t>
  </si>
  <si>
    <t>08030</t>
  </si>
  <si>
    <t>[PDA06035] IWC Splash Tray PPFR</t>
  </si>
  <si>
    <t>SO/2023/0390 - DEL 10 MAY</t>
  </si>
  <si>
    <t>08050</t>
  </si>
  <si>
    <t>[PGA05012] Splash Tray (Virgin Polyprop)</t>
  </si>
  <si>
    <t>08225</t>
  </si>
  <si>
    <t>DELIVER 10 MAY</t>
  </si>
  <si>
    <t>8401</t>
  </si>
  <si>
    <t>08281+00025</t>
  </si>
  <si>
    <t>08282+00026</t>
  </si>
  <si>
    <t>so2023/1438</t>
  </si>
  <si>
    <t>00044</t>
  </si>
  <si>
    <t>[PBC01025] 52l TOTE BIN BOTTOM RED</t>
  </si>
  <si>
    <t>So2023/1437</t>
  </si>
  <si>
    <t>00042</t>
  </si>
  <si>
    <t>[PBC01017] 52l TOTE BIN BOTTOM BLACK</t>
  </si>
  <si>
    <t>7912</t>
  </si>
  <si>
    <t>600mm Bases</t>
  </si>
  <si>
    <t>00071</t>
  </si>
  <si>
    <t>[PBC01051] 68L Tote Bin Lid BLACK</t>
  </si>
  <si>
    <t>00065</t>
  </si>
  <si>
    <t xml:space="preserve"> 68L Tote Bin Lid YELLOW (109C)</t>
  </si>
  <si>
    <t>00067</t>
  </si>
  <si>
    <t>[PBC01058] 68L Tote Bin Lid PINK (7424C)</t>
  </si>
  <si>
    <t>00069</t>
  </si>
  <si>
    <t>[PBC01052] 68L Tote Bin Lid BLUE (2746C)</t>
  </si>
  <si>
    <t>00073</t>
  </si>
  <si>
    <t>SO2023/1635</t>
  </si>
  <si>
    <t>8568 &amp; 000393</t>
  </si>
  <si>
    <t>Blue Ribbon Classic Dolly (Incomplete) &amp; Blue Ribbon Classic Dolly (Complete, castors pre-paid)</t>
  </si>
  <si>
    <t>8654</t>
  </si>
  <si>
    <t>8624</t>
  </si>
  <si>
    <t>So2023/1731</t>
  </si>
  <si>
    <t>8622</t>
  </si>
  <si>
    <t>[PBC01026] 52L Tote Bin Bottom Yellow (102C)</t>
  </si>
  <si>
    <t>SO2023/1761 &amp; 1762</t>
  </si>
  <si>
    <t>00082 &amp; 8626</t>
  </si>
  <si>
    <t>SO2023/1787, 1788</t>
  </si>
  <si>
    <t>00085 &amp; 8629</t>
  </si>
  <si>
    <t>SO2023/1787, 1789</t>
  </si>
  <si>
    <t>00108 &amp; 8747</t>
  </si>
  <si>
    <t>SO2023/1775, 1776,1777,178,179 &amp; 1780</t>
  </si>
  <si>
    <t>00083 &amp; 8627</t>
  </si>
  <si>
    <t>SO2023/1781, 1782</t>
  </si>
  <si>
    <t>00084 &amp; 8628</t>
  </si>
  <si>
    <t>00081 &amp; 8625</t>
  </si>
  <si>
    <t>SO2023/1794, 1795</t>
  </si>
  <si>
    <t>00088 &amp; 8631</t>
  </si>
  <si>
    <t>SO2023/1987</t>
  </si>
  <si>
    <t>8736 &amp; 000428</t>
  </si>
  <si>
    <t>[PBC06087] Blue Ribbon Classic Dolly (Incomplete) &amp; [PBC06086] Blue Ribbon Classic Dolly (Complete, castors pre-paid)</t>
  </si>
  <si>
    <t>SO2023/1708</t>
  </si>
  <si>
    <t>00106</t>
  </si>
  <si>
    <t>[TTA01000] Aerial Slack Bin Naked Base Black</t>
  </si>
  <si>
    <t>00106 &amp; 00107</t>
  </si>
  <si>
    <t>[TTA01001] Aerial Slack Bin Lid Black &amp; [TTA07000] Aerial Slack Bin Black &amp; GS Bracket</t>
  </si>
  <si>
    <t>DC STOCK-August</t>
  </si>
  <si>
    <t>8868</t>
  </si>
  <si>
    <t>8869</t>
  </si>
  <si>
    <t>8870</t>
  </si>
  <si>
    <t>8872</t>
  </si>
  <si>
    <t>8873</t>
  </si>
  <si>
    <t>8874</t>
  </si>
  <si>
    <t>[SL.FG.CP1.2.BL] 1.2m Corner Protector (Yellow)</t>
  </si>
  <si>
    <t>8908</t>
  </si>
  <si>
    <t>[SL.FG.CP1.2.YL] 1.2m Corner Protector (Blue)</t>
  </si>
  <si>
    <t>SO2023/2437</t>
  </si>
  <si>
    <t>00128 &amp; 8923</t>
  </si>
  <si>
    <t>00143 &amp; 8995</t>
  </si>
  <si>
    <t>9030</t>
  </si>
  <si>
    <t>Ancra SO2023/2511,SO2023/2522</t>
  </si>
  <si>
    <t>8951</t>
  </si>
  <si>
    <t>SO20203/2523</t>
  </si>
  <si>
    <t>9006</t>
  </si>
  <si>
    <t>[PBC01018] 52L Tote Bin Bottom Blue (2746C)</t>
  </si>
  <si>
    <t>SO2023/2943</t>
  </si>
  <si>
    <t>9211</t>
  </si>
  <si>
    <t>SO/2023/2726</t>
  </si>
  <si>
    <t>9232</t>
  </si>
  <si>
    <t>[PDA05002] Back Black</t>
  </si>
  <si>
    <t>9233</t>
  </si>
  <si>
    <t>[PDA05017] Seat Black</t>
  </si>
  <si>
    <t>SO2023/2897</t>
  </si>
  <si>
    <t>9172</t>
  </si>
  <si>
    <t>00169 &amp; 9250</t>
  </si>
  <si>
    <t>Nov &amp; December Stock Replenishment</t>
  </si>
  <si>
    <t>9310+ 00177</t>
  </si>
  <si>
    <t>9309+ 00178</t>
  </si>
  <si>
    <t>9311+ 00176</t>
  </si>
  <si>
    <t>9251</t>
  </si>
  <si>
    <t>9312+ 0175</t>
  </si>
  <si>
    <t>9313+ 0174</t>
  </si>
  <si>
    <t>SO2023/3331</t>
  </si>
  <si>
    <t>9331</t>
  </si>
  <si>
    <t>9442</t>
  </si>
  <si>
    <t>9470 + 00204</t>
  </si>
  <si>
    <t>SO2023/3441</t>
  </si>
  <si>
    <t>00503 &amp; 00195</t>
  </si>
  <si>
    <t>'[PGB05025] Pro Wolf Pack Box Lid - High &amp; [PGBO6003] Pro Wolf Pack Box Hi Lid Assembled</t>
  </si>
  <si>
    <t>9495</t>
  </si>
  <si>
    <t>[SL.P.MX7.L.RD.DM] Maxi 700 Lid with Diamond Window cutout (Red)</t>
  </si>
  <si>
    <t>9491</t>
  </si>
  <si>
    <t>[HF.P.MX7.L.RD.DW] Maxi 700 Lid with Diamond Window cutout (Red) (Freuhauf)</t>
  </si>
  <si>
    <t>9503</t>
  </si>
  <si>
    <t>SO/2023/3654</t>
  </si>
  <si>
    <t>9527</t>
  </si>
  <si>
    <t>[PBC06096] Mango Drip Tray</t>
  </si>
  <si>
    <t>9603</t>
  </si>
  <si>
    <t>Mango Drip Tray (Orange)</t>
  </si>
  <si>
    <t>December Stock Replenishment</t>
  </si>
  <si>
    <t>9624 + 9628</t>
  </si>
  <si>
    <t>[SL.USA.FG.MC.20T.YL] Mighty Chock - Medium 20 Ton (Yellow) + [SL.FG.MC.20T.YL] Mighty Chock 20 Ton (Yellow)</t>
  </si>
  <si>
    <t>9533</t>
  </si>
  <si>
    <t>December USA Stock</t>
  </si>
  <si>
    <t>9638</t>
  </si>
  <si>
    <t>January Stock Replenishmnet</t>
  </si>
  <si>
    <t>00227 + 9665</t>
  </si>
  <si>
    <t>[PBC06054] Red Jumbo Basket (Spar) + 	[PBC01080] Red Basket Spar Logo</t>
  </si>
  <si>
    <t>SO/2023/1766</t>
  </si>
  <si>
    <t>00208+ 9530</t>
  </si>
  <si>
    <t>SO/2023/1786</t>
  </si>
  <si>
    <t>9531+ 00209</t>
  </si>
  <si>
    <t>0228 + 9666</t>
  </si>
  <si>
    <t>0229 + 9667</t>
  </si>
  <si>
    <t>[PBC06048] Blue Jumbo Basket + [PBC01074] Blue Basket</t>
  </si>
  <si>
    <t>0231 + 9669</t>
  </si>
  <si>
    <t>0230 + 9668</t>
  </si>
  <si>
    <t xml:space="preserve">January Stock Replenishment </t>
  </si>
  <si>
    <t>9735</t>
  </si>
  <si>
    <t>9721</t>
  </si>
  <si>
    <t>SO/2024/0018</t>
  </si>
  <si>
    <t>00541 + 9774</t>
  </si>
  <si>
    <t>9886</t>
  </si>
  <si>
    <t>SO/2024/0240</t>
  </si>
  <si>
    <t>9955</t>
  </si>
  <si>
    <t xml:space="preserve">February Stock Replenishment </t>
  </si>
  <si>
    <t>9958</t>
  </si>
  <si>
    <t>9959</t>
  </si>
  <si>
    <t>9960</t>
  </si>
  <si>
    <t>9961</t>
  </si>
  <si>
    <t>SO/2024/0129/0135</t>
  </si>
  <si>
    <t>9889+ 00244</t>
  </si>
  <si>
    <t>SO/2024/0124/0130</t>
  </si>
  <si>
    <t>9890+00245</t>
  </si>
  <si>
    <t>SO/2024/0127/0133</t>
  </si>
  <si>
    <t>9891+00246</t>
  </si>
  <si>
    <t>SO/2024/0125/0131</t>
  </si>
  <si>
    <t>9893+00247</t>
  </si>
  <si>
    <t>SO/2024/0126/0132</t>
  </si>
  <si>
    <t>9894+00248</t>
  </si>
  <si>
    <t>SO/2024/0134/0128</t>
  </si>
  <si>
    <t>9895+00249</t>
  </si>
  <si>
    <t>9972</t>
  </si>
  <si>
    <t>SO/2024/0309</t>
  </si>
  <si>
    <t>9999 + 00259</t>
  </si>
  <si>
    <t>SO/2024/0567</t>
  </si>
  <si>
    <t>10133 + 00264</t>
  </si>
  <si>
    <t>S0/2024/</t>
  </si>
  <si>
    <t>10144</t>
  </si>
  <si>
    <t>SO2024/088</t>
  </si>
  <si>
    <t>[PBC06101] Blue Ribbon Standard Bread Crate Red</t>
  </si>
  <si>
    <t>S0/2024/0878</t>
  </si>
  <si>
    <t>00292 &amp; 10293</t>
  </si>
  <si>
    <t>S0/2024/1157</t>
  </si>
  <si>
    <t>0307, 10370</t>
  </si>
  <si>
    <t>S0/2024/1487</t>
  </si>
  <si>
    <t>10485 + 00325</t>
  </si>
  <si>
    <t>10581</t>
  </si>
  <si>
    <t>10578</t>
  </si>
  <si>
    <t>10579</t>
  </si>
  <si>
    <t>10580</t>
  </si>
  <si>
    <t>10668</t>
  </si>
  <si>
    <t>10669</t>
  </si>
  <si>
    <t>10760</t>
  </si>
  <si>
    <t>SO/2024/1747</t>
  </si>
  <si>
    <t>10662 + 00347</t>
  </si>
  <si>
    <t>10693</t>
  </si>
  <si>
    <t>10783</t>
  </si>
  <si>
    <t>10900</t>
  </si>
  <si>
    <t>SO/2024/2172</t>
  </si>
  <si>
    <t>10844</t>
  </si>
  <si>
    <t>DC STOCK - September</t>
  </si>
  <si>
    <t>10802</t>
  </si>
  <si>
    <t>10806</t>
  </si>
  <si>
    <t>10807</t>
  </si>
  <si>
    <t>10804</t>
  </si>
  <si>
    <t>10803</t>
  </si>
  <si>
    <t>10950</t>
  </si>
  <si>
    <t>SO/2024/2074</t>
  </si>
  <si>
    <t>10814 + 00371</t>
  </si>
  <si>
    <t>SO/2024/2347</t>
  </si>
  <si>
    <t>10945 + 00398</t>
  </si>
  <si>
    <t>SO/2024/2611</t>
  </si>
  <si>
    <t>11033 + 00416</t>
  </si>
  <si>
    <t xml:space="preserve">11034 + 00417 </t>
  </si>
  <si>
    <t>SO/2024/2720</t>
  </si>
  <si>
    <t>11101 + 00435</t>
  </si>
  <si>
    <t>11054</t>
  </si>
  <si>
    <t>SO/2024/2618</t>
  </si>
  <si>
    <t>11062</t>
  </si>
  <si>
    <t>11180</t>
  </si>
  <si>
    <t>SO/2024/2719/23</t>
  </si>
  <si>
    <t>11100 + 00434</t>
  </si>
  <si>
    <t>SO/2024/272/28866</t>
  </si>
  <si>
    <t>11182 + 00451</t>
  </si>
  <si>
    <t>SO/2024/2717/21</t>
  </si>
  <si>
    <t>11102 + 00436</t>
  </si>
  <si>
    <t>11183 + 00452</t>
  </si>
  <si>
    <t>[PBC01080] Red Basket Spar Logo + [PBC06054] Red Jumbo Basket (Spar)</t>
  </si>
  <si>
    <t>SO/2024/2825</t>
  </si>
  <si>
    <t>11196 + 00458</t>
  </si>
  <si>
    <t>SO/2024/2922</t>
  </si>
  <si>
    <t>11199 + 00459</t>
  </si>
  <si>
    <t>SO/2024/2630</t>
  </si>
  <si>
    <t>11272 + 00476</t>
  </si>
  <si>
    <t>SO/2024/2888</t>
  </si>
  <si>
    <t>11189 + 00456</t>
  </si>
  <si>
    <t>SO/2024/2481</t>
  </si>
  <si>
    <t>10964</t>
  </si>
  <si>
    <t>SO/2024/3101</t>
  </si>
  <si>
    <t>11420</t>
  </si>
  <si>
    <t>[PBE05034] Global015 Tray (Proptek)</t>
  </si>
  <si>
    <t>SO/2024/3317</t>
  </si>
  <si>
    <t>11497 + 00506</t>
  </si>
  <si>
    <t>SO/2024/2725</t>
  </si>
  <si>
    <t>11498 + 00507</t>
  </si>
  <si>
    <t>SO/2024/2724</t>
  </si>
  <si>
    <t>11499 + 00508</t>
  </si>
  <si>
    <t>11548 + 00521</t>
  </si>
  <si>
    <t>SO/2025/0032</t>
  </si>
  <si>
    <t>SO/2024/2726</t>
  </si>
  <si>
    <t>11502 + 00510</t>
  </si>
  <si>
    <t>SO/2025/0031</t>
  </si>
  <si>
    <t>11501 + 00509</t>
  </si>
  <si>
    <t>SO/2024/2727</t>
  </si>
  <si>
    <t>SO/2024/2728</t>
  </si>
  <si>
    <t>11503 + 00511</t>
  </si>
  <si>
    <t>11575</t>
  </si>
  <si>
    <t>[SL.FG.MC.5T.YL] Mighty Chock 5 Ton (Yellow)</t>
  </si>
  <si>
    <t>11632</t>
  </si>
  <si>
    <t>11633</t>
  </si>
  <si>
    <t>SO/2025/0273</t>
  </si>
  <si>
    <t>11658 + 00534</t>
  </si>
  <si>
    <t>[PBC06022] 52L Tote Bin 600x400x320 Yellow (102C) + [PBC01037] 52L Tote Bin Lid Yellow (102C)</t>
  </si>
  <si>
    <t>11659 + 00535</t>
  </si>
  <si>
    <t>[PBC06021] 52L Tote Bin 600x400x320 Red (2035C) + [PBC01036] 52L Tote Bin Lid Red (2035C)</t>
  </si>
  <si>
    <t>11660 + 00536</t>
  </si>
  <si>
    <t>[PBC06011] 52L Tote Bin 600x400x320 Blue (2746C) + [PBC01029] 52L Tote Bin Lid Blue (2746C)</t>
  </si>
  <si>
    <t>11693 + 00544</t>
  </si>
  <si>
    <t>[PBC01028] 52L Tote Bin Lid Black + [PBC06010] 52L Tote Bin 600x400x320 Black</t>
  </si>
  <si>
    <t>SO/2024/0207</t>
  </si>
  <si>
    <t>11656 + 00532</t>
  </si>
  <si>
    <t>SO/2025/0209</t>
  </si>
  <si>
    <t>11692 + 00543</t>
  </si>
  <si>
    <t>[PBC01076] Grey Basket + [PBC06050] Grey Jumbo Basket</t>
  </si>
  <si>
    <t>SO/2025/0208</t>
  </si>
  <si>
    <t>11674 + 00538</t>
  </si>
  <si>
    <t>11657 + 00533</t>
  </si>
  <si>
    <t>[PBC01075] Green Basket + [PBC06049] Green Jumbo Basket</t>
  </si>
  <si>
    <t>11689 + 00540</t>
  </si>
  <si>
    <t>11690 + 00541</t>
  </si>
  <si>
    <t>11691 + 00542</t>
  </si>
  <si>
    <t>SO/2025/0159</t>
  </si>
  <si>
    <t>11610</t>
  </si>
  <si>
    <t xml:space="preserve">Trial </t>
  </si>
  <si>
    <t>[PBC06058] Blue Ribbon Classic Bread Crate Red</t>
  </si>
  <si>
    <t>11731 +  00548</t>
  </si>
  <si>
    <t>[PBC06077] Blue Ribbon Classic Dolly Repellatised (Complete) + [PBC06076] Blue Ribbon Classic Dolly Repellatised (Incomplete)</t>
  </si>
  <si>
    <t>USA container SO/0440</t>
  </si>
  <si>
    <t>11765</t>
  </si>
  <si>
    <t>SO/2025/0659</t>
  </si>
  <si>
    <t>11878</t>
  </si>
  <si>
    <t>11915</t>
  </si>
  <si>
    <t>11933</t>
  </si>
  <si>
    <t>Dc Stock</t>
  </si>
  <si>
    <t>11958</t>
  </si>
  <si>
    <t>Trial 1</t>
  </si>
  <si>
    <t>[PBC06101] Blue Ribbon Standard Bread Crate Blue</t>
  </si>
  <si>
    <t>Trial 2</t>
  </si>
  <si>
    <t>Trial 3</t>
  </si>
  <si>
    <t>Trial 4</t>
  </si>
  <si>
    <t>SO/2025/12167</t>
  </si>
  <si>
    <t>12167</t>
  </si>
  <si>
    <t>12098 + 00611</t>
  </si>
  <si>
    <t>SO/2025/1236</t>
  </si>
  <si>
    <t>12239 + 00624</t>
  </si>
  <si>
    <t>SO/2025/1377</t>
  </si>
  <si>
    <t>12213 + 00994</t>
  </si>
  <si>
    <t>SO/2025/1421</t>
  </si>
  <si>
    <t>12228 + 00634</t>
  </si>
  <si>
    <t>[PBC01040] 68L Tote Bin Bottom Blue (2746C) +[PBC06025] 68L Tote Bin 600x400x365 Blue (2746C)</t>
  </si>
  <si>
    <t>12312 + 00647</t>
  </si>
  <si>
    <t>[PBC01024] 52L Tote Bin Bottom Purple (2074C) +[PBC06068] 52L Tote Bin 600x400x320 Purple &amp; Green (CJ DISTRIBUTION) - Property  of CJ Distribution (Blank Log)</t>
  </si>
  <si>
    <t>12325 + 00651</t>
  </si>
  <si>
    <t>H470</t>
  </si>
  <si>
    <t>City Office Adjustable Arm</t>
  </si>
  <si>
    <t>12367</t>
  </si>
  <si>
    <t>UG300 Box Chamber</t>
  </si>
  <si>
    <t>Local Adrian</t>
  </si>
  <si>
    <t>12297 + 00643</t>
  </si>
  <si>
    <t>USA Adrian</t>
  </si>
  <si>
    <t>12298 + 00644</t>
  </si>
  <si>
    <t xml:space="preserve">July Stock Replenishment </t>
  </si>
  <si>
    <t>12404</t>
  </si>
  <si>
    <t>12405</t>
  </si>
  <si>
    <t>12406</t>
  </si>
  <si>
    <t>12446 + 00671</t>
  </si>
  <si>
    <t>12445 + 00670</t>
  </si>
  <si>
    <t>SO/2025/1866</t>
  </si>
  <si>
    <t>12482 + 00677</t>
  </si>
  <si>
    <t>12531</t>
  </si>
  <si>
    <t xml:space="preserve">[TTB01001] Access Box 300 Chamber Black </t>
  </si>
  <si>
    <t>12551</t>
  </si>
  <si>
    <t>12624</t>
  </si>
  <si>
    <t>12742</t>
  </si>
  <si>
    <t>USA</t>
  </si>
  <si>
    <t>12794</t>
  </si>
  <si>
    <t>Local cfs and VH &amp; FTTX
plan lida and floors</t>
  </si>
  <si>
    <t>12838</t>
  </si>
  <si>
    <t xml:space="preserve"> FTTX
</t>
  </si>
  <si>
    <t>12839</t>
  </si>
  <si>
    <t>SO/2025/3247</t>
  </si>
  <si>
    <t>13121 + 01211</t>
  </si>
  <si>
    <t>SO/2025/3166</t>
  </si>
  <si>
    <t>13144 + 00793</t>
  </si>
  <si>
    <t>[PBC01026] 52L Tote Bin Bottom Yellow (102C) + [PBC06082] 52L Tote Bin 600x400x320 Yellow &amp; Green - (Property of Dischem) (Blank Insert)</t>
  </si>
  <si>
    <t>SO/2025/3348</t>
  </si>
  <si>
    <t>13158 + 00796</t>
  </si>
  <si>
    <t>13169 + 00798</t>
  </si>
  <si>
    <t>13170 + 00799</t>
  </si>
  <si>
    <t>SO/2025/2684</t>
  </si>
  <si>
    <t>13182 + 00801</t>
  </si>
  <si>
    <t>13185 + 00803</t>
  </si>
  <si>
    <t>SO/2025/2689</t>
  </si>
  <si>
    <t>13248 + 00818</t>
  </si>
  <si>
    <t>SO/2025/3054</t>
  </si>
  <si>
    <t>13172 +  00800</t>
  </si>
  <si>
    <t>[PRC01001] VLF Antenna Body Black &amp; [PRC05010] VLF Antenna Black Complete</t>
  </si>
  <si>
    <t>SO/2025/3434</t>
  </si>
  <si>
    <t>13239</t>
  </si>
  <si>
    <t>SO/22240</t>
  </si>
  <si>
    <t>13222 + 00812</t>
  </si>
  <si>
    <t>SO/2687/3027/3102/3104</t>
  </si>
  <si>
    <t>13223 + 00813</t>
  </si>
  <si>
    <t>SO/3105/06/07/08</t>
  </si>
  <si>
    <t>13224 + 00814</t>
  </si>
  <si>
    <t>SO/2025/3761</t>
  </si>
  <si>
    <t>13351 + 00852</t>
  </si>
  <si>
    <t>SO/2025/4661</t>
  </si>
  <si>
    <t>13363</t>
  </si>
  <si>
    <t>SO/2025/4353</t>
  </si>
  <si>
    <t>13367 + 00858</t>
  </si>
  <si>
    <t>[PBC01140] 18L Tote Bin Lid Grey (L36844A)</t>
  </si>
  <si>
    <t>13368 + 00857</t>
  </si>
  <si>
    <t>[PBC01122] 18L Tote Bin Lid Black 60% VIRGIN/ 40% BATTERY GRADE + [PBC05021] 18L Tote Bin 400x300x240 Black 60% VIRGIN/ 40% BATTERY GRADE</t>
  </si>
  <si>
    <t>[PBC01010] 18L Tote Bin Lid Blue (2746C) + [PBC06002] 18L Tote Bin 400x300x240 Blue (2746C)</t>
  </si>
  <si>
    <t>13352 + 00853</t>
  </si>
  <si>
    <t>13353 + 00854</t>
  </si>
  <si>
    <t>13466 + 00874</t>
  </si>
  <si>
    <t>13608</t>
  </si>
  <si>
    <t>13596 + 00901</t>
  </si>
  <si>
    <t>13554 + 00896</t>
  </si>
  <si>
    <t>SO/2026/1118</t>
  </si>
  <si>
    <t>13850</t>
  </si>
  <si>
    <t>13851</t>
  </si>
  <si>
    <t>SO/2026/1382</t>
  </si>
  <si>
    <t>14007</t>
  </si>
  <si>
    <t>SO/2026/1637</t>
  </si>
  <si>
    <t>14087</t>
  </si>
  <si>
    <t>MAY + JUNE</t>
  </si>
  <si>
    <t>00010</t>
  </si>
  <si>
    <t>[PDA03139] Adjustable Arm Bracket and Clip</t>
  </si>
  <si>
    <t>TRIAL</t>
  </si>
  <si>
    <t>VOLTA 500</t>
  </si>
  <si>
    <t>08149</t>
  </si>
  <si>
    <t>[PDA05144] Adjustable Arm Set (No Pad)</t>
  </si>
  <si>
    <t>08313</t>
  </si>
  <si>
    <t>[PGA06019] DAS Mitre Box - BGPP - Black</t>
  </si>
  <si>
    <t>08421</t>
  </si>
  <si>
    <t>68L Tote Bin Lid orange (164c)</t>
  </si>
  <si>
    <t>8382</t>
  </si>
  <si>
    <t>[PGA05030] Float Bottom Black</t>
  </si>
  <si>
    <t>8381</t>
  </si>
  <si>
    <t>[PGA05031] Float Bottom Blue</t>
  </si>
  <si>
    <t>8380</t>
  </si>
  <si>
    <t>8379</t>
  </si>
  <si>
    <t>[PGA05032] Float Top Black</t>
  </si>
  <si>
    <t>MAY / JUNE</t>
  </si>
  <si>
    <t>08303</t>
  </si>
  <si>
    <t>Xenon Main Frame</t>
  </si>
  <si>
    <t>SO2023/1437</t>
  </si>
  <si>
    <t>00043</t>
  </si>
  <si>
    <t>[PBC01028] 52L Tote Bin Lid Black</t>
  </si>
  <si>
    <t>SO2023/1438</t>
  </si>
  <si>
    <t>[PBC01036] 52L Tote Bin Lid Red</t>
  </si>
  <si>
    <t>00063</t>
  </si>
  <si>
    <t>[PBC01032] 52L Tote Bin Lid GREEN (361C)</t>
  </si>
  <si>
    <t>00061</t>
  </si>
  <si>
    <t xml:space="preserve"> 52L Tote Bin Lid YELLOW (109C)</t>
  </si>
  <si>
    <t>00057</t>
  </si>
  <si>
    <t xml:space="preserve"> 18L Tote Bin Lid Black 9400</t>
  </si>
  <si>
    <t>Volta Trial</t>
  </si>
  <si>
    <t>8407</t>
  </si>
  <si>
    <t>8444</t>
  </si>
  <si>
    <t>[HF.P.HC.B.INF.BK]  INFLATOR HUB BASE</t>
  </si>
  <si>
    <t>DC stock replenishment</t>
  </si>
  <si>
    <t>8609 / 8644</t>
  </si>
  <si>
    <t>[HF.FG.HC.HF.STD] HFT Flying H Hub Cap Standard Complete [AI803102]</t>
  </si>
  <si>
    <t>8609 / 8645</t>
  </si>
  <si>
    <t>[HF.FG.HC.HFX.STD] HFT HFX Hub Cap Standard Complete [AI803103]</t>
  </si>
  <si>
    <t>SO2023/1727</t>
  </si>
  <si>
    <t>8682</t>
  </si>
  <si>
    <t>[PDA01137] Loorack 3 Holder - White</t>
  </si>
  <si>
    <t>trial</t>
  </si>
  <si>
    <t>[PDA01140] Loorack 3 Holder - Dark Grey</t>
  </si>
  <si>
    <t>8683</t>
  </si>
  <si>
    <t>[PDA01143] Loorack 3 Holder - Black</t>
  </si>
  <si>
    <t>8684</t>
  </si>
  <si>
    <t>[TTD01008] VOLTA 500 SIDE PANEL - BLACK</t>
  </si>
  <si>
    <t>[PDA05111] Large Jetty Slats Die 2.4 Black</t>
  </si>
  <si>
    <t>8610</t>
  </si>
  <si>
    <t>B4001</t>
  </si>
  <si>
    <t>8562</t>
  </si>
  <si>
    <t>July Stock Replenishment</t>
  </si>
  <si>
    <t>8731</t>
  </si>
  <si>
    <t>[TTA01083] DP Box - Base with Bulkheads</t>
  </si>
  <si>
    <t>SO2023/2305</t>
  </si>
  <si>
    <t>8831 &amp; 8832</t>
  </si>
  <si>
    <t>[HF.P.HC.B.STD.BK] HFT Standard Hub Base &amp; [HF.FG.HC.HF.STD] HFT Flying H Hub Cap Standard Complete [AI803102]</t>
  </si>
  <si>
    <t>8831 &amp; 8833</t>
  </si>
  <si>
    <t>September DC Replenishment</t>
  </si>
  <si>
    <t>00142</t>
  </si>
  <si>
    <t>So2023/2669</t>
  </si>
  <si>
    <t>8994</t>
  </si>
  <si>
    <t>SO2023/2945</t>
  </si>
  <si>
    <t>9227 &amp; 00160</t>
  </si>
  <si>
    <t>Maxi 500 Lid with compartments (Pink)</t>
  </si>
  <si>
    <t>Maxi 500 Lid with compartments (Orange)</t>
  </si>
  <si>
    <t>Maxi 500 Lid with compartments (Green)</t>
  </si>
  <si>
    <t>Maxi 500 Lid with compartments (Black)</t>
  </si>
  <si>
    <t>SO2023/3049</t>
  </si>
  <si>
    <t>9272</t>
  </si>
  <si>
    <t>[PBC01033] 52L Tote Bin Lid Grey (429C)</t>
  </si>
  <si>
    <t>SO2023/2523</t>
  </si>
  <si>
    <t>9007</t>
  </si>
  <si>
    <t>[PBC01029] 52L Tote Bin Lid Blue (2746C)</t>
  </si>
  <si>
    <t>SO2023/2870</t>
  </si>
  <si>
    <t>9170</t>
  </si>
  <si>
    <t>SO2023/3090</t>
  </si>
  <si>
    <t>9280</t>
  </si>
  <si>
    <t>[PGA05003] 660mm Header Pipe NEW Solar Magic Logo</t>
  </si>
  <si>
    <t>SO2023/2669</t>
  </si>
  <si>
    <t>9337</t>
  </si>
  <si>
    <t>SO2023/1959</t>
  </si>
  <si>
    <t>9441</t>
  </si>
  <si>
    <t>Nov, Dec &amp; Jan Stock Replenishment</t>
  </si>
  <si>
    <t>9386 &amp; 00194</t>
  </si>
  <si>
    <t>9528</t>
  </si>
  <si>
    <t>9545</t>
  </si>
  <si>
    <t>[SL.FG.CP0.3.BL (ANC)] 12" Corner Protector (Ancra-Blue)</t>
  </si>
  <si>
    <t xml:space="preserve">Ancra Stock </t>
  </si>
  <si>
    <t>9625</t>
  </si>
  <si>
    <t>[TTA01080] DP Box - Lid - Black</t>
  </si>
  <si>
    <t>SO2024/3365</t>
  </si>
  <si>
    <t>9761+ 9762 + 0239</t>
  </si>
  <si>
    <t>[PDA06005] Flexi Arm Set, [PDA01028] Flexi Arm Right, [PDA01026] Flexi Arm Left</t>
  </si>
  <si>
    <t>SO2023/3889</t>
  </si>
  <si>
    <t>9680</t>
  </si>
  <si>
    <t>9679</t>
  </si>
  <si>
    <t>SO/2024/0020</t>
  </si>
  <si>
    <t>9708+9709</t>
  </si>
  <si>
    <t>[HF.FG.HC.HF.STD] HFT Flying H Hub Cap Standard Complete [AI803102] &amp; [HF.FG.HC.HF.STD] HFT Flying H Hub Cap Standard Complete [AI803102]</t>
  </si>
  <si>
    <t>9971</t>
  </si>
  <si>
    <t>9970</t>
  </si>
  <si>
    <t>SO/2024/0387</t>
  </si>
  <si>
    <t>10006</t>
  </si>
  <si>
    <t>10007</t>
  </si>
  <si>
    <t>[PBC01061] 68L Tote Bin Lid Yellow (102C)</t>
  </si>
  <si>
    <t>10009</t>
  </si>
  <si>
    <t>SO/2024/0433</t>
  </si>
  <si>
    <t>10030</t>
  </si>
  <si>
    <t>NCR</t>
  </si>
  <si>
    <t>10101</t>
  </si>
  <si>
    <t>[PBC01142] 52L Tote Bin Lid Grey (L36844A)</t>
  </si>
  <si>
    <t>10076</t>
  </si>
  <si>
    <t>10085</t>
  </si>
  <si>
    <t>10130</t>
  </si>
  <si>
    <t>[SL.P.MX7.L.CL.F] Maxi 700 Lid (Clear) Fire Extinguisher</t>
  </si>
  <si>
    <t>10091</t>
  </si>
  <si>
    <t>SO/2024/0440</t>
  </si>
  <si>
    <t>10037</t>
  </si>
  <si>
    <t>10217, 00272, 00273</t>
  </si>
  <si>
    <t>SO2024/1098</t>
  </si>
  <si>
    <t>10275</t>
  </si>
  <si>
    <t>[PBC01010] 18L Tote Bin Lid Blue (2746C)</t>
  </si>
  <si>
    <t>10276</t>
  </si>
  <si>
    <t>[PBC01122] 18L Tote Bin Lid Black 60% VIRGIN/ 40% BATTERY GRADE</t>
  </si>
  <si>
    <t>SO/2024/1116</t>
  </si>
  <si>
    <t>0304</t>
  </si>
  <si>
    <t>May Stock replenishment</t>
  </si>
  <si>
    <t>10365</t>
  </si>
  <si>
    <t>SO/2024/1440</t>
  </si>
  <si>
    <t>10430</t>
  </si>
  <si>
    <t>SO2024/1247</t>
  </si>
  <si>
    <t>10398 + 10399 + 00308</t>
  </si>
  <si>
    <t>10400 + 10401 + 00309</t>
  </si>
  <si>
    <t>Ancra SO2024/1159</t>
  </si>
  <si>
    <t>10397</t>
  </si>
  <si>
    <t>SO/2024/1455</t>
  </si>
  <si>
    <t>10501</t>
  </si>
  <si>
    <t>[SL.FG.CP0.6.BL] 0.6m Corner Protector (Blue)</t>
  </si>
  <si>
    <t>SO/2024/1602</t>
  </si>
  <si>
    <t>10511</t>
  </si>
  <si>
    <t>[PDA05164] Willie Stacker - Back Green</t>
  </si>
  <si>
    <t>SO/2024/1605</t>
  </si>
  <si>
    <t>10522</t>
  </si>
  <si>
    <t>10523</t>
  </si>
  <si>
    <t>SO2024/1848</t>
  </si>
  <si>
    <t>10641 + 10642 + 00341</t>
  </si>
  <si>
    <t>SO/2024/1737</t>
  </si>
  <si>
    <t>00329 + 10565</t>
  </si>
  <si>
    <t>[HF.FG.HC.HF.STD] HFT Flying H Hub Cap Standard Complete [AI803102] &amp; [HF.P.HC.B.STD.BK] HFT Standard Hub Base</t>
  </si>
  <si>
    <t>10658</t>
  </si>
  <si>
    <t>10782</t>
  </si>
  <si>
    <t>10799</t>
  </si>
  <si>
    <t>SO/2024/2290</t>
  </si>
  <si>
    <t>10848</t>
  </si>
  <si>
    <t>10885</t>
  </si>
  <si>
    <t>10881</t>
  </si>
  <si>
    <t>10886</t>
  </si>
  <si>
    <t>[PBC01054] 68L Tote Bin Lid Green (3405C)</t>
  </si>
  <si>
    <t>SO/2024/2288</t>
  </si>
  <si>
    <t>10849</t>
  </si>
  <si>
    <t>[PBC01031] 52L Tote Bin Lid Green (3405C)</t>
  </si>
  <si>
    <t>SO/2024/2310</t>
  </si>
  <si>
    <t>10864</t>
  </si>
  <si>
    <t>10851</t>
  </si>
  <si>
    <t>SO/2024/2320</t>
  </si>
  <si>
    <t>10875</t>
  </si>
  <si>
    <t>Jaco &amp; Adrian</t>
  </si>
  <si>
    <t>10978</t>
  </si>
  <si>
    <t>SO/2024/2569</t>
  </si>
  <si>
    <t>11001</t>
  </si>
  <si>
    <t>[PBC01037] 52L Tote Bin Lid Yellow (102C)</t>
  </si>
  <si>
    <t>10999</t>
  </si>
  <si>
    <t>11000</t>
  </si>
  <si>
    <t>10993</t>
  </si>
  <si>
    <t>SO/2024/2571</t>
  </si>
  <si>
    <t>11004</t>
  </si>
  <si>
    <t>SO/2024/2614</t>
  </si>
  <si>
    <t>11040</t>
  </si>
  <si>
    <t>[PBC01147] 52L Tote Bin Lid Orange (164c)</t>
  </si>
  <si>
    <t>SO/2024/2616</t>
  </si>
  <si>
    <t>11044</t>
  </si>
  <si>
    <t>11042</t>
  </si>
  <si>
    <t>11043</t>
  </si>
  <si>
    <t>10825,10826 , 00374</t>
  </si>
  <si>
    <t>10965</t>
  </si>
  <si>
    <t>SO/2024/2687</t>
  </si>
  <si>
    <t>11094</t>
  </si>
  <si>
    <t>[PBC06096] Mango Drip Tray (Red)</t>
  </si>
  <si>
    <t>11096</t>
  </si>
  <si>
    <t>SO/2024/2662</t>
  </si>
  <si>
    <t>11081 + 00430</t>
  </si>
  <si>
    <t>Ancra SO/2024/2391</t>
  </si>
  <si>
    <t>11017</t>
  </si>
  <si>
    <t>Ancra SO/2024/2655</t>
  </si>
  <si>
    <t>11168</t>
  </si>
  <si>
    <t>SO/2024/2791</t>
  </si>
  <si>
    <t>11147+ 11148 + 00444</t>
  </si>
  <si>
    <t>11236</t>
  </si>
  <si>
    <t>SO/2024/3052</t>
  </si>
  <si>
    <t>11364</t>
  </si>
  <si>
    <t>[PGA01096] Rolo Compartment - Pink</t>
  </si>
  <si>
    <t>11398</t>
  </si>
  <si>
    <t>[PGA01098] Rolo Compartment - Lime Green</t>
  </si>
  <si>
    <t>11415</t>
  </si>
  <si>
    <t>[PGA01099] Rolo Compartment - Orange</t>
  </si>
  <si>
    <t>11382</t>
  </si>
  <si>
    <t>[PGA01097] Rolo Compartment - Grey</t>
  </si>
  <si>
    <t>11348</t>
  </si>
  <si>
    <t>[PGA01046] Rolo Compartment - Black</t>
  </si>
  <si>
    <t>11343</t>
  </si>
  <si>
    <t>[PGA01045] Rolo Lid - Pink</t>
  </si>
  <si>
    <t>11359</t>
  </si>
  <si>
    <t>[PGA01064] Rolo Lid - Purple</t>
  </si>
  <si>
    <t>11410</t>
  </si>
  <si>
    <t>[PGA01067] Rolo Lid - Grey</t>
  </si>
  <si>
    <t>11377</t>
  </si>
  <si>
    <t>[PGA01065] Rolo Lid - Navy Blue</t>
  </si>
  <si>
    <t>11393</t>
  </si>
  <si>
    <t>[PGA01066] Rolo Lid - Black</t>
  </si>
  <si>
    <t>SO/2024/3318</t>
  </si>
  <si>
    <t>11491</t>
  </si>
  <si>
    <t>[PDA05002] Willie Stacker - Back Black</t>
  </si>
  <si>
    <t>SO/2025/3355</t>
  </si>
  <si>
    <t>11514</t>
  </si>
  <si>
    <t>11513</t>
  </si>
  <si>
    <t>11512</t>
  </si>
  <si>
    <t>11511</t>
  </si>
  <si>
    <t>Jan Order SO/2024/3137</t>
  </si>
  <si>
    <t>11442</t>
  </si>
  <si>
    <t>11611</t>
  </si>
  <si>
    <t>Assembly Stock Replenishment</t>
  </si>
  <si>
    <t>11601</t>
  </si>
  <si>
    <t>[SL.P.MX7.BS.C] Maxi 700 Fire Extinhuisher Clip strap (ea)</t>
  </si>
  <si>
    <t>11600</t>
  </si>
  <si>
    <t>[SL.P.MX7.BS.S] Maxi 700 Fire Extinhuisher Pull strap (ea)</t>
  </si>
  <si>
    <t xml:space="preserve">Assembly Stock Replenishment </t>
  </si>
  <si>
    <t>11602 +11603</t>
  </si>
  <si>
    <t>[SL.P.MX7.BS.T] Maxi 700 Fire Extinguisher naked-bracket top &amp; 	[SL.P.MX7.BO.B] Maxi 700 Fire Extinguisher naked-bracket Bottom</t>
  </si>
  <si>
    <t>USA container SO/0085/4/3</t>
  </si>
  <si>
    <t>11630 + 00529</t>
  </si>
  <si>
    <t>[TTB01000] Access Box 300 Floor Black +  [TTB05000] Access Box 300 [GEN]</t>
  </si>
  <si>
    <t>H3202</t>
  </si>
  <si>
    <t>SO/2025/0320</t>
  </si>
  <si>
    <t>11715 + 00547</t>
  </si>
  <si>
    <t>[TTA01006] Rapid-Stor Storage Frame Black + [TTA05004] Rapid-Stor Black</t>
  </si>
  <si>
    <t>11742 + 00550</t>
  </si>
  <si>
    <t>[PBC01104] 18L Tote Bin Lid Red (2035C) + 18LT Tote Bin 400x300x240 Red (2035C)</t>
  </si>
  <si>
    <t>11772 + 11773</t>
  </si>
  <si>
    <t>11774</t>
  </si>
  <si>
    <t>11775</t>
  </si>
  <si>
    <t>11811 + 00571</t>
  </si>
  <si>
    <t>[PGB05014] Pro Wolf Pack Box Lid &amp; [PGB03001 ] Pro Wolf Pack Box Assembled Lid</t>
  </si>
  <si>
    <t>SO/2025/0418</t>
  </si>
  <si>
    <t>11751</t>
  </si>
  <si>
    <t>[PDA05019] Willie Stacker - Seat Burgandy</t>
  </si>
  <si>
    <t>11752</t>
  </si>
  <si>
    <t>[TTA01126] M16 Top &amp; Bottom Housing - Black</t>
  </si>
  <si>
    <t> ARM SLIDER</t>
  </si>
  <si>
    <t>SO/2025/0654</t>
  </si>
  <si>
    <t>11880</t>
  </si>
  <si>
    <t>11889 + 00582</t>
  </si>
  <si>
    <t xml:space="preserve">Stock Replenishment </t>
  </si>
  <si>
    <t>11902 + 00584</t>
  </si>
  <si>
    <t>11959 + 00588</t>
  </si>
  <si>
    <t>11968</t>
  </si>
  <si>
    <t>12025</t>
  </si>
  <si>
    <t>SO/2025/0804 May</t>
  </si>
  <si>
    <t>12027 + 12028 + 00600</t>
  </si>
  <si>
    <t>12076</t>
  </si>
  <si>
    <t>[TTA01149] M32 - Chassis Tray - Black</t>
  </si>
  <si>
    <t>12130</t>
  </si>
  <si>
    <t>12195</t>
  </si>
  <si>
    <t>12115</t>
  </si>
  <si>
    <t>[PCF01016] 120-HS/90-PE SPIGOT (Un-Machined)</t>
  </si>
  <si>
    <t>SO/2025/1145</t>
  </si>
  <si>
    <t>12113</t>
  </si>
  <si>
    <t>[PCF01010] 120-HS/60-PE SPIGOT (Un-Machined)</t>
  </si>
  <si>
    <t>12116</t>
  </si>
  <si>
    <t>[PCF01015] 120-HS/85-PE SPIGOT (Un-Machined)</t>
  </si>
  <si>
    <t>12117</t>
  </si>
  <si>
    <t>[PCF01007] 120-HS/45-PE SPIGOT (Un-Machined)</t>
  </si>
  <si>
    <t>SO/2025/1625</t>
  </si>
  <si>
    <t>UG300 Base ECO ( Access Floor Black)</t>
  </si>
  <si>
    <t>12299</t>
  </si>
  <si>
    <t>UAS Adrian</t>
  </si>
  <si>
    <t>12300</t>
  </si>
  <si>
    <t>12420 + 00666</t>
  </si>
  <si>
    <t>SO/2025/1982</t>
  </si>
  <si>
    <t>12441 + 00669</t>
  </si>
  <si>
    <t>[TTA01058] Rapid-Stor Storage Frame - 30% GF PP - Black + [TTA05019] Rapid-Stor - 30% GF PP- Black</t>
  </si>
  <si>
    <t>12381</t>
  </si>
  <si>
    <t>12495 + 00681</t>
  </si>
  <si>
    <t>SO/2025/2054</t>
  </si>
  <si>
    <t>12498 + 00683</t>
  </si>
  <si>
    <t>12544</t>
  </si>
  <si>
    <t>[PRC01001] VLF Antenna Body Black</t>
  </si>
  <si>
    <t>12656 + 00700</t>
  </si>
  <si>
    <t>12676 + 00707</t>
  </si>
  <si>
    <t>august</t>
  </si>
  <si>
    <t>12655 + 00699</t>
  </si>
  <si>
    <t xml:space="preserve"> [HF.P.HC.B.STD.BK] HFT Standard Hub Base</t>
  </si>
  <si>
    <t>SO/2025/2525</t>
  </si>
  <si>
    <t>01123 + 00727</t>
  </si>
  <si>
    <t>SO/2025/2451</t>
  </si>
  <si>
    <t>SO/2025/0736</t>
  </si>
  <si>
    <t>[PDA06051] Hepa Filter V Side Panel</t>
  </si>
  <si>
    <t>SO/2025/2543</t>
  </si>
  <si>
    <t>12883</t>
  </si>
  <si>
    <t>SO/2025/2347</t>
  </si>
  <si>
    <t>12660</t>
  </si>
  <si>
    <t>12919 + 00773</t>
  </si>
  <si>
    <t>12920 + 00774</t>
  </si>
  <si>
    <t>12902</t>
  </si>
  <si>
    <t>[TTA01144] M32 - Top Housing - Black</t>
  </si>
  <si>
    <t>13091</t>
  </si>
  <si>
    <t>13127 +  00791</t>
  </si>
  <si>
    <t>13126 + 00790</t>
  </si>
  <si>
    <t>12901</t>
  </si>
  <si>
    <t>SO/2025/2756</t>
  </si>
  <si>
    <t>13024 + 13025 + 00783</t>
  </si>
  <si>
    <t>[PDA01011] Back Cover &amp; [PDA01012] Back Cover Filler &amp; [PDA06002]  &amp; Back Cover and Filler [PDA06002] Back Cover and Filler</t>
  </si>
  <si>
    <t>13256</t>
  </si>
  <si>
    <t>[PBC01099] Basket Handle</t>
  </si>
  <si>
    <t>SO/2025/3263</t>
  </si>
  <si>
    <t>13151 + 00795</t>
  </si>
  <si>
    <t>SO/2025/3601</t>
  </si>
  <si>
    <t>13283 + 00839</t>
  </si>
  <si>
    <t>[TTA01130] M16 Fiber Management Tray - Grey</t>
  </si>
  <si>
    <t>12928</t>
  </si>
  <si>
    <t>[TTA01147] M32 - Bottom Housing - Black</t>
  </si>
  <si>
    <t>SO/2026/4574</t>
  </si>
  <si>
    <t>13435</t>
  </si>
  <si>
    <t xml:space="preserve"> [PDA05021] Xenon Inner Frame</t>
  </si>
  <si>
    <t>13439 + 13440 + 00867</t>
  </si>
  <si>
    <t>13493 + 13494 + 00879</t>
  </si>
  <si>
    <t>13496</t>
  </si>
  <si>
    <t>13606</t>
  </si>
  <si>
    <t>13611</t>
  </si>
  <si>
    <t>[PDA05013] Que Inner Frame</t>
  </si>
  <si>
    <t>13495</t>
  </si>
  <si>
    <t>13625</t>
  </si>
  <si>
    <t>[SL.P.OT5.B.BK.R] Organiser 500 Tray Base Repellet (Black)</t>
  </si>
  <si>
    <t>13479</t>
  </si>
  <si>
    <t>13478</t>
  </si>
  <si>
    <t>SO/2026/0552</t>
  </si>
  <si>
    <t>13663 + 13748</t>
  </si>
  <si>
    <t>13755 + 13756</t>
  </si>
  <si>
    <t>SO/2026/0779</t>
  </si>
  <si>
    <t>13700</t>
  </si>
  <si>
    <t>13707</t>
  </si>
  <si>
    <t>13915</t>
  </si>
  <si>
    <t>13852 + 13853</t>
  </si>
  <si>
    <t>So2024/0880</t>
  </si>
  <si>
    <t>Apr</t>
  </si>
  <si>
    <t>13960</t>
  </si>
  <si>
    <t>[SL.P.DTB15.HP.BK] DTB15 Hinge Pin - Black</t>
  </si>
  <si>
    <t>SO/2026/1058</t>
  </si>
  <si>
    <t>13842 + 13843</t>
  </si>
  <si>
    <t>14008 + 14009</t>
  </si>
  <si>
    <t>SO/2026/1467</t>
  </si>
  <si>
    <t>14077</t>
  </si>
  <si>
    <t>14082 + 14083 + 14084</t>
  </si>
  <si>
    <t>H380</t>
  </si>
  <si>
    <t>8403</t>
  </si>
  <si>
    <t>[PCF05027] SCP143 SD Feed Box Body</t>
  </si>
  <si>
    <t>So2023/2051</t>
  </si>
  <si>
    <t>8754</t>
  </si>
  <si>
    <t>SO2023/2132</t>
  </si>
  <si>
    <t>8786</t>
  </si>
  <si>
    <t>B4702</t>
  </si>
  <si>
    <t xml:space="preserve">	SEPTEMBER - ORDER PENDING</t>
  </si>
  <si>
    <t>9047</t>
  </si>
  <si>
    <t>So2023/2716</t>
  </si>
  <si>
    <t>9099</t>
  </si>
  <si>
    <t>[PDA05112] Large Solid Slats Die 2.2 Black</t>
  </si>
  <si>
    <t>9048</t>
  </si>
  <si>
    <t>8949</t>
  </si>
  <si>
    <t>9054</t>
  </si>
  <si>
    <t>9053</t>
  </si>
  <si>
    <t>SO2023/2817</t>
  </si>
  <si>
    <t>9126</t>
  </si>
  <si>
    <t xml:space="preserve">00189, 00190 &amp; 9349, </t>
  </si>
  <si>
    <t>00191, 00192, 9350</t>
  </si>
  <si>
    <t>So2023/3436</t>
  </si>
  <si>
    <t>0199</t>
  </si>
  <si>
    <t>9469</t>
  </si>
  <si>
    <t>SO2023/2051</t>
  </si>
  <si>
    <t>9008</t>
  </si>
  <si>
    <t>9622 + 9627</t>
  </si>
  <si>
    <t>[SL.USA.FG.MC.5T.YL] Mighty Chock - Small 5 Ton (Yellow) + [SL.FG.MC.5T.YL] Mighty Chock 5 Ton (Yellow)</t>
  </si>
  <si>
    <t>9724</t>
  </si>
  <si>
    <t>9726</t>
  </si>
  <si>
    <t>9581</t>
  </si>
  <si>
    <t>9582</t>
  </si>
  <si>
    <t>9579</t>
  </si>
  <si>
    <t>9580</t>
  </si>
  <si>
    <t>SO/2024/0065</t>
  </si>
  <si>
    <t>9722</t>
  </si>
  <si>
    <t>9938</t>
  </si>
  <si>
    <t>SO2023/3723</t>
  </si>
  <si>
    <t>9739</t>
  </si>
  <si>
    <t>SO2023/3618</t>
  </si>
  <si>
    <t xml:space="preserve">[PCF05027] SCP143 SD Feed Box Body </t>
  </si>
  <si>
    <t>9747</t>
  </si>
  <si>
    <t>SO/2024/0175</t>
  </si>
  <si>
    <t>9921</t>
  </si>
  <si>
    <t>9544</t>
  </si>
  <si>
    <t>SO2024/0212</t>
  </si>
  <si>
    <t>9931</t>
  </si>
  <si>
    <t>10040</t>
  </si>
  <si>
    <t>10074</t>
  </si>
  <si>
    <t>10075</t>
  </si>
  <si>
    <t>10078</t>
  </si>
  <si>
    <t>10079</t>
  </si>
  <si>
    <t>10073</t>
  </si>
  <si>
    <t>10142</t>
  </si>
  <si>
    <t>SO2024/0714</t>
  </si>
  <si>
    <t>10204</t>
  </si>
  <si>
    <t>S02024/0651</t>
  </si>
  <si>
    <t>10207</t>
  </si>
  <si>
    <t>SO2024/0905</t>
  </si>
  <si>
    <t>10211</t>
  </si>
  <si>
    <t>10395</t>
  </si>
  <si>
    <t>SO/2024/1652</t>
  </si>
  <si>
    <t>10544</t>
  </si>
  <si>
    <t>SO/2024/1811</t>
  </si>
  <si>
    <t>10612</t>
  </si>
  <si>
    <t>SO/2024/1848</t>
  </si>
  <si>
    <t>10632</t>
  </si>
  <si>
    <t>10631</t>
  </si>
  <si>
    <t>SO/2024/2061</t>
  </si>
  <si>
    <t>10721</t>
  </si>
  <si>
    <t xml:space="preserve">August Stock Replenishment </t>
  </si>
  <si>
    <t>10729</t>
  </si>
  <si>
    <t>10728</t>
  </si>
  <si>
    <t>SO/2024/2161</t>
  </si>
  <si>
    <t>10780</t>
  </si>
  <si>
    <t>10779</t>
  </si>
  <si>
    <t>10778</t>
  </si>
  <si>
    <t xml:space="preserve"> [PDA05017] Willie Stacker - Seat Black</t>
  </si>
  <si>
    <t>SO/2024/2271</t>
  </si>
  <si>
    <t>10841</t>
  </si>
  <si>
    <t>[PDA05138] Willie Stacker - Seat Light Grey</t>
  </si>
  <si>
    <t>SO/2024/2165</t>
  </si>
  <si>
    <t>10790</t>
  </si>
  <si>
    <t>10918</t>
  </si>
  <si>
    <t>SO/2024/2318</t>
  </si>
  <si>
    <t>10878 + 10879</t>
  </si>
  <si>
    <t>10823</t>
  </si>
  <si>
    <t>11026 + 00426</t>
  </si>
  <si>
    <t>[TTB01000] Access Box 300 Floor Black + [TTB05000] Access Box 300 [GEN]</t>
  </si>
  <si>
    <t>10872</t>
  </si>
  <si>
    <t>10961</t>
  </si>
  <si>
    <t>11151</t>
  </si>
  <si>
    <t>11197</t>
  </si>
  <si>
    <t>11200</t>
  </si>
  <si>
    <t>11152</t>
  </si>
  <si>
    <t>SO/2024/3077</t>
  </si>
  <si>
    <t>11302 + 00482</t>
  </si>
  <si>
    <t>SO/2024/3150</t>
  </si>
  <si>
    <t>11421 + 00484</t>
  </si>
  <si>
    <t>Oct/Nov Stock Replenishment</t>
  </si>
  <si>
    <t>11122</t>
  </si>
  <si>
    <t>11123</t>
  </si>
  <si>
    <t>11124</t>
  </si>
  <si>
    <t>11125</t>
  </si>
  <si>
    <t>SO/2024/2872</t>
  </si>
  <si>
    <t>11200 + 00493</t>
  </si>
  <si>
    <t>SO/2024/3263</t>
  </si>
  <si>
    <t>11479 + 00500</t>
  </si>
  <si>
    <t>11475 + 00498</t>
  </si>
  <si>
    <t>11492 + 00504</t>
  </si>
  <si>
    <t>USA container</t>
  </si>
  <si>
    <t>11532 + 00515</t>
  </si>
  <si>
    <t>11443</t>
  </si>
  <si>
    <t>11612</t>
  </si>
  <si>
    <t>SO/2025/0221</t>
  </si>
  <si>
    <t>11648 + 00530</t>
  </si>
  <si>
    <t>11669 + 00537</t>
  </si>
  <si>
    <t>Trial to Production</t>
  </si>
  <si>
    <t>11734 + 00549</t>
  </si>
  <si>
    <t>[TTA01007] Rapid-Stor Equipment Plate Black</t>
  </si>
  <si>
    <t>SO/2025/0428</t>
  </si>
  <si>
    <t>11759</t>
  </si>
  <si>
    <t>11758</t>
  </si>
  <si>
    <t>[PCF05028] SCP145 SD Feed Box Lid</t>
  </si>
  <si>
    <t>SO/2025/0499</t>
  </si>
  <si>
    <t>11800 + 11801 + 00567</t>
  </si>
  <si>
    <t>11790</t>
  </si>
  <si>
    <t>11883</t>
  </si>
  <si>
    <t>11965</t>
  </si>
  <si>
    <t>11927 + 11928  + 00586</t>
  </si>
  <si>
    <t>SO/2025/0891</t>
  </si>
  <si>
    <t>12056</t>
  </si>
  <si>
    <t>12055</t>
  </si>
  <si>
    <t>12054</t>
  </si>
  <si>
    <t>12163 + 00620</t>
  </si>
  <si>
    <t>12266</t>
  </si>
  <si>
    <t>12222 + 00631</t>
  </si>
  <si>
    <t>SO/2025/1523</t>
  </si>
  <si>
    <t>12255</t>
  </si>
  <si>
    <t>12256</t>
  </si>
  <si>
    <t>SO/2025/1720</t>
  </si>
  <si>
    <t>12356</t>
  </si>
  <si>
    <t>12357</t>
  </si>
  <si>
    <t>12075</t>
  </si>
  <si>
    <t>SO/2025/1658</t>
  </si>
  <si>
    <t>12347 + 00654</t>
  </si>
  <si>
    <t>[TTA01136] M16 Platform Tray - Grey</t>
  </si>
  <si>
    <t>SO/2025/1766</t>
  </si>
  <si>
    <t>12433</t>
  </si>
  <si>
    <t>[PGA05091] Float Bottom Grey</t>
  </si>
  <si>
    <t>12396</t>
  </si>
  <si>
    <t>12380</t>
  </si>
  <si>
    <t>SO/2025/2032</t>
  </si>
  <si>
    <t>12487</t>
  </si>
  <si>
    <t>12486</t>
  </si>
  <si>
    <t>12118</t>
  </si>
  <si>
    <t>[PCF01005] 120-HS/35-PE SPIGOT (Un-Machined)</t>
  </si>
  <si>
    <t>12240</t>
  </si>
  <si>
    <t>[PCF01004] 120-HS/30-PE SPIGOT (Un-Machined)</t>
  </si>
  <si>
    <t>SO/2025/2044</t>
  </si>
  <si>
    <t>12514</t>
  </si>
  <si>
    <t>[PCF01011] 120-HS/65-PE SPIGOT (Un-Machined)</t>
  </si>
  <si>
    <t>SO/2025/2260</t>
  </si>
  <si>
    <t>12585</t>
  </si>
  <si>
    <t>[PCF01008] 120-HS/50-PE SPIGOT (Un-Machined)</t>
  </si>
  <si>
    <t>SO/2025/2132</t>
  </si>
  <si>
    <t>12528</t>
  </si>
  <si>
    <t>SO/2025/2216</t>
  </si>
  <si>
    <t>12571</t>
  </si>
  <si>
    <t>12671</t>
  </si>
  <si>
    <t>12615 + 12616</t>
  </si>
  <si>
    <t>[TTA01041] M8 - ENCLOSURE BASE - BLACK &amp; [TTA01042] M8 - ENCLOSURE LID - BLACK</t>
  </si>
  <si>
    <t>SO/2025/2514</t>
  </si>
  <si>
    <t>12719</t>
  </si>
  <si>
    <t>12720</t>
  </si>
  <si>
    <t>98% Battery Grd 2% Blk Master</t>
  </si>
  <si>
    <t>SO/2025/1669</t>
  </si>
  <si>
    <t>12501</t>
  </si>
  <si>
    <t>12891</t>
  </si>
  <si>
    <t>12825+12826</t>
  </si>
  <si>
    <t>[TTB01012] MicroLoop Casing Top Black &amp; [TTB01011] MicroLoop Casing Bottom Black</t>
  </si>
  <si>
    <t>SO/2025/2746</t>
  </si>
  <si>
    <t>12833</t>
  </si>
  <si>
    <t>12507</t>
  </si>
  <si>
    <t xml:space="preserve">Stock  </t>
  </si>
  <si>
    <t>12897 +12898 + 00774 + 00775</t>
  </si>
  <si>
    <t>[SL.P.MX7.BS.T] Maxi 700 Fire Extinguisher naked-bracket top + [SL.P.MX7.BO.B] Maxi 700 Fire Extinguisher naked-bracket Bottom +[SL.C.MX7.BS.T] Maxi 700 Fire Extinhuisher bracket Top + [SL.C.MX7.BS.B] Maxi 700 Fire Extinhuisher brackets Bottom</t>
  </si>
  <si>
    <t>12899</t>
  </si>
  <si>
    <t>H2802</t>
  </si>
  <si>
    <t>SO/2025/13141</t>
  </si>
  <si>
    <t>13141</t>
  </si>
  <si>
    <t>SO/2025/3517</t>
  </si>
  <si>
    <t>13247 + 00817</t>
  </si>
  <si>
    <t>13101</t>
  </si>
  <si>
    <t>13102</t>
  </si>
  <si>
    <t>SO/2025/3738</t>
  </si>
  <si>
    <t>13262 + 00829</t>
  </si>
  <si>
    <t>13261 + 00828</t>
  </si>
  <si>
    <t>13260 + 00827</t>
  </si>
  <si>
    <t>13318 + 13319 + 00847</t>
  </si>
  <si>
    <t>13370 + 00859</t>
  </si>
  <si>
    <t>12929</t>
  </si>
  <si>
    <t>12930</t>
  </si>
  <si>
    <t>13436</t>
  </si>
  <si>
    <t>13448 + 00869</t>
  </si>
  <si>
    <t>13482 + 00877</t>
  </si>
  <si>
    <t>SO/2026/0232</t>
  </si>
  <si>
    <t>13544</t>
  </si>
  <si>
    <t>13546</t>
  </si>
  <si>
    <t>13545</t>
  </si>
  <si>
    <t>[HF.P.HC.B.INF.BK] HFT Inflator Hub Base [AX800904]</t>
  </si>
  <si>
    <t>13622 + 13623</t>
  </si>
  <si>
    <t>N2301</t>
  </si>
  <si>
    <t>13399</t>
  </si>
  <si>
    <t>[SL.P.MX7.IT] Maxi 700 Inner Tray</t>
  </si>
  <si>
    <t>13437 + 13438 + 00866</t>
  </si>
  <si>
    <t>Jan-Feb</t>
  </si>
  <si>
    <t>13492 + 13491 + 00878</t>
  </si>
  <si>
    <t>Late start up</t>
  </si>
  <si>
    <t>13703</t>
  </si>
  <si>
    <t>City office slider</t>
  </si>
  <si>
    <t>Late mould change</t>
  </si>
  <si>
    <t>13752</t>
  </si>
  <si>
    <t>13815</t>
  </si>
  <si>
    <t>Posibility to move it down due Urgent order of city office</t>
  </si>
  <si>
    <t>13797</t>
  </si>
  <si>
    <t>13796</t>
  </si>
  <si>
    <t>SO/2026/1132</t>
  </si>
  <si>
    <t>13873</t>
  </si>
  <si>
    <t>13854 + 13855</t>
  </si>
  <si>
    <t>SO/2026/1177</t>
  </si>
  <si>
    <t>13878</t>
  </si>
  <si>
    <t>13877</t>
  </si>
  <si>
    <t>SO/2026/0759</t>
  </si>
  <si>
    <t>14010 + 14011</t>
  </si>
  <si>
    <t>14081</t>
  </si>
  <si>
    <t>14078 + 14079 + 14080</t>
  </si>
  <si>
    <t>SO/2026/14068</t>
  </si>
  <si>
    <t>14068</t>
  </si>
  <si>
    <t>USA SO/2026/1448</t>
  </si>
  <si>
    <t>14046</t>
  </si>
  <si>
    <t>14047</t>
  </si>
  <si>
    <t>[SL.FG.CP0.3.BK (ANC)] 12” X-treme Guard (50089-12) Black - Ancra</t>
  </si>
  <si>
    <t>so/2022/3558</t>
  </si>
  <si>
    <t>0.6m Corner Protector (Ancra-Blue)</t>
  </si>
  <si>
    <t>SO/2022/2150+2265+2266</t>
  </si>
  <si>
    <t>6973 + 00192</t>
  </si>
  <si>
    <t>SO/2022/3591-FEB</t>
  </si>
  <si>
    <t>7594 + 7595 + 7597</t>
  </si>
  <si>
    <t>SO/2022/3598-MARCH+STOCK</t>
  </si>
  <si>
    <t>SO/2023/0120-JAN</t>
  </si>
  <si>
    <t>WH/MO/07010 + 7020</t>
  </si>
  <si>
    <t>SO/2023/0158-FEB</t>
  </si>
  <si>
    <t>SO/2023/0167-MAR</t>
  </si>
  <si>
    <t>SO/2023/0160-FEB</t>
  </si>
  <si>
    <t>7781 + 7780</t>
  </si>
  <si>
    <t>SO/2023/0168-MAR</t>
  </si>
  <si>
    <t>SO/2023/0161-FEB</t>
  </si>
  <si>
    <t>7782 + 00281</t>
  </si>
  <si>
    <t>SO/2023/0169-MAR</t>
  </si>
  <si>
    <t>SO/2023/0162-FEB</t>
  </si>
  <si>
    <t>7783 + 00282</t>
  </si>
  <si>
    <t>SO/2023/0170-MAR</t>
  </si>
  <si>
    <t>SO/2023/0163-FEB</t>
  </si>
  <si>
    <t>7784 + 7046</t>
  </si>
  <si>
    <t>SO/2023/0171-MAR</t>
  </si>
  <si>
    <t>SO/2023/0164-FEB</t>
  </si>
  <si>
    <t>7785 + 00283</t>
  </si>
  <si>
    <t>SO/2023/0172-MAR</t>
  </si>
  <si>
    <t>april+stock</t>
  </si>
  <si>
    <t>7832 + 7856</t>
  </si>
  <si>
    <t>7869</t>
  </si>
  <si>
    <t xml:space="preserve">68L Tote Bin Bottom Black </t>
  </si>
  <si>
    <t>7889 + 00301</t>
  </si>
  <si>
    <t>52L Tote Bin Bottom Purple (2074C)</t>
  </si>
  <si>
    <t>7890 + 00302</t>
  </si>
  <si>
    <t>18L Tote Bin Bottom Purple (2074C)</t>
  </si>
  <si>
    <t>SO/2023/0474</t>
  </si>
  <si>
    <t>7977</t>
  </si>
  <si>
    <t>00317ASS+07990</t>
  </si>
  <si>
    <t>N900</t>
  </si>
  <si>
    <t>SO/2023/0329 MOBLEY GREENHOUSE LOGO - EXPORT</t>
  </si>
  <si>
    <t>7740</t>
  </si>
  <si>
    <t>242S67V Tray (Proptek)</t>
  </si>
  <si>
    <t>BLANK LOGO - NORMAL PALLETS</t>
  </si>
  <si>
    <t>08047</t>
  </si>
  <si>
    <t>242S67V Tray</t>
  </si>
  <si>
    <t>trial-material</t>
  </si>
  <si>
    <t>CRV 648 25MFI</t>
  </si>
  <si>
    <t>CTV 448 50MFI</t>
  </si>
  <si>
    <t>CRV 648 50% + CTV 448 50%</t>
  </si>
  <si>
    <t>08279+00023</t>
  </si>
  <si>
    <t>08280+00024</t>
  </si>
  <si>
    <t>08175</t>
  </si>
  <si>
    <t>Maxi 700 Lid with compartments (Yellow)</t>
  </si>
  <si>
    <t>08176</t>
  </si>
  <si>
    <t>Maxi 700 Lid with compartments (Green)</t>
  </si>
  <si>
    <t>08174</t>
  </si>
  <si>
    <t>Maxi 700 Lid with compartments (Blue)</t>
  </si>
  <si>
    <t>00015+08160assembly</t>
  </si>
  <si>
    <t>MAY- WAITING FOR NAMEPLATE</t>
  </si>
  <si>
    <t>08318</t>
  </si>
  <si>
    <t>[PBE05012] 242S67V Tray (Virgin Green PP)(MULTIPLANT LOGO)</t>
  </si>
  <si>
    <t>8434</t>
  </si>
  <si>
    <t>[PBE05029] 242S67V Tray (Proptek)</t>
  </si>
  <si>
    <t>SO2023/1523
MULTIPLANT name plate
packed on:
Local Pallets, 6 per line, 210 per pallet, 58 pallets</t>
  </si>
  <si>
    <t>8516</t>
  </si>
  <si>
    <t>[PBE05012] 242S67V Tray (Virgin Green PP)</t>
  </si>
  <si>
    <t>SO2023/1874
NO name plate
packed on:
Local Pallets, 6 per line, 210 per pallet - 4 PALLETS X 210, 1 PALLET X 160</t>
  </si>
  <si>
    <t>8648</t>
  </si>
  <si>
    <t>[PBE05009] 242S67V Tray</t>
  </si>
  <si>
    <t>July DC Replenishment</t>
  </si>
  <si>
    <t>8770</t>
  </si>
  <si>
    <t>SO2023/2139</t>
  </si>
  <si>
    <t>8777</t>
  </si>
  <si>
    <t>SO2023/1876
MULTIPLANT name plate
packed on:
Local Pallets, 6 per line, 210 per pallet - 57 PALLETS X 210, 1 x PALLET x 30</t>
  </si>
  <si>
    <t>8674</t>
  </si>
  <si>
    <t>[PBE05012] 242S67V Tray (Virgin Green PP)(MULTIPLANT)</t>
  </si>
  <si>
    <t>SO2023/2090
CPS name plate
packed on:
Local Pallets, 6 per line, 210 per pallet - 47 PALLETS X 210, 1 x PALLET x 130</t>
  </si>
  <si>
    <t>8757</t>
  </si>
  <si>
    <t>[PBE05040] 242S67V Tray (Virgin Green PP)(CPS Seedlings)</t>
  </si>
  <si>
    <t>00141 &amp; 8993</t>
  </si>
  <si>
    <t>SO2023/2579</t>
  </si>
  <si>
    <t>00146 &amp; 9014</t>
  </si>
  <si>
    <t>SO2023/2902</t>
  </si>
  <si>
    <t>00158 &amp; 00468</t>
  </si>
  <si>
    <t>SO2023/3050</t>
  </si>
  <si>
    <t>00166</t>
  </si>
  <si>
    <t>00165 &amp; 9237</t>
  </si>
  <si>
    <t>9171</t>
  </si>
  <si>
    <t>00484</t>
  </si>
  <si>
    <t>[PBC01131] 68L Tote Bin Bottom Blue (7461C)</t>
  </si>
  <si>
    <t>SO2023/3048</t>
  </si>
  <si>
    <t>9266</t>
  </si>
  <si>
    <t>[PBC01021] 52L Tote Bin Bottom Grey (429C)</t>
  </si>
  <si>
    <t>SO2023/3152</t>
  </si>
  <si>
    <t>9278</t>
  </si>
  <si>
    <t>SO2023/3207</t>
  </si>
  <si>
    <t>9382</t>
  </si>
  <si>
    <t>[PBC01133] 52L Tote Bin Bottom Blue (2746C) - 30% LLDP</t>
  </si>
  <si>
    <t>9383</t>
  </si>
  <si>
    <t>[PBC01134] 52L Tote Bin Bottom Green (3405C) - 30% LLDPE</t>
  </si>
  <si>
    <t>9399</t>
  </si>
  <si>
    <t>SO2023/3375</t>
  </si>
  <si>
    <t>9352</t>
  </si>
  <si>
    <t>9538</t>
  </si>
  <si>
    <t>9541 + 9542 + 00212</t>
  </si>
  <si>
    <t>9635</t>
  </si>
  <si>
    <t>SO2024/0046
MULTIPLANT name plate
packed on:
Local Pallets, 6 per line, 210 per pallet - 57 PALLETS X 210, 1 x PALLET x 30</t>
  </si>
  <si>
    <t>9718</t>
  </si>
  <si>
    <t>9636</t>
  </si>
  <si>
    <t>9682</t>
  </si>
  <si>
    <t>9681</t>
  </si>
  <si>
    <t>9919</t>
  </si>
  <si>
    <t>9757</t>
  </si>
  <si>
    <t>10005</t>
  </si>
  <si>
    <t>10008</t>
  </si>
  <si>
    <t>[PBC01049] 68L Tote Bin Bottom Yellow (102C)</t>
  </si>
  <si>
    <t>SO2024/0433</t>
  </si>
  <si>
    <t>10031</t>
  </si>
  <si>
    <t>SO2024/0538</t>
  </si>
  <si>
    <t>10110</t>
  </si>
  <si>
    <t>SO2024/0615</t>
  </si>
  <si>
    <t>10141</t>
  </si>
  <si>
    <t>SO/2024/0731</t>
  </si>
  <si>
    <t>10178</t>
  </si>
  <si>
    <t>10179</t>
  </si>
  <si>
    <t>[PBC01035] 52L Tote Bin Lid Purple (2074C)</t>
  </si>
  <si>
    <t>SO/2024/0779</t>
  </si>
  <si>
    <t>SO2024/0779</t>
  </si>
  <si>
    <t>10200</t>
  </si>
  <si>
    <t>April Dc Stock Replenishment</t>
  </si>
  <si>
    <t>10208</t>
  </si>
  <si>
    <t>S0/2024/1080, S0/2024/1081, S0/2024/1082</t>
  </si>
  <si>
    <t>00288 &amp;10289</t>
  </si>
  <si>
    <t>S0/2024/1077, S0/2024/1078, S0/2024/1079</t>
  </si>
  <si>
    <t>00289 &amp; 10290</t>
  </si>
  <si>
    <t>S0/2024/1083, S0/2024/1084, S0/2024/1085</t>
  </si>
  <si>
    <t>00290 &amp; 10291</t>
  </si>
  <si>
    <t>S0/2024/1086, S0/2024/1087, S0/2024/1088</t>
  </si>
  <si>
    <t>00291 &amp; 10292</t>
  </si>
  <si>
    <t>[PBC01073] Black Basket &amp; [PBC06047] Black Jumbo Basket</t>
  </si>
  <si>
    <t>May Dc Stock Replenishment</t>
  </si>
  <si>
    <t>10338</t>
  </si>
  <si>
    <t>S0/2024/1068</t>
  </si>
  <si>
    <t>10294</t>
  </si>
  <si>
    <t>10295</t>
  </si>
  <si>
    <t>S0/2024/1284</t>
  </si>
  <si>
    <t>10368</t>
  </si>
  <si>
    <t>S0/2024/1311</t>
  </si>
  <si>
    <t>10402</t>
  </si>
  <si>
    <t>10438</t>
  </si>
  <si>
    <t>10434</t>
  </si>
  <si>
    <t>SO/2024/1461</t>
  </si>
  <si>
    <t>10439</t>
  </si>
  <si>
    <t>10464</t>
  </si>
  <si>
    <t>SO/2024/1514</t>
  </si>
  <si>
    <t>10463</t>
  </si>
  <si>
    <t>SO/2024/1516</t>
  </si>
  <si>
    <t>10489</t>
  </si>
  <si>
    <t>10476</t>
  </si>
  <si>
    <t>PBC01034] 52L Tote Bin Lid Pink (7424C)</t>
  </si>
  <si>
    <t>SO/2024/1858</t>
  </si>
  <si>
    <t>10628</t>
  </si>
  <si>
    <t>[PBC01115] 52L Tote Bin Lid Yellow (109C)</t>
  </si>
  <si>
    <t>10630</t>
  </si>
  <si>
    <t>SO/2024/1596</t>
  </si>
  <si>
    <t>10510</t>
  </si>
  <si>
    <t>[PBC01136] 52L Tote Bin Lid Black - 60% Virgin/ 40% Battery Grade</t>
  </si>
  <si>
    <t>SO/2024/1891/2/3</t>
  </si>
  <si>
    <t>10664 + 00349</t>
  </si>
  <si>
    <t>SO/2024/1895/6/4</t>
  </si>
  <si>
    <t>00348 + 10663</t>
  </si>
  <si>
    <t>SO/2024/1900/2/1852</t>
  </si>
  <si>
    <t>00350 +  10665</t>
  </si>
  <si>
    <t>SO/2024/1879/1898/99</t>
  </si>
  <si>
    <t>00351 + 10666</t>
  </si>
  <si>
    <t>SO/2024/1903/4/5</t>
  </si>
  <si>
    <t>00352 + 10667</t>
  </si>
  <si>
    <t>[PBC06047] Black Jumbo Basket + [PBC01073] Black Basket</t>
  </si>
  <si>
    <t>10640</t>
  </si>
  <si>
    <t>SO/2024/1666</t>
  </si>
  <si>
    <t>10554</t>
  </si>
  <si>
    <t>10791</t>
  </si>
  <si>
    <t>[SL.P.MX7.B.RD] Maxi 700 Base Virgin (Red)</t>
  </si>
  <si>
    <t>10839</t>
  </si>
  <si>
    <t>10795</t>
  </si>
  <si>
    <t>SO/2024/1156</t>
  </si>
  <si>
    <t>10537</t>
  </si>
  <si>
    <t>10936</t>
  </si>
  <si>
    <t>11020</t>
  </si>
  <si>
    <t>SO/2024/2264</t>
  </si>
  <si>
    <t>11074</t>
  </si>
  <si>
    <t>IWC - 740mm Splash Grid Tray Square (PPFR)</t>
  </si>
  <si>
    <t>N750</t>
  </si>
  <si>
    <t>11165 + 00448</t>
  </si>
  <si>
    <t>[PBC01141] 52L Tote Bin Bottom Grey (L36844A) + [PBC06127] 52L Tote Bin 600x400x320 Grey (L36844A)</t>
  </si>
  <si>
    <t>SO/2024/2763</t>
  </si>
  <si>
    <t>11115 + 00441</t>
  </si>
  <si>
    <t xml:space="preserve">[PBC01018] 52L Tote Bin Bottom Blue (2746C) + [PBC06011] 52L Tote Bin 600x400x320 Blue (2746C) </t>
  </si>
  <si>
    <t>11039 + 00420</t>
  </si>
  <si>
    <t>52L Tote Bin Bottom Orange (164C) + [PBC06123] 52L Tote Bin 600x400x320 Orange Bin (164C) with Orange Lid (164C) (MALBEN ENGINEERING )</t>
  </si>
  <si>
    <t>SO/2024/2932</t>
  </si>
  <si>
    <t>11237 + 00468</t>
  </si>
  <si>
    <t>[PBC01018] 52L Tote Bin Bottom Blue (2746C) + [PBC06012] 52L Tote Bin 600x400x320 Blue (2746C) (Property of Clicks)</t>
  </si>
  <si>
    <t>10865 + 00387</t>
  </si>
  <si>
    <t>[PBC01141] 52L Tote Bin Bottom Grey (L36844A) + [PBC06107] 52L Tote Bin 600x400x320 Grey (Property of UPD)</t>
  </si>
  <si>
    <t>SO/2024/2905</t>
  </si>
  <si>
    <t>11220</t>
  </si>
  <si>
    <t>[PBC01021] 52L Tote Bin Bottom Grey (429C) + [PBC06016] 52L Tote Bin 600x400x320 Grey (429C) ( Property of GLS Supply Chain Equipment)</t>
  </si>
  <si>
    <t>11264</t>
  </si>
  <si>
    <t>11273</t>
  </si>
  <si>
    <t>11146</t>
  </si>
  <si>
    <t>11441</t>
  </si>
  <si>
    <t>SO/2024/3225</t>
  </si>
  <si>
    <t>11440</t>
  </si>
  <si>
    <t>[PBC01034] 52L Tote Bin Lid Pink (7424C)</t>
  </si>
  <si>
    <t>SO/2024/3266</t>
  </si>
  <si>
    <t>11493</t>
  </si>
  <si>
    <t>11529</t>
  </si>
  <si>
    <t xml:space="preserve">	[PBC01029] 52L Tote Bin Lid Blue (2746C)</t>
  </si>
  <si>
    <t>11530</t>
  </si>
  <si>
    <t xml:space="preserve">
[PBC01033] 52L Tote Bin Lid Grey (429C)</t>
  </si>
  <si>
    <t>11550</t>
  </si>
  <si>
    <t>11780 + 00563</t>
  </si>
  <si>
    <t>11779 + 00562</t>
  </si>
  <si>
    <t>SO/2025/0445</t>
  </si>
  <si>
    <t>11769 + 00557</t>
  </si>
  <si>
    <t xml:space="preserve">	[PBC01078] Pink Basket +[PBC06052] Pink Jumbo Basket</t>
  </si>
  <si>
    <t>11778 + 00561</t>
  </si>
  <si>
    <t>11777 + 00560</t>
  </si>
  <si>
    <t>SO/2025/0570</t>
  </si>
  <si>
    <t>[PBC01076] Grey Basket + [PBC06131] Grey Jumbo Basket (Build It)</t>
  </si>
  <si>
    <t>11781 + 00564</t>
  </si>
  <si>
    <t>11770 + 00558</t>
  </si>
  <si>
    <t>11771 + 00559</t>
  </si>
  <si>
    <t>11850 + 00577</t>
  </si>
  <si>
    <t>[PBC01148] 18L Tote Bin Bottom Orange (164C) + [PBC06122] 18L Tote Bin 400x300x240 Orange Bin (164c) with Orange Lid (164c) (MALBEN ENGINEERING )</t>
  </si>
  <si>
    <t>11802 + 11803 + 00568</t>
  </si>
  <si>
    <t>11861</t>
  </si>
  <si>
    <t>11862</t>
  </si>
  <si>
    <t>11906</t>
  </si>
  <si>
    <t>11494 + 00505</t>
  </si>
  <si>
    <t>11960</t>
  </si>
  <si>
    <t>SO/2025/0916</t>
  </si>
  <si>
    <t>12100 + 00613</t>
  </si>
  <si>
    <t>12102 + 00615</t>
  </si>
  <si>
    <t>12101 + 00614</t>
  </si>
  <si>
    <t>12097 + 00610</t>
  </si>
  <si>
    <t>12099 +  00612</t>
  </si>
  <si>
    <t>12230</t>
  </si>
  <si>
    <t>12231</t>
  </si>
  <si>
    <t>12265</t>
  </si>
  <si>
    <t>[SL.P.MX7.L.RD.DW (AF)] Maxi 700 Lid with Diamond Window cutout (Red) (Afrit)</t>
  </si>
  <si>
    <t>SO/2025/1129 June</t>
  </si>
  <si>
    <t>12147</t>
  </si>
  <si>
    <t>SO/2025/1350</t>
  </si>
  <si>
    <t>12343</t>
  </si>
  <si>
    <t>12483</t>
  </si>
  <si>
    <t>12632</t>
  </si>
  <si>
    <t>SO/2025/2657</t>
  </si>
  <si>
    <t>12793</t>
  </si>
  <si>
    <t>12766</t>
  </si>
  <si>
    <t>12765</t>
  </si>
  <si>
    <t xml:space="preserve"> [SL.FG.CP1.2.GY] 1.2m Corner Protector (Grey)</t>
  </si>
  <si>
    <t>12762</t>
  </si>
  <si>
    <t xml:space="preserve">Stock </t>
  </si>
  <si>
    <t>12868</t>
  </si>
  <si>
    <t>12761</t>
  </si>
  <si>
    <t>Oct/Nov/Dec</t>
  </si>
  <si>
    <t>12867</t>
  </si>
  <si>
    <t>12763</t>
  </si>
  <si>
    <t>12866</t>
  </si>
  <si>
    <t>SO/2025/2743</t>
  </si>
  <si>
    <t>12829</t>
  </si>
  <si>
    <t>SO/2025/2957</t>
  </si>
  <si>
    <t>12950</t>
  </si>
  <si>
    <t>[PGA05011] Splash Tray (Battery Grade PP)</t>
  </si>
  <si>
    <t>12973</t>
  </si>
  <si>
    <t>12854</t>
  </si>
  <si>
    <t>SO/2025/2899</t>
  </si>
  <si>
    <t>13095</t>
  </si>
  <si>
    <t>13178</t>
  </si>
  <si>
    <t>SO/2025/3737</t>
  </si>
  <si>
    <t>13263</t>
  </si>
  <si>
    <t>13266</t>
  </si>
  <si>
    <t>[PBC01036] 52L Tote Bin Lid Red (2035C)</t>
  </si>
  <si>
    <t>13267</t>
  </si>
  <si>
    <t>SO/2025/3883</t>
  </si>
  <si>
    <t>13301</t>
  </si>
  <si>
    <t>13264</t>
  </si>
  <si>
    <t>13265</t>
  </si>
  <si>
    <t>13364</t>
  </si>
  <si>
    <t>13384</t>
  </si>
  <si>
    <t>13391</t>
  </si>
  <si>
    <t>Jan-Mar</t>
  </si>
  <si>
    <t>13483</t>
  </si>
  <si>
    <t>SO/2025/0200</t>
  </si>
  <si>
    <t>13547</t>
  </si>
  <si>
    <t>13599 + 00902</t>
  </si>
  <si>
    <t>So/2026/0204</t>
  </si>
  <si>
    <t>13570 + 00891</t>
  </si>
  <si>
    <t xml:space="preserve">
Blue Basket (Walmart Blue) + [PBC06153] Blue Jumbo Basket (Walmart Blue)</t>
  </si>
  <si>
    <t>SO/2026/0672</t>
  </si>
  <si>
    <t>13697 + 00915</t>
  </si>
  <si>
    <t>So/2026/0210</t>
  </si>
  <si>
    <t>13698 + 009163</t>
  </si>
  <si>
    <t>Order moved up</t>
  </si>
  <si>
    <t>13702</t>
  </si>
  <si>
    <t xml:space="preserve"> [PCF05025] 700mm Bases</t>
  </si>
  <si>
    <t>Still have enough SOH</t>
  </si>
  <si>
    <t>Stock Mnadate</t>
  </si>
  <si>
    <t>13753</t>
  </si>
  <si>
    <t>SO/2026/0675</t>
  </si>
  <si>
    <t>13722</t>
  </si>
  <si>
    <t>SO/2026/1137</t>
  </si>
  <si>
    <t>13943</t>
  </si>
  <si>
    <t>Mould Faulty</t>
  </si>
  <si>
    <t>13793 + 00934</t>
  </si>
  <si>
    <t>13792 + 00933</t>
  </si>
  <si>
    <t>SO/2026/1006</t>
  </si>
  <si>
    <t>13795 + 00936</t>
  </si>
  <si>
    <t>SO/2026/1239</t>
  </si>
  <si>
    <t>14000 + 14001</t>
  </si>
  <si>
    <t>SO/2026/1351</t>
  </si>
  <si>
    <t>14002 + 14003</t>
  </si>
  <si>
    <t xml:space="preserve"> </t>
  </si>
  <si>
    <t xml:space="preserve">ORDERS - DEC </t>
  </si>
  <si>
    <t>SO/2022/3118+3579+3580 - JAN</t>
  </si>
  <si>
    <t>SO/2022/3591 - FEB</t>
  </si>
  <si>
    <t>SAMPLE (HDPE REGRIND)</t>
  </si>
  <si>
    <t>SAMPLE</t>
  </si>
  <si>
    <t>68L Tote Bin Lid Regrind Black</t>
  </si>
  <si>
    <t>WH/MO/07750</t>
  </si>
  <si>
    <t>68L Tote Bin Lid Blue (2746C)</t>
  </si>
  <si>
    <t>WH/MO/07751</t>
  </si>
  <si>
    <t>68L Tote Bin Lid Red (2035C)</t>
  </si>
  <si>
    <t>WH/MO/07749</t>
  </si>
  <si>
    <t>52L Tote Bin Lid Blue (2746C)</t>
  </si>
  <si>
    <t>WH/MO/07746</t>
  </si>
  <si>
    <t>52L Tote Bin Bottom Blue (2746C)</t>
  </si>
  <si>
    <t>7822 + 7831</t>
  </si>
  <si>
    <t>SO/2023/0334</t>
  </si>
  <si>
    <t>7884</t>
  </si>
  <si>
    <t>[TTA01039] Aerial Slack Bin Lid Pink - Vuma Print</t>
  </si>
  <si>
    <t>07989</t>
  </si>
  <si>
    <t>SO/2023/0351- BRAILSFORDS LOGO - EXPORT</t>
  </si>
  <si>
    <t>7921</t>
  </si>
  <si>
    <t>SO/2023/0417- Blank Logo - EXPORT</t>
  </si>
  <si>
    <t>7922</t>
  </si>
  <si>
    <t>SO/2023/0417- BLANK LOGO - EXPORT</t>
  </si>
  <si>
    <t>7946</t>
  </si>
  <si>
    <t>08046</t>
  </si>
  <si>
    <t>SO/2023/0175-APRIL</t>
  </si>
  <si>
    <t>7810 + 7811</t>
  </si>
  <si>
    <t>SO/2023/0183-MAY</t>
  </si>
  <si>
    <t>SO/2023/0193-JUNE</t>
  </si>
  <si>
    <t>SO/2023/0176-APRIL</t>
  </si>
  <si>
    <t>7812 + 7813</t>
  </si>
  <si>
    <t>SO/2023/0184-MAY</t>
  </si>
  <si>
    <t>SO/2023/0195-JUNE</t>
  </si>
  <si>
    <t>SO/2023/0169-MARCH balance</t>
  </si>
  <si>
    <t>08118+00331</t>
  </si>
  <si>
    <t>SO/2023/0177-APRIL</t>
  </si>
  <si>
    <t>SO/2023/0185-MAY</t>
  </si>
  <si>
    <t>SO/2023/0196-JUNE</t>
  </si>
  <si>
    <t>SO/2023/0178-APRIL</t>
  </si>
  <si>
    <t>7873 + 7859</t>
  </si>
  <si>
    <t>SO/2023/0188-MAY</t>
  </si>
  <si>
    <t>SO/2023/0198-JUNE</t>
  </si>
  <si>
    <t>SO/2023/0179-APRIL</t>
  </si>
  <si>
    <t>7874 + 7875</t>
  </si>
  <si>
    <t>SO/2023/0189-MAY</t>
  </si>
  <si>
    <t>SO/2023/0199-JUNE</t>
  </si>
  <si>
    <t>SO/2023/0180-APRIL</t>
  </si>
  <si>
    <t>7876 + 7858</t>
  </si>
  <si>
    <t>SO/2023/0190-MAY</t>
  </si>
  <si>
    <t>SO/2023/0200-JUNE</t>
  </si>
  <si>
    <t>08126</t>
  </si>
  <si>
    <t>18L Tote Bin Bottom Black (Re Grind Battery Grade)</t>
  </si>
  <si>
    <t>08125</t>
  </si>
  <si>
    <t>08124</t>
  </si>
  <si>
    <t>18L Tote Bin Bottom Yellow (102C)</t>
  </si>
  <si>
    <t>00013+08156assembly</t>
  </si>
  <si>
    <t>08224</t>
  </si>
  <si>
    <t>SO/2023/0620 APRIL</t>
  </si>
  <si>
    <t>08048</t>
  </si>
  <si>
    <t>[PGA01034] ARGO White Reflector</t>
  </si>
  <si>
    <t>08049</t>
  </si>
  <si>
    <t>[PGA01031] ARGO Clear Diffuser</t>
  </si>
  <si>
    <t>H70</t>
  </si>
  <si>
    <t>08315</t>
  </si>
  <si>
    <t>MAY - NORMAL PALLETS</t>
  </si>
  <si>
    <t>08316</t>
  </si>
  <si>
    <t>MAY - EXPORT PALLETS</t>
  </si>
  <si>
    <t>08317</t>
  </si>
  <si>
    <t>08355</t>
  </si>
  <si>
    <t>08314</t>
  </si>
  <si>
    <t>68L Tote Bin Bottom Blue (2746C)</t>
  </si>
  <si>
    <t>May POC30329</t>
  </si>
  <si>
    <t>08420</t>
  </si>
  <si>
    <t xml:space="preserve">68L Tote bin Bottom Orange 164C (Pepkor) </t>
  </si>
  <si>
    <t>SO2023/1217
Export - CIF Nelson NZ Packed on export pallets Green X, 
1.1m x 1m x 2.25m
10 x 592 (8X74)
20" Standard Container</t>
  </si>
  <si>
    <t>8392</t>
  </si>
  <si>
    <t>SO2023/1217
Export - CIF Auckland NZ
Packed on export pallets Green X, 
1.1m x 1m x 2.25m
22 x 672 (8x84)
40" HC Container</t>
  </si>
  <si>
    <t>8393</t>
  </si>
  <si>
    <t>8476</t>
  </si>
  <si>
    <t>[HF.P.MX7.L.RD.DW] MAXI 700 LID WITH DIAMOND WINDOW CUTOUT (RED) FREUHAUF</t>
  </si>
  <si>
    <t>So2023/1663</t>
  </si>
  <si>
    <t>8577</t>
  </si>
  <si>
    <t>00072</t>
  </si>
  <si>
    <t>[PBC01047] 68L Tote Bin Bottom PNP BLUE (295C)</t>
  </si>
  <si>
    <t>00074</t>
  </si>
  <si>
    <t>8732</t>
  </si>
  <si>
    <t>[sl.p.mx7.l.cp.bl] Maxi 700 Lid with compartments (Blue)</t>
  </si>
  <si>
    <t>08470</t>
  </si>
  <si>
    <t>[sl.p.mx7.l.cp.gr] Maxi 700 Lid with compartments (Green)</t>
  </si>
  <si>
    <t>00090</t>
  </si>
  <si>
    <t>[TTB01001] Access Box 300 Chamber Black</t>
  </si>
  <si>
    <t>'000101</t>
  </si>
  <si>
    <t>July replenishment</t>
  </si>
  <si>
    <t>8694</t>
  </si>
  <si>
    <t>August replenishment</t>
  </si>
  <si>
    <t>8852</t>
  </si>
  <si>
    <t>8912</t>
  </si>
  <si>
    <t>SO2023/2534</t>
  </si>
  <si>
    <t>9010</t>
  </si>
  <si>
    <t>8950</t>
  </si>
  <si>
    <t>SO2023/2841</t>
  </si>
  <si>
    <t>9153</t>
  </si>
  <si>
    <t>[PBC01121] 18L Tote Bin Bottom Black VIRGIN/BATTERY GRADE</t>
  </si>
  <si>
    <t>9179</t>
  </si>
  <si>
    <t>9234</t>
  </si>
  <si>
    <t>9235</t>
  </si>
  <si>
    <t>9271</t>
  </si>
  <si>
    <t>00485</t>
  </si>
  <si>
    <t>[PBC01132] 68L Tote Bin Lid Blue (7461C)</t>
  </si>
  <si>
    <t>9303</t>
  </si>
  <si>
    <t>9277</t>
  </si>
  <si>
    <t>9400</t>
  </si>
  <si>
    <t>9366</t>
  </si>
  <si>
    <t>9343</t>
  </si>
  <si>
    <t>SO2023/3436</t>
  </si>
  <si>
    <t>0200 &amp; 9414</t>
  </si>
  <si>
    <t>00213 + 9568</t>
  </si>
  <si>
    <t>00214 + 9569</t>
  </si>
  <si>
    <t>00215 + 9570</t>
  </si>
  <si>
    <t>00216 + 9571</t>
  </si>
  <si>
    <t>00217 + 9572</t>
  </si>
  <si>
    <t>00218 + 9573</t>
  </si>
  <si>
    <t>9756</t>
  </si>
  <si>
    <t>9758</t>
  </si>
  <si>
    <t>9655</t>
  </si>
  <si>
    <t>9659</t>
  </si>
  <si>
    <t>9717</t>
  </si>
  <si>
    <t>9966</t>
  </si>
  <si>
    <t>9965</t>
  </si>
  <si>
    <t>9688</t>
  </si>
  <si>
    <t>9967</t>
  </si>
  <si>
    <t>10047</t>
  </si>
  <si>
    <t>10048</t>
  </si>
  <si>
    <t>10115</t>
  </si>
  <si>
    <t>10127</t>
  </si>
  <si>
    <t>SO/2024/0181</t>
  </si>
  <si>
    <t>9899</t>
  </si>
  <si>
    <t>[PBE05019] Global015 Tray</t>
  </si>
  <si>
    <t>10232</t>
  </si>
  <si>
    <t>10247</t>
  </si>
  <si>
    <t>10248</t>
  </si>
  <si>
    <t>10285</t>
  </si>
  <si>
    <t>10286</t>
  </si>
  <si>
    <t>10287</t>
  </si>
  <si>
    <t>10288</t>
  </si>
  <si>
    <t>00279, 10269</t>
  </si>
  <si>
    <t xml:space="preserve">
[PBC01002] 18L Tote Bin Bottom Blue (2746C) &amp; [PBC06002] 18L Tote Bin 400x300x240 Blue (2746C)</t>
  </si>
  <si>
    <t>00280, 10270</t>
  </si>
  <si>
    <t>[PBC01121] 18L Tote Bin Bottom Black 60% VIRGIN/40% BATTERY GRADE &amp; [PBC05021] 18L Tote Bin 400x300x240 Black 60% VIRGIN/ 40% BATTERY GRADE</t>
  </si>
  <si>
    <t>SO2024/1116</t>
  </si>
  <si>
    <t>00298 &amp; 10335</t>
  </si>
  <si>
    <t>10357</t>
  </si>
  <si>
    <t>Access Box 300 Chamber Black &amp; Access Box 300 [Lightstruck fibre]</t>
  </si>
  <si>
    <t>So2024/1032</t>
  </si>
  <si>
    <t>0305 &amp; 10366</t>
  </si>
  <si>
    <t>[PBC01017] 52L Tote Bin Bottom Black &amp; [PBC06010] 52L Tote Bin 600x400x320 Black</t>
  </si>
  <si>
    <t>0306</t>
  </si>
  <si>
    <t>10267</t>
  </si>
  <si>
    <t>So2024/1135</t>
  </si>
  <si>
    <t>10268</t>
  </si>
  <si>
    <t>S02024/1247</t>
  </si>
  <si>
    <t>10382</t>
  </si>
  <si>
    <t>10384</t>
  </si>
  <si>
    <t>10383</t>
  </si>
  <si>
    <t>SO2024/1440</t>
  </si>
  <si>
    <t>00315 &amp; 10431</t>
  </si>
  <si>
    <t>10391</t>
  </si>
  <si>
    <t>10392</t>
  </si>
  <si>
    <t>10393</t>
  </si>
  <si>
    <t>10492</t>
  </si>
  <si>
    <t>10491</t>
  </si>
  <si>
    <t>10390</t>
  </si>
  <si>
    <t>10482</t>
  </si>
  <si>
    <t>[PBC01006] 18L Tote Bin Bottom Pink (7424C)</t>
  </si>
  <si>
    <t>10505</t>
  </si>
  <si>
    <t>[PBC01103] 18L Tote Bin Bottom Red (2035C)</t>
  </si>
  <si>
    <t>10483</t>
  </si>
  <si>
    <t>10504</t>
  </si>
  <si>
    <t>10507</t>
  </si>
  <si>
    <t>10559</t>
  </si>
  <si>
    <t>10552</t>
  </si>
  <si>
    <t>SO2024/1514</t>
  </si>
  <si>
    <t>10465 + 00718</t>
  </si>
  <si>
    <t>[PBC01018] 52L Tote Bin Bottom Blue (2746C) + 	[PBC06119] 52L Tote Bin 600x400x320 Blue (2746C) - Silverton Manufacturing</t>
  </si>
  <si>
    <t>SO2024/1516</t>
  </si>
  <si>
    <t>10474 + 00670</t>
  </si>
  <si>
    <t>[PBC01018] 52L Tote Bin Bottom Blue (2746C) + [PBC06118] 52L Tote Bin 600x400x320 Blue Bin (2746c) with Orange Lid (164C) - Property of CJ Distribution</t>
  </si>
  <si>
    <t>10475 + 00671</t>
  </si>
  <si>
    <t>[PBC01023] 52L Tote Bin Bottom Pink (7424C) + 52L Tote Bin 600x400x320 Pink with Pink Lid (7424C) - Property of CJ Distribution</t>
  </si>
  <si>
    <t>SO2024/1778</t>
  </si>
  <si>
    <t>10594 + 00717</t>
  </si>
  <si>
    <t>52L Tote Bin Bottom Orange (164C) + 52L Tote Bin 600x400x320 Orange Bin (164C) with Orange Lid (164C)</t>
  </si>
  <si>
    <t>SO2024/1596</t>
  </si>
  <si>
    <t>10509 + 00689</t>
  </si>
  <si>
    <t>[PBC01135] 52L Tote Bin Bottom Black - 60% Virgin/ 40% Battery Grade + ck - 60% Virgin/ 40% Battery Grade	[PBC06104] 52L Tote Bin 600x400x320 Black - 60% Virgin/ 40% Battery Grade</t>
  </si>
  <si>
    <t>SO2024/1858</t>
  </si>
  <si>
    <t>00338 + 10626</t>
  </si>
  <si>
    <t>[PBC01114] 52L Tote Bin Bottom Yellow (109C) + 	52L Tote Bin 600x400x320 Yellow (109C) (Property of Clicks)</t>
  </si>
  <si>
    <t>00339 + 10627</t>
  </si>
  <si>
    <t>[PBC06079] 52L Tote Bin 600x400x320 Yellow (109C) + [PBC06079] 52L Tote Bin 600x400x320 Yellow (109C)</t>
  </si>
  <si>
    <t>10618</t>
  </si>
  <si>
    <t>00335 &amp; 10611</t>
  </si>
  <si>
    <t>00359 + 10771</t>
  </si>
  <si>
    <t>00362 + 10774</t>
  </si>
  <si>
    <t>00360 + 10772</t>
  </si>
  <si>
    <t>00361 + 10773</t>
  </si>
  <si>
    <t>00363 + 10775</t>
  </si>
  <si>
    <t>SO/2024/2163</t>
  </si>
  <si>
    <t>00365 + 10777</t>
  </si>
  <si>
    <t>SO/2024/2008</t>
  </si>
  <si>
    <t>10694</t>
  </si>
  <si>
    <t>10695</t>
  </si>
  <si>
    <t>SO/2024/2010</t>
  </si>
  <si>
    <t>10696</t>
  </si>
  <si>
    <t>SO/2024/2031</t>
  </si>
  <si>
    <t>10713</t>
  </si>
  <si>
    <t>10720 + 00358</t>
  </si>
  <si>
    <t>10788 + 00366</t>
  </si>
  <si>
    <t>SO2024/2310</t>
  </si>
  <si>
    <t>10863 + 00386</t>
  </si>
  <si>
    <t>[PBC01139] 18L Tote Bin Bottom Grey (L36844A) + [PBC06106] 18L Tote Bin 400x300x240 Grey (Property of UPD)</t>
  </si>
  <si>
    <t>10852 + 00381</t>
  </si>
  <si>
    <t>10876 + 00389</t>
  </si>
  <si>
    <t>10847 + 00379</t>
  </si>
  <si>
    <t>[PBC01018] 52L Tote Bin Bottom Blue (2746C) + [PBC06119] 52L Tote Bin 600x400x320 Blue (2746C) - Silverton Manufacturing</t>
  </si>
  <si>
    <t>10977 + 00402</t>
  </si>
  <si>
    <t>10850 + 00380</t>
  </si>
  <si>
    <t>[PBC01019] 52L Tote Bin Bottom Green (3405C) + [PBC06093] 52L Tote Bin 600x400x320 Green (3405C) (Property of Clicks)</t>
  </si>
  <si>
    <t>11002 + 00409</t>
  </si>
  <si>
    <t>[PBC01026] 52L Tote Bin Bottom Yellow (102C) + 	[PBC06022] 52L Tote Bin 600x400x320 Yellow (102C)</t>
  </si>
  <si>
    <t>SO/2024/2408</t>
  </si>
  <si>
    <t>10929</t>
  </si>
  <si>
    <t>10954</t>
  </si>
  <si>
    <t>11003 + 00410</t>
  </si>
  <si>
    <t>10994 + 00406</t>
  </si>
  <si>
    <t>10995 + 00407</t>
  </si>
  <si>
    <t>11046 + 00423</t>
  </si>
  <si>
    <t>10996 + 00408</t>
  </si>
  <si>
    <t>11047 + 00424</t>
  </si>
  <si>
    <t>11045 + 00422</t>
  </si>
  <si>
    <t>[PBC01049] 68L Tote Bin Bottom Yellow (102C) + 	[PBC06035] 68L Tote Bin 600x400x365 Yellow (102C)</t>
  </si>
  <si>
    <t>10997 + 00409</t>
  </si>
  <si>
    <t>[PBC01103] 18L Tote Bin Bottom Red (2035C) + 18LT Tote Bin 400x300x240 Red (2035C)</t>
  </si>
  <si>
    <t>SO/2024/2654</t>
  </si>
  <si>
    <t>11082 + 00431</t>
  </si>
  <si>
    <t>11083 +  00432</t>
  </si>
  <si>
    <t>11038 + 00419</t>
  </si>
  <si>
    <t>11119</t>
  </si>
  <si>
    <t>11116</t>
  </si>
  <si>
    <t>11118</t>
  </si>
  <si>
    <t>11117</t>
  </si>
  <si>
    <t>11164</t>
  </si>
  <si>
    <t>SO/2024/2892</t>
  </si>
  <si>
    <t>11208</t>
  </si>
  <si>
    <t>11223</t>
  </si>
  <si>
    <t>11238</t>
  </si>
  <si>
    <t>11250</t>
  </si>
  <si>
    <t>11256</t>
  </si>
  <si>
    <t>11219</t>
  </si>
  <si>
    <t>11221</t>
  </si>
  <si>
    <t>11263</t>
  </si>
  <si>
    <t>[PBC01150] 68L Tote Bin Lid Grey (L36844A)</t>
  </si>
  <si>
    <t>SO/2024/2917</t>
  </si>
  <si>
    <t>11227</t>
  </si>
  <si>
    <t xml:space="preserve">[PBE05021] Global032 Tray </t>
  </si>
  <si>
    <t>SO/2024/3033</t>
  </si>
  <si>
    <t>11271</t>
  </si>
  <si>
    <t xml:space="preserve">[PBE05036] Global032 Tray (Proptek) </t>
  </si>
  <si>
    <t>SO/2024/3024</t>
  </si>
  <si>
    <t>11431</t>
  </si>
  <si>
    <t>11469</t>
  </si>
  <si>
    <t>11474</t>
  </si>
  <si>
    <t>11480</t>
  </si>
  <si>
    <t>11487</t>
  </si>
  <si>
    <t>11535</t>
  </si>
  <si>
    <t>11488+ 00501</t>
  </si>
  <si>
    <t>[PBC01135] 52L Tote Bin Bottom Black - 60% Virgin/ 40% Battery Grade + [PBC06104] 52L Tote Bin 600x400x320 Black - 60% Virgin/ 40% Battery Grade</t>
  </si>
  <si>
    <t>11651</t>
  </si>
  <si>
    <t>11439 + 00487</t>
  </si>
  <si>
    <t>[PBC01023] 52L Tote Bin Bottom Pink (7424C) + [PBC06130] 52L Tote Bin 600x400x320 Pink with Pink Lid (7424C) - Property of Clicks</t>
  </si>
  <si>
    <t>11652</t>
  </si>
  <si>
    <t>11653</t>
  </si>
  <si>
    <t>[PBC01025] 52L Tote Bin Bottom Red (2035C)</t>
  </si>
  <si>
    <t>11654</t>
  </si>
  <si>
    <t>11694</t>
  </si>
  <si>
    <t>11741</t>
  </si>
  <si>
    <t>11748</t>
  </si>
  <si>
    <t>[PBC01023] 52L Tote Bin Bottom Pink (7424C)</t>
  </si>
  <si>
    <t>11695</t>
  </si>
  <si>
    <t>11766 + 00556</t>
  </si>
  <si>
    <t>[TTB01001] Access Box 300 Chamber Black  + 	[TTB05000] Access Box 300 [GEN]</t>
  </si>
  <si>
    <t>11791</t>
  </si>
  <si>
    <t>11798</t>
  </si>
  <si>
    <t>11863</t>
  </si>
  <si>
    <t>11895</t>
  </si>
  <si>
    <t>11896</t>
  </si>
  <si>
    <t>11894</t>
  </si>
  <si>
    <t>11976 + 00594</t>
  </si>
  <si>
    <t>12018 + 00599</t>
  </si>
  <si>
    <t>12103 + 00616</t>
  </si>
  <si>
    <t>12096 + 00609</t>
  </si>
  <si>
    <t>12093</t>
  </si>
  <si>
    <t>12094</t>
  </si>
  <si>
    <t>12092</t>
  </si>
  <si>
    <t>12095</t>
  </si>
  <si>
    <t>12091</t>
  </si>
  <si>
    <t>12174</t>
  </si>
  <si>
    <t>12211</t>
  </si>
  <si>
    <t>12227</t>
  </si>
  <si>
    <t>12309</t>
  </si>
  <si>
    <t>12310</t>
  </si>
  <si>
    <t>SO/2025/1507</t>
  </si>
  <si>
    <t>12258 + 00638</t>
  </si>
  <si>
    <t>[PBC01077] Orange Basket + 
[PBC06051] Orange Jumbo Basket</t>
  </si>
  <si>
    <t>SO/2025/1508</t>
  </si>
  <si>
    <t>12259 + 00639</t>
  </si>
  <si>
    <t>SO/2025/1514</t>
  </si>
  <si>
    <t>12348 + 00655</t>
  </si>
  <si>
    <t xml:space="preserve"> [PBC01075] Green Basket + [PBC06049] Green Jumbo Basket </t>
  </si>
  <si>
    <t>SO/2025/1513</t>
  </si>
  <si>
    <t>12260 + 00640</t>
  </si>
  <si>
    <t>12257 + 00637</t>
  </si>
  <si>
    <t>SO/2025/1504</t>
  </si>
  <si>
    <t>12261 + 00641</t>
  </si>
  <si>
    <t xml:space="preserve"> [PBC01073] Black Basket + [PBC06047] Black Jumbo Basket</t>
  </si>
  <si>
    <t>SO/2025/1692</t>
  </si>
  <si>
    <t>12354 + 00657</t>
  </si>
  <si>
    <t xml:space="preserve">
[PBC0115] Grey Basket (Build It) + [PBC06131] Grey Jumbo Basket (Build It)</t>
  </si>
  <si>
    <t>SO/2025/1546</t>
  </si>
  <si>
    <t>12360 + 00658</t>
  </si>
  <si>
    <t>SO/2025/1548</t>
  </si>
  <si>
    <t>12362 + 00660</t>
  </si>
  <si>
    <t>SO/2025/1547</t>
  </si>
  <si>
    <t>12364 + 00661</t>
  </si>
  <si>
    <t>SO/2025/1545</t>
  </si>
  <si>
    <t>12361 + 00659</t>
  </si>
  <si>
    <t>SO/2025/1544</t>
  </si>
  <si>
    <t>12365 + 00662</t>
  </si>
  <si>
    <t>SO/2025/1640</t>
  </si>
  <si>
    <t>12317</t>
  </si>
  <si>
    <t>[PBC01107] 18L Tote Bin Lid Green (361C)</t>
  </si>
  <si>
    <t>12320</t>
  </si>
  <si>
    <t xml:space="preserve"> 12319 + 00650</t>
  </si>
  <si>
    <t>[PBC01007] 18L Tote Bin Bottom Purple (2074C) + [PBC06067] 18L Tote Bin 400x300x240 Purple &amp; Green (CJ DISTRIBUTION)- Property  of CJ Distribution</t>
  </si>
  <si>
    <t>12397</t>
  </si>
  <si>
    <t>12434</t>
  </si>
  <si>
    <t>[PGA05092] Float Top Grey</t>
  </si>
  <si>
    <t>12398</t>
  </si>
  <si>
    <t>SO/2025/1897</t>
  </si>
  <si>
    <t>12422</t>
  </si>
  <si>
    <t>[PBE05015] Global006 Tray</t>
  </si>
  <si>
    <t>SO/2025/2011</t>
  </si>
  <si>
    <t>12463</t>
  </si>
  <si>
    <t xml:space="preserve">[PBE05015] Global006 Tray </t>
  </si>
  <si>
    <t>SO/2025/2100</t>
  </si>
  <si>
    <t>12500</t>
  </si>
  <si>
    <t>12563</t>
  </si>
  <si>
    <t xml:space="preserve">12555 + 00688 </t>
  </si>
  <si>
    <t>12556 + 00689</t>
  </si>
  <si>
    <t>12553 + 00687</t>
  </si>
  <si>
    <t>SO/2025/2397</t>
  </si>
  <si>
    <t>12663 + 00704</t>
  </si>
  <si>
    <t xml:space="preserve">
[PBC01073] Black Basket + [PBC06047] Black Jumbo Basket</t>
  </si>
  <si>
    <t>Ancra SO2025/2347</t>
  </si>
  <si>
    <t>12661</t>
  </si>
  <si>
    <t>[SL.FG.CP0.6.BL (ANC)] 24” X-treme Guard (50089-24) Blue - Ancra</t>
  </si>
  <si>
    <t>12674</t>
  </si>
  <si>
    <t>12675</t>
  </si>
  <si>
    <t>12721</t>
  </si>
  <si>
    <t>SO/2025/2550</t>
  </si>
  <si>
    <t>12736</t>
  </si>
  <si>
    <t>[PBC06097] Mango Drip Tray (Orange)</t>
  </si>
  <si>
    <t>12735</t>
  </si>
  <si>
    <t>[SL.FG.OT7.BK] Organiser Tray 700 (Black)</t>
  </si>
  <si>
    <t>00729</t>
  </si>
  <si>
    <t>00735</t>
  </si>
  <si>
    <t>00721</t>
  </si>
  <si>
    <t>00730</t>
  </si>
  <si>
    <t>00759</t>
  </si>
  <si>
    <t>12933</t>
  </si>
  <si>
    <t xml:space="preserve">Local </t>
  </si>
  <si>
    <t>12935</t>
  </si>
  <si>
    <t>12802</t>
  </si>
  <si>
    <t>12865</t>
  </si>
  <si>
    <t>SO/2025/2996</t>
  </si>
  <si>
    <t>00779 + 01185</t>
  </si>
  <si>
    <t>00766 + 01175</t>
  </si>
  <si>
    <t>00762 + 01171</t>
  </si>
  <si>
    <t>00763 + 01172</t>
  </si>
  <si>
    <t>00764 + 01173</t>
  </si>
  <si>
    <t>SO/2025/2972</t>
  </si>
  <si>
    <t>00785 + 01190</t>
  </si>
  <si>
    <t>00767 + 01176</t>
  </si>
  <si>
    <t>00768 + 01177</t>
  </si>
  <si>
    <t>00769 + 01178</t>
  </si>
  <si>
    <t>13021</t>
  </si>
  <si>
    <t>SO/2025/3123</t>
  </si>
  <si>
    <t>13067</t>
  </si>
  <si>
    <t>13068</t>
  </si>
  <si>
    <t>13120</t>
  </si>
  <si>
    <t>13066</t>
  </si>
  <si>
    <t>13122</t>
  </si>
  <si>
    <t>13238</t>
  </si>
  <si>
    <t>13255</t>
  </si>
  <si>
    <t>13268 + 00830</t>
  </si>
  <si>
    <t>13271 + 00833</t>
  </si>
  <si>
    <t>13272 + 00834</t>
  </si>
  <si>
    <t>13269 + 00831</t>
  </si>
  <si>
    <t>13270 + 00832</t>
  </si>
  <si>
    <t>13385 + 00860</t>
  </si>
  <si>
    <t>13386 + 00861</t>
  </si>
  <si>
    <t>13345</t>
  </si>
  <si>
    <t>13432</t>
  </si>
  <si>
    <t>13489</t>
  </si>
  <si>
    <t>13607</t>
  </si>
  <si>
    <t>13490</t>
  </si>
  <si>
    <t>13598</t>
  </si>
  <si>
    <t>SO/2026/0325</t>
  </si>
  <si>
    <t>13555</t>
  </si>
  <si>
    <t>SO/2026/0667</t>
  </si>
  <si>
    <t>13685</t>
  </si>
  <si>
    <t>Power Outage</t>
  </si>
  <si>
    <t>SO/2026/0631</t>
  </si>
  <si>
    <t>13724</t>
  </si>
  <si>
    <t>Order paused by Alice</t>
  </si>
  <si>
    <t>13764</t>
  </si>
  <si>
    <t>SO/2026/1109</t>
  </si>
  <si>
    <t>13883</t>
  </si>
  <si>
    <t>13782 + 00930</t>
  </si>
  <si>
    <t>13781 + 00929</t>
  </si>
  <si>
    <t>SO/2026/1108</t>
  </si>
  <si>
    <t>13967</t>
  </si>
  <si>
    <t>13882</t>
  </si>
  <si>
    <t>SO/2026/1111</t>
  </si>
  <si>
    <t>13959</t>
  </si>
  <si>
    <t>14069</t>
  </si>
  <si>
    <t>S/2026/1232</t>
  </si>
  <si>
    <t>April/May</t>
  </si>
  <si>
    <t>14005</t>
  </si>
  <si>
    <t>SO/2022/2900</t>
  </si>
  <si>
    <t>7307 + 7308</t>
  </si>
  <si>
    <t>Adjustable Arm Slider Left(1) and Right(1)</t>
  </si>
  <si>
    <t>SO/2022/3084-DEC+STOCK</t>
  </si>
  <si>
    <t>SO/2022/3079-JAN</t>
  </si>
  <si>
    <t>SO/2022/3579-JAN</t>
  </si>
  <si>
    <t>7655 + 7656</t>
  </si>
  <si>
    <t>Adjustable Arm Bracket Left(1) and Right(1)</t>
  </si>
  <si>
    <t>7657 + 7658</t>
  </si>
  <si>
    <t>SO/2023/0008</t>
  </si>
  <si>
    <t>SO/2023/0036</t>
  </si>
  <si>
    <t>VOLTA 500 SIDE PANEL</t>
  </si>
  <si>
    <t>FEB+MAR+APR ORDER</t>
  </si>
  <si>
    <t>7893</t>
  </si>
  <si>
    <t>DURA TOUGH BOX 1200 HINGE PINS + MAXI 700 HINGE PINS</t>
  </si>
  <si>
    <t>7892 + 7891</t>
  </si>
  <si>
    <t>Maxi 700 Fire Extinhuisher bracketSet Top1&amp;Bottom1</t>
  </si>
  <si>
    <t>7894</t>
  </si>
  <si>
    <t>Maxi 700 Fire Extinhuisher Pull strap (ea)</t>
  </si>
  <si>
    <t>7895</t>
  </si>
  <si>
    <t>Maxi 700 Fire Extinhuisher Clip strap (ea)</t>
  </si>
  <si>
    <t>MARCH + APRIL</t>
  </si>
  <si>
    <t>7655 +7656</t>
  </si>
  <si>
    <t>SO/2023/0369</t>
  </si>
  <si>
    <t>7924</t>
  </si>
  <si>
    <t>SO/2023/0696</t>
  </si>
  <si>
    <t>08062</t>
  </si>
  <si>
    <t>08061</t>
  </si>
  <si>
    <t>[PDA05003] Back Blue</t>
  </si>
  <si>
    <t>08060</t>
  </si>
  <si>
    <t>[PDA05004] Back Burgandy</t>
  </si>
  <si>
    <t>7925</t>
  </si>
  <si>
    <t>08057</t>
  </si>
  <si>
    <t>08058</t>
  </si>
  <si>
    <t>[PDA05018] Seat Blue</t>
  </si>
  <si>
    <t>08059</t>
  </si>
  <si>
    <t>[PDA05019] Seat Burgandy</t>
  </si>
  <si>
    <t>LOORACK BODY</t>
  </si>
  <si>
    <t>08261+08262</t>
  </si>
  <si>
    <t>08285+00027+00028</t>
  </si>
  <si>
    <t>8391</t>
  </si>
  <si>
    <t>July - September Orders</t>
  </si>
  <si>
    <t>8639</t>
  </si>
  <si>
    <t>8724</t>
  </si>
  <si>
    <t>SO2023/1065</t>
  </si>
  <si>
    <t>00094, 00095, 8687</t>
  </si>
  <si>
    <t>000110, 000111, 8782</t>
  </si>
  <si>
    <t>8850</t>
  </si>
  <si>
    <t>8928</t>
  </si>
  <si>
    <t xml:space="preserve">00144, 00145 &amp; 9004, </t>
  </si>
  <si>
    <t>TRIAL - MX500</t>
  </si>
  <si>
    <t>SO/2023/2841</t>
  </si>
  <si>
    <t>[PBC01122] 18L Tote Bin Lid Black VIRGIN/BATTERY GRADE</t>
  </si>
  <si>
    <t>00156 &amp; 00157 &amp; 9178</t>
  </si>
  <si>
    <t>9969</t>
  </si>
  <si>
    <t>SO//2024/0517</t>
  </si>
  <si>
    <t>10114</t>
  </si>
  <si>
    <t>[PBC06105] Khaya Magica Large locking Step 300mm</t>
  </si>
  <si>
    <t>00266 , 00267 , 10163</t>
  </si>
  <si>
    <t>10164, 10165 , 00268</t>
  </si>
  <si>
    <t>10212</t>
  </si>
  <si>
    <t>April DC Stock replenishment</t>
  </si>
  <si>
    <t>10209</t>
  </si>
  <si>
    <t>VLF Antenna Body Black</t>
  </si>
  <si>
    <t>10278</t>
  </si>
  <si>
    <t>10404</t>
  </si>
  <si>
    <t>10638</t>
  </si>
  <si>
    <t>10812</t>
  </si>
  <si>
    <t>10813</t>
  </si>
  <si>
    <t>10974</t>
  </si>
  <si>
    <t>10975</t>
  </si>
  <si>
    <t>10822</t>
  </si>
  <si>
    <t>10873</t>
  </si>
  <si>
    <t>10962</t>
  </si>
  <si>
    <t>10958</t>
  </si>
  <si>
    <t>SO/2024/2621</t>
  </si>
  <si>
    <t>11050</t>
  </si>
  <si>
    <t>SO/2024/2805</t>
  </si>
  <si>
    <t>11153</t>
  </si>
  <si>
    <t>11051</t>
  </si>
  <si>
    <t>11154</t>
  </si>
  <si>
    <t>11228</t>
  </si>
  <si>
    <t>11185</t>
  </si>
  <si>
    <t>11140</t>
  </si>
  <si>
    <t>H3201</t>
  </si>
  <si>
    <t>11186 + 00453</t>
  </si>
  <si>
    <t>11504 + 00512</t>
  </si>
  <si>
    <t>11457</t>
  </si>
  <si>
    <t>11456</t>
  </si>
  <si>
    <t>SO/2024/3343</t>
  </si>
  <si>
    <t>11496</t>
  </si>
  <si>
    <t>11495</t>
  </si>
  <si>
    <t>11614</t>
  </si>
  <si>
    <t>11613</t>
  </si>
  <si>
    <t>11615</t>
  </si>
  <si>
    <t>11792</t>
  </si>
  <si>
    <t>11762 + 0055</t>
  </si>
  <si>
    <t>11793</t>
  </si>
  <si>
    <t>11794</t>
  </si>
  <si>
    <t>11931</t>
  </si>
  <si>
    <t>12146</t>
  </si>
  <si>
    <t>12346 + 00653</t>
  </si>
  <si>
    <t xml:space="preserve">Adrian Local </t>
  </si>
  <si>
    <t>12301 + 00645</t>
  </si>
  <si>
    <t>Adrian USA</t>
  </si>
  <si>
    <t>12302 + 00646</t>
  </si>
  <si>
    <t>12461</t>
  </si>
  <si>
    <t>SO/2025/2080</t>
  </si>
  <si>
    <t>12490</t>
  </si>
  <si>
    <t>SO/2025/2154 August</t>
  </si>
  <si>
    <t>12547</t>
  </si>
  <si>
    <t>12557</t>
  </si>
  <si>
    <t xml:space="preserve">Aug </t>
  </si>
  <si>
    <t>12558</t>
  </si>
  <si>
    <t>12722</t>
  </si>
  <si>
    <t>12723</t>
  </si>
  <si>
    <t>12809</t>
  </si>
  <si>
    <t>12811</t>
  </si>
  <si>
    <t>12810</t>
  </si>
  <si>
    <t>Sept/Oct</t>
  </si>
  <si>
    <t>12947 + 12948</t>
  </si>
  <si>
    <t xml:space="preserve">
[TTA01041] M8 - Enclosure Base - Black &amp; [TTA01042] M8 - Enclosure Lid - Black</t>
  </si>
  <si>
    <t>SO/2025/3140</t>
  </si>
  <si>
    <t>[TTA01134] M16 48F Splice Tray - White</t>
  </si>
  <si>
    <t>13026 + 13027 + 00784</t>
  </si>
  <si>
    <t>[PDA01013] Elbow Cover &amp; [PDA01014] Elbow Cover Backing &amp; [PDA06003] Elbow Cover and Backing</t>
  </si>
  <si>
    <t>13284</t>
  </si>
  <si>
    <t>13313</t>
  </si>
  <si>
    <t>13285</t>
  </si>
  <si>
    <t>13107 + 13108</t>
  </si>
  <si>
    <t>SO/2025/3609</t>
  </si>
  <si>
    <t>13273</t>
  </si>
  <si>
    <t>SO/2025/3324</t>
  </si>
  <si>
    <t>13252</t>
  </si>
  <si>
    <t>[PCF01003] 120-HS/25-PE SPIGOT (Un-Machined)</t>
  </si>
  <si>
    <t>13393</t>
  </si>
  <si>
    <t>[PCF01012] 120-HS/70-PE SPIGOT (Un-Machined)</t>
  </si>
  <si>
    <t>13249</t>
  </si>
  <si>
    <t>[PCF01014] 120-HS/80-PE SPIGOT (Un-Machined)</t>
  </si>
  <si>
    <t>13394</t>
  </si>
  <si>
    <t>[PCF01013] 120-HS/75-PE SPIGOT (Un-Machined)</t>
  </si>
  <si>
    <t xml:space="preserve">Nov </t>
  </si>
  <si>
    <t>13236</t>
  </si>
  <si>
    <t>[PCF01009] 120-HS/55-PE SPIGOT (Un-Machined)</t>
  </si>
  <si>
    <t>SO/3109/10/11</t>
  </si>
  <si>
    <t>13354</t>
  </si>
  <si>
    <t>SO/2026/0335</t>
  </si>
  <si>
    <t>13628</t>
  </si>
  <si>
    <t>SO/2026/0415</t>
  </si>
  <si>
    <t>13629</t>
  </si>
  <si>
    <t xml:space="preserve"> [PDA05018] Willie Stacker - Seat Blue</t>
  </si>
  <si>
    <t>SO/2026/0314</t>
  </si>
  <si>
    <t>13630</t>
  </si>
  <si>
    <t>SO/2026/0655</t>
  </si>
  <si>
    <t>13696</t>
  </si>
  <si>
    <t>[PGA06012] Tutu Desk White</t>
  </si>
  <si>
    <t>Order was cutted due to Power</t>
  </si>
  <si>
    <t>13550 + 00894</t>
  </si>
  <si>
    <t>Late Mould change+ late startp+no operator</t>
  </si>
  <si>
    <t>13823</t>
  </si>
  <si>
    <t>13835</t>
  </si>
  <si>
    <t>13784 + 00932</t>
  </si>
  <si>
    <t>13783 + 00931</t>
  </si>
  <si>
    <t>13901</t>
  </si>
  <si>
    <t>SO/2026/0887</t>
  </si>
  <si>
    <t>14051 + 14052</t>
  </si>
  <si>
    <t>14053</t>
  </si>
  <si>
    <t>SO/2026/1741</t>
  </si>
  <si>
    <t>14098</t>
  </si>
  <si>
    <t>14099</t>
  </si>
  <si>
    <t>SO/2022/3591-FEB+STOCK</t>
  </si>
  <si>
    <t>Xenon Inner Frame</t>
  </si>
  <si>
    <t>SO/2022/3598-MARCH</t>
  </si>
  <si>
    <t>Ancra Jan Order + Future</t>
  </si>
  <si>
    <t>1.0m Corner Protector (Ancra-Blue)</t>
  </si>
  <si>
    <t>STOCK REPLENISHMENT - JAN</t>
  </si>
  <si>
    <t>1.2m Corner Protector (Red)</t>
  </si>
  <si>
    <t>STOCK REPLENISHMENT - JAN+FEB</t>
  </si>
  <si>
    <t>STOCK REPLENISHMENT - MAR+APR</t>
  </si>
  <si>
    <t>NO MATERIAL</t>
  </si>
  <si>
    <t>7915</t>
  </si>
  <si>
    <t>7635</t>
  </si>
  <si>
    <t>CONTAINER 1 (0.6M CORNER ANCRA)</t>
  </si>
  <si>
    <t>08054</t>
  </si>
  <si>
    <t>CONTAINER 2 (0.6M CORNER ANCRA)</t>
  </si>
  <si>
    <t>CONTAINER 1 (0.3M CORNER ANCRA)</t>
  </si>
  <si>
    <t>08055</t>
  </si>
  <si>
    <t>CONTAINER 2 (0.3M CORNER ANCRA)</t>
  </si>
  <si>
    <t>08157</t>
  </si>
  <si>
    <t>08158</t>
  </si>
  <si>
    <t>08159</t>
  </si>
  <si>
    <t>Maxi 700 Base Virgin (Green)</t>
  </si>
  <si>
    <t>APRIL - SAFELOAD LOGO</t>
  </si>
  <si>
    <t>08171</t>
  </si>
  <si>
    <t>1.2m Corner Protector (Yellow)</t>
  </si>
  <si>
    <t>08170</t>
  </si>
  <si>
    <t>08172</t>
  </si>
  <si>
    <t>MOULD IN TOOLROOM - TRIAL MIX 1</t>
  </si>
  <si>
    <t>PROJECT NUMBER:</t>
  </si>
  <si>
    <t>128S67I TRAY</t>
  </si>
  <si>
    <t>MOULD IN TOOLROOM - TRIAL MIX 2</t>
  </si>
  <si>
    <t>S02023/0966
Local Market Tautliner – 125 trays/pallet
1.0 x 1.2m local pallets</t>
  </si>
  <si>
    <t>8410</t>
  </si>
  <si>
    <t>128S67I TRAY GREEN CPS LOGO</t>
  </si>
  <si>
    <t>So2023/0968
Local Market Tautliner – 125 trays/pallet
1.0 x 1.2m local pallets</t>
  </si>
  <si>
    <t>8411</t>
  </si>
  <si>
    <t>128S67I TRAY BLACK CPS LOGO</t>
  </si>
  <si>
    <t>8459</t>
  </si>
  <si>
    <t>So2023/1918
Local Market Tautliner – 125 trays/pallet
1.0 x 1.2m local pallets</t>
  </si>
  <si>
    <t>8673</t>
  </si>
  <si>
    <t>[PBE05004] 128S67I Tray (Ezigro</t>
  </si>
  <si>
    <t>8911</t>
  </si>
  <si>
    <t>[PBE05007] 128S67I Tray (Sappi)</t>
  </si>
  <si>
    <t>SO2023/2091</t>
  </si>
  <si>
    <t>9094</t>
  </si>
  <si>
    <t>[PBE05002] 128S67I Tray (CPS)</t>
  </si>
  <si>
    <t>SO2023/2642</t>
  </si>
  <si>
    <t>10058</t>
  </si>
  <si>
    <t>[PBE05041] 128S67I Tray Virgin Green (Sappi)</t>
  </si>
  <si>
    <t>SO/2024/0177</t>
  </si>
  <si>
    <t>9900</t>
  </si>
  <si>
    <t>[PBE05001] 128S67I Tray Black Blank LOGO</t>
  </si>
  <si>
    <t>S0/2024/0502</t>
  </si>
  <si>
    <t>10069</t>
  </si>
  <si>
    <t>[PBE05040] 242S67V Tray (Virgin Green PP) (CPS Seedlings)</t>
  </si>
  <si>
    <t>SO/2024/0179</t>
  </si>
  <si>
    <t>9898</t>
  </si>
  <si>
    <t>[PBE05009] 242S67V Tray Black Blank LOGO</t>
  </si>
  <si>
    <t>10481</t>
  </si>
  <si>
    <t>10576</t>
  </si>
  <si>
    <t>10575</t>
  </si>
  <si>
    <t>10577</t>
  </si>
  <si>
    <t>10655</t>
  </si>
  <si>
    <t>10763</t>
  </si>
  <si>
    <t>10764</t>
  </si>
  <si>
    <t>SO/2024/1963</t>
  </si>
  <si>
    <t>10680</t>
  </si>
  <si>
    <t>[PBC06075] PAS Crate - Black</t>
  </si>
  <si>
    <t>10889</t>
  </si>
  <si>
    <t>10890</t>
  </si>
  <si>
    <t>10896</t>
  </si>
  <si>
    <t>SO/2024/2522</t>
  </si>
  <si>
    <t>10989</t>
  </si>
  <si>
    <t>SO/2024/2576</t>
  </si>
  <si>
    <t>11019</t>
  </si>
  <si>
    <t xml:space="preserve">Adrian </t>
  </si>
  <si>
    <t>11126</t>
  </si>
  <si>
    <t>11167</t>
  </si>
  <si>
    <t>H900</t>
  </si>
  <si>
    <t>SO/2024/2605</t>
  </si>
  <si>
    <t>11031</t>
  </si>
  <si>
    <t>11057</t>
  </si>
  <si>
    <t>11056</t>
  </si>
  <si>
    <t>SO/2024/3059</t>
  </si>
  <si>
    <t>11323</t>
  </si>
  <si>
    <t>[PBC06129] PAS kids Crate - Black</t>
  </si>
  <si>
    <t>Local Pallets - 204 per pallet (58 pallets + 1 pallet of  168</t>
  </si>
  <si>
    <t>11551</t>
  </si>
  <si>
    <t>11670</t>
  </si>
  <si>
    <t>SO/2025/0562</t>
  </si>
  <si>
    <t>11814</t>
  </si>
  <si>
    <t>11884</t>
  </si>
  <si>
    <t>SO/2025/0928</t>
  </si>
  <si>
    <t>11971 + 00591</t>
  </si>
  <si>
    <t>SO/2025/0929</t>
  </si>
  <si>
    <t>11972 + 00592</t>
  </si>
  <si>
    <t>SO/2025/0918</t>
  </si>
  <si>
    <t>11973 + 00593</t>
  </si>
  <si>
    <t>SO/2025/0921</t>
  </si>
  <si>
    <t>11897</t>
  </si>
  <si>
    <t>11898</t>
  </si>
  <si>
    <t>11899</t>
  </si>
  <si>
    <t>H1300</t>
  </si>
  <si>
    <t>SO/2025/1189</t>
  </si>
  <si>
    <t>12136</t>
  </si>
  <si>
    <t>SO/2025/1191</t>
  </si>
  <si>
    <t>12132</t>
  </si>
  <si>
    <t>12216</t>
  </si>
  <si>
    <t>[SL.P.DTB15.L.1L.BL+BL.BK] DTB150 - Lid - Single Latch - BL+BL - Black</t>
  </si>
  <si>
    <t>12185</t>
  </si>
  <si>
    <t>SO/2025/1063</t>
  </si>
  <si>
    <t>12137</t>
  </si>
  <si>
    <t>SO/2025/1447 June</t>
  </si>
  <si>
    <t>12237</t>
  </si>
  <si>
    <t>SO/2025/1725</t>
  </si>
  <si>
    <t>12359</t>
  </si>
  <si>
    <t>12418</t>
  </si>
  <si>
    <t>SO/2025/2271</t>
  </si>
  <si>
    <t>12583</t>
  </si>
  <si>
    <t>SO to Follow</t>
  </si>
  <si>
    <t>12673</t>
  </si>
  <si>
    <t>12732</t>
  </si>
  <si>
    <t>SO/2025/2776</t>
  </si>
  <si>
    <t>12831</t>
  </si>
  <si>
    <t>SO/2025/2714</t>
  </si>
  <si>
    <t>12803</t>
  </si>
  <si>
    <t>SO/2024/2786</t>
  </si>
  <si>
    <t>12850</t>
  </si>
  <si>
    <t>SO/2025/3069</t>
  </si>
  <si>
    <t>13054</t>
  </si>
  <si>
    <t>SO/2025/3322</t>
  </si>
  <si>
    <t>13148</t>
  </si>
  <si>
    <t>13307</t>
  </si>
  <si>
    <t>SO/2025/3957</t>
  </si>
  <si>
    <t>13323</t>
  </si>
  <si>
    <t>13360</t>
  </si>
  <si>
    <t>SO/2026/0182</t>
  </si>
  <si>
    <t>13506</t>
  </si>
  <si>
    <t>[PBE05007] 128S67I Tray (Sappi) Sappi Log (120 Trays Per pallet)</t>
  </si>
  <si>
    <t>Stock Replenshment  &amp; SLA</t>
  </si>
  <si>
    <t xml:space="preserve">Stock Replenshment </t>
  </si>
  <si>
    <t>SO/2026/1772</t>
  </si>
  <si>
    <t>14112</t>
  </si>
  <si>
    <t>8226</t>
  </si>
  <si>
    <t>8441</t>
  </si>
  <si>
    <t>8576</t>
  </si>
  <si>
    <t>8690</t>
  </si>
  <si>
    <t>8691</t>
  </si>
  <si>
    <t>8727</t>
  </si>
  <si>
    <t>8728</t>
  </si>
  <si>
    <t>8729</t>
  </si>
  <si>
    <t>8693</t>
  </si>
  <si>
    <t>8692</t>
  </si>
  <si>
    <t>[SL.P.DTB15.B.STD.BK] DTB150 - Base - Standard - Black</t>
  </si>
  <si>
    <t>8730</t>
  </si>
  <si>
    <t>[PCF05021] VV16-ZR/A-MSPE INLET HEAD</t>
  </si>
  <si>
    <t>8882</t>
  </si>
  <si>
    <t>8883</t>
  </si>
  <si>
    <t>8884</t>
  </si>
  <si>
    <t>8885</t>
  </si>
  <si>
    <t>IWC New Splash Tray Grid</t>
  </si>
  <si>
    <t>SO2023/2408</t>
  </si>
  <si>
    <t>8907</t>
  </si>
  <si>
    <t>[PBC06062] GLS - Dolley - 800x600mm - Grey</t>
  </si>
  <si>
    <t>SO2023/2557</t>
  </si>
  <si>
    <t>8972</t>
  </si>
  <si>
    <t>[PBC06077] GLS - Dolley - 800x600mm - Blue</t>
  </si>
  <si>
    <t>9036</t>
  </si>
  <si>
    <t>9034</t>
  </si>
  <si>
    <t>9033</t>
  </si>
  <si>
    <t>9035</t>
  </si>
  <si>
    <t>9038</t>
  </si>
  <si>
    <t>9039</t>
  </si>
  <si>
    <t>9160</t>
  </si>
  <si>
    <t>9161</t>
  </si>
  <si>
    <t>9219</t>
  </si>
  <si>
    <t xml:space="preserve">	[SL.FG.CP2.0.GR] 2.0m Corner Protector (Green)</t>
  </si>
  <si>
    <t>9218</t>
  </si>
  <si>
    <t>SO2023/1914</t>
  </si>
  <si>
    <t>9230</t>
  </si>
  <si>
    <t>9231</t>
  </si>
  <si>
    <t>9288</t>
  </si>
  <si>
    <t>SO2023/3285</t>
  </si>
  <si>
    <t>9325</t>
  </si>
  <si>
    <t>2.0m Corner Protector (Yellow)</t>
  </si>
  <si>
    <t>9296</t>
  </si>
  <si>
    <t>9361</t>
  </si>
  <si>
    <t>9362</t>
  </si>
  <si>
    <t>9445</t>
  </si>
  <si>
    <t>[SL.P.DTB12.B.BK.R] DTB12 Base Battery Grade</t>
  </si>
  <si>
    <t>9556</t>
  </si>
  <si>
    <t>242S67V Tray (Mobley Green House)</t>
  </si>
  <si>
    <t>9557</t>
  </si>
  <si>
    <t>SO2023/3649
EEziGro Name Plate
packed on:
Local Pallets, 6 per line, 204 per pallet  x 24 pallets
104 per pallet x 1 pallet</t>
  </si>
  <si>
    <t>9653</t>
  </si>
  <si>
    <t>[PBE05043] 242S67V Tray (Eezigro)</t>
  </si>
  <si>
    <t>SO2023/3796
Plantforum Name Plate
packed on:
Local Pallets, 6 per line, 204 per pallet  x 24 pallets
104 per pallet x 1 pallet</t>
  </si>
  <si>
    <t>9677</t>
  </si>
  <si>
    <t>[PBE05044] 242S67V Tray (Plantforum)</t>
  </si>
  <si>
    <t>SO/2023/3796</t>
  </si>
  <si>
    <t>9678</t>
  </si>
  <si>
    <t>9630</t>
  </si>
  <si>
    <t>9690</t>
  </si>
  <si>
    <t>9703</t>
  </si>
  <si>
    <t>9702</t>
  </si>
  <si>
    <t>SO2023/3765</t>
  </si>
  <si>
    <t>9601</t>
  </si>
  <si>
    <t>SO2023/3766</t>
  </si>
  <si>
    <t>9602</t>
  </si>
  <si>
    <t>Radome Housing</t>
  </si>
  <si>
    <t>9957</t>
  </si>
  <si>
    <t>[PBC06088] GLS - Dolley - 800x600mm - Blue</t>
  </si>
  <si>
    <t>GLS - Dolley - 800x600mm - Red</t>
  </si>
  <si>
    <t>NPD-PX-23-0002 (PAS CRATE)</t>
  </si>
  <si>
    <t>SO/2024/0383</t>
  </si>
  <si>
    <t>10013</t>
  </si>
  <si>
    <t>Febraury Stock Replenishment</t>
  </si>
  <si>
    <t>10032</t>
  </si>
  <si>
    <t>10033</t>
  </si>
  <si>
    <t>10034</t>
  </si>
  <si>
    <t>10035</t>
  </si>
  <si>
    <t>10093</t>
  </si>
  <si>
    <t>SO2023/0615</t>
  </si>
  <si>
    <t>10139</t>
  </si>
  <si>
    <t>10138</t>
  </si>
  <si>
    <t>10201</t>
  </si>
  <si>
    <t>10202</t>
  </si>
  <si>
    <t>10242</t>
  </si>
  <si>
    <t>10243</t>
  </si>
  <si>
    <t>10245</t>
  </si>
  <si>
    <t>May Replenishment Stock</t>
  </si>
  <si>
    <t>10262</t>
  </si>
  <si>
    <t>10339</t>
  </si>
  <si>
    <t>SO/2024/0122</t>
  </si>
  <si>
    <t>9896</t>
  </si>
  <si>
    <t>May First Samples</t>
  </si>
  <si>
    <t>10340</t>
  </si>
  <si>
    <t>[PBC06111] GLS Truworths Crate</t>
  </si>
  <si>
    <t>SO/2024/0506</t>
  </si>
  <si>
    <t>10068</t>
  </si>
  <si>
    <t>SO/2024/1091</t>
  </si>
  <si>
    <t>10283</t>
  </si>
  <si>
    <t>10369</t>
  </si>
  <si>
    <t>SO/2024/0902</t>
  </si>
  <si>
    <t>10531</t>
  </si>
  <si>
    <t>SO/2024/0901</t>
  </si>
  <si>
    <t>10532</t>
  </si>
  <si>
    <t>10542</t>
  </si>
  <si>
    <t>S0/2024/1458</t>
  </si>
  <si>
    <t>10440</t>
  </si>
  <si>
    <t>10573</t>
  </si>
  <si>
    <t>[SL.P.DTB15.L.1L.RD] DTB15 Naked Lid - Single Latch - SL Red</t>
  </si>
  <si>
    <t>10572</t>
  </si>
  <si>
    <t>[SL.P.DTB15.B.STD.RD] DTB15 Base - Standard - SL Red</t>
  </si>
  <si>
    <t>10571</t>
  </si>
  <si>
    <t>[SL.P.DTB15.B.STD.WH] DTB15 Base - Standard - White</t>
  </si>
  <si>
    <t>10653</t>
  </si>
  <si>
    <t>SO/2024/1162</t>
  </si>
  <si>
    <t>10563</t>
  </si>
  <si>
    <t>[PBC06120] GLS Truworths Crate - Blue</t>
  </si>
  <si>
    <t>SO/2024/1748</t>
  </si>
  <si>
    <t>10598</t>
  </si>
  <si>
    <t>10674</t>
  </si>
  <si>
    <t>SO/2024/1772</t>
  </si>
  <si>
    <t>10599</t>
  </si>
  <si>
    <t>SO/2024/2068</t>
  </si>
  <si>
    <t>10715</t>
  </si>
  <si>
    <t>10714</t>
  </si>
  <si>
    <t>10679</t>
  </si>
  <si>
    <t>[SL.FG.MC.40T.YL] Mighty Chock 40 Ton (Yellow)</t>
  </si>
  <si>
    <t>10853</t>
  </si>
  <si>
    <t>DC Replenishment Stock</t>
  </si>
  <si>
    <t>10877</t>
  </si>
  <si>
    <t>SO/2024/1773</t>
  </si>
  <si>
    <t>10600</t>
  </si>
  <si>
    <t>11084</t>
  </si>
  <si>
    <t>11156</t>
  </si>
  <si>
    <t>11155</t>
  </si>
  <si>
    <t>SO/2024/1774</t>
  </si>
  <si>
    <t>10601</t>
  </si>
  <si>
    <t>11261</t>
  </si>
  <si>
    <t>11262</t>
  </si>
  <si>
    <t>11334</t>
  </si>
  <si>
    <t>[PGA01044] Rolo Base Body - Pink</t>
  </si>
  <si>
    <t>11350</t>
  </si>
  <si>
    <t>[PGA01060] Rolo Base Body - Purple</t>
  </si>
  <si>
    <t>11400</t>
  </si>
  <si>
    <t>[PGA01063] Rolo Base Body - Grey</t>
  </si>
  <si>
    <t>11384</t>
  </si>
  <si>
    <t>[PGA01062] Rolo Base Body - Black</t>
  </si>
  <si>
    <t>11366</t>
  </si>
  <si>
    <t>[PGA01061] Rolo Base Body - Navy Blue</t>
  </si>
  <si>
    <t>11464</t>
  </si>
  <si>
    <t>11465</t>
  </si>
  <si>
    <t>11466</t>
  </si>
  <si>
    <t>11634</t>
  </si>
  <si>
    <t>11635</t>
  </si>
  <si>
    <t>11661</t>
  </si>
  <si>
    <t>11662</t>
  </si>
  <si>
    <t>Replenishment Stock</t>
  </si>
  <si>
    <t>11671</t>
  </si>
  <si>
    <t>11705</t>
  </si>
  <si>
    <t>11704</t>
  </si>
  <si>
    <t>11806</t>
  </si>
  <si>
    <t>11840</t>
  </si>
  <si>
    <t>11907</t>
  </si>
  <si>
    <t>11855 + 00585</t>
  </si>
  <si>
    <t>[SL.P.DTB12.B.BK.R] DTB12 Base Battery Grade + 
[SL.C.DTB12.B.BK.L] DTB12 Fully Assembled Base</t>
  </si>
  <si>
    <t>11900</t>
  </si>
  <si>
    <t>Jan Stock Replenishment</t>
  </si>
  <si>
    <t>11552</t>
  </si>
  <si>
    <t>SO/2025/0884</t>
  </si>
  <si>
    <t>[PBC06133] Radome</t>
  </si>
  <si>
    <t>SO/2025/1188</t>
  </si>
  <si>
    <t>12138</t>
  </si>
  <si>
    <t>12252</t>
  </si>
  <si>
    <t>[SL.P.DTB15.B.STD.BK] DTB15 Base - Standard - Black</t>
  </si>
  <si>
    <t>SO/2025/1379</t>
  </si>
  <si>
    <t>12209</t>
  </si>
  <si>
    <t>June Stock</t>
  </si>
  <si>
    <t>12120</t>
  </si>
  <si>
    <t>SO/2025/1656</t>
  </si>
  <si>
    <t>12344</t>
  </si>
  <si>
    <t>12489 + 00678</t>
  </si>
  <si>
    <t>July/August Stock</t>
  </si>
  <si>
    <t>12524</t>
  </si>
  <si>
    <t>Toolroom Trial</t>
  </si>
  <si>
    <t>SO/2025/2358</t>
  </si>
  <si>
    <t>12641</t>
  </si>
  <si>
    <t>SO/2025/2191</t>
  </si>
  <si>
    <t>12560</t>
  </si>
  <si>
    <t>SO/2025/2498</t>
  </si>
  <si>
    <t>12780</t>
  </si>
  <si>
    <t>12895</t>
  </si>
  <si>
    <t>12894</t>
  </si>
  <si>
    <t>[SL.P.DTB15.L.1L.BK] DTB15 Naked Lid - Single Latch Black + [SL.P.DTB15.L.1L.BL+BL.BK] DTB150 - Lid - Single Latch - BL+BL - Black</t>
  </si>
  <si>
    <t>schoeller trial</t>
  </si>
  <si>
    <t>13295 + 00844</t>
  </si>
  <si>
    <t>12872</t>
  </si>
  <si>
    <t>13296</t>
  </si>
  <si>
    <t xml:space="preserve">13297 </t>
  </si>
  <si>
    <t>No/Dec</t>
  </si>
  <si>
    <t>SO/2025/4357</t>
  </si>
  <si>
    <t>SO/2025/4461</t>
  </si>
  <si>
    <t>13430</t>
  </si>
  <si>
    <t>SO/2025/4352</t>
  </si>
  <si>
    <t>13397</t>
  </si>
  <si>
    <t>SO/2026/0354</t>
  </si>
  <si>
    <t>13602</t>
  </si>
  <si>
    <t>13643</t>
  </si>
  <si>
    <t>Super Dolly</t>
  </si>
  <si>
    <t>SCHOELLER TRAIL 5 DAYS</t>
  </si>
  <si>
    <t>Order moved Up</t>
  </si>
  <si>
    <t>13499</t>
  </si>
  <si>
    <t>13504 + 00880</t>
  </si>
  <si>
    <t>Stock Replenishment &amp;SLA</t>
  </si>
  <si>
    <t>13627 + 00906</t>
  </si>
  <si>
    <t>13706 + 00918</t>
  </si>
  <si>
    <t>SO/2026/0992</t>
  </si>
  <si>
    <t>13770</t>
  </si>
  <si>
    <t>Order moved dow Due DBT12/15</t>
  </si>
  <si>
    <t>SO/2026/1018</t>
  </si>
  <si>
    <t>13776</t>
  </si>
  <si>
    <t>13723</t>
  </si>
  <si>
    <t>KM650</t>
  </si>
  <si>
    <t>12730</t>
  </si>
  <si>
    <t>12882</t>
  </si>
  <si>
    <t>Machine Trial</t>
  </si>
  <si>
    <t>12988 + 00780</t>
  </si>
  <si>
    <t>[PBC06087] Blue Ribbon Classic Dolly (Incomplete) &amp; [PBC06056] Blue Ribbon Classic Dolly (Complete)</t>
  </si>
  <si>
    <t>13051</t>
  </si>
  <si>
    <t>13052</t>
  </si>
  <si>
    <t>13087</t>
  </si>
  <si>
    <t>13053</t>
  </si>
  <si>
    <t>SO/2025/3171</t>
  </si>
  <si>
    <t>13089 + 01198</t>
  </si>
  <si>
    <t>SO/2025/3184</t>
  </si>
  <si>
    <t>13090 + 01199</t>
  </si>
  <si>
    <t>13103</t>
  </si>
  <si>
    <t>SO/2025/3736</t>
  </si>
  <si>
    <t>13254</t>
  </si>
  <si>
    <t>13104</t>
  </si>
  <si>
    <t>SO/2025/4164</t>
  </si>
  <si>
    <t>13334 + 00849</t>
  </si>
  <si>
    <t>13177</t>
  </si>
  <si>
    <t>SO/2025/4448</t>
  </si>
  <si>
    <t>13390 + 00862</t>
  </si>
  <si>
    <t>13541</t>
  </si>
  <si>
    <t>13542</t>
  </si>
  <si>
    <t xml:space="preserve"> [PGA05092] Float Top Grey</t>
  </si>
  <si>
    <t>13543</t>
  </si>
  <si>
    <t>13652</t>
  </si>
  <si>
    <t>13651</t>
  </si>
  <si>
    <t xml:space="preserve">Feb Stock Replenishment </t>
  </si>
  <si>
    <t>Late start + quality issue+ power outage</t>
  </si>
  <si>
    <t>SO/2026/0420</t>
  </si>
  <si>
    <t>13687 + 00913</t>
  </si>
  <si>
    <t>SO/2026/0724</t>
  </si>
  <si>
    <t>13775 + 00928</t>
  </si>
  <si>
    <t>13788</t>
  </si>
  <si>
    <t>13790</t>
  </si>
  <si>
    <t>13791</t>
  </si>
  <si>
    <t>13789</t>
  </si>
  <si>
    <t>13785</t>
  </si>
  <si>
    <t>13786</t>
  </si>
  <si>
    <t>13787</t>
  </si>
  <si>
    <t>13973</t>
  </si>
  <si>
    <t>13974</t>
  </si>
  <si>
    <t>13975</t>
  </si>
  <si>
    <t>13976</t>
  </si>
  <si>
    <t>13998</t>
  </si>
  <si>
    <t>13999</t>
  </si>
  <si>
    <t>H800</t>
  </si>
  <si>
    <t>MAXI 700 BASE BLACK</t>
  </si>
  <si>
    <t>MAXI 500 BASE BLACK</t>
  </si>
  <si>
    <t>SAMPLES</t>
  </si>
  <si>
    <t>Blue Ribbon Classic Bread Crate</t>
  </si>
  <si>
    <t>WH/MO/07747</t>
  </si>
  <si>
    <t>WH/MO/07748</t>
  </si>
  <si>
    <t>68L Tote Bin Bottom Red (2035C)</t>
  </si>
  <si>
    <t>68L Tote Bin Bottom Regrind Black</t>
  </si>
  <si>
    <t>SO/2022/3254+2950</t>
  </si>
  <si>
    <t>7646</t>
  </si>
  <si>
    <t>SO/2023/0436</t>
  </si>
  <si>
    <t>7930</t>
  </si>
  <si>
    <t>08250</t>
  </si>
  <si>
    <t>APRIL / MAY</t>
  </si>
  <si>
    <t>08051</t>
  </si>
  <si>
    <t>08283</t>
  </si>
  <si>
    <t>[PBC06057] Blue Ribbon Classic Bread Crate Blue</t>
  </si>
  <si>
    <t>8404</t>
  </si>
  <si>
    <t>8405</t>
  </si>
  <si>
    <t>8563</t>
  </si>
  <si>
    <t>8564</t>
  </si>
  <si>
    <t>JULY</t>
  </si>
  <si>
    <t>8737</t>
  </si>
  <si>
    <t>So2023/2140</t>
  </si>
  <si>
    <t>8776</t>
  </si>
  <si>
    <t>So2023/2437</t>
  </si>
  <si>
    <t>8924</t>
  </si>
  <si>
    <t>So2023/2439</t>
  </si>
  <si>
    <t>8936</t>
  </si>
  <si>
    <t>So2023/2869</t>
  </si>
  <si>
    <t>9199</t>
  </si>
  <si>
    <t>So2023/2747</t>
  </si>
  <si>
    <t>9200</t>
  </si>
  <si>
    <t>So2023/3019</t>
  </si>
  <si>
    <t>9222</t>
  </si>
  <si>
    <t>SO2023/3119</t>
  </si>
  <si>
    <t>9297</t>
  </si>
  <si>
    <t>SO2023/3416</t>
  </si>
  <si>
    <t>9397</t>
  </si>
  <si>
    <t>SO2023/3478</t>
  </si>
  <si>
    <t>9418</t>
  </si>
  <si>
    <t>SO2023/3803</t>
  </si>
  <si>
    <t>9634</t>
  </si>
  <si>
    <t>SO/2023/3119</t>
  </si>
  <si>
    <t>10111</t>
  </si>
  <si>
    <t>SO/2024/0011</t>
  </si>
  <si>
    <t>9701</t>
  </si>
  <si>
    <t>10112</t>
  </si>
  <si>
    <t xml:space="preserve">[PBC06057] Blue Ribbon Classic Bread Crate Blue                      </t>
  </si>
  <si>
    <t>SO/2024/0267</t>
  </si>
  <si>
    <t>9973</t>
  </si>
  <si>
    <t>SO/2024/0268</t>
  </si>
  <si>
    <t>9974</t>
  </si>
  <si>
    <t>9998</t>
  </si>
  <si>
    <t>SO/2024/0339</t>
  </si>
  <si>
    <t>10027</t>
  </si>
  <si>
    <t>10132</t>
  </si>
  <si>
    <t>SO/2024/0678</t>
  </si>
  <si>
    <t>10159</t>
  </si>
  <si>
    <t>SO/2024/0878</t>
  </si>
  <si>
    <t>10449</t>
  </si>
  <si>
    <t>SO/2024/1157</t>
  </si>
  <si>
    <t>10450</t>
  </si>
  <si>
    <t>SO/2024/1487</t>
  </si>
  <si>
    <t>10484</t>
  </si>
  <si>
    <t>SO/2024/1577</t>
  </si>
  <si>
    <t>10493</t>
  </si>
  <si>
    <t>SO/2024/1749</t>
  </si>
  <si>
    <t>10569</t>
  </si>
  <si>
    <t>10660</t>
  </si>
  <si>
    <t>SO/2024/2071</t>
  </si>
  <si>
    <t>10716</t>
  </si>
  <si>
    <t>10770</t>
  </si>
  <si>
    <t>10801</t>
  </si>
  <si>
    <t>SO/2024/2273</t>
  </si>
  <si>
    <t>10846</t>
  </si>
  <si>
    <t>SO/2024/2355</t>
  </si>
  <si>
    <t>10891</t>
  </si>
  <si>
    <t>10944</t>
  </si>
  <si>
    <t>SO/2024/2582</t>
  </si>
  <si>
    <t>11030</t>
  </si>
  <si>
    <t>SO/2024/2617</t>
  </si>
  <si>
    <t>11052</t>
  </si>
  <si>
    <t>SO/2024/2664</t>
  </si>
  <si>
    <t>11095</t>
  </si>
  <si>
    <t>SO/2024/2659</t>
  </si>
  <si>
    <t>11107</t>
  </si>
  <si>
    <t>11110</t>
  </si>
  <si>
    <t>SO/2024/2777</t>
  </si>
  <si>
    <t>11159</t>
  </si>
  <si>
    <t>SO/2024/3021</t>
  </si>
  <si>
    <t>11267</t>
  </si>
  <si>
    <t>SO/2024/3022</t>
  </si>
  <si>
    <t>11268</t>
  </si>
  <si>
    <t>SO/2024/3143</t>
  </si>
  <si>
    <t>11430</t>
  </si>
  <si>
    <t>11508</t>
  </si>
  <si>
    <t>SO/2025/0099</t>
  </si>
  <si>
    <t>11573</t>
  </si>
  <si>
    <t>SO/2025/0140/1</t>
  </si>
  <si>
    <t>11606</t>
  </si>
  <si>
    <t>New SO</t>
  </si>
  <si>
    <t>11663</t>
  </si>
  <si>
    <t>SO/2024/2877</t>
  </si>
  <si>
    <t>11739</t>
  </si>
  <si>
    <t>11885</t>
  </si>
  <si>
    <t>11886</t>
  </si>
  <si>
    <t>SO/2024/0815</t>
  </si>
  <si>
    <t>11919</t>
  </si>
  <si>
    <t>SO/2024/0841</t>
  </si>
  <si>
    <t>11934</t>
  </si>
  <si>
    <t>SO/2024/0842</t>
  </si>
  <si>
    <t>11935</t>
  </si>
  <si>
    <t>SO/2024/0811</t>
  </si>
  <si>
    <t>11936</t>
  </si>
  <si>
    <t>SO/2024/0945</t>
  </si>
  <si>
    <t>11974</t>
  </si>
  <si>
    <t>12106</t>
  </si>
  <si>
    <t>SO/2024/0946</t>
  </si>
  <si>
    <t>12248</t>
  </si>
  <si>
    <t>SO/2025/0946</t>
  </si>
  <si>
    <t>12270</t>
  </si>
  <si>
    <t>SO/2025/1756</t>
  </si>
  <si>
    <t>12373</t>
  </si>
  <si>
    <t>SO/2025/1757</t>
  </si>
  <si>
    <t>12374</t>
  </si>
  <si>
    <t>12452</t>
  </si>
  <si>
    <t>12453</t>
  </si>
  <si>
    <t>september</t>
  </si>
  <si>
    <t>12851</t>
  </si>
  <si>
    <t>12852</t>
  </si>
  <si>
    <t>12968</t>
  </si>
  <si>
    <t>SO/2025/2716</t>
  </si>
  <si>
    <t>13010</t>
  </si>
  <si>
    <t>13162</t>
  </si>
  <si>
    <t>13163</t>
  </si>
  <si>
    <t>SO/2025/2328</t>
  </si>
  <si>
    <t>13294</t>
  </si>
  <si>
    <t>13369</t>
  </si>
  <si>
    <t>SO/2026/0020</t>
  </si>
  <si>
    <t>13474</t>
  </si>
  <si>
    <t>SO/2026/0021</t>
  </si>
  <si>
    <t>13475</t>
  </si>
  <si>
    <t>SO/2026/0044</t>
  </si>
  <si>
    <t>13603</t>
  </si>
  <si>
    <t>SO/2026/0008</t>
  </si>
  <si>
    <t>13604</t>
  </si>
  <si>
    <t>SO/2026/0153</t>
  </si>
  <si>
    <t>13717</t>
  </si>
  <si>
    <t>So/2026/4443</t>
  </si>
  <si>
    <t>13718</t>
  </si>
  <si>
    <t>13884</t>
  </si>
  <si>
    <t>So/2026/0008</t>
  </si>
  <si>
    <t>Apri</t>
  </si>
  <si>
    <t>14012</t>
  </si>
  <si>
    <t>So/2026/0430</t>
  </si>
  <si>
    <t>14013</t>
  </si>
  <si>
    <t>HXM158</t>
  </si>
  <si>
    <t>SO/2022/2986+3194+2916</t>
  </si>
  <si>
    <t>7352 + 7353</t>
  </si>
  <si>
    <t>Loop Joint Oval Port Split Retainer Top2&amp;Bottom2</t>
  </si>
  <si>
    <t>N1502</t>
  </si>
  <si>
    <t>SO/2022/2989+3639+3658+3519+SO/2023/0059</t>
  </si>
  <si>
    <t>7762 + 7763 + 7764 + 7765</t>
  </si>
  <si>
    <t>Loop Joint Pole1&amp;ClampBracket1&amp;TwistBlock1&amp;Pin1</t>
  </si>
  <si>
    <t>SO/2022/3660</t>
  </si>
  <si>
    <t>SO/2023/0135</t>
  </si>
  <si>
    <t>CONTAINER 1</t>
  </si>
  <si>
    <t>08018</t>
  </si>
  <si>
    <t>[SL.USA.FG.CP0.4".YL.ANC] 4" (0.1m) Corner Protector (Ancra -Yellow)</t>
  </si>
  <si>
    <t>08258</t>
  </si>
  <si>
    <t>08284</t>
  </si>
  <si>
    <t>SO2023/3011</t>
  </si>
  <si>
    <t>8977</t>
  </si>
  <si>
    <t>SO2023/3012</t>
  </si>
  <si>
    <t>8966</t>
  </si>
  <si>
    <t>S02023/2933</t>
  </si>
  <si>
    <t>9444</t>
  </si>
  <si>
    <t>9623</t>
  </si>
  <si>
    <t>SO/2024/0510</t>
  </si>
  <si>
    <t>10131</t>
  </si>
  <si>
    <t>SO/2024/1159</t>
  </si>
  <si>
    <t>10260</t>
  </si>
  <si>
    <t>10670</t>
  </si>
  <si>
    <t>11015</t>
  </si>
  <si>
    <t>SL.USA.FG.CP0.4".YL.ANC] 5.25” Corner protector (43986-10) Yellow - Ancra</t>
  </si>
  <si>
    <t>SO/2024/2655</t>
  </si>
  <si>
    <t>11169</t>
  </si>
  <si>
    <t>11463</t>
  </si>
  <si>
    <t>11540 + 11541 + 00467</t>
  </si>
  <si>
    <t>[TTB01009] Access Box 300 Port Cap Blank-off Grey + [TTB01010] Access Box 300 Port Cap 40mm Grey + [TTB04000] Access Box 300 Port Cap Blank/40mm Grey Kit</t>
  </si>
  <si>
    <t>11481 + 11482 + 11483 + 11484</t>
  </si>
  <si>
    <t>[TTB01005] Access Box 300 Lock Barrel Black + [TTB01007] Access Box 300 Barrel Lock Key Black + [TTB01006] Access Box 300 Barrel Lock Latch Black + [TTB01008] Access Box 300 Lock Dust Cap Black</t>
  </si>
  <si>
    <t>11560</t>
  </si>
  <si>
    <t>[PBC01105] Blue Ribbon Air Pin for Dolly and Crate Blue</t>
  </si>
  <si>
    <t>11425 + 00485</t>
  </si>
  <si>
    <t>[HF.P.HC.HFC.STD.BK] HFT Flying H Naked Cap &amp; [HF.C.HC.HFC.STD] HFT Flying H Cap - Standard (AI803100)</t>
  </si>
  <si>
    <t>Asembly Stock</t>
  </si>
  <si>
    <t>11768</t>
  </si>
  <si>
    <t>[PBC01098] Basket Clips</t>
  </si>
  <si>
    <t>11710 + 11711</t>
  </si>
  <si>
    <t>[TTA01128] M16 Housing Hinge Pin - Black + 	[TTA01129] M16 Fiber Pick - Black</t>
  </si>
  <si>
    <t>Assembly Stock replenishment</t>
  </si>
  <si>
    <t>10589</t>
  </si>
  <si>
    <t>[HF.P.HC.HFH.STD.YL] HFT Flying-H Insert (H)</t>
  </si>
  <si>
    <t>SO/2025/0511</t>
  </si>
  <si>
    <t>11827</t>
  </si>
  <si>
    <t>[TTA01121] M8 - Splice Bay Cassette - 24 - White</t>
  </si>
  <si>
    <t>USA SO/2025/0441</t>
  </si>
  <si>
    <t>11797</t>
  </si>
  <si>
    <t>[SL.USA.FG.CP0.4".YL.ANC] 5.25” Corner protector (43986-10) Yellow - Ancra</t>
  </si>
  <si>
    <t>12080</t>
  </si>
  <si>
    <t>[TTA01157] M32 - 2.2-2.4mm Splice Chip &amp; M32 - 2.5-2.8mm Splice Chip - White</t>
  </si>
  <si>
    <t>12127</t>
  </si>
  <si>
    <t>12314</t>
  </si>
  <si>
    <t>[TTA01133] M16 48F Splice Tray Cassette - White</t>
  </si>
  <si>
    <t>12368 + 12369</t>
  </si>
  <si>
    <t>[PGB05016] Pro Wolf Pack Pin &amp; [PGB05015] Pro Wolf Pack Latch</t>
  </si>
  <si>
    <t>12293 +  12294 + 12294 + 12296</t>
  </si>
  <si>
    <t>SO/2025/1750/53/1863/20</t>
  </si>
  <si>
    <t>12428 + 12429</t>
  </si>
  <si>
    <t>[TTB01021] MicroLoop Naked Splice Tray White &amp; [TTB01022] MicroLoop Splice Bay White (Local - T-piece)</t>
  </si>
  <si>
    <t>USA SO/2025/1733</t>
  </si>
  <si>
    <t>12455</t>
  </si>
  <si>
    <t>SO/2099</t>
  </si>
  <si>
    <t>12598</t>
  </si>
  <si>
    <t xml:space="preserve"> [TTA01121] M8 - Splice Bay Cassette - 24 - White</t>
  </si>
  <si>
    <t>12729</t>
  </si>
  <si>
    <t xml:space="preserve">[TTA01120] M8 - Splice Tray - 24 - White </t>
  </si>
  <si>
    <t>H1602</t>
  </si>
  <si>
    <t>SO/2024/0588</t>
  </si>
  <si>
    <t>12690</t>
  </si>
  <si>
    <t>[HF.FG.WNI.32] Wheel Nut Indicators 32mm HFT</t>
  </si>
  <si>
    <t>USA SO/2025/2347</t>
  </si>
  <si>
    <t xml:space="preserve">Sep </t>
  </si>
  <si>
    <t>12658</t>
  </si>
  <si>
    <t xml:space="preserve"> Sept </t>
  </si>
  <si>
    <t>12859</t>
  </si>
  <si>
    <t>[TTA01153] M32 - Fiber Management Tray - White</t>
  </si>
  <si>
    <t xml:space="preserve">Sept </t>
  </si>
  <si>
    <t>[TTA01131] M16 Fm Tray Cable Fixation - Grey</t>
  </si>
  <si>
    <t>[TTA01137] M16 Platform Tray Cable Fixation - Grey</t>
  </si>
  <si>
    <t>12998</t>
  </si>
  <si>
    <t>Dc Stock Rep</t>
  </si>
  <si>
    <t>12753 + 12773</t>
  </si>
  <si>
    <t>[HF.FG.WNI.32] Wheel Nut Indicators 32mm HFT + 	[HF.FG.WNI.33] Wheel Nut Indicators 33mm HFT</t>
  </si>
  <si>
    <t>12958</t>
  </si>
  <si>
    <t>12911</t>
  </si>
  <si>
    <t>[TTA01156] M32 - Splice Tray Cover - Clear</t>
  </si>
  <si>
    <t xml:space="preserve">USA </t>
  </si>
  <si>
    <t>12885 + 12886 + 12887 + 00761</t>
  </si>
  <si>
    <t>[TTB01014] MicroLoop Toggle Claw Black, [TTB01015] MicroLoop Toggle Hinge, [TTB01016] MicroLoop Toggle Hinge Pin Black, [TTB03004] MicroLoop Toggle Clamp Black</t>
  </si>
  <si>
    <t>Sep/Oct</t>
  </si>
  <si>
    <t>12938 + 12939</t>
  </si>
  <si>
    <t>[TTB01021] MicroLoop Naked Splice Tray White &amp; [TTB01022] MicroLoop Splice Bay White</t>
  </si>
  <si>
    <t>USA SO/2025/3197</t>
  </si>
  <si>
    <t>13097</t>
  </si>
  <si>
    <t>USA SO/2025/3198</t>
  </si>
  <si>
    <t>13098</t>
  </si>
  <si>
    <t>SO/2025/4134</t>
  </si>
  <si>
    <t>12821 + 12822</t>
  </si>
  <si>
    <t>13404</t>
  </si>
  <si>
    <t>[TTA01151] M32 - Grommet Frame - Black</t>
  </si>
  <si>
    <t>13197 + 13198 + 00806</t>
  </si>
  <si>
    <t>13468 + 13469 + 00875</t>
  </si>
  <si>
    <t>13523 + 13524 + 00882</t>
  </si>
  <si>
    <t>USA SO/2026/0093</t>
  </si>
  <si>
    <t>13476</t>
  </si>
  <si>
    <t>Order moved down due M-range</t>
  </si>
  <si>
    <t>SO/2026/0424</t>
  </si>
  <si>
    <t>13676</t>
  </si>
  <si>
    <t>[PGA05009] 30mm Clipped De Spacer - PP Balck</t>
  </si>
  <si>
    <t>SO/2026/0849</t>
  </si>
  <si>
    <t>13765</t>
  </si>
  <si>
    <t>[PGA05063] 44mm Clipped De Spacer - PP Black</t>
  </si>
  <si>
    <t>13858 + 13859</t>
  </si>
  <si>
    <t>13940</t>
  </si>
  <si>
    <t>SO/2026/1238</t>
  </si>
  <si>
    <t>13941</t>
  </si>
  <si>
    <t>SO/2026/1276</t>
  </si>
  <si>
    <t>13942</t>
  </si>
  <si>
    <t>Power Outage + Easter Shutdown</t>
  </si>
  <si>
    <t>EZ120/1</t>
  </si>
  <si>
    <t>SO/2026/0871</t>
  </si>
  <si>
    <t>13810 + 13811 + 009443</t>
  </si>
  <si>
    <t>[TTA01107] Connect Terminal Facia (Local) + [TTA01108] Connect Terminal Frame (Local) + [TTA05031] Connect Terminal (Local)</t>
  </si>
  <si>
    <t>EZ150/1</t>
  </si>
  <si>
    <t>13963 + 13964 + 13965</t>
  </si>
  <si>
    <t>13995 + 13996</t>
  </si>
  <si>
    <t>14043</t>
  </si>
  <si>
    <t xml:space="preserve"> SO/2026/1294</t>
  </si>
  <si>
    <t>14044</t>
  </si>
  <si>
    <t>HAAS</t>
  </si>
  <si>
    <t>So2024/1071</t>
  </si>
  <si>
    <t>00639</t>
  </si>
  <si>
    <t>[PCF05014] 120-HS/80-PE SPIGOT</t>
  </si>
  <si>
    <t>00640</t>
  </si>
  <si>
    <t>[PCF05010]120-HS/60-PE SPIGOT</t>
  </si>
  <si>
    <t>00641</t>
  </si>
  <si>
    <t>[PCF05011]120-HS/65-PE SPIGOT</t>
  </si>
  <si>
    <t>00642</t>
  </si>
  <si>
    <t>00643</t>
  </si>
  <si>
    <t>00650</t>
  </si>
  <si>
    <t>[PCF05005] 120-HS/35-PE SPIGOT</t>
  </si>
  <si>
    <t>00644</t>
  </si>
  <si>
    <t>00645</t>
  </si>
  <si>
    <t>[PCF05011] 120-HS/65-PE SPIGOT</t>
  </si>
  <si>
    <t>00646</t>
  </si>
  <si>
    <t>00647</t>
  </si>
  <si>
    <t>00648</t>
  </si>
  <si>
    <t>00649</t>
  </si>
  <si>
    <t>00696</t>
  </si>
  <si>
    <t>00694</t>
  </si>
  <si>
    <t>00695</t>
  </si>
  <si>
    <t>[PCF05006] 120-HS/40-PE SPIGOT</t>
  </si>
  <si>
    <t>00697</t>
  </si>
  <si>
    <t>00698</t>
  </si>
  <si>
    <t>00699</t>
  </si>
  <si>
    <t>00700</t>
  </si>
  <si>
    <t>00701</t>
  </si>
  <si>
    <t>00702</t>
  </si>
  <si>
    <t>00750</t>
  </si>
  <si>
    <t>[PCF05003] 120-HS/25-PE SPIGOT</t>
  </si>
  <si>
    <t>00751</t>
  </si>
  <si>
    <t>00758</t>
  </si>
  <si>
    <t>00752</t>
  </si>
  <si>
    <t>00753</t>
  </si>
  <si>
    <t>00754</t>
  </si>
  <si>
    <t>00755</t>
  </si>
  <si>
    <t>00756</t>
  </si>
  <si>
    <t>00757</t>
  </si>
  <si>
    <t>00760</t>
  </si>
  <si>
    <t>00761</t>
  </si>
  <si>
    <t>00762</t>
  </si>
  <si>
    <t>00809</t>
  </si>
  <si>
    <t>00811</t>
  </si>
  <si>
    <t>00810</t>
  </si>
  <si>
    <t>00916</t>
  </si>
  <si>
    <t>00921</t>
  </si>
  <si>
    <t>00917</t>
  </si>
  <si>
    <t>00918</t>
  </si>
  <si>
    <t>00919</t>
  </si>
  <si>
    <t>00920</t>
  </si>
  <si>
    <t>00998</t>
  </si>
  <si>
    <t>01000</t>
  </si>
  <si>
    <t>01001</t>
  </si>
  <si>
    <t>01002</t>
  </si>
  <si>
    <t>01087</t>
  </si>
  <si>
    <t>01088</t>
  </si>
  <si>
    <t>01090</t>
  </si>
  <si>
    <t>01091</t>
  </si>
  <si>
    <t>00820</t>
  </si>
  <si>
    <t>00821</t>
  </si>
  <si>
    <t>00822</t>
  </si>
  <si>
    <t>Awaiting Spigot</t>
  </si>
  <si>
    <t>00823</t>
  </si>
  <si>
    <t>00865</t>
  </si>
  <si>
    <t>00824</t>
  </si>
  <si>
    <t>00863</t>
  </si>
  <si>
    <t>00864</t>
  </si>
  <si>
    <t>STOPPER ASSEMBLY</t>
  </si>
  <si>
    <t>ASSEMBLY</t>
  </si>
  <si>
    <t>SO/2025/1958</t>
  </si>
  <si>
    <t>[CF.FG.LGRN.SF] Light Green Stopper Filled</t>
  </si>
  <si>
    <t>SO/2025/1959</t>
  </si>
  <si>
    <t>00121</t>
  </si>
  <si>
    <t>SO/2025/2896</t>
  </si>
  <si>
    <t>00120</t>
  </si>
  <si>
    <t>[CF.FG.BLK.SF] Black Stopper Filled</t>
  </si>
  <si>
    <t>SO/2025/3169</t>
  </si>
  <si>
    <t>00123</t>
  </si>
  <si>
    <t>Mchine breakdown</t>
  </si>
  <si>
    <t>SO/2025/2368</t>
  </si>
  <si>
    <t>00122</t>
  </si>
  <si>
    <t>[CF.FG.WHT.SF] White Stopper Filled</t>
  </si>
  <si>
    <t>00124</t>
  </si>
  <si>
    <t>SO/2026/1415</t>
  </si>
  <si>
    <t>00132</t>
  </si>
  <si>
    <t>SUB ASSEMBLY LIST</t>
  </si>
  <si>
    <t>01183</t>
  </si>
  <si>
    <t>[PGB06004] Pro Wolf Pack High Lid Assembled with Base</t>
  </si>
  <si>
    <t>01184</t>
  </si>
  <si>
    <t>[PGB06001] Pro Wolf Pack Box Assembled with Base</t>
  </si>
  <si>
    <t>ASSEMBLY LIST</t>
  </si>
  <si>
    <t>00190</t>
  </si>
  <si>
    <t xml:space="preserve">	[TTA06001] LDJ 24F 10 -12mm Oval &amp; 2Dual 3-4mm Kit</t>
  </si>
  <si>
    <t>00313</t>
  </si>
  <si>
    <t>[SL.FG.MX7.FB.A] Fire Box Option A (Red Diamond with Black, Centered)</t>
  </si>
  <si>
    <t>00284</t>
  </si>
  <si>
    <t>[SL.FG.CB (BK+YL)] Safeload Carabiner (BK+YL)</t>
  </si>
  <si>
    <t>00285</t>
  </si>
  <si>
    <t xml:space="preserve">	[SL.FG.CB (YL+BK)] Safeload Carabiner (YL+BK)</t>
  </si>
  <si>
    <t>7363</t>
  </si>
  <si>
    <t>[PGA06016] Upward Sprayer Assembled</t>
  </si>
  <si>
    <t>00303</t>
  </si>
  <si>
    <t>[HF.FG.MX7.FB.E] HFT Fire Box Option E (Red Diamond with Black, Centered)</t>
  </si>
  <si>
    <t>00304</t>
  </si>
  <si>
    <t>[PBC06002] 18L Tote Bin 400x300x240 Blue (2746C)</t>
  </si>
  <si>
    <t>00305</t>
  </si>
  <si>
    <t>[PBC06024] 68L Tote Bin 600x400x365 Black</t>
  </si>
  <si>
    <t>00306</t>
  </si>
  <si>
    <t>[PBC06045] 7L Tote Bin 300x200x185 Purple (CJ DISTRIBUTION)</t>
  </si>
  <si>
    <t>00301</t>
  </si>
  <si>
    <t>[PBC06068] 52L Tote Bin 600x400x320 Purple &amp; Green (CJ DISTRIBUTION)</t>
  </si>
  <si>
    <t>00302</t>
  </si>
  <si>
    <t>[PBC06067] 18L Tote Bin 400x300x240 Purple &amp; Green (CJ DISTRIBUTION)</t>
  </si>
  <si>
    <t>00307</t>
  </si>
  <si>
    <t>[PBC06069] 7L Tote Bin 300x200x185 Purple &amp; Green (CJ DISTRIBUTION)</t>
  </si>
  <si>
    <t>7856</t>
  </si>
  <si>
    <t>[TTB05000] Access Box 300 [GEN]</t>
  </si>
  <si>
    <t>00233</t>
  </si>
  <si>
    <t>[PRC06001] Remora 3 Complete &amp; Assembled</t>
  </si>
  <si>
    <t>7693</t>
  </si>
  <si>
    <t>00207</t>
  </si>
  <si>
    <t>[TTD05005] VB2 Enclosure - Complete Assembly - White</t>
  </si>
  <si>
    <t>00309</t>
  </si>
  <si>
    <t xml:space="preserve">	[TTE05004] BWB Splice&amp;Patch P14/1-P20/1 [OCTOTEL] Grey PC/ABS</t>
  </si>
  <si>
    <t>00295</t>
  </si>
  <si>
    <t>HF.C.DTB12.LS.BK] DTB Fully Assembled Lid (Super) (Black) HFT</t>
  </si>
  <si>
    <t>7937</t>
  </si>
  <si>
    <t>[PDA06007] Gendec Sefeko Back Cover + 2 Brass Inserts + 2 Charging Contacts</t>
  </si>
  <si>
    <t>00274</t>
  </si>
  <si>
    <t>[TTB05003] MicroLoop 8F [GEN] Black</t>
  </si>
  <si>
    <t>00296</t>
  </si>
  <si>
    <t>[HF.FG.DTB12.L.BK] DTB1200-Lite (BK+BK) (TX801068)</t>
  </si>
  <si>
    <t>00297</t>
  </si>
  <si>
    <t>[HF.FG.DTB12.S.BK] DTB1200-Super (BK+BK) (TX801069)</t>
  </si>
  <si>
    <t>00298</t>
  </si>
  <si>
    <t>[SL.C.DTB12.B.BK.S] Dura Tough Box Fully Assembled Base - Super (Black Pin)</t>
  </si>
  <si>
    <t>00299</t>
  </si>
  <si>
    <t>[SL.C.DTB12.B.BK.L] Dura Tough Box Fully Assembled Base - Lite</t>
  </si>
  <si>
    <t>[SL.FG.OT5.YL] Organiser Tray 500 (Yellow)</t>
  </si>
  <si>
    <t>[TTA03001] Loop Joint Pole Bracket Black Kit</t>
  </si>
  <si>
    <t>00328</t>
  </si>
  <si>
    <t>[SL.FG.SA.DP.WM.HL700] Wall mounted Hand Alcohol Liquid Dispenser with empty 700ml bottle</t>
  </si>
  <si>
    <t>april</t>
  </si>
  <si>
    <t>00336</t>
  </si>
  <si>
    <t>7L Tote Bin 300x200x185 Red (2035C) (Property of CJ Distribution)</t>
  </si>
  <si>
    <t>00335</t>
  </si>
  <si>
    <t>52L Tote Bin 600x400x320 Red (2035C) (Property of CJ Distribution)</t>
  </si>
  <si>
    <t>00330</t>
  </si>
  <si>
    <t>[PBC06065] 18LT Tote Bin 400x300x240 Red (2035C) (Property of CJ Distribution)</t>
  </si>
  <si>
    <t>00333</t>
  </si>
  <si>
    <t>[PBC06008] 18L Tote Bin 400x300x240 Yellow (102C)</t>
  </si>
  <si>
    <t>00339</t>
  </si>
  <si>
    <t>18LT Tote Bin 400x300x240 Red (2035C)</t>
  </si>
  <si>
    <t>00340</t>
  </si>
  <si>
    <t>[PBC06034] 68L Tote Bin 600x400x365 Red 2035C (Shoprite)</t>
  </si>
  <si>
    <t>00334</t>
  </si>
  <si>
    <t>[PBC06010] 52L Tote Bin 600x400x320 Black</t>
  </si>
  <si>
    <t>00338</t>
  </si>
  <si>
    <t>[PBC06001] 18L Tote Bin 400x300x240 Black (Re Grind Battery Grade)</t>
  </si>
  <si>
    <t>00341</t>
  </si>
  <si>
    <t>00337</t>
  </si>
  <si>
    <t>7L Tote Bin 300x200x185 Steel Grey (159A)</t>
  </si>
  <si>
    <t>00329</t>
  </si>
  <si>
    <t>[SL.FG.MX5.TB.BL] Maxi 500 Toolbox (Blue)</t>
  </si>
  <si>
    <t>00364</t>
  </si>
  <si>
    <t>[SL.FG.MX5.TB.YL] Maxi 500 Toolbox (Yellow)</t>
  </si>
  <si>
    <t>00363</t>
  </si>
  <si>
    <t>[HF.C.HC.HFC.INF] HFT Flying H Cap - Inflator [AI803100]</t>
  </si>
  <si>
    <t>00343</t>
  </si>
  <si>
    <t>[TTA06000] LDJ 24F 08 -10mm Oval &amp; 2Dual 3-4mm Kit</t>
  </si>
  <si>
    <t>00362</t>
  </si>
  <si>
    <t>00367</t>
  </si>
  <si>
    <t>00368</t>
  </si>
  <si>
    <t>00369</t>
  </si>
  <si>
    <t>00370</t>
  </si>
  <si>
    <t>[PBC06025] 68L Tote Bin 600x400x365 Blue (2746C)</t>
  </si>
  <si>
    <t>00377</t>
  </si>
  <si>
    <t>[PGBO6003] Pro Wolf Pack Box Hi Lid Assembled</t>
  </si>
  <si>
    <t>8373</t>
  </si>
  <si>
    <t>[PGB06001] Pro Wolf Pack Assembled</t>
  </si>
  <si>
    <t>June</t>
  </si>
  <si>
    <t>8374</t>
  </si>
  <si>
    <t>jUNE</t>
  </si>
  <si>
    <t>8462</t>
  </si>
  <si>
    <t>8463</t>
  </si>
  <si>
    <t>[PBC06021] 52LT Tote Bin 600x400x320 Red (2035c)</t>
  </si>
  <si>
    <t>so2023/1635</t>
  </si>
  <si>
    <t>000393</t>
  </si>
  <si>
    <t>Blue Ribbon Classic Dolly (Complete, castors pre-paid)</t>
  </si>
  <si>
    <t>so2023/1649</t>
  </si>
  <si>
    <t>000394</t>
  </si>
  <si>
    <t>[TTE05000] BWB Splice&amp;Patch P12/2-P8/4 [GEN] Grey</t>
  </si>
  <si>
    <t>so2023/1663</t>
  </si>
  <si>
    <t>000395</t>
  </si>
  <si>
    <t>000396</t>
  </si>
  <si>
    <t>Pro Wolf Pack Lid Assembled</t>
  </si>
  <si>
    <t>000397</t>
  </si>
  <si>
    <t>8620 &amp; 00080</t>
  </si>
  <si>
    <t>[HF.C.HC.HB.BK+S] HFT Hubometer Cap + Screws [AI803104]</t>
  </si>
  <si>
    <t>000412</t>
  </si>
  <si>
    <t>[PBC06032] 68L Tote Bin 600x400x365 PnP Blue &amp; PnP Red (Pick n Pay)</t>
  </si>
  <si>
    <t>000413</t>
  </si>
  <si>
    <t>00403</t>
  </si>
  <si>
    <t>52L Tote Bin 600x400x320 Yellow &amp; Green - (Property of Dischem)</t>
  </si>
  <si>
    <t>00404</t>
  </si>
  <si>
    <t>[SL.FG.CB (YL+BK)] Safeload Carabiner (YL+BK)</t>
  </si>
  <si>
    <t>00405</t>
  </si>
  <si>
    <t>00406</t>
  </si>
  <si>
    <t>[SL.FG.DTB12.MS.L ] Dura Tough Box Mounting system (L)</t>
  </si>
  <si>
    <t>SO2023/1833 &amp;1890</t>
  </si>
  <si>
    <t>00407</t>
  </si>
  <si>
    <t>so2023/1890</t>
  </si>
  <si>
    <t>00409</t>
  </si>
  <si>
    <t>[SL.FG.MX7.TB.BL] Maxi 700 Toolbox (Blue)</t>
  </si>
  <si>
    <t>00410</t>
  </si>
  <si>
    <t>[SL.C.MX7.L.BL.TB] Maxi 700 Blue Lid with compartments</t>
  </si>
  <si>
    <t>00411</t>
  </si>
  <si>
    <t>[SL.FG.DTB15.1L.BL+BL.BK&amp;BK] DTB150 - FG - Single Lacth - BL+BL - Black &amp; Black</t>
  </si>
  <si>
    <t>so2023/1921</t>
  </si>
  <si>
    <t>so2023/1723</t>
  </si>
  <si>
    <t>0000414</t>
  </si>
  <si>
    <t>[PDA05158] Loorack Assembled - White</t>
  </si>
  <si>
    <t>0000415</t>
  </si>
  <si>
    <t>[PDA05159] Loorack Assembled - Dark Grey</t>
  </si>
  <si>
    <t>0000416</t>
  </si>
  <si>
    <t>[PDA05160] Loorack Assembled - Black</t>
  </si>
  <si>
    <t>Ghost booking</t>
  </si>
  <si>
    <t>ghost booking</t>
  </si>
  <si>
    <t>68L Tote Bin 600x400x365 Black</t>
  </si>
  <si>
    <t>00421</t>
  </si>
  <si>
    <t>[PBC05021] 18L Tote Bin 400x300x240 Black VIRGIN/BATTERY GRADE</t>
  </si>
  <si>
    <t>00422</t>
  </si>
  <si>
    <t>[PBC05022] 68L Tote Bin 600x400x365 Black VIRGIN/BATTERY GRADE</t>
  </si>
  <si>
    <t>so2023/2027</t>
  </si>
  <si>
    <t>00419</t>
  </si>
  <si>
    <t>000423</t>
  </si>
  <si>
    <t>000424</t>
  </si>
  <si>
    <t>[SL.C.MX7.L.RD.DW] Maxi 700 Diamond cutout lid with diamond window fitted</t>
  </si>
  <si>
    <t>000425</t>
  </si>
  <si>
    <t>[HF.FG.MX7.FB.E] HFT Fire Box Option E (Red Diamond with Black, Centered) (TX801065)</t>
  </si>
  <si>
    <t>000426</t>
  </si>
  <si>
    <t>[HF.C.MX7.L.RD.DW] Maxi 700 Diamond cutout lid with diamond window fitted (Freuhauf)</t>
  </si>
  <si>
    <t>SO2023/2013</t>
  </si>
  <si>
    <t>00429</t>
  </si>
  <si>
    <t>[PGA06013] Downward Sprayer Assembled</t>
  </si>
  <si>
    <t>[TTA05026] M8 LITE - A(9-12MM) + D(4.5-6MM) - 24</t>
  </si>
  <si>
    <t>00453</t>
  </si>
  <si>
    <t>00454</t>
  </si>
  <si>
    <t>[PDA06010] Gendec Sefeko Front Cover + Seal + 6 Brass Inserts</t>
  </si>
  <si>
    <t>00455</t>
  </si>
  <si>
    <t>00456</t>
  </si>
  <si>
    <t>[HF.C.HC.HFXC.INF] HFT HFX Cap - Inflator [AI803101]</t>
  </si>
  <si>
    <t>00444</t>
  </si>
  <si>
    <t>00459</t>
  </si>
  <si>
    <t>00458</t>
  </si>
  <si>
    <t>00467</t>
  </si>
  <si>
    <t>00469</t>
  </si>
  <si>
    <t>[HF.C.HC.HFC.STD] HFT Flying H Cap - Standard (AI803100)</t>
  </si>
  <si>
    <t>00495</t>
  </si>
  <si>
    <t>[PBC06089] 52L Tote Bin 600x400x320 Grey (429C)</t>
  </si>
  <si>
    <t>00483</t>
  </si>
  <si>
    <t>[PBC06090] 68L Tote Bin 600x400x365 Blue (7461C)</t>
  </si>
  <si>
    <t>SO2023/3096</t>
  </si>
  <si>
    <t>00475</t>
  </si>
  <si>
    <t>[TTB05003] Microloop 8F [Gen] Black</t>
  </si>
  <si>
    <t>00480</t>
  </si>
  <si>
    <t>00457</t>
  </si>
  <si>
    <t>[PBC06012] 52L Tote Bin 600x400x320 Blue (2746C) (Property of Clicks)</t>
  </si>
  <si>
    <t>00448</t>
  </si>
  <si>
    <t>00425</t>
  </si>
  <si>
    <t>HFT Fire Box Option E (Red Diamond with Black, Centered) (TX801065)</t>
  </si>
  <si>
    <t>00461</t>
  </si>
  <si>
    <t>[SL.FG.DTB12.S.BK] DTB1200-Super (BK + BK)</t>
  </si>
  <si>
    <t>00462</t>
  </si>
  <si>
    <t>00463</t>
  </si>
  <si>
    <t>[SL.C.DTB12.LS.BK] Dura Tough Box Fully Assembled Lid (Super) (Black)</t>
  </si>
  <si>
    <t>00464</t>
  </si>
  <si>
    <t>00465</t>
  </si>
  <si>
    <t>[SL.FG.MX7.TB.GR] Maxi 700 Toolbox (Green)</t>
  </si>
  <si>
    <t>00466</t>
  </si>
  <si>
    <t>[SL.C.MX7.L.GR.TB] Maxi 700 Green Lid with compartments</t>
  </si>
  <si>
    <t>00472</t>
  </si>
  <si>
    <t>[SL.C.DTB15..L.1L.Bl.BK] DTB150 - Assembled Lid - Single Latch Lid - BL - Black</t>
  </si>
  <si>
    <t>00471</t>
  </si>
  <si>
    <t>00473</t>
  </si>
  <si>
    <t xml:space="preserve">	[SL.FG.MX7.TB.BL] Maxi 700 Toolbox (Blue)</t>
  </si>
  <si>
    <t>00488</t>
  </si>
  <si>
    <t>0496</t>
  </si>
  <si>
    <t>0491</t>
  </si>
  <si>
    <t>00193</t>
  </si>
  <si>
    <t>SO2023/2672</t>
  </si>
  <si>
    <t>0497</t>
  </si>
  <si>
    <t>[PRC01005] Thinkst Canary Housing</t>
  </si>
  <si>
    <t>SO2023/3518</t>
  </si>
  <si>
    <t>00506</t>
  </si>
  <si>
    <t>[TTE05012] BWB Splice&amp;Patch P14/1-P20/1 [Octotel] Grey ASA</t>
  </si>
  <si>
    <t>00470</t>
  </si>
  <si>
    <t>00474</t>
  </si>
  <si>
    <t>0493</t>
  </si>
  <si>
    <t>52lt tote bin Green (3205c)(property of clicks)</t>
  </si>
  <si>
    <t>SO2023/3432</t>
  </si>
  <si>
    <t>00500</t>
  </si>
  <si>
    <t>00504</t>
  </si>
  <si>
    <t>Emtelle</t>
  </si>
  <si>
    <t>00546</t>
  </si>
  <si>
    <t>[TTB05040] MicroLoop 8F [GEN] Black (Emtelle USA)</t>
  </si>
  <si>
    <t xml:space="preserve">January Stock Replenishmnet </t>
  </si>
  <si>
    <t>00529</t>
  </si>
  <si>
    <t>00530</t>
  </si>
  <si>
    <t>00527</t>
  </si>
  <si>
    <t>00528</t>
  </si>
  <si>
    <t>00534</t>
  </si>
  <si>
    <t>[SL.C.MX7.BS.T] Maxi 700 Fire Extinhuisher bracket Top</t>
  </si>
  <si>
    <t>00545</t>
  </si>
  <si>
    <t>[SL.C.MX7.BS.B] Maxi 700 Fire Extinhuisher brackets Bottom</t>
  </si>
  <si>
    <t>SO2023/3793</t>
  </si>
  <si>
    <t>0522</t>
  </si>
  <si>
    <t>00509</t>
  </si>
  <si>
    <t>[PBC06094] 52L Tote Bin 600x400x320 Blue (2746C) (Property of Clicks) - 30%LLDPE</t>
  </si>
  <si>
    <t>00491</t>
  </si>
  <si>
    <t>SO/2024/0012</t>
  </si>
  <si>
    <t>0525</t>
  </si>
  <si>
    <t>00526</t>
  </si>
  <si>
    <t>[PBC06037] 7L Tote Bin 300x200x185 Blue (2746C)</t>
  </si>
  <si>
    <t>00540</t>
  </si>
  <si>
    <t>Final Assembly</t>
  </si>
  <si>
    <t>[TTE05014] BWB Splice&amp;Patch P9/1-P13.5/1 [Ripple Fibre] Grey</t>
  </si>
  <si>
    <t>sub assembly</t>
  </si>
  <si>
    <t>615</t>
  </si>
  <si>
    <t>[TTA03019] M8 - Enclosure Assembly</t>
  </si>
  <si>
    <t>638</t>
  </si>
  <si>
    <t>[TTA03037] M8 - Foam Tape &amp; Cable Tie Kit</t>
  </si>
  <si>
    <t>616</t>
  </si>
  <si>
    <t>[TTA03054] M8 IP68 - Fiber Management Tray Kit</t>
  </si>
  <si>
    <t>618</t>
  </si>
  <si>
    <t>[TTA03057] M8 IP68 - Duct Clamp Kit</t>
  </si>
  <si>
    <t>[TTA05038] M8 IP68</t>
  </si>
  <si>
    <t>628</t>
  </si>
  <si>
    <t>629</t>
  </si>
  <si>
    <t>[SL.FG.MX7.FB.C] Fire Box Option C (Red &amp; Red, Centered)</t>
  </si>
  <si>
    <t>586</t>
  </si>
  <si>
    <t>630</t>
  </si>
  <si>
    <t>534</t>
  </si>
  <si>
    <t>545</t>
  </si>
  <si>
    <t>591</t>
  </si>
  <si>
    <t>55</t>
  </si>
  <si>
    <t>[CF.FG.VIT.RD.DD] Vital Red Dosing Devise</t>
  </si>
  <si>
    <t>549</t>
  </si>
  <si>
    <t>547</t>
  </si>
  <si>
    <t>[SL.FG.DTB12.S.BK] DTB12 Super (BK + BK) Safeload</t>
  </si>
  <si>
    <t>548</t>
  </si>
  <si>
    <t>[SL.C.DTB12.B.BK.S] DTB12 Fully Assembled Base - Super</t>
  </si>
  <si>
    <t>625</t>
  </si>
  <si>
    <t>[SL.C.DTB.C-Set ] DTB12 Fully Assembled Clamp Set</t>
  </si>
  <si>
    <t>626</t>
  </si>
  <si>
    <t>[SL.C.DTB.CS ] DTB12 Fully Assembled Clamp Slide</t>
  </si>
  <si>
    <t>627</t>
  </si>
  <si>
    <t>[SL.FG.DTB12.MS.L ] DTB12 Mounting system (Long)</t>
  </si>
  <si>
    <t>606</t>
  </si>
  <si>
    <t>[HF.FG.DTB12.L.BK] DTB12 Lite (BK + BK) HFT (TX801068)</t>
  </si>
  <si>
    <t>605</t>
  </si>
  <si>
    <t>[HF.C.DTB12.LS.BK] DTB12 Fully Assembled Lid (Black) HFT</t>
  </si>
  <si>
    <t>607</t>
  </si>
  <si>
    <t xml:space="preserve">	[SL.C.DTB12.B.BK.L] DTB12 Fully Assembled Base - Lite</t>
  </si>
  <si>
    <t>599</t>
  </si>
  <si>
    <t xml:space="preserve">	[SL.FG.MX7.TB.PK] Maxi 700 Toolbox (Pink)</t>
  </si>
  <si>
    <t>631</t>
  </si>
  <si>
    <t>[SL.C.MX7.L.PK.TB] Maxi 700 Pink Lid with compartments</t>
  </si>
  <si>
    <t>598</t>
  </si>
  <si>
    <t>466</t>
  </si>
  <si>
    <t>597</t>
  </si>
  <si>
    <t>594</t>
  </si>
  <si>
    <t xml:space="preserve">	[SL.C.MX7.L.BL.TB] Maxi 700 Blue Lid with compartments</t>
  </si>
  <si>
    <t>00705</t>
  </si>
  <si>
    <t xml:space="preserve">	[TTB05003] MicroLoop 8F [GEN] Black</t>
  </si>
  <si>
    <t>632</t>
  </si>
  <si>
    <t>[TTA05023] M8 LITE - A(6-9MM) + D(3-4.5MM) - 24</t>
  </si>
  <si>
    <t>634</t>
  </si>
  <si>
    <t>635</t>
  </si>
  <si>
    <t>637</t>
  </si>
  <si>
    <t>[TTA03015] M8 Lite - Fiber Management Tray Kit - A(6-9MM) +D(3-4.5MM)</t>
  </si>
  <si>
    <t>636</t>
  </si>
  <si>
    <t>[TTA03005] M8 Lite - Fiber Management Tray - Kit (No Grommets)</t>
  </si>
  <si>
    <t>652</t>
  </si>
  <si>
    <t>[SL.C.DTB15..L.1L.Bl.BK] DTB15 Assembled Lid - Single Latch - (BK+BK) - Black</t>
  </si>
  <si>
    <t>00706</t>
  </si>
  <si>
    <t>[PDA06008] Gendec Sefeko Battery Cover + Seal</t>
  </si>
  <si>
    <t>00734</t>
  </si>
  <si>
    <t>00740</t>
  </si>
  <si>
    <t xml:space="preserve"> [TTB05003] MicroLoop 8F [GEN] Black **Must have Screw MOD </t>
  </si>
  <si>
    <t>00736</t>
  </si>
  <si>
    <t>00747</t>
  </si>
  <si>
    <t>[SL.FG.MX5.TB.GR] Maxi 500 Toolbox (Green)</t>
  </si>
  <si>
    <t>00748</t>
  </si>
  <si>
    <t>00749</t>
  </si>
  <si>
    <t>[SL.FG.MX5.TB.BK] Maxi 500 Toolbox (Black)</t>
  </si>
  <si>
    <t>00737</t>
  </si>
  <si>
    <t>[HF.FG.DTB12.L.BK] DTB12 Lite (BK + BK) HFT (TX801068</t>
  </si>
  <si>
    <t>00733</t>
  </si>
  <si>
    <t xml:space="preserve"> [SL.FG.DTB15.1L.BL+BL.WH&amp;RD&amp;Y] DTB15 Single Latch Hero - (RD+WH+YL) - Red &amp; White (Yellow Hinge)</t>
  </si>
  <si>
    <t>00732</t>
  </si>
  <si>
    <t>[SL.FG.DTB15.1L.BL+BL.RD&amp;RD&amp;Y] DTB15 Single Latch Hero - (RD+RD+YL) - Red &amp; Red (Yellow Hinge)</t>
  </si>
  <si>
    <t>00782</t>
  </si>
  <si>
    <t>[TTE05004] NID Fibre Box Splice&amp;Patch P14/1-P20/1 [OCTOTEL] Grey PC/ABS</t>
  </si>
  <si>
    <t>00792</t>
  </si>
  <si>
    <t>00793</t>
  </si>
  <si>
    <t>00794</t>
  </si>
  <si>
    <t>00795</t>
  </si>
  <si>
    <t>00796</t>
  </si>
  <si>
    <t>00797</t>
  </si>
  <si>
    <t>[TTA05038] M8 (without Duct Clamp)</t>
  </si>
  <si>
    <t>00798</t>
  </si>
  <si>
    <t>00799</t>
  </si>
  <si>
    <t>[SL.FG.OT5.BL] Organiser Tray 500 (Blue)</t>
  </si>
  <si>
    <t>00800</t>
  </si>
  <si>
    <t xml:space="preserve"> [SL.FG.OT5.BK] Organiser Tray 500 (Black)</t>
  </si>
  <si>
    <t>00801</t>
  </si>
  <si>
    <t>00802</t>
  </si>
  <si>
    <t>00803</t>
  </si>
  <si>
    <t>00804</t>
  </si>
  <si>
    <t>00805</t>
  </si>
  <si>
    <t xml:space="preserve"> [SL.FG.MX5.TB.BL] Maxi 500 Toolbox (Blue)</t>
  </si>
  <si>
    <t>00806</t>
  </si>
  <si>
    <t>00807</t>
  </si>
  <si>
    <t>00808</t>
  </si>
  <si>
    <t>[SL.FG.MX5.TB.PK] Maxi 500 Toolbox (Pink)</t>
  </si>
  <si>
    <t>00028</t>
  </si>
  <si>
    <t>[CF.FG.CIP.LGRN.DD] Cipla Light Green Dosing Devise</t>
  </si>
  <si>
    <t>00087</t>
  </si>
  <si>
    <t>[CF.FG.ADC.LBL.DD] Light Blue Dosing Devise</t>
  </si>
  <si>
    <t>00812</t>
  </si>
  <si>
    <t>[PAA05006] BHU 5 - Configuration 6</t>
  </si>
  <si>
    <t>00895</t>
  </si>
  <si>
    <t xml:space="preserve"> [SL.FG.MX7.FB.C] Fire Box Option C (Red &amp; Red, Centered)</t>
  </si>
  <si>
    <t>00896</t>
  </si>
  <si>
    <t>00897</t>
  </si>
  <si>
    <t>00872</t>
  </si>
  <si>
    <t>[PDA06049] Downward Sprayer Assembled (30mm Nozzle)</t>
  </si>
  <si>
    <t>00898</t>
  </si>
  <si>
    <t>00909</t>
  </si>
  <si>
    <t>[TTA05040] M16 Enclosure</t>
  </si>
  <si>
    <t>00910</t>
  </si>
  <si>
    <t>00908</t>
  </si>
  <si>
    <t>[SL.FG.MX5.RFP] Maxi 500 Replacement Flaps Pack</t>
  </si>
  <si>
    <t>[SL.FG.MX5.WBP] Maxi 500 Whiteboard Pack</t>
  </si>
  <si>
    <t>[SL.FG.MX5.RKP] Maxi 500 Replacement kit</t>
  </si>
  <si>
    <t>01010</t>
  </si>
  <si>
    <t>00949</t>
  </si>
  <si>
    <t xml:space="preserve"> [TTA05039] M32 Enclosure</t>
  </si>
  <si>
    <t>01007</t>
  </si>
  <si>
    <t>[TTA05037] M16 Enclosure - With Pole Mount Brackets</t>
  </si>
  <si>
    <t>01008</t>
  </si>
  <si>
    <t>[TTA05038] M8 Microloop</t>
  </si>
  <si>
    <t>01005</t>
  </si>
  <si>
    <t>01006</t>
  </si>
  <si>
    <t>01012</t>
  </si>
  <si>
    <t>[TTB05044] M4 Microloop – Specialised order for US splitters</t>
  </si>
  <si>
    <t>01032</t>
  </si>
  <si>
    <t>01026</t>
  </si>
  <si>
    <t>00636</t>
  </si>
  <si>
    <t xml:space="preserve"> [TTB05000] Access Box 300 [GEN]</t>
  </si>
  <si>
    <t>01013</t>
  </si>
  <si>
    <t>[SL.FG.DTB12.MS.L   ] DTB12 Mounting system (Long)</t>
  </si>
  <si>
    <t>01027</t>
  </si>
  <si>
    <t>[TTA05038] M8 IP68 Microloop</t>
  </si>
  <si>
    <t>01028</t>
  </si>
  <si>
    <t>01030</t>
  </si>
  <si>
    <t>01029</t>
  </si>
  <si>
    <t>01033</t>
  </si>
  <si>
    <t>01014</t>
  </si>
  <si>
    <t>01015</t>
  </si>
  <si>
    <t>01016</t>
  </si>
  <si>
    <t>01017</t>
  </si>
  <si>
    <t xml:space="preserve"> [SL.FG.MX5.TB.BK] Maxi 500 Toolbox (Black)</t>
  </si>
  <si>
    <t>01018</t>
  </si>
  <si>
    <t>01019</t>
  </si>
  <si>
    <t>01020</t>
  </si>
  <si>
    <t>01021</t>
  </si>
  <si>
    <t>[SL.FG.MX7.TB.PK] Maxi 700 Toolbox (Pink)</t>
  </si>
  <si>
    <t>01022</t>
  </si>
  <si>
    <t xml:space="preserve"> [SL.FG.MX7.TB.GR] Maxi 700 Toolbox (Green)</t>
  </si>
  <si>
    <t>01023</t>
  </si>
  <si>
    <t>[SL.FG.DTB15.1L.BL+BL.BK&amp;BK] DTB15 Single Latch - (BK+BK) - Black &amp; Black</t>
  </si>
  <si>
    <t>01024</t>
  </si>
  <si>
    <t>[SL.FG.MX7.FB.F] Afrit Fire Box Option F (Red &amp; Black, Centered)</t>
  </si>
  <si>
    <t>01025</t>
  </si>
  <si>
    <t>[SL.FG.OT5.BK] Organiser Tray 500 (Black)</t>
  </si>
  <si>
    <t>01041</t>
  </si>
  <si>
    <t xml:space="preserve"> [TTB05003] MicroLoop 8F [GEN] Black - 4 port adaptor plate, 10 splice capacity </t>
  </si>
  <si>
    <t>01042</t>
  </si>
  <si>
    <t xml:space="preserve"> [TTA05038] M8 IP68 Microloop</t>
  </si>
  <si>
    <t>Balance of 1696</t>
  </si>
  <si>
    <t>01043</t>
  </si>
  <si>
    <t xml:space="preserve"> [TTB05003] MicroLoop 8F [GEN] Black</t>
  </si>
  <si>
    <t>01044</t>
  </si>
  <si>
    <t xml:space="preserve"> [HF.FG.DTB12.L.BK] DTB12 Lite (BK + BK) HFT (TX801068)</t>
  </si>
  <si>
    <t>01045</t>
  </si>
  <si>
    <t>01046</t>
  </si>
  <si>
    <t xml:space="preserve"> [HF.FG.MX7.FB.E] HFT Fire Box Option E (Red Diamond with Black, Centered) (TX801065)</t>
  </si>
  <si>
    <t>01047</t>
  </si>
  <si>
    <t xml:space="preserve"> [SL.FG.DTB12.S.BK] DTB12 Super (BK + BK) Safeload</t>
  </si>
  <si>
    <t>00115</t>
  </si>
  <si>
    <t>00116</t>
  </si>
  <si>
    <t xml:space="preserve"> [CF.FG.PHA.DBL.DD] PharmaCon Dark Blue Dosing Devise (No Plug)</t>
  </si>
  <si>
    <t>01048</t>
  </si>
  <si>
    <t>01049</t>
  </si>
  <si>
    <t xml:space="preserve"> [TTA05038] M8 IP68 Microloop USA</t>
  </si>
  <si>
    <t>01052</t>
  </si>
  <si>
    <t>01051</t>
  </si>
  <si>
    <t>01053</t>
  </si>
  <si>
    <t>[TTB05003] M4 MicroLoop - Black (Local)</t>
  </si>
  <si>
    <t>01050</t>
  </si>
  <si>
    <t>01060</t>
  </si>
  <si>
    <t>01061</t>
  </si>
  <si>
    <t>01062</t>
  </si>
  <si>
    <t>01063</t>
  </si>
  <si>
    <t>01064</t>
  </si>
  <si>
    <t>01065</t>
  </si>
  <si>
    <t>01066</t>
  </si>
  <si>
    <t>01067</t>
  </si>
  <si>
    <t>01069</t>
  </si>
  <si>
    <t>01071</t>
  </si>
  <si>
    <t xml:space="preserve"> [SL.FG.MX7.FB.D] Fire Box Option D (Red &amp; Clear, Centered)</t>
  </si>
  <si>
    <t>01070</t>
  </si>
  <si>
    <t>[SL.FG.DTB12.L.BK] DTB12 Lite (BK + BK) Safeload</t>
  </si>
  <si>
    <t>01072</t>
  </si>
  <si>
    <t>[SL.FG.OCFB] Open Cradle Fire Bracket</t>
  </si>
  <si>
    <t>01079</t>
  </si>
  <si>
    <t>01082</t>
  </si>
  <si>
    <t xml:space="preserve"> [SL.FG.MX7.FB.A] Fire Box Option A (Red Diamond with Black, Centered)</t>
  </si>
  <si>
    <t>01080</t>
  </si>
  <si>
    <t>01083</t>
  </si>
  <si>
    <t>01085</t>
  </si>
  <si>
    <t xml:space="preserve"> [SL.FG.MX5.TB.GR] Maxi 500 Toolbox (Green)</t>
  </si>
  <si>
    <t>01075</t>
  </si>
  <si>
    <t>01081</t>
  </si>
  <si>
    <t>SO/2245</t>
  </si>
  <si>
    <t>01093</t>
  </si>
  <si>
    <t xml:space="preserve"> [TTB05003] M4 MicroLoop - Black (Local)</t>
  </si>
  <si>
    <t>01094</t>
  </si>
  <si>
    <t>01095</t>
  </si>
  <si>
    <t>SO/2041</t>
  </si>
  <si>
    <t>01096</t>
  </si>
  <si>
    <t>01097</t>
  </si>
  <si>
    <t>[TTA05041] M8 IP68 Microloop – Specialised order for US splitters</t>
  </si>
  <si>
    <t>SO/2311</t>
  </si>
  <si>
    <t>01099</t>
  </si>
  <si>
    <t>SO/1987</t>
  </si>
  <si>
    <t>01104</t>
  </si>
  <si>
    <t>SO/2348</t>
  </si>
  <si>
    <t>01105</t>
  </si>
  <si>
    <t>01100</t>
  </si>
  <si>
    <t>01101</t>
  </si>
  <si>
    <t>01102</t>
  </si>
  <si>
    <t>01103</t>
  </si>
  <si>
    <t>SO/2352</t>
  </si>
  <si>
    <t>01106</t>
  </si>
  <si>
    <t>01107</t>
  </si>
  <si>
    <t>01108</t>
  </si>
  <si>
    <t>SO/2306</t>
  </si>
  <si>
    <t>00712</t>
  </si>
  <si>
    <t>[PGA05094] Downward Sprayer Assembled - Nylon (34mm Nozzle)</t>
  </si>
  <si>
    <t>SO/3328</t>
  </si>
  <si>
    <t>SO/0134</t>
  </si>
  <si>
    <t>00876</t>
  </si>
  <si>
    <t>[TTE05005] NID Fibre Box Splice&amp;Patch PG9/3 [Gen] Grey</t>
  </si>
  <si>
    <t>00127</t>
  </si>
  <si>
    <t>00128</t>
  </si>
  <si>
    <t xml:space="preserve"> [CF.FG.CIP.LGRN.DD] Cipla Light Green Dosing Devise</t>
  </si>
  <si>
    <t>00131</t>
  </si>
  <si>
    <t>01270</t>
  </si>
  <si>
    <t xml:space="preserve"> [PGA06013] Downward Sprayer Assembled - PP (20mm Nozzle)</t>
  </si>
  <si>
    <t>01276</t>
  </si>
  <si>
    <t xml:space="preserve"> [SL.FG.MX7.TB.BK] Maxi 700 Toolbox (Black)</t>
  </si>
  <si>
    <t>01277</t>
  </si>
  <si>
    <t xml:space="preserve"> [SL.FG.MX7.TB.BL] Maxi 700 Toolbox (Blue)</t>
  </si>
  <si>
    <t>01278</t>
  </si>
  <si>
    <t xml:space="preserve"> [SL.FG.MX7.TB.YL] Maxi 700 Toolbox (Yellow)</t>
  </si>
  <si>
    <t>01279</t>
  </si>
  <si>
    <t>01280</t>
  </si>
  <si>
    <t>01281</t>
  </si>
  <si>
    <t>01282</t>
  </si>
  <si>
    <t>01283</t>
  </si>
  <si>
    <t>01284</t>
  </si>
  <si>
    <t xml:space="preserve"> [SL.FG.MX5.TB.PK] Maxi 500 Toolbox (Pink)</t>
  </si>
  <si>
    <t>01285</t>
  </si>
  <si>
    <t xml:space="preserve"> [SL.FG.MX5.TB.YL] Maxi 500 Toolbox (Yellow)</t>
  </si>
  <si>
    <t>01286</t>
  </si>
  <si>
    <t>01287</t>
  </si>
  <si>
    <t>SL.FG.MX5.RKP] Maxi 500 Accessories kit</t>
  </si>
  <si>
    <t>01288</t>
  </si>
  <si>
    <t>01289</t>
  </si>
  <si>
    <t>01290</t>
  </si>
  <si>
    <t>01291</t>
  </si>
  <si>
    <t>01292</t>
  </si>
  <si>
    <t>01293</t>
  </si>
  <si>
    <t xml:space="preserve"> [SL.FG.OCFB] Open Cradle Fire Bracket</t>
  </si>
  <si>
    <t>01294</t>
  </si>
  <si>
    <t>01295</t>
  </si>
  <si>
    <t>[SL.C.DTB12.LS.BK] DTB12 Fully Assembled Lid (Black)</t>
  </si>
  <si>
    <t>01296</t>
  </si>
  <si>
    <t>[HF.FG.DTB12.S.BK] DTB12 Super (BK+BK) HFT (TX801069)</t>
  </si>
  <si>
    <t>01297</t>
  </si>
  <si>
    <t>01298</t>
  </si>
  <si>
    <t>01299</t>
  </si>
  <si>
    <t>01330</t>
  </si>
  <si>
    <t>01273</t>
  </si>
  <si>
    <t>01301</t>
  </si>
  <si>
    <t>01302</t>
  </si>
  <si>
    <t>Export</t>
  </si>
  <si>
    <t>0134</t>
  </si>
  <si>
    <t>WIP</t>
  </si>
  <si>
    <t>01303</t>
  </si>
  <si>
    <t>[TTB05044] M4 Microloop – USA (1x 1:4 LC/APC Splitter + 1x LC/APC Midcoupler)</t>
  </si>
  <si>
    <t>Done</t>
  </si>
  <si>
    <t>01259</t>
  </si>
  <si>
    <t>[TTA05042] M16 Enclosure Assembly – Specialised order for US splitters</t>
  </si>
  <si>
    <t xml:space="preserve">Boxes of screws only </t>
  </si>
  <si>
    <t>01192</t>
  </si>
  <si>
    <t>01191</t>
  </si>
  <si>
    <t>01200</t>
  </si>
  <si>
    <t>01201</t>
  </si>
  <si>
    <t>01202</t>
  </si>
  <si>
    <r>
      <t>[PBE05025] Global032 Tray (</t>
    </r>
    <r>
      <rPr>
        <b/>
        <i/>
        <sz val="10"/>
        <color rgb="FFFF0000"/>
        <rFont val="Aptos Narrow"/>
        <family val="2"/>
        <scheme val="minor"/>
      </rPr>
      <t>Komati</t>
    </r>
    <r>
      <rPr>
        <sz val="10"/>
        <rFont val="Aptos Narrow"/>
        <family val="2"/>
        <scheme val="minor"/>
      </rPr>
      <t>)</t>
    </r>
  </si>
  <si>
    <r>
      <t xml:space="preserve">[PBE05013] Global006 Base </t>
    </r>
    <r>
      <rPr>
        <b/>
        <sz val="10"/>
        <color rgb="FFFF0000"/>
        <rFont val="Aptos Narrow"/>
        <family val="2"/>
        <scheme val="minor"/>
      </rPr>
      <t>(Blank Log) - 760 units per Pallet</t>
    </r>
  </si>
  <si>
    <r>
      <t>[PBE05014] Global006 Sleeve -</t>
    </r>
    <r>
      <rPr>
        <b/>
        <sz val="10"/>
        <color rgb="FFFF0000"/>
        <rFont val="Aptos Narrow"/>
        <family val="2"/>
        <scheme val="minor"/>
      </rPr>
      <t xml:space="preserve"> 2597 units per pallet</t>
    </r>
  </si>
  <si>
    <r>
      <t xml:space="preserve">
[PBE05021] Global032 Tray (</t>
    </r>
    <r>
      <rPr>
        <b/>
        <sz val="10"/>
        <color rgb="FFFF0000"/>
        <rFont val="Aptos Narrow"/>
        <family val="2"/>
        <scheme val="minor"/>
      </rPr>
      <t>Blank Log</t>
    </r>
    <r>
      <rPr>
        <sz val="10"/>
        <rFont val="Aptos Narrow"/>
        <family val="2"/>
        <scheme val="minor"/>
      </rPr>
      <t>)</t>
    </r>
  </si>
  <si>
    <r>
      <t>[PBC01139] 18L Tote Bin Bottom Grey (L36844A) + [GZA06154] 18L Tote Bin 400x300x240 Grey (</t>
    </r>
    <r>
      <rPr>
        <b/>
        <sz val="10"/>
        <color rgb="FFFF0000"/>
        <rFont val="Aptos Narrow"/>
        <family val="2"/>
        <scheme val="minor"/>
      </rPr>
      <t>Property of UPD CT</t>
    </r>
    <r>
      <rPr>
        <sz val="10"/>
        <rFont val="Aptos Narrow"/>
        <family val="2"/>
        <scheme val="minor"/>
      </rPr>
      <t>)</t>
    </r>
  </si>
  <si>
    <r>
      <t xml:space="preserve">[PBC01002] 18L Tote Bin Bottom Blue (2746C) + [PBC06002] 18L Tote Bin 400x300x240 Blue (2746C) </t>
    </r>
    <r>
      <rPr>
        <b/>
        <sz val="10"/>
        <color rgb="FFFF0000"/>
        <rFont val="Aptos Narrow"/>
        <family val="2"/>
        <scheme val="minor"/>
      </rPr>
      <t>(No GLS Insert) Flat Rod</t>
    </r>
  </si>
  <si>
    <r>
      <t xml:space="preserve">[PBC01121] 18L Tote Bin Bottom Black 60% VIRGIN/40% BATTERY GRADE +[PBC05021] 18L Tote Bin 400x300x240 Black 60% VIRGIN/ 40% BATTERY GRADE </t>
    </r>
    <r>
      <rPr>
        <b/>
        <sz val="10"/>
        <color rgb="FFFF0000"/>
        <rFont val="Aptos Narrow"/>
        <family val="2"/>
        <scheme val="minor"/>
      </rPr>
      <t>(No GLS Insert) Flat Rod</t>
    </r>
  </si>
  <si>
    <r>
      <t xml:space="preserve">[PBC01139] 18L Tote Bin Bottom Grey (L36844A) + [PBC06106] 18L Tote Bin 400x300x240 Grey (Property of UPD) </t>
    </r>
    <r>
      <rPr>
        <b/>
        <sz val="10"/>
        <color rgb="FFFF0000"/>
        <rFont val="Aptos Narrow"/>
        <family val="2"/>
        <scheme val="minor"/>
      </rPr>
      <t>(No GLS Insert) Bump Rod</t>
    </r>
  </si>
  <si>
    <r>
      <t>[PBE05019] Global015 Tray</t>
    </r>
    <r>
      <rPr>
        <b/>
        <sz val="10"/>
        <color rgb="FFFF0000"/>
        <rFont val="Aptos Narrow"/>
        <family val="2"/>
        <scheme val="minor"/>
      </rPr>
      <t xml:space="preserve"> Blank Log 300 Trays Per Pallet </t>
    </r>
  </si>
  <si>
    <r>
      <t xml:space="preserve">[PBE05037] Global032 Tray (Southern Woods Nursery) </t>
    </r>
    <r>
      <rPr>
        <b/>
        <sz val="10"/>
        <color rgb="FFFF0000"/>
        <rFont val="Aptos Narrow"/>
        <family val="2"/>
        <scheme val="minor"/>
      </rPr>
      <t>592 P/Pallet</t>
    </r>
  </si>
  <si>
    <r>
      <t xml:space="preserve">October Dc Replenishment &amp; November Promo Stock - </t>
    </r>
    <r>
      <rPr>
        <b/>
        <sz val="11"/>
        <rFont val="Aptos Narrow"/>
        <family val="2"/>
        <scheme val="minor"/>
      </rPr>
      <t>BARCODE NOT REQUIRED</t>
    </r>
  </si>
  <si>
    <r>
      <t xml:space="preserve">[PBC01041] 68L Tote Bin Bottom Green (3405C) + 68L Tote Bin 600x400x365 Green (3405C) (Property of Takealot) </t>
    </r>
    <r>
      <rPr>
        <b/>
        <sz val="10"/>
        <color rgb="FFFF0000"/>
        <rFont val="Aptos Narrow"/>
        <family val="2"/>
        <scheme val="minor"/>
      </rPr>
      <t>(Blank Log)</t>
    </r>
  </si>
  <si>
    <r>
      <t xml:space="preserve">[PBC01135] 52L Tote Bin Bottom Black - 60% Virgin/ 40% Battery Grade + ck - 60% Virgin/ 40% Battery Grade	[PBC06104] 52L Tote Bin 600x400x320 Black - 60% Virgin/ 40% Battery Grade </t>
    </r>
    <r>
      <rPr>
        <b/>
        <sz val="10"/>
        <color rgb="FFFF0000"/>
        <rFont val="Aptos Narrow"/>
        <family val="2"/>
        <scheme val="minor"/>
      </rPr>
      <t>GLS Insert</t>
    </r>
  </si>
  <si>
    <r>
      <t>[PBC01141] 52L Tote Bin Bottom Grey (L36844A)+ [GZA06155] 52L Tote Bin 600x400x320 Grey (</t>
    </r>
    <r>
      <rPr>
        <b/>
        <sz val="10"/>
        <color rgb="FFFF0000"/>
        <rFont val="Aptos Narrow"/>
        <family val="2"/>
        <scheme val="minor"/>
      </rPr>
      <t>Property of UPD CT</t>
    </r>
    <r>
      <rPr>
        <sz val="10"/>
        <rFont val="Aptos Narrow"/>
        <family val="2"/>
        <scheme val="minor"/>
      </rPr>
      <t xml:space="preserve">) </t>
    </r>
    <r>
      <rPr>
        <b/>
        <sz val="10"/>
        <color rgb="FFFF0000"/>
        <rFont val="Aptos Narrow"/>
        <family val="2"/>
        <scheme val="minor"/>
      </rPr>
      <t>(GLS Log)</t>
    </r>
    <r>
      <rPr>
        <sz val="10"/>
        <rFont val="Aptos Narrow"/>
        <family val="2"/>
        <scheme val="minor"/>
      </rPr>
      <t xml:space="preserve"> </t>
    </r>
    <r>
      <rPr>
        <b/>
        <sz val="10"/>
        <color rgb="FFFF0000"/>
        <rFont val="Aptos Narrow"/>
        <family val="2"/>
        <scheme val="minor"/>
      </rPr>
      <t>+ Stickers</t>
    </r>
  </si>
  <si>
    <r>
      <t xml:space="preserve">[PBC01018] 52L Tote Bin Bottom Blue (2746C) + [PBC06011] 52L Tote Bin 600x400x320 Blue (2746C) </t>
    </r>
    <r>
      <rPr>
        <b/>
        <sz val="10"/>
        <color rgb="FFFF0000"/>
        <rFont val="Aptos Narrow"/>
        <family val="2"/>
        <scheme val="minor"/>
      </rPr>
      <t>GLS Insert</t>
    </r>
  </si>
  <si>
    <r>
      <t xml:space="preserve">[PBC06025] 68L Tote Bin 600x400x365 Blue (2746C) + [PBC01040] 68L Tote Bin Bottom BLUE (2746C) </t>
    </r>
    <r>
      <rPr>
        <b/>
        <sz val="10"/>
        <color rgb="FFFF0000"/>
        <rFont val="Aptos Narrow"/>
        <family val="2"/>
        <scheme val="minor"/>
      </rPr>
      <t>(GLS Insert &amp; Flat head rods)</t>
    </r>
  </si>
  <si>
    <r>
      <t xml:space="preserve">[PBE05021] Global032 Tray </t>
    </r>
    <r>
      <rPr>
        <b/>
        <sz val="10"/>
        <color rgb="FFFF0000"/>
        <rFont val="Aptos Narrow"/>
        <family val="2"/>
        <scheme val="minor"/>
      </rPr>
      <t>( Blank Log) 348 per pallet</t>
    </r>
  </si>
  <si>
    <r>
      <t>[PBE05019] Global015 Tray</t>
    </r>
    <r>
      <rPr>
        <b/>
        <sz val="10"/>
        <color rgb="FFFF0000"/>
        <rFont val="Aptos Narrow"/>
        <family val="2"/>
        <scheme val="minor"/>
      </rPr>
      <t xml:space="preserve"> Blank Log 456 Trays Per Pallet </t>
    </r>
  </si>
  <si>
    <r>
      <t xml:space="preserve">[PBC01018] 52L Tote Bin Bottom Blue (2746C) + [PBC06011] 52L Tote Bin 600x400x320 Blue (2746C) </t>
    </r>
    <r>
      <rPr>
        <b/>
        <sz val="10"/>
        <color rgb="FFFF0000"/>
        <rFont val="Aptos Narrow"/>
        <family val="2"/>
        <scheme val="minor"/>
      </rPr>
      <t>GLS Insert Flat Rod</t>
    </r>
  </si>
  <si>
    <r>
      <t xml:space="preserve">[PBC01025] 52L Tote Bin Bottom Red (2035C) + [PBC06021] 52L Tote Bin 600x400x320 Red (2035C) </t>
    </r>
    <r>
      <rPr>
        <b/>
        <sz val="10"/>
        <color rgb="FFFF0000"/>
        <rFont val="Aptos Narrow"/>
        <family val="2"/>
        <scheme val="minor"/>
      </rPr>
      <t>GLS Insert Flat Rod</t>
    </r>
  </si>
  <si>
    <r>
      <t>[PBC01135] 52L Tote Bin Bottom Black - 60% Virgin/ 40% Battery Grade + [PBC06104] 52L Tote Bin 600x400x320 Black - 60% Virgin/ 40% Battery Grade</t>
    </r>
    <r>
      <rPr>
        <b/>
        <sz val="10"/>
        <color rgb="FFFF0000"/>
        <rFont val="Aptos Narrow"/>
        <family val="2"/>
        <scheme val="minor"/>
      </rPr>
      <t xml:space="preserve"> GLS Insert Flat Rod</t>
    </r>
  </si>
  <si>
    <r>
      <t>[PBC01048] 68L Tote Bin Bottom Red (2035C) + [PBC06033] 68L Tote Bin 600x400x365 Red (2035C) +</t>
    </r>
    <r>
      <rPr>
        <b/>
        <sz val="10"/>
        <color rgb="FFFF0000"/>
        <rFont val="Aptos Narrow"/>
        <family val="2"/>
        <scheme val="minor"/>
      </rPr>
      <t xml:space="preserve"> Flat Rod</t>
    </r>
    <r>
      <rPr>
        <sz val="10"/>
        <rFont val="Aptos Narrow"/>
        <family val="2"/>
        <scheme val="minor"/>
      </rPr>
      <t xml:space="preserve"> </t>
    </r>
    <r>
      <rPr>
        <b/>
        <sz val="10"/>
        <color rgb="FFFF0000"/>
        <rFont val="Aptos Narrow"/>
        <family val="2"/>
        <scheme val="minor"/>
      </rPr>
      <t>GLS Insert</t>
    </r>
  </si>
  <si>
    <r>
      <t xml:space="preserve">SO/2024/0065 - </t>
    </r>
    <r>
      <rPr>
        <b/>
        <sz val="10"/>
        <rFont val="Aptos Narrow"/>
        <family val="2"/>
        <scheme val="minor"/>
      </rPr>
      <t>BARCODE NOT REQUIRED</t>
    </r>
  </si>
  <si>
    <r>
      <t xml:space="preserve">[PBE05033] Global006 Tray (Proptek) </t>
    </r>
    <r>
      <rPr>
        <b/>
        <sz val="10"/>
        <color rgb="FFFF0000"/>
        <rFont val="Aptos Narrow"/>
        <family val="2"/>
        <scheme val="minor"/>
      </rPr>
      <t>Packing 444 trays p/pallet Export Pallet 4way Entery 1100mm x 900mm</t>
    </r>
  </si>
  <si>
    <r>
      <t xml:space="preserve">[PBE05018] Global006 Tray </t>
    </r>
    <r>
      <rPr>
        <b/>
        <sz val="10"/>
        <color rgb="FFFF0000"/>
        <rFont val="Aptos Narrow"/>
        <family val="2"/>
        <scheme val="minor"/>
      </rPr>
      <t>(Sutherland) - 456 units per pallet</t>
    </r>
  </si>
  <si>
    <r>
      <t xml:space="preserve">[PBC01023] 52L Tote Bin Bottom Pink (7424C) + [PBC06018] 52L Tote Bin 600x400x320 Pink with Pink Lid (7424C) </t>
    </r>
    <r>
      <rPr>
        <b/>
        <sz val="10"/>
        <color rgb="FFFF0000"/>
        <rFont val="Aptos Narrow"/>
        <family val="2"/>
        <scheme val="minor"/>
      </rPr>
      <t>(GLS Insert</t>
    </r>
    <r>
      <rPr>
        <sz val="10"/>
        <rFont val="Aptos Narrow"/>
        <family val="2"/>
        <scheme val="minor"/>
      </rPr>
      <t>)</t>
    </r>
  </si>
  <si>
    <r>
      <t>[PBC01039] 68L Tote Bin Bottom Black + [PBC06134] 68L Tote Bin 600x400x365 Black Base &amp; Red Lid (Property of Boxer) (</t>
    </r>
    <r>
      <rPr>
        <b/>
        <sz val="10"/>
        <color rgb="FFFF0000"/>
        <rFont val="Aptos Narrow"/>
        <family val="2"/>
        <scheme val="minor"/>
      </rPr>
      <t>GLS Insert</t>
    </r>
    <r>
      <rPr>
        <sz val="10"/>
        <rFont val="Aptos Narrow"/>
        <family val="2"/>
        <scheme val="minor"/>
      </rPr>
      <t>)</t>
    </r>
  </si>
  <si>
    <r>
      <t>[PBC01046] 68L Tote Bin Bottom Pink (7424C) + [PBC06031] 68L Tote Bin 600x400x365 Pink (7424C) (</t>
    </r>
    <r>
      <rPr>
        <b/>
        <sz val="10"/>
        <color rgb="FFFF0000"/>
        <rFont val="Aptos Narrow"/>
        <family val="2"/>
        <scheme val="minor"/>
      </rPr>
      <t>GLS Insert</t>
    </r>
    <r>
      <rPr>
        <sz val="10"/>
        <rFont val="Aptos Narrow"/>
        <family val="2"/>
        <scheme val="minor"/>
      </rPr>
      <t>)</t>
    </r>
  </si>
  <si>
    <r>
      <t>[PBC01040] 68L Tote Bin Bottom Blue (2746C) +[PBC06025] 68L Tote Bin 600x400x365 Blue (2746C) (</t>
    </r>
    <r>
      <rPr>
        <b/>
        <sz val="10"/>
        <color rgb="FFFF0000"/>
        <rFont val="Aptos Narrow"/>
        <family val="2"/>
        <scheme val="minor"/>
      </rPr>
      <t>GLS Insert</t>
    </r>
    <r>
      <rPr>
        <sz val="10"/>
        <rFont val="Aptos Narrow"/>
        <family val="2"/>
        <scheme val="minor"/>
      </rPr>
      <t>)</t>
    </r>
  </si>
  <si>
    <r>
      <t>[PBC01124] 68L Tote Bin Bottom BLACK VIRGIN/BATTERY GRADE + [PBC05022] 68L Tote Bin 600x400x365 Black VIRGIN/BATTERY GRADE (</t>
    </r>
    <r>
      <rPr>
        <b/>
        <sz val="10"/>
        <color rgb="FFFF0000"/>
        <rFont val="Aptos Narrow"/>
        <family val="2"/>
        <scheme val="minor"/>
      </rPr>
      <t>GLS Insert &amp; flat head Rod</t>
    </r>
    <r>
      <rPr>
        <sz val="10"/>
        <rFont val="Aptos Narrow"/>
        <family val="2"/>
        <scheme val="minor"/>
      </rPr>
      <t>)</t>
    </r>
  </si>
  <si>
    <r>
      <t xml:space="preserve">[PBC01135] 52L Tote Bin Bottom Black - 60% Virgin/ 40% Battery Grade +  [PBC06104] 52L Tote Bin 600x400x320 Black - 60% Virgin/ 40% Battery Grade </t>
    </r>
    <r>
      <rPr>
        <b/>
        <sz val="10"/>
        <color rgb="FFFF0000"/>
        <rFont val="Aptos Narrow"/>
        <family val="2"/>
        <scheme val="minor"/>
      </rPr>
      <t>(GLS Insert) Flat Rod</t>
    </r>
  </si>
  <si>
    <r>
      <t xml:space="preserve">[PBC01141] 52L Tote Bin Bottom Grey (L36844A)+ [PBC06107] 52L Tote Bin 600x400x320 Grey (Property of UPD) </t>
    </r>
    <r>
      <rPr>
        <b/>
        <sz val="10"/>
        <rFont val="Aptos Narrow"/>
        <family val="2"/>
        <scheme val="minor"/>
      </rPr>
      <t>(No GLS insert)</t>
    </r>
    <r>
      <rPr>
        <sz val="10"/>
        <rFont val="Aptos Narrow"/>
        <family val="2"/>
        <scheme val="minor"/>
      </rPr>
      <t xml:space="preserve"> </t>
    </r>
    <r>
      <rPr>
        <b/>
        <sz val="10"/>
        <rFont val="Aptos Narrow"/>
        <family val="2"/>
        <scheme val="minor"/>
      </rPr>
      <t>+ Bump Rod</t>
    </r>
  </si>
  <si>
    <r>
      <t xml:space="preserve">[PGA05003] </t>
    </r>
    <r>
      <rPr>
        <b/>
        <sz val="10"/>
        <color rgb="FFFF0000"/>
        <rFont val="Aptos Narrow"/>
        <family val="2"/>
        <scheme val="minor"/>
      </rPr>
      <t>660mm</t>
    </r>
    <r>
      <rPr>
        <sz val="10"/>
        <rFont val="Aptos Narrow"/>
        <family val="2"/>
        <scheme val="minor"/>
      </rPr>
      <t xml:space="preserve"> Header Pipe NEW Solar Magic Logo</t>
    </r>
  </si>
  <si>
    <r>
      <t xml:space="preserve">[PBC01086] 7L Tote Bin 300x200x185 Red (2035C) + [PBC01089] 7L Tote Bin Bottom Red (2035C) </t>
    </r>
    <r>
      <rPr>
        <b/>
        <sz val="10"/>
        <color rgb="FFFF0000"/>
        <rFont val="Aptos Narrow"/>
        <family val="2"/>
        <scheme val="minor"/>
      </rPr>
      <t>GLS Insert + Flat Rods</t>
    </r>
  </si>
  <si>
    <r>
      <t xml:space="preserve">[PBC01085] 7L Tote Bin 300x200x185 Pink Bin with Pink Lid (7424C) + [PBC01088] 7L Tote Bin Bottom Pink (7424C) </t>
    </r>
    <r>
      <rPr>
        <b/>
        <sz val="10"/>
        <color rgb="FFFF0000"/>
        <rFont val="Aptos Narrow"/>
        <family val="2"/>
        <scheme val="minor"/>
      </rPr>
      <t>GLS Insert + Flat Rods</t>
    </r>
  </si>
  <si>
    <r>
      <t xml:space="preserve">[PBC01144] 7L Tote Bin Bottom Black - 60% Virgin/ 40% Battery Grade + [PBC06110] 7L Tote Bin 300x200x185 Black - 60% Virgin/ 40% Battery Grade </t>
    </r>
    <r>
      <rPr>
        <b/>
        <sz val="10"/>
        <color rgb="FFFF0000"/>
        <rFont val="Aptos Narrow"/>
        <family val="2"/>
        <scheme val="minor"/>
      </rPr>
      <t>GLS Insert</t>
    </r>
    <r>
      <rPr>
        <sz val="10"/>
        <rFont val="Aptos Narrow"/>
        <family val="2"/>
        <scheme val="minor"/>
      </rPr>
      <t xml:space="preserve"> + </t>
    </r>
    <r>
      <rPr>
        <b/>
        <sz val="10"/>
        <color rgb="FFFF0000"/>
        <rFont val="Aptos Narrow"/>
        <family val="2"/>
        <scheme val="minor"/>
      </rPr>
      <t>Flat Rods</t>
    </r>
  </si>
  <si>
    <r>
      <t xml:space="preserve">[PBC01144] 7L Tote Bin Bottom Black - 60% Virgin/ 40% Battery Grade + [PBC06110] 7L Tote Bin 300x200x185 Black - 60% Virgin/ 40% Battery Grade </t>
    </r>
    <r>
      <rPr>
        <b/>
        <sz val="10"/>
        <color rgb="FFFF0000"/>
        <rFont val="Aptos Narrow"/>
        <family val="2"/>
        <scheme val="minor"/>
      </rPr>
      <t>GLS Insert</t>
    </r>
  </si>
  <si>
    <r>
      <rPr>
        <b/>
        <sz val="11"/>
        <rFont val="Aptos Narrow"/>
        <family val="2"/>
        <scheme val="minor"/>
      </rPr>
      <t>MOBLEY GREENHOUSE name plate</t>
    </r>
    <r>
      <rPr>
        <sz val="11"/>
        <rFont val="Aptos Narrow"/>
        <family val="2"/>
        <scheme val="minor"/>
      </rPr>
      <t xml:space="preserve">
packed in: 
bundles of 5 x 843
bundles of 4 x 119
bundles of 3 x 105
Per container</t>
    </r>
  </si>
  <si>
    <r>
      <t xml:space="preserve">[PBC01018] 52L Tote Bin Bottom Blue (2746C) + [PBC06011] 52L Tote Bin 600x400x320 Blue (2746C) </t>
    </r>
    <r>
      <rPr>
        <b/>
        <sz val="10"/>
        <color rgb="FFFF0000"/>
        <rFont val="Aptos Narrow"/>
        <family val="2"/>
        <scheme val="minor"/>
      </rPr>
      <t>(GLS Insert)</t>
    </r>
  </si>
  <si>
    <r>
      <t xml:space="preserve">[PBC01025] 52L Tote Bin Bottom Red (2035C) + [PBC06021] 52L Tote Bin 600x400x320 Red (2035C) </t>
    </r>
    <r>
      <rPr>
        <b/>
        <sz val="10"/>
        <color rgb="FFFF0000"/>
        <rFont val="Aptos Narrow"/>
        <family val="2"/>
        <scheme val="minor"/>
      </rPr>
      <t>(GLS Insert</t>
    </r>
    <r>
      <rPr>
        <sz val="10"/>
        <rFont val="Aptos Narrow"/>
        <family val="2"/>
        <scheme val="minor"/>
      </rPr>
      <t>)</t>
    </r>
  </si>
  <si>
    <r>
      <t xml:space="preserve">[PBC01052] 68L Tote Bin Lid Blue (2746C) </t>
    </r>
    <r>
      <rPr>
        <b/>
        <sz val="10"/>
        <color rgb="FFFF0000"/>
        <rFont val="Aptos Narrow"/>
        <family val="2"/>
        <scheme val="minor"/>
      </rPr>
      <t>(Use the correct packaging  it goes straight to customer)</t>
    </r>
  </si>
  <si>
    <r>
      <t xml:space="preserve">[PBC01040] 68L Tote Bin Bottom Blue (2746C) + [PBC06025] 68L Tote Bin 600x400x365 Blue (2746C) </t>
    </r>
    <r>
      <rPr>
        <b/>
        <sz val="10"/>
        <color rgb="FFFF0000"/>
        <rFont val="Aptos Narrow"/>
        <family val="2"/>
        <scheme val="minor"/>
      </rPr>
      <t>GLS Inerst Flat Rod</t>
    </r>
  </si>
  <si>
    <r>
      <t xml:space="preserve">[PBC01124] 68L Tote Bin Bottom BLACK VIRGIN/BATTERY GRADE + [PBC05022] 68L Tote Bin 600x400x365 Black VIRGIN/BATTERY GRADE + </t>
    </r>
    <r>
      <rPr>
        <b/>
        <sz val="10"/>
        <color rgb="FFFF0000"/>
        <rFont val="Aptos Narrow"/>
        <family val="2"/>
        <scheme val="minor"/>
      </rPr>
      <t>GLS Insert +Flat Rod</t>
    </r>
  </si>
  <si>
    <r>
      <t>[PBC01048] 68L Tote Bin Bottom Red (2035C) + [PBC06034] 68L Tote Bin 600x400x365 Red 2035C (</t>
    </r>
    <r>
      <rPr>
        <b/>
        <sz val="10"/>
        <color rgb="FFFF0000"/>
        <rFont val="Aptos Narrow"/>
        <family val="2"/>
        <scheme val="minor"/>
      </rPr>
      <t>Shoprite</t>
    </r>
    <r>
      <rPr>
        <sz val="10"/>
        <rFont val="Aptos Narrow"/>
        <family val="2"/>
        <scheme val="minor"/>
      </rPr>
      <t>) +</t>
    </r>
    <r>
      <rPr>
        <b/>
        <sz val="10"/>
        <color rgb="FFFF0000"/>
        <rFont val="Aptos Narrow"/>
        <family val="2"/>
        <scheme val="minor"/>
      </rPr>
      <t xml:space="preserve"> Flat Rod</t>
    </r>
  </si>
  <si>
    <r>
      <t>[PBC01040] 68L Tote Bin Bottom Blue (2746C) + [PBC06025] 68L Tote Bin 600x400x365 Blue (2746C) (</t>
    </r>
    <r>
      <rPr>
        <b/>
        <sz val="10"/>
        <color rgb="FFFF0000"/>
        <rFont val="Aptos Narrow"/>
        <family val="2"/>
        <scheme val="minor"/>
      </rPr>
      <t>GLS Insert</t>
    </r>
    <r>
      <rPr>
        <sz val="10"/>
        <rFont val="Aptos Narrow"/>
        <family val="2"/>
        <scheme val="minor"/>
      </rPr>
      <t>)</t>
    </r>
  </si>
  <si>
    <r>
      <t>[PBC01047] 68L Tote Bin Bottom PnP Blue (295 C) + [PBC06032] 68L Tote Bin 600x400x365 PnP Blue &amp; PnP Red (Pick n Pay) (</t>
    </r>
    <r>
      <rPr>
        <b/>
        <sz val="10"/>
        <color rgb="FFFF0000"/>
        <rFont val="Aptos Narrow"/>
        <family val="2"/>
        <scheme val="minor"/>
      </rPr>
      <t>Blank Insert</t>
    </r>
    <r>
      <rPr>
        <sz val="10"/>
        <rFont val="Aptos Narrow"/>
        <family val="2"/>
        <scheme val="minor"/>
      </rPr>
      <t>)</t>
    </r>
  </si>
  <si>
    <r>
      <t xml:space="preserve">[PBC01124] 68L Tote Bin Bottom BLACK VIRGIN/BATTERY GRADE + [PBC05022] 68L Tote Bin 600x400x365 Black VIRGIN/BATTERY GRADE </t>
    </r>
    <r>
      <rPr>
        <b/>
        <sz val="10"/>
        <color rgb="FFFF0000"/>
        <rFont val="Aptos Narrow"/>
        <family val="2"/>
        <scheme val="minor"/>
      </rPr>
      <t>(GLS Insert</t>
    </r>
    <r>
      <rPr>
        <sz val="10"/>
        <rFont val="Aptos Narrow"/>
        <family val="2"/>
        <scheme val="minor"/>
      </rPr>
      <t>)</t>
    </r>
  </si>
  <si>
    <r>
      <t xml:space="preserve">[PBE05013] Global006 Base </t>
    </r>
    <r>
      <rPr>
        <b/>
        <sz val="10"/>
        <color rgb="FFFF0000"/>
        <rFont val="Aptos Narrow"/>
        <family val="2"/>
        <scheme val="minor"/>
      </rPr>
      <t xml:space="preserve">(Komati Log) </t>
    </r>
  </si>
  <si>
    <r>
      <t>[PBC06153] Blue Jumbo Basket (Walmart Blue) +Blue Basket (Walmart Blue) (</t>
    </r>
    <r>
      <rPr>
        <b/>
        <sz val="10"/>
        <color rgb="FFFF0000"/>
        <rFont val="Aptos Narrow"/>
        <family val="2"/>
        <scheme val="minor"/>
      </rPr>
      <t>Assembly with Grey handle  &amp; Grey Clips</t>
    </r>
    <r>
      <rPr>
        <sz val="10"/>
        <rFont val="Aptos Narrow"/>
        <family val="2"/>
        <scheme val="minor"/>
      </rPr>
      <t>)</t>
    </r>
    <r>
      <rPr>
        <b/>
        <sz val="10"/>
        <color rgb="FFFF0000"/>
        <rFont val="Aptos Narrow"/>
        <family val="2"/>
        <scheme val="minor"/>
      </rPr>
      <t xml:space="preserve"> Blank Insert</t>
    </r>
  </si>
  <si>
    <r>
      <t xml:space="preserve"> [PBC01107] 18L Tote Bin Lid Green (361C) </t>
    </r>
    <r>
      <rPr>
        <b/>
        <sz val="10"/>
        <color rgb="FFFF0000"/>
        <rFont val="Aptos Narrow"/>
        <family val="2"/>
        <scheme val="minor"/>
      </rPr>
      <t>(Use the correct packaging  it goes straight to customer)</t>
    </r>
  </si>
  <si>
    <r>
      <t xml:space="preserve"> [PBC01014] 18L Tote Bin Lid Purple (2074C) </t>
    </r>
    <r>
      <rPr>
        <b/>
        <sz val="10"/>
        <color rgb="FFFF0000"/>
        <rFont val="Aptos Narrow"/>
        <family val="2"/>
        <scheme val="minor"/>
      </rPr>
      <t>(Use the correct packaging  it goes straight to customer)</t>
    </r>
  </si>
  <si>
    <r>
      <t xml:space="preserve"> [PBC01032] 52L Tote Bin Lid Green (361C)</t>
    </r>
    <r>
      <rPr>
        <b/>
        <sz val="10"/>
        <color rgb="FFFF0000"/>
        <rFont val="Aptos Narrow"/>
        <family val="2"/>
        <scheme val="minor"/>
      </rPr>
      <t>(Use the correct packaging  it goes straight to customer)</t>
    </r>
  </si>
  <si>
    <r>
      <t xml:space="preserve">[PBC01019] 52L Tote Bin Bottom Green (3405C) + [PBC06093] 52L Tote Bin 600x400x320 Green (3405C) </t>
    </r>
    <r>
      <rPr>
        <b/>
        <sz val="10"/>
        <color rgb="FFFF0000"/>
        <rFont val="Aptos Narrow"/>
        <family val="2"/>
        <scheme val="minor"/>
      </rPr>
      <t>(Property of Clicks) (Bump Rod)</t>
    </r>
    <r>
      <rPr>
        <sz val="10"/>
        <rFont val="Aptos Narrow"/>
        <family val="2"/>
        <scheme val="minor"/>
      </rPr>
      <t xml:space="preserve"> </t>
    </r>
    <r>
      <rPr>
        <b/>
        <sz val="10"/>
        <color rgb="FFFF0000"/>
        <rFont val="Aptos Narrow"/>
        <family val="2"/>
        <scheme val="minor"/>
      </rPr>
      <t>Blank Insert</t>
    </r>
  </si>
  <si>
    <r>
      <t>[PBC01025] 52L Tote Bin Bottom Red (2035C) + [PBC06021] 52L Tote Bin 600x400x320 Red (2035C) (</t>
    </r>
    <r>
      <rPr>
        <b/>
        <sz val="10"/>
        <color rgb="FFFF0000"/>
        <rFont val="Aptos Narrow"/>
        <family val="2"/>
        <scheme val="minor"/>
      </rPr>
      <t>GLS Insert)</t>
    </r>
    <r>
      <rPr>
        <sz val="10"/>
        <rFont val="Aptos Narrow"/>
        <family val="2"/>
        <scheme val="minor"/>
      </rPr>
      <t xml:space="preserve"> </t>
    </r>
    <r>
      <rPr>
        <b/>
        <sz val="10"/>
        <color rgb="FFFF0000"/>
        <rFont val="Aptos Narrow"/>
        <family val="2"/>
        <scheme val="minor"/>
      </rPr>
      <t>(Flat Rod)</t>
    </r>
  </si>
  <si>
    <r>
      <t xml:space="preserve">[PBC01135] 52L Tote Bin Bottom Black - 60% Virgin/ 40% Battery Grade + ck - 60% Virgin/ 40% Battery Grade + [PBC06104] 52L Tote Bin 600x400x320 Black - 60% Virgin/ 40% Battery Grade </t>
    </r>
    <r>
      <rPr>
        <b/>
        <sz val="10"/>
        <color rgb="FFFF0000"/>
        <rFont val="Aptos Narrow"/>
        <family val="2"/>
        <scheme val="minor"/>
      </rPr>
      <t>(GLS Insert)</t>
    </r>
    <r>
      <rPr>
        <sz val="10"/>
        <rFont val="Aptos Narrow"/>
        <family val="2"/>
        <scheme val="minor"/>
      </rPr>
      <t xml:space="preserve"> </t>
    </r>
    <r>
      <rPr>
        <b/>
        <sz val="10"/>
        <color rgb="FFFF0000"/>
        <rFont val="Aptos Narrow"/>
        <family val="2"/>
        <scheme val="minor"/>
      </rPr>
      <t>(Flat Rod)</t>
    </r>
  </si>
  <si>
    <r>
      <t xml:space="preserve">[PBC01018] 52L Tote Bin Bottom Blue (2746C) + [PBC06012] 52L Tote Bin 600x400x320 Blue (2746C) </t>
    </r>
    <r>
      <rPr>
        <b/>
        <sz val="10"/>
        <color rgb="FFFF0000"/>
        <rFont val="Aptos Narrow"/>
        <family val="2"/>
        <scheme val="minor"/>
      </rPr>
      <t>(Property of Clicks) (Bump Rod)</t>
    </r>
    <r>
      <rPr>
        <sz val="10"/>
        <rFont val="Aptos Narrow"/>
        <family val="2"/>
        <scheme val="minor"/>
      </rPr>
      <t xml:space="preserve"> </t>
    </r>
    <r>
      <rPr>
        <b/>
        <sz val="10"/>
        <color rgb="FFFF0000"/>
        <rFont val="Aptos Narrow"/>
        <family val="2"/>
        <scheme val="minor"/>
      </rPr>
      <t>Blank Insert</t>
    </r>
  </si>
  <si>
    <r>
      <t xml:space="preserve">[PBC01018] 52L Tote Bin Bottom Blue (2746C) + [PBC06011] 52L Tote Bin 600x400x320 Blue (2746C) </t>
    </r>
    <r>
      <rPr>
        <b/>
        <sz val="10"/>
        <color rgb="FFFF0000"/>
        <rFont val="Aptos Narrow"/>
        <family val="2"/>
        <scheme val="minor"/>
      </rPr>
      <t>(GLS Insert</t>
    </r>
    <r>
      <rPr>
        <sz val="10"/>
        <rFont val="Aptos Narrow"/>
        <family val="2"/>
        <scheme val="minor"/>
      </rPr>
      <t xml:space="preserve">) </t>
    </r>
    <r>
      <rPr>
        <b/>
        <sz val="10"/>
        <color rgb="FFFF0000"/>
        <rFont val="Aptos Narrow"/>
        <family val="2"/>
        <scheme val="minor"/>
      </rPr>
      <t>(Flat Rod)</t>
    </r>
  </si>
  <si>
    <r>
      <t>[PBC01018] 52L Tote Bin Bottom Blue (2746C) + [PBC06012] 52L Tote Bin 600x400x320 Blue (2746C)</t>
    </r>
    <r>
      <rPr>
        <b/>
        <sz val="10"/>
        <color rgb="FFFF0000"/>
        <rFont val="Aptos Narrow"/>
        <family val="2"/>
        <scheme val="minor"/>
      </rPr>
      <t>(Flat Rod)</t>
    </r>
    <r>
      <rPr>
        <sz val="10"/>
        <rFont val="Aptos Narrow"/>
        <family val="2"/>
        <scheme val="minor"/>
      </rPr>
      <t xml:space="preserve"> </t>
    </r>
    <r>
      <rPr>
        <b/>
        <sz val="10"/>
        <color rgb="FFFF0000"/>
        <rFont val="Aptos Narrow"/>
        <family val="2"/>
        <scheme val="minor"/>
      </rPr>
      <t>GLS Insert</t>
    </r>
  </si>
  <si>
    <r>
      <t>[PBC01135] 52L Tote Bin Bottom Black - 60% Virgin/ 40% Battery Grade +[PBC06104] 52L Tote Bin 600x400x320 Black - 60% Virgin/ 40% Battery Grade</t>
    </r>
    <r>
      <rPr>
        <b/>
        <sz val="10"/>
        <color rgb="FFFF0000"/>
        <rFont val="Aptos Narrow"/>
        <family val="2"/>
        <scheme val="minor"/>
      </rPr>
      <t xml:space="preserve"> (Flat Rod) GLS Insert</t>
    </r>
  </si>
  <si>
    <r>
      <t xml:space="preserve">[PBC01032] 52L Tote Bin Lid Green (361C) </t>
    </r>
    <r>
      <rPr>
        <b/>
        <sz val="10"/>
        <color rgb="FFFF0000"/>
        <rFont val="Aptos Narrow"/>
        <family val="2"/>
        <scheme val="minor"/>
      </rPr>
      <t>(Use the correct packaging  it goes straight to customer)</t>
    </r>
  </si>
  <si>
    <r>
      <t xml:space="preserve">[PBC01002] 18L Tote Bin Bottom Blue (2746C) + [PBC06002] 18L Tote Bin 400x300x240 Blue (2746C) </t>
    </r>
    <r>
      <rPr>
        <b/>
        <sz val="10"/>
        <color rgb="FFFF0000"/>
        <rFont val="Aptos Narrow"/>
        <family val="2"/>
        <scheme val="minor"/>
      </rPr>
      <t>Flat Rod</t>
    </r>
  </si>
  <si>
    <r>
      <t xml:space="preserve">[PBC01121] 18L Tote Bin Bottom Black 60% VIRGIN/40% BATTERY GRADE +[PBC05021] 18L Tote Bin 400x300x240 Black 60% VIRGIN/ 40% BATTERY GRADE </t>
    </r>
    <r>
      <rPr>
        <b/>
        <sz val="10"/>
        <color rgb="FFFF0000"/>
        <rFont val="Aptos Narrow"/>
        <family val="2"/>
        <scheme val="minor"/>
      </rPr>
      <t xml:space="preserve"> Flat Rod</t>
    </r>
  </si>
  <si>
    <r>
      <t>[PBC01107] 18L Tote Bin Lid Green (361C) (</t>
    </r>
    <r>
      <rPr>
        <b/>
        <sz val="10"/>
        <color rgb="FFFF0000"/>
        <rFont val="Aptos Narrow"/>
        <family val="2"/>
        <scheme val="minor"/>
      </rPr>
      <t>Use the correct packaging  it goes straight to customer</t>
    </r>
    <r>
      <rPr>
        <sz val="10"/>
        <color theme="1"/>
        <rFont val="Aptos Narrow"/>
        <family val="2"/>
        <scheme val="minor"/>
      </rPr>
      <t>)</t>
    </r>
  </si>
  <si>
    <r>
      <t xml:space="preserve"> [PBC01014] 18L Tote Bin Lid Purple (2074C) (</t>
    </r>
    <r>
      <rPr>
        <b/>
        <sz val="10"/>
        <color rgb="FFFF0000"/>
        <rFont val="Aptos Narrow"/>
        <family val="2"/>
        <scheme val="minor"/>
      </rPr>
      <t>Use the correct packaging  it goes straight to customer</t>
    </r>
    <r>
      <rPr>
        <sz val="10"/>
        <color theme="1"/>
        <rFont val="Aptos Narrow"/>
        <family val="2"/>
        <scheme val="minor"/>
      </rPr>
      <t>)</t>
    </r>
  </si>
  <si>
    <r>
      <t xml:space="preserve">[PBC01137] 7L Tote Bin Bottom Grey (L36844A) + [PBC06108] 7L Tote Bin 300x200x185 Grey (Property Of UPD) </t>
    </r>
    <r>
      <rPr>
        <b/>
        <sz val="10"/>
        <color rgb="FFFF0000"/>
        <rFont val="Aptos Narrow"/>
        <family val="2"/>
        <scheme val="minor"/>
      </rPr>
      <t>(No GLS Insert) Bump Rod</t>
    </r>
  </si>
  <si>
    <r>
      <t>[PBC01063] 7L Tote Bin Bottom Blue (2746C) +  [PBC06037] 7L Tote Bin 300x200x185 Blue (2746C)</t>
    </r>
    <r>
      <rPr>
        <b/>
        <sz val="10"/>
        <color rgb="FFFF0000"/>
        <rFont val="Aptos Narrow"/>
        <family val="2"/>
        <scheme val="minor"/>
      </rPr>
      <t xml:space="preserve"> GLS Insert Flat Rod</t>
    </r>
  </si>
  <si>
    <r>
      <t xml:space="preserve">[PBC01144] 7L Tote Bin Bottom Black - 60% Virgin/ 40% Battery Grade + [PBC06110] 7L Tote Bin 300x200x185 Black - 60% Virgin/ 40% Battery Grade </t>
    </r>
    <r>
      <rPr>
        <b/>
        <sz val="10"/>
        <color rgb="FFFF0000"/>
        <rFont val="Aptos Narrow"/>
        <family val="2"/>
        <scheme val="minor"/>
      </rPr>
      <t>GLS Insert Flat Rod</t>
    </r>
  </si>
  <si>
    <r>
      <t xml:space="preserve">SO/2023/2446 
Nameplate: SAPPI
Packaging:  Local Market Tautliner – 125 trays/pallet
</t>
    </r>
    <r>
      <rPr>
        <b/>
        <u/>
        <sz val="11"/>
        <rFont val="Aptos Narrow"/>
        <family val="2"/>
        <scheme val="minor"/>
      </rPr>
      <t>80 PALLETS</t>
    </r>
  </si>
  <si>
    <r>
      <t xml:space="preserve">SO/2023/2447
Nameplate: SAPPI
Packaging:  Local Market Tautliner – 125 trays/pallet
</t>
    </r>
    <r>
      <rPr>
        <b/>
        <sz val="11"/>
        <rFont val="Aptos Narrow"/>
        <family val="2"/>
        <scheme val="minor"/>
      </rPr>
      <t>80 PALLETS</t>
    </r>
  </si>
  <si>
    <r>
      <t xml:space="preserve">[PBE05001] 128S67I Tray Black </t>
    </r>
    <r>
      <rPr>
        <b/>
        <sz val="10"/>
        <color rgb="FFFF0000"/>
        <rFont val="Aptos Narrow"/>
        <family val="2"/>
        <scheme val="minor"/>
      </rPr>
      <t>Blank LOGO</t>
    </r>
    <r>
      <rPr>
        <sz val="10"/>
        <rFont val="Aptos Narrow"/>
        <family val="2"/>
        <scheme val="minor"/>
      </rPr>
      <t xml:space="preserve"> </t>
    </r>
    <r>
      <rPr>
        <b/>
        <sz val="10"/>
        <color rgb="FFFF0000"/>
        <rFont val="Aptos Narrow"/>
        <family val="2"/>
        <scheme val="minor"/>
      </rPr>
      <t>(120 Trays per pallet)</t>
    </r>
  </si>
  <si>
    <r>
      <t>[PBE05040] 242S67V Tray (Virgin Green PP) (</t>
    </r>
    <r>
      <rPr>
        <b/>
        <sz val="10"/>
        <color rgb="FFFF0000"/>
        <rFont val="Aptos Narrow"/>
        <family val="2"/>
        <scheme val="minor"/>
      </rPr>
      <t>CPS Seedlings) (204 Trays per pallet)</t>
    </r>
  </si>
  <si>
    <r>
      <t xml:space="preserve">[PBE05002] 128S67I Tray </t>
    </r>
    <r>
      <rPr>
        <b/>
        <sz val="10"/>
        <color rgb="FFFF0000"/>
        <rFont val="Aptos Narrow"/>
        <family val="2"/>
        <scheme val="minor"/>
      </rPr>
      <t>(CPS Insert) (120 Trays per pallet)</t>
    </r>
  </si>
  <si>
    <r>
      <t xml:space="preserve">[PBE05008] 128S67I Tray  </t>
    </r>
    <r>
      <rPr>
        <b/>
        <sz val="10"/>
        <color rgb="FFFF0000"/>
        <rFont val="Aptos Narrow"/>
        <family val="2"/>
        <scheme val="minor"/>
      </rPr>
      <t>(Sutherland Insert) (120 Trays per pallet)</t>
    </r>
  </si>
  <si>
    <r>
      <t>[PBE05009] 242S67V Tray Black Blank LOGO (</t>
    </r>
    <r>
      <rPr>
        <b/>
        <sz val="10"/>
        <color rgb="FFFF0000"/>
        <rFont val="Aptos Narrow"/>
        <family val="2"/>
        <scheme val="minor"/>
      </rPr>
      <t>204 Per Pallet</t>
    </r>
    <r>
      <rPr>
        <sz val="10"/>
        <color theme="1"/>
        <rFont val="Aptos Narrow"/>
        <family val="2"/>
        <scheme val="minor"/>
      </rPr>
      <t>)</t>
    </r>
  </si>
  <si>
    <r>
      <t>[PBE05034] Global015 Tray (Proptek)</t>
    </r>
    <r>
      <rPr>
        <b/>
        <sz val="10"/>
        <color rgb="FFFF0000"/>
        <rFont val="Aptos Narrow"/>
        <family val="2"/>
        <scheme val="minor"/>
      </rPr>
      <t xml:space="preserve"> (Export Pallet  900mm X 1100mm) 492 Trays Per Pallet</t>
    </r>
  </si>
  <si>
    <r>
      <t>[PBC06120] GLS Truworths Crate - Blue (</t>
    </r>
    <r>
      <rPr>
        <b/>
        <sz val="10"/>
        <color rgb="FFFF0000"/>
        <rFont val="Aptos Narrow"/>
        <family val="2"/>
        <scheme val="minor"/>
      </rPr>
      <t xml:space="preserve"> BLANK INSERT</t>
    </r>
    <r>
      <rPr>
        <sz val="10"/>
        <rFont val="Aptos Narrow"/>
        <family val="2"/>
        <scheme val="minor"/>
      </rPr>
      <t>)</t>
    </r>
  </si>
  <si>
    <t xml:space="preserve">NEW FACTORY 2 </t>
  </si>
  <si>
    <t>REASON FOR DRIFT</t>
  </si>
  <si>
    <t>NEW FACTORY 2 - Row 1</t>
  </si>
  <si>
    <t>DAYS BOOKED</t>
  </si>
  <si>
    <t>H320</t>
  </si>
  <si>
    <t>SO/2025/3903</t>
  </si>
  <si>
    <t>13342 + 00850</t>
  </si>
  <si>
    <t>SO/2025/4595</t>
  </si>
  <si>
    <t>13457 + 00873</t>
  </si>
  <si>
    <t>13631</t>
  </si>
  <si>
    <t>Late Mould change + Power Outage + no operator</t>
  </si>
  <si>
    <t>13395</t>
  </si>
  <si>
    <t>13250</t>
  </si>
  <si>
    <t>[PCF01006] 120-HS/40-PE SPIGOT (Un-Machined)</t>
  </si>
  <si>
    <t>SO/2026/0996</t>
  </si>
  <si>
    <t>13805</t>
  </si>
  <si>
    <t>13806</t>
  </si>
  <si>
    <t>13251</t>
  </si>
  <si>
    <t>SO/2026/1134</t>
  </si>
  <si>
    <t>13867</t>
  </si>
  <si>
    <t>13880</t>
  </si>
  <si>
    <t>SO/2026/0949</t>
  </si>
  <si>
    <t>13824</t>
  </si>
  <si>
    <t>13766</t>
  </si>
  <si>
    <t>[TTA03061] M16 FM Tray Seal Overmould</t>
  </si>
  <si>
    <t>14045</t>
  </si>
  <si>
    <t>[SL.FG.CP0.3.YL (ANC)] 12” Corner protector (49584-10) Yellow - Ancra</t>
  </si>
  <si>
    <t>13889</t>
  </si>
  <si>
    <t>[SL.P.MX7.L.F.C(SL)] Maxi 700 Clear Lid Flaps (Safeload)</t>
  </si>
  <si>
    <t>13423</t>
  </si>
  <si>
    <t>13348 + 13349</t>
  </si>
  <si>
    <t>[SL.P.MX7.BS.T] Maxi 700 Fire Extinguisher naked-bracket top + [SL.P.MX7.BO.B] Maxi 700 Fire Extinguisher naked-bracket Bottom</t>
  </si>
  <si>
    <t>13461</t>
  </si>
  <si>
    <t>[TTA01059] Rapid-Stor Equipment Plate - 30% GF PP - Black</t>
  </si>
  <si>
    <t>13632</t>
  </si>
  <si>
    <t>SO/2026/4428</t>
  </si>
  <si>
    <t>13682</t>
  </si>
  <si>
    <t>13692</t>
  </si>
  <si>
    <t>13689</t>
  </si>
  <si>
    <t>[SL.P.OT5.L.CL] Organiser 500 Tray Lid</t>
  </si>
  <si>
    <t>SO/2026/0327</t>
  </si>
  <si>
    <t>13634</t>
  </si>
  <si>
    <t>[PCF05019] SPC001 ELBOW 110 DEG X 50 ID</t>
  </si>
  <si>
    <t>13767</t>
  </si>
  <si>
    <t>Shampoo Buddy</t>
  </si>
  <si>
    <t>SO/2026/1246</t>
  </si>
  <si>
    <t>13947</t>
  </si>
  <si>
    <t>[PBC01166] Shampoo Buddy - Main Body - Purple</t>
  </si>
  <si>
    <t>13946</t>
  </si>
  <si>
    <t>[PBC01165] Shampoo Buddy - Main Body - Grey</t>
  </si>
  <si>
    <t>Apr-May</t>
  </si>
  <si>
    <t>14035</t>
  </si>
  <si>
    <t>14034</t>
  </si>
  <si>
    <t>13887</t>
  </si>
  <si>
    <t>EZ230/1</t>
  </si>
  <si>
    <t>N2302</t>
  </si>
  <si>
    <t>SO/2025/3221</t>
  </si>
  <si>
    <t>13424</t>
  </si>
  <si>
    <t>[TTA01119] M8 IP68 - Fiber Management Tray - Grey</t>
  </si>
  <si>
    <t>SO/2026/4121</t>
  </si>
  <si>
    <t>13572 &amp; 00897</t>
  </si>
  <si>
    <t>[PDA06045] 50mm Saddle pp - 1m3 &amp;  [PDA05039] 50mm Saddle pp</t>
  </si>
  <si>
    <t>Oct Stock Replenishment</t>
  </si>
  <si>
    <t xml:space="preserve">13327 </t>
  </si>
  <si>
    <r>
      <t>[SL.P.MX7.HP] Maxi 700 Hinge Pin</t>
    </r>
    <r>
      <rPr>
        <b/>
        <sz val="10"/>
        <color rgb="FFFF0000"/>
        <rFont val="Aptos Narrow"/>
        <family val="2"/>
        <scheme val="minor"/>
      </rPr>
      <t xml:space="preserve"> (Run onlyMaxi 700 pins) </t>
    </r>
    <r>
      <rPr>
        <sz val="10"/>
        <rFont val="Aptos Narrow"/>
        <family val="2"/>
        <scheme val="minor"/>
      </rPr>
      <t xml:space="preserve"> </t>
    </r>
  </si>
  <si>
    <t>13613</t>
  </si>
  <si>
    <t>[PDA05006] Charlie Bar Stool Beige</t>
  </si>
  <si>
    <t>SO/2025/0313</t>
  </si>
  <si>
    <t>13614</t>
  </si>
  <si>
    <t>[PDA05022] Xenon Lumber Support</t>
  </si>
  <si>
    <t>EZ230/2</t>
  </si>
  <si>
    <t>SO/2026/0418</t>
  </si>
  <si>
    <t>13661 + 13662 + 00910</t>
  </si>
  <si>
    <t>[PDA01015] Head Rest Back Cover &amp;  [PDA01016] Head Rest Front Cover + [PDA06006] Head Rest Front and Back Cover</t>
  </si>
  <si>
    <t>Machine breakdown</t>
  </si>
  <si>
    <t>13626</t>
  </si>
  <si>
    <t>[PDA05009] Head Rest Support Arm</t>
  </si>
  <si>
    <t>13729</t>
  </si>
  <si>
    <t>13736 + 13737 + 00920</t>
  </si>
  <si>
    <t>13771 + 13772 + 00927</t>
  </si>
  <si>
    <t>Order moved down by Alice</t>
  </si>
  <si>
    <t>13738 + 13739 + 00921</t>
  </si>
  <si>
    <t>13807</t>
  </si>
  <si>
    <t>SO/2026/0990</t>
  </si>
  <si>
    <t>[TTA01140] M-Range Universal Bracket - Black</t>
  </si>
  <si>
    <t>13889 + 13890</t>
  </si>
  <si>
    <t>[SL.P.MX5.HP.M] Maxi 500 Hinge Pin Male + [SL.P.MX5.HP.F] Maxi 500 Hinge Pin Female</t>
  </si>
  <si>
    <t>SO/2025/3880</t>
  </si>
  <si>
    <t>SO/2025/3788</t>
  </si>
  <si>
    <t>13455 + 13456 + 00872</t>
  </si>
  <si>
    <t>13533</t>
  </si>
  <si>
    <t>13534</t>
  </si>
  <si>
    <t>12169 + 12170</t>
  </si>
  <si>
    <t>[PDA05134] S3000 Base Back Staple Cover - Black &amp; [PDA05135] S3000 Base Front Staple Cover - Black</t>
  </si>
  <si>
    <t>13609 + 13608</t>
  </si>
  <si>
    <t>13452 + 13453 + 00871</t>
  </si>
  <si>
    <t>13507 + 13747</t>
  </si>
  <si>
    <t>[PDA06015] Pallring PP 50MM- 1M3 [PDA01030] Pallring PP 50mm</t>
  </si>
  <si>
    <t>13714 + 13747</t>
  </si>
  <si>
    <t>13779</t>
  </si>
  <si>
    <t>[PBC01068] 7L Tote Bin Lid Blue (2746C)</t>
  </si>
  <si>
    <t>13778</t>
  </si>
  <si>
    <t>[PBC01143] 7L Tote Bin Lid Black - 60% Virgin/ 40% Battery Grade</t>
  </si>
  <si>
    <t>00956 + 00957 + 13898</t>
  </si>
  <si>
    <t>00958 + 00959 + 13899</t>
  </si>
  <si>
    <t>SO/2026/1234</t>
  </si>
  <si>
    <t>13920</t>
  </si>
  <si>
    <t>SO/2026/1439</t>
  </si>
  <si>
    <t>14065</t>
  </si>
  <si>
    <t>[TTE01033] BWB Naked Base 2 Port 9/13.5mm GREY</t>
  </si>
  <si>
    <t>EZ1502/2</t>
  </si>
  <si>
    <t>12922 + 12923</t>
  </si>
  <si>
    <t>[TTA01157] M32 - 2.2-2.4mm Splice Chip &amp; M32 - 2.5-2.8mm Splice Chip - White + [TTA01159] M32 - 2.2-2.4mm Splice Chip - White</t>
  </si>
  <si>
    <t>4 INCH XTREME GUARD</t>
  </si>
  <si>
    <t>SO/2026/0635</t>
  </si>
  <si>
    <t>13761</t>
  </si>
  <si>
    <t>[TTE01033] BWB Naked Base 2 Port 9/13.5mm Black</t>
  </si>
  <si>
    <t xml:space="preserve">13921 </t>
  </si>
  <si>
    <t>H1603</t>
  </si>
  <si>
    <t>[TTA01132] M16 24F Splice Tray - White</t>
  </si>
  <si>
    <t>14066 + 14067</t>
  </si>
  <si>
    <t>[TTE01025] BWB Base Back Plate White + [TTE01026] BWB Splice Tray White</t>
  </si>
  <si>
    <t>13508 + 13509</t>
  </si>
  <si>
    <t>[TTA01163] M8 Microloop Fibre Management Tray Rear Cover - Black + [TTA01160] M4 Microloop Fibre Management Tray Rear Cover - Black</t>
  </si>
  <si>
    <t>SO/2025/0635</t>
  </si>
  <si>
    <t>13740 + 13741</t>
  </si>
  <si>
    <t>SO/2025/3003</t>
  </si>
  <si>
    <t>13171</t>
  </si>
  <si>
    <t>[PGA06009] Wheel Barrow Bush</t>
  </si>
  <si>
    <t>H1202</t>
  </si>
  <si>
    <t>SO/2025/4318</t>
  </si>
  <si>
    <t>13371</t>
  </si>
  <si>
    <t>[PBC01156] GLS Roll Cage Hinge - Blue - With Rivets &amp; Washers (STEEL)</t>
  </si>
  <si>
    <t>12942 + 12943 + 12944 + 00776</t>
  </si>
  <si>
    <t>EZ120/2</t>
  </si>
  <si>
    <t>[SL.P.OT5.Div.S.BK] Organiser 500 internal S-divider (Black)</t>
  </si>
  <si>
    <t>13641 + 13642 + 13640</t>
  </si>
  <si>
    <t>[SL.P.MX5.L.C.A.BK] Maxi 500 Whiteboard Clip A (Black) + [SL.P.MX5.L.C.B.BK] Maxi 500 Whiteboard Clip B (Black) + '[SL.P.OT5.B.SCP.BK] Organiser 500 Base Side Clip (Black)</t>
  </si>
  <si>
    <t>B803</t>
  </si>
  <si>
    <t>NPD-ST-22-0012 (RAPIDHOLD 3)- Main Body</t>
  </si>
  <si>
    <t>13672</t>
  </si>
  <si>
    <t>[PGA05019]Sprayer Top Splash Ring Large Black</t>
  </si>
  <si>
    <t>EZ1201</t>
  </si>
  <si>
    <t>13745</t>
  </si>
  <si>
    <t>13997</t>
  </si>
  <si>
    <t>B801</t>
  </si>
  <si>
    <t>14016</t>
  </si>
  <si>
    <t>[PVD05003] NS Drum Boss</t>
  </si>
  <si>
    <t>[SL.P.CB.FB.YL] Safeload Carabiner Foot B (Yellow) &amp; [SL.P.CB.FA.YL] Safeload Carabiner Foot A (Yellow) &amp; [SL.P.CB.G.YL] Safeload Carabiner Gate (Yellow) &amp; [SL.P.CB.F.YL] Safeload Carabiner Frame ( Yellow)</t>
  </si>
  <si>
    <t>14056 + 14057 + 14058 + 14059</t>
  </si>
  <si>
    <t>14060 + 14061 + 14062 + 14063</t>
  </si>
  <si>
    <t>[SL.P.CB.FB.BK] Safeload Carabiner Foot B (Black) &amp; [SL.P.CB.FA.BK] Safeload Carabiner Foot A (Black) &amp; [SL.P.CB.G.BK] Safeload Carabiner Gate (Black) &amp; [SL.P.CB.F.BK] Safeload Carabiner Frame (Black)</t>
  </si>
  <si>
    <t>SO/2026/1510</t>
  </si>
  <si>
    <t>14093</t>
  </si>
  <si>
    <t>[PGB01005] Bumper Corner</t>
  </si>
  <si>
    <t xml:space="preserve">Dec </t>
  </si>
  <si>
    <t>13427 + 13428</t>
  </si>
  <si>
    <t>SO/2026/0273</t>
  </si>
  <si>
    <t>13653 + 00909</t>
  </si>
  <si>
    <t>[PGA05022] Upward Sprayer Inner Splash Ring Cone Yellow + [PGA06017] Upward Sprayer Assembled (Excluding Green Nozzel)</t>
  </si>
  <si>
    <t>Stock Replenishmnet</t>
  </si>
  <si>
    <t>Feb/Mar</t>
  </si>
  <si>
    <t>13660</t>
  </si>
  <si>
    <t>13688</t>
  </si>
  <si>
    <t>SO/2024/0441</t>
  </si>
  <si>
    <t>13649</t>
  </si>
  <si>
    <t>[PGA05007] Holder Bat White</t>
  </si>
  <si>
    <t>13650</t>
  </si>
  <si>
    <t>[PGA05006] Holder Bat Black</t>
  </si>
  <si>
    <t>Order Moved out due to Mrange + Late mould</t>
  </si>
  <si>
    <t>SO/2026/0651</t>
  </si>
  <si>
    <t>13727</t>
  </si>
  <si>
    <t>[PVD05002] NS Bearing Boss</t>
  </si>
  <si>
    <t>Order Moved out due to Mrange +late mould change</t>
  </si>
  <si>
    <t>13725</t>
  </si>
  <si>
    <t>[PVD05004] NS Hose Stop Raw</t>
  </si>
  <si>
    <t>EZ150/2</t>
  </si>
  <si>
    <t>13726</t>
  </si>
  <si>
    <t>[SL.P.OT5.Div.L.BK] Organiser 500 internal L-divider (Black)</t>
  </si>
  <si>
    <t>13860 + 13861 + 13862</t>
  </si>
  <si>
    <t>14090</t>
  </si>
  <si>
    <t>13902</t>
  </si>
  <si>
    <t>SO/2025/3577</t>
  </si>
  <si>
    <t>13314</t>
  </si>
  <si>
    <t>[PGA05035] Netking 32mm End cap</t>
  </si>
  <si>
    <t>USA Order</t>
  </si>
  <si>
    <t>12905 + 12906</t>
  </si>
  <si>
    <t>[TTA01145] M32 - Top Cable Fixation - White + [TTA01154] M32 - Multi Splitter Chip - White</t>
  </si>
  <si>
    <t>SO/2025/2311</t>
  </si>
  <si>
    <t>12875 +12876</t>
  </si>
  <si>
    <t>13417 + 13418</t>
  </si>
  <si>
    <t>13213 +  13214 +  13215 +  13216</t>
  </si>
  <si>
    <t>SO/2026/0134</t>
  </si>
  <si>
    <t>13472 + 13437</t>
  </si>
  <si>
    <t>13540</t>
  </si>
  <si>
    <t>[TTE03003] BWB Base 3 Port 15mm/PG Grey</t>
  </si>
  <si>
    <t xml:space="preserve">13760 + </t>
  </si>
  <si>
    <t>Marc</t>
  </si>
  <si>
    <t>13864</t>
  </si>
  <si>
    <t>[TTA01141] M-Range Pole Mount Bracket - Black</t>
  </si>
  <si>
    <t>Mould Sent to toolroom</t>
  </si>
  <si>
    <t>H86</t>
  </si>
  <si>
    <t>13817 + 13818 + 13819 + 13820</t>
  </si>
  <si>
    <t>SO/2025/4158</t>
  </si>
  <si>
    <t>00961+ 14041</t>
  </si>
  <si>
    <t xml:space="preserve">
[PDA05030] Pallring (Matt) PP 25mm - 1m3  + [PDA01079] Pallring (Matt) PP 25mm</t>
  </si>
  <si>
    <t>NEW FACTORY 2 - Row 2</t>
  </si>
  <si>
    <t xml:space="preserve">N2302 </t>
  </si>
  <si>
    <t>SO/2022/3445</t>
  </si>
  <si>
    <t>SPC001 ELBOW 110 DEG X 50 ID</t>
  </si>
  <si>
    <t>SO/2022/3309</t>
  </si>
  <si>
    <t>7927</t>
  </si>
  <si>
    <t>DURA TOUGH BOX 1200 PULL HANDLE</t>
  </si>
  <si>
    <t>SO/2022/3234-feb</t>
  </si>
  <si>
    <t>7479 + 7480</t>
  </si>
  <si>
    <t>S3000 BASE BACK &amp; FRONT STAPLE COVER</t>
  </si>
  <si>
    <t>SO/2023/0497</t>
  </si>
  <si>
    <t>07981</t>
  </si>
  <si>
    <t>[PDA05007] Charlie Bar Stool Black</t>
  </si>
  <si>
    <t>07982</t>
  </si>
  <si>
    <t>SO/2023/0399</t>
  </si>
  <si>
    <t>7952</t>
  </si>
  <si>
    <t>[PBE05039] PRP Front Housing</t>
  </si>
  <si>
    <t>07951</t>
  </si>
  <si>
    <t>PRP Back Housing</t>
  </si>
  <si>
    <t>MARCH + APRIL + MAY</t>
  </si>
  <si>
    <t>08040ASS+00007+00008</t>
  </si>
  <si>
    <t>[PDA06002] Back Cover and Filler</t>
  </si>
  <si>
    <t>EZ2301</t>
  </si>
  <si>
    <t>08080</t>
  </si>
  <si>
    <t>Loop Joint Loop Storage Basket Black</t>
  </si>
  <si>
    <t>MARCH</t>
  </si>
  <si>
    <t>7479+7480</t>
  </si>
  <si>
    <t>[PGA05083] Streetlight Cover OLD (139mm,152mm,165mm)</t>
  </si>
  <si>
    <t>00018+08185</t>
  </si>
  <si>
    <t>BWB Base 2 Port 14/20mm Grey (ASA)</t>
  </si>
  <si>
    <t>N230</t>
  </si>
  <si>
    <t>08327</t>
  </si>
  <si>
    <t>8394</t>
  </si>
  <si>
    <t>[PGA05080] Solar Regulator Cover</t>
  </si>
  <si>
    <t>8437 + 8438</t>
  </si>
  <si>
    <t>SO2023/1609</t>
  </si>
  <si>
    <t>8558 &amp; 8514</t>
  </si>
  <si>
    <t>8559 &amp;8560</t>
  </si>
  <si>
    <t>So2023/0763</t>
  </si>
  <si>
    <t>8598 &amp; 8599</t>
  </si>
  <si>
    <t>[TTA01014] Loop Joint Fibre Adapter Tray White &amp; [TTA01015] Loop Joint Splice Tray White</t>
  </si>
  <si>
    <t>SO2023/1890 &amp; 1833</t>
  </si>
  <si>
    <t>8664</t>
  </si>
  <si>
    <t>[TTB01017] MicroLoop Fibre Management Tray Grey</t>
  </si>
  <si>
    <t>SO2023/2256</t>
  </si>
  <si>
    <t>8824</t>
  </si>
  <si>
    <t>August Stock replenishment</t>
  </si>
  <si>
    <t>8891 &amp; 8892</t>
  </si>
  <si>
    <t>[PDA05134] S3000 Base Back Staple Cover - Black &amp; [PDA05134] S3000 Base Back Staple Cover - Black</t>
  </si>
  <si>
    <t>KIDNEY DIALYSIS POD</t>
  </si>
  <si>
    <t>HSE DRAWING BOARD</t>
  </si>
  <si>
    <t>trial - DP latches</t>
  </si>
  <si>
    <t>9174</t>
  </si>
  <si>
    <t>mould 4</t>
  </si>
  <si>
    <t>ADCE CLAMP</t>
  </si>
  <si>
    <t>ADCE BEZEL ENCLOSURE</t>
  </si>
  <si>
    <t>Mould 1 retrial 1</t>
  </si>
  <si>
    <t>ADCE ENCLOSURE</t>
  </si>
  <si>
    <t>H2301</t>
  </si>
  <si>
    <t>SO2023/2526</t>
  </si>
  <si>
    <t>9012</t>
  </si>
  <si>
    <t>[PGA01038] Electric box back</t>
  </si>
  <si>
    <t>00152 &amp; 00153 &amp; 9175</t>
  </si>
  <si>
    <t>[PDA01011] Back Cover &amp; [PDA01011] Back Cover &amp; [PDA01012] Back Cover Filler &amp; [PDA06002]  &amp; Back Cover and Filler [PDA06002] Back Cover and Filler</t>
  </si>
  <si>
    <t>00186 &amp; 00186 &amp; 9340</t>
  </si>
  <si>
    <t>9336</t>
  </si>
  <si>
    <t>9532</t>
  </si>
  <si>
    <t>00210 &amp; 9534 &amp; 9535</t>
  </si>
  <si>
    <t>H2302</t>
  </si>
  <si>
    <t>December USA Containers</t>
  </si>
  <si>
    <t>9583</t>
  </si>
  <si>
    <t>SO/2024/0201</t>
  </si>
  <si>
    <t>9929</t>
  </si>
  <si>
    <t>9930</t>
  </si>
  <si>
    <t>9990</t>
  </si>
  <si>
    <t>SO/2024/0386</t>
  </si>
  <si>
    <t>10019</t>
  </si>
  <si>
    <t>10038</t>
  </si>
  <si>
    <t>10311</t>
  </si>
  <si>
    <t>May DC Stock Replenishment</t>
  </si>
  <si>
    <t>10312</t>
  </si>
  <si>
    <t>SO/2024/1257</t>
  </si>
  <si>
    <t>10549</t>
  </si>
  <si>
    <t>[PDA05025] Cradle Bottom Gendac Sefeko</t>
  </si>
  <si>
    <t>10588</t>
  </si>
  <si>
    <t>[HF.P.HC.HFC.STD.BK] HFT Flying H Naked Cap</t>
  </si>
  <si>
    <t>SO/2024/1996</t>
  </si>
  <si>
    <t>10692</t>
  </si>
  <si>
    <t>10691</t>
  </si>
  <si>
    <t>[PGA01037] Electric Box Front</t>
  </si>
  <si>
    <t>10633</t>
  </si>
  <si>
    <t>SO/2024/2111</t>
  </si>
  <si>
    <t>10766</t>
  </si>
  <si>
    <t>10818</t>
  </si>
  <si>
    <t>10866</t>
  </si>
  <si>
    <t>10960</t>
  </si>
  <si>
    <t>SO/2024/1441</t>
  </si>
  <si>
    <t>10654</t>
  </si>
  <si>
    <t>[PDA05152] HSE NUT AND BOLT</t>
  </si>
  <si>
    <t>SO/2024/2684</t>
  </si>
  <si>
    <t>11087</t>
  </si>
  <si>
    <t>SO/2024/2471</t>
  </si>
  <si>
    <t>10973</t>
  </si>
  <si>
    <r>
      <t>[PGA05005] Header Pipe OLD Solar Magic (</t>
    </r>
    <r>
      <rPr>
        <b/>
        <i/>
        <sz val="12"/>
        <color rgb="FFFF0000"/>
        <rFont val="Aptos Narrow"/>
        <family val="2"/>
        <scheme val="minor"/>
      </rPr>
      <t xml:space="preserve"> Blank Log</t>
    </r>
    <r>
      <rPr>
        <sz val="10"/>
        <rFont val="Aptos Narrow"/>
        <family val="2"/>
        <scheme val="minor"/>
      </rPr>
      <t xml:space="preserve">) </t>
    </r>
  </si>
  <si>
    <t>10985</t>
  </si>
  <si>
    <t>11144</t>
  </si>
  <si>
    <t>11075</t>
  </si>
  <si>
    <t>IWC - 740mm SGT Connector (PPFR)</t>
  </si>
  <si>
    <t>11438 + 00486</t>
  </si>
  <si>
    <t>11505 + 00513</t>
  </si>
  <si>
    <t>[TTA01127] M16 Toggle Clip &amp; Hinge Assembly - Black</t>
  </si>
  <si>
    <t>00554 + 11755</t>
  </si>
  <si>
    <t>SO/2025/0505</t>
  </si>
  <si>
    <t>00569 + 11807</t>
  </si>
  <si>
    <t>11608 +  11609</t>
  </si>
  <si>
    <t>11784 + 11785</t>
  </si>
  <si>
    <t>11939 + 11940</t>
  </si>
  <si>
    <t>00589 + 11962</t>
  </si>
  <si>
    <t>SO/2025/0897</t>
  </si>
  <si>
    <t>12005</t>
  </si>
  <si>
    <t>[PGA05037] T-Piece Rollers</t>
  </si>
  <si>
    <t>BWB Naked Base 6 Port</t>
  </si>
  <si>
    <t>12133</t>
  </si>
  <si>
    <t>12183</t>
  </si>
  <si>
    <t>[TTA01148] M32 - Housing Clip - Black</t>
  </si>
  <si>
    <t>SO/2025/1345</t>
  </si>
  <si>
    <t>12199</t>
  </si>
  <si>
    <t>[PGB01008] Plastic Handle End</t>
  </si>
  <si>
    <t>EZ2302</t>
  </si>
  <si>
    <t>[TTA01140] 
M-Range Universal Bracket - Black</t>
  </si>
  <si>
    <t>SO/2025/1313</t>
  </si>
  <si>
    <t>[PDA05045] 300mm Vane Demister Beige</t>
  </si>
  <si>
    <t>SO/2025/1803</t>
  </si>
  <si>
    <t>12407 + 12408 + 12409 + 00664</t>
  </si>
  <si>
    <t>[TTE01020] BWB Key Grey + [TTE01014] BWB Lock Barrel Grey +[TTE01017] BWB Barrel Lock Latch Grey +  [TTE04000] BWB Barrel Lock &amp; Key Grey</t>
  </si>
  <si>
    <t>SO/2025/1568</t>
  </si>
  <si>
    <t>12288</t>
  </si>
  <si>
    <t>[PDA05153] HSE ELLIPSE</t>
  </si>
  <si>
    <t>SO/2025/1977</t>
  </si>
  <si>
    <t>SO/2025/1978</t>
  </si>
  <si>
    <t>SO/2025/1979</t>
  </si>
  <si>
    <t>SO/2025/2042</t>
  </si>
  <si>
    <t>SO/2025/0662</t>
  </si>
  <si>
    <t xml:space="preserve"> 12413 + 00665</t>
  </si>
  <si>
    <t>SO/2025/2063</t>
  </si>
  <si>
    <t>12588 + 00692</t>
  </si>
  <si>
    <t>[PDA05029] Pallring HDPE 25mm - 1m3 + [PDA01078] Pallring HDPE 25mm</t>
  </si>
  <si>
    <t>12592</t>
  </si>
  <si>
    <t>SO/2025/2348</t>
  </si>
  <si>
    <t>12639</t>
  </si>
  <si>
    <t>12712</t>
  </si>
  <si>
    <t>12725 +12726</t>
  </si>
  <si>
    <t>12727 + 12728</t>
  </si>
  <si>
    <t>September Stock Replenishmnet</t>
  </si>
  <si>
    <t>12830</t>
  </si>
  <si>
    <t>12824</t>
  </si>
  <si>
    <t>SO/2025/2938</t>
  </si>
  <si>
    <t>12966 + 00778</t>
  </si>
  <si>
    <t>12917 + 12918</t>
  </si>
  <si>
    <t>13056 + 13057</t>
  </si>
  <si>
    <t>[SL.P.MX7.HP] Maxi 700 Hinge Pin + [SL.P.DTB12.H.P.BK] DTB12 Hinge Pin</t>
  </si>
  <si>
    <t xml:space="preserve">Usa </t>
  </si>
  <si>
    <t>12904</t>
  </si>
  <si>
    <t>12952</t>
  </si>
  <si>
    <t>[TTA01124] M8 - Toggle Assembly</t>
  </si>
  <si>
    <t>13241</t>
  </si>
  <si>
    <t>SO/2025/4244</t>
  </si>
  <si>
    <t>[PDA05037] 440mm Vane Demister PP Beige</t>
  </si>
  <si>
    <t>13425</t>
  </si>
  <si>
    <t>13710 + 13711</t>
  </si>
  <si>
    <t>13712 + 13713</t>
  </si>
  <si>
    <t>13825</t>
  </si>
  <si>
    <t>13957</t>
  </si>
  <si>
    <t>[TTE01009] BWB Lid [Gen] Black</t>
  </si>
  <si>
    <t>13922</t>
  </si>
  <si>
    <t>[TTE01034] BWB Lid [Ripple Fibre] Grey</t>
  </si>
  <si>
    <t>14064</t>
  </si>
  <si>
    <t>Maxi 700 Clear Lid Flaps (Safeload)</t>
  </si>
  <si>
    <t xml:space="preserve">MAXI 700 LID CARRY HANDLE </t>
  </si>
  <si>
    <t>H280</t>
  </si>
  <si>
    <t>Jan orders</t>
  </si>
  <si>
    <t>Loop Joint Naked Base Black</t>
  </si>
  <si>
    <t>7582 +7583</t>
  </si>
  <si>
    <t>MAXI 500 HINGE PIN MALE &amp; FEMALE</t>
  </si>
  <si>
    <t>H270</t>
  </si>
  <si>
    <t>Xenon Lumber Support</t>
  </si>
  <si>
    <t>DTB 150 HINGE PIN</t>
  </si>
  <si>
    <t>8089</t>
  </si>
  <si>
    <t>SO/2023/0643</t>
  </si>
  <si>
    <t>08068</t>
  </si>
  <si>
    <t>08142</t>
  </si>
  <si>
    <t>08184</t>
  </si>
  <si>
    <t>BWB Lid [Octotel] Grey (ASA)</t>
  </si>
  <si>
    <t>08312+08311</t>
  </si>
  <si>
    <t>08326</t>
  </si>
  <si>
    <t>tool 'TRIAL</t>
  </si>
  <si>
    <t>50mm PP Pall Rings (1Cube)</t>
  </si>
  <si>
    <t>SO2023/2092</t>
  </si>
  <si>
    <t>8759</t>
  </si>
  <si>
    <t>[PDA05026] Cradle Top Gendac Sefeko</t>
  </si>
  <si>
    <t>So2023/2116</t>
  </si>
  <si>
    <t>8760 &amp; 8761</t>
  </si>
  <si>
    <t>[PDA01015] Head Rest Back Cover &amp;  [PDA01016] Head Rest Front Cover</t>
  </si>
  <si>
    <t>HSE ELLIPSE</t>
  </si>
  <si>
    <t>HSE NUT AND BOLT</t>
  </si>
  <si>
    <t>KIDNEY DIALYSIS</t>
  </si>
  <si>
    <t>9011</t>
  </si>
  <si>
    <t>9195 &amp; 9196</t>
  </si>
  <si>
    <t>'MAXI 500 HINGE PIN MALE &amp; FEMALE (BLUE)</t>
  </si>
  <si>
    <t>9344 &amp; 9345</t>
  </si>
  <si>
    <t>9387</t>
  </si>
  <si>
    <t>9539 &amp; 9540</t>
  </si>
  <si>
    <t>SO/2024/3365</t>
  </si>
  <si>
    <t>9738</t>
  </si>
  <si>
    <t>SO2023/3904</t>
  </si>
  <si>
    <t>9750</t>
  </si>
  <si>
    <t>9922 &amp; 9923</t>
  </si>
  <si>
    <t>10170 &amp; 10171</t>
  </si>
  <si>
    <t>10226</t>
  </si>
  <si>
    <t>[SL.P.DTB15.HP.YL] DTB15 Hinge Pin - SL Yellow</t>
  </si>
  <si>
    <t>10264 &amp;10265</t>
  </si>
  <si>
    <t>10410 + 10411</t>
  </si>
  <si>
    <t>10408 + 10409</t>
  </si>
  <si>
    <t>10546 + 10545</t>
  </si>
  <si>
    <t>SO/2024/1754</t>
  </si>
  <si>
    <t>10570</t>
  </si>
  <si>
    <t>[PBC01093] GLS Roll Cage Hinge Blue</t>
  </si>
  <si>
    <t>10634 + 10635</t>
  </si>
  <si>
    <t>10869 + 10870</t>
  </si>
  <si>
    <t>10955 +10956</t>
  </si>
  <si>
    <t>SO/2024/2700</t>
  </si>
  <si>
    <t>11114</t>
  </si>
  <si>
    <t>11202 + 11203 + 00461</t>
  </si>
  <si>
    <t>11233 + 11234 + 00467</t>
  </si>
  <si>
    <t>SO/2024/2967</t>
  </si>
  <si>
    <t>11257</t>
  </si>
  <si>
    <t>[TTB01009] Access Box 300 Port Cap Blank-off Grey</t>
  </si>
  <si>
    <t>11149 + 11150</t>
  </si>
  <si>
    <t>SO/2024/3030</t>
  </si>
  <si>
    <t>11270</t>
  </si>
  <si>
    <t>11311 + 11312</t>
  </si>
  <si>
    <t>SO/2024/3086</t>
  </si>
  <si>
    <t>11325 + 11326</t>
  </si>
  <si>
    <t>[PBE05039] PRP Front Housing + [PBE05038] PRP Back Housing</t>
  </si>
  <si>
    <t xml:space="preserve">11447 + 11448 </t>
  </si>
  <si>
    <t>SO/2025/0246</t>
  </si>
  <si>
    <t>11666</t>
  </si>
  <si>
    <t>11444</t>
  </si>
  <si>
    <t>11616</t>
  </si>
  <si>
    <t>11753</t>
  </si>
  <si>
    <t>11754</t>
  </si>
  <si>
    <t>11844</t>
  </si>
  <si>
    <t>11783</t>
  </si>
  <si>
    <t>SO/2025/1207</t>
  </si>
  <si>
    <t>12154</t>
  </si>
  <si>
    <t>12251 + 00635</t>
  </si>
  <si>
    <t>12328</t>
  </si>
  <si>
    <t>12376</t>
  </si>
  <si>
    <t>12471</t>
  </si>
  <si>
    <t>SO/2025/1877/1778</t>
  </si>
  <si>
    <t>12460 + 00674</t>
  </si>
  <si>
    <t>SO/2025/2092</t>
  </si>
  <si>
    <t>12520</t>
  </si>
  <si>
    <t>SO/2025/2015/1892</t>
  </si>
  <si>
    <t>12464 + 00675</t>
  </si>
  <si>
    <t>[HF.P.HC.HB.BK] HFT Hubometer Cap +  [HF.C.HC.HB.BK+S] HFT Hubometer Cap + Screws [AI803104]</t>
  </si>
  <si>
    <t>12612 + 12613</t>
  </si>
  <si>
    <t>12637 + 12693</t>
  </si>
  <si>
    <t>12709 + 12710</t>
  </si>
  <si>
    <t>12607</t>
  </si>
  <si>
    <t>12638</t>
  </si>
  <si>
    <t>12711</t>
  </si>
  <si>
    <t>Sep Stock Replenishment</t>
  </si>
  <si>
    <t>12714</t>
  </si>
  <si>
    <t>12862</t>
  </si>
  <si>
    <t>12855 + 12856 + 00760</t>
  </si>
  <si>
    <t>SO/2025/2585</t>
  </si>
  <si>
    <t>SO/2025/2710</t>
  </si>
  <si>
    <t>SO/2025/2691</t>
  </si>
  <si>
    <t>12804</t>
  </si>
  <si>
    <r>
      <t>[PGA05005] Header Pipe OLD Solar Magic</t>
    </r>
    <r>
      <rPr>
        <b/>
        <sz val="10"/>
        <color rgb="FFFF0000"/>
        <rFont val="Aptos Narrow"/>
        <family val="2"/>
        <scheme val="minor"/>
      </rPr>
      <t xml:space="preserve"> 340mm</t>
    </r>
  </si>
  <si>
    <t>12907</t>
  </si>
  <si>
    <t>13019 + 13020</t>
  </si>
  <si>
    <t>12951</t>
  </si>
  <si>
    <t>stock</t>
  </si>
  <si>
    <t>13125 + 00789</t>
  </si>
  <si>
    <t>H1601</t>
  </si>
  <si>
    <t>SO/2025/2687</t>
  </si>
  <si>
    <t>13043</t>
  </si>
  <si>
    <t>SO/2025/3150</t>
  </si>
  <si>
    <t>SO/2431</t>
  </si>
  <si>
    <t>13192 +  13193 +  00804</t>
  </si>
  <si>
    <t>13194 +  13195 +  00805</t>
  </si>
  <si>
    <t>13199 + 13200 + 00807</t>
  </si>
  <si>
    <t>13507 + 00881</t>
  </si>
  <si>
    <t xml:space="preserve">Super Dolly Link </t>
  </si>
  <si>
    <t>N230/1</t>
  </si>
  <si>
    <t>Month End Shut Down</t>
  </si>
  <si>
    <t>13644</t>
  </si>
  <si>
    <t>13728</t>
  </si>
  <si>
    <t>Faulty Mould</t>
  </si>
  <si>
    <t>13731</t>
  </si>
  <si>
    <t>[TTB01017] M4 MicroLoop Fibre Management Tray Grey</t>
  </si>
  <si>
    <t>13903</t>
  </si>
  <si>
    <t>[TTA01187] Rapid-Stor XL Claw - 30% GF PP - Black</t>
  </si>
  <si>
    <t>[TTA05047] Rapid-Stor XL with M-Range Bracket and Claws</t>
  </si>
  <si>
    <t>ELASTRON G100.A20 NATURAL</t>
  </si>
  <si>
    <t>7TWENTY - TRIAL</t>
  </si>
  <si>
    <t>M8 GROMMET LARGE AND SMALL</t>
  </si>
  <si>
    <t>H200</t>
  </si>
  <si>
    <t>FEB-MAR-APR ORDERS - PC122U</t>
  </si>
  <si>
    <t>7863</t>
  </si>
  <si>
    <t>[SL.P.MX7.L.DW.CR] Maxi 700 Lid Diamond Window (Clear)</t>
  </si>
  <si>
    <t>SO/2023/0460</t>
  </si>
  <si>
    <t>07931</t>
  </si>
  <si>
    <t>[PGA05066] D-Cell Clamps</t>
  </si>
  <si>
    <t>08069+08070</t>
  </si>
  <si>
    <t>BWB Splice Tray1 &amp; Base Back Plate1</t>
  </si>
  <si>
    <t>H160</t>
  </si>
  <si>
    <t>APRIL+MAY</t>
  </si>
  <si>
    <t>08145+08146+08147+08148</t>
  </si>
  <si>
    <t>Loop joint pole 1 &amp; clamp bracket 1 &amp; twist block 1 &amp; pin 1</t>
  </si>
  <si>
    <t xml:space="preserve">ZISSLOY BF15 BLK </t>
  </si>
  <si>
    <t>M8 TOGGLE CLIP AND HINGE PINS</t>
  </si>
  <si>
    <t>PP GF30 XUBA BALCK SMMP9400</t>
  </si>
  <si>
    <t>M8 POLE BRACKET</t>
  </si>
  <si>
    <t>B200</t>
  </si>
  <si>
    <t>TRIlAL</t>
  </si>
  <si>
    <t>TSE HUBCAP</t>
  </si>
  <si>
    <t>B802</t>
  </si>
  <si>
    <t>ZISSLOY BF140 NATURAL</t>
  </si>
  <si>
    <t>M8 CRUSH INSERT AND FIRE PICK</t>
  </si>
  <si>
    <t>POLYLAC PA 757 AO1 WHITE</t>
  </si>
  <si>
    <t>M8 SPLICE TRAY</t>
  </si>
  <si>
    <t>LOORACK INSERT</t>
  </si>
  <si>
    <t>08232</t>
  </si>
  <si>
    <t>[PBC01094] GLS Roll Cage Hinge Red</t>
  </si>
  <si>
    <t>08233</t>
  </si>
  <si>
    <t>[PBC01094] GLS Roll Cage Hinge Blue</t>
  </si>
  <si>
    <t>08348</t>
  </si>
  <si>
    <t>[SL.FG.HC.TSE] SafeLoad Mighty Hub Cap (TSE)</t>
  </si>
  <si>
    <t>8376</t>
  </si>
  <si>
    <t>[PGA05014] Splash Tray Connector (Virgin Polyprop)</t>
  </si>
  <si>
    <t>SO/2023/0431 JUNE + 0432 JULY</t>
  </si>
  <si>
    <t>7967</t>
  </si>
  <si>
    <t>8298</t>
  </si>
  <si>
    <t>8349</t>
  </si>
  <si>
    <t>8419</t>
  </si>
  <si>
    <t>Handset Front &amp; Back Cover Gendac Sefeko Orange</t>
  </si>
  <si>
    <t>So2023/1468</t>
  </si>
  <si>
    <t>8510</t>
  </si>
  <si>
    <t>So2023/1028</t>
  </si>
  <si>
    <t>N1501</t>
  </si>
  <si>
    <t>SO/2022/0768</t>
  </si>
  <si>
    <t>8600 &amp; 8608 &amp; 8604 &amp; 8601</t>
  </si>
  <si>
    <t>[TTA01023] Loop Joint Pole Bracket Black &amp; [TTA01022] Loop Joint Clamp Pole Bracket Fitting &amp; [TTA01028] Loop Joint Oval Port Twist Block Black &amp; 	[TTA01024] Loop Joint Pole Bracket Pin Black</t>
  </si>
  <si>
    <t>8679</t>
  </si>
  <si>
    <t>[PDA01139] Loorack Insert - White</t>
  </si>
  <si>
    <t>[PDA01142] Loorack Insert - Dark Grey</t>
  </si>
  <si>
    <t>8680</t>
  </si>
  <si>
    <t>[PDA01145] Loorack Insert - Black</t>
  </si>
  <si>
    <t>8681</t>
  </si>
  <si>
    <t>tr</t>
  </si>
  <si>
    <t>Waiting for Material - 30.06</t>
  </si>
  <si>
    <t>Dc Stock replenishment</t>
  </si>
  <si>
    <t>8489 &amp; 8490</t>
  </si>
  <si>
    <t>[TTA01049] M8 FIBRE PICK &amp; [TTA01048] M8 CENTRAL STRENGTH MEMBER FIXATION NODE</t>
  </si>
  <si>
    <t xml:space="preserve">SO2023/1187 - </t>
  </si>
  <si>
    <t>8633 &amp; '8634</t>
  </si>
  <si>
    <t>'[PDA01005] Handset Front Cover Gendac Sefeko &amp; '[PDA01001] Handset Back Cover Gendac Sefeko</t>
  </si>
  <si>
    <t>SO2023/2234</t>
  </si>
  <si>
    <t>8809</t>
  </si>
  <si>
    <t>[PGA05016]Sprayer Inner Splash Ring Small Black</t>
  </si>
  <si>
    <t>B150</t>
  </si>
  <si>
    <t>8806</t>
  </si>
  <si>
    <t>SO2023/2419</t>
  </si>
  <si>
    <t>8910</t>
  </si>
  <si>
    <t>August Replacement stock</t>
  </si>
  <si>
    <t>8990 &amp; 8991</t>
  </si>
  <si>
    <t>'[PDA01001] Handset Back Cover Gendac Sefeko &amp; [PDA01005] Handset Front Cover Gendac Sefeko</t>
  </si>
  <si>
    <r>
      <t xml:space="preserve">SO To Be confirmed By B.Dreijer
</t>
    </r>
    <r>
      <rPr>
        <b/>
        <sz val="11"/>
        <rFont val="Aptos Narrow"/>
        <family val="2"/>
        <scheme val="minor"/>
      </rPr>
      <t>PACK parts IN Boxes individualy bagged fronts in one box backs in another</t>
    </r>
  </si>
  <si>
    <t>9248 &amp; 9249</t>
  </si>
  <si>
    <t>9423 &amp; 9424</t>
  </si>
  <si>
    <t>9492</t>
  </si>
  <si>
    <t>9643</t>
  </si>
  <si>
    <t>SO/2024/0123</t>
  </si>
  <si>
    <t>9897</t>
  </si>
  <si>
    <t>9984</t>
  </si>
  <si>
    <t>9985 + 9986</t>
  </si>
  <si>
    <t>10022 + 10023</t>
  </si>
  <si>
    <t>10118 + 10119</t>
  </si>
  <si>
    <t>[TTA01120] M8 - Splice Tray - 24 - White + [TTA01121] M8 - Splice Bay Cassette - 24 - White</t>
  </si>
  <si>
    <t>[TTE01027] BWB Slack Basket White</t>
  </si>
  <si>
    <t>SO2023/2722</t>
  </si>
  <si>
    <t>10180</t>
  </si>
  <si>
    <t>[SL.P.HC.B.NK] SafeLoad Mighty Hub Cap (Naked)</t>
  </si>
  <si>
    <t>Trial - M8 IP68 Duct Clamp</t>
  </si>
  <si>
    <t>10233 &amp; 10234</t>
  </si>
  <si>
    <t>SO/2024/0608</t>
  </si>
  <si>
    <t>[PBC06102] Sideways RC Wheel - Black</t>
  </si>
  <si>
    <t>[PBC06103] Sideways RC Wheel - White</t>
  </si>
  <si>
    <t>10347, 10348, 10349, 10350</t>
  </si>
  <si>
    <t>[TTA01051] M8 Lite - 2 Port Entry Cable Seal - 6-9mm &amp; [TTA01052] M8 Lite - 2 Port Entry Cable Seal - 9-12mm &amp; [TTA01053] M8 Lite - 8 Port Drop Cable Seal - 3-4.5mm &amp; [TTA01054] M8 Lite - 8 Port Drop Cable Seal - 4.5-6mm</t>
  </si>
  <si>
    <t>10360 &amp; 10361</t>
  </si>
  <si>
    <t>10407</t>
  </si>
  <si>
    <t>[SL.P.MX7.L.RC] Maxi 700 lid Robust Clip (Black)</t>
  </si>
  <si>
    <t>SO/2024/1326</t>
  </si>
  <si>
    <t>10443, 10444, 10445, 10480</t>
  </si>
  <si>
    <t>10584 + 10585 + 10586 + 10587</t>
  </si>
  <si>
    <t>[TTA01057] M8 POLE MOUNT BRACKETS &amp; [TTA01055] M8 - ENTRY CABLE PLUG &amp; [TTA01056] M8 DROP CABLE PLUG &amp; [TTA01043] M8 ENCLOSURE LID COVER PLATE BLACK</t>
  </si>
  <si>
    <t>So2024/0921</t>
  </si>
  <si>
    <t>10316 &amp; 10317</t>
  </si>
  <si>
    <t>[TTA03055] M8 IP68 - Fiber Management Seal Overmould - Monprene</t>
  </si>
  <si>
    <t>11027</t>
  </si>
  <si>
    <t>SO/2024/2736</t>
  </si>
  <si>
    <t>11112 + 11113 + 00439</t>
  </si>
  <si>
    <t>SO/2024/2806</t>
  </si>
  <si>
    <t>11170 +  11171</t>
  </si>
  <si>
    <t>11664 + 11665</t>
  </si>
  <si>
    <t>SO/2025/0128</t>
  </si>
  <si>
    <t>11607</t>
  </si>
  <si>
    <t>SO/2025/0401</t>
  </si>
  <si>
    <t>11735</t>
  </si>
  <si>
    <t>SO/2025/0510</t>
  </si>
  <si>
    <t>11808</t>
  </si>
  <si>
    <t>H1201</t>
  </si>
  <si>
    <t>SO/2025/0091</t>
  </si>
  <si>
    <t>11892</t>
  </si>
  <si>
    <r>
      <t xml:space="preserve">[PGA05081]Sprayer Green Nozzel  </t>
    </r>
    <r>
      <rPr>
        <b/>
        <i/>
        <sz val="10"/>
        <color rgb="FFFF0000"/>
        <rFont val="Aptos Narrow"/>
        <family val="2"/>
        <scheme val="minor"/>
      </rPr>
      <t>(30mm Nozzle)</t>
    </r>
  </si>
  <si>
    <t>11908</t>
  </si>
  <si>
    <t>[PGA05018]Sprayer Secure Clips Green</t>
  </si>
  <si>
    <t xml:space="preserve">March Stock Replenishmet </t>
  </si>
  <si>
    <t>11864</t>
  </si>
  <si>
    <t>SO/2025/0643</t>
  </si>
  <si>
    <t>11954</t>
  </si>
  <si>
    <t>[TTB01019] MicroLoop Fibre Adaptor Plate Grey</t>
  </si>
  <si>
    <t>11992 + 11993</t>
  </si>
  <si>
    <t>[TTA01139] M16 Network Cable Stud - Black + [TTA01138] M16 Drop Cable Stud - Black</t>
  </si>
  <si>
    <t>SO/2025/1032</t>
  </si>
  <si>
    <t>12017 + 12048</t>
  </si>
  <si>
    <t>[HF.P.HC.HB.BK] HFT Hubometer Cap</t>
  </si>
  <si>
    <t>12084</t>
  </si>
  <si>
    <t>12131</t>
  </si>
  <si>
    <t>12079</t>
  </si>
  <si>
    <t>[TTA01155] M32 - Splice Tray - White</t>
  </si>
  <si>
    <t>12128</t>
  </si>
  <si>
    <t>12157 + 12158</t>
  </si>
  <si>
    <t>12235 + 12271 + 12272</t>
  </si>
  <si>
    <t>[SL.P.MX5.B.C.YL] Maxi 500 Base Clip (Yellow) + [SL.P.MX5.L.C.A.YL] Maxi 500 Whiteboard Clip A (Yellow) +[SL.P.MX5.L.C.B.YL] Maxi 500 Whiteboard Clip B (Yellow)</t>
  </si>
  <si>
    <t>SO/2025/1575</t>
  </si>
  <si>
    <t>12286 + 12287 + 00642</t>
  </si>
  <si>
    <t>12284</t>
  </si>
  <si>
    <t>[PDA05148] HSE DRAWING BOARD INCLINER</t>
  </si>
  <si>
    <t>12339 + 12340</t>
  </si>
  <si>
    <t>SO/2025/1729</t>
  </si>
  <si>
    <t>12366</t>
  </si>
  <si>
    <t xml:space="preserve"> Sideways RC Wheel - White</t>
  </si>
  <si>
    <t>12384</t>
  </si>
  <si>
    <t>12383</t>
  </si>
  <si>
    <t>12504</t>
  </si>
  <si>
    <t>SO/2025/2117</t>
  </si>
  <si>
    <t>12515</t>
  </si>
  <si>
    <t>[PBC06136] Sideways RC Wheel Style 2- White</t>
  </si>
  <si>
    <t>12516</t>
  </si>
  <si>
    <t>[PBC06135] Sideways RC Wheel Style 2 - Black</t>
  </si>
  <si>
    <t>SO/2025/2306</t>
  </si>
  <si>
    <t>12647</t>
  </si>
  <si>
    <t>[PGA01118] Sprayer Top Splash Ring Large - Nylon - Grey</t>
  </si>
  <si>
    <t>12651</t>
  </si>
  <si>
    <t>[PGA01119] Sprayer Frame - Nylon - Grey</t>
  </si>
  <si>
    <t>SO/2025/2454</t>
  </si>
  <si>
    <t>12680</t>
  </si>
  <si>
    <t>SO to follow</t>
  </si>
  <si>
    <t>12665</t>
  </si>
  <si>
    <t>sept</t>
  </si>
  <si>
    <t>12744 + 12745 + 00734</t>
  </si>
  <si>
    <t>SO/2025/2709</t>
  </si>
  <si>
    <t>12791 + 12792 + 00743</t>
  </si>
  <si>
    <t>12860 + 12861</t>
  </si>
  <si>
    <t>SO/2025/3261</t>
  </si>
  <si>
    <t>13124 + 00788</t>
  </si>
  <si>
    <t>13690</t>
  </si>
  <si>
    <t>13826</t>
  </si>
  <si>
    <t>13904</t>
  </si>
  <si>
    <t>H120</t>
  </si>
  <si>
    <t>SO/2022/3366</t>
  </si>
  <si>
    <t>7506+7507</t>
  </si>
  <si>
    <t>NOKEY ENCLOSURE - BOTTOM &amp; TOP HOUSING</t>
  </si>
  <si>
    <t>DNA SEDU CONNECTOR PLATE BLACK</t>
  </si>
  <si>
    <t>ORGANISER 500 INTERNAL S-DIVIDER (BLUE)</t>
  </si>
  <si>
    <t>ORGANISER 500 INTERNAL S-DIVIDER (YELLOW)</t>
  </si>
  <si>
    <t>MAXI 700 LID ROBUST CLIP (BLACK)</t>
  </si>
  <si>
    <t>7806+7807</t>
  </si>
  <si>
    <t>SAMPLE - D1000</t>
  </si>
  <si>
    <t>CONNECT POINT</t>
  </si>
  <si>
    <t>DPE BOX Development Tool 1</t>
  </si>
  <si>
    <t>DPE BOX Development Tool 2</t>
  </si>
  <si>
    <t>DNA SEDU DOUBLE CONNECTOR BLACK</t>
  </si>
  <si>
    <t>SO/2022/2989+3519+3639+3658+3660+0059+0135</t>
  </si>
  <si>
    <t>Loop Joint Round Port Compression Nut Black</t>
  </si>
  <si>
    <t>CURV RETAINING HOOK</t>
  </si>
  <si>
    <t>SO/2023/0311</t>
  </si>
  <si>
    <t>7913</t>
  </si>
  <si>
    <t>Omega Insulator with clip Black</t>
  </si>
  <si>
    <t>SO/2023/0059-MAR</t>
  </si>
  <si>
    <t>7799 + 7798 + 7797</t>
  </si>
  <si>
    <t>Loop Joint Oval DP 08mm1&amp;Round DP 3.0mm2&amp;O-Ring1</t>
  </si>
  <si>
    <t>08083+08084+08085</t>
  </si>
  <si>
    <t>Loop Joint Oval DP 10mm1&amp;Round DP 3.0mm2&amp;O-Ring1</t>
  </si>
  <si>
    <t>08243</t>
  </si>
  <si>
    <t>08241</t>
  </si>
  <si>
    <t>8596&amp; 8603 &amp; 8607</t>
  </si>
  <si>
    <t>[TTA01029] Loop Joint O-Ring 6x 120mm &amp; [TTA01030] Loop Joint Oval Grommet Dual Port 08mm [TTA01038] Loop Joint Round Grommet Dual Port 3-4mm</t>
  </si>
  <si>
    <t>8668</t>
  </si>
  <si>
    <t>[TTB08002] MicroLoop Fibre Management Tray &amp; Seal Grey</t>
  </si>
  <si>
    <t>8808</t>
  </si>
  <si>
    <t>9107</t>
  </si>
  <si>
    <t>[TTB01020] MicroLoop Tethering Cone Grey</t>
  </si>
  <si>
    <t>front Runner - PLU</t>
  </si>
  <si>
    <t>MOULD 6</t>
  </si>
  <si>
    <t>ADCE CLAMP GRIP</t>
  </si>
  <si>
    <t>MOULD 5</t>
  </si>
  <si>
    <t>ADCE SEAL WINDOW</t>
  </si>
  <si>
    <t>ADCE COVER WINDOW</t>
  </si>
  <si>
    <t>mould 2 RETRIAL 1</t>
  </si>
  <si>
    <t>ADCE BEZEL HARVESTER SWIVEL</t>
  </si>
  <si>
    <t>ADCE BEZEL ROGOWSKI SWIVEL</t>
  </si>
  <si>
    <t>H2801</t>
  </si>
  <si>
    <t>SO2023/3363</t>
  </si>
  <si>
    <t>9328</t>
  </si>
  <si>
    <t>S02023/3511</t>
  </si>
  <si>
    <t>[PGA05008] Pipe End Reducer White</t>
  </si>
  <si>
    <t>[PAA01011] BHU 5 - Sun Visor &amp; [PAA01012] BHU 5 - Reader Bracket &amp; [PAA01013] BHU 5 - Screen Holder</t>
  </si>
  <si>
    <t>[PAA01020] BHU 7 - Sun Visor &amp; [PAA01021] BHU 7 - Reader Bracket &amp; [PAA01022] BHU 7 - Screen Holder</t>
  </si>
  <si>
    <t>9476+ 9475</t>
  </si>
  <si>
    <t>[TTB01022] MicroLoop Splice Bay White + [TTB01021] MicroLoop Naked Splice Tray White</t>
  </si>
  <si>
    <t>9594 + 9595</t>
  </si>
  <si>
    <t>Front Runner Roof Rack Corner</t>
  </si>
  <si>
    <t>SO/2024/0070</t>
  </si>
  <si>
    <t>9766+ 0240</t>
  </si>
  <si>
    <t>[PGA01003] Blue Pulley Body + [PGA05027] Blue Pulley</t>
  </si>
  <si>
    <t>NPD-PX-23-0003 (SRC WHEEL)</t>
  </si>
  <si>
    <t>M8 Lite Splice Bay Casette</t>
  </si>
  <si>
    <t>N1201</t>
  </si>
  <si>
    <t>10092</t>
  </si>
  <si>
    <t>SO/2024/0666</t>
  </si>
  <si>
    <t>10157</t>
  </si>
  <si>
    <t>[PVD05001] Gp Hose Stop Raw</t>
  </si>
  <si>
    <t>10158</t>
  </si>
  <si>
    <t>TTA01115 RAPID HOLD-WEDGE</t>
  </si>
  <si>
    <t>SO/2024/0880</t>
  </si>
  <si>
    <t>[PBC06109] GLS Tamper Latch - White</t>
  </si>
  <si>
    <t>SO2023/850</t>
  </si>
  <si>
    <t>10318</t>
  </si>
  <si>
    <t>[PGB05011] PLRU139 Quick Release 9 mm</t>
  </si>
  <si>
    <t>SO/2024/1032</t>
  </si>
  <si>
    <t>10313</t>
  </si>
  <si>
    <t>[PDA05001] ADJ Knob</t>
  </si>
  <si>
    <t>10530</t>
  </si>
  <si>
    <t xml:space="preserve">	
[PCF05022] VV16-ZR/A-MSPE INLET HEAD Cage Plug(3)</t>
  </si>
  <si>
    <t>10550</t>
  </si>
  <si>
    <t>[PDA05028] Rubber Feet for Cradle Bottom, Orange</t>
  </si>
  <si>
    <t>SO2024/1605</t>
  </si>
  <si>
    <t>10526</t>
  </si>
  <si>
    <t>10831 + 10832</t>
  </si>
  <si>
    <t>[TTA01049] M8 - Fiber Pick &amp; [TTA01048] M8 - Central Strength Member Fixation Node</t>
  </si>
  <si>
    <t>SO/2024/2107</t>
  </si>
  <si>
    <t>10024 + 10025 + 00262</t>
  </si>
  <si>
    <t>SO/2024/2615</t>
  </si>
  <si>
    <t>11048</t>
  </si>
  <si>
    <t>[TTB08000] MicroLoop Casing Bottom &amp; Grommet Black &amp; [TTB08001] MicroLoop Casing Top &amp; Grommet Black</t>
  </si>
  <si>
    <t>SO/2024/2464</t>
  </si>
  <si>
    <t>11235</t>
  </si>
  <si>
    <t>11214+ 11215+ 11216 + 00462</t>
  </si>
  <si>
    <t>11289</t>
  </si>
  <si>
    <t xml:space="preserve">Jan Stock Replenishmnet </t>
  </si>
  <si>
    <t>11515 + 11516 + 11517 +  00514</t>
  </si>
  <si>
    <t>11455</t>
  </si>
  <si>
    <t>11812</t>
  </si>
  <si>
    <t>SO/2025/0559</t>
  </si>
  <si>
    <t>11831</t>
  </si>
  <si>
    <t>SO/2025/0417</t>
  </si>
  <si>
    <t>11879</t>
  </si>
  <si>
    <t>[PDA05120] S3000 Base Center Staple Cover - Black</t>
  </si>
  <si>
    <t>11826</t>
  </si>
  <si>
    <t>11964</t>
  </si>
  <si>
    <t>11970</t>
  </si>
  <si>
    <t>SO/2025/1046</t>
  </si>
  <si>
    <t>SO/2025/3241</t>
  </si>
  <si>
    <t>12153</t>
  </si>
  <si>
    <t>[PDA01082] Sedu Connector Plate Cover - Black</t>
  </si>
  <si>
    <t>12077</t>
  </si>
  <si>
    <t>12124</t>
  </si>
  <si>
    <t>12190 + 00626</t>
  </si>
  <si>
    <t>[TTA01158] M8 IP68 Quick Fix Injection Moulded Bracket - Black + 
[TTA03068] M8 IP68 Quick Fix Injection Moulded Bracket - Assembly Kit</t>
  </si>
  <si>
    <t>NPD-INT-2024-0009 (M4+ M8Opticlick)</t>
  </si>
  <si>
    <t>SO/2025/0806</t>
  </si>
  <si>
    <t>12031 + 12032</t>
  </si>
  <si>
    <t>[PDA01126] NoKey Enclosure - Top Housing - Black + [PDA01127] NoKey Enclosure - Bottom Housing - Black</t>
  </si>
  <si>
    <t>SO/2025/1336</t>
  </si>
  <si>
    <t>12214</t>
  </si>
  <si>
    <t>[PBC06138] Nusaf Conveyor Link 2135 - PP - White</t>
  </si>
  <si>
    <t>SO/2025/1464</t>
  </si>
  <si>
    <t>12244</t>
  </si>
  <si>
    <t>12330</t>
  </si>
  <si>
    <t>SO/2025/1567</t>
  </si>
  <si>
    <t>12277</t>
  </si>
  <si>
    <t>[PBC06137] Nusaf Conveyor Link 2135 - PP - Blue</t>
  </si>
  <si>
    <t>12324</t>
  </si>
  <si>
    <t>[PBC06144] Nusaf Conveyor Link 2136 - PP - Blue</t>
  </si>
  <si>
    <t>SO/2025/1632</t>
  </si>
  <si>
    <t>12438</t>
  </si>
  <si>
    <t>SO/2025/1638</t>
  </si>
  <si>
    <t>12322</t>
  </si>
  <si>
    <t>[PBC06139] Nusaf Conveyor Link 2135 - Acetal - Blue</t>
  </si>
  <si>
    <t>12569 + 12570 + 00691</t>
  </si>
  <si>
    <t>SO/2025/2021</t>
  </si>
  <si>
    <t>12510</t>
  </si>
  <si>
    <t>SO/2025/2319</t>
  </si>
  <si>
    <t>12657</t>
  </si>
  <si>
    <t>12716</t>
  </si>
  <si>
    <t>SO/2025/2305</t>
  </si>
  <si>
    <t>12717</t>
  </si>
  <si>
    <t>12517</t>
  </si>
  <si>
    <t>[PBC06150] Nusaf Conveyor Link 2135 - Nylon - Black</t>
  </si>
  <si>
    <t>12511</t>
  </si>
  <si>
    <t>[PBC06146] Nusaf Conveyor Link 2136 - Acetal - Blue</t>
  </si>
  <si>
    <t>SO/2025/2448</t>
  </si>
  <si>
    <t>12682</t>
  </si>
  <si>
    <r>
      <t>[PBC06151] Nusaf Conveyor Link 2135 - Acetal - Beige (</t>
    </r>
    <r>
      <rPr>
        <b/>
        <sz val="10"/>
        <color rgb="FFFF0000"/>
        <rFont val="Aptos Narrow"/>
        <family val="2"/>
        <scheme val="minor"/>
      </rPr>
      <t>Solid</t>
    </r>
    <r>
      <rPr>
        <sz val="10"/>
        <rFont val="Aptos Narrow"/>
        <family val="2"/>
        <scheme val="minor"/>
      </rPr>
      <t>)</t>
    </r>
  </si>
  <si>
    <t>SO/2025/2820</t>
  </si>
  <si>
    <t>12848</t>
  </si>
  <si>
    <r>
      <t>[PBC06138] Nusaf Conveyor Link 2135 - PP - White</t>
    </r>
    <r>
      <rPr>
        <b/>
        <sz val="10"/>
        <color rgb="FFFF0000"/>
        <rFont val="Aptos Narrow"/>
        <family val="2"/>
        <scheme val="minor"/>
      </rPr>
      <t xml:space="preserve"> (Solid)</t>
    </r>
  </si>
  <si>
    <t>SO/2025/2999</t>
  </si>
  <si>
    <t>13014</t>
  </si>
  <si>
    <t>Usa/Local</t>
  </si>
  <si>
    <t>12791+12792+00743</t>
  </si>
  <si>
    <t>SO/2025/3045</t>
  </si>
  <si>
    <t>13105</t>
  </si>
  <si>
    <r>
      <t>[PBC06150] Nusaf Conveyor Link 2135 - Nylon - Black</t>
    </r>
    <r>
      <rPr>
        <b/>
        <sz val="10"/>
        <color rgb="FFFF0000"/>
        <rFont val="Aptos Narrow"/>
        <family val="2"/>
        <scheme val="minor"/>
      </rPr>
      <t xml:space="preserve"> (Solid)</t>
    </r>
  </si>
  <si>
    <t>SO/2025/3161</t>
  </si>
  <si>
    <t>13106</t>
  </si>
  <si>
    <t>SO/2025/2799</t>
  </si>
  <si>
    <t>12841</t>
  </si>
  <si>
    <r>
      <t xml:space="preserve">[PBC06137] Nusaf Conveyor Link 2135 - PP - Blue </t>
    </r>
    <r>
      <rPr>
        <b/>
        <sz val="10"/>
        <color rgb="FFFF0000"/>
        <rFont val="Aptos Narrow"/>
        <family val="2"/>
        <scheme val="minor"/>
      </rPr>
      <t xml:space="preserve"> (Solid)</t>
    </r>
  </si>
  <si>
    <t>13139</t>
  </si>
  <si>
    <r>
      <t>[PBC06146] Nusaf Conveyor Link 2136 - Acetal - Blue</t>
    </r>
    <r>
      <rPr>
        <b/>
        <sz val="10"/>
        <color rgb="FFFF0000"/>
        <rFont val="Aptos Narrow"/>
        <family val="2"/>
        <scheme val="minor"/>
      </rPr>
      <t xml:space="preserve"> (Insert)</t>
    </r>
  </si>
  <si>
    <t>12718</t>
  </si>
  <si>
    <r>
      <t>[PBC06148] Nusaf Conveyor Link 2136 - Acetal - Beige</t>
    </r>
    <r>
      <rPr>
        <b/>
        <sz val="10"/>
        <rFont val="Aptos Narrow"/>
        <family val="2"/>
        <scheme val="minor"/>
      </rPr>
      <t xml:space="preserve"> </t>
    </r>
    <r>
      <rPr>
        <b/>
        <sz val="10"/>
        <color rgb="FFFF0000"/>
        <rFont val="Aptos Narrow"/>
        <family val="2"/>
        <scheme val="minor"/>
      </rPr>
      <t>(Insert</t>
    </r>
    <r>
      <rPr>
        <b/>
        <sz val="10"/>
        <rFont val="Aptos Narrow"/>
        <family val="2"/>
        <scheme val="minor"/>
      </rPr>
      <t>)</t>
    </r>
  </si>
  <si>
    <t>SO/2025/2821</t>
  </si>
  <si>
    <t>13161</t>
  </si>
  <si>
    <r>
      <t xml:space="preserve">[PBC06144] Nusaf Conveyor Link 2136 - PP - Blue  </t>
    </r>
    <r>
      <rPr>
        <b/>
        <sz val="10"/>
        <color rgb="FFFF0000"/>
        <rFont val="Aptos Narrow"/>
        <family val="2"/>
        <scheme val="minor"/>
      </rPr>
      <t>(Insert</t>
    </r>
    <r>
      <rPr>
        <sz val="10"/>
        <rFont val="Aptos Narrow"/>
        <family val="2"/>
        <scheme val="minor"/>
      </rPr>
      <t>)</t>
    </r>
  </si>
  <si>
    <t>13181</t>
  </si>
  <si>
    <r>
      <t>[PBC06145] Nusaf Conveyor Link 2135 - Acetal - White (</t>
    </r>
    <r>
      <rPr>
        <b/>
        <sz val="10"/>
        <color rgb="FFFF0000"/>
        <rFont val="Aptos Narrow"/>
        <family val="2"/>
        <scheme val="minor"/>
      </rPr>
      <t>Solid)</t>
    </r>
  </si>
  <si>
    <t>SO/2025/3275</t>
  </si>
  <si>
    <t>13136</t>
  </si>
  <si>
    <r>
      <t xml:space="preserve">[PGA05081]Sprayer Green Nozzel  </t>
    </r>
    <r>
      <rPr>
        <b/>
        <i/>
        <sz val="10"/>
        <color rgb="FFFF0000"/>
        <rFont val="Aptos Narrow"/>
        <family val="2"/>
        <scheme val="minor"/>
      </rPr>
      <t>(20mm Nozzle)</t>
    </r>
  </si>
  <si>
    <t>SO/2025/3235</t>
  </si>
  <si>
    <t>13157</t>
  </si>
  <si>
    <r>
      <t xml:space="preserve"> [PBC06138] Nusaf Conveyor Link 2135 - PP - White</t>
    </r>
    <r>
      <rPr>
        <b/>
        <sz val="10"/>
        <color rgb="FFFF0000"/>
        <rFont val="Aptos Narrow"/>
        <family val="2"/>
        <scheme val="minor"/>
      </rPr>
      <t xml:space="preserve"> (Solid)</t>
    </r>
  </si>
  <si>
    <t>12955</t>
  </si>
  <si>
    <t>SO/2025/3234</t>
  </si>
  <si>
    <t>13155</t>
  </si>
  <si>
    <t>13278 + 13279 + 13280 + 00838</t>
  </si>
  <si>
    <t>13340 + 00851</t>
  </si>
  <si>
    <t>SO/2025/3442</t>
  </si>
  <si>
    <t>13362</t>
  </si>
  <si>
    <t>SO/2025/4369</t>
  </si>
  <si>
    <t>13372</t>
  </si>
  <si>
    <t>SO/2025/4217</t>
  </si>
  <si>
    <t>13378</t>
  </si>
  <si>
    <t>SO/2025/3752</t>
  </si>
  <si>
    <r>
      <t>[PBC06155] Nusaf Conveyor Link 2135 - Acetal metal detectable - Blue (</t>
    </r>
    <r>
      <rPr>
        <b/>
        <sz val="10"/>
        <color rgb="FFFF0000"/>
        <rFont val="Aptos Narrow"/>
        <family val="2"/>
        <scheme val="minor"/>
      </rPr>
      <t>Solid</t>
    </r>
    <r>
      <rPr>
        <sz val="10"/>
        <rFont val="Aptos Narrow"/>
        <family val="2"/>
        <scheme val="minor"/>
      </rPr>
      <t>)</t>
    </r>
  </si>
  <si>
    <t>13379</t>
  </si>
  <si>
    <r>
      <t xml:space="preserve">[PBC06139] Nusaf Conveyor Link 2135 - Acetal - Blue </t>
    </r>
    <r>
      <rPr>
        <b/>
        <sz val="10"/>
        <color rgb="FFFF0000"/>
        <rFont val="Aptos Narrow"/>
        <family val="2"/>
        <scheme val="minor"/>
      </rPr>
      <t>(Solid)</t>
    </r>
  </si>
  <si>
    <t>SO/2025/4082</t>
  </si>
  <si>
    <t>13315</t>
  </si>
  <si>
    <t>13380</t>
  </si>
  <si>
    <t>13373</t>
  </si>
  <si>
    <t>13374</t>
  </si>
  <si>
    <t>13156</t>
  </si>
  <si>
    <t>13375</t>
  </si>
  <si>
    <t>SO/2025/3233</t>
  </si>
  <si>
    <t>13154</t>
  </si>
  <si>
    <t>13377</t>
  </si>
  <si>
    <t>13381</t>
  </si>
  <si>
    <t>SO/2025/4218</t>
  </si>
  <si>
    <t>13382</t>
  </si>
  <si>
    <r>
      <t xml:space="preserve">[PBC06148] Nusaf Conveyor Link 2136 - Acetal - Beige </t>
    </r>
    <r>
      <rPr>
        <b/>
        <sz val="10"/>
        <color rgb="FFFF0000"/>
        <rFont val="Aptos Narrow"/>
        <family val="2"/>
        <scheme val="minor"/>
      </rPr>
      <t>(Insert)</t>
    </r>
  </si>
  <si>
    <t>13383</t>
  </si>
  <si>
    <t>12597</t>
  </si>
  <si>
    <t>Blue Ribbon Gas Plug for Dolly and Crate</t>
  </si>
  <si>
    <t>13589 + 00898</t>
  </si>
  <si>
    <t>13646 + 00908</t>
  </si>
  <si>
    <t>[PGA01113] Grey Pulley Body + [PGA05093] Grey Pulley</t>
  </si>
  <si>
    <t>SO/2026/0587</t>
  </si>
  <si>
    <t>13669 + 13673</t>
  </si>
  <si>
    <t xml:space="preserve">	[PGB05020] Bobbin SBA017 &amp; [PGB05021] Bobbin SBA018</t>
  </si>
  <si>
    <t>12936 + 12937</t>
  </si>
  <si>
    <t>[TTB08000] M4 MicroLoop Casing Bottom &amp; Grommet Black &amp; [TTB08001] MicroLoop Casing Top &amp; Grommet Black - OVERMOULD</t>
  </si>
  <si>
    <t>SO/2026/1714</t>
  </si>
  <si>
    <t>14111</t>
  </si>
  <si>
    <t>[PGB05026] PLRU171 THREE WAY EXTRUSION JOINER</t>
  </si>
  <si>
    <t>SO/2026/1775</t>
  </si>
  <si>
    <t>14113</t>
  </si>
  <si>
    <t>SO/2026/1709</t>
  </si>
  <si>
    <t>14094</t>
  </si>
  <si>
    <t>SO/2026/1704</t>
  </si>
  <si>
    <t>14114</t>
  </si>
  <si>
    <t>[TTA01025] Loop Joint Round Port Compression Nut Black</t>
  </si>
  <si>
    <t>13827 +13828</t>
  </si>
  <si>
    <t>NOKEY ENCLOSURE - LIGHT PIPE</t>
  </si>
  <si>
    <t>7508+7509+7510</t>
  </si>
  <si>
    <t>NOKEY ENCLOSURE - BUTTON, REATINING CORD &amp; SCURITY SCREW COVER</t>
  </si>
  <si>
    <t>SO/2022/3303 - JAN</t>
  </si>
  <si>
    <t>SPEC CLIP CLEAR</t>
  </si>
  <si>
    <t>SO/2022/3597-JAN+STOCK</t>
  </si>
  <si>
    <t>Push Fit Insert</t>
  </si>
  <si>
    <t>MAXI 700 SECURITY RING</t>
  </si>
  <si>
    <t>ORDERS JAN+FEB</t>
  </si>
  <si>
    <t>MicroLoop Tethering Cone Grey</t>
  </si>
  <si>
    <t>SO/2023/0129</t>
  </si>
  <si>
    <t>RELAY BLOCK BLACK</t>
  </si>
  <si>
    <t>SO/2023/0101</t>
  </si>
  <si>
    <t>7767 + 00279</t>
  </si>
  <si>
    <t>Blue Pulley Body</t>
  </si>
  <si>
    <t>7851+7852+7853+7854</t>
  </si>
  <si>
    <t>Carabiner Yellow</t>
  </si>
  <si>
    <t>7850+7849+7848+7846</t>
  </si>
  <si>
    <t>Carabiner Black</t>
  </si>
  <si>
    <t>08032 + 08033</t>
  </si>
  <si>
    <t>08100 + 08101</t>
  </si>
  <si>
    <t>08336+08337</t>
  </si>
  <si>
    <t>H87</t>
  </si>
  <si>
    <t>8413</t>
  </si>
  <si>
    <t>SO2023/1133</t>
  </si>
  <si>
    <t>8458</t>
  </si>
  <si>
    <t>[PRC05012] OBD BOLT</t>
  </si>
  <si>
    <t>SO2023/1521</t>
  </si>
  <si>
    <t>8515</t>
  </si>
  <si>
    <t>SO2023/1535</t>
  </si>
  <si>
    <t>8520</t>
  </si>
  <si>
    <t>[PGB05008] Nylon Joiner B (108 x 13 x 22)</t>
  </si>
  <si>
    <t>SO2023/1663</t>
  </si>
  <si>
    <t>8572</t>
  </si>
  <si>
    <t>[PGB05007] Nylon Joiner A (108 x 13 x 8)</t>
  </si>
  <si>
    <t>8573</t>
  </si>
  <si>
    <t>[TTA01070] DP Box - Oval Port - Cable Stub - Black</t>
  </si>
  <si>
    <t>SO2023/1078</t>
  </si>
  <si>
    <t>8722 &amp; 00420</t>
  </si>
  <si>
    <t>[TTA01003] Aerial Slack Bin Cable Grommet Black &amp; [TTA04000] Aerial Slack Bin Cable Grommet 4pc Black Kit</t>
  </si>
  <si>
    <t>SO2023/1571</t>
  </si>
  <si>
    <t>8768</t>
  </si>
  <si>
    <t>DC STOCK REPLENISHMENT</t>
  </si>
  <si>
    <t>8744</t>
  </si>
  <si>
    <t>[HF.FG.WNI.33] Wheel Nut Indicators 33mm HFT</t>
  </si>
  <si>
    <t>8743</t>
  </si>
  <si>
    <t>8941</t>
  </si>
  <si>
    <t>[SL.FG.WNI.32.YL] Wheel Nut Indicators 32mm Safeload (Yellow)</t>
  </si>
  <si>
    <t>9031</t>
  </si>
  <si>
    <t>9032</t>
  </si>
  <si>
    <t>[SL.FG.WNI.33.YL] Wheel Nut Indicators 33mm Safeload (Yellow)</t>
  </si>
  <si>
    <t>[SL.FG.WNI.32.GY] Wheel Nut Indicators 32mm Safeload (Grey)</t>
  </si>
  <si>
    <t>September stock replenishment</t>
  </si>
  <si>
    <t>9124</t>
  </si>
  <si>
    <t>9210</t>
  </si>
  <si>
    <t>[SL.FG.WNI.32.YL</t>
  </si>
  <si>
    <t>9213</t>
  </si>
  <si>
    <t>SO2023/3282</t>
  </si>
  <si>
    <t>9484</t>
  </si>
  <si>
    <t>9654</t>
  </si>
  <si>
    <t>9770</t>
  </si>
  <si>
    <t>9771</t>
  </si>
  <si>
    <t>[PAA01008] BHU 5 - Seal Red</t>
  </si>
  <si>
    <t>SO/2024/0053</t>
  </si>
  <si>
    <t>9719</t>
  </si>
  <si>
    <t>SO/2024/0058</t>
  </si>
  <si>
    <t>9720</t>
  </si>
  <si>
    <t>Wheel Nut Indicator</t>
  </si>
  <si>
    <t>9772</t>
  </si>
  <si>
    <t xml:space="preserve"> 9773</t>
  </si>
  <si>
    <t>SO/2024/0460</t>
  </si>
  <si>
    <t>10045</t>
  </si>
  <si>
    <t>10103</t>
  </si>
  <si>
    <t>H60</t>
  </si>
  <si>
    <t>10319</t>
  </si>
  <si>
    <t>[PDA01006] Handset Main Unit Seal Gendac Sefeko</t>
  </si>
  <si>
    <t>10320</t>
  </si>
  <si>
    <t>[PDA01003] Handset Battery Cover Seal Gendac Sefeko</t>
  </si>
  <si>
    <t>SO/2024/1501</t>
  </si>
  <si>
    <t>10468</t>
  </si>
  <si>
    <t xml:space="preserve">	[PGA05029] End Plug Rollers</t>
  </si>
  <si>
    <t>10527</t>
  </si>
  <si>
    <t>[TTA01116] RapidHold - Retention Ring - Black</t>
  </si>
  <si>
    <t>10558</t>
  </si>
  <si>
    <t>[PRC05008] Plug Sealing</t>
  </si>
  <si>
    <t>SO/2024/1745</t>
  </si>
  <si>
    <t>10568</t>
  </si>
  <si>
    <t>10321</t>
  </si>
  <si>
    <t>[PDA01002] Handset Battery Cover Gendac Sefeko</t>
  </si>
  <si>
    <t>SO/2024/1844</t>
  </si>
  <si>
    <t>SO/2024/1679</t>
  </si>
  <si>
    <t>10707 + 10708</t>
  </si>
  <si>
    <t>[TTB08001] MicroLoop Casing Top &amp; Grommet Black + [TTB08000] MicroLoop Casing Bottom &amp; Grommet Black</t>
  </si>
  <si>
    <t>10690</t>
  </si>
  <si>
    <t>[PGA01039] Electric box clear cover window</t>
  </si>
  <si>
    <t>SO/2024/1982</t>
  </si>
  <si>
    <t>10901+10902</t>
  </si>
  <si>
    <t>10734</t>
  </si>
  <si>
    <t>11518</t>
  </si>
  <si>
    <t>11569</t>
  </si>
  <si>
    <t>SO/2025/0083/4/5</t>
  </si>
  <si>
    <t>11624</t>
  </si>
  <si>
    <t>11622 +  11623</t>
  </si>
  <si>
    <t>11955 + 11956</t>
  </si>
  <si>
    <t>12189</t>
  </si>
  <si>
    <t>[TTA01135] M16 Fixation Node - Black</t>
  </si>
  <si>
    <t>SO/2025/1426 June</t>
  </si>
  <si>
    <t>12238</t>
  </si>
  <si>
    <t xml:space="preserve">	[PRC05009] Relay Block Black - PP Black</t>
  </si>
  <si>
    <t>12282</t>
  </si>
  <si>
    <t>[PDA05157] HSE GROMMETS SET OF 4 + 2</t>
  </si>
  <si>
    <t>SO/2025/1666.</t>
  </si>
  <si>
    <t>12358</t>
  </si>
  <si>
    <t>12395</t>
  </si>
  <si>
    <t>[PGA01002] Black Pulley Wheel</t>
  </si>
  <si>
    <t>12435</t>
  </si>
  <si>
    <t>[PGA01114] Grey Pulley Wheel</t>
  </si>
  <si>
    <t>SO/2025/1807</t>
  </si>
  <si>
    <t>12410 + 12411</t>
  </si>
  <si>
    <t>12425 + 12426</t>
  </si>
  <si>
    <t>SO/2025/2126</t>
  </si>
  <si>
    <t>12525</t>
  </si>
  <si>
    <t>12601 + 12602</t>
  </si>
  <si>
    <t>SO/2025/2663</t>
  </si>
  <si>
    <t>12799 + 12800</t>
  </si>
  <si>
    <t>12827 + 12828</t>
  </si>
  <si>
    <t>SO/2026/0469</t>
  </si>
  <si>
    <t>13709</t>
  </si>
  <si>
    <t>[PGA05055] Wheel Hub and Bearing</t>
  </si>
  <si>
    <t>SO/2026/1202</t>
  </si>
  <si>
    <t>13933</t>
  </si>
  <si>
    <t>[PGA05038] Terracotta Plates</t>
  </si>
  <si>
    <t>13926</t>
  </si>
  <si>
    <t>[HF.P.ABS.BK] HFT ABS Sensor Bracket</t>
  </si>
  <si>
    <t>13936 + 13938</t>
  </si>
  <si>
    <t>[PGA01001] Black Pulley Body +  [PGA05026] Black Pulley</t>
  </si>
  <si>
    <t>13935 + 13937</t>
  </si>
  <si>
    <t>14026</t>
  </si>
  <si>
    <t>14096</t>
  </si>
  <si>
    <t>7343 + 7344 + 7345</t>
  </si>
  <si>
    <t>Loop Joint Pins C-Clamp Arm2 &amp; Latch1 &amp; Lever1</t>
  </si>
  <si>
    <t>Adjustable Arm Clip</t>
  </si>
  <si>
    <t>sample</t>
  </si>
  <si>
    <t xml:space="preserve">Holder Relay </t>
  </si>
  <si>
    <t>SO/2022/2424+2933+3140</t>
  </si>
  <si>
    <t>SO/2022/1496+1498+1500+1501+1502+1503+3375</t>
  </si>
  <si>
    <t>Blue Pulley Wheel</t>
  </si>
  <si>
    <t>SO/2023/0105</t>
  </si>
  <si>
    <t>Nut Holder</t>
  </si>
  <si>
    <t>19MM OVERCAP</t>
  </si>
  <si>
    <t>SO/2023/0448 - monprene sp-12249</t>
  </si>
  <si>
    <t>07994</t>
  </si>
  <si>
    <t>Handset Main Unit Seal Gendac Sefeko</t>
  </si>
  <si>
    <t>07993</t>
  </si>
  <si>
    <t>Handset Battery Cover Seal Gendac Sefeko</t>
  </si>
  <si>
    <t>SO/2023/0448</t>
  </si>
  <si>
    <t>7968</t>
  </si>
  <si>
    <t>Handset Battery Cover Gendac Sefeko Orange</t>
  </si>
  <si>
    <t>SO/2023/0568</t>
  </si>
  <si>
    <t>08035+08036</t>
  </si>
  <si>
    <t>Canary Housing Grommets and Feet</t>
  </si>
  <si>
    <t>08037</t>
  </si>
  <si>
    <t>Canary Hosuing LED Button</t>
  </si>
  <si>
    <t>08073</t>
  </si>
  <si>
    <t>08074+08075+08076</t>
  </si>
  <si>
    <t xml:space="preserve">MARCH </t>
  </si>
  <si>
    <t>08077</t>
  </si>
  <si>
    <t>[PDA05145] CURV - Retaining Hook</t>
  </si>
  <si>
    <t>APRIL + MAY</t>
  </si>
  <si>
    <t>08078</t>
  </si>
  <si>
    <t>08192</t>
  </si>
  <si>
    <t>08193+08194+08195</t>
  </si>
  <si>
    <t>08161</t>
  </si>
  <si>
    <t>08162</t>
  </si>
  <si>
    <t>08297</t>
  </si>
  <si>
    <t>[PGA05061] Seat Buffer</t>
  </si>
  <si>
    <t>08308+08309+08310</t>
  </si>
  <si>
    <t>8395</t>
  </si>
  <si>
    <t>8396</t>
  </si>
  <si>
    <t>dog bone</t>
  </si>
  <si>
    <t>SO2023/1187</t>
  </si>
  <si>
    <t>8635</t>
  </si>
  <si>
    <t>8636</t>
  </si>
  <si>
    <t>8637</t>
  </si>
  <si>
    <t>SO2023/1844</t>
  </si>
  <si>
    <t>8686</t>
  </si>
  <si>
    <t>[PGA05060] Nut Holder</t>
  </si>
  <si>
    <t>dc Stock replenishment</t>
  </si>
  <si>
    <t>8735</t>
  </si>
  <si>
    <t>8771</t>
  </si>
  <si>
    <t xml:space="preserve">[PRC05007] Holder Relay </t>
  </si>
  <si>
    <t>8785</t>
  </si>
  <si>
    <t>[PDA05012] Push Fit Insert</t>
  </si>
  <si>
    <t>ugust Stock</t>
  </si>
  <si>
    <t>8897</t>
  </si>
  <si>
    <t>9052</t>
  </si>
  <si>
    <t>SO2023/531</t>
  </si>
  <si>
    <t>9111</t>
  </si>
  <si>
    <t>[PDA05157] HSE GROMMETS SET OF 4</t>
  </si>
  <si>
    <t>9177</t>
  </si>
  <si>
    <t>9136</t>
  </si>
  <si>
    <t>[PDA01131] NoKey Enclosure - Light Pipe - Clear</t>
  </si>
  <si>
    <r>
      <t xml:space="preserve">SO To Be confirmed By B.Dreijer
</t>
    </r>
    <r>
      <rPr>
        <b/>
        <sz val="11"/>
        <rFont val="Aptos Narrow"/>
        <family val="2"/>
        <scheme val="minor"/>
      </rPr>
      <t>PACK each part IN BAGS OF 1000</t>
    </r>
  </si>
  <si>
    <t>9245</t>
  </si>
  <si>
    <t>9246</t>
  </si>
  <si>
    <t>SO To Be confirmed By B.Dreijer</t>
  </si>
  <si>
    <t>9247</t>
  </si>
  <si>
    <t>9463+9464</t>
  </si>
  <si>
    <t>[TTE01024] BWB Base Flange Insert 20mm Grey + [TTE01023] BWB Base Flange Insert 14mm Grey</t>
  </si>
  <si>
    <t>9373</t>
  </si>
  <si>
    <t>[PRC05017] Canary Housing LED Button</t>
  </si>
  <si>
    <t>9375</t>
  </si>
  <si>
    <t>[PRC05016] Canary Housing Grommet</t>
  </si>
  <si>
    <t>9404</t>
  </si>
  <si>
    <t>[PRC05015] Canary Housing Feet</t>
  </si>
  <si>
    <t>Nov Stock Replenishment</t>
  </si>
  <si>
    <t>9487</t>
  </si>
  <si>
    <t>SO2023/3638</t>
  </si>
  <si>
    <t>9512</t>
  </si>
  <si>
    <t>SO2023/3558</t>
  </si>
  <si>
    <t>9467</t>
  </si>
  <si>
    <t>[PGA05079] Sentri Card Holder Yellow</t>
  </si>
  <si>
    <t>SO2023/3740</t>
  </si>
  <si>
    <t>9563</t>
  </si>
  <si>
    <t>9673</t>
  </si>
  <si>
    <t>[PAA01007] BHU 5 - Seal Blue</t>
  </si>
  <si>
    <t>9716</t>
  </si>
  <si>
    <t>[PGB05018] Track End for ALE084</t>
  </si>
  <si>
    <t>NPD-ST-22-0012 (RAPIDHOLD 3)- Retention Ring</t>
  </si>
  <si>
    <t>9951</t>
  </si>
  <si>
    <t>9936+9937</t>
  </si>
  <si>
    <t>9924</t>
  </si>
  <si>
    <t>10567</t>
  </si>
  <si>
    <t>[PDA01027] Flexi Arm Plugs</t>
  </si>
  <si>
    <t>10498</t>
  </si>
  <si>
    <t>10706</t>
  </si>
  <si>
    <t>TTB01034 | MicroLoop Casing Grommet Cap - Black</t>
  </si>
  <si>
    <t>10737</t>
  </si>
  <si>
    <t>SO/2024/1685</t>
  </si>
  <si>
    <t xml:space="preserve">10684 + 10685 </t>
  </si>
  <si>
    <t>[PRC05016] Canary Housing Grommet + [PRC05015] Canary Housing Feet</t>
  </si>
  <si>
    <t>10686</t>
  </si>
  <si>
    <t>10903</t>
  </si>
  <si>
    <t>[SL.P.DTB12.H.R.BK] DTB12 Security Ring</t>
  </si>
  <si>
    <t>10922 + 10971</t>
  </si>
  <si>
    <t>SO/2024/1441 #402</t>
  </si>
  <si>
    <t>10940</t>
  </si>
  <si>
    <t>SO/2024/2380</t>
  </si>
  <si>
    <t>10905 + 10906</t>
  </si>
  <si>
    <t>10990</t>
  </si>
  <si>
    <t>SO/2024/2701</t>
  </si>
  <si>
    <t>11226</t>
  </si>
  <si>
    <t xml:space="preserve">Trial - Nanotech security clip (NPO-EXT-2024-0012) </t>
  </si>
  <si>
    <t>SO/2024/2564</t>
  </si>
  <si>
    <t>11213</t>
  </si>
  <si>
    <t>S0/2024/2904</t>
  </si>
  <si>
    <t>SO/2024/2780</t>
  </si>
  <si>
    <t>11133</t>
  </si>
  <si>
    <t>11134 + 11135</t>
  </si>
  <si>
    <t>11174</t>
  </si>
  <si>
    <t>11423</t>
  </si>
  <si>
    <t>11142</t>
  </si>
  <si>
    <t>S0/2024/3110</t>
  </si>
  <si>
    <t>S0/2025/0089</t>
  </si>
  <si>
    <t>11522</t>
  </si>
  <si>
    <t>[TTB01034] MicroLoop Casing Grommet Cap - Black</t>
  </si>
  <si>
    <t>SO/2024/3313</t>
  </si>
  <si>
    <t>11554</t>
  </si>
  <si>
    <t>11557 + 11558 + 11559 + 00522</t>
  </si>
  <si>
    <t>[PDA01130] NoKey Enclosure - Security Screw Cover - Black + [PDA01129] NoKey Enclosure - Retaining Cord - Black + [PDA01128] NoKey Enclosure - Housing Button + [PDA03135] NoKey Enclosure - Security Screw Cover Assembly - Black</t>
  </si>
  <si>
    <t>11519</t>
  </si>
  <si>
    <t>City Office Button</t>
  </si>
  <si>
    <t>11330</t>
  </si>
  <si>
    <t>[PDA05016] Rubber Grommet</t>
  </si>
  <si>
    <t>11617</t>
  </si>
  <si>
    <t>S0/2025/0826</t>
  </si>
  <si>
    <t>11874 + 11875 + 11876 + 00580</t>
  </si>
  <si>
    <t>11877</t>
  </si>
  <si>
    <t>11957</t>
  </si>
  <si>
    <t>11953</t>
  </si>
  <si>
    <t>12024</t>
  </si>
  <si>
    <t>12035</t>
  </si>
  <si>
    <t>SO/2025/0807</t>
  </si>
  <si>
    <t>12036</t>
  </si>
  <si>
    <t>12037+ 12038 + 12039 + 00601</t>
  </si>
  <si>
    <t>12040 + 12041 + 12042 + 00602</t>
  </si>
  <si>
    <t>12159</t>
  </si>
  <si>
    <t>12065</t>
  </si>
  <si>
    <t>12331</t>
  </si>
  <si>
    <t>12427</t>
  </si>
  <si>
    <t>12472 + 12484 + 12485</t>
  </si>
  <si>
    <t>[TTB01013] M4 Microloop Barrel Lock Cap Black + [TTB01016] M4 MicroLoop Toggle Hinge Pin Black + [TTB04001] M4 Microloop Cable Port Plug Kit</t>
  </si>
  <si>
    <t>12533</t>
  </si>
  <si>
    <t>12394 + 00663</t>
  </si>
  <si>
    <t>[PGA01001] Black Pulley Body + [PGA05026] Black Pulley</t>
  </si>
  <si>
    <t>12437 + 00667</t>
  </si>
  <si>
    <t>12599</t>
  </si>
  <si>
    <t>12652</t>
  </si>
  <si>
    <t>[PGA01117] Sprayer Inner Splash Ring Small - Nylon - Grey</t>
  </si>
  <si>
    <t>12646</t>
  </si>
  <si>
    <t>[PGA05018] Sprayer Secure Clips - PP - Green</t>
  </si>
  <si>
    <t>12683</t>
  </si>
  <si>
    <t>August Stock</t>
  </si>
  <si>
    <t>12705</t>
  </si>
  <si>
    <t>12684</t>
  </si>
  <si>
    <t>12600</t>
  </si>
  <si>
    <t>12605 + 12606</t>
  </si>
  <si>
    <t>Augu</t>
  </si>
  <si>
    <t>12746 + 12747 + 12748 + 12749</t>
  </si>
  <si>
    <t>USA 2579</t>
  </si>
  <si>
    <t>12795 + 12796 + 12797 + 12798</t>
  </si>
  <si>
    <t>12752</t>
  </si>
  <si>
    <t>Sept/Oct/Nov</t>
  </si>
  <si>
    <t>12837</t>
  </si>
  <si>
    <t>SO/2025/2051</t>
  </si>
  <si>
    <t>12784</t>
  </si>
  <si>
    <t xml:space="preserve">USA  </t>
  </si>
  <si>
    <t>SO/2025/2915</t>
  </si>
  <si>
    <t>12915</t>
  </si>
  <si>
    <t>[PGA01004] Blue Pulley Wheel</t>
  </si>
  <si>
    <t>12916 + 00772</t>
  </si>
  <si>
    <t xml:space="preserve">13071 </t>
  </si>
  <si>
    <t xml:space="preserve">
[PGA01113] Grey Pulley Body + [PGA05027] Blue Pulley</t>
  </si>
  <si>
    <t>13072 + 00786</t>
  </si>
  <si>
    <t>[PGA01114] Grey Pulley Wheel + [PGA05093] Grey Pulley</t>
  </si>
  <si>
    <t>SO/2025/2925</t>
  </si>
  <si>
    <t>13015</t>
  </si>
  <si>
    <t>13075+ 13076 + 13076 + 13078</t>
  </si>
  <si>
    <t>13079 + 13080 + 13081 + 13802</t>
  </si>
  <si>
    <t>12273</t>
  </si>
  <si>
    <t>13145</t>
  </si>
  <si>
    <t>[PDA01083] Sedu Double Connector - Black</t>
  </si>
  <si>
    <t>SO/2025/2889</t>
  </si>
  <si>
    <t>13149</t>
  </si>
  <si>
    <t>[PDA01081] Sedu Connector Plate - Black</t>
  </si>
  <si>
    <t>City Office Adjustable Arm Button</t>
  </si>
  <si>
    <t>13134</t>
  </si>
  <si>
    <t>SO/2024/3292</t>
  </si>
  <si>
    <t>13138</t>
  </si>
  <si>
    <t>[PRC06004] Nanotech Security clip (part A + B)</t>
  </si>
  <si>
    <t>13186</t>
  </si>
  <si>
    <t>13321 + 13322</t>
  </si>
  <si>
    <t>13344</t>
  </si>
  <si>
    <t>13201 +  13202 + 13203 + 13204</t>
  </si>
  <si>
    <t>13205 + 13206 + 13207 + 13208</t>
  </si>
  <si>
    <t>13209 +  13210 +  13211 +  13212</t>
  </si>
  <si>
    <t>12956</t>
  </si>
  <si>
    <t>13413</t>
  </si>
  <si>
    <t>13396</t>
  </si>
  <si>
    <t>13484</t>
  </si>
  <si>
    <t>SO/2026/0026</t>
  </si>
  <si>
    <t>13442</t>
  </si>
  <si>
    <t>[PBC06073] Thinkst Stacker</t>
  </si>
  <si>
    <t>13434</t>
  </si>
  <si>
    <t>13647 + 13648</t>
  </si>
  <si>
    <t>SO2026/0374</t>
  </si>
  <si>
    <t>13645</t>
  </si>
  <si>
    <t>13654</t>
  </si>
  <si>
    <t>13655</t>
  </si>
  <si>
    <t>13719</t>
  </si>
  <si>
    <t>13780</t>
  </si>
  <si>
    <t>13931 + 13937</t>
  </si>
  <si>
    <t>[PGA01004] Blue Pulley Wheel + [PGA05027] Blue Pulley</t>
  </si>
  <si>
    <t>13936</t>
  </si>
  <si>
    <t>13927 + 13928 + 13929 + 19390</t>
  </si>
  <si>
    <t>14071</t>
  </si>
  <si>
    <t>SO/2026/1397</t>
  </si>
  <si>
    <t>14027</t>
  </si>
  <si>
    <t>14100</t>
  </si>
  <si>
    <t>14072</t>
  </si>
  <si>
    <t>14073</t>
  </si>
  <si>
    <t>SO/2026/0106</t>
  </si>
  <si>
    <t>13829 + 13830</t>
  </si>
  <si>
    <t>NEW FACTORY 2 - Row 3</t>
  </si>
  <si>
    <t>SO/2023/0443</t>
  </si>
  <si>
    <t>7965</t>
  </si>
  <si>
    <t>[PDA05156] 165mm Self Locking Small Wall step Red</t>
  </si>
  <si>
    <t>ABS D1000</t>
  </si>
  <si>
    <t>PP HSV + WHITE MP6756</t>
  </si>
  <si>
    <t>LOREAL JAR</t>
  </si>
  <si>
    <t xml:space="preserve">SO/2022/3386+3657 - pp gf 30 </t>
  </si>
  <si>
    <t>00002</t>
  </si>
  <si>
    <t>Rapid-Stor Equipment Plate Black</t>
  </si>
  <si>
    <t>00001 + ASSEMBLY 08013</t>
  </si>
  <si>
    <t>Rapid-Stor Storage Frame Black</t>
  </si>
  <si>
    <t>00011 + assembly 08144</t>
  </si>
  <si>
    <t>H320.1</t>
  </si>
  <si>
    <t>00040</t>
  </si>
  <si>
    <t>june</t>
  </si>
  <si>
    <t>00048/ 4867</t>
  </si>
  <si>
    <t>8553</t>
  </si>
  <si>
    <t>'Maxi 700 Fire Extinhuisher bracket Bottom</t>
  </si>
  <si>
    <t>TOOL - TRIAL</t>
  </si>
  <si>
    <t>SCION KIDNEY DIALYSIS POD</t>
  </si>
  <si>
    <t>00092 &amp; 00093</t>
  </si>
  <si>
    <t>[TTB01002] Access Box 300 Naked Lid [Gen] Black &amp; [TTB03000] Access Box 300 Lid [Gen] Black</t>
  </si>
  <si>
    <t>000103 &amp; 000104</t>
  </si>
  <si>
    <t>[TTA01046] M8 Lite - Fiber Management Tray - Black</t>
  </si>
  <si>
    <t>00120 &amp; 00121</t>
  </si>
  <si>
    <t>00139 &amp; 00140</t>
  </si>
  <si>
    <t>trial - DP lid overmould</t>
  </si>
  <si>
    <t>00167 &amp; 00168</t>
  </si>
  <si>
    <t>[TTA03032] DP Box - Lid &amp; Gasket - Black</t>
  </si>
  <si>
    <t>S2023/3219</t>
  </si>
  <si>
    <t>9329</t>
  </si>
  <si>
    <t>[PGA05052] Hamsprayer Black 25mm Nozzel</t>
  </si>
  <si>
    <t>9430</t>
  </si>
  <si>
    <t>S02023/3436</t>
  </si>
  <si>
    <t>00198 &amp; 9412</t>
  </si>
  <si>
    <t>9591+ 00220</t>
  </si>
  <si>
    <t>N3202</t>
  </si>
  <si>
    <t>SO/2024/0095</t>
  </si>
  <si>
    <t>9768</t>
  </si>
  <si>
    <t>SO/2024/3651/2/3</t>
  </si>
  <si>
    <t>9776+00241</t>
  </si>
  <si>
    <t>9912</t>
  </si>
  <si>
    <t>9949 + 9950</t>
  </si>
  <si>
    <t>10169</t>
  </si>
  <si>
    <t>[TTA01047] M8 LITE - FIBER MANAGEMENT SEAL OVERMOULD - TPV</t>
  </si>
  <si>
    <t>[PBC01014] 18L Tote Bin Lid Purple (2074C)</t>
  </si>
  <si>
    <t>10184 + 10183</t>
  </si>
  <si>
    <t>0301 &amp; 10352</t>
  </si>
  <si>
    <t>Access Box 300 Naked Lid [Lightstruck fibre] Black &amp; Access Box 300 Lid [Lightstruck fibre] Black</t>
  </si>
  <si>
    <t>10437 + 00318</t>
  </si>
  <si>
    <t>10470 + 10471</t>
  </si>
  <si>
    <t>[PBC01013] 18L Tote Bin Lid Pink (7424C)</t>
  </si>
  <si>
    <t>[PBC01146] 18L Tote Bin Lid Orange (164C)</t>
  </si>
  <si>
    <t>[PBC01104] 18L Tote Bin Lid Red (2035C)</t>
  </si>
  <si>
    <t>10615 + 00346</t>
  </si>
  <si>
    <t>10591 + 00715</t>
  </si>
  <si>
    <t>[PBC01066] 7L Tote Bin Bottom Orange (021C) + 	[PBC06042] 7L Tote Bin 300x200x185 Orange Bin (164C) with Orange Lid (164c)</t>
  </si>
  <si>
    <t>10721 +  00743</t>
  </si>
  <si>
    <t>10745 + 10746</t>
  </si>
  <si>
    <t>10915 + 00396</t>
  </si>
  <si>
    <t>11025 + 00412</t>
  </si>
  <si>
    <t>11195 + 00457</t>
  </si>
  <si>
    <t>11201 + 00460</t>
  </si>
  <si>
    <t>11217 + 00463</t>
  </si>
  <si>
    <t>11290 + 11291</t>
  </si>
  <si>
    <t>11365</t>
  </si>
  <si>
    <t>[PGA01072] Rolo Divider - Purple</t>
  </si>
  <si>
    <t>11349</t>
  </si>
  <si>
    <t>[PGA01053] Rolo Divider - Pink</t>
  </si>
  <si>
    <t>11383</t>
  </si>
  <si>
    <t>[PGA01073] Rolo Divider - Navy Blue</t>
  </si>
  <si>
    <t>11416</t>
  </si>
  <si>
    <t>[PGA01075] Rolo Divider - Grey</t>
  </si>
  <si>
    <t>11399</t>
  </si>
  <si>
    <t>[PGA01074] Rolo Divider - Black</t>
  </si>
  <si>
    <t>11352</t>
  </si>
  <si>
    <t>[PGA01104] Rolo Bottom Channel - Pink</t>
  </si>
  <si>
    <t>11386</t>
  </si>
  <si>
    <t>[PGA01106] Rolo Bottom Channel - Lime Green</t>
  </si>
  <si>
    <t>11368</t>
  </si>
  <si>
    <t>[PGA01105] Rolo Bottom Channel - Grey</t>
  </si>
  <si>
    <t>11402</t>
  </si>
  <si>
    <t>[PGA01107] Rolo Bottom Channel - Orange</t>
  </si>
  <si>
    <t>SO/2024/3226</t>
  </si>
  <si>
    <t>11564 + 00523</t>
  </si>
  <si>
    <t>11563</t>
  </si>
  <si>
    <t>[TTA03062] M16 Platform Tray Seal Overmould</t>
  </si>
  <si>
    <t>11986</t>
  </si>
  <si>
    <t>11941 + 00587</t>
  </si>
  <si>
    <t>[PBC01144] 7L Tote Bin Bottom Black - 60% Virgin/ 40% Battery Grade + [PBC06110] 7L Tote Bin 300x200x185 Black - 60% Virgin/ 40% Battery Grade</t>
  </si>
  <si>
    <t>11858 + 11859</t>
  </si>
  <si>
    <t>12049 + 12050</t>
  </si>
  <si>
    <t>12142 + 12413</t>
  </si>
  <si>
    <t>12090</t>
  </si>
  <si>
    <t>12088</t>
  </si>
  <si>
    <t>[PBC01015] 18L Tote Bin Lid Yellow (102C)</t>
  </si>
  <si>
    <t>12089</t>
  </si>
  <si>
    <t>SO/2025/1200</t>
  </si>
  <si>
    <t>12175</t>
  </si>
  <si>
    <t>12226 + 00633</t>
  </si>
  <si>
    <t>[PBC01085] 7L Tote Bin 300x200x185 Pink Bin with Pink Lid (7424C) + [PBC01088] 7L Tote Bin Bottom Pink (7424C)</t>
  </si>
  <si>
    <t>12225 + 00632</t>
  </si>
  <si>
    <t>[PBC01086] 7L Tote Bin 300x200x185 Red (2035C) + 	[PBC01089] 7L Tote Bin Bottom Red (2035C)</t>
  </si>
  <si>
    <t>12224</t>
  </si>
  <si>
    <t>[PBC01092] 7L Tote Bin Lid Red(2035C)</t>
  </si>
  <si>
    <t>12229</t>
  </si>
  <si>
    <t>[PBC01091] 7L Tote Bin Lid Pink (7424C)</t>
  </si>
  <si>
    <t>12274</t>
  </si>
  <si>
    <t>12280</t>
  </si>
  <si>
    <t>[PDA05147] HSE DRAWING BOARD</t>
  </si>
  <si>
    <t>12326 + 12327</t>
  </si>
  <si>
    <t>SO/2025/1599</t>
  </si>
  <si>
    <t>12353 + 00656</t>
  </si>
  <si>
    <t>12468 + 12469</t>
  </si>
  <si>
    <t>SO/2025/2052</t>
  </si>
  <si>
    <t>12513 + 00684</t>
  </si>
  <si>
    <t>[PBC01086] 7L Tote Bin 300x200x185 Red (2035C) + [PBC01089] 7L Tote Bin Bottom Red (2035C)</t>
  </si>
  <si>
    <t>12548</t>
  </si>
  <si>
    <t>12589</t>
  </si>
  <si>
    <t>12621</t>
  </si>
  <si>
    <t>12743</t>
  </si>
  <si>
    <t>12805</t>
  </si>
  <si>
    <t>13246 + 00816</t>
  </si>
  <si>
    <t>13188</t>
  </si>
  <si>
    <t>13189</t>
  </si>
  <si>
    <t>13190</t>
  </si>
  <si>
    <t>13191</t>
  </si>
  <si>
    <t>SO/2025/3791</t>
  </si>
  <si>
    <t xml:space="preserve">Feb </t>
  </si>
  <si>
    <t>13601 + 00904</t>
  </si>
  <si>
    <t>13681 +  13746</t>
  </si>
  <si>
    <t>13757 + 13758</t>
  </si>
  <si>
    <t>13844</t>
  </si>
  <si>
    <t>[PCF05023] 3 Piece Telescopic Bellows</t>
  </si>
  <si>
    <t>14070</t>
  </si>
  <si>
    <t>Tool breakdown</t>
  </si>
  <si>
    <t>SO/2025/1234</t>
  </si>
  <si>
    <t>13916 + 13917</t>
  </si>
  <si>
    <t>13918 + 139193</t>
  </si>
  <si>
    <t>Replacement</t>
  </si>
  <si>
    <t>8714</t>
  </si>
  <si>
    <t>[PBC01109] 18L Tote Bin Lid Yellow (109C)</t>
  </si>
  <si>
    <t>8723</t>
  </si>
  <si>
    <t>[PBC05022] 68L Tote Bin  Lid Black</t>
  </si>
  <si>
    <t>brick</t>
  </si>
  <si>
    <t>SO/2023/2051</t>
  </si>
  <si>
    <t>8755</t>
  </si>
  <si>
    <t>8488</t>
  </si>
  <si>
    <t>8666 &amp;8665</t>
  </si>
  <si>
    <t>9009</t>
  </si>
  <si>
    <t>9119</t>
  </si>
  <si>
    <t>[PCF05018] SCP014 OFFTAKE 110 DEG X 50 ID T-PIECE</t>
  </si>
  <si>
    <t>So2023/2813</t>
  </si>
  <si>
    <t>9147</t>
  </si>
  <si>
    <t>So2023/2863</t>
  </si>
  <si>
    <t>9162</t>
  </si>
  <si>
    <t>'MAXI 700 LID CARRY HANDLE LOCKING PIN (BLUE)</t>
  </si>
  <si>
    <t>SO2023/3323</t>
  </si>
  <si>
    <t>9334</t>
  </si>
  <si>
    <t>9389 &amp; 9390</t>
  </si>
  <si>
    <t>9409</t>
  </si>
  <si>
    <t>9462</t>
  </si>
  <si>
    <t>[TTE01032] BWB Lid [Octotel] Grey ASA</t>
  </si>
  <si>
    <t>9553</t>
  </si>
  <si>
    <t>9562</t>
  </si>
  <si>
    <t>[SL.FG.CP0.3.YL (ANC)] 12" Corner Protector (Ancra -Yellow)</t>
  </si>
  <si>
    <t>S0/2023/3740</t>
  </si>
  <si>
    <t>9639 + 9640 + 00224</t>
  </si>
  <si>
    <t>[PRC01003] Remora 2 Complete &amp; [PRC05001] Remora 3 Base &amp; [PRC05002] Remora 3 Top</t>
  </si>
  <si>
    <t>S0/2024/3935</t>
  </si>
  <si>
    <t>9697+9698+00524</t>
  </si>
  <si>
    <t>M8 IP68 Fiber Management Tray V2.0</t>
  </si>
  <si>
    <r>
      <t>M8 IP68 FULL Overmoulded Seal V</t>
    </r>
    <r>
      <rPr>
        <sz val="10"/>
        <color theme="1"/>
        <rFont val="Calibri"/>
        <family val="2"/>
      </rPr>
      <t>2</t>
    </r>
    <r>
      <rPr>
        <sz val="10"/>
        <color rgb="FF000000"/>
        <rFont val="Calibri"/>
        <family val="2"/>
      </rPr>
      <t>.0</t>
    </r>
  </si>
  <si>
    <t>9687</t>
  </si>
  <si>
    <t>SO/2024/0221</t>
  </si>
  <si>
    <t>9952</t>
  </si>
  <si>
    <t>10042</t>
  </si>
  <si>
    <t>10116</t>
  </si>
  <si>
    <t>10117</t>
  </si>
  <si>
    <t>10088 + 10089</t>
  </si>
  <si>
    <t>10166</t>
  </si>
  <si>
    <t>[PDA01141] Loorack Lid - Dark Grey</t>
  </si>
  <si>
    <t>[PDA01144] Loorack Lid - Black</t>
  </si>
  <si>
    <t>10353</t>
  </si>
  <si>
    <t>N350</t>
  </si>
  <si>
    <t>10412</t>
  </si>
  <si>
    <t>10442</t>
  </si>
  <si>
    <t>SO/2024/1746</t>
  </si>
  <si>
    <t>10608 + 10609</t>
  </si>
  <si>
    <t>10643</t>
  </si>
  <si>
    <t>SO/2024/1964</t>
  </si>
  <si>
    <t>10677</t>
  </si>
  <si>
    <t>10767</t>
  </si>
  <si>
    <t>10809</t>
  </si>
  <si>
    <t>10897</t>
  </si>
  <si>
    <t>10907 + 10908</t>
  </si>
  <si>
    <t>TTA01079 - DP Box - Snap Latch - Black</t>
  </si>
  <si>
    <t>SO/2024/2395</t>
  </si>
  <si>
    <t>10913</t>
  </si>
  <si>
    <t>10914</t>
  </si>
  <si>
    <t>11166</t>
  </si>
  <si>
    <t>10957</t>
  </si>
  <si>
    <t>11143</t>
  </si>
  <si>
    <t>11016</t>
  </si>
  <si>
    <t>SO/2024/2800</t>
  </si>
  <si>
    <t>11177</t>
  </si>
  <si>
    <t>[TTE01026] BWB Splice Tray White</t>
  </si>
  <si>
    <t xml:space="preserve">11209 + 11210 </t>
  </si>
  <si>
    <t>11329</t>
  </si>
  <si>
    <t xml:space="preserve">Jan Stock </t>
  </si>
  <si>
    <t>11526</t>
  </si>
  <si>
    <t>[PGA01056] Rolo Wheel - Black</t>
  </si>
  <si>
    <t>[PGA03001] Rolo Wheel Overmould - Black</t>
  </si>
  <si>
    <t>11930</t>
  </si>
  <si>
    <t>11952</t>
  </si>
  <si>
    <t>SO/2025/1010</t>
  </si>
  <si>
    <t>12011</t>
  </si>
  <si>
    <t>[PDA05113] Large Vented Slats Die 2.1 Black</t>
  </si>
  <si>
    <t>12073</t>
  </si>
  <si>
    <t>12129</t>
  </si>
  <si>
    <t>SO/2025/1339</t>
  </si>
  <si>
    <t>12198</t>
  </si>
  <si>
    <t>SO/2025/1522</t>
  </si>
  <si>
    <t>12269</t>
  </si>
  <si>
    <t>12283</t>
  </si>
  <si>
    <t>[PDA05149] HSE DRAWING BOARD RULER</t>
  </si>
  <si>
    <t>12352</t>
  </si>
  <si>
    <t>12430 + 12431</t>
  </si>
  <si>
    <t>[TTB01012] MicroLoop Casing Top Black + [TTB01011] MicroLoop Casing Bottom Black</t>
  </si>
  <si>
    <t>12521 + 12522</t>
  </si>
  <si>
    <t>12476 + 12523</t>
  </si>
  <si>
    <t>12567</t>
  </si>
  <si>
    <t>12614</t>
  </si>
  <si>
    <t>12506</t>
  </si>
  <si>
    <t>SO/2025/1981</t>
  </si>
  <si>
    <t>12782</t>
  </si>
  <si>
    <t>SO/2025/2244</t>
  </si>
  <si>
    <t>12836</t>
  </si>
  <si>
    <t>SO/2025/2243</t>
  </si>
  <si>
    <t>12912</t>
  </si>
  <si>
    <t>SO/2025/2956</t>
  </si>
  <si>
    <t>12962</t>
  </si>
  <si>
    <t>13131</t>
  </si>
  <si>
    <t>SO/2025/3357</t>
  </si>
  <si>
    <t>13160</t>
  </si>
  <si>
    <t>13187</t>
  </si>
  <si>
    <t>GLS Swivel Interlink</t>
  </si>
  <si>
    <t>13257</t>
  </si>
  <si>
    <t>13259</t>
  </si>
  <si>
    <t>13258</t>
  </si>
  <si>
    <t>SO/2025/3301</t>
  </si>
  <si>
    <t>00825 + 13253</t>
  </si>
  <si>
    <t>13274</t>
  </si>
  <si>
    <t>13343</t>
  </si>
  <si>
    <t>13414</t>
  </si>
  <si>
    <t>13730</t>
  </si>
  <si>
    <t>BWB Base 6 Port 12/08mm White</t>
  </si>
  <si>
    <t>SO/2022/3079-JAN + 2900</t>
  </si>
  <si>
    <t>SO/2022/3359-JAN</t>
  </si>
  <si>
    <t>7434 + 7435 + 00233</t>
  </si>
  <si>
    <t>REMORA 3 HOUSING TOP AND BOTTOM BLACK</t>
  </si>
  <si>
    <t>SO/2022/2988</t>
  </si>
  <si>
    <t>7427 + 7428 + 7429</t>
  </si>
  <si>
    <t>Loop Joint C-Clamp Arm2 &amp; Latch1 &amp; Lever1</t>
  </si>
  <si>
    <t>SO/2022/3657</t>
  </si>
  <si>
    <t>SO/2022/3638</t>
  </si>
  <si>
    <t>SO/2022/2989+3519+3639+3658+0059</t>
  </si>
  <si>
    <t>000287+07823+07825+07824</t>
  </si>
  <si>
    <t>Mod Box Lid v2</t>
  </si>
  <si>
    <t>SO/2023/0398</t>
  </si>
  <si>
    <t>7942</t>
  </si>
  <si>
    <t>08079</t>
  </si>
  <si>
    <t>Que Lumber Support</t>
  </si>
  <si>
    <t>08108</t>
  </si>
  <si>
    <t>08133</t>
  </si>
  <si>
    <t>7L Tote Bin Lid Steel Grey (159A)</t>
  </si>
  <si>
    <t>08130</t>
  </si>
  <si>
    <t>7L Tote Bin Lid Red (2035C)</t>
  </si>
  <si>
    <t>08150</t>
  </si>
  <si>
    <t>[TTA01093] Loop Joint Naked Base Black PP 30% GF</t>
  </si>
  <si>
    <t>00021</t>
  </si>
  <si>
    <t>VLF Antenna Cover Black</t>
  </si>
  <si>
    <t>7699 + 7700 + 7693</t>
  </si>
  <si>
    <t>08236+08237</t>
  </si>
  <si>
    <t>HFT Flying H(1) &amp; HFX Cap(1)</t>
  </si>
  <si>
    <t>08345+00035+00036</t>
  </si>
  <si>
    <t>[PDA06003] Elbow Cover and Backing</t>
  </si>
  <si>
    <t>8665 &amp; 8666</t>
  </si>
  <si>
    <t>[TTB01011] MicroLoop Casing Bottom Black &amp; [TTB01012] MicroLoop Casing Top Black</t>
  </si>
  <si>
    <t>00047/8466</t>
  </si>
  <si>
    <t>SO2023/2058</t>
  </si>
  <si>
    <t>8762</t>
  </si>
  <si>
    <t>[PKB01001] Bee Frame Small</t>
  </si>
  <si>
    <t>[TTA01064] DP Box - Fibre Adapter Carrier - Cap - Black</t>
  </si>
  <si>
    <t>BRICK MOULD 3</t>
  </si>
  <si>
    <t>8973 &amp; 00135 &amp; 00136</t>
  </si>
  <si>
    <t>[PDA06002] Back Cover and Filler, [PDA01011] Back Cover &amp; [PDA01012] Back Cover Filler</t>
  </si>
  <si>
    <t>9051 &amp; 00147</t>
  </si>
  <si>
    <t>[PDA06015] Pallring PP 50mm - 1m3</t>
  </si>
  <si>
    <t>October - December Orders</t>
  </si>
  <si>
    <t>00164</t>
  </si>
  <si>
    <t>[PRC01002] VLF Antenna Cover Black</t>
  </si>
  <si>
    <t>9281+00173</t>
  </si>
  <si>
    <t>9391</t>
  </si>
  <si>
    <t>9413 + 9480</t>
  </si>
  <si>
    <t>9498</t>
  </si>
  <si>
    <t>9592+ 9593</t>
  </si>
  <si>
    <t>9749</t>
  </si>
  <si>
    <t>[PDA05014] Que Lumber Support</t>
  </si>
  <si>
    <t>SO2023/3752</t>
  </si>
  <si>
    <t>9621+00221</t>
  </si>
  <si>
    <t>SO2024/0168</t>
  </si>
  <si>
    <t>9913+00250</t>
  </si>
  <si>
    <t>9992+ 9993</t>
  </si>
  <si>
    <t>10014 + 10015</t>
  </si>
  <si>
    <t>SO2024/0280</t>
  </si>
  <si>
    <t>10060 + 00263</t>
  </si>
  <si>
    <t>10167, 10168</t>
  </si>
  <si>
    <t>10241 &amp; 00274</t>
  </si>
  <si>
    <t>00299 &amp; 10342</t>
  </si>
  <si>
    <t>[PDA01029] Pallring HDPE 50mm &amp; [PDA06014] Pallring HDPE 50mm - 1m3</t>
  </si>
  <si>
    <t>00330 + 10582</t>
  </si>
  <si>
    <t>10702 + 10703</t>
  </si>
  <si>
    <t>SO/2024/2116</t>
  </si>
  <si>
    <t>10769</t>
  </si>
  <si>
    <t>00375 + 10830</t>
  </si>
  <si>
    <t>10819 + 10820 + 00373</t>
  </si>
  <si>
    <t>10963</t>
  </si>
  <si>
    <t>SO/2024/2632</t>
  </si>
  <si>
    <t>11072</t>
  </si>
  <si>
    <t>11049 + 00425</t>
  </si>
  <si>
    <t>DP-Box-Adapter Carrier 1 inch</t>
  </si>
  <si>
    <t>DP Box - Fibre Adapter Carrier - 2inch - Black</t>
  </si>
  <si>
    <t>11320</t>
  </si>
  <si>
    <t>SO/2024/2983</t>
  </si>
  <si>
    <t>11248</t>
  </si>
  <si>
    <t>11275</t>
  </si>
  <si>
    <t>SO/2024/3099</t>
  </si>
  <si>
    <t>11418</t>
  </si>
  <si>
    <t>11437</t>
  </si>
  <si>
    <t>[PGA01084] Rolo Wheel - Pink</t>
  </si>
  <si>
    <t>11436</t>
  </si>
  <si>
    <t>[PGA01086] Rolo Wheel - Lime Green</t>
  </si>
  <si>
    <t>11434</t>
  </si>
  <si>
    <t>[PGA01085] Rolo Wheel - Navy Blue</t>
  </si>
  <si>
    <t>11433</t>
  </si>
  <si>
    <t>11392</t>
  </si>
  <si>
    <t>[PGA03011] Rolo Wheel Overmould - Lime Green</t>
  </si>
  <si>
    <t>11358</t>
  </si>
  <si>
    <t>[PGA03009] Rolo Wheel Overmould - Pink</t>
  </si>
  <si>
    <t>11375</t>
  </si>
  <si>
    <t>[PGA03010] Rolo Wheel Overmould - Navy Blue</t>
  </si>
  <si>
    <t>11342</t>
  </si>
  <si>
    <t>11435</t>
  </si>
  <si>
    <t>[PGA01087] Rolo Wheel - Orange</t>
  </si>
  <si>
    <t>11408</t>
  </si>
  <si>
    <t>[PGA03012] Rolo Wheel Overmould - Orange</t>
  </si>
  <si>
    <t>11450</t>
  </si>
  <si>
    <t>11453 + 11454 + 00490</t>
  </si>
  <si>
    <t xml:space="preserve"> [PDA01011] Back Cover &amp; [PDA01012] Back Cover Filler &amp; [PDA06002]  &amp; Back Cover and Filler [PDA06002] Back Cover and Filler</t>
  </si>
  <si>
    <t>11620 +  11621 + 00527</t>
  </si>
  <si>
    <t>11744</t>
  </si>
  <si>
    <t>SO/2025/0420</t>
  </si>
  <si>
    <t>11747</t>
  </si>
  <si>
    <t>SO/2025/0460</t>
  </si>
  <si>
    <t>11767</t>
  </si>
  <si>
    <t>11950 + 11951</t>
  </si>
  <si>
    <t>11881+ 11882</t>
  </si>
  <si>
    <t>12047</t>
  </si>
  <si>
    <t>12068 + 12069 + 00604</t>
  </si>
  <si>
    <t xml:space="preserve">
[PDA06002] Back Cover and Filler + [PDA01011] Back Cover + 
[PDA01012] Back Cover Filler</t>
  </si>
  <si>
    <t>12070 + 12071 + 00605</t>
  </si>
  <si>
    <t>12232</t>
  </si>
  <si>
    <t>Root Rocket</t>
  </si>
  <si>
    <t>SO/2025/1493</t>
  </si>
  <si>
    <t>12304</t>
  </si>
  <si>
    <t>12279</t>
  </si>
  <si>
    <t>12421</t>
  </si>
  <si>
    <t>12440</t>
  </si>
  <si>
    <t>12512</t>
  </si>
  <si>
    <t>SO/2025/2118</t>
  </si>
  <si>
    <t>12518</t>
  </si>
  <si>
    <t>[PBE05045] Root Rocket - Black</t>
  </si>
  <si>
    <t>SO/2025/2255</t>
  </si>
  <si>
    <t>12568</t>
  </si>
  <si>
    <t>12545 +  00685</t>
  </si>
  <si>
    <t>[PRC01002] VLF Antenna Cover Black &amp; [PRC05010] VLF Antenna Black Complete</t>
  </si>
  <si>
    <t>SO/2025/2359</t>
  </si>
  <si>
    <t>12653</t>
  </si>
  <si>
    <t>SO/2025/2433</t>
  </si>
  <si>
    <t>12707</t>
  </si>
  <si>
    <t>SO/2025/2446</t>
  </si>
  <si>
    <t>12687</t>
  </si>
  <si>
    <t>12686</t>
  </si>
  <si>
    <t>00717</t>
  </si>
  <si>
    <t>[PBC01138] 7L Tote Bin Lid Grey (L36844A)</t>
  </si>
  <si>
    <t>00731</t>
  </si>
  <si>
    <t>00575</t>
  </si>
  <si>
    <t>12842</t>
  </si>
  <si>
    <t>12873</t>
  </si>
  <si>
    <t>12843</t>
  </si>
  <si>
    <t>12874</t>
  </si>
  <si>
    <t>12834</t>
  </si>
  <si>
    <t>SO/2025/3126</t>
  </si>
  <si>
    <t>13063</t>
  </si>
  <si>
    <t>SO/2025/3988</t>
  </si>
  <si>
    <t>13312</t>
  </si>
  <si>
    <t>SO/2026/0093</t>
  </si>
  <si>
    <t>13477</t>
  </si>
  <si>
    <t>13549</t>
  </si>
  <si>
    <t>13774</t>
  </si>
  <si>
    <t>13773</t>
  </si>
  <si>
    <t>13734 + 13735</t>
  </si>
  <si>
    <t>Order moved down up</t>
  </si>
  <si>
    <t>SO/2026/1401</t>
  </si>
  <si>
    <t>14014</t>
  </si>
  <si>
    <t>SO/2026/1639</t>
  </si>
  <si>
    <t>SO/2022/3118+3579+3580+3591(FEB)</t>
  </si>
  <si>
    <t>BELLOWS</t>
  </si>
  <si>
    <t>7496 + 7497 + 7498 + 7499</t>
  </si>
  <si>
    <t>7914</t>
  </si>
  <si>
    <t>DURA TOUGH BOX 1200 WHEELS</t>
  </si>
  <si>
    <t>SO/2022/3667</t>
  </si>
  <si>
    <t>7760 + 7761</t>
  </si>
  <si>
    <t>SO/2023/0379</t>
  </si>
  <si>
    <t>SO/2023/0431april+0432may</t>
  </si>
  <si>
    <t>7966</t>
  </si>
  <si>
    <t>08031</t>
  </si>
  <si>
    <t>[PDA06036] IWC Splash Tray Connector PPFR</t>
  </si>
  <si>
    <t>SO/2023/0457 - DEL 10 MAY</t>
  </si>
  <si>
    <t>08071</t>
  </si>
  <si>
    <t>[TTA01044] M8 - TOGGLE CLIP - BLACK &amp; [ TTA01045] M8 - TOGGLE HINGE - BLACK</t>
  </si>
  <si>
    <t>8480, 8482, Manufacturing For Assembly/00391</t>
  </si>
  <si>
    <t xml:space="preserve">[TTA01051] M8LITE 2 PORT ENTRY CABLE SEAL 6-9MM &amp; [TTA01052] M8 LITE 2 PORT ENTRY CABLE SEAL 9-12MM  &amp; [TTA01053] M8 LITE 8 PORT DROP CABLE SEAL 3-4.5MM &amp; [TTA01054] M8 LITE 8 PORT DROP CABLE SEAL  4.5-6MM </t>
  </si>
  <si>
    <t>8493 &amp; 8494 &amp; 8495 &amp; 8496</t>
  </si>
  <si>
    <t>July Stock replenishment</t>
  </si>
  <si>
    <t>8829 &amp; 8830</t>
  </si>
  <si>
    <t>[HF.P.HC.HFX.STD.BK] HFT HFX Naked Cap &amp; [HF.P.HC.HFC.STD.BK] HFT Flying H Naked Cap</t>
  </si>
  <si>
    <t>SO2023/1580</t>
  </si>
  <si>
    <t>8521</t>
  </si>
  <si>
    <t>[PGA05023] Omega Insulator with clip Black</t>
  </si>
  <si>
    <t>SO2023/1823</t>
  </si>
  <si>
    <t>8655</t>
  </si>
  <si>
    <t>So2023/2478</t>
  </si>
  <si>
    <t>00129, 00130 &amp; 8955</t>
  </si>
  <si>
    <t>[TAD01000] Connect Terminal Facia (International) &amp; 	[TAD01001] Connect Terminal Frame (International) &amp; [TAD05000] Connect Terminal (International)</t>
  </si>
  <si>
    <t>9041</t>
  </si>
  <si>
    <t>9101, 9102</t>
  </si>
  <si>
    <t>Replacement Stock NCR #245</t>
  </si>
  <si>
    <t>9194</t>
  </si>
  <si>
    <t>[TTA01057] M8 POLE MOUNT BRACKETS</t>
  </si>
  <si>
    <t>9284 + 9285</t>
  </si>
  <si>
    <t>SO2023/3226</t>
  </si>
  <si>
    <t>9299</t>
  </si>
  <si>
    <t>9437 + 9438</t>
  </si>
  <si>
    <t>9425,9426,9427 &amp; 9428</t>
  </si>
  <si>
    <t>SO2023/3534</t>
  </si>
  <si>
    <t>9468</t>
  </si>
  <si>
    <t>[PGA05072] OEM Clips Blank</t>
  </si>
  <si>
    <t>9508 + 9509  9510 + 9511</t>
  </si>
  <si>
    <t>9604 + 9605 + 9606 +9607</t>
  </si>
  <si>
    <t>9946 + 9945</t>
  </si>
  <si>
    <t>9947 + 9948</t>
  </si>
  <si>
    <t>10080</t>
  </si>
  <si>
    <t>SO2024/1028</t>
  </si>
  <si>
    <t>10315</t>
  </si>
  <si>
    <t>[PGB05025] PLRU171 THREE WAY EXTRUSION JOINER</t>
  </si>
  <si>
    <t>10406</t>
  </si>
  <si>
    <t>10453</t>
  </si>
  <si>
    <t>[TTA01050] M8 - Splice Tray - 12 - White</t>
  </si>
  <si>
    <t>10536</t>
  </si>
  <si>
    <t>10622 + 10623 + 10624 + 10671+ 00353</t>
  </si>
  <si>
    <t>[PAA01011] BHU 5 - Sun Visor &amp; [PAA01012] BHU 5 - Reader Bracket &amp; [PAA01013] BHU 5 - Screen Holder - [PAA01023] BHU 5 - Screen holder with Tab + [PAA03001] BHU 5 - Accessory Pack - Sun Visor; Reader Bracket &amp; Screen Holders</t>
  </si>
  <si>
    <t>SO/2024/1877</t>
  </si>
  <si>
    <t>[PBC01126] TrolleyQuip - Handle Ear - 25mm - Green (L&amp;R)</t>
  </si>
  <si>
    <t>[PBC01129] TrolleyQuip - Handle Ear - 25mm - Blue (L&amp;R)</t>
  </si>
  <si>
    <t>[PBC01128] TrolleyQuip - Handle Ear - 25mm - Grey (L&amp;R)</t>
  </si>
  <si>
    <t>[PBC01125] TrolleyQuip - Handle Ear - 25mm - Red (L&amp;R)</t>
  </si>
  <si>
    <t>[PBC01127] TrolleyQuip - Handle Ear - 25mm - Black (L&amp;R)</t>
  </si>
  <si>
    <t>SO/2024/2170</t>
  </si>
  <si>
    <t>10786</t>
  </si>
  <si>
    <t>[PGA05020] Upward Sprayer Frame Blue</t>
  </si>
  <si>
    <t>10874</t>
  </si>
  <si>
    <t>10932</t>
  </si>
  <si>
    <t>11061</t>
  </si>
  <si>
    <t>11131 + 11132</t>
  </si>
  <si>
    <t>[PRC05013] Canary Housing Base + [PRC05014] Canary Housing Cover</t>
  </si>
  <si>
    <t>11145</t>
  </si>
  <si>
    <t>SO/2024/3014</t>
  </si>
  <si>
    <t>11266</t>
  </si>
  <si>
    <t>11341</t>
  </si>
  <si>
    <t>[PGA01054] Rolo Wheel Hub - Pink</t>
  </si>
  <si>
    <t>11374</t>
  </si>
  <si>
    <t>[PGA01081] Rolo Wheel Hub - Navy Blue</t>
  </si>
  <si>
    <t>11357</t>
  </si>
  <si>
    <t>[PGA01080] Rolo Wheel Hub - Purple</t>
  </si>
  <si>
    <t>11407</t>
  </si>
  <si>
    <t>[PGA01083] Rolo Wheel Hub - Grey</t>
  </si>
  <si>
    <t>11391</t>
  </si>
  <si>
    <t>[PGA01082] Rolo Wheel Hub - Black</t>
  </si>
  <si>
    <t>11296 + 11297</t>
  </si>
  <si>
    <t>11572</t>
  </si>
  <si>
    <t>11591 + 11592</t>
  </si>
  <si>
    <t>00012</t>
  </si>
  <si>
    <t>White Stopper Filled</t>
  </si>
  <si>
    <t>so/2022/3420</t>
  </si>
  <si>
    <t>00024</t>
  </si>
  <si>
    <t>Dark Green Stopper Filled</t>
  </si>
  <si>
    <t>SO/2023/0118</t>
  </si>
  <si>
    <t>00029</t>
  </si>
  <si>
    <t>Black Stopper Filled</t>
  </si>
  <si>
    <t>SO/2023/0624</t>
  </si>
  <si>
    <t>SO/2023/0332</t>
  </si>
  <si>
    <t>00034</t>
  </si>
  <si>
    <t>[CF.FG.DGRN.SF.AV] Dark Green Stopper Filled (Aviz)</t>
  </si>
  <si>
    <t>SO/2023/0633</t>
  </si>
  <si>
    <t>00037</t>
  </si>
  <si>
    <t>Light Green Stopper Filled</t>
  </si>
  <si>
    <t>SO/2023/0655</t>
  </si>
  <si>
    <t>00038</t>
  </si>
  <si>
    <t>00041</t>
  </si>
  <si>
    <t xml:space="preserve">[CF.FG.BLK.SF] Black Stopper Filled </t>
  </si>
  <si>
    <t>SO/2023/1386</t>
  </si>
  <si>
    <t>00039</t>
  </si>
  <si>
    <t>SO/2023/1576</t>
  </si>
  <si>
    <t>SO/2023/1623</t>
  </si>
  <si>
    <t>SO/2023/1470</t>
  </si>
  <si>
    <t>SO/2023/1639</t>
  </si>
  <si>
    <t>SO/2023/1472</t>
  </si>
  <si>
    <t>SO/2023/1834</t>
  </si>
  <si>
    <t>SO/2023/1705</t>
  </si>
  <si>
    <t>SO/2023/1909</t>
  </si>
  <si>
    <t>00048</t>
  </si>
  <si>
    <t>SO2023/1947</t>
  </si>
  <si>
    <t>00049</t>
  </si>
  <si>
    <t>[CF.FG.RD.SF] Red Stopper Filled</t>
  </si>
  <si>
    <t>SO2023/1948</t>
  </si>
  <si>
    <t>00050</t>
  </si>
  <si>
    <t>SO2023/2966</t>
  </si>
  <si>
    <t>SO/2023/3778</t>
  </si>
  <si>
    <t>0064</t>
  </si>
  <si>
    <t>0062</t>
  </si>
  <si>
    <t>[CF.FG.DBL.SF] Dark Blue Stopper Filled</t>
  </si>
  <si>
    <t>0063</t>
  </si>
  <si>
    <t>[CF.FG.NP.SF] Neon Pink Stopper Filled</t>
  </si>
  <si>
    <t>Jan Stock</t>
  </si>
  <si>
    <t>[CF.FG.LBL.SF] Light Blue Stopper Filled</t>
  </si>
  <si>
    <t>So2023/3706</t>
  </si>
  <si>
    <t>0066</t>
  </si>
  <si>
    <t>So2023/3544</t>
  </si>
  <si>
    <t>0067</t>
  </si>
  <si>
    <t>So2023/3564</t>
  </si>
  <si>
    <t>0065</t>
  </si>
  <si>
    <t>SO/2024/3636</t>
  </si>
  <si>
    <t>0078</t>
  </si>
  <si>
    <t>0076</t>
  </si>
  <si>
    <t>00080</t>
  </si>
  <si>
    <t>00085</t>
  </si>
  <si>
    <t>SO/2024/2152</t>
  </si>
  <si>
    <t>00089</t>
  </si>
  <si>
    <t>SO/2024/2450</t>
  </si>
  <si>
    <t>00088</t>
  </si>
  <si>
    <t>[CF.FG.RD.MJ.SF] Red Stopper Filled (MJ Labs)</t>
  </si>
  <si>
    <t>SO/2024/2731</t>
  </si>
  <si>
    <t>00093</t>
  </si>
  <si>
    <t>SO/2024/2897</t>
  </si>
  <si>
    <t>00094</t>
  </si>
  <si>
    <t>SO/2024/2836</t>
  </si>
  <si>
    <t>00095</t>
  </si>
  <si>
    <t>[CF.FG.OR.SF] Orange Stopper Filled</t>
  </si>
  <si>
    <t>SO/2025/0202</t>
  </si>
  <si>
    <t>SO/2025/0203</t>
  </si>
  <si>
    <t>SO/2025/0204</t>
  </si>
  <si>
    <t>Recommend Stock</t>
  </si>
  <si>
    <t>SO/2025/0203/4</t>
  </si>
  <si>
    <t>11570</t>
  </si>
  <si>
    <t>11727 + 11728</t>
  </si>
  <si>
    <t>SO/2025/0567</t>
  </si>
  <si>
    <t>11819</t>
  </si>
  <si>
    <t>SO/2025/1294</t>
  </si>
  <si>
    <t>12181</t>
  </si>
  <si>
    <t>SO/2025/1311</t>
  </si>
  <si>
    <t>12191</t>
  </si>
  <si>
    <t>Sideways RC Wheel - Black</t>
  </si>
  <si>
    <t>SO/2025/1533</t>
  </si>
  <si>
    <t>12285</t>
  </si>
  <si>
    <t>12846 + 12847</t>
  </si>
  <si>
    <t>SO/2025/2652</t>
  </si>
  <si>
    <t>12801</t>
  </si>
  <si>
    <t>12785 + 12786 + 12786 + 12788 + 00739</t>
  </si>
  <si>
    <t>12959 + 12960</t>
  </si>
  <si>
    <t>12909 + 12910</t>
  </si>
  <si>
    <t>12954</t>
  </si>
  <si>
    <t>SO/2025/3389</t>
  </si>
  <si>
    <t>13174</t>
  </si>
  <si>
    <t>13133</t>
  </si>
  <si>
    <t>13132</t>
  </si>
  <si>
    <t>SO/2025/3186</t>
  </si>
  <si>
    <t>13093 + 13094 + 00787</t>
  </si>
  <si>
    <t>SO/2025/3293</t>
  </si>
  <si>
    <t>13276 + 13277 + 00835</t>
  </si>
  <si>
    <t>SO/2025/3408</t>
  </si>
  <si>
    <t>13183 + 13184 + 00802</t>
  </si>
  <si>
    <t>Dolly Grip Grommet</t>
  </si>
  <si>
    <t>SO/2025/3528</t>
  </si>
  <si>
    <t>13459</t>
  </si>
  <si>
    <t>13454</t>
  </si>
  <si>
    <t>13615</t>
  </si>
  <si>
    <t>13668</t>
  </si>
  <si>
    <t>[PGA05015] Sprayer Frame - PP - Black</t>
  </si>
  <si>
    <t>[TTB08002]  M4 MicroLoop Fibre Management Tray &amp; Seal Grey</t>
  </si>
  <si>
    <t>Awaiting for Trays</t>
  </si>
  <si>
    <t>13407</t>
  </si>
  <si>
    <t>[TTB08002] M4 MicroLoop Fibre Management Tray &amp; Seal Grey</t>
  </si>
  <si>
    <t>13460</t>
  </si>
  <si>
    <t>14042</t>
  </si>
  <si>
    <t>14024</t>
  </si>
  <si>
    <t>14025</t>
  </si>
  <si>
    <t>Order on hold/Tool was sent for repair</t>
  </si>
  <si>
    <t>SO/2025/3056</t>
  </si>
  <si>
    <t>[PDA05151] HSE 45 SET SQUARE</t>
  </si>
  <si>
    <t>08242</t>
  </si>
  <si>
    <t>DNA SEDU CONNECTOR PLATE COVER BLACK</t>
  </si>
  <si>
    <t>DELIVER - 10 MAY</t>
  </si>
  <si>
    <t>08319+08320+08321+08322</t>
  </si>
  <si>
    <t>Access Box 300 Barrel Lock2 &amp; Latch2 &amp; Cap2 &amp; Key1</t>
  </si>
  <si>
    <t>WAITING FOR MATERIAL</t>
  </si>
  <si>
    <t>08354</t>
  </si>
  <si>
    <t>8377</t>
  </si>
  <si>
    <t>[PGB05020] Bobbin SBA017</t>
  </si>
  <si>
    <t>8378</t>
  </si>
  <si>
    <t>[PGB05021] Bobbin SBA018</t>
  </si>
  <si>
    <t>So/2023/1406</t>
  </si>
  <si>
    <t>8460</t>
  </si>
  <si>
    <t>SO2023/1473</t>
  </si>
  <si>
    <t>8464</t>
  </si>
  <si>
    <t>[PGA06009] WHEEL BARROW BUSH</t>
  </si>
  <si>
    <t>So2023/1687</t>
  </si>
  <si>
    <t>8587 &amp; 8588</t>
  </si>
  <si>
    <t>Dc Stock - June</t>
  </si>
  <si>
    <t>8616</t>
  </si>
  <si>
    <t>HFT Flying-H Insert (H)</t>
  </si>
  <si>
    <t>8656, 8657, 8658, 8659</t>
  </si>
  <si>
    <t>8660, 8661, 8662, 8663</t>
  </si>
  <si>
    <t>[TTA01060] DP Box - Splice Tray Adapter Bay Insert - White</t>
  </si>
  <si>
    <t>SO2023/2005</t>
  </si>
  <si>
    <t>8751</t>
  </si>
  <si>
    <t>8753</t>
  </si>
  <si>
    <t>[PGA05081]Sprayer Green Nozzel</t>
  </si>
  <si>
    <t>8807</t>
  </si>
  <si>
    <t>August DC Stock Replenishment</t>
  </si>
  <si>
    <t>8828</t>
  </si>
  <si>
    <t>00131, 00132, 00133, 8957</t>
  </si>
  <si>
    <t>SO2023/2450</t>
  </si>
  <si>
    <t>8934</t>
  </si>
  <si>
    <t>[TTA01069] DP BOX - OVAL PORT GROMMET - CLEAR</t>
  </si>
  <si>
    <t>9274, 00170, 00171, 00172</t>
  </si>
  <si>
    <t>SO2023/3289</t>
  </si>
  <si>
    <t>9355</t>
  </si>
  <si>
    <t>SO2023/3390</t>
  </si>
  <si>
    <t>9354</t>
  </si>
  <si>
    <t>00197+ 9501+9502+00508</t>
  </si>
  <si>
    <t>[TTB01015] MicroLoop Toggle Hinge+ [TTB01014] MicroLoop Toggle Claw Black +[TTB01016] MicroLoop Toggle Hinge Pin Black+ [TTB03004] MicroLoop Toggle Clamp Black</t>
  </si>
  <si>
    <t>9588+ 9589+  9590 + 00219</t>
  </si>
  <si>
    <t>9674+9675+9676+0233</t>
  </si>
  <si>
    <t>9765</t>
  </si>
  <si>
    <t>9933+9934+9935+00252</t>
  </si>
  <si>
    <t>9987 + 9988 + 00255</t>
  </si>
  <si>
    <t>[TTB01015] MicroLoop Toggle Hinge+ [TTB01014] MicroLoop Toggle Claw Black +[TTB01016] + [TTB03004] MicroLoop Toggle Clamp Black</t>
  </si>
  <si>
    <t>SO2024/0462</t>
  </si>
  <si>
    <t>10053</t>
  </si>
  <si>
    <t>[PGB01010] Roof Rack Extention Middle</t>
  </si>
  <si>
    <t>SO2024/0648</t>
  </si>
  <si>
    <t>10149</t>
  </si>
  <si>
    <t>SO2024/0730</t>
  </si>
  <si>
    <t>10173 + 10172</t>
  </si>
  <si>
    <t>TTA01114 RAPID HOLD-MAIN BODY</t>
  </si>
  <si>
    <t>SO2024/0990</t>
  </si>
  <si>
    <t>10246</t>
  </si>
  <si>
    <t>SO2024/0995</t>
  </si>
  <si>
    <t>10229</t>
  </si>
  <si>
    <t>[PDA05114] Spec Clip Clear</t>
  </si>
  <si>
    <t>10359</t>
  </si>
  <si>
    <t>10356</t>
  </si>
  <si>
    <t>10524</t>
  </si>
  <si>
    <t>10525</t>
  </si>
  <si>
    <t>[PGA01003] Blue Pulley Body</t>
  </si>
  <si>
    <t>10540</t>
  </si>
  <si>
    <t>[TTA01115] RapidHold - Wedge - Black</t>
  </si>
  <si>
    <t>DC Stock replenishment</t>
  </si>
  <si>
    <t>SO/2024/1239</t>
  </si>
  <si>
    <t>10603</t>
  </si>
  <si>
    <t>[PGB05023] Phezulu Canopy Clips</t>
  </si>
  <si>
    <t>10602 + 00333</t>
  </si>
  <si>
    <t>[PGB06002] Phezulu Canopy Clip &amp; Seal Complete + [PGB05024] Phezulz Canopy Seal</t>
  </si>
  <si>
    <t>SO/2024/2030</t>
  </si>
  <si>
    <t>10710</t>
  </si>
  <si>
    <t>10711</t>
  </si>
  <si>
    <t>10919 + 00384</t>
  </si>
  <si>
    <t>10917</t>
  </si>
  <si>
    <r>
      <t xml:space="preserve">[PGA01043] SPRAYER GREEN NOZZEL - 36mm </t>
    </r>
    <r>
      <rPr>
        <b/>
        <i/>
        <sz val="11"/>
        <color rgb="FFFF0000"/>
        <rFont val="Aptos Narrow"/>
        <family val="2"/>
        <scheme val="minor"/>
      </rPr>
      <t>(Nozzle cut to 34.5mm )</t>
    </r>
  </si>
  <si>
    <t>SO/2024/2359</t>
  </si>
  <si>
    <t>10895</t>
  </si>
  <si>
    <t>SO/2024/2409</t>
  </si>
  <si>
    <t>10935</t>
  </si>
  <si>
    <t>[PGB01006] Handle End Extentions</t>
  </si>
  <si>
    <t>10946</t>
  </si>
  <si>
    <t>[TTA01114] RapidHold - Main Body - Black</t>
  </si>
  <si>
    <t>11179</t>
  </si>
  <si>
    <t>11254</t>
  </si>
  <si>
    <t>SO/2024/2990</t>
  </si>
  <si>
    <t>11255 + 00474</t>
  </si>
  <si>
    <t>11211 + 11212</t>
  </si>
  <si>
    <t>SO/2024/3247</t>
  </si>
  <si>
    <t>11507</t>
  </si>
  <si>
    <t>11566</t>
  </si>
  <si>
    <t>11568</t>
  </si>
  <si>
    <t>SO/2025/0364</t>
  </si>
  <si>
    <t>11702</t>
  </si>
  <si>
    <t>11703 + 00546</t>
  </si>
  <si>
    <t>11565</t>
  </si>
  <si>
    <t>[PGA05015] Sprayer Frame Black</t>
  </si>
  <si>
    <t>11911</t>
  </si>
  <si>
    <t xml:space="preserve">[HF.FG.WNI.32] Wheel Nut Indicators 32mm HFT </t>
  </si>
  <si>
    <t>11966 + 11967 + 00590</t>
  </si>
  <si>
    <t>11983 + 11984 + 11985 + 00597</t>
  </si>
  <si>
    <t>12000 + 12001 + 12002 + 12003</t>
  </si>
  <si>
    <t>11865</t>
  </si>
  <si>
    <t>11866</t>
  </si>
  <si>
    <t>12108 + 12109</t>
  </si>
  <si>
    <t>12186 + 12187</t>
  </si>
  <si>
    <t>12200</t>
  </si>
  <si>
    <t>NUSAF Conveyor  Link 2135 - PP White</t>
  </si>
  <si>
    <t>12303</t>
  </si>
  <si>
    <t>12033 + 12034</t>
  </si>
  <si>
    <t>12350 + 12351</t>
  </si>
  <si>
    <t>12619</t>
  </si>
  <si>
    <t>[PGA05036] Solar Blanket Bush</t>
  </si>
  <si>
    <t>12819 + 12820</t>
  </si>
  <si>
    <t>[TTA01163] M8 Microloop Fibre Management Tray Rear Cover - Black + 
[TTA01160] M4 Microloop Fibre Management Tray Rear Cover - Black</t>
  </si>
  <si>
    <t>SO/2025/2757</t>
  </si>
  <si>
    <t>12818</t>
  </si>
  <si>
    <t>12509</t>
  </si>
  <si>
    <t>SO/2025/2988</t>
  </si>
  <si>
    <t>13013</t>
  </si>
  <si>
    <t>12892</t>
  </si>
  <si>
    <t xml:space="preserve">12893 + 00770 + 01179 </t>
  </si>
  <si>
    <t>[PDA01082] Sedu Connector Plate Cover - Black + 
[PDA05137] Sedu Connector Plate &amp; Cover - Black +  [PDA05142] Sedu Connector Plate &amp; Cover - Boxed (84 Units) - Black</t>
  </si>
  <si>
    <t>SO/2025/3157</t>
  </si>
  <si>
    <t>13118</t>
  </si>
  <si>
    <t>13129</t>
  </si>
  <si>
    <t>SO/2025/3365</t>
  </si>
  <si>
    <t>13166</t>
  </si>
  <si>
    <t>SO/2025/3228</t>
  </si>
  <si>
    <t>13109</t>
  </si>
  <si>
    <t>SO/2025/3310</t>
  </si>
  <si>
    <t>13142 + 13143</t>
  </si>
  <si>
    <t>SO/2023/3284</t>
  </si>
  <si>
    <t>13152</t>
  </si>
  <si>
    <t>EZ1201/2</t>
  </si>
  <si>
    <t>SO/2025/3284</t>
  </si>
  <si>
    <t>13153</t>
  </si>
  <si>
    <t>13359</t>
  </si>
  <si>
    <t>SO/2025/3318</t>
  </si>
  <si>
    <t>13243</t>
  </si>
  <si>
    <t>SO/2025/4460</t>
  </si>
  <si>
    <t>13450</t>
  </si>
  <si>
    <t>13451</t>
  </si>
  <si>
    <t>13445</t>
  </si>
  <si>
    <t>H120/2</t>
  </si>
  <si>
    <t>13446 + 13447</t>
  </si>
  <si>
    <t>13405 + 13406</t>
  </si>
  <si>
    <t>SO/2026/0863</t>
  </si>
  <si>
    <t>13742</t>
  </si>
  <si>
    <t>13812</t>
  </si>
  <si>
    <t>[PBC01155] Basket Clips - Grey</t>
  </si>
  <si>
    <t>13813</t>
  </si>
  <si>
    <t>SO/2026/1076</t>
  </si>
  <si>
    <t>13834</t>
  </si>
  <si>
    <t>[PBC01164] Basket Clips - Black</t>
  </si>
  <si>
    <t>SO/2026/0785</t>
  </si>
  <si>
    <t>13754</t>
  </si>
  <si>
    <t>13658 + 13659</t>
  </si>
  <si>
    <t>Power Outage + Brokens Pins</t>
  </si>
  <si>
    <t>13732 + 13733</t>
  </si>
  <si>
    <t>13905 + 13906</t>
  </si>
  <si>
    <t>14109 + 14110</t>
  </si>
  <si>
    <r>
      <t xml:space="preserve">B801 - </t>
    </r>
    <r>
      <rPr>
        <b/>
        <sz val="20"/>
        <color rgb="FFFF0000"/>
        <rFont val="Aptos Narrow"/>
        <family val="2"/>
        <scheme val="minor"/>
      </rPr>
      <t>NO POLYCARB MATERIAL</t>
    </r>
    <r>
      <rPr>
        <b/>
        <sz val="26"/>
        <rFont val="Aptos Narrow"/>
        <family val="2"/>
        <scheme val="minor"/>
      </rPr>
      <t xml:space="preserve"> -Under Maintenance</t>
    </r>
  </si>
  <si>
    <t>7520 + 7519 + 7521</t>
  </si>
  <si>
    <t>BWB Barrel Lock2 &amp; Latch2 &amp; Key1 (Black)</t>
  </si>
  <si>
    <t>BWB Barrel Lock2 &amp; Latch2 &amp; Key1 (White)</t>
  </si>
  <si>
    <t>7532 + 7580</t>
  </si>
  <si>
    <t>HFT Flying-H Insert (H)(2) &amp; Locking Pin (2)</t>
  </si>
  <si>
    <t>7677 + 7678 + 7679</t>
  </si>
  <si>
    <t>MicroLoop Hinge Pins16&amp;Cap2&amp;Cable Port Plug Kit2</t>
  </si>
  <si>
    <t>MicroLoop Hinge Pins16&amp;Cap2&amp;Cable Port Plug Kit3</t>
  </si>
  <si>
    <t>7675 + 7676</t>
  </si>
  <si>
    <t>MicroLoop Splice Tray1 &amp; Splice Bay1 (White)</t>
  </si>
  <si>
    <t>SO/2023/0025</t>
  </si>
  <si>
    <t>SO/2023/0154</t>
  </si>
  <si>
    <t>SO/2023/0305 - ZISSLOY BF140</t>
  </si>
  <si>
    <t>7830+7829</t>
  </si>
  <si>
    <t>Bobbin SBA017 &amp; Bobbin SBA018</t>
  </si>
  <si>
    <t>SO/2023/0205</t>
  </si>
  <si>
    <t>[PDA01077] BRERART Small Spool - Black</t>
  </si>
  <si>
    <t>SO/2023/0435</t>
  </si>
  <si>
    <t>7953</t>
  </si>
  <si>
    <t>08110</t>
  </si>
  <si>
    <t>ABS PA 757 H Polylac</t>
  </si>
  <si>
    <t xml:space="preserve">MICROLOOP TETHERING CONE </t>
  </si>
  <si>
    <t>THINKST STACKER</t>
  </si>
  <si>
    <t>08228+08229</t>
  </si>
  <si>
    <t>08244+08245</t>
  </si>
  <si>
    <t>BWB Base Flange Insert 14mm1 &amp; Insert 20mm1</t>
  </si>
  <si>
    <t>ARRIL</t>
  </si>
  <si>
    <t>08230</t>
  </si>
  <si>
    <t>[PGA05021] Upward Sprayer Frame Nozzel Green</t>
  </si>
  <si>
    <t>08288</t>
  </si>
  <si>
    <t>8361</t>
  </si>
  <si>
    <t>[TTB08001] MicroLoop Casing Top &amp; Grommet Black</t>
  </si>
  <si>
    <t>8448</t>
  </si>
  <si>
    <t>8447</t>
  </si>
  <si>
    <t>HFT HFX Insert (H)</t>
  </si>
  <si>
    <t>8519</t>
  </si>
  <si>
    <t>SO2023/1640</t>
  </si>
  <si>
    <t>8569</t>
  </si>
  <si>
    <t>H801</t>
  </si>
  <si>
    <t>8570 &amp; 8571</t>
  </si>
  <si>
    <t>8667 &amp; 8669</t>
  </si>
  <si>
    <t>SO/2023/2057</t>
  </si>
  <si>
    <t>8738</t>
  </si>
  <si>
    <t>8739</t>
  </si>
  <si>
    <t>8894 &amp; 8895</t>
  </si>
  <si>
    <t>8935</t>
  </si>
  <si>
    <t>Dc stock replenishment</t>
  </si>
  <si>
    <t>9045</t>
  </si>
  <si>
    <t>9013</t>
  </si>
  <si>
    <t>9105, 9106</t>
  </si>
  <si>
    <t>9139 &amp; 9140 &amp; 9141</t>
  </si>
  <si>
    <t>[PDA01128] NoKey Enclosure - Housing Button - Black &amp; [PDA01129] NoKey Enclosure - Retaining Cord - Black &amp; PDA01130] NoKey Enclosure - Security Screw Cover - Black</t>
  </si>
  <si>
    <t>9169</t>
  </si>
  <si>
    <t>9242 &amp; 9243 &amp; 9244</t>
  </si>
  <si>
    <t>[PDA01007] Handset Plastic Washer Gendac Sefeko &amp; [PDA01008] Handset RFID Coil Gendac Sefeko &amp; [PDA01010] Handset Speaker Seal Gendac Sefeko</t>
  </si>
  <si>
    <t>9365</t>
  </si>
  <si>
    <t>SO2023/2835</t>
  </si>
  <si>
    <t>9298</t>
  </si>
  <si>
    <t>Order TBC</t>
  </si>
  <si>
    <t>9238</t>
  </si>
  <si>
    <t>9410</t>
  </si>
  <si>
    <t>SO/2023/3438</t>
  </si>
  <si>
    <t>9416</t>
  </si>
  <si>
    <t>SO2023/3510</t>
  </si>
  <si>
    <t>9446</t>
  </si>
  <si>
    <t xml:space="preserve">NPD-ST-22-0012 (RAPIDHOLD 3) - Wedge </t>
  </si>
  <si>
    <t>9584</t>
  </si>
  <si>
    <t>9983</t>
  </si>
  <si>
    <t>10018</t>
  </si>
  <si>
    <t>9989</t>
  </si>
  <si>
    <t>SO2024/0448</t>
  </si>
  <si>
    <t>10230</t>
  </si>
  <si>
    <t>10219</t>
  </si>
  <si>
    <t>[HF.FG.WNI.30] Wheel Nut Indicators 30mm HFT</t>
  </si>
  <si>
    <t>April Stock replenishment</t>
  </si>
  <si>
    <t>10228</t>
  </si>
  <si>
    <t>SO2024/1212</t>
  </si>
  <si>
    <t>10362 &amp; 10363</t>
  </si>
  <si>
    <t>SO2023/1247</t>
  </si>
  <si>
    <t>10310</t>
  </si>
  <si>
    <t>10413</t>
  </si>
  <si>
    <t>DC stock Replenishment</t>
  </si>
  <si>
    <t>10414</t>
  </si>
  <si>
    <t>NCR#377</t>
  </si>
  <si>
    <t>10494</t>
  </si>
  <si>
    <t>SO/2024/1639</t>
  </si>
  <si>
    <t>10547</t>
  </si>
  <si>
    <t>10647</t>
  </si>
  <si>
    <t>SO/2024/1830</t>
  </si>
  <si>
    <t>10648</t>
  </si>
  <si>
    <t>SO2024/1788</t>
  </si>
  <si>
    <t>10597</t>
  </si>
  <si>
    <t>10781</t>
  </si>
  <si>
    <t>10776</t>
  </si>
  <si>
    <t>10939</t>
  </si>
  <si>
    <t>SO/2024/2103</t>
  </si>
  <si>
    <t>10784</t>
  </si>
  <si>
    <t>SO/2024/2214</t>
  </si>
  <si>
    <t>10880</t>
  </si>
  <si>
    <t>SO/2024/2263</t>
  </si>
  <si>
    <t>10952</t>
  </si>
  <si>
    <t>10953</t>
  </si>
  <si>
    <t>SO2024/2160</t>
  </si>
  <si>
    <t>10785</t>
  </si>
  <si>
    <t>SO/2024/2685</t>
  </si>
  <si>
    <t>11091 + 11092 + 11093 + 00433</t>
  </si>
  <si>
    <t>11108</t>
  </si>
  <si>
    <t>11136</t>
  </si>
  <si>
    <t>SO/2024/2818</t>
  </si>
  <si>
    <t>11178</t>
  </si>
  <si>
    <t>11306</t>
  </si>
  <si>
    <t>SO/2024/3015</t>
  </si>
  <si>
    <t>11265</t>
  </si>
  <si>
    <t>11173</t>
  </si>
  <si>
    <t>SO/2024/3054</t>
  </si>
  <si>
    <t>11288</t>
  </si>
  <si>
    <t>11327</t>
  </si>
  <si>
    <t>[PBE06001] PRP Small Parts (Battery Cover, Bracket, Reader and Blocker)</t>
  </si>
  <si>
    <t>11527 + 11528</t>
  </si>
  <si>
    <t>11638+ 11756</t>
  </si>
  <si>
    <t xml:space="preserve">Stock replenishment </t>
  </si>
  <si>
    <t>11905</t>
  </si>
  <si>
    <t>SO/2025/0747</t>
  </si>
  <si>
    <t>11944</t>
  </si>
  <si>
    <t xml:space="preserve">	[PGA05077] Sentri Card Holder Green</t>
  </si>
  <si>
    <t>11945</t>
  </si>
  <si>
    <t>[PGA05075] Sentri Card Holder Black</t>
  </si>
  <si>
    <t>11943</t>
  </si>
  <si>
    <t>11925</t>
  </si>
  <si>
    <t>SO/2025/0556</t>
  </si>
  <si>
    <t>11926</t>
  </si>
  <si>
    <t>11981</t>
  </si>
  <si>
    <t>[PGA05034] Grey Plates</t>
  </si>
  <si>
    <t>11982</t>
  </si>
  <si>
    <t>11980</t>
  </si>
  <si>
    <t>[PGA05024] Beige Plates</t>
  </si>
  <si>
    <t>12059</t>
  </si>
  <si>
    <t>SO/2025/1089</t>
  </si>
  <si>
    <t>12062</t>
  </si>
  <si>
    <t>12150</t>
  </si>
  <si>
    <t>12171</t>
  </si>
  <si>
    <t>12245</t>
  </si>
  <si>
    <t>June/July Stock Replenishment</t>
  </si>
  <si>
    <t>12305</t>
  </si>
  <si>
    <t>12459</t>
  </si>
  <si>
    <t>12424</t>
  </si>
  <si>
    <t>12491</t>
  </si>
  <si>
    <t>12492</t>
  </si>
  <si>
    <t>12526</t>
  </si>
  <si>
    <t>12625 + 12626 +12627 + 12628</t>
  </si>
  <si>
    <t>12635</t>
  </si>
  <si>
    <t>12823</t>
  </si>
  <si>
    <t>12941</t>
  </si>
  <si>
    <t>13671</t>
  </si>
  <si>
    <t>Tool broken</t>
  </si>
  <si>
    <t>13720 + 13721</t>
  </si>
  <si>
    <t>NEW FACTORY C 
Row 3 Toolroom</t>
  </si>
  <si>
    <t>ORGANISER 500 INTERNAL L-DIVIDER (BLUE)</t>
  </si>
  <si>
    <t>ORGANISER 500 INTERNAL L-DIVIDER (YELLOW)</t>
  </si>
  <si>
    <t>7652 + 7330 + 7331</t>
  </si>
  <si>
    <t>Loop Joint Oval SP 08mm1&amp;Round SP 9.0mm2&amp;O-Ring1</t>
  </si>
  <si>
    <t>SO/2022/2988+3638+3657</t>
  </si>
  <si>
    <t>SO/2022/2989+3639+3658+3660-FEB</t>
  </si>
  <si>
    <t>SO/2023/0135-FEB</t>
  </si>
  <si>
    <t>7329 + 6840 + 6841</t>
  </si>
  <si>
    <t>Loop Joint Oval SP 10mm1&amp;Round SP 9.0mm2&amp;O-Ring1</t>
  </si>
  <si>
    <t>SO/2023/0448 - must start on Monday</t>
  </si>
  <si>
    <t>6994 + 6993</t>
  </si>
  <si>
    <t>SO/2023/0714</t>
  </si>
  <si>
    <t>08081+08082</t>
  </si>
  <si>
    <t>Bobbin SBA017 &amp; Bobbin SBA018 (zissloy bf140 unfilled nylon)</t>
  </si>
  <si>
    <t>08106</t>
  </si>
  <si>
    <t>Maxi 700 lid Robust Clip (Black)</t>
  </si>
  <si>
    <t>08234</t>
  </si>
  <si>
    <t>08295</t>
  </si>
  <si>
    <t>Basket Clips</t>
  </si>
  <si>
    <t>MAY - NO MATERIAL</t>
  </si>
  <si>
    <t>08346</t>
  </si>
  <si>
    <t>So1534</t>
  </si>
  <si>
    <t>8509</t>
  </si>
  <si>
    <t>[PGA05069] HANDY WIPER GREEN</t>
  </si>
  <si>
    <t>[TTA01071] DP Box - Oval Port - Seal Retension Anchor - Right - Black &amp; [TTA01072] DP Box - Oval Port - Seal Retension Anchor - Left - Black &amp; [TTA01073] DP Box - Oval Port - Seal Retension Turret - Right - Black &amp; [TTA01074] DP Box - Oval Port - Seal Retension Turret - Left - Black</t>
  </si>
  <si>
    <t>SO2023/2349</t>
  </si>
  <si>
    <t>8887</t>
  </si>
  <si>
    <t>9115</t>
  </si>
  <si>
    <t>SO2023/2531</t>
  </si>
  <si>
    <t>9110</t>
  </si>
  <si>
    <t>ORGANISER 500 INTERNAL S-DIVIDER (PINK)</t>
  </si>
  <si>
    <t>ORGANISER 500 INTERNAL S-DIVIDER (ORANGE)</t>
  </si>
  <si>
    <t>ORGANISER 500 INTERNAL S-DIVIDER (Green)</t>
  </si>
  <si>
    <t>ORGANISER 500 INTERNAL S-DIVIDER (BLack)</t>
  </si>
  <si>
    <t>ORGANISER 500 INTERNAL L-DIVIDER (PINK)</t>
  </si>
  <si>
    <t>ORGANISER 500 INTERNAL L-DIVIDER (ORANGE)</t>
  </si>
  <si>
    <t>ORGANISER 500 INTERNAL L-DIVIDER (Green)</t>
  </si>
  <si>
    <t>ORGANISER 500 INTERNAL L-DIVIDER (BLack)</t>
  </si>
  <si>
    <t>ORGANISER 500 BASE SIDE CLIP (PINK)</t>
  </si>
  <si>
    <t>ORGANISER 500 BASE SIDE CLIP (ORANGE)</t>
  </si>
  <si>
    <t>ORGANISER 500 BASE SIDE CLIP (Green)</t>
  </si>
  <si>
    <t>ORGANISER 500 BASE SIDE CLIP (BLack)</t>
  </si>
  <si>
    <t>ORGANISER 500 WHITEBOARD AND BASE CLIP SET (PINK)</t>
  </si>
  <si>
    <t>ORGANISER 500 WHITEBOARD AND BASE CLIP SET (ORANGE)</t>
  </si>
  <si>
    <t>ORGANISER 500 WHITEBOARD AND BASE CLIP SET (Green)</t>
  </si>
  <si>
    <t>ORGANISER 500 WHITEBOARD AND BASE CLIP SET (BLack)</t>
  </si>
  <si>
    <t>'MAXI 700 LID CARRY HANDLE (BLUE)</t>
  </si>
  <si>
    <t>9419+9420+9421+9422</t>
  </si>
  <si>
    <t>9496</t>
  </si>
  <si>
    <t>SO/2023/3753</t>
  </si>
  <si>
    <t>9598+9599</t>
  </si>
  <si>
    <t>[PGB05021] Bobbin SBA018 + [PGB05020] Bobbin SBA017</t>
  </si>
  <si>
    <t>9763+9764</t>
  </si>
  <si>
    <t>SO/2024/0415</t>
  </si>
  <si>
    <t>10029</t>
  </si>
  <si>
    <t>[TTA01120] M8 - Splice Tray - 24 - White</t>
  </si>
  <si>
    <t>SO/2024/0638</t>
  </si>
  <si>
    <t>00270* 10193 + 10194</t>
  </si>
  <si>
    <t>[TTA05031] Connect Terminal (Local)</t>
  </si>
  <si>
    <t xml:space="preserve"> [TTA01048] M8 CENTRAL STRENGTH MEMBER FIXATION NODE</t>
  </si>
  <si>
    <t>SO2024/1441</t>
  </si>
  <si>
    <t>10499</t>
  </si>
  <si>
    <t>10556 + 10557</t>
  </si>
  <si>
    <t>SO/2024/1672</t>
  </si>
  <si>
    <t>10560</t>
  </si>
  <si>
    <t>[PGA05069] Handy Winder Green</t>
  </si>
  <si>
    <t>10564</t>
  </si>
  <si>
    <t>SO/2024/0749</t>
  </si>
  <si>
    <t>10538 &amp; 10539</t>
  </si>
  <si>
    <t>[SL.P.HC.B.NK] SafeLoad Mighty Hub Cap (Naked) &amp; [SL.FG.HC.TSE] SafeLoad Mighty Hub Cap (TSE)</t>
  </si>
  <si>
    <t>[PAA01006] BHU 5 - Base - Single Gland Connector - Local</t>
  </si>
  <si>
    <t>10740 + 10741 + 10742 + 10744</t>
  </si>
  <si>
    <t>SO/2024/1877 #388</t>
  </si>
  <si>
    <t>SO/2024/2634</t>
  </si>
  <si>
    <t>11066, 11065, 11064, 11063</t>
  </si>
  <si>
    <t>11011+ 11012+ 11013 + 11014 + 00411</t>
  </si>
  <si>
    <t>SO/2024/2887</t>
  </si>
  <si>
    <t>SO2024/3051</t>
  </si>
  <si>
    <t>11287</t>
  </si>
  <si>
    <t>11281</t>
  </si>
  <si>
    <t>12681</t>
  </si>
  <si>
    <t>12664</t>
  </si>
  <si>
    <t>12844</t>
  </si>
  <si>
    <t>12698 + 12699</t>
  </si>
  <si>
    <t xml:space="preserve">12593 + 12595 + 12596 </t>
  </si>
  <si>
    <t>12924</t>
  </si>
  <si>
    <t>12215</t>
  </si>
  <si>
    <t>13058</t>
  </si>
  <si>
    <t>[PDA05150] HSE 30CM RULER</t>
  </si>
  <si>
    <t>[PDA05154] HSE 30/60 SET SQUARE</t>
  </si>
  <si>
    <t>12925</t>
  </si>
  <si>
    <t>13339</t>
  </si>
  <si>
    <t>12931</t>
  </si>
  <si>
    <t>12969</t>
  </si>
  <si>
    <t>13443 + 13444</t>
  </si>
  <si>
    <t>13433</t>
  </si>
  <si>
    <t xml:space="preserve">Stock Replenishmet </t>
  </si>
  <si>
    <t>12817</t>
  </si>
  <si>
    <t>13485 + 13486</t>
  </si>
  <si>
    <t>order cutted due no mould heater</t>
  </si>
  <si>
    <t>Feb/March</t>
  </si>
  <si>
    <t>13664</t>
  </si>
  <si>
    <t>SO/2026/1086</t>
  </si>
  <si>
    <t>13831</t>
  </si>
  <si>
    <t>[PGA05054] Gatesho-X Polymer Spring Dampers</t>
  </si>
  <si>
    <t>SO/2026/0403</t>
  </si>
  <si>
    <t>13816</t>
  </si>
  <si>
    <t>13821 + 13822</t>
  </si>
  <si>
    <t>[PGB01009] Roof Rack Extention Left + [PGB01011] Roof Rack Extention Right</t>
  </si>
  <si>
    <t>13881</t>
  </si>
  <si>
    <t>13951</t>
  </si>
  <si>
    <t>13944 + 13945</t>
  </si>
  <si>
    <t>[HF.P.HC.HB.BK] HFT Hubometer Cap + [HF.C.HC.HB.BK+S] HFT Hubometer Cap + Screws [AI803104] (V2)</t>
  </si>
  <si>
    <t>13923 + 13924</t>
  </si>
  <si>
    <t>SO/2026/0634</t>
  </si>
  <si>
    <t>13983+ 13984</t>
  </si>
  <si>
    <t>April/May/June</t>
  </si>
  <si>
    <t>13953</t>
  </si>
  <si>
    <t>SO/2026/1518</t>
  </si>
  <si>
    <t>14085</t>
  </si>
  <si>
    <t>13465</t>
  </si>
  <si>
    <t>9108</t>
  </si>
  <si>
    <t>9109</t>
  </si>
  <si>
    <t>mould 3</t>
  </si>
  <si>
    <t>9212</t>
  </si>
  <si>
    <t>ECO-SL-2023-INT-005</t>
  </si>
  <si>
    <t>MAXI 700 CLEAR FLAPS</t>
  </si>
  <si>
    <t>9316+0076</t>
  </si>
  <si>
    <t>9401 &amp; 9402</t>
  </si>
  <si>
    <t>BHU Top Cover with finger print</t>
  </si>
  <si>
    <t>H201</t>
  </si>
  <si>
    <r>
      <t>M8 Lite Large Splice Tray V</t>
    </r>
    <r>
      <rPr>
        <sz val="10"/>
        <color theme="1"/>
        <rFont val="SimSun"/>
      </rPr>
      <t>3</t>
    </r>
    <r>
      <rPr>
        <sz val="10"/>
        <color rgb="FF000000"/>
        <rFont val="Calibri"/>
        <family val="2"/>
      </rPr>
      <t>.0</t>
    </r>
  </si>
  <si>
    <t>[PAA01010] BHU 5 - Top Cover - With Fingerprint Reader Slot</t>
  </si>
  <si>
    <t>[TTA01044] M8 - Toggle Clip - Black &amp; [TTA01045] M8 - Toggle Hinge - Black</t>
  </si>
  <si>
    <t>DP Box Adaptor Carrier "2"</t>
  </si>
  <si>
    <t>10495</t>
  </si>
  <si>
    <t>10496</t>
  </si>
  <si>
    <t>10621</t>
  </si>
  <si>
    <t>10681</t>
  </si>
  <si>
    <t>[PAA01009] BHU 5 - Top Cover - No Fingerprint Reader Slot</t>
  </si>
  <si>
    <t>10893</t>
  </si>
  <si>
    <t>[PDA01138] Loorack Lid - White</t>
  </si>
  <si>
    <t>11007</t>
  </si>
  <si>
    <t>SO/2024/2707</t>
  </si>
  <si>
    <t>11104</t>
  </si>
  <si>
    <t>SO/2024/2708</t>
  </si>
  <si>
    <t>11105</t>
  </si>
  <si>
    <t>SO/2024/2710</t>
  </si>
  <si>
    <t>11106</t>
  </si>
  <si>
    <t>11301</t>
  </si>
  <si>
    <t>11360</t>
  </si>
  <si>
    <t>[PGA01100] Rolo Top Channel - Pink</t>
  </si>
  <si>
    <t>11394</t>
  </si>
  <si>
    <t>[PGA01102] Rolo Top Channel - Lime Green</t>
  </si>
  <si>
    <t>11411</t>
  </si>
  <si>
    <t>[PGA01103] Rolo Top Channel - Orange</t>
  </si>
  <si>
    <t>11378</t>
  </si>
  <si>
    <t>[PGA01101] Rolo Top Channel - Grey</t>
  </si>
  <si>
    <t>11344</t>
  </si>
  <si>
    <t>[PGA01048] Rolo Top Channel - Black</t>
  </si>
  <si>
    <t>11345</t>
  </si>
  <si>
    <t>[PGA01050] Rolo Carry Handle - Black</t>
  </si>
  <si>
    <t>11401</t>
  </si>
  <si>
    <t>[PGA01047] Rolo Skid Set (L+R) - Black</t>
  </si>
  <si>
    <t>11336</t>
  </si>
  <si>
    <t>[PGA01049] Rolo Bottom Channel - Black</t>
  </si>
  <si>
    <t>12590</t>
  </si>
  <si>
    <t>12734</t>
  </si>
  <si>
    <t>12751 + 01127</t>
  </si>
  <si>
    <t>12789</t>
  </si>
  <si>
    <t>12790</t>
  </si>
  <si>
    <t xml:space="preserve">	[PAA01006] BHU 5 - Base - Single Gland Connector - Local</t>
  </si>
  <si>
    <t xml:space="preserve">Tool trial </t>
  </si>
  <si>
    <t>12940</t>
  </si>
  <si>
    <t>13150 + 00794</t>
  </si>
  <si>
    <t>13130</t>
  </si>
  <si>
    <t>SO/2024/2762</t>
  </si>
  <si>
    <t>13011</t>
  </si>
  <si>
    <t>13173</t>
  </si>
  <si>
    <t xml:space="preserve">[PRC01002] VLF Antenna Cover Black </t>
  </si>
  <si>
    <t>12921</t>
  </si>
  <si>
    <t>13041</t>
  </si>
  <si>
    <t>12932</t>
  </si>
  <si>
    <t>13309</t>
  </si>
  <si>
    <t>13574</t>
  </si>
  <si>
    <t>[TTE01012] BWB Lid [Octotel] Grey</t>
  </si>
  <si>
    <t>13573</t>
  </si>
  <si>
    <t>[TTE03002] BWB Base 2 Port 14/20mm Grey</t>
  </si>
  <si>
    <t>SO/2026/0049</t>
  </si>
  <si>
    <t>13441</t>
  </si>
  <si>
    <t>13636</t>
  </si>
  <si>
    <t>Scrap problem</t>
  </si>
  <si>
    <t>13062</t>
  </si>
  <si>
    <t>Trial + Power Outage</t>
  </si>
  <si>
    <t>13907</t>
  </si>
  <si>
    <t>SO/2022/2149+2516+2517+2518+2916+3176</t>
  </si>
  <si>
    <t>07586</t>
  </si>
  <si>
    <t>7666 + 7667 + 7668</t>
  </si>
  <si>
    <t>MicroLoop Casing Top &amp; Bottom Black</t>
  </si>
  <si>
    <t>Modbox Tub V2</t>
  </si>
  <si>
    <t>SO/2022/3653</t>
  </si>
  <si>
    <t>7649 + 7650</t>
  </si>
  <si>
    <t>Adjustable Arm Rest Pad Left(1) and Right(1)</t>
  </si>
  <si>
    <t>E260</t>
  </si>
  <si>
    <t>SO/2022/3405-feb</t>
  </si>
  <si>
    <t>Mod Box Tub V2</t>
  </si>
  <si>
    <t>SO/2022/2519+2916+3180</t>
  </si>
  <si>
    <t>00237+7465 - MATERIAL 3feb</t>
  </si>
  <si>
    <t>SO/2022/3386+3657 JAN</t>
  </si>
  <si>
    <t>7943</t>
  </si>
  <si>
    <t>MAXI 700 LID CARRY HANDLE LOCKING PIN</t>
  </si>
  <si>
    <t>08151+08152</t>
  </si>
  <si>
    <t>Loop Joint Splice Tray1 &amp; Fibre Adapter Tray1</t>
  </si>
  <si>
    <t>00016+00017+08180ass</t>
  </si>
  <si>
    <t>LOORACK LID</t>
  </si>
  <si>
    <t>7.5mm OD DRILL - STEPHEN</t>
  </si>
  <si>
    <t>08190</t>
  </si>
  <si>
    <t>MicroLoop Fibre Management Tray Grey</t>
  </si>
  <si>
    <t>08300</t>
  </si>
  <si>
    <t>08324+08325</t>
  </si>
  <si>
    <t>8402</t>
  </si>
  <si>
    <t>so2023/0761</t>
  </si>
  <si>
    <t>8640</t>
  </si>
  <si>
    <t>8676</t>
  </si>
  <si>
    <t>8677</t>
  </si>
  <si>
    <t>8688</t>
  </si>
  <si>
    <t>h2801</t>
  </si>
  <si>
    <t>SO2023/1542 &amp;1905</t>
  </si>
  <si>
    <t>00099 &amp; 00100 &amp; 8699</t>
  </si>
  <si>
    <t>000112, 000113, 8783</t>
  </si>
  <si>
    <t>8834</t>
  </si>
  <si>
    <t>SO2023/2386</t>
  </si>
  <si>
    <t>8905</t>
  </si>
  <si>
    <t>9050</t>
  </si>
  <si>
    <t>9103, 9104</t>
  </si>
  <si>
    <t>[TTB01012] MicroLoop Casing Top Black, [TTB01011] MicroLoop Casing Bottom Black</t>
  </si>
  <si>
    <t>trial - 12" corner protector</t>
  </si>
  <si>
    <t>00154 &amp; 00155 &amp; 9176</t>
  </si>
  <si>
    <t>9220</t>
  </si>
  <si>
    <t>9264</t>
  </si>
  <si>
    <t>9290</t>
  </si>
  <si>
    <t>SO2023/930</t>
  </si>
  <si>
    <t>9300</t>
  </si>
  <si>
    <t>9333</t>
  </si>
  <si>
    <t>00187 &amp; 00188 &amp; 9341</t>
  </si>
  <si>
    <t>9460+9461</t>
  </si>
  <si>
    <t>9525</t>
  </si>
  <si>
    <t>00211 &amp; 9536 &amp; 9537</t>
  </si>
  <si>
    <t>Shelvcraft Trolley Handle End - red</t>
  </si>
  <si>
    <t>Shelvcraft Trolley Handle End - Green</t>
  </si>
  <si>
    <t>Shelvcraft Trolley Handle End - Blue</t>
  </si>
  <si>
    <t>Shelvcraft Trolley Handle End - Black</t>
  </si>
  <si>
    <t>[TTA01068] DP Box - Fibre Adapter Carrier - 1inch Black &amp; [TTA01061] DP Box - Fibre Adapter Carrier - 2inch - Black</t>
  </si>
  <si>
    <t>[TTA01076] DP Box - Fibre Storage &amp; Management Tray - White</t>
  </si>
  <si>
    <t>9753+ 9754</t>
  </si>
  <si>
    <t>9775</t>
  </si>
  <si>
    <t>[TTA01079] DP Box - Snap Latch - Black</t>
  </si>
  <si>
    <t>SO/2024/0152</t>
  </si>
  <si>
    <t>9909</t>
  </si>
  <si>
    <t>9910</t>
  </si>
  <si>
    <t>9911</t>
  </si>
  <si>
    <t>SO/2024/0297</t>
  </si>
  <si>
    <t>10026</t>
  </si>
  <si>
    <t>SO/2024/0438</t>
  </si>
  <si>
    <t>10028</t>
  </si>
  <si>
    <t>S0/2024/0656</t>
  </si>
  <si>
    <t>10150 + 10155 + 00265</t>
  </si>
  <si>
    <t>S0/2024/0661</t>
  </si>
  <si>
    <t>10181 + 10182 +00269</t>
  </si>
  <si>
    <t>00275, 00276 &amp; 10249</t>
  </si>
  <si>
    <t>SO/2023/0905</t>
  </si>
  <si>
    <t>10213</t>
  </si>
  <si>
    <t>10214</t>
  </si>
  <si>
    <t>S0/2024/0929</t>
  </si>
  <si>
    <t>00293 &amp; 00294 &amp; 10308</t>
  </si>
  <si>
    <t>SO/2024/1375</t>
  </si>
  <si>
    <t>10419</t>
  </si>
  <si>
    <t>10420</t>
  </si>
  <si>
    <t>SO/2024/1247</t>
  </si>
  <si>
    <t>10421 + 10422 + 00310</t>
  </si>
  <si>
    <t>10423 + 10424 + 00311</t>
  </si>
  <si>
    <t>10425 + 10426 + 00312</t>
  </si>
  <si>
    <t>10427 + 10428 + 00313</t>
  </si>
  <si>
    <t>10451 + 10452 + 00319</t>
  </si>
  <si>
    <t>10596</t>
  </si>
  <si>
    <t>SO/2024/1824</t>
  </si>
  <si>
    <t>10610</t>
  </si>
  <si>
    <t>10761</t>
  </si>
  <si>
    <t>10644+ 10645 + 00343</t>
  </si>
  <si>
    <t>10636 + 10637 + 00340</t>
  </si>
  <si>
    <t>10816 + 10817 + 00372</t>
  </si>
  <si>
    <t>10723 + 10724</t>
  </si>
  <si>
    <t>10733</t>
  </si>
  <si>
    <t>SO/2024/2436</t>
  </si>
  <si>
    <t>10938</t>
  </si>
  <si>
    <t>SO/2024/2679</t>
  </si>
  <si>
    <t>11085</t>
  </si>
  <si>
    <t>10968 + 10969 + 00401</t>
  </si>
  <si>
    <t>10966 + 10967 + 00400</t>
  </si>
  <si>
    <t>10867 + 10868 + 00388</t>
  </si>
  <si>
    <t>11206</t>
  </si>
  <si>
    <t>11339</t>
  </si>
  <si>
    <t>[PGA01059] Rolo Floor Base - Pink</t>
  </si>
  <si>
    <t>11355</t>
  </si>
  <si>
    <t>[PGA01076] Rolo Floor Base - Purple</t>
  </si>
  <si>
    <t>11372</t>
  </si>
  <si>
    <t>[PGA01077] Rolo Floor Base - Navy Blue</t>
  </si>
  <si>
    <t>11405</t>
  </si>
  <si>
    <t>[PGA01079] Rolo Floor Base - Grey</t>
  </si>
  <si>
    <t>11389</t>
  </si>
  <si>
    <t>[PGA01078] Rolo Floor Base - Black</t>
  </si>
  <si>
    <t>SO/2024/3271</t>
  </si>
  <si>
    <t>11486 + 11485</t>
  </si>
  <si>
    <t>[PRC05027] Remora2 base YELLOW + [PRC05026] Remora2 Top Housing YELLOW</t>
  </si>
  <si>
    <t>12610 + 12611</t>
  </si>
  <si>
    <t>SO/2025/2502</t>
  </si>
  <si>
    <t>00722 + 12724</t>
  </si>
  <si>
    <t>12659</t>
  </si>
  <si>
    <t>SO/2025/2432</t>
  </si>
  <si>
    <t>SO/2025/2905</t>
  </si>
  <si>
    <t xml:space="preserve"> 13012 + '00782</t>
  </si>
  <si>
    <t>[HF.P.HC.HB.BK] HFT Hubometer Cap +[HF.C.HC.HB.BK+S] HFT Hubometer Cap + Screws [AI803104]</t>
  </si>
  <si>
    <t>13044 + 13045</t>
  </si>
  <si>
    <t>SO/2025/3280</t>
  </si>
  <si>
    <t>13137</t>
  </si>
  <si>
    <t>13042</t>
  </si>
  <si>
    <t>13099</t>
  </si>
  <si>
    <t>13100</t>
  </si>
  <si>
    <t>SO/2025/0384</t>
  </si>
  <si>
    <t>13635</t>
  </si>
  <si>
    <t>[SL.P.MX7.L.CH] Maxi 700 lid Carry Handle (ea)</t>
  </si>
  <si>
    <t>Mould fault</t>
  </si>
  <si>
    <t>13743 + 13744</t>
  </si>
  <si>
    <t>14104</t>
  </si>
  <si>
    <t>SO/2022/2988-JAN</t>
  </si>
  <si>
    <t>Loop Joint Dome Cap Black</t>
  </si>
  <si>
    <t>JAN</t>
  </si>
  <si>
    <t>SO/2022/3519-FEB</t>
  </si>
  <si>
    <t>SO/2022/2989+3639+3658+SO/2023/0059-FEB</t>
  </si>
  <si>
    <t>SO/2022/3660-FEB</t>
  </si>
  <si>
    <t>SO/2023/0135-MAR</t>
  </si>
  <si>
    <t>SO/2022/3598-MARCH+APRIL</t>
  </si>
  <si>
    <t>ORGANISER 500 TRAY LID CLEAR</t>
  </si>
  <si>
    <t>ORGANISER 500 BASE (BLACK)</t>
  </si>
  <si>
    <t>08063</t>
  </si>
  <si>
    <t>8026</t>
  </si>
  <si>
    <t>MAXI 700 INNER TRAY</t>
  </si>
  <si>
    <t>08271</t>
  </si>
  <si>
    <t>08272</t>
  </si>
  <si>
    <t>08111</t>
  </si>
  <si>
    <t>08323</t>
  </si>
  <si>
    <t>8416</t>
  </si>
  <si>
    <t>120-HS/70-PE SPIGOT</t>
  </si>
  <si>
    <t>8417</t>
  </si>
  <si>
    <t>8468</t>
  </si>
  <si>
    <t>8469</t>
  </si>
  <si>
    <t>SO/2023/0763</t>
  </si>
  <si>
    <t>8594</t>
  </si>
  <si>
    <t>[TTA01092] Loop Joint Dome Cap Black PP 30% GF</t>
  </si>
  <si>
    <t>8619</t>
  </si>
  <si>
    <t>8798</t>
  </si>
  <si>
    <t>8799</t>
  </si>
  <si>
    <t>8800</t>
  </si>
  <si>
    <t>SO2023/2608</t>
  </si>
  <si>
    <t>8980</t>
  </si>
  <si>
    <t>[TTB05037] Brick Mould 4 Brick</t>
  </si>
  <si>
    <t>SO2023/2778</t>
  </si>
  <si>
    <t>9117</t>
  </si>
  <si>
    <t>[TTB05039] brick Mould 1 Brick</t>
  </si>
  <si>
    <t>9291</t>
  </si>
  <si>
    <t>9292</t>
  </si>
  <si>
    <t>9348</t>
  </si>
  <si>
    <t>[PBC01069] 7L Tote Bin Lid Green (361C)</t>
  </si>
  <si>
    <t>SO2023/3533</t>
  </si>
  <si>
    <t>9478</t>
  </si>
  <si>
    <t>9499</t>
  </si>
  <si>
    <t>9577</t>
  </si>
  <si>
    <t>Janaury Stock Replenishment</t>
  </si>
  <si>
    <t>00534 + 0552+ 9916+9917</t>
  </si>
  <si>
    <t>9994 + 9995</t>
  </si>
  <si>
    <t>9981</t>
  </si>
  <si>
    <t>9980</t>
  </si>
  <si>
    <t>9982</t>
  </si>
  <si>
    <t>10056 + 10057</t>
  </si>
  <si>
    <t>10054</t>
  </si>
  <si>
    <t>10055</t>
  </si>
  <si>
    <t>[PBC01072] 7L Tote Bin Lid Purple (2074C)</t>
  </si>
  <si>
    <t>10205 + 10206</t>
  </si>
  <si>
    <t xml:space="preserve">May Stock Replenishment </t>
  </si>
  <si>
    <t>10322</t>
  </si>
  <si>
    <t>10323</t>
  </si>
  <si>
    <t>SO2024/1101</t>
  </si>
  <si>
    <t>00285 &amp; 10280</t>
  </si>
  <si>
    <t>[PBC01063] 7L Tote Bin Bottom Blue (2746C) &amp; [PBC06037] 7L Tote Bin 300x200x185 Blue (2746C)</t>
  </si>
  <si>
    <t>00286 &amp; 10281</t>
  </si>
  <si>
    <t>[PBC01089] 7L Tote Bin Bottom Red (2035C) &amp; [PBC01086] 7L Tote Bin 300x200x185 Red (2035C)</t>
  </si>
  <si>
    <t>00287 &amp; 10282</t>
  </si>
  <si>
    <t>[PBC01144] 7L Tote Bin Bottom Black - 60% Virgin/ 40% Battery Grade &amp; [PBC06110] 7L Tote Bin 300x200x185 Black - 60% Virgin/ 40% Battery Grade</t>
  </si>
  <si>
    <t>10415</t>
  </si>
  <si>
    <t>10416</t>
  </si>
  <si>
    <t>[PBC01145] 7L Tote Bin Lid Orange (164c)</t>
  </si>
  <si>
    <t>SO/2024/1634</t>
  </si>
  <si>
    <t>[PBC01071] 7L Tote Bin Lid Orange (021C)</t>
  </si>
  <si>
    <t>10616</t>
  </si>
  <si>
    <t>10617</t>
  </si>
  <si>
    <t>10657</t>
  </si>
  <si>
    <t>10656</t>
  </si>
  <si>
    <t>10792 + 10793</t>
  </si>
  <si>
    <t>10789 + 00367</t>
  </si>
  <si>
    <r>
      <t xml:space="preserve">[TTB01002] Access Box 300 Naked Lid [Gen] Black + [TTB03000] Access Box 300 Lid [Gen] Black </t>
    </r>
    <r>
      <rPr>
        <b/>
        <sz val="12"/>
        <color rgb="FFFF0000"/>
        <rFont val="Aptos Narrow"/>
        <family val="2"/>
        <scheme val="minor"/>
      </rPr>
      <t>(Oryx Fibre)</t>
    </r>
  </si>
  <si>
    <t>10894</t>
  </si>
  <si>
    <t xml:space="preserve">[SL.P.MX7.HP] Maxi 700 Hinge Pin </t>
  </si>
  <si>
    <t>SO/2024/2292</t>
  </si>
  <si>
    <t>10856</t>
  </si>
  <si>
    <t>10857</t>
  </si>
  <si>
    <t>10987 + 10988</t>
  </si>
  <si>
    <t>11070</t>
  </si>
  <si>
    <t>11069</t>
  </si>
  <si>
    <t>11053</t>
  </si>
  <si>
    <t>Novemebr Stock Replenishment</t>
  </si>
  <si>
    <t>11231 + 11232</t>
  </si>
  <si>
    <t>11274</t>
  </si>
  <si>
    <t xml:space="preserve">Novemer Stock Replenishment </t>
  </si>
  <si>
    <t>11299</t>
  </si>
  <si>
    <t>12807 + 12808</t>
  </si>
  <si>
    <t>13217 +  00808</t>
  </si>
  <si>
    <t>13219 + 00809</t>
  </si>
  <si>
    <t>13220 + 00810</t>
  </si>
  <si>
    <t>12945+12946</t>
  </si>
  <si>
    <t>13221 + 00811</t>
  </si>
  <si>
    <t>13355 + 00855</t>
  </si>
  <si>
    <t>Under Maintenance</t>
  </si>
  <si>
    <t>13674 + 13675</t>
  </si>
  <si>
    <t>SO/2026/0204</t>
  </si>
  <si>
    <t>13762</t>
  </si>
  <si>
    <t>[PBC01154] Basket Handle - Grey</t>
  </si>
  <si>
    <t>13763</t>
  </si>
  <si>
    <t>13833</t>
  </si>
  <si>
    <t>13871</t>
  </si>
  <si>
    <t>13893 + 13894</t>
  </si>
  <si>
    <t>13891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</si>
</sst>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m/d/yy\ h:mm;@"/>
    <numFmt numFmtId="166" formatCode="d/m/yyyy;@"/>
  </numFmts>
  <fonts count="7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0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2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u/>
      <sz val="36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26"/>
      <name val="Aptos Narrow"/>
      <family val="2"/>
      <scheme val="minor"/>
    </font>
    <font>
      <b/>
      <sz val="24"/>
      <name val="Aptos Narrow"/>
      <family val="2"/>
      <scheme val="minor"/>
    </font>
    <font>
      <b/>
      <sz val="14"/>
      <name val="Aptos Narrow"/>
      <family val="2"/>
      <scheme val="minor"/>
    </font>
    <font>
      <sz val="10"/>
      <name val="Aptos Narrow"/>
      <family val="2"/>
      <scheme val="minor"/>
    </font>
    <font>
      <sz val="24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i/>
      <sz val="10"/>
      <color rgb="FFFF000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24"/>
      <color rgb="FFFF0000"/>
      <name val="Aptos Narrow"/>
      <family val="2"/>
      <scheme val="minor"/>
    </font>
    <font>
      <b/>
      <sz val="16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rgb="FFFF0000"/>
      <name val="Aptos Narrow"/>
      <family val="2"/>
      <scheme val="minor"/>
    </font>
    <font>
      <sz val="10"/>
      <name val="Arial"/>
      <family val="2"/>
    </font>
    <font>
      <sz val="10"/>
      <color rgb="FF000000"/>
      <name val="Aptos Narrow"/>
      <family val="2"/>
      <scheme val="minor"/>
    </font>
    <font>
      <sz val="10"/>
      <color theme="0" tint="-4.9989318521683403E-2"/>
      <name val="Aptos Narrow"/>
      <family val="2"/>
      <scheme val="minor"/>
    </font>
    <font>
      <b/>
      <sz val="10"/>
      <color theme="0" tint="-4.9989318521683403E-2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name val="Roboto"/>
    </font>
    <font>
      <b/>
      <sz val="11"/>
      <color rgb="FFFF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u/>
      <sz val="11"/>
      <name val="Aptos Narrow"/>
      <family val="2"/>
      <scheme val="minor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</font>
    <font>
      <b/>
      <u/>
      <sz val="10"/>
      <color theme="1"/>
      <name val="Aptos Narrow"/>
      <family val="2"/>
      <scheme val="minor"/>
    </font>
    <font>
      <u/>
      <sz val="36"/>
      <color theme="1"/>
      <name val="Aptos Narrow"/>
      <family val="2"/>
      <scheme val="minor"/>
    </font>
    <font>
      <sz val="10"/>
      <color theme="1"/>
      <name val="Roboto"/>
    </font>
    <font>
      <sz val="14"/>
      <color rgb="FF212529"/>
      <name val="Roboto"/>
    </font>
    <font>
      <sz val="14"/>
      <name val="Aptos Narrow"/>
      <family val="2"/>
      <scheme val="minor"/>
    </font>
    <font>
      <sz val="11"/>
      <color rgb="FF212529"/>
      <name val="Roboto"/>
    </font>
    <font>
      <sz val="10"/>
      <color rgb="FF212529"/>
      <name val="Roboto"/>
    </font>
    <font>
      <b/>
      <i/>
      <sz val="12"/>
      <color rgb="FFFF0000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0"/>
      <name val="Aptos Narrow"/>
      <family val="2"/>
    </font>
    <font>
      <sz val="10"/>
      <color theme="1"/>
      <name val="Calibri"/>
      <family val="2"/>
    </font>
    <font>
      <sz val="11"/>
      <color theme="1"/>
      <name val="Aptos"/>
      <family val="2"/>
    </font>
    <font>
      <sz val="11"/>
      <name val="Roboto"/>
    </font>
    <font>
      <b/>
      <i/>
      <sz val="11"/>
      <color rgb="FFFF0000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sz val="10"/>
      <color theme="1"/>
      <name val="SimSun"/>
    </font>
    <font>
      <b/>
      <sz val="10"/>
      <color theme="0"/>
      <name val="Aptos Narrow"/>
      <family val="2"/>
      <scheme val="minor"/>
    </font>
    <font>
      <sz val="10"/>
      <color theme="1"/>
      <name val="Aptos"/>
      <family val="2"/>
    </font>
    <font>
      <b/>
      <sz val="10"/>
      <color rgb="FF666666"/>
      <name val="Roboto"/>
    </font>
    <font>
      <b/>
      <sz val="12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669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57E768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23">
    <xf numFmtId="0" fontId="0" fillId="0" borderId="0" xfId="0"/>
    <xf numFmtId="164" fontId="8" fillId="0" borderId="2" xfId="0" applyNumberFormat="1" applyFont="1" applyBorder="1" applyAlignment="1">
      <alignment horizontal="center" vertical="center" wrapText="1"/>
    </xf>
    <xf numFmtId="0" fontId="7" fillId="2" borderId="3" xfId="0" applyFont="1" applyFill="1" applyBorder="1" applyAlignment="1" applyProtection="1">
      <alignment wrapText="1"/>
      <protection locked="0"/>
    </xf>
    <xf numFmtId="0" fontId="4" fillId="0" borderId="0" xfId="0" applyFont="1"/>
    <xf numFmtId="2" fontId="14" fillId="4" borderId="2" xfId="0" applyNumberFormat="1" applyFont="1" applyFill="1" applyBorder="1" applyAlignment="1">
      <alignment horizontal="center" wrapText="1"/>
    </xf>
    <xf numFmtId="2" fontId="15" fillId="7" borderId="2" xfId="0" applyNumberFormat="1" applyFont="1" applyFill="1" applyBorder="1" applyAlignment="1">
      <alignment horizontal="center"/>
    </xf>
    <xf numFmtId="0" fontId="16" fillId="9" borderId="1" xfId="0" applyFont="1" applyFill="1" applyBorder="1"/>
    <xf numFmtId="0" fontId="16" fillId="9" borderId="5" xfId="0" applyFont="1" applyFill="1" applyBorder="1"/>
    <xf numFmtId="0" fontId="18" fillId="10" borderId="3" xfId="0" applyFont="1" applyFill="1" applyBorder="1" applyAlignment="1">
      <alignment horizontal="left"/>
    </xf>
    <xf numFmtId="0" fontId="18" fillId="10" borderId="3" xfId="0" applyFont="1" applyFill="1" applyBorder="1" applyAlignment="1">
      <alignment horizontal="center" vertical="center"/>
    </xf>
    <xf numFmtId="3" fontId="18" fillId="10" borderId="3" xfId="0" applyNumberFormat="1" applyFont="1" applyFill="1" applyBorder="1" applyAlignment="1">
      <alignment horizontal="center" vertical="center"/>
    </xf>
    <xf numFmtId="0" fontId="19" fillId="10" borderId="3" xfId="0" applyFont="1" applyFill="1" applyBorder="1" applyAlignment="1">
      <alignment horizontal="left" wrapText="1"/>
    </xf>
    <xf numFmtId="0" fontId="19" fillId="10" borderId="3" xfId="0" applyFont="1" applyFill="1" applyBorder="1" applyAlignment="1">
      <alignment horizontal="center" wrapText="1"/>
    </xf>
    <xf numFmtId="49" fontId="19" fillId="10" borderId="3" xfId="0" applyNumberFormat="1" applyFont="1" applyFill="1" applyBorder="1" applyAlignment="1">
      <alignment horizontal="center" wrapText="1"/>
    </xf>
    <xf numFmtId="0" fontId="19" fillId="10" borderId="6" xfId="0" applyFont="1" applyFill="1" applyBorder="1" applyAlignment="1">
      <alignment horizontal="left" wrapText="1"/>
    </xf>
    <xf numFmtId="2" fontId="19" fillId="10" borderId="7" xfId="0" applyNumberFormat="1" applyFont="1" applyFill="1" applyBorder="1" applyAlignment="1">
      <alignment horizontal="center" wrapText="1"/>
    </xf>
    <xf numFmtId="2" fontId="19" fillId="10" borderId="3" xfId="0" applyNumberFormat="1" applyFont="1" applyFill="1" applyBorder="1" applyAlignment="1">
      <alignment horizontal="center" wrapText="1"/>
    </xf>
    <xf numFmtId="3" fontId="19" fillId="10" borderId="4" xfId="0" applyNumberFormat="1" applyFont="1" applyFill="1" applyBorder="1" applyAlignment="1">
      <alignment horizontal="center" wrapText="1"/>
    </xf>
    <xf numFmtId="3" fontId="19" fillId="10" borderId="3" xfId="0" applyNumberFormat="1" applyFont="1" applyFill="1" applyBorder="1" applyAlignment="1">
      <alignment horizontal="center" wrapText="1"/>
    </xf>
    <xf numFmtId="3" fontId="19" fillId="10" borderId="2" xfId="0" applyNumberFormat="1" applyFont="1" applyFill="1" applyBorder="1" applyAlignment="1">
      <alignment horizontal="center" wrapText="1"/>
    </xf>
    <xf numFmtId="9" fontId="19" fillId="10" borderId="2" xfId="1" applyFont="1" applyFill="1" applyBorder="1" applyAlignment="1">
      <alignment horizontal="center" vertical="center" wrapText="1"/>
    </xf>
    <xf numFmtId="0" fontId="19" fillId="10" borderId="4" xfId="0" applyFont="1" applyFill="1" applyBorder="1" applyAlignment="1">
      <alignment horizontal="center" wrapText="1"/>
    </xf>
    <xf numFmtId="0" fontId="18" fillId="10" borderId="7" xfId="0" applyFont="1" applyFill="1" applyBorder="1" applyAlignment="1">
      <alignment horizontal="center"/>
    </xf>
    <xf numFmtId="0" fontId="20" fillId="10" borderId="8" xfId="0" applyFont="1" applyFill="1" applyBorder="1" applyAlignment="1">
      <alignment horizontal="left"/>
    </xf>
    <xf numFmtId="0" fontId="20" fillId="10" borderId="0" xfId="0" applyFont="1" applyFill="1" applyAlignment="1">
      <alignment horizontal="left"/>
    </xf>
    <xf numFmtId="0" fontId="16" fillId="10" borderId="0" xfId="0" applyFont="1" applyFill="1"/>
    <xf numFmtId="0" fontId="21" fillId="10" borderId="0" xfId="0" applyFont="1" applyFill="1" applyAlignment="1">
      <alignment wrapText="1"/>
    </xf>
    <xf numFmtId="49" fontId="21" fillId="10" borderId="0" xfId="0" applyNumberFormat="1" applyFont="1" applyFill="1" applyAlignment="1">
      <alignment horizontal="center" wrapText="1"/>
    </xf>
    <xf numFmtId="164" fontId="22" fillId="10" borderId="0" xfId="0" applyNumberFormat="1" applyFont="1" applyFill="1" applyAlignment="1">
      <alignment horizontal="left" wrapText="1"/>
    </xf>
    <xf numFmtId="164" fontId="23" fillId="10" borderId="9" xfId="0" applyNumberFormat="1" applyFont="1" applyFill="1" applyBorder="1" applyAlignment="1">
      <alignment horizontal="left" wrapText="1"/>
    </xf>
    <xf numFmtId="2" fontId="21" fillId="10" borderId="0" xfId="0" applyNumberFormat="1" applyFont="1" applyFill="1" applyAlignment="1">
      <alignment horizontal="center"/>
    </xf>
    <xf numFmtId="3" fontId="24" fillId="10" borderId="0" xfId="0" applyNumberFormat="1" applyFont="1" applyFill="1" applyAlignment="1">
      <alignment horizontal="center"/>
    </xf>
    <xf numFmtId="3" fontId="21" fillId="10" borderId="0" xfId="0" applyNumberFormat="1" applyFont="1" applyFill="1" applyAlignment="1">
      <alignment horizontal="center"/>
    </xf>
    <xf numFmtId="0" fontId="21" fillId="10" borderId="0" xfId="0" applyFont="1" applyFill="1" applyAlignment="1">
      <alignment horizontal="center"/>
    </xf>
    <xf numFmtId="0" fontId="16" fillId="10" borderId="0" xfId="0" applyFont="1" applyFill="1" applyAlignment="1">
      <alignment horizontal="center"/>
    </xf>
    <xf numFmtId="0" fontId="25" fillId="11" borderId="10" xfId="0" applyFont="1" applyFill="1" applyBorder="1" applyAlignment="1">
      <alignment horizontal="left"/>
    </xf>
    <xf numFmtId="0" fontId="18" fillId="11" borderId="10" xfId="0" applyFont="1" applyFill="1" applyBorder="1"/>
    <xf numFmtId="0" fontId="26" fillId="11" borderId="10" xfId="0" applyFont="1" applyFill="1" applyBorder="1" applyAlignment="1">
      <alignment wrapText="1"/>
    </xf>
    <xf numFmtId="49" fontId="27" fillId="11" borderId="10" xfId="0" applyNumberFormat="1" applyFont="1" applyFill="1" applyBorder="1" applyAlignment="1">
      <alignment horizontal="center" wrapText="1"/>
    </xf>
    <xf numFmtId="1" fontId="26" fillId="11" borderId="10" xfId="0" applyNumberFormat="1" applyFont="1" applyFill="1" applyBorder="1" applyAlignment="1">
      <alignment horizontal="left" vertical="center" wrapText="1"/>
    </xf>
    <xf numFmtId="0" fontId="28" fillId="11" borderId="10" xfId="0" applyFont="1" applyFill="1" applyBorder="1" applyAlignment="1">
      <alignment horizontal="left" wrapText="1"/>
    </xf>
    <xf numFmtId="2" fontId="26" fillId="11" borderId="10" xfId="0" applyNumberFormat="1" applyFont="1" applyFill="1" applyBorder="1"/>
    <xf numFmtId="0" fontId="29" fillId="11" borderId="10" xfId="0" applyFont="1" applyFill="1" applyBorder="1"/>
    <xf numFmtId="0" fontId="26" fillId="11" borderId="10" xfId="0" applyFont="1" applyFill="1" applyBorder="1" applyAlignment="1">
      <alignment horizontal="center"/>
    </xf>
    <xf numFmtId="0" fontId="26" fillId="11" borderId="10" xfId="0" applyFont="1" applyFill="1" applyBorder="1"/>
    <xf numFmtId="0" fontId="18" fillId="11" borderId="10" xfId="0" applyFont="1" applyFill="1" applyBorder="1" applyAlignment="1">
      <alignment horizontal="center"/>
    </xf>
    <xf numFmtId="164" fontId="28" fillId="3" borderId="10" xfId="0" applyNumberFormat="1" applyFont="1" applyFill="1" applyBorder="1" applyAlignment="1">
      <alignment horizontal="left"/>
    </xf>
    <xf numFmtId="164" fontId="18" fillId="3" borderId="10" xfId="0" applyNumberFormat="1" applyFont="1" applyFill="1" applyBorder="1" applyAlignment="1">
      <alignment horizontal="left"/>
    </xf>
    <xf numFmtId="0" fontId="30" fillId="3" borderId="10" xfId="0" applyFont="1" applyFill="1" applyBorder="1" applyAlignment="1">
      <alignment horizontal="left" wrapText="1"/>
    </xf>
    <xf numFmtId="49" fontId="30" fillId="3" borderId="10" xfId="0" applyNumberFormat="1" applyFont="1" applyFill="1" applyBorder="1" applyAlignment="1">
      <alignment horizontal="center" wrapText="1"/>
    </xf>
    <xf numFmtId="0" fontId="30" fillId="3" borderId="10" xfId="0" quotePrefix="1" applyFont="1" applyFill="1" applyBorder="1" applyAlignment="1">
      <alignment horizontal="left" wrapText="1"/>
    </xf>
    <xf numFmtId="2" fontId="28" fillId="3" borderId="10" xfId="0" applyNumberFormat="1" applyFont="1" applyFill="1" applyBorder="1" applyAlignment="1">
      <alignment horizontal="left"/>
    </xf>
    <xf numFmtId="2" fontId="30" fillId="3" borderId="10" xfId="0" applyNumberFormat="1" applyFont="1" applyFill="1" applyBorder="1" applyAlignment="1">
      <alignment horizontal="center"/>
    </xf>
    <xf numFmtId="3" fontId="30" fillId="3" borderId="10" xfId="0" applyNumberFormat="1" applyFont="1" applyFill="1" applyBorder="1" applyAlignment="1">
      <alignment horizontal="center"/>
    </xf>
    <xf numFmtId="3" fontId="19" fillId="3" borderId="10" xfId="0" applyNumberFormat="1" applyFont="1" applyFill="1" applyBorder="1" applyAlignment="1">
      <alignment horizontal="center"/>
    </xf>
    <xf numFmtId="164" fontId="28" fillId="3" borderId="10" xfId="0" applyNumberFormat="1" applyFont="1" applyFill="1" applyBorder="1" applyAlignment="1">
      <alignment horizontal="center"/>
    </xf>
    <xf numFmtId="4" fontId="30" fillId="3" borderId="10" xfId="0" applyNumberFormat="1" applyFont="1" applyFill="1" applyBorder="1" applyAlignment="1">
      <alignment wrapText="1"/>
    </xf>
    <xf numFmtId="0" fontId="30" fillId="3" borderId="10" xfId="0" applyFont="1" applyFill="1" applyBorder="1" applyAlignment="1">
      <alignment wrapText="1"/>
    </xf>
    <xf numFmtId="49" fontId="30" fillId="3" borderId="10" xfId="0" applyNumberFormat="1" applyFont="1" applyFill="1" applyBorder="1" applyAlignment="1">
      <alignment horizontal="left" wrapText="1"/>
    </xf>
    <xf numFmtId="49" fontId="30" fillId="3" borderId="10" xfId="0" quotePrefix="1" applyNumberFormat="1" applyFont="1" applyFill="1" applyBorder="1" applyAlignment="1">
      <alignment horizontal="center" wrapText="1"/>
    </xf>
    <xf numFmtId="2" fontId="31" fillId="3" borderId="10" xfId="0" applyNumberFormat="1" applyFont="1" applyFill="1" applyBorder="1" applyAlignment="1">
      <alignment horizontal="left"/>
    </xf>
    <xf numFmtId="4" fontId="0" fillId="3" borderId="10" xfId="0" applyNumberFormat="1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0" xfId="0" quotePrefix="1" applyFill="1" applyBorder="1" applyAlignment="1">
      <alignment horizontal="center" wrapText="1"/>
    </xf>
    <xf numFmtId="0" fontId="31" fillId="3" borderId="10" xfId="0" applyFont="1" applyFill="1" applyBorder="1" applyAlignment="1">
      <alignment horizontal="left"/>
    </xf>
    <xf numFmtId="2" fontId="19" fillId="3" borderId="10" xfId="0" applyNumberFormat="1" applyFont="1" applyFill="1" applyBorder="1" applyAlignment="1">
      <alignment horizontal="center"/>
    </xf>
    <xf numFmtId="0" fontId="30" fillId="3" borderId="10" xfId="0" applyFont="1" applyFill="1" applyBorder="1" applyAlignment="1">
      <alignment horizontal="center" wrapText="1"/>
    </xf>
    <xf numFmtId="0" fontId="30" fillId="3" borderId="10" xfId="0" quotePrefix="1" applyFont="1" applyFill="1" applyBorder="1" applyAlignment="1">
      <alignment horizontal="center" wrapText="1"/>
    </xf>
    <xf numFmtId="0" fontId="0" fillId="3" borderId="10" xfId="0" applyFill="1" applyBorder="1" applyAlignment="1">
      <alignment horizontal="center" wrapText="1"/>
    </xf>
    <xf numFmtId="0" fontId="31" fillId="3" borderId="10" xfId="0" applyFont="1" applyFill="1" applyBorder="1" applyAlignment="1">
      <alignment wrapText="1"/>
    </xf>
    <xf numFmtId="1" fontId="19" fillId="3" borderId="10" xfId="0" applyNumberFormat="1" applyFont="1" applyFill="1" applyBorder="1" applyAlignment="1">
      <alignment horizontal="center"/>
    </xf>
    <xf numFmtId="164" fontId="28" fillId="3" borderId="10" xfId="0" applyNumberFormat="1" applyFont="1" applyFill="1" applyBorder="1" applyAlignment="1">
      <alignment horizontal="left" wrapText="1"/>
    </xf>
    <xf numFmtId="49" fontId="28" fillId="3" borderId="10" xfId="0" applyNumberFormat="1" applyFont="1" applyFill="1" applyBorder="1" applyAlignment="1">
      <alignment horizontal="left" vertical="center" wrapText="1"/>
    </xf>
    <xf numFmtId="164" fontId="28" fillId="3" borderId="10" xfId="0" applyNumberFormat="1" applyFont="1" applyFill="1" applyBorder="1" applyAlignment="1">
      <alignment horizontal="left" vertical="center" wrapText="1"/>
    </xf>
    <xf numFmtId="164" fontId="16" fillId="3" borderId="10" xfId="0" applyNumberFormat="1" applyFont="1" applyFill="1" applyBorder="1" applyAlignment="1">
      <alignment horizontal="left"/>
    </xf>
    <xf numFmtId="0" fontId="0" fillId="3" borderId="10" xfId="0" applyFill="1" applyBorder="1" applyAlignment="1">
      <alignment horizontal="left" wrapText="1"/>
    </xf>
    <xf numFmtId="49" fontId="0" fillId="3" borderId="10" xfId="0" quotePrefix="1" applyNumberFormat="1" applyFill="1" applyBorder="1" applyAlignment="1">
      <alignment horizontal="center" wrapText="1"/>
    </xf>
    <xf numFmtId="0" fontId="31" fillId="3" borderId="10" xfId="0" applyFont="1" applyFill="1" applyBorder="1" applyAlignment="1">
      <alignment horizontal="left" wrapText="1"/>
    </xf>
    <xf numFmtId="2" fontId="0" fillId="3" borderId="10" xfId="0" applyNumberFormat="1" applyFill="1" applyBorder="1" applyAlignment="1">
      <alignment horizontal="center"/>
    </xf>
    <xf numFmtId="3" fontId="0" fillId="3" borderId="10" xfId="0" applyNumberFormat="1" applyFill="1" applyBorder="1" applyAlignment="1">
      <alignment horizontal="center"/>
    </xf>
    <xf numFmtId="3" fontId="4" fillId="3" borderId="10" xfId="0" applyNumberFormat="1" applyFont="1" applyFill="1" applyBorder="1" applyAlignment="1">
      <alignment horizontal="center"/>
    </xf>
    <xf numFmtId="0" fontId="5" fillId="12" borderId="0" xfId="0" applyFont="1" applyFill="1"/>
    <xf numFmtId="0" fontId="28" fillId="3" borderId="10" xfId="0" applyFont="1" applyFill="1" applyBorder="1" applyAlignment="1">
      <alignment horizontal="left" wrapText="1"/>
    </xf>
    <xf numFmtId="3" fontId="30" fillId="3" borderId="10" xfId="0" applyNumberFormat="1" applyFont="1" applyFill="1" applyBorder="1" applyAlignment="1">
      <alignment horizontal="center" wrapText="1"/>
    </xf>
    <xf numFmtId="2" fontId="30" fillId="3" borderId="10" xfId="0" applyNumberFormat="1" applyFont="1" applyFill="1" applyBorder="1" applyAlignment="1">
      <alignment horizontal="center" wrapText="1"/>
    </xf>
    <xf numFmtId="49" fontId="28" fillId="3" borderId="10" xfId="0" applyNumberFormat="1" applyFont="1" applyFill="1" applyBorder="1" applyAlignment="1">
      <alignment horizontal="left" wrapText="1"/>
    </xf>
    <xf numFmtId="49" fontId="30" fillId="3" borderId="10" xfId="0" applyNumberFormat="1" applyFont="1" applyFill="1" applyBorder="1" applyAlignment="1">
      <alignment horizontal="center"/>
    </xf>
    <xf numFmtId="4" fontId="28" fillId="3" borderId="10" xfId="0" applyNumberFormat="1" applyFont="1" applyFill="1" applyBorder="1" applyAlignment="1">
      <alignment vertical="center"/>
    </xf>
    <xf numFmtId="0" fontId="19" fillId="3" borderId="10" xfId="0" applyFont="1" applyFill="1" applyBorder="1" applyAlignment="1">
      <alignment horizontal="center"/>
    </xf>
    <xf numFmtId="0" fontId="30" fillId="13" borderId="0" xfId="0" applyFont="1" applyFill="1"/>
    <xf numFmtId="49" fontId="28" fillId="3" borderId="10" xfId="0" applyNumberFormat="1" applyFont="1" applyFill="1" applyBorder="1" applyAlignment="1">
      <alignment horizontal="center"/>
    </xf>
    <xf numFmtId="2" fontId="28" fillId="3" borderId="10" xfId="0" applyNumberFormat="1" applyFont="1" applyFill="1" applyBorder="1" applyAlignment="1">
      <alignment horizontal="center"/>
    </xf>
    <xf numFmtId="3" fontId="28" fillId="3" borderId="10" xfId="0" applyNumberFormat="1" applyFont="1" applyFill="1" applyBorder="1" applyAlignment="1">
      <alignment horizontal="center"/>
    </xf>
    <xf numFmtId="0" fontId="18" fillId="3" borderId="10" xfId="0" applyFont="1" applyFill="1" applyBorder="1" applyAlignment="1">
      <alignment horizontal="center"/>
    </xf>
    <xf numFmtId="3" fontId="18" fillId="3" borderId="10" xfId="0" applyNumberFormat="1" applyFont="1" applyFill="1" applyBorder="1" applyAlignment="1">
      <alignment horizontal="center"/>
    </xf>
    <xf numFmtId="0" fontId="32" fillId="0" borderId="0" xfId="0" applyFont="1"/>
    <xf numFmtId="164" fontId="18" fillId="3" borderId="10" xfId="0" applyNumberFormat="1" applyFont="1" applyFill="1" applyBorder="1" applyAlignment="1">
      <alignment horizontal="left" vertical="center" wrapText="1"/>
    </xf>
    <xf numFmtId="0" fontId="28" fillId="3" borderId="10" xfId="0" applyFont="1" applyFill="1" applyBorder="1" applyAlignment="1">
      <alignment wrapText="1"/>
    </xf>
    <xf numFmtId="49" fontId="28" fillId="3" borderId="10" xfId="0" applyNumberFormat="1" applyFont="1" applyFill="1" applyBorder="1" applyAlignment="1">
      <alignment horizontal="center" wrapText="1"/>
    </xf>
    <xf numFmtId="4" fontId="28" fillId="3" borderId="10" xfId="0" applyNumberFormat="1" applyFont="1" applyFill="1" applyBorder="1" applyAlignment="1">
      <alignment wrapText="1"/>
    </xf>
    <xf numFmtId="2" fontId="28" fillId="3" borderId="10" xfId="0" applyNumberFormat="1" applyFont="1" applyFill="1" applyBorder="1" applyAlignment="1">
      <alignment horizontal="left" wrapText="1"/>
    </xf>
    <xf numFmtId="2" fontId="28" fillId="3" borderId="10" xfId="0" applyNumberFormat="1" applyFont="1" applyFill="1" applyBorder="1" applyAlignment="1">
      <alignment horizontal="center" wrapText="1"/>
    </xf>
    <xf numFmtId="3" fontId="28" fillId="3" borderId="10" xfId="0" applyNumberFormat="1" applyFont="1" applyFill="1" applyBorder="1" applyAlignment="1">
      <alignment horizontal="center" wrapText="1"/>
    </xf>
    <xf numFmtId="3" fontId="18" fillId="3" borderId="10" xfId="0" applyNumberFormat="1" applyFont="1" applyFill="1" applyBorder="1" applyAlignment="1">
      <alignment horizontal="center" wrapText="1"/>
    </xf>
    <xf numFmtId="0" fontId="28" fillId="3" borderId="10" xfId="0" applyFont="1" applyFill="1" applyBorder="1" applyAlignment="1">
      <alignment horizontal="left"/>
    </xf>
    <xf numFmtId="49" fontId="31" fillId="3" borderId="10" xfId="0" quotePrefix="1" applyNumberFormat="1" applyFont="1" applyFill="1" applyBorder="1" applyAlignment="1">
      <alignment horizontal="center" wrapText="1"/>
    </xf>
    <xf numFmtId="0" fontId="28" fillId="3" borderId="10" xfId="0" quotePrefix="1" applyFont="1" applyFill="1" applyBorder="1" applyAlignment="1">
      <alignment horizontal="left" wrapText="1"/>
    </xf>
    <xf numFmtId="49" fontId="28" fillId="3" borderId="10" xfId="0" quotePrefix="1" applyNumberFormat="1" applyFont="1" applyFill="1" applyBorder="1" applyAlignment="1">
      <alignment horizontal="center" wrapText="1"/>
    </xf>
    <xf numFmtId="0" fontId="28" fillId="3" borderId="10" xfId="0" applyFont="1" applyFill="1" applyBorder="1" applyAlignment="1">
      <alignment horizontal="center" wrapText="1"/>
    </xf>
    <xf numFmtId="0" fontId="31" fillId="0" borderId="0" xfId="0" applyFont="1"/>
    <xf numFmtId="2" fontId="31" fillId="3" borderId="10" xfId="0" applyNumberFormat="1" applyFont="1" applyFill="1" applyBorder="1" applyAlignment="1">
      <alignment horizontal="center"/>
    </xf>
    <xf numFmtId="164" fontId="18" fillId="6" borderId="10" xfId="0" applyNumberFormat="1" applyFont="1" applyFill="1" applyBorder="1" applyAlignment="1">
      <alignment horizontal="left" wrapText="1"/>
    </xf>
    <xf numFmtId="0" fontId="28" fillId="6" borderId="10" xfId="0" applyFont="1" applyFill="1" applyBorder="1" applyAlignment="1">
      <alignment wrapText="1"/>
    </xf>
    <xf numFmtId="49" fontId="28" fillId="6" borderId="10" xfId="0" applyNumberFormat="1" applyFont="1" applyFill="1" applyBorder="1" applyAlignment="1">
      <alignment horizontal="center" wrapText="1"/>
    </xf>
    <xf numFmtId="2" fontId="28" fillId="6" borderId="10" xfId="0" applyNumberFormat="1" applyFont="1" applyFill="1" applyBorder="1" applyAlignment="1">
      <alignment horizontal="left" wrapText="1"/>
    </xf>
    <xf numFmtId="2" fontId="28" fillId="6" borderId="10" xfId="0" applyNumberFormat="1" applyFont="1" applyFill="1" applyBorder="1" applyAlignment="1">
      <alignment horizontal="center" wrapText="1"/>
    </xf>
    <xf numFmtId="3" fontId="28" fillId="6" borderId="10" xfId="0" applyNumberFormat="1" applyFont="1" applyFill="1" applyBorder="1" applyAlignment="1">
      <alignment horizontal="center" wrapText="1"/>
    </xf>
    <xf numFmtId="3" fontId="18" fillId="6" borderId="10" xfId="0" applyNumberFormat="1" applyFont="1" applyFill="1" applyBorder="1" applyAlignment="1">
      <alignment horizontal="center" wrapText="1"/>
    </xf>
    <xf numFmtId="0" fontId="0" fillId="0" borderId="0" xfId="0" applyAlignment="1">
      <alignment wrapText="1"/>
    </xf>
    <xf numFmtId="164" fontId="18" fillId="3" borderId="10" xfId="0" applyNumberFormat="1" applyFont="1" applyFill="1" applyBorder="1" applyAlignment="1">
      <alignment horizontal="left" wrapText="1"/>
    </xf>
    <xf numFmtId="0" fontId="31" fillId="0" borderId="0" xfId="0" applyFont="1" applyAlignment="1">
      <alignment wrapText="1"/>
    </xf>
    <xf numFmtId="0" fontId="0" fillId="3" borderId="0" xfId="0" applyFill="1" applyAlignment="1">
      <alignment wrapText="1"/>
    </xf>
    <xf numFmtId="0" fontId="3" fillId="14" borderId="0" xfId="0" applyFont="1" applyFill="1"/>
    <xf numFmtId="164" fontId="28" fillId="15" borderId="10" xfId="0" applyNumberFormat="1" applyFont="1" applyFill="1" applyBorder="1" applyAlignment="1">
      <alignment horizontal="left"/>
    </xf>
    <xf numFmtId="164" fontId="18" fillId="15" borderId="10" xfId="0" applyNumberFormat="1" applyFont="1" applyFill="1" applyBorder="1" applyAlignment="1">
      <alignment horizontal="left"/>
    </xf>
    <xf numFmtId="0" fontId="28" fillId="15" borderId="10" xfId="0" applyFont="1" applyFill="1" applyBorder="1" applyAlignment="1">
      <alignment wrapText="1"/>
    </xf>
    <xf numFmtId="49" fontId="28" fillId="15" borderId="10" xfId="0" applyNumberFormat="1" applyFont="1" applyFill="1" applyBorder="1" applyAlignment="1">
      <alignment horizontal="center" wrapText="1"/>
    </xf>
    <xf numFmtId="49" fontId="28" fillId="15" borderId="10" xfId="0" applyNumberFormat="1" applyFont="1" applyFill="1" applyBorder="1" applyAlignment="1">
      <alignment wrapText="1"/>
    </xf>
    <xf numFmtId="2" fontId="28" fillId="15" borderId="10" xfId="0" applyNumberFormat="1" applyFont="1" applyFill="1" applyBorder="1" applyAlignment="1">
      <alignment horizontal="left"/>
    </xf>
    <xf numFmtId="2" fontId="28" fillId="15" borderId="10" xfId="0" applyNumberFormat="1" applyFont="1" applyFill="1" applyBorder="1" applyAlignment="1">
      <alignment horizontal="center"/>
    </xf>
    <xf numFmtId="3" fontId="28" fillId="15" borderId="10" xfId="0" applyNumberFormat="1" applyFont="1" applyFill="1" applyBorder="1" applyAlignment="1">
      <alignment horizontal="center"/>
    </xf>
    <xf numFmtId="3" fontId="18" fillId="15" borderId="10" xfId="0" applyNumberFormat="1" applyFont="1" applyFill="1" applyBorder="1" applyAlignment="1">
      <alignment horizontal="center"/>
    </xf>
    <xf numFmtId="3" fontId="28" fillId="15" borderId="11" xfId="0" applyNumberFormat="1" applyFont="1" applyFill="1" applyBorder="1" applyAlignment="1">
      <alignment horizontal="center"/>
    </xf>
    <xf numFmtId="3" fontId="18" fillId="15" borderId="11" xfId="0" applyNumberFormat="1" applyFont="1" applyFill="1" applyBorder="1" applyAlignment="1">
      <alignment horizontal="center" wrapText="1"/>
    </xf>
    <xf numFmtId="3" fontId="18" fillId="15" borderId="9" xfId="0" applyNumberFormat="1" applyFont="1" applyFill="1" applyBorder="1" applyAlignment="1">
      <alignment horizontal="center" wrapText="1"/>
    </xf>
    <xf numFmtId="3" fontId="28" fillId="15" borderId="9" xfId="0" applyNumberFormat="1" applyFont="1" applyFill="1" applyBorder="1" applyAlignment="1">
      <alignment horizontal="center" wrapText="1"/>
    </xf>
    <xf numFmtId="2" fontId="28" fillId="15" borderId="11" xfId="0" applyNumberFormat="1" applyFont="1" applyFill="1" applyBorder="1" applyAlignment="1">
      <alignment horizontal="center"/>
    </xf>
    <xf numFmtId="164" fontId="28" fillId="15" borderId="10" xfId="0" applyNumberFormat="1" applyFont="1" applyFill="1" applyBorder="1" applyAlignment="1">
      <alignment horizontal="center"/>
    </xf>
    <xf numFmtId="164" fontId="28" fillId="16" borderId="10" xfId="0" applyNumberFormat="1" applyFont="1" applyFill="1" applyBorder="1" applyAlignment="1">
      <alignment horizontal="left"/>
    </xf>
    <xf numFmtId="164" fontId="18" fillId="16" borderId="10" xfId="0" applyNumberFormat="1" applyFont="1" applyFill="1" applyBorder="1" applyAlignment="1">
      <alignment horizontal="left" wrapText="1"/>
    </xf>
    <xf numFmtId="0" fontId="28" fillId="16" borderId="10" xfId="0" applyFont="1" applyFill="1" applyBorder="1" applyAlignment="1">
      <alignment horizontal="left" wrapText="1"/>
    </xf>
    <xf numFmtId="49" fontId="28" fillId="16" borderId="10" xfId="0" quotePrefix="1" applyNumberFormat="1" applyFont="1" applyFill="1" applyBorder="1" applyAlignment="1">
      <alignment horizontal="center" wrapText="1"/>
    </xf>
    <xf numFmtId="49" fontId="28" fillId="16" borderId="10" xfId="0" applyNumberFormat="1" applyFont="1" applyFill="1" applyBorder="1" applyAlignment="1">
      <alignment horizontal="left" wrapText="1"/>
    </xf>
    <xf numFmtId="2" fontId="28" fillId="16" borderId="10" xfId="0" applyNumberFormat="1" applyFont="1" applyFill="1" applyBorder="1" applyAlignment="1">
      <alignment horizontal="left" wrapText="1"/>
    </xf>
    <xf numFmtId="2" fontId="28" fillId="16" borderId="10" xfId="0" applyNumberFormat="1" applyFont="1" applyFill="1" applyBorder="1" applyAlignment="1">
      <alignment horizontal="center"/>
    </xf>
    <xf numFmtId="3" fontId="28" fillId="16" borderId="10" xfId="0" applyNumberFormat="1" applyFont="1" applyFill="1" applyBorder="1" applyAlignment="1">
      <alignment horizontal="center"/>
    </xf>
    <xf numFmtId="3" fontId="18" fillId="16" borderId="10" xfId="0" applyNumberFormat="1" applyFont="1" applyFill="1" applyBorder="1" applyAlignment="1">
      <alignment horizontal="center"/>
    </xf>
    <xf numFmtId="0" fontId="0" fillId="16" borderId="10" xfId="0" applyFill="1" applyBorder="1"/>
    <xf numFmtId="3" fontId="28" fillId="16" borderId="10" xfId="0" applyNumberFormat="1" applyFont="1" applyFill="1" applyBorder="1" applyAlignment="1">
      <alignment horizontal="center" wrapText="1"/>
    </xf>
    <xf numFmtId="2" fontId="28" fillId="16" borderId="10" xfId="0" applyNumberFormat="1" applyFont="1" applyFill="1" applyBorder="1" applyAlignment="1">
      <alignment horizontal="center" wrapText="1"/>
    </xf>
    <xf numFmtId="164" fontId="28" fillId="16" borderId="10" xfId="0" applyNumberFormat="1" applyFont="1" applyFill="1" applyBorder="1" applyAlignment="1">
      <alignment horizontal="center"/>
    </xf>
    <xf numFmtId="0" fontId="31" fillId="16" borderId="10" xfId="0" applyFont="1" applyFill="1" applyBorder="1" applyAlignment="1">
      <alignment wrapText="1"/>
    </xf>
    <xf numFmtId="49" fontId="28" fillId="16" borderId="10" xfId="0" applyNumberFormat="1" applyFont="1" applyFill="1" applyBorder="1" applyAlignment="1">
      <alignment horizontal="center" wrapText="1"/>
    </xf>
    <xf numFmtId="164" fontId="28" fillId="16" borderId="10" xfId="0" applyNumberFormat="1" applyFont="1" applyFill="1" applyBorder="1" applyAlignment="1">
      <alignment horizontal="left" wrapText="1"/>
    </xf>
    <xf numFmtId="2" fontId="28" fillId="16" borderId="10" xfId="0" applyNumberFormat="1" applyFont="1" applyFill="1" applyBorder="1" applyAlignment="1">
      <alignment horizontal="left" vertical="center" wrapText="1"/>
    </xf>
    <xf numFmtId="3" fontId="18" fillId="16" borderId="10" xfId="0" applyNumberFormat="1" applyFont="1" applyFill="1" applyBorder="1" applyAlignment="1">
      <alignment horizontal="center" wrapText="1"/>
    </xf>
    <xf numFmtId="3" fontId="28" fillId="16" borderId="12" xfId="0" applyNumberFormat="1" applyFont="1" applyFill="1" applyBorder="1" applyAlignment="1">
      <alignment horizontal="center" wrapText="1"/>
    </xf>
    <xf numFmtId="3" fontId="28" fillId="16" borderId="13" xfId="0" applyNumberFormat="1" applyFont="1" applyFill="1" applyBorder="1" applyAlignment="1">
      <alignment horizontal="center" wrapText="1"/>
    </xf>
    <xf numFmtId="164" fontId="18" fillId="15" borderId="10" xfId="0" applyNumberFormat="1" applyFont="1" applyFill="1" applyBorder="1" applyAlignment="1">
      <alignment horizontal="left" wrapText="1"/>
    </xf>
    <xf numFmtId="0" fontId="28" fillId="15" borderId="10" xfId="0" applyFont="1" applyFill="1" applyBorder="1" applyAlignment="1">
      <alignment horizontal="left" wrapText="1"/>
    </xf>
    <xf numFmtId="0" fontId="31" fillId="15" borderId="10" xfId="0" applyFont="1" applyFill="1" applyBorder="1" applyAlignment="1">
      <alignment wrapText="1"/>
    </xf>
    <xf numFmtId="164" fontId="28" fillId="15" borderId="10" xfId="0" applyNumberFormat="1" applyFont="1" applyFill="1" applyBorder="1" applyAlignment="1">
      <alignment horizontal="left" wrapText="1"/>
    </xf>
    <xf numFmtId="2" fontId="28" fillId="15" borderId="10" xfId="0" applyNumberFormat="1" applyFont="1" applyFill="1" applyBorder="1" applyAlignment="1">
      <alignment horizontal="left" vertical="center" wrapText="1"/>
    </xf>
    <xf numFmtId="2" fontId="28" fillId="15" borderId="10" xfId="0" applyNumberFormat="1" applyFont="1" applyFill="1" applyBorder="1" applyAlignment="1">
      <alignment horizontal="center" wrapText="1"/>
    </xf>
    <xf numFmtId="3" fontId="28" fillId="15" borderId="10" xfId="0" applyNumberFormat="1" applyFont="1" applyFill="1" applyBorder="1" applyAlignment="1">
      <alignment horizontal="center" wrapText="1"/>
    </xf>
    <xf numFmtId="3" fontId="18" fillId="15" borderId="10" xfId="0" applyNumberFormat="1" applyFont="1" applyFill="1" applyBorder="1" applyAlignment="1">
      <alignment horizontal="center" wrapText="1"/>
    </xf>
    <xf numFmtId="3" fontId="28" fillId="15" borderId="12" xfId="0" applyNumberFormat="1" applyFont="1" applyFill="1" applyBorder="1" applyAlignment="1">
      <alignment horizontal="center" wrapText="1"/>
    </xf>
    <xf numFmtId="0" fontId="0" fillId="15" borderId="10" xfId="0" applyFill="1" applyBorder="1" applyAlignment="1">
      <alignment horizontal="center"/>
    </xf>
    <xf numFmtId="3" fontId="28" fillId="15" borderId="13" xfId="0" applyNumberFormat="1" applyFont="1" applyFill="1" applyBorder="1" applyAlignment="1">
      <alignment horizontal="center" wrapText="1"/>
    </xf>
    <xf numFmtId="164" fontId="28" fillId="15" borderId="10" xfId="0" applyNumberFormat="1" applyFont="1" applyFill="1" applyBorder="1" applyAlignment="1">
      <alignment horizontal="center" wrapText="1"/>
    </xf>
    <xf numFmtId="2" fontId="28" fillId="3" borderId="10" xfId="0" applyNumberFormat="1" applyFont="1" applyFill="1" applyBorder="1" applyAlignment="1">
      <alignment horizontal="left" vertical="center" wrapText="1"/>
    </xf>
    <xf numFmtId="3" fontId="28" fillId="3" borderId="12" xfId="0" applyNumberFormat="1" applyFont="1" applyFill="1" applyBorder="1" applyAlignment="1">
      <alignment horizontal="center" wrapText="1"/>
    </xf>
    <xf numFmtId="0" fontId="0" fillId="3" borderId="10" xfId="0" applyFill="1" applyBorder="1" applyAlignment="1">
      <alignment horizontal="center"/>
    </xf>
    <xf numFmtId="3" fontId="28" fillId="3" borderId="13" xfId="0" applyNumberFormat="1" applyFont="1" applyFill="1" applyBorder="1" applyAlignment="1">
      <alignment horizontal="center" wrapText="1"/>
    </xf>
    <xf numFmtId="164" fontId="28" fillId="3" borderId="10" xfId="0" applyNumberFormat="1" applyFont="1" applyFill="1" applyBorder="1" applyAlignment="1">
      <alignment horizontal="center" vertical="center" wrapText="1"/>
    </xf>
    <xf numFmtId="2" fontId="28" fillId="15" borderId="10" xfId="0" applyNumberFormat="1" applyFont="1" applyFill="1" applyBorder="1" applyAlignment="1">
      <alignment horizontal="left" wrapText="1"/>
    </xf>
    <xf numFmtId="0" fontId="31" fillId="15" borderId="10" xfId="0" applyFont="1" applyFill="1" applyBorder="1" applyAlignment="1">
      <alignment horizontal="center"/>
    </xf>
    <xf numFmtId="49" fontId="28" fillId="15" borderId="10" xfId="0" applyNumberFormat="1" applyFont="1" applyFill="1" applyBorder="1" applyAlignment="1">
      <alignment horizontal="left" wrapText="1"/>
    </xf>
    <xf numFmtId="0" fontId="0" fillId="13" borderId="0" xfId="0" applyFill="1" applyAlignment="1">
      <alignment wrapText="1"/>
    </xf>
    <xf numFmtId="0" fontId="0" fillId="15" borderId="0" xfId="0" applyFill="1" applyAlignment="1">
      <alignment wrapText="1"/>
    </xf>
    <xf numFmtId="1" fontId="28" fillId="3" borderId="10" xfId="0" applyNumberFormat="1" applyFont="1" applyFill="1" applyBorder="1" applyAlignment="1">
      <alignment horizontal="left" wrapText="1"/>
    </xf>
    <xf numFmtId="9" fontId="18" fillId="3" borderId="10" xfId="0" applyNumberFormat="1" applyFont="1" applyFill="1" applyBorder="1" applyAlignment="1">
      <alignment horizontal="center" wrapText="1"/>
    </xf>
    <xf numFmtId="0" fontId="31" fillId="3" borderId="10" xfId="0" applyFont="1" applyFill="1" applyBorder="1" applyAlignment="1">
      <alignment horizontal="center"/>
    </xf>
    <xf numFmtId="1" fontId="28" fillId="15" borderId="10" xfId="0" applyNumberFormat="1" applyFont="1" applyFill="1" applyBorder="1" applyAlignment="1">
      <alignment horizontal="left" wrapText="1"/>
    </xf>
    <xf numFmtId="0" fontId="28" fillId="15" borderId="10" xfId="0" applyFont="1" applyFill="1" applyBorder="1" applyAlignment="1">
      <alignment horizontal="left"/>
    </xf>
    <xf numFmtId="9" fontId="18" fillId="15" borderId="10" xfId="0" applyNumberFormat="1" applyFont="1" applyFill="1" applyBorder="1" applyAlignment="1">
      <alignment horizontal="center" wrapText="1"/>
    </xf>
    <xf numFmtId="0" fontId="0" fillId="15" borderId="0" xfId="0" applyFill="1"/>
    <xf numFmtId="4" fontId="28" fillId="15" borderId="10" xfId="0" applyNumberFormat="1" applyFont="1" applyFill="1" applyBorder="1" applyAlignment="1">
      <alignment wrapText="1"/>
    </xf>
    <xf numFmtId="49" fontId="28" fillId="15" borderId="10" xfId="0" quotePrefix="1" applyNumberFormat="1" applyFont="1" applyFill="1" applyBorder="1" applyAlignment="1">
      <alignment horizontal="center" wrapText="1"/>
    </xf>
    <xf numFmtId="3" fontId="28" fillId="15" borderId="12" xfId="0" applyNumberFormat="1" applyFont="1" applyFill="1" applyBorder="1" applyAlignment="1">
      <alignment horizontal="center"/>
    </xf>
    <xf numFmtId="1" fontId="28" fillId="15" borderId="10" xfId="0" applyNumberFormat="1" applyFont="1" applyFill="1" applyBorder="1" applyAlignment="1">
      <alignment horizontal="left"/>
    </xf>
    <xf numFmtId="0" fontId="31" fillId="15" borderId="0" xfId="0" applyFont="1" applyFill="1"/>
    <xf numFmtId="164" fontId="28" fillId="6" borderId="10" xfId="0" applyNumberFormat="1" applyFont="1" applyFill="1" applyBorder="1" applyAlignment="1">
      <alignment horizontal="left" wrapText="1"/>
    </xf>
    <xf numFmtId="164" fontId="28" fillId="6" borderId="10" xfId="0" applyNumberFormat="1" applyFont="1" applyFill="1" applyBorder="1" applyAlignment="1">
      <alignment horizontal="left"/>
    </xf>
    <xf numFmtId="1" fontId="28" fillId="6" borderId="10" xfId="0" applyNumberFormat="1" applyFont="1" applyFill="1" applyBorder="1" applyAlignment="1">
      <alignment horizontal="left"/>
    </xf>
    <xf numFmtId="164" fontId="18" fillId="6" borderId="10" xfId="0" applyNumberFormat="1" applyFont="1" applyFill="1" applyBorder="1" applyAlignment="1">
      <alignment horizontal="left"/>
    </xf>
    <xf numFmtId="0" fontId="28" fillId="6" borderId="10" xfId="0" applyFont="1" applyFill="1" applyBorder="1" applyAlignment="1">
      <alignment horizontal="left" wrapText="1"/>
    </xf>
    <xf numFmtId="4" fontId="28" fillId="6" borderId="10" xfId="0" applyNumberFormat="1" applyFont="1" applyFill="1" applyBorder="1" applyAlignment="1">
      <alignment wrapText="1"/>
    </xf>
    <xf numFmtId="9" fontId="18" fillId="6" borderId="10" xfId="0" applyNumberFormat="1" applyFont="1" applyFill="1" applyBorder="1" applyAlignment="1">
      <alignment horizontal="center" wrapText="1"/>
    </xf>
    <xf numFmtId="3" fontId="28" fillId="6" borderId="10" xfId="0" applyNumberFormat="1" applyFont="1" applyFill="1" applyBorder="1" applyAlignment="1">
      <alignment horizontal="center"/>
    </xf>
    <xf numFmtId="3" fontId="28" fillId="6" borderId="13" xfId="0" applyNumberFormat="1" applyFont="1" applyFill="1" applyBorder="1" applyAlignment="1">
      <alignment horizontal="center" wrapText="1"/>
    </xf>
    <xf numFmtId="164" fontId="28" fillId="6" borderId="10" xfId="0" applyNumberFormat="1" applyFont="1" applyFill="1" applyBorder="1" applyAlignment="1">
      <alignment horizontal="center"/>
    </xf>
    <xf numFmtId="0" fontId="0" fillId="6" borderId="0" xfId="0" applyFill="1"/>
    <xf numFmtId="164" fontId="28" fillId="13" borderId="10" xfId="0" applyNumberFormat="1" applyFont="1" applyFill="1" applyBorder="1" applyAlignment="1">
      <alignment horizontal="left"/>
    </xf>
    <xf numFmtId="164" fontId="18" fillId="13" borderId="10" xfId="0" applyNumberFormat="1" applyFont="1" applyFill="1" applyBorder="1" applyAlignment="1">
      <alignment horizontal="left"/>
    </xf>
    <xf numFmtId="0" fontId="28" fillId="13" borderId="10" xfId="0" applyFont="1" applyFill="1" applyBorder="1" applyAlignment="1">
      <alignment horizontal="left" wrapText="1"/>
    </xf>
    <xf numFmtId="49" fontId="28" fillId="13" borderId="10" xfId="0" applyNumberFormat="1" applyFont="1" applyFill="1" applyBorder="1" applyAlignment="1">
      <alignment horizontal="center" wrapText="1"/>
    </xf>
    <xf numFmtId="2" fontId="28" fillId="13" borderId="10" xfId="0" applyNumberFormat="1" applyFont="1" applyFill="1" applyBorder="1" applyAlignment="1">
      <alignment horizontal="left"/>
    </xf>
    <xf numFmtId="2" fontId="28" fillId="13" borderId="10" xfId="0" applyNumberFormat="1" applyFont="1" applyFill="1" applyBorder="1" applyAlignment="1">
      <alignment horizontal="center"/>
    </xf>
    <xf numFmtId="3" fontId="28" fillId="13" borderId="10" xfId="0" applyNumberFormat="1" applyFont="1" applyFill="1" applyBorder="1" applyAlignment="1">
      <alignment horizontal="center"/>
    </xf>
    <xf numFmtId="3" fontId="18" fillId="13" borderId="10" xfId="0" applyNumberFormat="1" applyFont="1" applyFill="1" applyBorder="1" applyAlignment="1">
      <alignment horizontal="center"/>
    </xf>
    <xf numFmtId="0" fontId="31" fillId="13" borderId="10" xfId="0" applyFont="1" applyFill="1" applyBorder="1" applyAlignment="1">
      <alignment horizontal="center"/>
    </xf>
    <xf numFmtId="164" fontId="28" fillId="13" borderId="10" xfId="0" applyNumberFormat="1" applyFont="1" applyFill="1" applyBorder="1" applyAlignment="1">
      <alignment horizontal="center"/>
    </xf>
    <xf numFmtId="0" fontId="35" fillId="11" borderId="10" xfId="0" applyFont="1" applyFill="1" applyBorder="1" applyAlignment="1">
      <alignment wrapText="1"/>
    </xf>
    <xf numFmtId="1" fontId="18" fillId="11" borderId="10" xfId="0" applyNumberFormat="1" applyFont="1" applyFill="1" applyBorder="1" applyAlignment="1">
      <alignment horizontal="left" wrapText="1"/>
    </xf>
    <xf numFmtId="0" fontId="36" fillId="11" borderId="10" xfId="0" applyFont="1" applyFill="1" applyBorder="1" applyAlignment="1">
      <alignment horizontal="center"/>
    </xf>
    <xf numFmtId="49" fontId="0" fillId="3" borderId="10" xfId="0" applyNumberFormat="1" applyFill="1" applyBorder="1" applyAlignment="1">
      <alignment horizontal="center" wrapText="1"/>
    </xf>
    <xf numFmtId="0" fontId="4" fillId="3" borderId="10" xfId="0" applyFont="1" applyFill="1" applyBorder="1"/>
    <xf numFmtId="0" fontId="4" fillId="3" borderId="10" xfId="0" applyFont="1" applyFill="1" applyBorder="1" applyAlignment="1">
      <alignment horizontal="center"/>
    </xf>
    <xf numFmtId="4" fontId="31" fillId="3" borderId="10" xfId="0" applyNumberFormat="1" applyFont="1" applyFill="1" applyBorder="1" applyAlignment="1">
      <alignment vertical="center" wrapText="1"/>
    </xf>
    <xf numFmtId="0" fontId="28" fillId="3" borderId="10" xfId="0" applyFont="1" applyFill="1" applyBorder="1" applyAlignment="1">
      <alignment horizontal="left" vertical="center" wrapText="1"/>
    </xf>
    <xf numFmtId="0" fontId="30" fillId="0" borderId="0" xfId="0" applyFont="1"/>
    <xf numFmtId="0" fontId="30" fillId="3" borderId="10" xfId="0" applyFont="1" applyFill="1" applyBorder="1" applyAlignment="1">
      <alignment horizontal="left"/>
    </xf>
    <xf numFmtId="3" fontId="19" fillId="3" borderId="10" xfId="0" applyNumberFormat="1" applyFont="1" applyFill="1" applyBorder="1" applyAlignment="1">
      <alignment horizontal="center" wrapText="1"/>
    </xf>
    <xf numFmtId="49" fontId="28" fillId="3" borderId="10" xfId="0" quotePrefix="1" applyNumberFormat="1" applyFont="1" applyFill="1" applyBorder="1" applyAlignment="1">
      <alignment horizontal="center" vertical="center" wrapText="1"/>
    </xf>
    <xf numFmtId="2" fontId="34" fillId="3" borderId="10" xfId="0" applyNumberFormat="1" applyFont="1" applyFill="1" applyBorder="1" applyAlignment="1">
      <alignment horizontal="center"/>
    </xf>
    <xf numFmtId="0" fontId="16" fillId="3" borderId="10" xfId="0" applyFont="1" applyFill="1" applyBorder="1" applyAlignment="1">
      <alignment horizontal="center"/>
    </xf>
    <xf numFmtId="1" fontId="18" fillId="3" borderId="10" xfId="0" applyNumberFormat="1" applyFont="1" applyFill="1" applyBorder="1" applyAlignment="1">
      <alignment horizontal="center" wrapText="1"/>
    </xf>
    <xf numFmtId="0" fontId="30" fillId="3" borderId="0" xfId="0" applyFont="1" applyFill="1"/>
    <xf numFmtId="0" fontId="30" fillId="0" borderId="0" xfId="0" applyFont="1" applyAlignment="1">
      <alignment wrapText="1"/>
    </xf>
    <xf numFmtId="164" fontId="18" fillId="17" borderId="10" xfId="0" applyNumberFormat="1" applyFont="1" applyFill="1" applyBorder="1" applyAlignment="1">
      <alignment horizontal="left" wrapText="1"/>
    </xf>
    <xf numFmtId="0" fontId="28" fillId="17" borderId="10" xfId="0" applyFont="1" applyFill="1" applyBorder="1" applyAlignment="1">
      <alignment horizontal="left" wrapText="1"/>
    </xf>
    <xf numFmtId="49" fontId="28" fillId="17" borderId="10" xfId="0" applyNumberFormat="1" applyFont="1" applyFill="1" applyBorder="1" applyAlignment="1">
      <alignment horizontal="center" wrapText="1"/>
    </xf>
    <xf numFmtId="2" fontId="28" fillId="17" borderId="10" xfId="0" applyNumberFormat="1" applyFont="1" applyFill="1" applyBorder="1" applyAlignment="1">
      <alignment horizontal="left" wrapText="1"/>
    </xf>
    <xf numFmtId="2" fontId="28" fillId="17" borderId="10" xfId="0" applyNumberFormat="1" applyFont="1" applyFill="1" applyBorder="1" applyAlignment="1">
      <alignment horizontal="center" wrapText="1"/>
    </xf>
    <xf numFmtId="3" fontId="28" fillId="17" borderId="10" xfId="0" applyNumberFormat="1" applyFont="1" applyFill="1" applyBorder="1" applyAlignment="1">
      <alignment horizontal="center" wrapText="1"/>
    </xf>
    <xf numFmtId="3" fontId="18" fillId="17" borderId="10" xfId="0" applyNumberFormat="1" applyFont="1" applyFill="1" applyBorder="1" applyAlignment="1">
      <alignment horizontal="center" wrapText="1"/>
    </xf>
    <xf numFmtId="0" fontId="28" fillId="3" borderId="10" xfId="2" applyNumberFormat="1" applyFont="1" applyFill="1" applyBorder="1" applyAlignment="1">
      <alignment horizontal="left" wrapText="1"/>
    </xf>
    <xf numFmtId="0" fontId="28" fillId="3" borderId="10" xfId="2" applyFont="1" applyFill="1" applyBorder="1" applyAlignment="1">
      <alignment horizontal="left" wrapText="1"/>
    </xf>
    <xf numFmtId="2" fontId="28" fillId="3" borderId="10" xfId="2" applyNumberFormat="1" applyFont="1" applyFill="1" applyBorder="1" applyAlignment="1">
      <alignment horizontal="left" vertical="top" wrapText="1"/>
    </xf>
    <xf numFmtId="3" fontId="18" fillId="15" borderId="9" xfId="0" applyNumberFormat="1" applyFont="1" applyFill="1" applyBorder="1" applyAlignment="1">
      <alignment horizontal="center"/>
    </xf>
    <xf numFmtId="3" fontId="28" fillId="15" borderId="9" xfId="0" applyNumberFormat="1" applyFont="1" applyFill="1" applyBorder="1" applyAlignment="1">
      <alignment horizontal="center"/>
    </xf>
    <xf numFmtId="3" fontId="28" fillId="15" borderId="13" xfId="0" applyNumberFormat="1" applyFont="1" applyFill="1" applyBorder="1" applyAlignment="1">
      <alignment horizontal="center"/>
    </xf>
    <xf numFmtId="0" fontId="0" fillId="6" borderId="0" xfId="0" applyFill="1" applyAlignment="1">
      <alignment wrapText="1"/>
    </xf>
    <xf numFmtId="164" fontId="18" fillId="16" borderId="10" xfId="0" applyNumberFormat="1" applyFont="1" applyFill="1" applyBorder="1" applyAlignment="1">
      <alignment horizontal="left"/>
    </xf>
    <xf numFmtId="0" fontId="28" fillId="16" borderId="10" xfId="0" applyFont="1" applyFill="1" applyBorder="1" applyAlignment="1">
      <alignment wrapText="1"/>
    </xf>
    <xf numFmtId="2" fontId="28" fillId="16" borderId="10" xfId="0" applyNumberFormat="1" applyFont="1" applyFill="1" applyBorder="1" applyAlignment="1">
      <alignment horizontal="left"/>
    </xf>
    <xf numFmtId="3" fontId="28" fillId="16" borderId="12" xfId="0" applyNumberFormat="1" applyFont="1" applyFill="1" applyBorder="1" applyAlignment="1">
      <alignment horizontal="center"/>
    </xf>
    <xf numFmtId="0" fontId="0" fillId="16" borderId="10" xfId="0" applyFill="1" applyBorder="1" applyAlignment="1">
      <alignment horizontal="center"/>
    </xf>
    <xf numFmtId="3" fontId="28" fillId="16" borderId="13" xfId="0" applyNumberFormat="1" applyFont="1" applyFill="1" applyBorder="1" applyAlignment="1">
      <alignment horizontal="center"/>
    </xf>
    <xf numFmtId="0" fontId="31" fillId="15" borderId="10" xfId="0" quotePrefix="1" applyFont="1" applyFill="1" applyBorder="1" applyAlignment="1">
      <alignment horizontal="center" wrapText="1"/>
    </xf>
    <xf numFmtId="0" fontId="31" fillId="15" borderId="10" xfId="0" applyFont="1" applyFill="1" applyBorder="1" applyAlignment="1">
      <alignment horizontal="left" wrapText="1"/>
    </xf>
    <xf numFmtId="1" fontId="18" fillId="15" borderId="10" xfId="0" applyNumberFormat="1" applyFont="1" applyFill="1" applyBorder="1" applyAlignment="1">
      <alignment horizontal="center"/>
    </xf>
    <xf numFmtId="3" fontId="28" fillId="3" borderId="12" xfId="0" applyNumberFormat="1" applyFont="1" applyFill="1" applyBorder="1" applyAlignment="1">
      <alignment horizontal="center"/>
    </xf>
    <xf numFmtId="3" fontId="28" fillId="3" borderId="13" xfId="0" applyNumberFormat="1" applyFont="1" applyFill="1" applyBorder="1" applyAlignment="1">
      <alignment horizontal="center"/>
    </xf>
    <xf numFmtId="164" fontId="28" fillId="3" borderId="10" xfId="0" applyNumberFormat="1" applyFont="1" applyFill="1" applyBorder="1" applyAlignment="1">
      <alignment horizontal="center" wrapText="1"/>
    </xf>
    <xf numFmtId="4" fontId="31" fillId="15" borderId="10" xfId="0" applyNumberFormat="1" applyFont="1" applyFill="1" applyBorder="1" applyAlignment="1">
      <alignment vertical="center" wrapText="1"/>
    </xf>
    <xf numFmtId="0" fontId="16" fillId="15" borderId="10" xfId="0" applyFont="1" applyFill="1" applyBorder="1" applyAlignment="1">
      <alignment horizontal="center"/>
    </xf>
    <xf numFmtId="2" fontId="31" fillId="15" borderId="10" xfId="0" applyNumberFormat="1" applyFont="1" applyFill="1" applyBorder="1" applyAlignment="1">
      <alignment horizontal="center"/>
    </xf>
    <xf numFmtId="0" fontId="28" fillId="15" borderId="10" xfId="0" quotePrefix="1" applyFont="1" applyFill="1" applyBorder="1" applyAlignment="1">
      <alignment horizontal="left" wrapText="1"/>
    </xf>
    <xf numFmtId="1" fontId="28" fillId="3" borderId="10" xfId="0" applyNumberFormat="1" applyFont="1" applyFill="1" applyBorder="1" applyAlignment="1">
      <alignment horizontal="left"/>
    </xf>
    <xf numFmtId="49" fontId="28" fillId="15" borderId="10" xfId="0" applyNumberFormat="1" applyFont="1" applyFill="1" applyBorder="1" applyAlignment="1">
      <alignment horizontal="center" vertical="center" wrapText="1"/>
    </xf>
    <xf numFmtId="49" fontId="30" fillId="15" borderId="10" xfId="0" applyNumberFormat="1" applyFont="1" applyFill="1" applyBorder="1" applyAlignment="1">
      <alignment horizontal="center" wrapText="1"/>
    </xf>
    <xf numFmtId="3" fontId="30" fillId="15" borderId="10" xfId="0" applyNumberFormat="1" applyFont="1" applyFill="1" applyBorder="1" applyAlignment="1">
      <alignment horizontal="center"/>
    </xf>
    <xf numFmtId="0" fontId="4" fillId="15" borderId="10" xfId="0" applyFont="1" applyFill="1" applyBorder="1" applyAlignment="1">
      <alignment horizontal="center"/>
    </xf>
    <xf numFmtId="0" fontId="31" fillId="3" borderId="10" xfId="0" applyFont="1" applyFill="1" applyBorder="1"/>
    <xf numFmtId="0" fontId="31" fillId="15" borderId="0" xfId="0" applyFont="1" applyFill="1" applyAlignment="1">
      <alignment wrapText="1"/>
    </xf>
    <xf numFmtId="1" fontId="28" fillId="6" borderId="10" xfId="0" applyNumberFormat="1" applyFont="1" applyFill="1" applyBorder="1" applyAlignment="1">
      <alignment horizontal="left" wrapText="1"/>
    </xf>
    <xf numFmtId="0" fontId="31" fillId="6" borderId="10" xfId="0" applyFont="1" applyFill="1" applyBorder="1" applyAlignment="1">
      <alignment wrapText="1"/>
    </xf>
    <xf numFmtId="3" fontId="28" fillId="6" borderId="12" xfId="0" applyNumberFormat="1" applyFont="1" applyFill="1" applyBorder="1" applyAlignment="1">
      <alignment horizontal="center" wrapText="1"/>
    </xf>
    <xf numFmtId="0" fontId="31" fillId="6" borderId="10" xfId="0" applyFont="1" applyFill="1" applyBorder="1" applyAlignment="1">
      <alignment horizontal="center"/>
    </xf>
    <xf numFmtId="164" fontId="28" fillId="0" borderId="10" xfId="0" applyNumberFormat="1" applyFont="1" applyBorder="1" applyAlignment="1">
      <alignment horizontal="left" wrapText="1"/>
    </xf>
    <xf numFmtId="1" fontId="28" fillId="0" borderId="10" xfId="0" applyNumberFormat="1" applyFont="1" applyBorder="1" applyAlignment="1">
      <alignment horizontal="left" wrapText="1"/>
    </xf>
    <xf numFmtId="164" fontId="18" fillId="0" borderId="10" xfId="0" applyNumberFormat="1" applyFont="1" applyBorder="1" applyAlignment="1">
      <alignment horizontal="left"/>
    </xf>
    <xf numFmtId="0" fontId="28" fillId="0" borderId="10" xfId="0" applyFont="1" applyBorder="1" applyAlignment="1">
      <alignment horizontal="left" wrapText="1"/>
    </xf>
    <xf numFmtId="0" fontId="31" fillId="0" borderId="10" xfId="0" applyFont="1" applyBorder="1" applyAlignment="1">
      <alignment wrapText="1"/>
    </xf>
    <xf numFmtId="49" fontId="28" fillId="0" borderId="10" xfId="0" applyNumberFormat="1" applyFont="1" applyBorder="1" applyAlignment="1">
      <alignment horizontal="center" wrapText="1"/>
    </xf>
    <xf numFmtId="2" fontId="28" fillId="0" borderId="10" xfId="0" applyNumberFormat="1" applyFont="1" applyBorder="1" applyAlignment="1">
      <alignment horizontal="left" wrapText="1"/>
    </xf>
    <xf numFmtId="2" fontId="28" fillId="0" borderId="10" xfId="0" applyNumberFormat="1" applyFont="1" applyBorder="1" applyAlignment="1">
      <alignment horizontal="center" wrapText="1"/>
    </xf>
    <xf numFmtId="3" fontId="28" fillId="0" borderId="10" xfId="0" applyNumberFormat="1" applyFont="1" applyBorder="1" applyAlignment="1">
      <alignment horizontal="center" wrapText="1"/>
    </xf>
    <xf numFmtId="3" fontId="18" fillId="0" borderId="10" xfId="0" applyNumberFormat="1" applyFont="1" applyBorder="1" applyAlignment="1">
      <alignment horizontal="center" wrapText="1"/>
    </xf>
    <xf numFmtId="3" fontId="28" fillId="0" borderId="12" xfId="0" applyNumberFormat="1" applyFont="1" applyBorder="1" applyAlignment="1">
      <alignment horizontal="center" wrapText="1"/>
    </xf>
    <xf numFmtId="9" fontId="18" fillId="0" borderId="10" xfId="0" applyNumberFormat="1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3" fontId="28" fillId="0" borderId="13" xfId="0" applyNumberFormat="1" applyFont="1" applyBorder="1" applyAlignment="1">
      <alignment horizontal="center" wrapText="1"/>
    </xf>
    <xf numFmtId="164" fontId="28" fillId="0" borderId="10" xfId="0" applyNumberFormat="1" applyFont="1" applyBorder="1" applyAlignment="1">
      <alignment horizontal="center"/>
    </xf>
    <xf numFmtId="1" fontId="28" fillId="13" borderId="10" xfId="0" applyNumberFormat="1" applyFont="1" applyFill="1" applyBorder="1" applyAlignment="1">
      <alignment horizontal="left"/>
    </xf>
    <xf numFmtId="0" fontId="28" fillId="13" borderId="10" xfId="0" applyFont="1" applyFill="1" applyBorder="1" applyAlignment="1">
      <alignment wrapText="1"/>
    </xf>
    <xf numFmtId="0" fontId="31" fillId="13" borderId="10" xfId="0" applyFont="1" applyFill="1" applyBorder="1" applyAlignment="1">
      <alignment wrapText="1"/>
    </xf>
    <xf numFmtId="2" fontId="28" fillId="13" borderId="10" xfId="0" applyNumberFormat="1" applyFont="1" applyFill="1" applyBorder="1" applyAlignment="1">
      <alignment horizontal="center" wrapText="1"/>
    </xf>
    <xf numFmtId="3" fontId="28" fillId="13" borderId="10" xfId="0" applyNumberFormat="1" applyFont="1" applyFill="1" applyBorder="1" applyAlignment="1">
      <alignment horizontal="center" wrapText="1"/>
    </xf>
    <xf numFmtId="3" fontId="18" fillId="13" borderId="10" xfId="0" applyNumberFormat="1" applyFont="1" applyFill="1" applyBorder="1" applyAlignment="1">
      <alignment horizontal="center" wrapText="1"/>
    </xf>
    <xf numFmtId="3" fontId="28" fillId="13" borderId="12" xfId="0" applyNumberFormat="1" applyFont="1" applyFill="1" applyBorder="1" applyAlignment="1">
      <alignment horizontal="center" wrapText="1"/>
    </xf>
    <xf numFmtId="9" fontId="18" fillId="13" borderId="10" xfId="0" applyNumberFormat="1" applyFont="1" applyFill="1" applyBorder="1" applyAlignment="1">
      <alignment horizontal="center" wrapText="1"/>
    </xf>
    <xf numFmtId="3" fontId="28" fillId="13" borderId="13" xfId="0" applyNumberFormat="1" applyFont="1" applyFill="1" applyBorder="1" applyAlignment="1">
      <alignment horizontal="center" wrapText="1"/>
    </xf>
    <xf numFmtId="164" fontId="28" fillId="8" borderId="10" xfId="0" applyNumberFormat="1" applyFont="1" applyFill="1" applyBorder="1" applyAlignment="1">
      <alignment horizontal="left"/>
    </xf>
    <xf numFmtId="164" fontId="18" fillId="8" borderId="10" xfId="0" applyNumberFormat="1" applyFont="1" applyFill="1" applyBorder="1" applyAlignment="1">
      <alignment horizontal="left"/>
    </xf>
    <xf numFmtId="0" fontId="28" fillId="8" borderId="10" xfId="0" applyFont="1" applyFill="1" applyBorder="1" applyAlignment="1">
      <alignment horizontal="left" wrapText="1"/>
    </xf>
    <xf numFmtId="49" fontId="28" fillId="8" borderId="10" xfId="0" applyNumberFormat="1" applyFont="1" applyFill="1" applyBorder="1" applyAlignment="1">
      <alignment horizontal="center" wrapText="1"/>
    </xf>
    <xf numFmtId="49" fontId="28" fillId="8" borderId="10" xfId="0" quotePrefix="1" applyNumberFormat="1" applyFont="1" applyFill="1" applyBorder="1" applyAlignment="1">
      <alignment horizontal="left" wrapText="1"/>
    </xf>
    <xf numFmtId="2" fontId="28" fillId="8" borderId="10" xfId="0" applyNumberFormat="1" applyFont="1" applyFill="1" applyBorder="1" applyAlignment="1">
      <alignment horizontal="left" wrapText="1"/>
    </xf>
    <xf numFmtId="2" fontId="28" fillId="8" borderId="10" xfId="0" applyNumberFormat="1" applyFont="1" applyFill="1" applyBorder="1" applyAlignment="1">
      <alignment horizontal="center" wrapText="1"/>
    </xf>
    <xf numFmtId="3" fontId="28" fillId="8" borderId="10" xfId="0" applyNumberFormat="1" applyFont="1" applyFill="1" applyBorder="1" applyAlignment="1">
      <alignment horizontal="center" wrapText="1"/>
    </xf>
    <xf numFmtId="3" fontId="18" fillId="8" borderId="10" xfId="0" applyNumberFormat="1" applyFont="1" applyFill="1" applyBorder="1" applyAlignment="1">
      <alignment horizontal="center" wrapText="1"/>
    </xf>
    <xf numFmtId="3" fontId="28" fillId="8" borderId="12" xfId="0" applyNumberFormat="1" applyFont="1" applyFill="1" applyBorder="1" applyAlignment="1">
      <alignment horizontal="center" wrapText="1"/>
    </xf>
    <xf numFmtId="9" fontId="18" fillId="8" borderId="10" xfId="0" applyNumberFormat="1" applyFont="1" applyFill="1" applyBorder="1" applyAlignment="1">
      <alignment horizontal="center" wrapText="1"/>
    </xf>
    <xf numFmtId="0" fontId="31" fillId="8" borderId="10" xfId="0" applyFont="1" applyFill="1" applyBorder="1" applyAlignment="1">
      <alignment horizontal="center"/>
    </xf>
    <xf numFmtId="3" fontId="28" fillId="8" borderId="13" xfId="0" applyNumberFormat="1" applyFont="1" applyFill="1" applyBorder="1" applyAlignment="1">
      <alignment horizontal="center" wrapText="1"/>
    </xf>
    <xf numFmtId="164" fontId="28" fillId="8" borderId="10" xfId="0" applyNumberFormat="1" applyFont="1" applyFill="1" applyBorder="1" applyAlignment="1">
      <alignment horizontal="center"/>
    </xf>
    <xf numFmtId="49" fontId="28" fillId="13" borderId="10" xfId="0" quotePrefix="1" applyNumberFormat="1" applyFont="1" applyFill="1" applyBorder="1" applyAlignment="1">
      <alignment horizontal="left" wrapText="1"/>
    </xf>
    <xf numFmtId="2" fontId="28" fillId="13" borderId="10" xfId="0" applyNumberFormat="1" applyFont="1" applyFill="1" applyBorder="1" applyAlignment="1">
      <alignment horizontal="left" wrapText="1"/>
    </xf>
    <xf numFmtId="49" fontId="37" fillId="11" borderId="10" xfId="0" applyNumberFormat="1" applyFont="1" applyFill="1" applyBorder="1" applyAlignment="1">
      <alignment horizontal="center" wrapText="1"/>
    </xf>
    <xf numFmtId="0" fontId="26" fillId="11" borderId="12" xfId="0" applyFont="1" applyFill="1" applyBorder="1"/>
    <xf numFmtId="0" fontId="26" fillId="11" borderId="13" xfId="0" applyFont="1" applyFill="1" applyBorder="1"/>
    <xf numFmtId="3" fontId="30" fillId="3" borderId="12" xfId="0" applyNumberFormat="1" applyFont="1" applyFill="1" applyBorder="1" applyAlignment="1">
      <alignment horizontal="center" wrapText="1"/>
    </xf>
    <xf numFmtId="3" fontId="30" fillId="3" borderId="13" xfId="0" applyNumberFormat="1" applyFont="1" applyFill="1" applyBorder="1" applyAlignment="1">
      <alignment horizontal="center" wrapText="1"/>
    </xf>
    <xf numFmtId="4" fontId="31" fillId="3" borderId="10" xfId="0" applyNumberFormat="1" applyFont="1" applyFill="1" applyBorder="1" applyAlignment="1">
      <alignment wrapText="1"/>
    </xf>
    <xf numFmtId="1" fontId="19" fillId="3" borderId="10" xfId="0" applyNumberFormat="1" applyFont="1" applyFill="1" applyBorder="1" applyAlignment="1">
      <alignment horizontal="center" wrapText="1"/>
    </xf>
    <xf numFmtId="1" fontId="30" fillId="3" borderId="10" xfId="0" applyNumberFormat="1" applyFont="1" applyFill="1" applyBorder="1" applyAlignment="1">
      <alignment horizontal="center" wrapText="1"/>
    </xf>
    <xf numFmtId="164" fontId="30" fillId="3" borderId="10" xfId="0" applyNumberFormat="1" applyFont="1" applyFill="1" applyBorder="1" applyAlignment="1">
      <alignment horizontal="center" wrapText="1"/>
    </xf>
    <xf numFmtId="2" fontId="19" fillId="3" borderId="10" xfId="0" applyNumberFormat="1" applyFont="1" applyFill="1" applyBorder="1" applyAlignment="1">
      <alignment horizontal="center" wrapText="1"/>
    </xf>
    <xf numFmtId="0" fontId="4" fillId="3" borderId="10" xfId="0" applyFont="1" applyFill="1" applyBorder="1" applyAlignment="1">
      <alignment horizontal="center" wrapText="1"/>
    </xf>
    <xf numFmtId="3" fontId="0" fillId="3" borderId="10" xfId="0" applyNumberFormat="1" applyFill="1" applyBorder="1" applyAlignment="1">
      <alignment horizontal="center" wrapText="1"/>
    </xf>
    <xf numFmtId="3" fontId="4" fillId="3" borderId="10" xfId="0" applyNumberFormat="1" applyFont="1" applyFill="1" applyBorder="1" applyAlignment="1">
      <alignment horizontal="center" wrapText="1"/>
    </xf>
    <xf numFmtId="3" fontId="0" fillId="3" borderId="12" xfId="0" applyNumberFormat="1" applyFill="1" applyBorder="1" applyAlignment="1">
      <alignment horizontal="center" wrapText="1"/>
    </xf>
    <xf numFmtId="0" fontId="30" fillId="3" borderId="10" xfId="0" applyFont="1" applyFill="1" applyBorder="1" applyAlignment="1">
      <alignment horizontal="left" vertical="center" wrapText="1"/>
    </xf>
    <xf numFmtId="49" fontId="30" fillId="3" borderId="10" xfId="0" applyNumberFormat="1" applyFont="1" applyFill="1" applyBorder="1" applyAlignment="1">
      <alignment horizontal="center" vertical="center" wrapText="1"/>
    </xf>
    <xf numFmtId="4" fontId="28" fillId="3" borderId="10" xfId="0" applyNumberFormat="1" applyFont="1" applyFill="1" applyBorder="1" applyAlignment="1">
      <alignment vertical="center" wrapText="1"/>
    </xf>
    <xf numFmtId="2" fontId="30" fillId="3" borderId="10" xfId="0" applyNumberFormat="1" applyFont="1" applyFill="1" applyBorder="1" applyAlignment="1">
      <alignment horizontal="center" vertical="center" wrapText="1"/>
    </xf>
    <xf numFmtId="3" fontId="30" fillId="3" borderId="10" xfId="0" applyNumberFormat="1" applyFont="1" applyFill="1" applyBorder="1" applyAlignment="1">
      <alignment horizontal="center" vertical="center" wrapText="1"/>
    </xf>
    <xf numFmtId="3" fontId="19" fillId="3" borderId="10" xfId="0" applyNumberFormat="1" applyFont="1" applyFill="1" applyBorder="1" applyAlignment="1">
      <alignment horizontal="center" vertical="center" wrapText="1"/>
    </xf>
    <xf numFmtId="3" fontId="30" fillId="3" borderId="12" xfId="0" applyNumberFormat="1" applyFont="1" applyFill="1" applyBorder="1" applyAlignment="1">
      <alignment horizontal="center" vertical="center" wrapText="1"/>
    </xf>
    <xf numFmtId="3" fontId="30" fillId="3" borderId="13" xfId="0" applyNumberFormat="1" applyFont="1" applyFill="1" applyBorder="1" applyAlignment="1">
      <alignment horizontal="center" vertical="center" wrapText="1"/>
    </xf>
    <xf numFmtId="0" fontId="28" fillId="3" borderId="10" xfId="0" applyFont="1" applyFill="1" applyBorder="1" applyAlignment="1">
      <alignment vertical="top" wrapText="1"/>
    </xf>
    <xf numFmtId="49" fontId="28" fillId="3" borderId="10" xfId="0" applyNumberFormat="1" applyFont="1" applyFill="1" applyBorder="1" applyAlignment="1">
      <alignment horizontal="center" vertical="center" wrapText="1"/>
    </xf>
    <xf numFmtId="3" fontId="28" fillId="3" borderId="12" xfId="0" applyNumberFormat="1" applyFont="1" applyFill="1" applyBorder="1" applyAlignment="1">
      <alignment horizontal="center" vertical="center" wrapText="1"/>
    </xf>
    <xf numFmtId="3" fontId="18" fillId="3" borderId="10" xfId="0" applyNumberFormat="1" applyFont="1" applyFill="1" applyBorder="1" applyAlignment="1">
      <alignment horizontal="center" vertical="center" wrapText="1"/>
    </xf>
    <xf numFmtId="3" fontId="28" fillId="3" borderId="10" xfId="0" applyNumberFormat="1" applyFont="1" applyFill="1" applyBorder="1" applyAlignment="1">
      <alignment horizontal="center" vertical="center" wrapText="1"/>
    </xf>
    <xf numFmtId="3" fontId="28" fillId="3" borderId="13" xfId="0" applyNumberFormat="1" applyFont="1" applyFill="1" applyBorder="1" applyAlignment="1">
      <alignment horizontal="center" vertical="center" wrapText="1"/>
    </xf>
    <xf numFmtId="2" fontId="28" fillId="3" borderId="10" xfId="0" applyNumberFormat="1" applyFont="1" applyFill="1" applyBorder="1" applyAlignment="1">
      <alignment horizontal="center" vertical="center" wrapText="1"/>
    </xf>
    <xf numFmtId="49" fontId="31" fillId="3" borderId="10" xfId="0" applyNumberFormat="1" applyFont="1" applyFill="1" applyBorder="1" applyAlignment="1">
      <alignment horizontal="center" wrapText="1"/>
    </xf>
    <xf numFmtId="3" fontId="30" fillId="3" borderId="12" xfId="0" applyNumberFormat="1" applyFont="1" applyFill="1" applyBorder="1" applyAlignment="1">
      <alignment horizontal="center"/>
    </xf>
    <xf numFmtId="1" fontId="30" fillId="3" borderId="10" xfId="0" applyNumberFormat="1" applyFont="1" applyFill="1" applyBorder="1" applyAlignment="1">
      <alignment horizontal="center"/>
    </xf>
    <xf numFmtId="3" fontId="30" fillId="3" borderId="13" xfId="0" applyNumberFormat="1" applyFont="1" applyFill="1" applyBorder="1" applyAlignment="1">
      <alignment horizontal="center"/>
    </xf>
    <xf numFmtId="1" fontId="18" fillId="3" borderId="10" xfId="0" applyNumberFormat="1" applyFont="1" applyFill="1" applyBorder="1" applyAlignment="1">
      <alignment horizontal="center"/>
    </xf>
    <xf numFmtId="1" fontId="28" fillId="3" borderId="10" xfId="0" applyNumberFormat="1" applyFont="1" applyFill="1" applyBorder="1" applyAlignment="1">
      <alignment horizontal="center"/>
    </xf>
    <xf numFmtId="1" fontId="28" fillId="3" borderId="10" xfId="0" applyNumberFormat="1" applyFont="1" applyFill="1" applyBorder="1" applyAlignment="1">
      <alignment horizontal="center" wrapText="1"/>
    </xf>
    <xf numFmtId="0" fontId="18" fillId="3" borderId="10" xfId="0" applyFont="1" applyFill="1" applyBorder="1" applyAlignment="1">
      <alignment horizontal="center" wrapText="1"/>
    </xf>
    <xf numFmtId="0" fontId="31" fillId="3" borderId="10" xfId="0" applyFont="1" applyFill="1" applyBorder="1" applyAlignment="1">
      <alignment horizontal="center" wrapText="1"/>
    </xf>
    <xf numFmtId="0" fontId="28" fillId="8" borderId="10" xfId="0" applyFont="1" applyFill="1" applyBorder="1" applyAlignment="1">
      <alignment horizontal="center" vertical="center" wrapText="1"/>
    </xf>
    <xf numFmtId="0" fontId="28" fillId="8" borderId="10" xfId="0" applyFont="1" applyFill="1" applyBorder="1" applyAlignment="1">
      <alignment horizontal="left"/>
    </xf>
    <xf numFmtId="2" fontId="28" fillId="8" borderId="10" xfId="0" applyNumberFormat="1" applyFont="1" applyFill="1" applyBorder="1" applyAlignment="1">
      <alignment horizontal="left"/>
    </xf>
    <xf numFmtId="2" fontId="28" fillId="8" borderId="10" xfId="0" applyNumberFormat="1" applyFont="1" applyFill="1" applyBorder="1" applyAlignment="1">
      <alignment horizontal="center"/>
    </xf>
    <xf numFmtId="3" fontId="28" fillId="8" borderId="10" xfId="0" applyNumberFormat="1" applyFont="1" applyFill="1" applyBorder="1" applyAlignment="1">
      <alignment horizontal="center"/>
    </xf>
    <xf numFmtId="3" fontId="18" fillId="8" borderId="10" xfId="0" applyNumberFormat="1" applyFont="1" applyFill="1" applyBorder="1" applyAlignment="1">
      <alignment horizontal="center"/>
    </xf>
    <xf numFmtId="3" fontId="28" fillId="8" borderId="12" xfId="0" applyNumberFormat="1" applyFont="1" applyFill="1" applyBorder="1" applyAlignment="1">
      <alignment horizontal="center"/>
    </xf>
    <xf numFmtId="3" fontId="28" fillId="8" borderId="13" xfId="0" applyNumberFormat="1" applyFont="1" applyFill="1" applyBorder="1" applyAlignment="1">
      <alignment horizontal="center"/>
    </xf>
    <xf numFmtId="164" fontId="18" fillId="14" borderId="10" xfId="0" applyNumberFormat="1" applyFont="1" applyFill="1" applyBorder="1" applyAlignment="1">
      <alignment horizontal="left"/>
    </xf>
    <xf numFmtId="0" fontId="28" fillId="14" borderId="10" xfId="0" applyFont="1" applyFill="1" applyBorder="1" applyAlignment="1">
      <alignment horizontal="center" vertical="center" wrapText="1"/>
    </xf>
    <xf numFmtId="0" fontId="28" fillId="14" borderId="10" xfId="0" applyFont="1" applyFill="1" applyBorder="1" applyAlignment="1">
      <alignment horizontal="left"/>
    </xf>
    <xf numFmtId="2" fontId="28" fillId="14" borderId="10" xfId="0" applyNumberFormat="1" applyFont="1" applyFill="1" applyBorder="1" applyAlignment="1">
      <alignment horizontal="left"/>
    </xf>
    <xf numFmtId="2" fontId="28" fillId="14" borderId="10" xfId="0" applyNumberFormat="1" applyFont="1" applyFill="1" applyBorder="1" applyAlignment="1">
      <alignment horizontal="center"/>
    </xf>
    <xf numFmtId="3" fontId="28" fillId="14" borderId="10" xfId="0" applyNumberFormat="1" applyFont="1" applyFill="1" applyBorder="1" applyAlignment="1">
      <alignment horizontal="center"/>
    </xf>
    <xf numFmtId="3" fontId="18" fillId="14" borderId="10" xfId="0" applyNumberFormat="1" applyFont="1" applyFill="1" applyBorder="1" applyAlignment="1">
      <alignment horizontal="center"/>
    </xf>
    <xf numFmtId="3" fontId="28" fillId="14" borderId="12" xfId="0" applyNumberFormat="1" applyFont="1" applyFill="1" applyBorder="1" applyAlignment="1">
      <alignment horizontal="center"/>
    </xf>
    <xf numFmtId="3" fontId="28" fillId="14" borderId="13" xfId="0" applyNumberFormat="1" applyFont="1" applyFill="1" applyBorder="1" applyAlignment="1">
      <alignment horizontal="center"/>
    </xf>
    <xf numFmtId="0" fontId="28" fillId="8" borderId="10" xfId="0" applyFont="1" applyFill="1" applyBorder="1" applyAlignment="1">
      <alignment wrapText="1"/>
    </xf>
    <xf numFmtId="0" fontId="28" fillId="8" borderId="10" xfId="0" applyFont="1" applyFill="1" applyBorder="1" applyAlignment="1">
      <alignment horizontal="center" wrapText="1"/>
    </xf>
    <xf numFmtId="0" fontId="28" fillId="15" borderId="10" xfId="0" quotePrefix="1" applyFont="1" applyFill="1" applyBorder="1" applyAlignment="1">
      <alignment horizontal="center" wrapText="1"/>
    </xf>
    <xf numFmtId="164" fontId="28" fillId="15" borderId="11" xfId="0" applyNumberFormat="1" applyFont="1" applyFill="1" applyBorder="1" applyAlignment="1">
      <alignment horizontal="left"/>
    </xf>
    <xf numFmtId="1" fontId="28" fillId="15" borderId="11" xfId="0" applyNumberFormat="1" applyFont="1" applyFill="1" applyBorder="1" applyAlignment="1">
      <alignment horizontal="left" wrapText="1"/>
    </xf>
    <xf numFmtId="164" fontId="18" fillId="15" borderId="11" xfId="0" applyNumberFormat="1" applyFont="1" applyFill="1" applyBorder="1" applyAlignment="1">
      <alignment horizontal="left"/>
    </xf>
    <xf numFmtId="0" fontId="28" fillId="15" borderId="11" xfId="0" applyFont="1" applyFill="1" applyBorder="1" applyAlignment="1">
      <alignment horizontal="left" wrapText="1"/>
    </xf>
    <xf numFmtId="0" fontId="28" fillId="15" borderId="11" xfId="0" applyFont="1" applyFill="1" applyBorder="1" applyAlignment="1">
      <alignment wrapText="1"/>
    </xf>
    <xf numFmtId="49" fontId="28" fillId="15" borderId="11" xfId="0" applyNumberFormat="1" applyFont="1" applyFill="1" applyBorder="1" applyAlignment="1">
      <alignment horizontal="center" wrapText="1"/>
    </xf>
    <xf numFmtId="2" fontId="28" fillId="15" borderId="11" xfId="0" applyNumberFormat="1" applyFont="1" applyFill="1" applyBorder="1" applyAlignment="1">
      <alignment horizontal="left"/>
    </xf>
    <xf numFmtId="3" fontId="18" fillId="15" borderId="11" xfId="0" applyNumberFormat="1" applyFont="1" applyFill="1" applyBorder="1" applyAlignment="1">
      <alignment horizontal="center"/>
    </xf>
    <xf numFmtId="3" fontId="28" fillId="15" borderId="14" xfId="0" applyNumberFormat="1" applyFont="1" applyFill="1" applyBorder="1" applyAlignment="1">
      <alignment horizontal="center"/>
    </xf>
    <xf numFmtId="9" fontId="18" fillId="15" borderId="11" xfId="0" applyNumberFormat="1" applyFont="1" applyFill="1" applyBorder="1" applyAlignment="1">
      <alignment horizontal="center" wrapText="1"/>
    </xf>
    <xf numFmtId="3" fontId="28" fillId="15" borderId="15" xfId="0" applyNumberFormat="1" applyFont="1" applyFill="1" applyBorder="1" applyAlignment="1">
      <alignment horizontal="center" wrapText="1"/>
    </xf>
    <xf numFmtId="2" fontId="28" fillId="15" borderId="11" xfId="0" applyNumberFormat="1" applyFont="1" applyFill="1" applyBorder="1" applyAlignment="1">
      <alignment horizontal="center" wrapText="1"/>
    </xf>
    <xf numFmtId="164" fontId="28" fillId="15" borderId="11" xfId="0" applyNumberFormat="1" applyFont="1" applyFill="1" applyBorder="1" applyAlignment="1">
      <alignment horizontal="center"/>
    </xf>
    <xf numFmtId="0" fontId="30" fillId="15" borderId="0" xfId="0" applyFont="1" applyFill="1" applyAlignment="1">
      <alignment wrapText="1"/>
    </xf>
    <xf numFmtId="2" fontId="28" fillId="6" borderId="10" xfId="0" applyNumberFormat="1" applyFont="1" applyFill="1" applyBorder="1" applyAlignment="1">
      <alignment horizontal="left"/>
    </xf>
    <xf numFmtId="164" fontId="28" fillId="13" borderId="10" xfId="0" applyNumberFormat="1" applyFont="1" applyFill="1" applyBorder="1" applyAlignment="1">
      <alignment horizontal="left" wrapText="1"/>
    </xf>
    <xf numFmtId="1" fontId="28" fillId="13" borderId="10" xfId="0" applyNumberFormat="1" applyFont="1" applyFill="1" applyBorder="1" applyAlignment="1">
      <alignment horizontal="left" wrapText="1"/>
    </xf>
    <xf numFmtId="164" fontId="18" fillId="13" borderId="10" xfId="0" applyNumberFormat="1" applyFont="1" applyFill="1" applyBorder="1" applyAlignment="1">
      <alignment horizontal="left" wrapText="1"/>
    </xf>
    <xf numFmtId="0" fontId="28" fillId="13" borderId="10" xfId="0" quotePrefix="1" applyFont="1" applyFill="1" applyBorder="1" applyAlignment="1">
      <alignment horizontal="left" wrapText="1"/>
    </xf>
    <xf numFmtId="164" fontId="28" fillId="13" borderId="10" xfId="0" applyNumberFormat="1" applyFont="1" applyFill="1" applyBorder="1" applyAlignment="1">
      <alignment horizontal="center" wrapText="1"/>
    </xf>
    <xf numFmtId="0" fontId="38" fillId="11" borderId="10" xfId="0" applyFont="1" applyFill="1" applyBorder="1" applyAlignment="1">
      <alignment wrapText="1"/>
    </xf>
    <xf numFmtId="49" fontId="28" fillId="3" borderId="10" xfId="0" quotePrefix="1" applyNumberFormat="1" applyFont="1" applyFill="1" applyBorder="1" applyAlignment="1">
      <alignment horizontal="left" wrapText="1"/>
    </xf>
    <xf numFmtId="164" fontId="30" fillId="3" borderId="10" xfId="0" applyNumberFormat="1" applyFont="1" applyFill="1" applyBorder="1" applyAlignment="1">
      <alignment horizontal="left" wrapText="1"/>
    </xf>
    <xf numFmtId="3" fontId="0" fillId="3" borderId="12" xfId="0" applyNumberFormat="1" applyFill="1" applyBorder="1" applyAlignment="1">
      <alignment horizontal="center"/>
    </xf>
    <xf numFmtId="0" fontId="39" fillId="3" borderId="10" xfId="0" applyFont="1" applyFill="1" applyBorder="1" applyAlignment="1">
      <alignment horizontal="justify" wrapText="1"/>
    </xf>
    <xf numFmtId="4" fontId="28" fillId="3" borderId="10" xfId="0" applyNumberFormat="1" applyFont="1" applyFill="1" applyBorder="1"/>
    <xf numFmtId="0" fontId="28" fillId="3" borderId="10" xfId="2" applyNumberFormat="1" applyFont="1" applyFill="1" applyBorder="1" applyAlignment="1">
      <alignment horizontal="left" vertical="top" wrapText="1"/>
    </xf>
    <xf numFmtId="0" fontId="28" fillId="3" borderId="10" xfId="2" applyFont="1" applyFill="1" applyBorder="1" applyAlignment="1">
      <alignment horizontal="left" vertical="top" wrapText="1"/>
    </xf>
    <xf numFmtId="0" fontId="30" fillId="8" borderId="10" xfId="0" applyFont="1" applyFill="1" applyBorder="1" applyAlignment="1">
      <alignment wrapText="1"/>
    </xf>
    <xf numFmtId="49" fontId="30" fillId="8" borderId="10" xfId="0" applyNumberFormat="1" applyFont="1" applyFill="1" applyBorder="1" applyAlignment="1">
      <alignment horizontal="center" wrapText="1"/>
    </xf>
    <xf numFmtId="2" fontId="30" fillId="8" borderId="10" xfId="0" applyNumberFormat="1" applyFont="1" applyFill="1" applyBorder="1" applyAlignment="1">
      <alignment horizontal="center"/>
    </xf>
    <xf numFmtId="3" fontId="30" fillId="8" borderId="10" xfId="0" applyNumberFormat="1" applyFont="1" applyFill="1" applyBorder="1" applyAlignment="1">
      <alignment horizontal="center"/>
    </xf>
    <xf numFmtId="3" fontId="19" fillId="8" borderId="10" xfId="0" applyNumberFormat="1" applyFont="1" applyFill="1" applyBorder="1" applyAlignment="1">
      <alignment horizontal="center"/>
    </xf>
    <xf numFmtId="3" fontId="30" fillId="8" borderId="12" xfId="0" applyNumberFormat="1" applyFont="1" applyFill="1" applyBorder="1" applyAlignment="1">
      <alignment horizontal="center"/>
    </xf>
    <xf numFmtId="3" fontId="30" fillId="8" borderId="13" xfId="0" applyNumberFormat="1" applyFont="1" applyFill="1" applyBorder="1" applyAlignment="1">
      <alignment horizontal="center"/>
    </xf>
    <xf numFmtId="0" fontId="0" fillId="8" borderId="10" xfId="0" applyFill="1" applyBorder="1" applyAlignment="1">
      <alignment wrapText="1"/>
    </xf>
    <xf numFmtId="0" fontId="28" fillId="3" borderId="10" xfId="2" applyFont="1" applyFill="1" applyBorder="1" applyAlignment="1">
      <alignment horizontal="left" vertical="center" wrapText="1"/>
    </xf>
    <xf numFmtId="164" fontId="18" fillId="18" borderId="10" xfId="0" applyNumberFormat="1" applyFont="1" applyFill="1" applyBorder="1" applyAlignment="1">
      <alignment horizontal="left"/>
    </xf>
    <xf numFmtId="0" fontId="28" fillId="18" borderId="10" xfId="0" applyFont="1" applyFill="1" applyBorder="1" applyAlignment="1">
      <alignment wrapText="1"/>
    </xf>
    <xf numFmtId="49" fontId="30" fillId="18" borderId="10" xfId="0" applyNumberFormat="1" applyFont="1" applyFill="1" applyBorder="1" applyAlignment="1">
      <alignment horizontal="center" wrapText="1"/>
    </xf>
    <xf numFmtId="2" fontId="28" fillId="18" borderId="10" xfId="0" applyNumberFormat="1" applyFont="1" applyFill="1" applyBorder="1" applyAlignment="1">
      <alignment horizontal="left"/>
    </xf>
    <xf numFmtId="2" fontId="30" fillId="18" borderId="10" xfId="0" applyNumberFormat="1" applyFont="1" applyFill="1" applyBorder="1" applyAlignment="1">
      <alignment horizontal="center"/>
    </xf>
    <xf numFmtId="3" fontId="30" fillId="18" borderId="10" xfId="0" applyNumberFormat="1" applyFont="1" applyFill="1" applyBorder="1" applyAlignment="1">
      <alignment horizontal="center"/>
    </xf>
    <xf numFmtId="3" fontId="19" fillId="18" borderId="10" xfId="0" applyNumberFormat="1" applyFont="1" applyFill="1" applyBorder="1" applyAlignment="1">
      <alignment horizontal="center"/>
    </xf>
    <xf numFmtId="3" fontId="30" fillId="18" borderId="12" xfId="0" applyNumberFormat="1" applyFont="1" applyFill="1" applyBorder="1" applyAlignment="1">
      <alignment horizontal="center"/>
    </xf>
    <xf numFmtId="3" fontId="30" fillId="18" borderId="13" xfId="0" applyNumberFormat="1" applyFont="1" applyFill="1" applyBorder="1" applyAlignment="1">
      <alignment horizontal="center"/>
    </xf>
    <xf numFmtId="0" fontId="39" fillId="3" borderId="10" xfId="0" applyFont="1" applyFill="1" applyBorder="1" applyAlignment="1">
      <alignment wrapText="1"/>
    </xf>
    <xf numFmtId="3" fontId="0" fillId="3" borderId="13" xfId="0" applyNumberFormat="1" applyFill="1" applyBorder="1" applyAlignment="1">
      <alignment horizontal="center"/>
    </xf>
    <xf numFmtId="0" fontId="28" fillId="3" borderId="10" xfId="0" applyFont="1" applyFill="1" applyBorder="1"/>
    <xf numFmtId="0" fontId="28" fillId="0" borderId="0" xfId="0" applyFont="1"/>
    <xf numFmtId="164" fontId="18" fillId="3" borderId="10" xfId="0" applyNumberFormat="1" applyFont="1" applyFill="1" applyBorder="1" applyAlignment="1">
      <alignment horizontal="left" vertical="center"/>
    </xf>
    <xf numFmtId="2" fontId="28" fillId="3" borderId="10" xfId="0" applyNumberFormat="1" applyFont="1" applyFill="1" applyBorder="1" applyAlignment="1">
      <alignment horizontal="left" vertical="center"/>
    </xf>
    <xf numFmtId="2" fontId="30" fillId="3" borderId="10" xfId="0" applyNumberFormat="1" applyFont="1" applyFill="1" applyBorder="1" applyAlignment="1">
      <alignment horizontal="center" vertical="center"/>
    </xf>
    <xf numFmtId="3" fontId="30" fillId="3" borderId="10" xfId="0" applyNumberFormat="1" applyFont="1" applyFill="1" applyBorder="1" applyAlignment="1">
      <alignment horizontal="center" vertical="center"/>
    </xf>
    <xf numFmtId="3" fontId="19" fillId="3" borderId="10" xfId="0" applyNumberFormat="1" applyFont="1" applyFill="1" applyBorder="1" applyAlignment="1">
      <alignment horizontal="center" vertical="center"/>
    </xf>
    <xf numFmtId="3" fontId="30" fillId="3" borderId="12" xfId="0" applyNumberFormat="1" applyFont="1" applyFill="1" applyBorder="1" applyAlignment="1">
      <alignment horizontal="center" vertical="center"/>
    </xf>
    <xf numFmtId="3" fontId="30" fillId="3" borderId="13" xfId="0" applyNumberFormat="1" applyFont="1" applyFill="1" applyBorder="1" applyAlignment="1">
      <alignment horizontal="center" vertical="center"/>
    </xf>
    <xf numFmtId="2" fontId="34" fillId="3" borderId="10" xfId="0" applyNumberFormat="1" applyFont="1" applyFill="1" applyBorder="1" applyAlignment="1">
      <alignment horizontal="center" wrapText="1"/>
    </xf>
    <xf numFmtId="3" fontId="31" fillId="3" borderId="10" xfId="0" applyNumberFormat="1" applyFont="1" applyFill="1" applyBorder="1" applyAlignment="1">
      <alignment horizontal="center"/>
    </xf>
    <xf numFmtId="3" fontId="16" fillId="3" borderId="10" xfId="0" applyNumberFormat="1" applyFont="1" applyFill="1" applyBorder="1" applyAlignment="1">
      <alignment horizontal="center"/>
    </xf>
    <xf numFmtId="3" fontId="31" fillId="3" borderId="12" xfId="0" applyNumberFormat="1" applyFont="1" applyFill="1" applyBorder="1" applyAlignment="1">
      <alignment horizontal="center"/>
    </xf>
    <xf numFmtId="3" fontId="31" fillId="3" borderId="13" xfId="0" applyNumberFormat="1" applyFont="1" applyFill="1" applyBorder="1" applyAlignment="1">
      <alignment horizontal="center"/>
    </xf>
    <xf numFmtId="164" fontId="28" fillId="3" borderId="11" xfId="0" applyNumberFormat="1" applyFont="1" applyFill="1" applyBorder="1" applyAlignment="1">
      <alignment horizontal="left"/>
    </xf>
    <xf numFmtId="164" fontId="18" fillId="3" borderId="11" xfId="0" applyNumberFormat="1" applyFont="1" applyFill="1" applyBorder="1" applyAlignment="1">
      <alignment horizontal="left"/>
    </xf>
    <xf numFmtId="0" fontId="28" fillId="3" borderId="11" xfId="0" applyFont="1" applyFill="1" applyBorder="1" applyAlignment="1">
      <alignment horizontal="left" wrapText="1"/>
    </xf>
    <xf numFmtId="49" fontId="28" fillId="3" borderId="11" xfId="0" applyNumberFormat="1" applyFont="1" applyFill="1" applyBorder="1" applyAlignment="1">
      <alignment horizontal="center" wrapText="1"/>
    </xf>
    <xf numFmtId="0" fontId="28" fillId="3" borderId="11" xfId="0" applyFont="1" applyFill="1" applyBorder="1" applyAlignment="1">
      <alignment horizontal="left" vertical="center" wrapText="1"/>
    </xf>
    <xf numFmtId="2" fontId="28" fillId="3" borderId="11" xfId="0" applyNumberFormat="1" applyFont="1" applyFill="1" applyBorder="1" applyAlignment="1">
      <alignment horizontal="left"/>
    </xf>
    <xf numFmtId="2" fontId="28" fillId="3" borderId="11" xfId="0" applyNumberFormat="1" applyFont="1" applyFill="1" applyBorder="1" applyAlignment="1">
      <alignment horizontal="center"/>
    </xf>
    <xf numFmtId="3" fontId="28" fillId="3" borderId="11" xfId="0" applyNumberFormat="1" applyFont="1" applyFill="1" applyBorder="1" applyAlignment="1">
      <alignment horizontal="center"/>
    </xf>
    <xf numFmtId="3" fontId="18" fillId="3" borderId="11" xfId="0" applyNumberFormat="1" applyFont="1" applyFill="1" applyBorder="1" applyAlignment="1">
      <alignment horizontal="center"/>
    </xf>
    <xf numFmtId="3" fontId="28" fillId="3" borderId="14" xfId="0" applyNumberFormat="1" applyFont="1" applyFill="1" applyBorder="1" applyAlignment="1">
      <alignment horizontal="center"/>
    </xf>
    <xf numFmtId="3" fontId="28" fillId="3" borderId="15" xfId="0" applyNumberFormat="1" applyFont="1" applyFill="1" applyBorder="1" applyAlignment="1">
      <alignment horizontal="center"/>
    </xf>
    <xf numFmtId="0" fontId="28" fillId="3" borderId="10" xfId="0" quotePrefix="1" applyFont="1" applyFill="1" applyBorder="1" applyAlignment="1">
      <alignment horizontal="left" vertical="center" wrapText="1"/>
    </xf>
    <xf numFmtId="164" fontId="18" fillId="17" borderId="10" xfId="0" applyNumberFormat="1" applyFont="1" applyFill="1" applyBorder="1" applyAlignment="1">
      <alignment horizontal="left"/>
    </xf>
    <xf numFmtId="0" fontId="28" fillId="17" borderId="10" xfId="0" applyFont="1" applyFill="1" applyBorder="1" applyAlignment="1">
      <alignment wrapText="1"/>
    </xf>
    <xf numFmtId="49" fontId="28" fillId="17" borderId="10" xfId="0" quotePrefix="1" applyNumberFormat="1" applyFont="1" applyFill="1" applyBorder="1" applyAlignment="1">
      <alignment horizontal="center" wrapText="1"/>
    </xf>
    <xf numFmtId="164" fontId="28" fillId="17" borderId="10" xfId="0" applyNumberFormat="1" applyFont="1" applyFill="1" applyBorder="1" applyAlignment="1">
      <alignment horizontal="left" wrapText="1"/>
    </xf>
    <xf numFmtId="2" fontId="30" fillId="17" borderId="10" xfId="0" applyNumberFormat="1" applyFont="1" applyFill="1" applyBorder="1" applyAlignment="1">
      <alignment horizontal="center"/>
    </xf>
    <xf numFmtId="3" fontId="28" fillId="17" borderId="10" xfId="0" applyNumberFormat="1" applyFont="1" applyFill="1" applyBorder="1" applyAlignment="1">
      <alignment horizontal="center"/>
    </xf>
    <xf numFmtId="3" fontId="18" fillId="17" borderId="10" xfId="0" applyNumberFormat="1" applyFont="1" applyFill="1" applyBorder="1" applyAlignment="1">
      <alignment horizontal="center"/>
    </xf>
    <xf numFmtId="3" fontId="28" fillId="17" borderId="12" xfId="0" applyNumberFormat="1" applyFont="1" applyFill="1" applyBorder="1" applyAlignment="1">
      <alignment horizontal="center"/>
    </xf>
    <xf numFmtId="3" fontId="28" fillId="17" borderId="13" xfId="0" applyNumberFormat="1" applyFont="1" applyFill="1" applyBorder="1" applyAlignment="1">
      <alignment horizontal="center" wrapText="1"/>
    </xf>
    <xf numFmtId="0" fontId="28" fillId="3" borderId="10" xfId="0" applyFont="1" applyFill="1" applyBorder="1" applyAlignment="1">
      <alignment horizontal="center" vertical="center" wrapText="1"/>
    </xf>
    <xf numFmtId="49" fontId="28" fillId="3" borderId="10" xfId="0" applyNumberFormat="1" applyFont="1" applyFill="1" applyBorder="1" applyAlignment="1">
      <alignment wrapText="1"/>
    </xf>
    <xf numFmtId="0" fontId="28" fillId="8" borderId="12" xfId="0" applyFont="1" applyFill="1" applyBorder="1" applyAlignment="1">
      <alignment wrapText="1"/>
    </xf>
    <xf numFmtId="49" fontId="28" fillId="8" borderId="12" xfId="0" applyNumberFormat="1" applyFont="1" applyFill="1" applyBorder="1" applyAlignment="1">
      <alignment horizontal="center" wrapText="1"/>
    </xf>
    <xf numFmtId="0" fontId="40" fillId="0" borderId="0" xfId="0" applyFont="1"/>
    <xf numFmtId="164" fontId="18" fillId="8" borderId="11" xfId="0" applyNumberFormat="1" applyFont="1" applyFill="1" applyBorder="1" applyAlignment="1">
      <alignment horizontal="left"/>
    </xf>
    <xf numFmtId="0" fontId="28" fillId="8" borderId="11" xfId="0" applyFont="1" applyFill="1" applyBorder="1" applyAlignment="1">
      <alignment horizontal="left" wrapText="1"/>
    </xf>
    <xf numFmtId="49" fontId="28" fillId="8" borderId="11" xfId="0" applyNumberFormat="1" applyFont="1" applyFill="1" applyBorder="1" applyAlignment="1">
      <alignment horizontal="center" wrapText="1"/>
    </xf>
    <xf numFmtId="0" fontId="28" fillId="8" borderId="11" xfId="0" applyFont="1" applyFill="1" applyBorder="1" applyAlignment="1">
      <alignment horizontal="left" vertical="center" wrapText="1"/>
    </xf>
    <xf numFmtId="2" fontId="28" fillId="8" borderId="11" xfId="0" applyNumberFormat="1" applyFont="1" applyFill="1" applyBorder="1" applyAlignment="1">
      <alignment horizontal="left"/>
    </xf>
    <xf numFmtId="2" fontId="28" fillId="8" borderId="11" xfId="0" applyNumberFormat="1" applyFont="1" applyFill="1" applyBorder="1" applyAlignment="1">
      <alignment horizontal="center"/>
    </xf>
    <xf numFmtId="3" fontId="28" fillId="8" borderId="11" xfId="0" applyNumberFormat="1" applyFont="1" applyFill="1" applyBorder="1" applyAlignment="1">
      <alignment horizontal="center"/>
    </xf>
    <xf numFmtId="3" fontId="18" fillId="8" borderId="11" xfId="0" applyNumberFormat="1" applyFont="1" applyFill="1" applyBorder="1" applyAlignment="1">
      <alignment horizontal="center"/>
    </xf>
    <xf numFmtId="3" fontId="28" fillId="8" borderId="14" xfId="0" applyNumberFormat="1" applyFont="1" applyFill="1" applyBorder="1" applyAlignment="1">
      <alignment horizontal="center"/>
    </xf>
    <xf numFmtId="3" fontId="28" fillId="8" borderId="15" xfId="0" applyNumberFormat="1" applyFont="1" applyFill="1" applyBorder="1" applyAlignment="1">
      <alignment horizontal="center"/>
    </xf>
    <xf numFmtId="0" fontId="28" fillId="15" borderId="10" xfId="0" applyFont="1" applyFill="1" applyBorder="1" applyAlignment="1">
      <alignment horizontal="center" wrapText="1"/>
    </xf>
    <xf numFmtId="0" fontId="3" fillId="0" borderId="0" xfId="0" applyFont="1"/>
    <xf numFmtId="3" fontId="19" fillId="16" borderId="10" xfId="0" applyNumberFormat="1" applyFont="1" applyFill="1" applyBorder="1" applyAlignment="1">
      <alignment horizontal="center"/>
    </xf>
    <xf numFmtId="3" fontId="30" fillId="16" borderId="10" xfId="0" applyNumberFormat="1" applyFont="1" applyFill="1" applyBorder="1" applyAlignment="1">
      <alignment horizontal="center"/>
    </xf>
    <xf numFmtId="3" fontId="30" fillId="16" borderId="13" xfId="0" applyNumberFormat="1" applyFont="1" applyFill="1" applyBorder="1" applyAlignment="1">
      <alignment horizontal="center"/>
    </xf>
    <xf numFmtId="2" fontId="30" fillId="16" borderId="10" xfId="0" applyNumberFormat="1" applyFont="1" applyFill="1" applyBorder="1" applyAlignment="1">
      <alignment horizontal="center"/>
    </xf>
    <xf numFmtId="0" fontId="28" fillId="15" borderId="10" xfId="0" applyFont="1" applyFill="1" applyBorder="1" applyAlignment="1">
      <alignment horizontal="left" vertical="center" wrapText="1"/>
    </xf>
    <xf numFmtId="0" fontId="28" fillId="15" borderId="11" xfId="0" applyFont="1" applyFill="1" applyBorder="1" applyAlignment="1">
      <alignment horizontal="left" vertical="center" wrapText="1"/>
    </xf>
    <xf numFmtId="3" fontId="28" fillId="15" borderId="15" xfId="0" applyNumberFormat="1" applyFont="1" applyFill="1" applyBorder="1" applyAlignment="1">
      <alignment horizontal="center"/>
    </xf>
    <xf numFmtId="164" fontId="16" fillId="15" borderId="10" xfId="0" applyNumberFormat="1" applyFont="1" applyFill="1" applyBorder="1" applyAlignment="1">
      <alignment horizontal="left"/>
    </xf>
    <xf numFmtId="0" fontId="28" fillId="15" borderId="10" xfId="0" applyFont="1" applyFill="1" applyBorder="1"/>
    <xf numFmtId="1" fontId="28" fillId="15" borderId="11" xfId="0" applyNumberFormat="1" applyFont="1" applyFill="1" applyBorder="1" applyAlignment="1">
      <alignment horizontal="left"/>
    </xf>
    <xf numFmtId="49" fontId="28" fillId="15" borderId="10" xfId="0" quotePrefix="1" applyNumberFormat="1" applyFont="1" applyFill="1" applyBorder="1" applyAlignment="1">
      <alignment horizontal="center"/>
    </xf>
    <xf numFmtId="0" fontId="18" fillId="15" borderId="10" xfId="0" applyFont="1" applyFill="1" applyBorder="1" applyAlignment="1">
      <alignment wrapText="1"/>
    </xf>
    <xf numFmtId="164" fontId="28" fillId="6" borderId="11" xfId="0" applyNumberFormat="1" applyFont="1" applyFill="1" applyBorder="1" applyAlignment="1">
      <alignment horizontal="left"/>
    </xf>
    <xf numFmtId="2" fontId="28" fillId="6" borderId="10" xfId="0" applyNumberFormat="1" applyFont="1" applyFill="1" applyBorder="1" applyAlignment="1">
      <alignment horizontal="center"/>
    </xf>
    <xf numFmtId="3" fontId="18" fillId="6" borderId="10" xfId="0" applyNumberFormat="1" applyFont="1" applyFill="1" applyBorder="1" applyAlignment="1">
      <alignment horizontal="center"/>
    </xf>
    <xf numFmtId="3" fontId="28" fillId="6" borderId="12" xfId="0" applyNumberFormat="1" applyFont="1" applyFill="1" applyBorder="1" applyAlignment="1">
      <alignment horizontal="center"/>
    </xf>
    <xf numFmtId="49" fontId="28" fillId="13" borderId="10" xfId="0" quotePrefix="1" applyNumberFormat="1" applyFont="1" applyFill="1" applyBorder="1" applyAlignment="1">
      <alignment horizontal="center" wrapText="1"/>
    </xf>
    <xf numFmtId="3" fontId="28" fillId="13" borderId="12" xfId="0" applyNumberFormat="1" applyFont="1" applyFill="1" applyBorder="1" applyAlignment="1">
      <alignment horizontal="center"/>
    </xf>
    <xf numFmtId="0" fontId="0" fillId="13" borderId="0" xfId="0" applyFill="1"/>
    <xf numFmtId="4" fontId="28" fillId="13" borderId="10" xfId="0" applyNumberFormat="1" applyFont="1" applyFill="1" applyBorder="1" applyAlignment="1">
      <alignment wrapText="1"/>
    </xf>
    <xf numFmtId="2" fontId="31" fillId="13" borderId="10" xfId="0" applyNumberFormat="1" applyFont="1" applyFill="1" applyBorder="1" applyAlignment="1">
      <alignment horizontal="center"/>
    </xf>
    <xf numFmtId="0" fontId="0" fillId="19" borderId="0" xfId="0" applyFill="1"/>
    <xf numFmtId="2" fontId="31" fillId="3" borderId="10" xfId="0" applyNumberFormat="1" applyFont="1" applyFill="1" applyBorder="1" applyAlignment="1">
      <alignment horizontal="left" wrapText="1"/>
    </xf>
    <xf numFmtId="3" fontId="0" fillId="3" borderId="13" xfId="0" applyNumberFormat="1" applyFill="1" applyBorder="1" applyAlignment="1">
      <alignment horizontal="center" wrapText="1"/>
    </xf>
    <xf numFmtId="2" fontId="0" fillId="3" borderId="10" xfId="0" applyNumberFormat="1" applyFill="1" applyBorder="1" applyAlignment="1">
      <alignment horizontal="center" wrapText="1"/>
    </xf>
    <xf numFmtId="0" fontId="41" fillId="3" borderId="10" xfId="0" applyFont="1" applyFill="1" applyBorder="1" applyAlignment="1">
      <alignment horizontal="justify" wrapText="1"/>
    </xf>
    <xf numFmtId="0" fontId="39" fillId="8" borderId="10" xfId="0" applyFont="1" applyFill="1" applyBorder="1" applyAlignment="1">
      <alignment wrapText="1"/>
    </xf>
    <xf numFmtId="164" fontId="18" fillId="8" borderId="10" xfId="0" applyNumberFormat="1" applyFont="1" applyFill="1" applyBorder="1" applyAlignment="1">
      <alignment horizontal="left" wrapText="1"/>
    </xf>
    <xf numFmtId="0" fontId="28" fillId="3" borderId="11" xfId="0" applyFont="1" applyFill="1" applyBorder="1" applyAlignment="1">
      <alignment wrapText="1"/>
    </xf>
    <xf numFmtId="0" fontId="0" fillId="0" borderId="10" xfId="0" applyBorder="1"/>
    <xf numFmtId="4" fontId="28" fillId="8" borderId="10" xfId="0" applyNumberFormat="1" applyFont="1" applyFill="1" applyBorder="1" applyAlignment="1">
      <alignment wrapText="1"/>
    </xf>
    <xf numFmtId="0" fontId="31" fillId="6" borderId="0" xfId="0" applyFont="1" applyFill="1"/>
    <xf numFmtId="4" fontId="31" fillId="15" borderId="10" xfId="0" applyNumberFormat="1" applyFont="1" applyFill="1" applyBorder="1" applyAlignment="1">
      <alignment wrapText="1"/>
    </xf>
    <xf numFmtId="0" fontId="31" fillId="13" borderId="0" xfId="0" applyFont="1" applyFill="1" applyAlignment="1">
      <alignment wrapText="1"/>
    </xf>
    <xf numFmtId="49" fontId="31" fillId="15" borderId="10" xfId="0" applyNumberFormat="1" applyFont="1" applyFill="1" applyBorder="1" applyAlignment="1">
      <alignment horizontal="center" wrapText="1"/>
    </xf>
    <xf numFmtId="0" fontId="42" fillId="13" borderId="0" xfId="0" applyFont="1" applyFill="1"/>
    <xf numFmtId="49" fontId="31" fillId="15" borderId="10" xfId="0" quotePrefix="1" applyNumberFormat="1" applyFont="1" applyFill="1" applyBorder="1" applyAlignment="1">
      <alignment horizontal="center" wrapText="1"/>
    </xf>
    <xf numFmtId="2" fontId="31" fillId="15" borderId="10" xfId="0" applyNumberFormat="1" applyFont="1" applyFill="1" applyBorder="1" applyAlignment="1">
      <alignment horizontal="left"/>
    </xf>
    <xf numFmtId="3" fontId="31" fillId="15" borderId="10" xfId="0" applyNumberFormat="1" applyFont="1" applyFill="1" applyBorder="1" applyAlignment="1">
      <alignment horizontal="center"/>
    </xf>
    <xf numFmtId="3" fontId="16" fillId="15" borderId="10" xfId="0" applyNumberFormat="1" applyFont="1" applyFill="1" applyBorder="1" applyAlignment="1">
      <alignment horizontal="center"/>
    </xf>
    <xf numFmtId="3" fontId="31" fillId="15" borderId="12" xfId="0" applyNumberFormat="1" applyFont="1" applyFill="1" applyBorder="1" applyAlignment="1">
      <alignment horizontal="center"/>
    </xf>
    <xf numFmtId="3" fontId="31" fillId="15" borderId="13" xfId="0" applyNumberFormat="1" applyFont="1" applyFill="1" applyBorder="1" applyAlignment="1">
      <alignment horizontal="center"/>
    </xf>
    <xf numFmtId="0" fontId="0" fillId="3" borderId="0" xfId="0" applyFill="1"/>
    <xf numFmtId="164" fontId="28" fillId="8" borderId="11" xfId="0" applyNumberFormat="1" applyFont="1" applyFill="1" applyBorder="1" applyAlignment="1">
      <alignment horizontal="left"/>
    </xf>
    <xf numFmtId="164" fontId="43" fillId="8" borderId="10" xfId="0" applyNumberFormat="1" applyFont="1" applyFill="1" applyBorder="1" applyAlignment="1">
      <alignment horizontal="left" wrapText="1"/>
    </xf>
    <xf numFmtId="1" fontId="28" fillId="8" borderId="10" xfId="0" applyNumberFormat="1" applyFont="1" applyFill="1" applyBorder="1" applyAlignment="1">
      <alignment horizontal="left" wrapText="1"/>
    </xf>
    <xf numFmtId="164" fontId="44" fillId="8" borderId="10" xfId="0" applyNumberFormat="1" applyFont="1" applyFill="1" applyBorder="1" applyAlignment="1">
      <alignment horizontal="left"/>
    </xf>
    <xf numFmtId="0" fontId="43" fillId="8" borderId="10" xfId="0" applyFont="1" applyFill="1" applyBorder="1" applyAlignment="1">
      <alignment horizontal="center" wrapText="1"/>
    </xf>
    <xf numFmtId="0" fontId="43" fillId="8" borderId="10" xfId="0" applyFont="1" applyFill="1" applyBorder="1" applyAlignment="1">
      <alignment horizontal="center" vertical="center" wrapText="1"/>
    </xf>
    <xf numFmtId="0" fontId="43" fillId="8" borderId="10" xfId="0" applyFont="1" applyFill="1" applyBorder="1" applyAlignment="1">
      <alignment horizontal="left"/>
    </xf>
    <xf numFmtId="2" fontId="43" fillId="8" borderId="10" xfId="0" applyNumberFormat="1" applyFont="1" applyFill="1" applyBorder="1" applyAlignment="1">
      <alignment horizontal="left"/>
    </xf>
    <xf numFmtId="2" fontId="43" fillId="8" borderId="10" xfId="0" applyNumberFormat="1" applyFont="1" applyFill="1" applyBorder="1" applyAlignment="1">
      <alignment horizontal="center"/>
    </xf>
    <xf numFmtId="3" fontId="43" fillId="8" borderId="10" xfId="0" applyNumberFormat="1" applyFont="1" applyFill="1" applyBorder="1" applyAlignment="1">
      <alignment horizontal="center"/>
    </xf>
    <xf numFmtId="3" fontId="44" fillId="8" borderId="10" xfId="0" applyNumberFormat="1" applyFont="1" applyFill="1" applyBorder="1" applyAlignment="1">
      <alignment horizontal="center"/>
    </xf>
    <xf numFmtId="164" fontId="43" fillId="8" borderId="10" xfId="0" applyNumberFormat="1" applyFont="1" applyFill="1" applyBorder="1" applyAlignment="1">
      <alignment horizontal="center" wrapText="1"/>
    </xf>
    <xf numFmtId="49" fontId="28" fillId="6" borderId="10" xfId="0" quotePrefix="1" applyNumberFormat="1" applyFont="1" applyFill="1" applyBorder="1" applyAlignment="1">
      <alignment horizontal="center" wrapText="1"/>
    </xf>
    <xf numFmtId="49" fontId="31" fillId="13" borderId="10" xfId="0" quotePrefix="1" applyNumberFormat="1" applyFont="1" applyFill="1" applyBorder="1" applyAlignment="1">
      <alignment horizontal="center" wrapText="1"/>
    </xf>
    <xf numFmtId="0" fontId="31" fillId="13" borderId="10" xfId="0" applyFont="1" applyFill="1" applyBorder="1" applyAlignment="1">
      <alignment horizontal="left" wrapText="1"/>
    </xf>
    <xf numFmtId="2" fontId="31" fillId="13" borderId="10" xfId="0" applyNumberFormat="1" applyFont="1" applyFill="1" applyBorder="1" applyAlignment="1">
      <alignment horizontal="left"/>
    </xf>
    <xf numFmtId="3" fontId="31" fillId="13" borderId="10" xfId="0" applyNumberFormat="1" applyFont="1" applyFill="1" applyBorder="1" applyAlignment="1">
      <alignment horizontal="center"/>
    </xf>
    <xf numFmtId="3" fontId="16" fillId="13" borderId="10" xfId="0" applyNumberFormat="1" applyFont="1" applyFill="1" applyBorder="1" applyAlignment="1">
      <alignment horizontal="center"/>
    </xf>
    <xf numFmtId="3" fontId="31" fillId="13" borderId="12" xfId="0" applyNumberFormat="1" applyFont="1" applyFill="1" applyBorder="1" applyAlignment="1">
      <alignment horizontal="center"/>
    </xf>
    <xf numFmtId="0" fontId="28" fillId="13" borderId="10" xfId="0" applyFont="1" applyFill="1" applyBorder="1"/>
    <xf numFmtId="3" fontId="31" fillId="13" borderId="13" xfId="0" applyNumberFormat="1" applyFont="1" applyFill="1" applyBorder="1" applyAlignment="1">
      <alignment horizontal="center"/>
    </xf>
    <xf numFmtId="4" fontId="28" fillId="3" borderId="10" xfId="0" applyNumberFormat="1" applyFont="1" applyFill="1" applyBorder="1" applyAlignment="1">
      <alignment horizontal="left" wrapText="1"/>
    </xf>
    <xf numFmtId="0" fontId="28" fillId="3" borderId="10" xfId="0" applyFont="1" applyFill="1" applyBorder="1" applyAlignment="1">
      <alignment horizontal="left" vertical="top" wrapText="1"/>
    </xf>
    <xf numFmtId="0" fontId="28" fillId="3" borderId="10" xfId="2" applyFont="1" applyFill="1" applyBorder="1" applyAlignment="1">
      <alignment wrapText="1"/>
    </xf>
    <xf numFmtId="0" fontId="45" fillId="3" borderId="10" xfId="0" applyFont="1" applyFill="1" applyBorder="1" applyAlignment="1">
      <alignment wrapText="1"/>
    </xf>
    <xf numFmtId="164" fontId="18" fillId="18" borderId="10" xfId="0" applyNumberFormat="1" applyFont="1" applyFill="1" applyBorder="1" applyAlignment="1">
      <alignment horizontal="left" wrapText="1"/>
    </xf>
    <xf numFmtId="0" fontId="30" fillId="18" borderId="10" xfId="0" applyFont="1" applyFill="1" applyBorder="1" applyAlignment="1">
      <alignment horizontal="left" wrapText="1"/>
    </xf>
    <xf numFmtId="0" fontId="28" fillId="18" borderId="10" xfId="0" applyFont="1" applyFill="1" applyBorder="1" applyAlignment="1">
      <alignment horizontal="left" vertical="center" wrapText="1"/>
    </xf>
    <xf numFmtId="3" fontId="28" fillId="18" borderId="10" xfId="0" applyNumberFormat="1" applyFont="1" applyFill="1" applyBorder="1" applyAlignment="1">
      <alignment horizontal="center"/>
    </xf>
    <xf numFmtId="0" fontId="30" fillId="6" borderId="0" xfId="0" applyFont="1" applyFill="1"/>
    <xf numFmtId="0" fontId="46" fillId="3" borderId="10" xfId="0" applyFont="1" applyFill="1" applyBorder="1" applyAlignment="1">
      <alignment wrapText="1"/>
    </xf>
    <xf numFmtId="0" fontId="5" fillId="0" borderId="0" xfId="0" applyFont="1"/>
    <xf numFmtId="0" fontId="31" fillId="16" borderId="10" xfId="0" applyFont="1" applyFill="1" applyBorder="1" applyAlignment="1">
      <alignment horizontal="center"/>
    </xf>
    <xf numFmtId="2" fontId="34" fillId="15" borderId="10" xfId="0" applyNumberFormat="1" applyFont="1" applyFill="1" applyBorder="1" applyAlignment="1">
      <alignment horizontal="center" wrapText="1"/>
    </xf>
    <xf numFmtId="0" fontId="28" fillId="15" borderId="10" xfId="0" applyFont="1" applyFill="1" applyBorder="1" applyAlignment="1">
      <alignment horizontal="center"/>
    </xf>
    <xf numFmtId="0" fontId="28" fillId="15" borderId="10" xfId="2" applyFont="1" applyFill="1" applyBorder="1" applyAlignment="1">
      <alignment horizontal="left" wrapText="1"/>
    </xf>
    <xf numFmtId="164" fontId="28" fillId="0" borderId="10" xfId="0" applyNumberFormat="1" applyFont="1" applyBorder="1" applyAlignment="1">
      <alignment horizontal="left"/>
    </xf>
    <xf numFmtId="164" fontId="18" fillId="20" borderId="10" xfId="0" applyNumberFormat="1" applyFont="1" applyFill="1" applyBorder="1" applyAlignment="1">
      <alignment horizontal="left"/>
    </xf>
    <xf numFmtId="0" fontId="28" fillId="20" borderId="10" xfId="0" applyFont="1" applyFill="1" applyBorder="1" applyAlignment="1">
      <alignment horizontal="left" wrapText="1"/>
    </xf>
    <xf numFmtId="49" fontId="28" fillId="20" borderId="10" xfId="0" applyNumberFormat="1" applyFont="1" applyFill="1" applyBorder="1" applyAlignment="1">
      <alignment horizontal="center" wrapText="1"/>
    </xf>
    <xf numFmtId="2" fontId="28" fillId="20" borderId="10" xfId="2" applyNumberFormat="1" applyFont="1" applyFill="1" applyBorder="1" applyAlignment="1">
      <alignment horizontal="left" vertical="top" wrapText="1"/>
    </xf>
    <xf numFmtId="2" fontId="28" fillId="20" borderId="10" xfId="0" applyNumberFormat="1" applyFont="1" applyFill="1" applyBorder="1" applyAlignment="1">
      <alignment horizontal="left"/>
    </xf>
    <xf numFmtId="2" fontId="28" fillId="20" borderId="10" xfId="0" applyNumberFormat="1" applyFont="1" applyFill="1" applyBorder="1" applyAlignment="1">
      <alignment horizontal="center"/>
    </xf>
    <xf numFmtId="3" fontId="28" fillId="20" borderId="10" xfId="0" applyNumberFormat="1" applyFont="1" applyFill="1" applyBorder="1" applyAlignment="1">
      <alignment horizontal="center"/>
    </xf>
    <xf numFmtId="3" fontId="18" fillId="20" borderId="10" xfId="0" applyNumberFormat="1" applyFont="1" applyFill="1" applyBorder="1" applyAlignment="1">
      <alignment horizontal="center"/>
    </xf>
    <xf numFmtId="3" fontId="28" fillId="20" borderId="12" xfId="0" applyNumberFormat="1" applyFont="1" applyFill="1" applyBorder="1" applyAlignment="1">
      <alignment horizontal="center"/>
    </xf>
    <xf numFmtId="3" fontId="28" fillId="20" borderId="13" xfId="0" applyNumberFormat="1" applyFont="1" applyFill="1" applyBorder="1" applyAlignment="1">
      <alignment horizontal="center"/>
    </xf>
    <xf numFmtId="2" fontId="30" fillId="6" borderId="10" xfId="0" applyNumberFormat="1" applyFont="1" applyFill="1" applyBorder="1" applyAlignment="1">
      <alignment horizontal="center"/>
    </xf>
    <xf numFmtId="2" fontId="47" fillId="3" borderId="10" xfId="0" applyNumberFormat="1" applyFont="1" applyFill="1" applyBorder="1" applyAlignment="1">
      <alignment horizontal="center"/>
    </xf>
    <xf numFmtId="0" fontId="28" fillId="0" borderId="10" xfId="0" applyFont="1" applyBorder="1" applyAlignment="1">
      <alignment wrapText="1"/>
    </xf>
    <xf numFmtId="2" fontId="28" fillId="0" borderId="10" xfId="0" applyNumberFormat="1" applyFont="1" applyBorder="1" applyAlignment="1">
      <alignment horizontal="left"/>
    </xf>
    <xf numFmtId="2" fontId="28" fillId="0" borderId="10" xfId="0" applyNumberFormat="1" applyFont="1" applyBorder="1" applyAlignment="1">
      <alignment horizontal="center"/>
    </xf>
    <xf numFmtId="3" fontId="28" fillId="0" borderId="10" xfId="0" applyNumberFormat="1" applyFont="1" applyBorder="1" applyAlignment="1">
      <alignment horizontal="center"/>
    </xf>
    <xf numFmtId="3" fontId="18" fillId="0" borderId="10" xfId="0" applyNumberFormat="1" applyFont="1" applyBorder="1" applyAlignment="1">
      <alignment horizontal="center"/>
    </xf>
    <xf numFmtId="3" fontId="28" fillId="0" borderId="12" xfId="0" applyNumberFormat="1" applyFont="1" applyBorder="1" applyAlignment="1">
      <alignment horizontal="center"/>
    </xf>
    <xf numFmtId="3" fontId="28" fillId="0" borderId="13" xfId="0" applyNumberFormat="1" applyFont="1" applyBorder="1" applyAlignment="1">
      <alignment horizontal="center"/>
    </xf>
    <xf numFmtId="49" fontId="31" fillId="16" borderId="10" xfId="0" applyNumberFormat="1" applyFont="1" applyFill="1" applyBorder="1" applyAlignment="1">
      <alignment horizontal="center" wrapText="1"/>
    </xf>
    <xf numFmtId="164" fontId="28" fillId="15" borderId="10" xfId="0" applyNumberFormat="1" applyFont="1" applyFill="1" applyBorder="1" applyAlignment="1">
      <alignment horizontal="left" vertical="center" wrapText="1"/>
    </xf>
    <xf numFmtId="2" fontId="30" fillId="15" borderId="10" xfId="0" applyNumberFormat="1" applyFont="1" applyFill="1" applyBorder="1" applyAlignment="1">
      <alignment horizontal="center" wrapText="1"/>
    </xf>
    <xf numFmtId="2" fontId="28" fillId="15" borderId="10" xfId="2" applyNumberFormat="1" applyFont="1" applyFill="1" applyBorder="1" applyAlignment="1">
      <alignment horizontal="left" wrapText="1"/>
    </xf>
    <xf numFmtId="2" fontId="28" fillId="15" borderId="10" xfId="2" applyNumberFormat="1" applyFont="1" applyFill="1" applyBorder="1" applyAlignment="1">
      <alignment horizontal="left" vertical="top" wrapText="1"/>
    </xf>
    <xf numFmtId="0" fontId="31" fillId="15" borderId="10" xfId="0" applyFont="1" applyFill="1" applyBorder="1" applyAlignment="1">
      <alignment horizontal="center" wrapText="1"/>
    </xf>
    <xf numFmtId="0" fontId="31" fillId="15" borderId="10" xfId="0" applyFont="1" applyFill="1" applyBorder="1" applyAlignment="1">
      <alignment horizontal="left"/>
    </xf>
    <xf numFmtId="1" fontId="28" fillId="15" borderId="10" xfId="0" applyNumberFormat="1" applyFont="1" applyFill="1" applyBorder="1" applyAlignment="1">
      <alignment horizontal="center"/>
    </xf>
    <xf numFmtId="1" fontId="28" fillId="0" borderId="10" xfId="0" applyNumberFormat="1" applyFont="1" applyBorder="1" applyAlignment="1">
      <alignment horizontal="left"/>
    </xf>
    <xf numFmtId="0" fontId="30" fillId="8" borderId="10" xfId="0" applyFont="1" applyFill="1" applyBorder="1" applyAlignment="1">
      <alignment horizontal="left" wrapText="1"/>
    </xf>
    <xf numFmtId="0" fontId="30" fillId="8" borderId="10" xfId="0" applyFont="1" applyFill="1" applyBorder="1" applyAlignment="1">
      <alignment horizontal="center" wrapText="1"/>
    </xf>
    <xf numFmtId="3" fontId="30" fillId="8" borderId="10" xfId="0" applyNumberFormat="1" applyFont="1" applyFill="1" applyBorder="1" applyAlignment="1">
      <alignment horizontal="center" wrapText="1"/>
    </xf>
    <xf numFmtId="3" fontId="19" fillId="8" borderId="10" xfId="0" applyNumberFormat="1" applyFont="1" applyFill="1" applyBorder="1" applyAlignment="1">
      <alignment horizontal="center" wrapText="1"/>
    </xf>
    <xf numFmtId="3" fontId="30" fillId="8" borderId="12" xfId="0" applyNumberFormat="1" applyFont="1" applyFill="1" applyBorder="1" applyAlignment="1">
      <alignment horizontal="center" wrapText="1"/>
    </xf>
    <xf numFmtId="3" fontId="30" fillId="8" borderId="13" xfId="0" applyNumberFormat="1" applyFont="1" applyFill="1" applyBorder="1" applyAlignment="1">
      <alignment horizontal="center" wrapText="1"/>
    </xf>
    <xf numFmtId="2" fontId="30" fillId="8" borderId="10" xfId="0" applyNumberFormat="1" applyFont="1" applyFill="1" applyBorder="1" applyAlignment="1">
      <alignment horizontal="center" wrapText="1"/>
    </xf>
    <xf numFmtId="0" fontId="30" fillId="15" borderId="10" xfId="0" applyFont="1" applyFill="1" applyBorder="1" applyAlignment="1">
      <alignment horizontal="left" wrapText="1"/>
    </xf>
    <xf numFmtId="0" fontId="28" fillId="15" borderId="10" xfId="0" applyFont="1" applyFill="1" applyBorder="1" applyAlignment="1">
      <alignment vertical="top" wrapText="1"/>
    </xf>
    <xf numFmtId="2" fontId="30" fillId="15" borderId="10" xfId="0" applyNumberFormat="1" applyFont="1" applyFill="1" applyBorder="1" applyAlignment="1">
      <alignment horizontal="center"/>
    </xf>
    <xf numFmtId="3" fontId="30" fillId="15" borderId="13" xfId="0" applyNumberFormat="1" applyFont="1" applyFill="1" applyBorder="1" applyAlignment="1">
      <alignment horizontal="center" wrapText="1"/>
    </xf>
    <xf numFmtId="0" fontId="42" fillId="0" borderId="0" xfId="0" applyFont="1"/>
    <xf numFmtId="164" fontId="48" fillId="15" borderId="10" xfId="0" applyNumberFormat="1" applyFont="1" applyFill="1" applyBorder="1" applyAlignment="1">
      <alignment horizontal="left"/>
    </xf>
    <xf numFmtId="164" fontId="48" fillId="3" borderId="10" xfId="0" applyNumberFormat="1" applyFont="1" applyFill="1" applyBorder="1" applyAlignment="1">
      <alignment horizontal="left"/>
    </xf>
    <xf numFmtId="164" fontId="28" fillId="6" borderId="10" xfId="0" applyNumberFormat="1" applyFont="1" applyFill="1" applyBorder="1" applyAlignment="1">
      <alignment horizontal="center" wrapText="1"/>
    </xf>
    <xf numFmtId="3" fontId="28" fillId="13" borderId="13" xfId="0" applyNumberFormat="1" applyFont="1" applyFill="1" applyBorder="1" applyAlignment="1">
      <alignment horizontal="center"/>
    </xf>
    <xf numFmtId="0" fontId="35" fillId="11" borderId="10" xfId="0" applyFont="1" applyFill="1" applyBorder="1" applyAlignment="1">
      <alignment horizontal="left" wrapText="1"/>
    </xf>
    <xf numFmtId="0" fontId="5" fillId="13" borderId="0" xfId="0" applyFont="1" applyFill="1"/>
    <xf numFmtId="0" fontId="28" fillId="3" borderId="10" xfId="0" applyFont="1" applyFill="1" applyBorder="1" applyAlignment="1">
      <alignment horizontal="center"/>
    </xf>
    <xf numFmtId="0" fontId="5" fillId="21" borderId="0" xfId="0" applyFont="1" applyFill="1"/>
    <xf numFmtId="0" fontId="30" fillId="0" borderId="10" xfId="0" applyFont="1" applyBorder="1"/>
    <xf numFmtId="0" fontId="50" fillId="3" borderId="10" xfId="0" applyFont="1" applyFill="1" applyBorder="1" applyAlignment="1">
      <alignment vertical="center"/>
    </xf>
    <xf numFmtId="0" fontId="51" fillId="3" borderId="10" xfId="0" applyFont="1" applyFill="1" applyBorder="1" applyAlignment="1">
      <alignment vertical="center"/>
    </xf>
    <xf numFmtId="3" fontId="31" fillId="3" borderId="13" xfId="0" applyNumberFormat="1" applyFont="1" applyFill="1" applyBorder="1" applyAlignment="1">
      <alignment horizontal="center" wrapText="1"/>
    </xf>
    <xf numFmtId="2" fontId="31" fillId="3" borderId="10" xfId="0" applyNumberFormat="1" applyFont="1" applyFill="1" applyBorder="1" applyAlignment="1">
      <alignment horizontal="center" wrapText="1"/>
    </xf>
    <xf numFmtId="0" fontId="51" fillId="3" borderId="10" xfId="0" applyFont="1" applyFill="1" applyBorder="1" applyAlignment="1">
      <alignment horizontal="left"/>
    </xf>
    <xf numFmtId="49" fontId="28" fillId="15" borderId="10" xfId="0" applyNumberFormat="1" applyFont="1" applyFill="1" applyBorder="1" applyAlignment="1">
      <alignment horizontal="center"/>
    </xf>
    <xf numFmtId="0" fontId="51" fillId="15" borderId="10" xfId="0" applyFont="1" applyFill="1" applyBorder="1" applyAlignment="1">
      <alignment horizontal="left"/>
    </xf>
    <xf numFmtId="0" fontId="18" fillId="15" borderId="10" xfId="0" applyFont="1" applyFill="1" applyBorder="1" applyAlignment="1">
      <alignment horizontal="center"/>
    </xf>
    <xf numFmtId="4" fontId="30" fillId="15" borderId="10" xfId="0" applyNumberFormat="1" applyFont="1" applyFill="1" applyBorder="1" applyAlignment="1">
      <alignment wrapText="1"/>
    </xf>
    <xf numFmtId="3" fontId="19" fillId="15" borderId="10" xfId="0" applyNumberFormat="1" applyFont="1" applyFill="1" applyBorder="1" applyAlignment="1">
      <alignment horizontal="center"/>
    </xf>
    <xf numFmtId="3" fontId="30" fillId="15" borderId="12" xfId="0" applyNumberFormat="1" applyFont="1" applyFill="1" applyBorder="1" applyAlignment="1">
      <alignment horizontal="center"/>
    </xf>
    <xf numFmtId="3" fontId="30" fillId="15" borderId="13" xfId="0" applyNumberFormat="1" applyFont="1" applyFill="1" applyBorder="1" applyAlignment="1">
      <alignment horizontal="center"/>
    </xf>
    <xf numFmtId="49" fontId="30" fillId="15" borderId="10" xfId="0" quotePrefix="1" applyNumberFormat="1" applyFont="1" applyFill="1" applyBorder="1" applyAlignment="1">
      <alignment horizontal="center" wrapText="1"/>
    </xf>
    <xf numFmtId="49" fontId="28" fillId="15" borderId="10" xfId="0" quotePrefix="1" applyNumberFormat="1" applyFont="1" applyFill="1" applyBorder="1" applyAlignment="1">
      <alignment horizontal="left" wrapText="1"/>
    </xf>
    <xf numFmtId="0" fontId="31" fillId="3" borderId="0" xfId="0" applyFont="1" applyFill="1" applyAlignment="1">
      <alignment wrapText="1"/>
    </xf>
    <xf numFmtId="0" fontId="30" fillId="15" borderId="0" xfId="0" applyFont="1" applyFill="1"/>
    <xf numFmtId="4" fontId="28" fillId="15" borderId="10" xfId="0" applyNumberFormat="1" applyFont="1" applyFill="1" applyBorder="1" applyAlignment="1">
      <alignment horizontal="left"/>
    </xf>
    <xf numFmtId="0" fontId="28" fillId="6" borderId="10" xfId="0" applyFont="1" applyFill="1" applyBorder="1" applyAlignment="1">
      <alignment horizontal="left"/>
    </xf>
    <xf numFmtId="0" fontId="28" fillId="6" borderId="10" xfId="0" applyFont="1" applyFill="1" applyBorder="1" applyAlignment="1">
      <alignment horizontal="center" wrapText="1"/>
    </xf>
    <xf numFmtId="0" fontId="28" fillId="13" borderId="10" xfId="0" applyFont="1" applyFill="1" applyBorder="1" applyAlignment="1">
      <alignment horizontal="left"/>
    </xf>
    <xf numFmtId="0" fontId="28" fillId="13" borderId="10" xfId="0" applyFont="1" applyFill="1" applyBorder="1" applyAlignment="1">
      <alignment horizontal="center" wrapText="1"/>
    </xf>
    <xf numFmtId="49" fontId="28" fillId="13" borderId="10" xfId="0" applyNumberFormat="1" applyFont="1" applyFill="1" applyBorder="1" applyAlignment="1">
      <alignment horizontal="center"/>
    </xf>
    <xf numFmtId="0" fontId="42" fillId="13" borderId="10" xfId="0" applyFont="1" applyFill="1" applyBorder="1"/>
    <xf numFmtId="0" fontId="16" fillId="13" borderId="10" xfId="0" applyFont="1" applyFill="1" applyBorder="1" applyAlignment="1">
      <alignment horizontal="center"/>
    </xf>
    <xf numFmtId="164" fontId="28" fillId="22" borderId="10" xfId="0" applyNumberFormat="1" applyFont="1" applyFill="1" applyBorder="1" applyAlignment="1">
      <alignment horizontal="left"/>
    </xf>
    <xf numFmtId="164" fontId="18" fillId="22" borderId="10" xfId="0" applyNumberFormat="1" applyFont="1" applyFill="1" applyBorder="1" applyAlignment="1">
      <alignment horizontal="left"/>
    </xf>
    <xf numFmtId="0" fontId="28" fillId="22" borderId="10" xfId="0" applyFont="1" applyFill="1" applyBorder="1" applyAlignment="1">
      <alignment horizontal="left" wrapText="1"/>
    </xf>
    <xf numFmtId="49" fontId="28" fillId="22" borderId="10" xfId="0" applyNumberFormat="1" applyFont="1" applyFill="1" applyBorder="1" applyAlignment="1">
      <alignment horizontal="center" wrapText="1"/>
    </xf>
    <xf numFmtId="49" fontId="28" fillId="22" borderId="10" xfId="0" quotePrefix="1" applyNumberFormat="1" applyFont="1" applyFill="1" applyBorder="1" applyAlignment="1">
      <alignment horizontal="left" wrapText="1"/>
    </xf>
    <xf numFmtId="2" fontId="28" fillId="22" borderId="10" xfId="0" applyNumberFormat="1" applyFont="1" applyFill="1" applyBorder="1" applyAlignment="1">
      <alignment horizontal="left" wrapText="1"/>
    </xf>
    <xf numFmtId="2" fontId="28" fillId="22" borderId="10" xfId="0" applyNumberFormat="1" applyFont="1" applyFill="1" applyBorder="1" applyAlignment="1">
      <alignment horizontal="center" wrapText="1"/>
    </xf>
    <xf numFmtId="3" fontId="28" fillId="22" borderId="10" xfId="0" applyNumberFormat="1" applyFont="1" applyFill="1" applyBorder="1" applyAlignment="1">
      <alignment horizontal="center" wrapText="1"/>
    </xf>
    <xf numFmtId="3" fontId="18" fillId="22" borderId="10" xfId="0" applyNumberFormat="1" applyFont="1" applyFill="1" applyBorder="1" applyAlignment="1">
      <alignment horizontal="center" wrapText="1"/>
    </xf>
    <xf numFmtId="3" fontId="28" fillId="22" borderId="12" xfId="0" applyNumberFormat="1" applyFont="1" applyFill="1" applyBorder="1" applyAlignment="1">
      <alignment horizontal="center" wrapText="1"/>
    </xf>
    <xf numFmtId="9" fontId="18" fillId="22" borderId="10" xfId="0" applyNumberFormat="1" applyFont="1" applyFill="1" applyBorder="1" applyAlignment="1">
      <alignment horizontal="center" wrapText="1"/>
    </xf>
    <xf numFmtId="0" fontId="31" fillId="22" borderId="10" xfId="0" applyFont="1" applyFill="1" applyBorder="1" applyAlignment="1">
      <alignment horizontal="center"/>
    </xf>
    <xf numFmtId="3" fontId="28" fillId="22" borderId="13" xfId="0" applyNumberFormat="1" applyFont="1" applyFill="1" applyBorder="1" applyAlignment="1">
      <alignment horizontal="center" wrapText="1"/>
    </xf>
    <xf numFmtId="164" fontId="28" fillId="22" borderId="10" xfId="0" applyNumberFormat="1" applyFont="1" applyFill="1" applyBorder="1" applyAlignment="1">
      <alignment horizontal="center"/>
    </xf>
    <xf numFmtId="0" fontId="30" fillId="22" borderId="0" xfId="0" applyFont="1" applyFill="1"/>
    <xf numFmtId="0" fontId="18" fillId="11" borderId="10" xfId="0" applyFont="1" applyFill="1" applyBorder="1" applyAlignment="1">
      <alignment horizontal="left"/>
    </xf>
    <xf numFmtId="49" fontId="28" fillId="3" borderId="10" xfId="0" applyNumberFormat="1" applyFont="1" applyFill="1" applyBorder="1" applyAlignment="1">
      <alignment horizontal="left"/>
    </xf>
    <xf numFmtId="4" fontId="31" fillId="3" borderId="10" xfId="0" applyNumberFormat="1" applyFont="1" applyFill="1" applyBorder="1" applyAlignment="1">
      <alignment vertical="center"/>
    </xf>
    <xf numFmtId="3" fontId="4" fillId="3" borderId="10" xfId="0" applyNumberFormat="1" applyFont="1" applyFill="1" applyBorder="1"/>
    <xf numFmtId="49" fontId="28" fillId="3" borderId="10" xfId="0" applyNumberFormat="1" applyFont="1" applyFill="1" applyBorder="1" applyAlignment="1">
      <alignment horizontal="center" vertical="center"/>
    </xf>
    <xf numFmtId="0" fontId="30" fillId="3" borderId="10" xfId="0" applyFont="1" applyFill="1" applyBorder="1"/>
    <xf numFmtId="49" fontId="0" fillId="3" borderId="10" xfId="0" applyNumberFormat="1" applyFill="1" applyBorder="1" applyAlignment="1">
      <alignment horizontal="center"/>
    </xf>
    <xf numFmtId="4" fontId="28" fillId="3" borderId="10" xfId="0" applyNumberFormat="1" applyFont="1" applyFill="1" applyBorder="1" applyAlignment="1">
      <alignment horizontal="left"/>
    </xf>
    <xf numFmtId="0" fontId="0" fillId="3" borderId="10" xfId="0" applyFill="1" applyBorder="1"/>
    <xf numFmtId="49" fontId="28" fillId="8" borderId="10" xfId="0" applyNumberFormat="1" applyFont="1" applyFill="1" applyBorder="1" applyAlignment="1">
      <alignment horizontal="center"/>
    </xf>
    <xf numFmtId="0" fontId="16" fillId="8" borderId="10" xfId="0" applyFont="1" applyFill="1" applyBorder="1" applyAlignment="1">
      <alignment horizontal="center"/>
    </xf>
    <xf numFmtId="0" fontId="50" fillId="8" borderId="10" xfId="0" applyFont="1" applyFill="1" applyBorder="1" applyAlignment="1">
      <alignment vertical="center"/>
    </xf>
    <xf numFmtId="0" fontId="0" fillId="3" borderId="10" xfId="0" applyFill="1" applyBorder="1" applyAlignment="1">
      <alignment horizontal="left"/>
    </xf>
    <xf numFmtId="49" fontId="28" fillId="6" borderId="10" xfId="0" applyNumberFormat="1" applyFont="1" applyFill="1" applyBorder="1" applyAlignment="1">
      <alignment horizontal="left" vertical="center" wrapText="1"/>
    </xf>
    <xf numFmtId="0" fontId="50" fillId="3" borderId="10" xfId="0" applyFont="1" applyFill="1" applyBorder="1"/>
    <xf numFmtId="49" fontId="28" fillId="8" borderId="10" xfId="0" applyNumberFormat="1" applyFont="1" applyFill="1" applyBorder="1" applyAlignment="1">
      <alignment horizontal="left" wrapText="1"/>
    </xf>
    <xf numFmtId="0" fontId="37" fillId="8" borderId="10" xfId="0" applyFont="1" applyFill="1" applyBorder="1" applyAlignment="1">
      <alignment horizontal="center" vertical="center" wrapText="1"/>
    </xf>
    <xf numFmtId="0" fontId="50" fillId="15" borderId="10" xfId="0" applyFont="1" applyFill="1" applyBorder="1"/>
    <xf numFmtId="0" fontId="51" fillId="15" borderId="10" xfId="0" applyFont="1" applyFill="1" applyBorder="1"/>
    <xf numFmtId="164" fontId="28" fillId="23" borderId="10" xfId="0" applyNumberFormat="1" applyFont="1" applyFill="1" applyBorder="1" applyAlignment="1">
      <alignment horizontal="left"/>
    </xf>
    <xf numFmtId="164" fontId="18" fillId="23" borderId="10" xfId="0" applyNumberFormat="1" applyFont="1" applyFill="1" applyBorder="1" applyAlignment="1">
      <alignment horizontal="left"/>
    </xf>
    <xf numFmtId="0" fontId="28" fillId="23" borderId="10" xfId="0" applyFont="1" applyFill="1" applyBorder="1" applyAlignment="1">
      <alignment wrapText="1"/>
    </xf>
    <xf numFmtId="49" fontId="28" fillId="23" borderId="10" xfId="0" applyNumberFormat="1" applyFont="1" applyFill="1" applyBorder="1" applyAlignment="1">
      <alignment horizontal="center"/>
    </xf>
    <xf numFmtId="0" fontId="52" fillId="23" borderId="10" xfId="0" applyFont="1" applyFill="1" applyBorder="1"/>
    <xf numFmtId="2" fontId="28" fillId="23" borderId="10" xfId="0" applyNumberFormat="1" applyFont="1" applyFill="1" applyBorder="1" applyAlignment="1">
      <alignment horizontal="left"/>
    </xf>
    <xf numFmtId="2" fontId="28" fillId="23" borderId="10" xfId="0" applyNumberFormat="1" applyFont="1" applyFill="1" applyBorder="1" applyAlignment="1">
      <alignment horizontal="center"/>
    </xf>
    <xf numFmtId="3" fontId="28" fillId="23" borderId="10" xfId="0" applyNumberFormat="1" applyFont="1" applyFill="1" applyBorder="1" applyAlignment="1">
      <alignment horizontal="center"/>
    </xf>
    <xf numFmtId="0" fontId="16" fillId="23" borderId="10" xfId="0" applyFont="1" applyFill="1" applyBorder="1" applyAlignment="1">
      <alignment horizontal="center"/>
    </xf>
    <xf numFmtId="3" fontId="28" fillId="23" borderId="12" xfId="0" applyNumberFormat="1" applyFont="1" applyFill="1" applyBorder="1" applyAlignment="1">
      <alignment horizontal="center"/>
    </xf>
    <xf numFmtId="3" fontId="18" fillId="23" borderId="10" xfId="0" applyNumberFormat="1" applyFont="1" applyFill="1" applyBorder="1" applyAlignment="1">
      <alignment horizontal="center"/>
    </xf>
    <xf numFmtId="0" fontId="31" fillId="23" borderId="10" xfId="0" applyFont="1" applyFill="1" applyBorder="1" applyAlignment="1">
      <alignment horizontal="center"/>
    </xf>
    <xf numFmtId="3" fontId="28" fillId="23" borderId="13" xfId="0" applyNumberFormat="1" applyFont="1" applyFill="1" applyBorder="1" applyAlignment="1">
      <alignment horizontal="center"/>
    </xf>
    <xf numFmtId="164" fontId="28" fillId="23" borderId="10" xfId="0" applyNumberFormat="1" applyFont="1" applyFill="1" applyBorder="1" applyAlignment="1">
      <alignment horizontal="center"/>
    </xf>
    <xf numFmtId="0" fontId="0" fillId="23" borderId="0" xfId="0" applyFill="1"/>
    <xf numFmtId="49" fontId="28" fillId="6" borderId="10" xfId="0" applyNumberFormat="1" applyFont="1" applyFill="1" applyBorder="1" applyAlignment="1">
      <alignment horizontal="left" wrapText="1"/>
    </xf>
    <xf numFmtId="49" fontId="28" fillId="13" borderId="10" xfId="0" applyNumberFormat="1" applyFont="1" applyFill="1" applyBorder="1" applyAlignment="1">
      <alignment horizontal="left" wrapText="1"/>
    </xf>
    <xf numFmtId="0" fontId="28" fillId="0" borderId="10" xfId="0" applyFont="1" applyBorder="1" applyAlignment="1">
      <alignment horizontal="left"/>
    </xf>
    <xf numFmtId="49" fontId="28" fillId="0" borderId="10" xfId="0" applyNumberFormat="1" applyFont="1" applyBorder="1" applyAlignment="1">
      <alignment horizontal="center"/>
    </xf>
    <xf numFmtId="0" fontId="50" fillId="0" borderId="10" xfId="0" applyFont="1" applyBorder="1"/>
    <xf numFmtId="0" fontId="16" fillId="0" borderId="10" xfId="0" applyFont="1" applyBorder="1" applyAlignment="1">
      <alignment horizontal="center"/>
    </xf>
    <xf numFmtId="3" fontId="31" fillId="3" borderId="10" xfId="0" applyNumberFormat="1" applyFont="1" applyFill="1" applyBorder="1" applyAlignment="1">
      <alignment horizontal="center" wrapText="1"/>
    </xf>
    <xf numFmtId="1" fontId="18" fillId="15" borderId="10" xfId="0" applyNumberFormat="1" applyFont="1" applyFill="1" applyBorder="1" applyAlignment="1">
      <alignment horizontal="center" wrapText="1"/>
    </xf>
    <xf numFmtId="3" fontId="30" fillId="15" borderId="12" xfId="0" applyNumberFormat="1" applyFont="1" applyFill="1" applyBorder="1" applyAlignment="1">
      <alignment horizontal="center" wrapText="1"/>
    </xf>
    <xf numFmtId="3" fontId="19" fillId="15" borderId="10" xfId="0" applyNumberFormat="1" applyFont="1" applyFill="1" applyBorder="1" applyAlignment="1">
      <alignment horizontal="center" wrapText="1"/>
    </xf>
    <xf numFmtId="1" fontId="30" fillId="15" borderId="10" xfId="0" applyNumberFormat="1" applyFont="1" applyFill="1" applyBorder="1" applyAlignment="1">
      <alignment horizontal="center" wrapText="1"/>
    </xf>
    <xf numFmtId="3" fontId="30" fillId="15" borderId="10" xfId="0" applyNumberFormat="1" applyFont="1" applyFill="1" applyBorder="1" applyAlignment="1">
      <alignment horizontal="center" wrapText="1"/>
    </xf>
    <xf numFmtId="164" fontId="28" fillId="8" borderId="10" xfId="0" applyNumberFormat="1" applyFont="1" applyFill="1" applyBorder="1" applyAlignment="1">
      <alignment horizontal="left" wrapText="1"/>
    </xf>
    <xf numFmtId="164" fontId="28" fillId="8" borderId="10" xfId="0" applyNumberFormat="1" applyFont="1" applyFill="1" applyBorder="1" applyAlignment="1">
      <alignment horizontal="center" wrapText="1"/>
    </xf>
    <xf numFmtId="1" fontId="28" fillId="15" borderId="10" xfId="0" applyNumberFormat="1" applyFont="1" applyFill="1" applyBorder="1" applyAlignment="1">
      <alignment horizontal="center" wrapText="1"/>
    </xf>
    <xf numFmtId="164" fontId="18" fillId="0" borderId="10" xfId="0" applyNumberFormat="1" applyFont="1" applyBorder="1" applyAlignment="1">
      <alignment horizontal="left" wrapText="1"/>
    </xf>
    <xf numFmtId="49" fontId="28" fillId="18" borderId="10" xfId="0" applyNumberFormat="1" applyFont="1" applyFill="1" applyBorder="1" applyAlignment="1">
      <alignment horizontal="center" wrapText="1"/>
    </xf>
    <xf numFmtId="0" fontId="28" fillId="18" borderId="10" xfId="0" applyFont="1" applyFill="1" applyBorder="1" applyAlignment="1">
      <alignment horizontal="left" wrapText="1"/>
    </xf>
    <xf numFmtId="2" fontId="28" fillId="18" borderId="10" xfId="0" applyNumberFormat="1" applyFont="1" applyFill="1" applyBorder="1" applyAlignment="1">
      <alignment horizontal="left" wrapText="1"/>
    </xf>
    <xf numFmtId="3" fontId="30" fillId="18" borderId="13" xfId="0" applyNumberFormat="1" applyFont="1" applyFill="1" applyBorder="1" applyAlignment="1">
      <alignment horizontal="center" wrapText="1"/>
    </xf>
    <xf numFmtId="2" fontId="30" fillId="18" borderId="10" xfId="0" applyNumberFormat="1" applyFont="1" applyFill="1" applyBorder="1" applyAlignment="1">
      <alignment horizontal="center" wrapText="1"/>
    </xf>
    <xf numFmtId="164" fontId="28" fillId="18" borderId="10" xfId="0" applyNumberFormat="1" applyFont="1" applyFill="1" applyBorder="1" applyAlignment="1">
      <alignment horizontal="center"/>
    </xf>
    <xf numFmtId="49" fontId="28" fillId="16" borderId="10" xfId="0" applyNumberFormat="1" applyFont="1" applyFill="1" applyBorder="1" applyAlignment="1">
      <alignment horizontal="center"/>
    </xf>
    <xf numFmtId="0" fontId="28" fillId="16" borderId="10" xfId="0" applyFont="1" applyFill="1" applyBorder="1" applyAlignment="1">
      <alignment horizontal="left"/>
    </xf>
    <xf numFmtId="49" fontId="28" fillId="6" borderId="10" xfId="0" applyNumberFormat="1" applyFont="1" applyFill="1" applyBorder="1" applyAlignment="1">
      <alignment horizontal="center"/>
    </xf>
    <xf numFmtId="164" fontId="42" fillId="3" borderId="10" xfId="0" applyNumberFormat="1" applyFont="1" applyFill="1" applyBorder="1" applyAlignment="1">
      <alignment horizontal="center"/>
    </xf>
    <xf numFmtId="165" fontId="28" fillId="3" borderId="10" xfId="0" applyNumberFormat="1" applyFont="1" applyFill="1" applyBorder="1" applyAlignment="1">
      <alignment horizontal="left" wrapText="1"/>
    </xf>
    <xf numFmtId="0" fontId="28" fillId="3" borderId="12" xfId="0" applyFont="1" applyFill="1" applyBorder="1" applyAlignment="1">
      <alignment wrapText="1"/>
    </xf>
    <xf numFmtId="49" fontId="28" fillId="3" borderId="12" xfId="0" applyNumberFormat="1" applyFont="1" applyFill="1" applyBorder="1" applyAlignment="1">
      <alignment horizontal="center" wrapText="1"/>
    </xf>
    <xf numFmtId="49" fontId="0" fillId="15" borderId="10" xfId="0" applyNumberFormat="1" applyFill="1" applyBorder="1" applyAlignment="1">
      <alignment horizontal="center" wrapText="1"/>
    </xf>
    <xf numFmtId="0" fontId="28" fillId="15" borderId="10" xfId="2" applyFont="1" applyFill="1" applyBorder="1" applyAlignment="1">
      <alignment horizontal="left" vertical="center" wrapText="1"/>
    </xf>
    <xf numFmtId="164" fontId="42" fillId="15" borderId="10" xfId="0" applyNumberFormat="1" applyFont="1" applyFill="1" applyBorder="1" applyAlignment="1">
      <alignment horizontal="center"/>
    </xf>
    <xf numFmtId="49" fontId="30" fillId="15" borderId="10" xfId="0" applyNumberFormat="1" applyFont="1" applyFill="1" applyBorder="1" applyAlignment="1">
      <alignment wrapText="1"/>
    </xf>
    <xf numFmtId="0" fontId="28" fillId="15" borderId="12" xfId="0" applyFont="1" applyFill="1" applyBorder="1" applyAlignment="1">
      <alignment wrapText="1"/>
    </xf>
    <xf numFmtId="49" fontId="28" fillId="15" borderId="12" xfId="0" applyNumberFormat="1" applyFont="1" applyFill="1" applyBorder="1" applyAlignment="1">
      <alignment horizontal="center" wrapText="1"/>
    </xf>
    <xf numFmtId="165" fontId="28" fillId="15" borderId="10" xfId="0" applyNumberFormat="1" applyFont="1" applyFill="1" applyBorder="1" applyAlignment="1">
      <alignment horizontal="left" wrapText="1"/>
    </xf>
    <xf numFmtId="2" fontId="28" fillId="11" borderId="10" xfId="0" applyNumberFormat="1" applyFont="1" applyFill="1" applyBorder="1" applyAlignment="1">
      <alignment horizontal="left" wrapText="1"/>
    </xf>
    <xf numFmtId="0" fontId="28" fillId="3" borderId="0" xfId="0" applyFont="1" applyFill="1"/>
    <xf numFmtId="4" fontId="30" fillId="0" borderId="10" xfId="0" applyNumberFormat="1" applyFont="1" applyBorder="1" applyAlignment="1">
      <alignment wrapText="1"/>
    </xf>
    <xf numFmtId="49" fontId="30" fillId="0" borderId="10" xfId="0" quotePrefix="1" applyNumberFormat="1" applyFont="1" applyBorder="1" applyAlignment="1">
      <alignment horizontal="center" wrapText="1"/>
    </xf>
    <xf numFmtId="2" fontId="30" fillId="0" borderId="10" xfId="0" applyNumberFormat="1" applyFont="1" applyBorder="1" applyAlignment="1">
      <alignment horizontal="center"/>
    </xf>
    <xf numFmtId="3" fontId="30" fillId="0" borderId="10" xfId="0" applyNumberFormat="1" applyFont="1" applyBorder="1" applyAlignment="1">
      <alignment horizontal="center"/>
    </xf>
    <xf numFmtId="3" fontId="19" fillId="0" borderId="10" xfId="0" applyNumberFormat="1" applyFont="1" applyBorder="1" applyAlignment="1">
      <alignment horizontal="center"/>
    </xf>
    <xf numFmtId="3" fontId="30" fillId="0" borderId="12" xfId="0" applyNumberFormat="1" applyFont="1" applyBorder="1" applyAlignment="1">
      <alignment horizontal="center"/>
    </xf>
    <xf numFmtId="3" fontId="30" fillId="0" borderId="13" xfId="0" applyNumberFormat="1" applyFont="1" applyBorder="1" applyAlignment="1">
      <alignment horizontal="center" wrapText="1"/>
    </xf>
    <xf numFmtId="2" fontId="30" fillId="0" borderId="10" xfId="0" applyNumberFormat="1" applyFont="1" applyBorder="1" applyAlignment="1">
      <alignment horizontal="center" wrapText="1"/>
    </xf>
    <xf numFmtId="49" fontId="26" fillId="11" borderId="10" xfId="0" applyNumberFormat="1" applyFont="1" applyFill="1" applyBorder="1" applyAlignment="1">
      <alignment horizontal="center" wrapText="1"/>
    </xf>
    <xf numFmtId="0" fontId="18" fillId="11" borderId="10" xfId="0" applyFont="1" applyFill="1" applyBorder="1" applyAlignment="1">
      <alignment wrapText="1"/>
    </xf>
    <xf numFmtId="0" fontId="19" fillId="11" borderId="10" xfId="0" applyFont="1" applyFill="1" applyBorder="1" applyAlignment="1">
      <alignment horizontal="left" wrapText="1"/>
    </xf>
    <xf numFmtId="4" fontId="28" fillId="15" borderId="10" xfId="0" applyNumberFormat="1" applyFont="1" applyFill="1" applyBorder="1" applyAlignment="1">
      <alignment horizontal="center" wrapText="1"/>
    </xf>
    <xf numFmtId="4" fontId="28" fillId="6" borderId="10" xfId="0" applyNumberFormat="1" applyFont="1" applyFill="1" applyBorder="1" applyAlignment="1">
      <alignment horizontal="center" wrapText="1"/>
    </xf>
    <xf numFmtId="0" fontId="20" fillId="10" borderId="10" xfId="0" applyFont="1" applyFill="1" applyBorder="1" applyAlignment="1">
      <alignment horizontal="left"/>
    </xf>
    <xf numFmtId="0" fontId="16" fillId="10" borderId="10" xfId="0" applyFont="1" applyFill="1" applyBorder="1"/>
    <xf numFmtId="0" fontId="21" fillId="10" borderId="10" xfId="0" applyFont="1" applyFill="1" applyBorder="1" applyAlignment="1">
      <alignment wrapText="1"/>
    </xf>
    <xf numFmtId="49" fontId="21" fillId="10" borderId="10" xfId="0" quotePrefix="1" applyNumberFormat="1" applyFont="1" applyFill="1" applyBorder="1" applyAlignment="1">
      <alignment horizontal="center" wrapText="1"/>
    </xf>
    <xf numFmtId="164" fontId="53" fillId="10" borderId="10" xfId="0" applyNumberFormat="1" applyFont="1" applyFill="1" applyBorder="1" applyAlignment="1">
      <alignment horizontal="left" wrapText="1"/>
    </xf>
    <xf numFmtId="164" fontId="22" fillId="10" borderId="10" xfId="0" applyNumberFormat="1" applyFont="1" applyFill="1" applyBorder="1" applyAlignment="1">
      <alignment horizontal="left" wrapText="1"/>
    </xf>
    <xf numFmtId="164" fontId="54" fillId="10" borderId="10" xfId="0" applyNumberFormat="1" applyFont="1" applyFill="1" applyBorder="1" applyAlignment="1">
      <alignment horizontal="left" wrapText="1"/>
    </xf>
    <xf numFmtId="164" fontId="22" fillId="10" borderId="10" xfId="0" applyNumberFormat="1" applyFont="1" applyFill="1" applyBorder="1" applyAlignment="1">
      <alignment horizontal="center" wrapText="1"/>
    </xf>
    <xf numFmtId="164" fontId="22" fillId="10" borderId="12" xfId="0" applyNumberFormat="1" applyFont="1" applyFill="1" applyBorder="1" applyAlignment="1">
      <alignment horizontal="left" wrapText="1"/>
    </xf>
    <xf numFmtId="164" fontId="53" fillId="10" borderId="10" xfId="0" applyNumberFormat="1" applyFont="1" applyFill="1" applyBorder="1" applyAlignment="1">
      <alignment horizontal="center" wrapText="1"/>
    </xf>
    <xf numFmtId="164" fontId="22" fillId="10" borderId="13" xfId="0" applyNumberFormat="1" applyFont="1" applyFill="1" applyBorder="1" applyAlignment="1">
      <alignment horizontal="left" wrapText="1"/>
    </xf>
    <xf numFmtId="0" fontId="21" fillId="10" borderId="10" xfId="0" applyFont="1" applyFill="1" applyBorder="1" applyAlignment="1">
      <alignment horizontal="center"/>
    </xf>
    <xf numFmtId="0" fontId="16" fillId="10" borderId="10" xfId="0" applyFont="1" applyFill="1" applyBorder="1" applyAlignment="1">
      <alignment horizontal="center"/>
    </xf>
    <xf numFmtId="49" fontId="28" fillId="0" borderId="10" xfId="0" quotePrefix="1" applyNumberFormat="1" applyFont="1" applyBorder="1" applyAlignment="1">
      <alignment horizontal="center" wrapText="1"/>
    </xf>
    <xf numFmtId="0" fontId="28" fillId="0" borderId="10" xfId="0" applyFont="1" applyBorder="1"/>
    <xf numFmtId="0" fontId="28" fillId="0" borderId="10" xfId="2" applyNumberFormat="1" applyFont="1" applyBorder="1" applyAlignment="1">
      <alignment wrapText="1"/>
    </xf>
    <xf numFmtId="0" fontId="28" fillId="0" borderId="10" xfId="2" applyFont="1" applyBorder="1" applyAlignment="1">
      <alignment wrapText="1"/>
    </xf>
    <xf numFmtId="0" fontId="30" fillId="24" borderId="10" xfId="0" applyFont="1" applyFill="1" applyBorder="1" applyAlignment="1">
      <alignment vertical="center"/>
    </xf>
    <xf numFmtId="49" fontId="21" fillId="10" borderId="10" xfId="0" applyNumberFormat="1" applyFont="1" applyFill="1" applyBorder="1" applyAlignment="1">
      <alignment horizontal="center" wrapText="1"/>
    </xf>
    <xf numFmtId="0" fontId="55" fillId="3" borderId="10" xfId="0" applyFont="1" applyFill="1" applyBorder="1" applyAlignment="1">
      <alignment wrapText="1"/>
    </xf>
    <xf numFmtId="4" fontId="0" fillId="3" borderId="10" xfId="0" applyNumberFormat="1" applyFill="1" applyBorder="1" applyAlignment="1">
      <alignment horizontal="center" wrapText="1"/>
    </xf>
    <xf numFmtId="3" fontId="28" fillId="3" borderId="10" xfId="0" applyNumberFormat="1" applyFont="1" applyFill="1" applyBorder="1" applyAlignment="1">
      <alignment horizontal="left" wrapText="1"/>
    </xf>
    <xf numFmtId="0" fontId="16" fillId="3" borderId="10" xfId="0" applyFont="1" applyFill="1" applyBorder="1" applyAlignment="1">
      <alignment horizontal="left"/>
    </xf>
    <xf numFmtId="0" fontId="19" fillId="3" borderId="10" xfId="0" applyFont="1" applyFill="1" applyBorder="1"/>
    <xf numFmtId="3" fontId="19" fillId="3" borderId="10" xfId="0" applyNumberFormat="1" applyFont="1" applyFill="1" applyBorder="1" applyAlignment="1">
      <alignment horizontal="right"/>
    </xf>
    <xf numFmtId="0" fontId="28" fillId="3" borderId="10" xfId="0" quotePrefix="1" applyFont="1" applyFill="1" applyBorder="1" applyAlignment="1">
      <alignment horizontal="left" vertical="top" wrapText="1"/>
    </xf>
    <xf numFmtId="0" fontId="4" fillId="3" borderId="10" xfId="0" applyFont="1" applyFill="1" applyBorder="1" applyAlignment="1">
      <alignment wrapText="1"/>
    </xf>
    <xf numFmtId="0" fontId="31" fillId="3" borderId="10" xfId="0" applyFont="1" applyFill="1" applyBorder="1" applyAlignment="1">
      <alignment horizontal="left" vertical="top" wrapText="1"/>
    </xf>
    <xf numFmtId="0" fontId="16" fillId="3" borderId="10" xfId="0" applyFont="1" applyFill="1" applyBorder="1"/>
    <xf numFmtId="0" fontId="18" fillId="3" borderId="10" xfId="0" applyFont="1" applyFill="1" applyBorder="1"/>
    <xf numFmtId="0" fontId="56" fillId="3" borderId="10" xfId="0" applyFont="1" applyFill="1" applyBorder="1" applyAlignment="1">
      <alignment horizontal="left" vertical="center" wrapText="1"/>
    </xf>
    <xf numFmtId="0" fontId="16" fillId="3" borderId="10" xfId="0" quotePrefix="1" applyFont="1" applyFill="1" applyBorder="1" applyAlignment="1">
      <alignment horizontal="left" vertical="center" wrapText="1"/>
    </xf>
    <xf numFmtId="0" fontId="57" fillId="0" borderId="10" xfId="0" applyFont="1" applyBorder="1" applyAlignment="1">
      <alignment horizontal="left" wrapText="1"/>
    </xf>
    <xf numFmtId="49" fontId="30" fillId="0" borderId="10" xfId="0" applyNumberFormat="1" applyFont="1" applyBorder="1" applyAlignment="1">
      <alignment horizontal="center" wrapText="1"/>
    </xf>
    <xf numFmtId="0" fontId="31" fillId="0" borderId="10" xfId="0" quotePrefix="1" applyFont="1" applyBorder="1" applyAlignment="1">
      <alignment horizontal="left" vertical="center" wrapText="1"/>
    </xf>
    <xf numFmtId="0" fontId="19" fillId="0" borderId="10" xfId="0" applyFont="1" applyBorder="1"/>
    <xf numFmtId="3" fontId="0" fillId="0" borderId="10" xfId="0" applyNumberFormat="1" applyBorder="1" applyAlignment="1">
      <alignment horizontal="center"/>
    </xf>
    <xf numFmtId="3" fontId="30" fillId="0" borderId="13" xfId="0" applyNumberFormat="1" applyFont="1" applyBorder="1" applyAlignment="1">
      <alignment horizontal="center"/>
    </xf>
    <xf numFmtId="0" fontId="56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wrapText="1"/>
    </xf>
    <xf numFmtId="0" fontId="57" fillId="3" borderId="10" xfId="0" applyFont="1" applyFill="1" applyBorder="1" applyAlignment="1">
      <alignment horizontal="left" wrapText="1"/>
    </xf>
    <xf numFmtId="0" fontId="4" fillId="0" borderId="10" xfId="0" applyFont="1" applyBorder="1" applyAlignment="1">
      <alignment wrapText="1"/>
    </xf>
    <xf numFmtId="0" fontId="0" fillId="0" borderId="10" xfId="0" applyBorder="1" applyAlignment="1">
      <alignment wrapText="1"/>
    </xf>
    <xf numFmtId="0" fontId="58" fillId="0" borderId="10" xfId="0" applyFont="1" applyBorder="1" applyAlignment="1">
      <alignment horizontal="left" vertical="center" wrapText="1"/>
    </xf>
    <xf numFmtId="2" fontId="30" fillId="0" borderId="10" xfId="0" applyNumberFormat="1" applyFont="1" applyBorder="1" applyAlignment="1">
      <alignment horizontal="left"/>
    </xf>
    <xf numFmtId="2" fontId="30" fillId="3" borderId="10" xfId="0" applyNumberFormat="1" applyFont="1" applyFill="1" applyBorder="1" applyAlignment="1">
      <alignment horizontal="left"/>
    </xf>
    <xf numFmtId="0" fontId="5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/>
    </xf>
    <xf numFmtId="0" fontId="59" fillId="6" borderId="10" xfId="0" applyFont="1" applyFill="1" applyBorder="1" applyAlignment="1">
      <alignment horizontal="left" vertical="center" wrapText="1"/>
    </xf>
    <xf numFmtId="0" fontId="42" fillId="0" borderId="10" xfId="0" applyFont="1" applyBorder="1" applyAlignment="1">
      <alignment wrapText="1"/>
    </xf>
    <xf numFmtId="164" fontId="28" fillId="25" borderId="10" xfId="0" applyNumberFormat="1" applyFont="1" applyFill="1" applyBorder="1" applyAlignment="1">
      <alignment horizontal="left"/>
    </xf>
    <xf numFmtId="0" fontId="59" fillId="0" borderId="10" xfId="0" applyFont="1" applyBorder="1" applyAlignment="1">
      <alignment horizontal="left" wrapText="1"/>
    </xf>
    <xf numFmtId="0" fontId="31" fillId="0" borderId="10" xfId="0" applyFont="1" applyBorder="1" applyAlignment="1">
      <alignment horizontal="left"/>
    </xf>
    <xf numFmtId="49" fontId="28" fillId="21" borderId="10" xfId="0" applyNumberFormat="1" applyFont="1" applyFill="1" applyBorder="1" applyAlignment="1">
      <alignment horizontal="center" wrapText="1"/>
    </xf>
    <xf numFmtId="0" fontId="31" fillId="0" borderId="10" xfId="0" applyFont="1" applyBorder="1" applyAlignment="1">
      <alignment vertical="center"/>
    </xf>
    <xf numFmtId="1" fontId="0" fillId="0" borderId="0" xfId="0" applyNumberFormat="1"/>
    <xf numFmtId="2" fontId="14" fillId="4" borderId="4" xfId="0" applyNumberFormat="1" applyFont="1" applyFill="1" applyBorder="1" applyAlignment="1">
      <alignment horizontal="center" wrapText="1"/>
    </xf>
    <xf numFmtId="2" fontId="15" fillId="7" borderId="4" xfId="0" applyNumberFormat="1" applyFont="1" applyFill="1" applyBorder="1" applyAlignment="1">
      <alignment horizontal="center"/>
    </xf>
    <xf numFmtId="0" fontId="16" fillId="9" borderId="2" xfId="0" applyFont="1" applyFill="1" applyBorder="1"/>
    <xf numFmtId="0" fontId="16" fillId="9" borderId="4" xfId="0" applyFont="1" applyFill="1" applyBorder="1"/>
    <xf numFmtId="1" fontId="16" fillId="9" borderId="4" xfId="0" applyNumberFormat="1" applyFont="1" applyFill="1" applyBorder="1"/>
    <xf numFmtId="0" fontId="16" fillId="9" borderId="19" xfId="0" applyFont="1" applyFill="1" applyBorder="1"/>
    <xf numFmtId="0" fontId="16" fillId="9" borderId="19" xfId="0" applyFont="1" applyFill="1" applyBorder="1" applyAlignment="1">
      <alignment wrapText="1"/>
    </xf>
    <xf numFmtId="0" fontId="16" fillId="9" borderId="20" xfId="0" applyFont="1" applyFill="1" applyBorder="1"/>
    <xf numFmtId="1" fontId="18" fillId="10" borderId="3" xfId="0" applyNumberFormat="1" applyFont="1" applyFill="1" applyBorder="1" applyAlignment="1">
      <alignment horizontal="center" vertical="center"/>
    </xf>
    <xf numFmtId="1" fontId="25" fillId="11" borderId="10" xfId="0" applyNumberFormat="1" applyFont="1" applyFill="1" applyBorder="1" applyAlignment="1">
      <alignment horizontal="left"/>
    </xf>
    <xf numFmtId="0" fontId="28" fillId="6" borderId="10" xfId="0" quotePrefix="1" applyFont="1" applyFill="1" applyBorder="1" applyAlignment="1">
      <alignment horizontal="left" wrapText="1"/>
    </xf>
    <xf numFmtId="0" fontId="28" fillId="0" borderId="10" xfId="0" quotePrefix="1" applyFont="1" applyBorder="1" applyAlignment="1">
      <alignment horizontal="left" wrapText="1"/>
    </xf>
    <xf numFmtId="164" fontId="28" fillId="0" borderId="10" xfId="0" applyNumberFormat="1" applyFont="1" applyBorder="1" applyAlignment="1">
      <alignment horizontal="center" wrapText="1"/>
    </xf>
    <xf numFmtId="0" fontId="50" fillId="3" borderId="10" xfId="0" applyFont="1" applyFill="1" applyBorder="1" applyAlignment="1">
      <alignment wrapText="1"/>
    </xf>
    <xf numFmtId="164" fontId="28" fillId="3" borderId="23" xfId="0" applyNumberFormat="1" applyFont="1" applyFill="1" applyBorder="1" applyAlignment="1">
      <alignment horizontal="left"/>
    </xf>
    <xf numFmtId="49" fontId="28" fillId="3" borderId="24" xfId="0" quotePrefix="1" applyNumberFormat="1" applyFont="1" applyFill="1" applyBorder="1" applyAlignment="1">
      <alignment horizontal="center" wrapText="1"/>
    </xf>
    <xf numFmtId="2" fontId="28" fillId="3" borderId="25" xfId="0" applyNumberFormat="1" applyFont="1" applyFill="1" applyBorder="1" applyAlignment="1">
      <alignment horizontal="center"/>
    </xf>
    <xf numFmtId="2" fontId="28" fillId="3" borderId="24" xfId="0" applyNumberFormat="1" applyFont="1" applyFill="1" applyBorder="1" applyAlignment="1">
      <alignment horizontal="center"/>
    </xf>
    <xf numFmtId="3" fontId="28" fillId="3" borderId="24" xfId="0" applyNumberFormat="1" applyFont="1" applyFill="1" applyBorder="1" applyAlignment="1">
      <alignment horizontal="center"/>
    </xf>
    <xf numFmtId="0" fontId="42" fillId="3" borderId="10" xfId="0" applyFont="1" applyFill="1" applyBorder="1" applyAlignment="1">
      <alignment horizontal="left" wrapText="1"/>
    </xf>
    <xf numFmtId="0" fontId="30" fillId="13" borderId="10" xfId="0" applyFont="1" applyFill="1" applyBorder="1" applyAlignment="1">
      <alignment horizontal="left" wrapText="1"/>
    </xf>
    <xf numFmtId="49" fontId="30" fillId="13" borderId="10" xfId="0" quotePrefix="1" applyNumberFormat="1" applyFont="1" applyFill="1" applyBorder="1" applyAlignment="1">
      <alignment horizontal="center" wrapText="1"/>
    </xf>
    <xf numFmtId="2" fontId="30" fillId="13" borderId="10" xfId="0" applyNumberFormat="1" applyFont="1" applyFill="1" applyBorder="1" applyAlignment="1">
      <alignment horizontal="center"/>
    </xf>
    <xf numFmtId="3" fontId="30" fillId="13" borderId="10" xfId="0" applyNumberFormat="1" applyFont="1" applyFill="1" applyBorder="1" applyAlignment="1">
      <alignment horizontal="center"/>
    </xf>
    <xf numFmtId="0" fontId="31" fillId="3" borderId="0" xfId="0" applyFont="1" applyFill="1"/>
    <xf numFmtId="4" fontId="42" fillId="3" borderId="10" xfId="0" applyNumberFormat="1" applyFont="1" applyFill="1" applyBorder="1" applyAlignment="1">
      <alignment horizontal="left" wrapText="1"/>
    </xf>
    <xf numFmtId="49" fontId="42" fillId="3" borderId="10" xfId="0" quotePrefix="1" applyNumberFormat="1" applyFont="1" applyFill="1" applyBorder="1" applyAlignment="1">
      <alignment horizontal="center" wrapText="1"/>
    </xf>
    <xf numFmtId="2" fontId="42" fillId="3" borderId="10" xfId="0" applyNumberFormat="1" applyFont="1" applyFill="1" applyBorder="1" applyAlignment="1">
      <alignment horizontal="left" wrapText="1"/>
    </xf>
    <xf numFmtId="3" fontId="48" fillId="3" borderId="10" xfId="0" applyNumberFormat="1" applyFont="1" applyFill="1" applyBorder="1" applyAlignment="1">
      <alignment horizontal="center" wrapText="1"/>
    </xf>
    <xf numFmtId="3" fontId="42" fillId="3" borderId="10" xfId="0" applyNumberFormat="1" applyFont="1" applyFill="1" applyBorder="1" applyAlignment="1">
      <alignment horizontal="center" wrapText="1"/>
    </xf>
    <xf numFmtId="2" fontId="31" fillId="6" borderId="10" xfId="0" applyNumberFormat="1" applyFont="1" applyFill="1" applyBorder="1" applyAlignment="1">
      <alignment horizontal="left" wrapText="1"/>
    </xf>
    <xf numFmtId="0" fontId="17" fillId="13" borderId="10" xfId="0" applyFont="1" applyFill="1" applyBorder="1" applyAlignment="1">
      <alignment horizontal="center" vertical="center" wrapText="1"/>
    </xf>
    <xf numFmtId="0" fontId="18" fillId="3" borderId="10" xfId="0" applyFont="1" applyFill="1" applyBorder="1" applyAlignment="1">
      <alignment wrapText="1"/>
    </xf>
    <xf numFmtId="0" fontId="0" fillId="8" borderId="0" xfId="0" applyFill="1"/>
    <xf numFmtId="1" fontId="28" fillId="22" borderId="10" xfId="0" applyNumberFormat="1" applyFont="1" applyFill="1" applyBorder="1" applyAlignment="1">
      <alignment horizontal="left"/>
    </xf>
    <xf numFmtId="4" fontId="28" fillId="22" borderId="10" xfId="0" applyNumberFormat="1" applyFont="1" applyFill="1" applyBorder="1" applyAlignment="1">
      <alignment wrapText="1"/>
    </xf>
    <xf numFmtId="0" fontId="28" fillId="22" borderId="10" xfId="0" applyFont="1" applyFill="1" applyBorder="1" applyAlignment="1">
      <alignment wrapText="1"/>
    </xf>
    <xf numFmtId="0" fontId="28" fillId="22" borderId="10" xfId="0" applyFont="1" applyFill="1" applyBorder="1" applyAlignment="1">
      <alignment horizontal="left"/>
    </xf>
    <xf numFmtId="2" fontId="31" fillId="22" borderId="10" xfId="0" applyNumberFormat="1" applyFont="1" applyFill="1" applyBorder="1" applyAlignment="1">
      <alignment horizontal="left" wrapText="1"/>
    </xf>
    <xf numFmtId="2" fontId="28" fillId="22" borderId="10" xfId="0" applyNumberFormat="1" applyFont="1" applyFill="1" applyBorder="1" applyAlignment="1">
      <alignment horizontal="center"/>
    </xf>
    <xf numFmtId="3" fontId="28" fillId="22" borderId="10" xfId="0" applyNumberFormat="1" applyFont="1" applyFill="1" applyBorder="1" applyAlignment="1">
      <alignment horizontal="center"/>
    </xf>
    <xf numFmtId="3" fontId="18" fillId="22" borderId="10" xfId="0" applyNumberFormat="1" applyFont="1" applyFill="1" applyBorder="1" applyAlignment="1">
      <alignment horizontal="center"/>
    </xf>
    <xf numFmtId="0" fontId="0" fillId="22" borderId="10" xfId="0" applyFill="1" applyBorder="1" applyAlignment="1">
      <alignment wrapText="1"/>
    </xf>
    <xf numFmtId="0" fontId="18" fillId="6" borderId="10" xfId="0" applyFont="1" applyFill="1" applyBorder="1" applyAlignment="1">
      <alignment wrapText="1"/>
    </xf>
    <xf numFmtId="165" fontId="28" fillId="6" borderId="10" xfId="0" applyNumberFormat="1" applyFont="1" applyFill="1" applyBorder="1" applyAlignment="1">
      <alignment horizontal="left" wrapText="1"/>
    </xf>
    <xf numFmtId="0" fontId="18" fillId="0" borderId="10" xfId="0" applyFont="1" applyBorder="1" applyAlignment="1">
      <alignment wrapText="1"/>
    </xf>
    <xf numFmtId="49" fontId="28" fillId="0" borderId="10" xfId="0" applyNumberFormat="1" applyFont="1" applyBorder="1" applyAlignment="1">
      <alignment wrapText="1"/>
    </xf>
    <xf numFmtId="49" fontId="31" fillId="0" borderId="10" xfId="0" applyNumberFormat="1" applyFont="1" applyBorder="1" applyAlignment="1">
      <alignment horizontal="center" wrapText="1"/>
    </xf>
    <xf numFmtId="0" fontId="28" fillId="0" borderId="10" xfId="2" applyFont="1" applyFill="1" applyBorder="1" applyAlignment="1">
      <alignment horizontal="left" vertical="center" wrapText="1"/>
    </xf>
    <xf numFmtId="164" fontId="42" fillId="0" borderId="10" xfId="0" applyNumberFormat="1" applyFont="1" applyBorder="1" applyAlignment="1">
      <alignment horizontal="center"/>
    </xf>
    <xf numFmtId="0" fontId="30" fillId="15" borderId="10" xfId="0" applyFont="1" applyFill="1" applyBorder="1" applyAlignment="1">
      <alignment wrapText="1"/>
    </xf>
    <xf numFmtId="3" fontId="18" fillId="3" borderId="9" xfId="0" applyNumberFormat="1" applyFont="1" applyFill="1" applyBorder="1" applyAlignment="1">
      <alignment horizontal="center"/>
    </xf>
    <xf numFmtId="49" fontId="30" fillId="3" borderId="10" xfId="0" applyNumberFormat="1" applyFont="1" applyFill="1" applyBorder="1" applyAlignment="1">
      <alignment wrapText="1"/>
    </xf>
    <xf numFmtId="0" fontId="28" fillId="3" borderId="12" xfId="0" applyFont="1" applyFill="1" applyBorder="1" applyAlignment="1">
      <alignment horizontal="left" wrapText="1"/>
    </xf>
    <xf numFmtId="0" fontId="28" fillId="6" borderId="12" xfId="0" applyFont="1" applyFill="1" applyBorder="1" applyAlignment="1">
      <alignment wrapText="1"/>
    </xf>
    <xf numFmtId="49" fontId="28" fillId="6" borderId="12" xfId="0" applyNumberFormat="1" applyFont="1" applyFill="1" applyBorder="1" applyAlignment="1">
      <alignment horizontal="center" wrapText="1"/>
    </xf>
    <xf numFmtId="2" fontId="28" fillId="13" borderId="10" xfId="0" applyNumberFormat="1" applyFont="1" applyFill="1" applyBorder="1" applyAlignment="1">
      <alignment horizontal="left" vertical="center"/>
    </xf>
    <xf numFmtId="0" fontId="28" fillId="13" borderId="12" xfId="0" applyFont="1" applyFill="1" applyBorder="1" applyAlignment="1">
      <alignment wrapText="1"/>
    </xf>
    <xf numFmtId="49" fontId="28" fillId="13" borderId="12" xfId="0" applyNumberFormat="1" applyFont="1" applyFill="1" applyBorder="1" applyAlignment="1">
      <alignment horizontal="center" wrapText="1"/>
    </xf>
    <xf numFmtId="1" fontId="28" fillId="3" borderId="11" xfId="0" applyNumberFormat="1" applyFont="1" applyFill="1" applyBorder="1" applyAlignment="1">
      <alignment horizontal="left"/>
    </xf>
    <xf numFmtId="0" fontId="31" fillId="3" borderId="11" xfId="0" applyFont="1" applyFill="1" applyBorder="1" applyAlignment="1">
      <alignment wrapText="1"/>
    </xf>
    <xf numFmtId="2" fontId="28" fillId="3" borderId="11" xfId="0" applyNumberFormat="1" applyFont="1" applyFill="1" applyBorder="1" applyAlignment="1">
      <alignment horizontal="left" wrapText="1"/>
    </xf>
    <xf numFmtId="2" fontId="28" fillId="3" borderId="11" xfId="0" applyNumberFormat="1" applyFont="1" applyFill="1" applyBorder="1" applyAlignment="1">
      <alignment horizontal="center" wrapText="1"/>
    </xf>
    <xf numFmtId="3" fontId="28" fillId="3" borderId="11" xfId="0" applyNumberFormat="1" applyFont="1" applyFill="1" applyBorder="1" applyAlignment="1">
      <alignment horizontal="center" wrapText="1"/>
    </xf>
    <xf numFmtId="9" fontId="18" fillId="3" borderId="11" xfId="0" applyNumberFormat="1" applyFont="1" applyFill="1" applyBorder="1" applyAlignment="1">
      <alignment horizontal="center" wrapText="1"/>
    </xf>
    <xf numFmtId="3" fontId="18" fillId="3" borderId="11" xfId="0" applyNumberFormat="1" applyFont="1" applyFill="1" applyBorder="1" applyAlignment="1">
      <alignment horizontal="center" wrapText="1"/>
    </xf>
    <xf numFmtId="3" fontId="28" fillId="3" borderId="15" xfId="0" applyNumberFormat="1" applyFont="1" applyFill="1" applyBorder="1" applyAlignment="1">
      <alignment horizontal="center" wrapText="1"/>
    </xf>
    <xf numFmtId="164" fontId="28" fillId="3" borderId="11" xfId="0" applyNumberFormat="1" applyFont="1" applyFill="1" applyBorder="1" applyAlignment="1">
      <alignment horizontal="center"/>
    </xf>
    <xf numFmtId="1" fontId="28" fillId="6" borderId="10" xfId="0" applyNumberFormat="1" applyFont="1" applyFill="1" applyBorder="1" applyAlignment="1">
      <alignment horizontal="center"/>
    </xf>
    <xf numFmtId="164" fontId="28" fillId="13" borderId="11" xfId="0" applyNumberFormat="1" applyFont="1" applyFill="1" applyBorder="1" applyAlignment="1">
      <alignment horizontal="left"/>
    </xf>
    <xf numFmtId="0" fontId="28" fillId="13" borderId="10" xfId="0" applyFont="1" applyFill="1" applyBorder="1" applyAlignment="1">
      <alignment horizontal="center" vertical="center" wrapText="1"/>
    </xf>
    <xf numFmtId="164" fontId="18" fillId="3" borderId="10" xfId="0" applyNumberFormat="1" applyFont="1" applyFill="1" applyBorder="1" applyAlignment="1">
      <alignment horizontal="center" wrapText="1"/>
    </xf>
    <xf numFmtId="49" fontId="30" fillId="8" borderId="10" xfId="0" quotePrefix="1" applyNumberFormat="1" applyFont="1" applyFill="1" applyBorder="1" applyAlignment="1">
      <alignment horizontal="center" wrapText="1"/>
    </xf>
    <xf numFmtId="4" fontId="28" fillId="3" borderId="10" xfId="0" applyNumberFormat="1" applyFont="1" applyFill="1" applyBorder="1" applyAlignment="1">
      <alignment horizontal="center" vertical="center" wrapText="1"/>
    </xf>
    <xf numFmtId="2" fontId="42" fillId="3" borderId="10" xfId="0" applyNumberFormat="1" applyFont="1" applyFill="1" applyBorder="1" applyAlignment="1">
      <alignment horizontal="center"/>
    </xf>
    <xf numFmtId="3" fontId="42" fillId="3" borderId="10" xfId="0" applyNumberFormat="1" applyFont="1" applyFill="1" applyBorder="1" applyAlignment="1">
      <alignment horizontal="center"/>
    </xf>
    <xf numFmtId="2" fontId="42" fillId="3" borderId="10" xfId="0" applyNumberFormat="1" applyFont="1" applyFill="1" applyBorder="1" applyAlignment="1">
      <alignment horizontal="center" wrapText="1"/>
    </xf>
    <xf numFmtId="0" fontId="50" fillId="3" borderId="10" xfId="0" applyFont="1" applyFill="1" applyBorder="1" applyAlignment="1">
      <alignment vertical="center" wrapText="1"/>
    </xf>
    <xf numFmtId="0" fontId="28" fillId="8" borderId="10" xfId="0" quotePrefix="1" applyFont="1" applyFill="1" applyBorder="1" applyAlignment="1">
      <alignment horizontal="left" wrapText="1"/>
    </xf>
    <xf numFmtId="0" fontId="16" fillId="3" borderId="10" xfId="0" applyFont="1" applyFill="1" applyBorder="1" applyAlignment="1">
      <alignment wrapText="1"/>
    </xf>
    <xf numFmtId="4" fontId="28" fillId="3" borderId="10" xfId="0" applyNumberFormat="1" applyFont="1" applyFill="1" applyBorder="1" applyAlignment="1">
      <alignment horizontal="left" vertical="center" wrapText="1"/>
    </xf>
    <xf numFmtId="4" fontId="42" fillId="6" borderId="10" xfId="0" applyNumberFormat="1" applyFont="1" applyFill="1" applyBorder="1" applyAlignment="1">
      <alignment horizontal="left" wrapText="1"/>
    </xf>
    <xf numFmtId="49" fontId="42" fillId="6" borderId="10" xfId="0" quotePrefix="1" applyNumberFormat="1" applyFont="1" applyFill="1" applyBorder="1" applyAlignment="1">
      <alignment horizontal="center" wrapText="1"/>
    </xf>
    <xf numFmtId="2" fontId="42" fillId="6" borderId="10" xfId="0" applyNumberFormat="1" applyFont="1" applyFill="1" applyBorder="1" applyAlignment="1">
      <alignment horizontal="left" wrapText="1"/>
    </xf>
    <xf numFmtId="1" fontId="28" fillId="6" borderId="10" xfId="0" applyNumberFormat="1" applyFont="1" applyFill="1" applyBorder="1" applyAlignment="1">
      <alignment horizontal="center" wrapText="1"/>
    </xf>
    <xf numFmtId="3" fontId="48" fillId="6" borderId="10" xfId="0" applyNumberFormat="1" applyFont="1" applyFill="1" applyBorder="1" applyAlignment="1">
      <alignment horizontal="center" wrapText="1"/>
    </xf>
    <xf numFmtId="3" fontId="42" fillId="6" borderId="10" xfId="0" applyNumberFormat="1" applyFont="1" applyFill="1" applyBorder="1" applyAlignment="1">
      <alignment horizontal="center" wrapText="1"/>
    </xf>
    <xf numFmtId="2" fontId="42" fillId="6" borderId="10" xfId="0" applyNumberFormat="1" applyFont="1" applyFill="1" applyBorder="1" applyAlignment="1">
      <alignment horizontal="center" wrapText="1"/>
    </xf>
    <xf numFmtId="0" fontId="61" fillId="8" borderId="0" xfId="0" applyFont="1" applyFill="1"/>
    <xf numFmtId="2" fontId="31" fillId="13" borderId="10" xfId="0" applyNumberFormat="1" applyFont="1" applyFill="1" applyBorder="1" applyAlignment="1">
      <alignment horizontal="left" wrapText="1"/>
    </xf>
    <xf numFmtId="2" fontId="18" fillId="11" borderId="10" xfId="0" applyNumberFormat="1" applyFont="1" applyFill="1" applyBorder="1"/>
    <xf numFmtId="0" fontId="28" fillId="11" borderId="10" xfId="0" applyFont="1" applyFill="1" applyBorder="1"/>
    <xf numFmtId="0" fontId="18" fillId="3" borderId="12" xfId="0" applyFont="1" applyFill="1" applyBorder="1" applyAlignment="1">
      <alignment horizontal="left"/>
    </xf>
    <xf numFmtId="49" fontId="30" fillId="3" borderId="10" xfId="0" quotePrefix="1" applyNumberFormat="1" applyFont="1" applyFill="1" applyBorder="1" applyAlignment="1">
      <alignment horizontal="center" vertical="center" wrapText="1"/>
    </xf>
    <xf numFmtId="49" fontId="28" fillId="3" borderId="10" xfId="0" quotePrefix="1" applyNumberFormat="1" applyFont="1" applyFill="1" applyBorder="1" applyAlignment="1">
      <alignment horizontal="left" vertical="center" wrapText="1"/>
    </xf>
    <xf numFmtId="3" fontId="28" fillId="3" borderId="10" xfId="0" applyNumberFormat="1" applyFont="1" applyFill="1" applyBorder="1" applyAlignment="1">
      <alignment horizontal="center" vertical="center"/>
    </xf>
    <xf numFmtId="0" fontId="50" fillId="8" borderId="10" xfId="0" applyFont="1" applyFill="1" applyBorder="1" applyAlignment="1">
      <alignment vertical="center" wrapText="1"/>
    </xf>
    <xf numFmtId="2" fontId="28" fillId="3" borderId="10" xfId="0" applyNumberFormat="1" applyFont="1" applyFill="1" applyBorder="1" applyAlignment="1">
      <alignment horizontal="center" vertical="center"/>
    </xf>
    <xf numFmtId="0" fontId="28" fillId="13" borderId="12" xfId="0" applyFont="1" applyFill="1" applyBorder="1" applyAlignment="1">
      <alignment horizontal="left" wrapText="1"/>
    </xf>
    <xf numFmtId="0" fontId="38" fillId="11" borderId="12" xfId="0" applyFont="1" applyFill="1" applyBorder="1" applyAlignment="1">
      <alignment wrapText="1"/>
    </xf>
    <xf numFmtId="49" fontId="37" fillId="11" borderId="12" xfId="0" applyNumberFormat="1" applyFont="1" applyFill="1" applyBorder="1" applyAlignment="1">
      <alignment horizontal="center" wrapText="1"/>
    </xf>
    <xf numFmtId="3" fontId="18" fillId="11" borderId="10" xfId="0" applyNumberFormat="1" applyFont="1" applyFill="1" applyBorder="1" applyAlignment="1">
      <alignment horizontal="center"/>
    </xf>
    <xf numFmtId="0" fontId="30" fillId="3" borderId="12" xfId="0" applyFont="1" applyFill="1" applyBorder="1" applyAlignment="1">
      <alignment horizontal="left" wrapText="1"/>
    </xf>
    <xf numFmtId="49" fontId="30" fillId="3" borderId="12" xfId="0" applyNumberFormat="1" applyFont="1" applyFill="1" applyBorder="1" applyAlignment="1">
      <alignment horizontal="center" wrapText="1"/>
    </xf>
    <xf numFmtId="0" fontId="30" fillId="3" borderId="12" xfId="0" applyFont="1" applyFill="1" applyBorder="1" applyAlignment="1">
      <alignment wrapText="1"/>
    </xf>
    <xf numFmtId="4" fontId="30" fillId="3" borderId="12" xfId="0" applyNumberFormat="1" applyFont="1" applyFill="1" applyBorder="1" applyAlignment="1">
      <alignment wrapText="1"/>
    </xf>
    <xf numFmtId="49" fontId="30" fillId="3" borderId="12" xfId="0" quotePrefix="1" applyNumberFormat="1" applyFont="1" applyFill="1" applyBorder="1" applyAlignment="1">
      <alignment horizontal="center" wrapText="1"/>
    </xf>
    <xf numFmtId="0" fontId="30" fillId="3" borderId="12" xfId="0" applyFont="1" applyFill="1" applyBorder="1" applyAlignment="1">
      <alignment horizontal="center" wrapText="1"/>
    </xf>
    <xf numFmtId="0" fontId="30" fillId="8" borderId="12" xfId="0" applyFont="1" applyFill="1" applyBorder="1" applyAlignment="1">
      <alignment horizontal="left" wrapText="1"/>
    </xf>
    <xf numFmtId="0" fontId="30" fillId="8" borderId="12" xfId="0" applyFont="1" applyFill="1" applyBorder="1" applyAlignment="1">
      <alignment horizontal="center" wrapText="1"/>
    </xf>
    <xf numFmtId="0" fontId="28" fillId="8" borderId="10" xfId="0" applyFont="1" applyFill="1" applyBorder="1" applyAlignment="1">
      <alignment horizontal="center"/>
    </xf>
    <xf numFmtId="49" fontId="30" fillId="8" borderId="12" xfId="0" applyNumberFormat="1" applyFont="1" applyFill="1" applyBorder="1" applyAlignment="1">
      <alignment horizontal="center" wrapText="1"/>
    </xf>
    <xf numFmtId="0" fontId="0" fillId="8" borderId="12" xfId="0" applyFill="1" applyBorder="1" applyAlignment="1">
      <alignment wrapText="1"/>
    </xf>
    <xf numFmtId="49" fontId="0" fillId="8" borderId="12" xfId="0" applyNumberFormat="1" applyFill="1" applyBorder="1" applyAlignment="1">
      <alignment horizontal="center" wrapText="1"/>
    </xf>
    <xf numFmtId="49" fontId="28" fillId="3" borderId="12" xfId="0" quotePrefix="1" applyNumberFormat="1" applyFont="1" applyFill="1" applyBorder="1" applyAlignment="1">
      <alignment horizontal="center" wrapText="1"/>
    </xf>
    <xf numFmtId="4" fontId="28" fillId="3" borderId="12" xfId="0" applyNumberFormat="1" applyFont="1" applyFill="1" applyBorder="1" applyAlignment="1">
      <alignment wrapText="1"/>
    </xf>
    <xf numFmtId="49" fontId="0" fillId="3" borderId="12" xfId="0" applyNumberFormat="1" applyFill="1" applyBorder="1" applyAlignment="1">
      <alignment horizontal="center" wrapText="1"/>
    </xf>
    <xf numFmtId="0" fontId="28" fillId="3" borderId="12" xfId="0" applyFont="1" applyFill="1" applyBorder="1" applyAlignment="1">
      <alignment horizontal="center" wrapText="1"/>
    </xf>
    <xf numFmtId="166" fontId="62" fillId="8" borderId="10" xfId="0" applyNumberFormat="1" applyFont="1" applyFill="1" applyBorder="1" applyAlignment="1">
      <alignment horizontal="left" wrapText="1"/>
    </xf>
    <xf numFmtId="166" fontId="62" fillId="8" borderId="10" xfId="0" applyNumberFormat="1" applyFont="1" applyFill="1" applyBorder="1" applyAlignment="1">
      <alignment horizontal="left"/>
    </xf>
    <xf numFmtId="0" fontId="28" fillId="25" borderId="10" xfId="0" applyFont="1" applyFill="1" applyBorder="1" applyAlignment="1">
      <alignment wrapText="1"/>
    </xf>
    <xf numFmtId="0" fontId="28" fillId="25" borderId="12" xfId="0" applyFont="1" applyFill="1" applyBorder="1" applyAlignment="1">
      <alignment wrapText="1"/>
    </xf>
    <xf numFmtId="49" fontId="28" fillId="25" borderId="12" xfId="0" applyNumberFormat="1" applyFont="1" applyFill="1" applyBorder="1" applyAlignment="1">
      <alignment horizontal="center" wrapText="1"/>
    </xf>
    <xf numFmtId="0" fontId="28" fillId="25" borderId="10" xfId="0" applyFont="1" applyFill="1" applyBorder="1" applyAlignment="1">
      <alignment horizontal="left" wrapText="1"/>
    </xf>
    <xf numFmtId="2" fontId="28" fillId="25" borderId="10" xfId="0" applyNumberFormat="1" applyFont="1" applyFill="1" applyBorder="1" applyAlignment="1">
      <alignment horizontal="left"/>
    </xf>
    <xf numFmtId="2" fontId="28" fillId="25" borderId="10" xfId="0" applyNumberFormat="1" applyFont="1" applyFill="1" applyBorder="1" applyAlignment="1">
      <alignment horizontal="center"/>
    </xf>
    <xf numFmtId="3" fontId="28" fillId="25" borderId="10" xfId="0" applyNumberFormat="1" applyFont="1" applyFill="1" applyBorder="1" applyAlignment="1">
      <alignment horizontal="center"/>
    </xf>
    <xf numFmtId="3" fontId="18" fillId="25" borderId="10" xfId="0" applyNumberFormat="1" applyFont="1" applyFill="1" applyBorder="1" applyAlignment="1">
      <alignment horizontal="center"/>
    </xf>
    <xf numFmtId="1" fontId="28" fillId="25" borderId="10" xfId="0" applyNumberFormat="1" applyFont="1" applyFill="1" applyBorder="1" applyAlignment="1">
      <alignment horizontal="left"/>
    </xf>
    <xf numFmtId="164" fontId="18" fillId="25" borderId="10" xfId="0" applyNumberFormat="1" applyFont="1" applyFill="1" applyBorder="1" applyAlignment="1">
      <alignment horizontal="left"/>
    </xf>
    <xf numFmtId="164" fontId="28" fillId="25" borderId="10" xfId="0" applyNumberFormat="1" applyFont="1" applyFill="1" applyBorder="1" applyAlignment="1">
      <alignment horizontal="center"/>
    </xf>
    <xf numFmtId="0" fontId="28" fillId="6" borderId="10" xfId="2" applyFont="1" applyFill="1" applyBorder="1" applyAlignment="1">
      <alignment wrapText="1"/>
    </xf>
    <xf numFmtId="0" fontId="28" fillId="13" borderId="10" xfId="0" applyFont="1" applyFill="1" applyBorder="1" applyAlignment="1">
      <alignment horizontal="center"/>
    </xf>
    <xf numFmtId="0" fontId="30" fillId="13" borderId="12" xfId="0" applyFont="1" applyFill="1" applyBorder="1" applyAlignment="1">
      <alignment wrapText="1"/>
    </xf>
    <xf numFmtId="49" fontId="30" fillId="13" borderId="12" xfId="0" applyNumberFormat="1" applyFont="1" applyFill="1" applyBorder="1" applyAlignment="1">
      <alignment horizontal="center" wrapText="1"/>
    </xf>
    <xf numFmtId="4" fontId="31" fillId="13" borderId="10" xfId="0" applyNumberFormat="1" applyFont="1" applyFill="1" applyBorder="1" applyAlignment="1">
      <alignment wrapText="1"/>
    </xf>
    <xf numFmtId="0" fontId="30" fillId="13" borderId="12" xfId="0" applyFont="1" applyFill="1" applyBorder="1" applyAlignment="1">
      <alignment horizontal="left" wrapText="1"/>
    </xf>
    <xf numFmtId="164" fontId="31" fillId="3" borderId="10" xfId="0" applyNumberFormat="1" applyFont="1" applyFill="1" applyBorder="1" applyAlignment="1">
      <alignment horizontal="center"/>
    </xf>
    <xf numFmtId="49" fontId="0" fillId="3" borderId="10" xfId="0" applyNumberFormat="1" applyFill="1" applyBorder="1" applyAlignment="1">
      <alignment horizontal="center" vertical="center" wrapText="1"/>
    </xf>
    <xf numFmtId="164" fontId="28" fillId="3" borderId="10" xfId="0" applyNumberFormat="1" applyFont="1" applyFill="1" applyBorder="1" applyAlignment="1">
      <alignment horizontal="center" vertical="center"/>
    </xf>
    <xf numFmtId="164" fontId="18" fillId="8" borderId="10" xfId="0" applyNumberFormat="1" applyFont="1" applyFill="1" applyBorder="1" applyAlignment="1">
      <alignment horizontal="left" vertical="center"/>
    </xf>
    <xf numFmtId="0" fontId="30" fillId="8" borderId="10" xfId="0" applyFont="1" applyFill="1" applyBorder="1" applyAlignment="1">
      <alignment horizontal="left" vertical="center" wrapText="1"/>
    </xf>
    <xf numFmtId="0" fontId="30" fillId="8" borderId="10" xfId="0" applyFont="1" applyFill="1" applyBorder="1" applyAlignment="1">
      <alignment horizontal="center" vertical="center" wrapText="1"/>
    </xf>
    <xf numFmtId="0" fontId="28" fillId="8" borderId="10" xfId="2" applyFont="1" applyFill="1" applyBorder="1" applyAlignment="1">
      <alignment horizontal="left" vertical="center" wrapText="1"/>
    </xf>
    <xf numFmtId="2" fontId="28" fillId="8" borderId="10" xfId="0" applyNumberFormat="1" applyFont="1" applyFill="1" applyBorder="1" applyAlignment="1">
      <alignment horizontal="left" vertical="center" wrapText="1"/>
    </xf>
    <xf numFmtId="3" fontId="28" fillId="8" borderId="10" xfId="0" applyNumberFormat="1" applyFont="1" applyFill="1" applyBorder="1" applyAlignment="1">
      <alignment horizontal="center" vertical="center"/>
    </xf>
    <xf numFmtId="3" fontId="28" fillId="8" borderId="10" xfId="0" applyNumberFormat="1" applyFont="1" applyFill="1" applyBorder="1" applyAlignment="1">
      <alignment horizontal="center" vertical="center" wrapText="1"/>
    </xf>
    <xf numFmtId="2" fontId="28" fillId="8" borderId="10" xfId="0" applyNumberFormat="1" applyFont="1" applyFill="1" applyBorder="1" applyAlignment="1">
      <alignment horizontal="center" vertical="center" wrapText="1"/>
    </xf>
    <xf numFmtId="164" fontId="28" fillId="8" borderId="10" xfId="0" applyNumberFormat="1" applyFont="1" applyFill="1" applyBorder="1" applyAlignment="1">
      <alignment horizontal="center" vertical="center"/>
    </xf>
    <xf numFmtId="49" fontId="0" fillId="8" borderId="10" xfId="0" applyNumberFormat="1" applyFill="1" applyBorder="1" applyAlignment="1">
      <alignment horizontal="center" wrapText="1"/>
    </xf>
    <xf numFmtId="164" fontId="18" fillId="26" borderId="10" xfId="0" applyNumberFormat="1" applyFont="1" applyFill="1" applyBorder="1" applyAlignment="1">
      <alignment horizontal="left"/>
    </xf>
    <xf numFmtId="0" fontId="28" fillId="26" borderId="10" xfId="0" applyFont="1" applyFill="1" applyBorder="1" applyAlignment="1">
      <alignment wrapText="1"/>
    </xf>
    <xf numFmtId="49" fontId="28" fillId="26" borderId="10" xfId="0" applyNumberFormat="1" applyFont="1" applyFill="1" applyBorder="1" applyAlignment="1">
      <alignment horizontal="center" wrapText="1"/>
    </xf>
    <xf numFmtId="2" fontId="28" fillId="26" borderId="10" xfId="0" applyNumberFormat="1" applyFont="1" applyFill="1" applyBorder="1" applyAlignment="1">
      <alignment horizontal="left" wrapText="1"/>
    </xf>
    <xf numFmtId="2" fontId="28" fillId="26" borderId="10" xfId="0" applyNumberFormat="1" applyFont="1" applyFill="1" applyBorder="1" applyAlignment="1">
      <alignment horizontal="center"/>
    </xf>
    <xf numFmtId="3" fontId="28" fillId="26" borderId="10" xfId="0" applyNumberFormat="1" applyFont="1" applyFill="1" applyBorder="1" applyAlignment="1">
      <alignment horizontal="center"/>
    </xf>
    <xf numFmtId="3" fontId="28" fillId="26" borderId="10" xfId="0" applyNumberFormat="1" applyFont="1" applyFill="1" applyBorder="1" applyAlignment="1">
      <alignment horizontal="center" wrapText="1"/>
    </xf>
    <xf numFmtId="2" fontId="28" fillId="26" borderId="10" xfId="0" applyNumberFormat="1" applyFont="1" applyFill="1" applyBorder="1" applyAlignment="1">
      <alignment horizontal="center" wrapText="1"/>
    </xf>
    <xf numFmtId="164" fontId="28" fillId="26" borderId="10" xfId="0" applyNumberFormat="1" applyFont="1" applyFill="1" applyBorder="1" applyAlignment="1">
      <alignment horizontal="center"/>
    </xf>
    <xf numFmtId="0" fontId="30" fillId="3" borderId="10" xfId="0" applyFont="1" applyFill="1" applyBorder="1" applyAlignment="1">
      <alignment horizontal="center" vertical="center" wrapText="1"/>
    </xf>
    <xf numFmtId="1" fontId="28" fillId="6" borderId="11" xfId="0" applyNumberFormat="1" applyFont="1" applyFill="1" applyBorder="1" applyAlignment="1">
      <alignment horizontal="left"/>
    </xf>
    <xf numFmtId="164" fontId="18" fillId="6" borderId="11" xfId="0" applyNumberFormat="1" applyFont="1" applyFill="1" applyBorder="1" applyAlignment="1">
      <alignment horizontal="left"/>
    </xf>
    <xf numFmtId="0" fontId="31" fillId="6" borderId="11" xfId="0" applyFont="1" applyFill="1" applyBorder="1" applyAlignment="1">
      <alignment wrapText="1"/>
    </xf>
    <xf numFmtId="49" fontId="28" fillId="6" borderId="11" xfId="0" applyNumberFormat="1" applyFont="1" applyFill="1" applyBorder="1" applyAlignment="1">
      <alignment horizontal="center" wrapText="1"/>
    </xf>
    <xf numFmtId="2" fontId="28" fillId="6" borderId="11" xfId="0" applyNumberFormat="1" applyFont="1" applyFill="1" applyBorder="1" applyAlignment="1">
      <alignment horizontal="left" wrapText="1"/>
    </xf>
    <xf numFmtId="2" fontId="28" fillId="6" borderId="11" xfId="0" applyNumberFormat="1" applyFont="1" applyFill="1" applyBorder="1" applyAlignment="1">
      <alignment horizontal="center" wrapText="1"/>
    </xf>
    <xf numFmtId="2" fontId="28" fillId="6" borderId="11" xfId="0" applyNumberFormat="1" applyFont="1" applyFill="1" applyBorder="1" applyAlignment="1">
      <alignment horizontal="center"/>
    </xf>
    <xf numFmtId="3" fontId="28" fillId="6" borderId="11" xfId="0" applyNumberFormat="1" applyFont="1" applyFill="1" applyBorder="1" applyAlignment="1">
      <alignment horizontal="center" wrapText="1"/>
    </xf>
    <xf numFmtId="3" fontId="18" fillId="6" borderId="11" xfId="0" applyNumberFormat="1" applyFont="1" applyFill="1" applyBorder="1" applyAlignment="1">
      <alignment horizontal="center" wrapText="1"/>
    </xf>
    <xf numFmtId="9" fontId="18" fillId="6" borderId="11" xfId="0" applyNumberFormat="1" applyFont="1" applyFill="1" applyBorder="1" applyAlignment="1">
      <alignment horizontal="center" wrapText="1"/>
    </xf>
    <xf numFmtId="3" fontId="28" fillId="6" borderId="11" xfId="0" applyNumberFormat="1" applyFont="1" applyFill="1" applyBorder="1" applyAlignment="1">
      <alignment horizontal="center"/>
    </xf>
    <xf numFmtId="3" fontId="28" fillId="6" borderId="15" xfId="0" applyNumberFormat="1" applyFont="1" applyFill="1" applyBorder="1" applyAlignment="1">
      <alignment horizontal="center" wrapText="1"/>
    </xf>
    <xf numFmtId="164" fontId="28" fillId="6" borderId="11" xfId="0" applyNumberFormat="1" applyFont="1" applyFill="1" applyBorder="1" applyAlignment="1">
      <alignment horizontal="center"/>
    </xf>
    <xf numFmtId="1" fontId="28" fillId="13" borderId="11" xfId="0" applyNumberFormat="1" applyFont="1" applyFill="1" applyBorder="1" applyAlignment="1">
      <alignment horizontal="left"/>
    </xf>
    <xf numFmtId="164" fontId="18" fillId="13" borderId="11" xfId="0" applyNumberFormat="1" applyFont="1" applyFill="1" applyBorder="1" applyAlignment="1">
      <alignment horizontal="left"/>
    </xf>
    <xf numFmtId="0" fontId="31" fillId="13" borderId="11" xfId="0" applyFont="1" applyFill="1" applyBorder="1" applyAlignment="1">
      <alignment wrapText="1"/>
    </xf>
    <xf numFmtId="49" fontId="28" fillId="13" borderId="11" xfId="0" applyNumberFormat="1" applyFont="1" applyFill="1" applyBorder="1" applyAlignment="1">
      <alignment horizontal="center" wrapText="1"/>
    </xf>
    <xf numFmtId="2" fontId="28" fillId="13" borderId="11" xfId="0" applyNumberFormat="1" applyFont="1" applyFill="1" applyBorder="1" applyAlignment="1">
      <alignment horizontal="left" wrapText="1"/>
    </xf>
    <xf numFmtId="2" fontId="28" fillId="13" borderId="11" xfId="0" applyNumberFormat="1" applyFont="1" applyFill="1" applyBorder="1" applyAlignment="1">
      <alignment horizontal="center" wrapText="1"/>
    </xf>
    <xf numFmtId="2" fontId="28" fillId="13" borderId="11" xfId="0" applyNumberFormat="1" applyFont="1" applyFill="1" applyBorder="1" applyAlignment="1">
      <alignment horizontal="center"/>
    </xf>
    <xf numFmtId="3" fontId="28" fillId="13" borderId="11" xfId="0" applyNumberFormat="1" applyFont="1" applyFill="1" applyBorder="1" applyAlignment="1">
      <alignment horizontal="center" wrapText="1"/>
    </xf>
    <xf numFmtId="3" fontId="18" fillId="13" borderId="11" xfId="0" applyNumberFormat="1" applyFont="1" applyFill="1" applyBorder="1" applyAlignment="1">
      <alignment horizontal="center" wrapText="1"/>
    </xf>
    <xf numFmtId="9" fontId="18" fillId="13" borderId="11" xfId="0" applyNumberFormat="1" applyFont="1" applyFill="1" applyBorder="1" applyAlignment="1">
      <alignment horizontal="center" wrapText="1"/>
    </xf>
    <xf numFmtId="3" fontId="28" fillId="13" borderId="11" xfId="0" applyNumberFormat="1" applyFont="1" applyFill="1" applyBorder="1" applyAlignment="1">
      <alignment horizontal="center"/>
    </xf>
    <xf numFmtId="3" fontId="28" fillId="13" borderId="15" xfId="0" applyNumberFormat="1" applyFont="1" applyFill="1" applyBorder="1" applyAlignment="1">
      <alignment horizontal="center" wrapText="1"/>
    </xf>
    <xf numFmtId="164" fontId="28" fillId="13" borderId="11" xfId="0" applyNumberFormat="1" applyFont="1" applyFill="1" applyBorder="1" applyAlignment="1">
      <alignment horizontal="center"/>
    </xf>
    <xf numFmtId="2" fontId="28" fillId="8" borderId="10" xfId="0" applyNumberFormat="1" applyFont="1" applyFill="1" applyBorder="1" applyAlignment="1">
      <alignment horizontal="left" vertical="center"/>
    </xf>
    <xf numFmtId="2" fontId="30" fillId="8" borderId="10" xfId="0" applyNumberFormat="1" applyFont="1" applyFill="1" applyBorder="1" applyAlignment="1">
      <alignment horizontal="center" vertical="center"/>
    </xf>
    <xf numFmtId="3" fontId="30" fillId="8" borderId="10" xfId="0" applyNumberFormat="1" applyFont="1" applyFill="1" applyBorder="1" applyAlignment="1">
      <alignment horizontal="center" vertical="center"/>
    </xf>
    <xf numFmtId="0" fontId="28" fillId="3" borderId="10" xfId="0" applyFont="1" applyFill="1" applyBorder="1" applyAlignment="1">
      <alignment vertical="center" wrapText="1"/>
    </xf>
    <xf numFmtId="0" fontId="28" fillId="8" borderId="10" xfId="0" applyFont="1" applyFill="1" applyBorder="1" applyAlignment="1">
      <alignment horizontal="left" vertical="center" wrapText="1"/>
    </xf>
    <xf numFmtId="164" fontId="18" fillId="27" borderId="10" xfId="0" applyNumberFormat="1" applyFont="1" applyFill="1" applyBorder="1" applyAlignment="1">
      <alignment horizontal="left"/>
    </xf>
    <xf numFmtId="0" fontId="30" fillId="27" borderId="10" xfId="0" applyFont="1" applyFill="1" applyBorder="1" applyAlignment="1">
      <alignment horizontal="left" wrapText="1"/>
    </xf>
    <xf numFmtId="49" fontId="30" fillId="27" borderId="10" xfId="0" applyNumberFormat="1" applyFont="1" applyFill="1" applyBorder="1" applyAlignment="1">
      <alignment horizontal="center" wrapText="1"/>
    </xf>
    <xf numFmtId="0" fontId="28" fillId="27" borderId="10" xfId="0" applyFont="1" applyFill="1" applyBorder="1" applyAlignment="1">
      <alignment horizontal="left" wrapText="1"/>
    </xf>
    <xf numFmtId="2" fontId="28" fillId="27" borderId="10" xfId="0" applyNumberFormat="1" applyFont="1" applyFill="1" applyBorder="1" applyAlignment="1">
      <alignment horizontal="left" wrapText="1"/>
    </xf>
    <xf numFmtId="2" fontId="30" fillId="27" borderId="10" xfId="0" applyNumberFormat="1" applyFont="1" applyFill="1" applyBorder="1" applyAlignment="1">
      <alignment horizontal="center"/>
    </xf>
    <xf numFmtId="3" fontId="30" fillId="27" borderId="10" xfId="0" applyNumberFormat="1" applyFont="1" applyFill="1" applyBorder="1" applyAlignment="1">
      <alignment horizontal="center"/>
    </xf>
    <xf numFmtId="3" fontId="30" fillId="27" borderId="10" xfId="0" applyNumberFormat="1" applyFont="1" applyFill="1" applyBorder="1" applyAlignment="1">
      <alignment horizontal="center" wrapText="1"/>
    </xf>
    <xf numFmtId="2" fontId="30" fillId="27" borderId="10" xfId="0" applyNumberFormat="1" applyFont="1" applyFill="1" applyBorder="1" applyAlignment="1">
      <alignment horizontal="center" wrapText="1"/>
    </xf>
    <xf numFmtId="164" fontId="18" fillId="15" borderId="10" xfId="0" applyNumberFormat="1" applyFont="1" applyFill="1" applyBorder="1" applyAlignment="1">
      <alignment horizontal="left" vertical="center"/>
    </xf>
    <xf numFmtId="1" fontId="28" fillId="8" borderId="10" xfId="0" applyNumberFormat="1" applyFont="1" applyFill="1" applyBorder="1" applyAlignment="1">
      <alignment horizontal="left"/>
    </xf>
    <xf numFmtId="0" fontId="61" fillId="8" borderId="10" xfId="0" applyFont="1" applyFill="1" applyBorder="1"/>
    <xf numFmtId="164" fontId="18" fillId="3" borderId="10" xfId="0" applyNumberFormat="1" applyFont="1" applyFill="1" applyBorder="1"/>
    <xf numFmtId="164" fontId="28" fillId="18" borderId="10" xfId="0" applyNumberFormat="1" applyFont="1" applyFill="1" applyBorder="1" applyAlignment="1">
      <alignment horizontal="left"/>
    </xf>
    <xf numFmtId="1" fontId="28" fillId="18" borderId="10" xfId="0" applyNumberFormat="1" applyFont="1" applyFill="1" applyBorder="1" applyAlignment="1">
      <alignment horizontal="left"/>
    </xf>
    <xf numFmtId="164" fontId="18" fillId="18" borderId="10" xfId="0" applyNumberFormat="1" applyFont="1" applyFill="1" applyBorder="1"/>
    <xf numFmtId="164" fontId="28" fillId="18" borderId="10" xfId="0" applyNumberFormat="1" applyFont="1" applyFill="1" applyBorder="1" applyAlignment="1">
      <alignment horizontal="left" wrapText="1"/>
    </xf>
    <xf numFmtId="2" fontId="31" fillId="18" borderId="10" xfId="0" applyNumberFormat="1" applyFont="1" applyFill="1" applyBorder="1" applyAlignment="1">
      <alignment horizontal="left" wrapText="1"/>
    </xf>
    <xf numFmtId="2" fontId="28" fillId="18" borderId="10" xfId="0" applyNumberFormat="1" applyFont="1" applyFill="1" applyBorder="1" applyAlignment="1">
      <alignment horizontal="center"/>
    </xf>
    <xf numFmtId="3" fontId="18" fillId="18" borderId="10" xfId="0" applyNumberFormat="1" applyFont="1" applyFill="1" applyBorder="1" applyAlignment="1">
      <alignment horizontal="center"/>
    </xf>
    <xf numFmtId="9" fontId="18" fillId="18" borderId="10" xfId="0" applyNumberFormat="1" applyFont="1" applyFill="1" applyBorder="1" applyAlignment="1">
      <alignment horizontal="center" wrapText="1"/>
    </xf>
    <xf numFmtId="3" fontId="18" fillId="18" borderId="10" xfId="0" applyNumberFormat="1" applyFont="1" applyFill="1" applyBorder="1" applyAlignment="1">
      <alignment horizontal="center" wrapText="1"/>
    </xf>
    <xf numFmtId="3" fontId="28" fillId="18" borderId="13" xfId="0" applyNumberFormat="1" applyFont="1" applyFill="1" applyBorder="1" applyAlignment="1">
      <alignment horizontal="center" wrapText="1"/>
    </xf>
    <xf numFmtId="2" fontId="28" fillId="18" borderId="10" xfId="0" applyNumberFormat="1" applyFont="1" applyFill="1" applyBorder="1" applyAlignment="1">
      <alignment horizontal="center" wrapText="1"/>
    </xf>
    <xf numFmtId="0" fontId="0" fillId="18" borderId="0" xfId="0" applyFill="1"/>
    <xf numFmtId="164" fontId="28" fillId="13" borderId="12" xfId="0" applyNumberFormat="1" applyFont="1" applyFill="1" applyBorder="1" applyAlignment="1">
      <alignment horizontal="left"/>
    </xf>
    <xf numFmtId="164" fontId="28" fillId="13" borderId="26" xfId="0" applyNumberFormat="1" applyFont="1" applyFill="1" applyBorder="1" applyAlignment="1">
      <alignment horizontal="left" wrapText="1"/>
    </xf>
    <xf numFmtId="1" fontId="28" fillId="13" borderId="26" xfId="0" applyNumberFormat="1" applyFont="1" applyFill="1" applyBorder="1" applyAlignment="1">
      <alignment horizontal="left"/>
    </xf>
    <xf numFmtId="164" fontId="28" fillId="13" borderId="26" xfId="0" applyNumberFormat="1" applyFont="1" applyFill="1" applyBorder="1" applyAlignment="1">
      <alignment horizontal="left"/>
    </xf>
    <xf numFmtId="164" fontId="18" fillId="13" borderId="26" xfId="0" applyNumberFormat="1" applyFont="1" applyFill="1" applyBorder="1" applyAlignment="1">
      <alignment horizontal="left"/>
    </xf>
    <xf numFmtId="0" fontId="28" fillId="13" borderId="26" xfId="0" applyFont="1" applyFill="1" applyBorder="1" applyAlignment="1">
      <alignment horizontal="left" wrapText="1"/>
    </xf>
    <xf numFmtId="0" fontId="28" fillId="13" borderId="26" xfId="0" applyFont="1" applyFill="1" applyBorder="1" applyAlignment="1">
      <alignment wrapText="1"/>
    </xf>
    <xf numFmtId="49" fontId="28" fillId="13" borderId="26" xfId="0" quotePrefix="1" applyNumberFormat="1" applyFont="1" applyFill="1" applyBorder="1" applyAlignment="1">
      <alignment horizontal="center" wrapText="1"/>
    </xf>
    <xf numFmtId="2" fontId="28" fillId="13" borderId="26" xfId="0" applyNumberFormat="1" applyFont="1" applyFill="1" applyBorder="1" applyAlignment="1">
      <alignment horizontal="left" wrapText="1"/>
    </xf>
    <xf numFmtId="2" fontId="28" fillId="13" borderId="26" xfId="0" applyNumberFormat="1" applyFont="1" applyFill="1" applyBorder="1" applyAlignment="1">
      <alignment horizontal="center"/>
    </xf>
    <xf numFmtId="3" fontId="28" fillId="13" borderId="26" xfId="0" applyNumberFormat="1" applyFont="1" applyFill="1" applyBorder="1" applyAlignment="1">
      <alignment horizontal="center"/>
    </xf>
    <xf numFmtId="3" fontId="18" fillId="13" borderId="26" xfId="0" applyNumberFormat="1" applyFont="1" applyFill="1" applyBorder="1" applyAlignment="1">
      <alignment horizontal="center"/>
    </xf>
    <xf numFmtId="9" fontId="18" fillId="13" borderId="26" xfId="0" applyNumberFormat="1" applyFont="1" applyFill="1" applyBorder="1" applyAlignment="1">
      <alignment horizontal="center" wrapText="1"/>
    </xf>
    <xf numFmtId="3" fontId="18" fillId="13" borderId="26" xfId="0" applyNumberFormat="1" applyFont="1" applyFill="1" applyBorder="1" applyAlignment="1">
      <alignment horizontal="center" wrapText="1"/>
    </xf>
    <xf numFmtId="3" fontId="28" fillId="13" borderId="26" xfId="0" applyNumberFormat="1" applyFont="1" applyFill="1" applyBorder="1" applyAlignment="1">
      <alignment horizontal="center" wrapText="1"/>
    </xf>
    <xf numFmtId="2" fontId="28" fillId="13" borderId="26" xfId="0" applyNumberFormat="1" applyFont="1" applyFill="1" applyBorder="1" applyAlignment="1">
      <alignment horizontal="center" wrapText="1"/>
    </xf>
    <xf numFmtId="164" fontId="28" fillId="13" borderId="13" xfId="0" applyNumberFormat="1" applyFont="1" applyFill="1" applyBorder="1" applyAlignment="1">
      <alignment horizontal="center"/>
    </xf>
    <xf numFmtId="0" fontId="42" fillId="3" borderId="10" xfId="0" applyFont="1" applyFill="1" applyBorder="1" applyAlignment="1">
      <alignment horizontal="left" vertical="center" wrapText="1"/>
    </xf>
    <xf numFmtId="4" fontId="28" fillId="3" borderId="10" xfId="0" applyNumberFormat="1" applyFont="1" applyFill="1" applyBorder="1" applyAlignment="1">
      <alignment horizontal="center" wrapText="1"/>
    </xf>
    <xf numFmtId="0" fontId="0" fillId="0" borderId="0" xfId="0" applyAlignment="1">
      <alignment vertical="center"/>
    </xf>
    <xf numFmtId="4" fontId="28" fillId="8" borderId="10" xfId="0" applyNumberFormat="1" applyFont="1" applyFill="1" applyBorder="1" applyAlignment="1">
      <alignment horizontal="center" vertical="center" wrapText="1"/>
    </xf>
    <xf numFmtId="4" fontId="31" fillId="8" borderId="10" xfId="0" applyNumberFormat="1" applyFont="1" applyFill="1" applyBorder="1" applyAlignment="1">
      <alignment wrapText="1"/>
    </xf>
    <xf numFmtId="165" fontId="28" fillId="8" borderId="10" xfId="0" applyNumberFormat="1" applyFont="1" applyFill="1" applyBorder="1" applyAlignment="1">
      <alignment horizontal="left" wrapText="1"/>
    </xf>
    <xf numFmtId="1" fontId="28" fillId="16" borderId="10" xfId="0" applyNumberFormat="1" applyFont="1" applyFill="1" applyBorder="1" applyAlignment="1">
      <alignment horizontal="left"/>
    </xf>
    <xf numFmtId="0" fontId="28" fillId="16" borderId="12" xfId="0" applyFont="1" applyFill="1" applyBorder="1" applyAlignment="1">
      <alignment horizontal="center" wrapText="1"/>
    </xf>
    <xf numFmtId="0" fontId="31" fillId="13" borderId="0" xfId="0" applyFont="1" applyFill="1"/>
    <xf numFmtId="0" fontId="64" fillId="8" borderId="0" xfId="0" applyFont="1" applyFill="1"/>
    <xf numFmtId="1" fontId="28" fillId="8" borderId="10" xfId="0" applyNumberFormat="1" applyFont="1" applyFill="1" applyBorder="1" applyAlignment="1">
      <alignment horizontal="center"/>
    </xf>
    <xf numFmtId="0" fontId="50" fillId="6" borderId="10" xfId="0" applyFont="1" applyFill="1" applyBorder="1" applyAlignment="1">
      <alignment vertical="center" wrapText="1"/>
    </xf>
    <xf numFmtId="0" fontId="50" fillId="0" borderId="10" xfId="0" applyFont="1" applyBorder="1" applyAlignment="1">
      <alignment vertical="center" wrapText="1"/>
    </xf>
    <xf numFmtId="0" fontId="65" fillId="3" borderId="10" xfId="0" applyFont="1" applyFill="1" applyBorder="1" applyAlignment="1">
      <alignment wrapText="1"/>
    </xf>
    <xf numFmtId="164" fontId="16" fillId="28" borderId="10" xfId="0" applyNumberFormat="1" applyFont="1" applyFill="1" applyBorder="1" applyAlignment="1">
      <alignment horizontal="left"/>
    </xf>
    <xf numFmtId="0" fontId="31" fillId="28" borderId="10" xfId="0" applyFont="1" applyFill="1" applyBorder="1" applyAlignment="1">
      <alignment wrapText="1"/>
    </xf>
    <xf numFmtId="49" fontId="31" fillId="28" borderId="10" xfId="0" quotePrefix="1" applyNumberFormat="1" applyFont="1" applyFill="1" applyBorder="1" applyAlignment="1">
      <alignment horizontal="center" wrapText="1"/>
    </xf>
    <xf numFmtId="2" fontId="31" fillId="28" borderId="10" xfId="0" applyNumberFormat="1" applyFont="1" applyFill="1" applyBorder="1" applyAlignment="1">
      <alignment horizontal="left" wrapText="1"/>
    </xf>
    <xf numFmtId="2" fontId="31" fillId="28" borderId="10" xfId="0" applyNumberFormat="1" applyFont="1" applyFill="1" applyBorder="1" applyAlignment="1">
      <alignment horizontal="center"/>
    </xf>
    <xf numFmtId="3" fontId="31" fillId="28" borderId="10" xfId="0" applyNumberFormat="1" applyFont="1" applyFill="1" applyBorder="1" applyAlignment="1">
      <alignment horizontal="center"/>
    </xf>
    <xf numFmtId="3" fontId="31" fillId="28" borderId="10" xfId="0" applyNumberFormat="1" applyFont="1" applyFill="1" applyBorder="1" applyAlignment="1">
      <alignment horizontal="center" wrapText="1"/>
    </xf>
    <xf numFmtId="2" fontId="31" fillId="28" borderId="10" xfId="0" applyNumberFormat="1" applyFont="1" applyFill="1" applyBorder="1" applyAlignment="1">
      <alignment horizontal="center" wrapText="1"/>
    </xf>
    <xf numFmtId="3" fontId="28" fillId="3" borderId="9" xfId="0" applyNumberFormat="1" applyFont="1" applyFill="1" applyBorder="1" applyAlignment="1">
      <alignment horizontal="center"/>
    </xf>
    <xf numFmtId="0" fontId="28" fillId="13" borderId="10" xfId="0" applyFont="1" applyFill="1" applyBorder="1" applyAlignment="1">
      <alignment horizontal="left" vertical="center" wrapText="1"/>
    </xf>
    <xf numFmtId="2" fontId="28" fillId="3" borderId="10" xfId="0" applyNumberFormat="1" applyFont="1" applyFill="1" applyBorder="1" applyAlignment="1">
      <alignment horizontal="left" vertical="top" wrapText="1"/>
    </xf>
    <xf numFmtId="0" fontId="19" fillId="3" borderId="10" xfId="0" applyFont="1" applyFill="1" applyBorder="1" applyAlignment="1">
      <alignment vertical="center" wrapText="1"/>
    </xf>
    <xf numFmtId="2" fontId="30" fillId="3" borderId="10" xfId="0" applyNumberFormat="1" applyFont="1" applyFill="1" applyBorder="1" applyAlignment="1">
      <alignment horizontal="left" vertical="center" wrapText="1"/>
    </xf>
    <xf numFmtId="0" fontId="16" fillId="8" borderId="10" xfId="0" applyFont="1" applyFill="1" applyBorder="1" applyAlignment="1">
      <alignment wrapText="1"/>
    </xf>
    <xf numFmtId="17" fontId="30" fillId="3" borderId="10" xfId="0" applyNumberFormat="1" applyFont="1" applyFill="1" applyBorder="1" applyAlignment="1">
      <alignment horizontal="left" wrapText="1"/>
    </xf>
    <xf numFmtId="4" fontId="30" fillId="3" borderId="10" xfId="0" applyNumberFormat="1" applyFont="1" applyFill="1" applyBorder="1" applyAlignment="1">
      <alignment horizontal="center"/>
    </xf>
    <xf numFmtId="4" fontId="28" fillId="3" borderId="10" xfId="0" applyNumberFormat="1" applyFont="1" applyFill="1" applyBorder="1" applyAlignment="1">
      <alignment horizontal="center"/>
    </xf>
    <xf numFmtId="0" fontId="30" fillId="15" borderId="10" xfId="0" applyFont="1" applyFill="1" applyBorder="1" applyAlignment="1">
      <alignment horizontal="center" wrapText="1"/>
    </xf>
    <xf numFmtId="1" fontId="28" fillId="25" borderId="10" xfId="0" applyNumberFormat="1" applyFont="1" applyFill="1" applyBorder="1" applyAlignment="1">
      <alignment horizontal="left" wrapText="1"/>
    </xf>
    <xf numFmtId="0" fontId="28" fillId="25" borderId="10" xfId="0" applyFont="1" applyFill="1" applyBorder="1" applyAlignment="1">
      <alignment horizontal="center" wrapText="1"/>
    </xf>
    <xf numFmtId="2" fontId="28" fillId="25" borderId="10" xfId="0" applyNumberFormat="1" applyFont="1" applyFill="1" applyBorder="1" applyAlignment="1">
      <alignment horizontal="left" wrapText="1"/>
    </xf>
    <xf numFmtId="2" fontId="28" fillId="25" borderId="10" xfId="0" applyNumberFormat="1" applyFont="1" applyFill="1" applyBorder="1" applyAlignment="1">
      <alignment horizontal="center" wrapText="1"/>
    </xf>
    <xf numFmtId="3" fontId="28" fillId="25" borderId="10" xfId="0" applyNumberFormat="1" applyFont="1" applyFill="1" applyBorder="1" applyAlignment="1">
      <alignment horizontal="center" wrapText="1"/>
    </xf>
    <xf numFmtId="3" fontId="18" fillId="25" borderId="10" xfId="0" applyNumberFormat="1" applyFont="1" applyFill="1" applyBorder="1" applyAlignment="1">
      <alignment horizontal="center" wrapText="1"/>
    </xf>
    <xf numFmtId="9" fontId="18" fillId="25" borderId="10" xfId="0" applyNumberFormat="1" applyFont="1" applyFill="1" applyBorder="1" applyAlignment="1">
      <alignment horizontal="center" wrapText="1"/>
    </xf>
    <xf numFmtId="3" fontId="28" fillId="25" borderId="13" xfId="0" applyNumberFormat="1" applyFont="1" applyFill="1" applyBorder="1" applyAlignment="1">
      <alignment horizontal="center" wrapText="1"/>
    </xf>
    <xf numFmtId="164" fontId="28" fillId="25" borderId="10" xfId="0" applyNumberFormat="1" applyFont="1" applyFill="1" applyBorder="1" applyAlignment="1">
      <alignment horizontal="center" wrapText="1"/>
    </xf>
    <xf numFmtId="0" fontId="0" fillId="25" borderId="0" xfId="0" applyFill="1"/>
    <xf numFmtId="0" fontId="0" fillId="25" borderId="0" xfId="0" applyFill="1" applyAlignment="1">
      <alignment wrapText="1"/>
    </xf>
    <xf numFmtId="164" fontId="31" fillId="3" borderId="10" xfId="0" applyNumberFormat="1" applyFont="1" applyFill="1" applyBorder="1" applyAlignment="1">
      <alignment horizontal="left" wrapText="1"/>
    </xf>
    <xf numFmtId="49" fontId="28" fillId="18" borderId="10" xfId="0" applyNumberFormat="1" applyFont="1" applyFill="1" applyBorder="1" applyAlignment="1">
      <alignment horizontal="left" wrapText="1"/>
    </xf>
    <xf numFmtId="0" fontId="18" fillId="3" borderId="10" xfId="0" applyFont="1" applyFill="1" applyBorder="1" applyAlignment="1">
      <alignment vertical="center" wrapText="1"/>
    </xf>
    <xf numFmtId="49" fontId="31" fillId="8" borderId="10" xfId="0" applyNumberFormat="1" applyFont="1" applyFill="1" applyBorder="1" applyAlignment="1">
      <alignment horizontal="center" wrapText="1"/>
    </xf>
    <xf numFmtId="164" fontId="42" fillId="8" borderId="10" xfId="0" applyNumberFormat="1" applyFont="1" applyFill="1" applyBorder="1" applyAlignment="1">
      <alignment horizontal="center"/>
    </xf>
    <xf numFmtId="49" fontId="31" fillId="3" borderId="12" xfId="0" applyNumberFormat="1" applyFont="1" applyFill="1" applyBorder="1" applyAlignment="1">
      <alignment horizontal="center" wrapText="1"/>
    </xf>
    <xf numFmtId="2" fontId="31" fillId="15" borderId="10" xfId="0" applyNumberFormat="1" applyFont="1" applyFill="1" applyBorder="1" applyAlignment="1">
      <alignment horizontal="left" wrapText="1"/>
    </xf>
    <xf numFmtId="0" fontId="28" fillId="8" borderId="0" xfId="0" applyFont="1" applyFill="1" applyAlignment="1">
      <alignment wrapText="1"/>
    </xf>
    <xf numFmtId="0" fontId="61" fillId="3" borderId="0" xfId="0" applyFont="1" applyFill="1"/>
    <xf numFmtId="0" fontId="30" fillId="6" borderId="12" xfId="0" applyFont="1" applyFill="1" applyBorder="1" applyAlignment="1">
      <alignment horizontal="left" wrapText="1"/>
    </xf>
    <xf numFmtId="0" fontId="17" fillId="0" borderId="10" xfId="0" applyFont="1" applyBorder="1" applyAlignment="1">
      <alignment horizontal="center" vertical="center" wrapText="1"/>
    </xf>
    <xf numFmtId="0" fontId="30" fillId="21" borderId="0" xfId="0" applyFont="1" applyFill="1"/>
    <xf numFmtId="0" fontId="30" fillId="6" borderId="10" xfId="0" applyFont="1" applyFill="1" applyBorder="1" applyAlignment="1">
      <alignment horizontal="left" wrapText="1"/>
    </xf>
    <xf numFmtId="49" fontId="30" fillId="6" borderId="10" xfId="0" applyNumberFormat="1" applyFont="1" applyFill="1" applyBorder="1" applyAlignment="1">
      <alignment horizontal="center" wrapText="1"/>
    </xf>
    <xf numFmtId="4" fontId="31" fillId="6" borderId="10" xfId="0" applyNumberFormat="1" applyFont="1" applyFill="1" applyBorder="1" applyAlignment="1">
      <alignment wrapText="1"/>
    </xf>
    <xf numFmtId="3" fontId="30" fillId="6" borderId="10" xfId="0" applyNumberFormat="1" applyFont="1" applyFill="1" applyBorder="1" applyAlignment="1">
      <alignment horizontal="center"/>
    </xf>
    <xf numFmtId="3" fontId="30" fillId="6" borderId="10" xfId="0" applyNumberFormat="1" applyFont="1" applyFill="1" applyBorder="1" applyAlignment="1">
      <alignment horizontal="center" wrapText="1"/>
    </xf>
    <xf numFmtId="2" fontId="30" fillId="6" borderId="10" xfId="0" applyNumberFormat="1" applyFont="1" applyFill="1" applyBorder="1" applyAlignment="1">
      <alignment horizontal="center" wrapText="1"/>
    </xf>
    <xf numFmtId="164" fontId="28" fillId="13" borderId="0" xfId="0" applyNumberFormat="1" applyFont="1" applyFill="1" applyAlignment="1">
      <alignment horizontal="left"/>
    </xf>
    <xf numFmtId="1" fontId="28" fillId="13" borderId="0" xfId="0" applyNumberFormat="1" applyFont="1" applyFill="1" applyAlignment="1">
      <alignment horizontal="left"/>
    </xf>
    <xf numFmtId="164" fontId="18" fillId="13" borderId="0" xfId="0" applyNumberFormat="1" applyFont="1" applyFill="1" applyAlignment="1">
      <alignment horizontal="left"/>
    </xf>
    <xf numFmtId="0" fontId="28" fillId="13" borderId="0" xfId="0" applyFont="1" applyFill="1" applyAlignment="1">
      <alignment horizontal="left" wrapText="1"/>
    </xf>
    <xf numFmtId="49" fontId="28" fillId="13" borderId="0" xfId="0" applyNumberFormat="1" applyFont="1" applyFill="1" applyAlignment="1">
      <alignment wrapText="1"/>
    </xf>
    <xf numFmtId="49" fontId="28" fillId="13" borderId="0" xfId="0" applyNumberFormat="1" applyFont="1" applyFill="1" applyAlignment="1">
      <alignment horizontal="center" wrapText="1"/>
    </xf>
    <xf numFmtId="2" fontId="28" fillId="13" borderId="0" xfId="0" applyNumberFormat="1" applyFont="1" applyFill="1" applyAlignment="1">
      <alignment horizontal="left" wrapText="1"/>
    </xf>
    <xf numFmtId="2" fontId="28" fillId="13" borderId="0" xfId="0" applyNumberFormat="1" applyFont="1" applyFill="1" applyAlignment="1">
      <alignment horizontal="center"/>
    </xf>
    <xf numFmtId="3" fontId="28" fillId="13" borderId="0" xfId="0" applyNumberFormat="1" applyFont="1" applyFill="1" applyAlignment="1">
      <alignment horizontal="center"/>
    </xf>
    <xf numFmtId="9" fontId="18" fillId="13" borderId="0" xfId="0" applyNumberFormat="1" applyFont="1" applyFill="1" applyAlignment="1">
      <alignment horizontal="center" wrapText="1"/>
    </xf>
    <xf numFmtId="3" fontId="18" fillId="13" borderId="0" xfId="0" applyNumberFormat="1" applyFont="1" applyFill="1" applyAlignment="1">
      <alignment horizontal="center" wrapText="1"/>
    </xf>
    <xf numFmtId="3" fontId="28" fillId="13" borderId="0" xfId="0" applyNumberFormat="1" applyFont="1" applyFill="1" applyAlignment="1">
      <alignment horizontal="center" wrapText="1"/>
    </xf>
    <xf numFmtId="2" fontId="28" fillId="13" borderId="0" xfId="0" applyNumberFormat="1" applyFont="1" applyFill="1" applyAlignment="1">
      <alignment horizontal="center" wrapText="1"/>
    </xf>
    <xf numFmtId="164" fontId="28" fillId="13" borderId="0" xfId="0" applyNumberFormat="1" applyFont="1" applyFill="1" applyAlignment="1">
      <alignment horizontal="center"/>
    </xf>
    <xf numFmtId="164" fontId="28" fillId="6" borderId="0" xfId="0" applyNumberFormat="1" applyFont="1" applyFill="1" applyAlignment="1">
      <alignment horizontal="left"/>
    </xf>
    <xf numFmtId="1" fontId="28" fillId="6" borderId="0" xfId="0" applyNumberFormat="1" applyFont="1" applyFill="1" applyAlignment="1">
      <alignment horizontal="left"/>
    </xf>
    <xf numFmtId="164" fontId="18" fillId="6" borderId="0" xfId="0" applyNumberFormat="1" applyFont="1" applyFill="1" applyAlignment="1">
      <alignment horizontal="left"/>
    </xf>
    <xf numFmtId="0" fontId="28" fillId="6" borderId="0" xfId="0" applyFont="1" applyFill="1" applyAlignment="1">
      <alignment horizontal="left" wrapText="1"/>
    </xf>
    <xf numFmtId="49" fontId="28" fillId="6" borderId="0" xfId="0" applyNumberFormat="1" applyFont="1" applyFill="1" applyAlignment="1">
      <alignment wrapText="1"/>
    </xf>
    <xf numFmtId="49" fontId="28" fillId="6" borderId="0" xfId="0" applyNumberFormat="1" applyFont="1" applyFill="1" applyAlignment="1">
      <alignment horizontal="center" wrapText="1"/>
    </xf>
    <xf numFmtId="2" fontId="28" fillId="6" borderId="0" xfId="0" applyNumberFormat="1" applyFont="1" applyFill="1" applyAlignment="1">
      <alignment horizontal="left" wrapText="1"/>
    </xf>
    <xf numFmtId="2" fontId="28" fillId="6" borderId="0" xfId="0" applyNumberFormat="1" applyFont="1" applyFill="1" applyAlignment="1">
      <alignment horizontal="center"/>
    </xf>
    <xf numFmtId="3" fontId="28" fillId="6" borderId="0" xfId="0" applyNumberFormat="1" applyFont="1" applyFill="1" applyAlignment="1">
      <alignment horizontal="center"/>
    </xf>
    <xf numFmtId="9" fontId="18" fillId="6" borderId="0" xfId="0" applyNumberFormat="1" applyFont="1" applyFill="1" applyAlignment="1">
      <alignment horizontal="center" wrapText="1"/>
    </xf>
    <xf numFmtId="3" fontId="18" fillId="6" borderId="0" xfId="0" applyNumberFormat="1" applyFont="1" applyFill="1" applyAlignment="1">
      <alignment horizontal="center" wrapText="1"/>
    </xf>
    <xf numFmtId="3" fontId="28" fillId="6" borderId="0" xfId="0" applyNumberFormat="1" applyFont="1" applyFill="1" applyAlignment="1">
      <alignment horizontal="center" wrapText="1"/>
    </xf>
    <xf numFmtId="2" fontId="28" fillId="6" borderId="0" xfId="0" applyNumberFormat="1" applyFont="1" applyFill="1" applyAlignment="1">
      <alignment horizontal="center" wrapText="1"/>
    </xf>
    <xf numFmtId="164" fontId="28" fillId="6" borderId="0" xfId="0" applyNumberFormat="1" applyFont="1" applyFill="1" applyAlignment="1">
      <alignment horizontal="center"/>
    </xf>
    <xf numFmtId="0" fontId="25" fillId="11" borderId="10" xfId="0" applyFont="1" applyFill="1" applyBorder="1" applyAlignment="1">
      <alignment horizontal="left" wrapText="1"/>
    </xf>
    <xf numFmtId="2" fontId="26" fillId="11" borderId="10" xfId="0" applyNumberFormat="1" applyFont="1" applyFill="1" applyBorder="1" applyAlignment="1">
      <alignment wrapText="1"/>
    </xf>
    <xf numFmtId="0" fontId="29" fillId="11" borderId="10" xfId="0" applyFont="1" applyFill="1" applyBorder="1" applyAlignment="1">
      <alignment wrapText="1"/>
    </xf>
    <xf numFmtId="0" fontId="26" fillId="11" borderId="10" xfId="0" applyFont="1" applyFill="1" applyBorder="1" applyAlignment="1">
      <alignment horizontal="center" wrapText="1"/>
    </xf>
    <xf numFmtId="0" fontId="18" fillId="11" borderId="10" xfId="0" applyFont="1" applyFill="1" applyBorder="1" applyAlignment="1">
      <alignment horizontal="center" wrapText="1"/>
    </xf>
    <xf numFmtId="0" fontId="31" fillId="8" borderId="10" xfId="0" applyFont="1" applyFill="1" applyBorder="1" applyAlignment="1">
      <alignment horizontal="left" wrapText="1"/>
    </xf>
    <xf numFmtId="164" fontId="18" fillId="20" borderId="10" xfId="0" applyNumberFormat="1" applyFont="1" applyFill="1" applyBorder="1" applyAlignment="1">
      <alignment horizontal="left" wrapText="1"/>
    </xf>
    <xf numFmtId="2" fontId="28" fillId="20" borderId="10" xfId="0" applyNumberFormat="1" applyFont="1" applyFill="1" applyBorder="1" applyAlignment="1">
      <alignment horizontal="left" wrapText="1"/>
    </xf>
    <xf numFmtId="2" fontId="28" fillId="20" borderId="10" xfId="0" applyNumberFormat="1" applyFont="1" applyFill="1" applyBorder="1" applyAlignment="1">
      <alignment horizontal="center" wrapText="1"/>
    </xf>
    <xf numFmtId="3" fontId="28" fillId="20" borderId="10" xfId="0" applyNumberFormat="1" applyFont="1" applyFill="1" applyBorder="1" applyAlignment="1">
      <alignment horizontal="center" wrapText="1"/>
    </xf>
    <xf numFmtId="3" fontId="18" fillId="20" borderId="10" xfId="0" applyNumberFormat="1" applyFont="1" applyFill="1" applyBorder="1" applyAlignment="1">
      <alignment horizontal="center" wrapText="1"/>
    </xf>
    <xf numFmtId="0" fontId="28" fillId="3" borderId="10" xfId="0" quotePrefix="1" applyFont="1" applyFill="1" applyBorder="1" applyAlignment="1">
      <alignment horizontal="center" vertical="center" wrapText="1"/>
    </xf>
    <xf numFmtId="0" fontId="28" fillId="6" borderId="12" xfId="0" applyFont="1" applyFill="1" applyBorder="1" applyAlignment="1">
      <alignment horizontal="left" wrapText="1"/>
    </xf>
    <xf numFmtId="1" fontId="28" fillId="13" borderId="10" xfId="0" applyNumberFormat="1" applyFont="1" applyFill="1" applyBorder="1" applyAlignment="1">
      <alignment horizontal="center"/>
    </xf>
    <xf numFmtId="1" fontId="28" fillId="0" borderId="10" xfId="0" applyNumberFormat="1" applyFont="1" applyBorder="1" applyAlignment="1">
      <alignment horizontal="center"/>
    </xf>
    <xf numFmtId="49" fontId="31" fillId="25" borderId="10" xfId="0" applyNumberFormat="1" applyFont="1" applyFill="1" applyBorder="1" applyAlignment="1">
      <alignment horizontal="center" wrapText="1"/>
    </xf>
    <xf numFmtId="49" fontId="31" fillId="13" borderId="10" xfId="0" applyNumberFormat="1" applyFont="1" applyFill="1" applyBorder="1" applyAlignment="1">
      <alignment horizontal="center" wrapText="1"/>
    </xf>
    <xf numFmtId="49" fontId="4" fillId="8" borderId="10" xfId="0" applyNumberFormat="1" applyFont="1" applyFill="1" applyBorder="1" applyAlignment="1">
      <alignment wrapText="1"/>
    </xf>
    <xf numFmtId="49" fontId="4" fillId="8" borderId="10" xfId="0" applyNumberFormat="1" applyFont="1" applyFill="1" applyBorder="1" applyAlignment="1">
      <alignment horizontal="center" wrapText="1"/>
    </xf>
    <xf numFmtId="0" fontId="31" fillId="8" borderId="10" xfId="0" applyFont="1" applyFill="1" applyBorder="1" applyAlignment="1">
      <alignment wrapText="1"/>
    </xf>
    <xf numFmtId="3" fontId="0" fillId="8" borderId="10" xfId="0" applyNumberFormat="1" applyFill="1" applyBorder="1" applyAlignment="1">
      <alignment wrapText="1"/>
    </xf>
    <xf numFmtId="3" fontId="4" fillId="8" borderId="10" xfId="0" applyNumberFormat="1" applyFont="1" applyFill="1" applyBorder="1" applyAlignment="1">
      <alignment horizontal="center" wrapText="1"/>
    </xf>
    <xf numFmtId="3" fontId="4" fillId="8" borderId="10" xfId="0" applyNumberFormat="1" applyFont="1" applyFill="1" applyBorder="1" applyAlignment="1">
      <alignment wrapText="1"/>
    </xf>
    <xf numFmtId="3" fontId="19" fillId="8" borderId="10" xfId="0" applyNumberFormat="1" applyFont="1" applyFill="1" applyBorder="1" applyAlignment="1">
      <alignment wrapText="1"/>
    </xf>
    <xf numFmtId="3" fontId="30" fillId="8" borderId="10" xfId="0" applyNumberFormat="1" applyFont="1" applyFill="1" applyBorder="1" applyAlignment="1">
      <alignment wrapText="1"/>
    </xf>
    <xf numFmtId="2" fontId="30" fillId="8" borderId="10" xfId="0" applyNumberFormat="1" applyFont="1" applyFill="1" applyBorder="1" applyAlignment="1">
      <alignment wrapText="1"/>
    </xf>
    <xf numFmtId="164" fontId="69" fillId="7" borderId="10" xfId="0" applyNumberFormat="1" applyFont="1" applyFill="1" applyBorder="1" applyAlignment="1">
      <alignment horizontal="left" wrapText="1"/>
    </xf>
    <xf numFmtId="49" fontId="2" fillId="7" borderId="10" xfId="0" applyNumberFormat="1" applyFont="1" applyFill="1" applyBorder="1" applyAlignment="1">
      <alignment wrapText="1"/>
    </xf>
    <xf numFmtId="49" fontId="2" fillId="7" borderId="10" xfId="0" applyNumberFormat="1" applyFont="1" applyFill="1" applyBorder="1" applyAlignment="1">
      <alignment horizontal="center" wrapText="1"/>
    </xf>
    <xf numFmtId="0" fontId="32" fillId="7" borderId="10" xfId="0" applyFont="1" applyFill="1" applyBorder="1" applyAlignment="1">
      <alignment wrapText="1"/>
    </xf>
    <xf numFmtId="3" fontId="5" fillId="7" borderId="10" xfId="0" applyNumberFormat="1" applyFont="1" applyFill="1" applyBorder="1" applyAlignment="1">
      <alignment wrapText="1"/>
    </xf>
    <xf numFmtId="3" fontId="2" fillId="7" borderId="10" xfId="0" applyNumberFormat="1" applyFont="1" applyFill="1" applyBorder="1" applyAlignment="1">
      <alignment horizontal="center" wrapText="1"/>
    </xf>
    <xf numFmtId="3" fontId="2" fillId="7" borderId="10" xfId="0" applyNumberFormat="1" applyFont="1" applyFill="1" applyBorder="1" applyAlignment="1">
      <alignment wrapText="1"/>
    </xf>
    <xf numFmtId="3" fontId="5" fillId="7" borderId="10" xfId="0" applyNumberFormat="1" applyFont="1" applyFill="1" applyBorder="1" applyAlignment="1">
      <alignment horizontal="center" wrapText="1"/>
    </xf>
    <xf numFmtId="2" fontId="5" fillId="7" borderId="10" xfId="0" applyNumberFormat="1" applyFont="1" applyFill="1" applyBorder="1" applyAlignment="1">
      <alignment wrapText="1"/>
    </xf>
    <xf numFmtId="0" fontId="5" fillId="7" borderId="10" xfId="0" applyFont="1" applyFill="1" applyBorder="1" applyAlignment="1">
      <alignment horizontal="left" wrapText="1"/>
    </xf>
    <xf numFmtId="0" fontId="5" fillId="7" borderId="10" xfId="0" applyFont="1" applyFill="1" applyBorder="1" applyAlignment="1">
      <alignment horizontal="center" wrapText="1"/>
    </xf>
    <xf numFmtId="0" fontId="32" fillId="7" borderId="10" xfId="0" applyFont="1" applyFill="1" applyBorder="1" applyAlignment="1">
      <alignment horizontal="left" wrapText="1"/>
    </xf>
    <xf numFmtId="2" fontId="32" fillId="7" borderId="10" xfId="0" applyNumberFormat="1" applyFont="1" applyFill="1" applyBorder="1" applyAlignment="1">
      <alignment horizontal="left" wrapText="1"/>
    </xf>
    <xf numFmtId="2" fontId="5" fillId="7" borderId="10" xfId="0" applyNumberFormat="1" applyFont="1" applyFill="1" applyBorder="1" applyAlignment="1">
      <alignment horizontal="center" wrapText="1"/>
    </xf>
    <xf numFmtId="0" fontId="70" fillId="8" borderId="10" xfId="0" applyFont="1" applyFill="1" applyBorder="1" applyAlignment="1">
      <alignment wrapText="1"/>
    </xf>
    <xf numFmtId="3" fontId="30" fillId="3" borderId="10" xfId="0" applyNumberFormat="1" applyFont="1" applyFill="1" applyBorder="1" applyAlignment="1">
      <alignment wrapText="1"/>
    </xf>
    <xf numFmtId="3" fontId="19" fillId="3" borderId="10" xfId="0" applyNumberFormat="1" applyFont="1" applyFill="1" applyBorder="1" applyAlignment="1">
      <alignment wrapText="1"/>
    </xf>
    <xf numFmtId="164" fontId="48" fillId="3" borderId="10" xfId="0" applyNumberFormat="1" applyFont="1" applyFill="1" applyBorder="1" applyAlignment="1">
      <alignment horizontal="left" wrapText="1"/>
    </xf>
    <xf numFmtId="0" fontId="28" fillId="15" borderId="12" xfId="0" applyFont="1" applyFill="1" applyBorder="1" applyAlignment="1">
      <alignment horizontal="left" wrapText="1"/>
    </xf>
    <xf numFmtId="0" fontId="50" fillId="6" borderId="10" xfId="0" applyFont="1" applyFill="1" applyBorder="1" applyAlignment="1">
      <alignment wrapText="1"/>
    </xf>
    <xf numFmtId="0" fontId="28" fillId="0" borderId="12" xfId="0" applyFont="1" applyBorder="1" applyAlignment="1">
      <alignment horizontal="left" wrapText="1"/>
    </xf>
    <xf numFmtId="49" fontId="28" fillId="0" borderId="12" xfId="0" applyNumberFormat="1" applyFont="1" applyBorder="1" applyAlignment="1">
      <alignment horizontal="center" wrapText="1"/>
    </xf>
    <xf numFmtId="0" fontId="18" fillId="11" borderId="10" xfId="0" applyFont="1" applyFill="1" applyBorder="1" applyAlignment="1">
      <alignment horizontal="left" wrapText="1"/>
    </xf>
    <xf numFmtId="0" fontId="0" fillId="0" borderId="10" xfId="0" applyBorder="1" applyAlignment="1">
      <alignment horizontal="center" wrapText="1"/>
    </xf>
    <xf numFmtId="0" fontId="18" fillId="8" borderId="10" xfId="0" applyFont="1" applyFill="1" applyBorder="1" applyAlignment="1">
      <alignment wrapText="1"/>
    </xf>
    <xf numFmtId="0" fontId="5" fillId="21" borderId="0" xfId="0" applyFont="1" applyFill="1" applyAlignment="1">
      <alignment wrapText="1"/>
    </xf>
    <xf numFmtId="0" fontId="42" fillId="0" borderId="0" xfId="0" applyFont="1" applyAlignment="1">
      <alignment wrapText="1"/>
    </xf>
    <xf numFmtId="2" fontId="28" fillId="6" borderId="10" xfId="0" applyNumberFormat="1" applyFont="1" applyFill="1" applyBorder="1" applyAlignment="1">
      <alignment horizontal="left" vertical="center" wrapText="1"/>
    </xf>
    <xf numFmtId="2" fontId="30" fillId="13" borderId="10" xfId="0" applyNumberFormat="1" applyFont="1" applyFill="1" applyBorder="1" applyAlignment="1">
      <alignment horizontal="center" wrapText="1"/>
    </xf>
    <xf numFmtId="3" fontId="30" fillId="13" borderId="10" xfId="0" applyNumberFormat="1" applyFont="1" applyFill="1" applyBorder="1" applyAlignment="1">
      <alignment horizontal="center" wrapText="1"/>
    </xf>
    <xf numFmtId="3" fontId="19" fillId="13" borderId="10" xfId="0" applyNumberFormat="1" applyFont="1" applyFill="1" applyBorder="1" applyAlignment="1">
      <alignment horizontal="center" wrapText="1"/>
    </xf>
    <xf numFmtId="1" fontId="36" fillId="11" borderId="10" xfId="0" applyNumberFormat="1" applyFont="1" applyFill="1" applyBorder="1" applyAlignment="1">
      <alignment horizontal="left" wrapText="1"/>
    </xf>
    <xf numFmtId="0" fontId="71" fillId="3" borderId="10" xfId="0" applyFont="1" applyFill="1" applyBorder="1" applyAlignment="1">
      <alignment wrapText="1"/>
    </xf>
    <xf numFmtId="0" fontId="28" fillId="0" borderId="10" xfId="0" applyFont="1" applyBorder="1" applyAlignment="1">
      <alignment horizontal="center" wrapText="1"/>
    </xf>
    <xf numFmtId="0" fontId="16" fillId="0" borderId="0" xfId="0" applyFont="1"/>
    <xf numFmtId="0" fontId="73" fillId="0" borderId="0" xfId="0" applyFont="1" applyAlignment="1">
      <alignment wrapText="1"/>
    </xf>
    <xf numFmtId="22" fontId="17" fillId="0" borderId="2" xfId="0" applyNumberFormat="1" applyFont="1" applyBorder="1" applyAlignment="1">
      <alignment horizontal="center"/>
    </xf>
    <xf numFmtId="22" fontId="17" fillId="0" borderId="4" xfId="0" applyNumberFormat="1" applyFont="1" applyBorder="1" applyAlignment="1">
      <alignment horizontal="center"/>
    </xf>
    <xf numFmtId="22" fontId="17" fillId="0" borderId="7" xfId="0" applyNumberFormat="1" applyFont="1" applyBorder="1" applyAlignment="1">
      <alignment horizontal="center"/>
    </xf>
    <xf numFmtId="164" fontId="17" fillId="0" borderId="2" xfId="0" applyNumberFormat="1" applyFont="1" applyBorder="1" applyAlignment="1">
      <alignment horizontal="center"/>
    </xf>
    <xf numFmtId="164" fontId="17" fillId="0" borderId="4" xfId="0" applyNumberFormat="1" applyFont="1" applyBorder="1" applyAlignment="1">
      <alignment horizontal="center"/>
    </xf>
    <xf numFmtId="164" fontId="17" fillId="0" borderId="7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13" fillId="0" borderId="5" xfId="0" applyFont="1" applyBorder="1" applyAlignment="1">
      <alignment horizontal="center" wrapText="1"/>
    </xf>
    <xf numFmtId="0" fontId="13" fillId="0" borderId="16" xfId="0" applyFont="1" applyBorder="1" applyAlignment="1">
      <alignment horizontal="center" wrapText="1"/>
    </xf>
    <xf numFmtId="0" fontId="13" fillId="0" borderId="18" xfId="0" applyFont="1" applyBorder="1" applyAlignment="1">
      <alignment horizontal="center" wrapText="1"/>
    </xf>
    <xf numFmtId="0" fontId="13" fillId="0" borderId="19" xfId="0" applyFont="1" applyBorder="1" applyAlignment="1">
      <alignment horizontal="center" wrapText="1"/>
    </xf>
    <xf numFmtId="0" fontId="13" fillId="0" borderId="20" xfId="0" applyFont="1" applyBorder="1" applyAlignment="1">
      <alignment horizontal="center" wrapText="1"/>
    </xf>
    <xf numFmtId="0" fontId="14" fillId="3" borderId="2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14" fillId="3" borderId="7" xfId="0" applyFont="1" applyFill="1" applyBorder="1" applyAlignment="1">
      <alignment horizontal="center"/>
    </xf>
    <xf numFmtId="2" fontId="14" fillId="4" borderId="2" xfId="0" applyNumberFormat="1" applyFont="1" applyFill="1" applyBorder="1" applyAlignment="1">
      <alignment horizontal="center" wrapText="1"/>
    </xf>
    <xf numFmtId="2" fontId="14" fillId="4" borderId="4" xfId="0" applyNumberFormat="1" applyFont="1" applyFill="1" applyBorder="1" applyAlignment="1">
      <alignment horizontal="center" wrapText="1"/>
    </xf>
    <xf numFmtId="2" fontId="14" fillId="4" borderId="7" xfId="0" applyNumberFormat="1" applyFont="1" applyFill="1" applyBorder="1" applyAlignment="1">
      <alignment horizontal="center" wrapText="1"/>
    </xf>
    <xf numFmtId="0" fontId="14" fillId="5" borderId="2" xfId="0" applyFont="1" applyFill="1" applyBorder="1" applyAlignment="1">
      <alignment horizontal="center"/>
    </xf>
    <xf numFmtId="0" fontId="14" fillId="5" borderId="4" xfId="0" applyFont="1" applyFill="1" applyBorder="1" applyAlignment="1">
      <alignment horizontal="center"/>
    </xf>
    <xf numFmtId="0" fontId="14" fillId="5" borderId="7" xfId="0" applyFont="1" applyFill="1" applyBorder="1" applyAlignment="1">
      <alignment horizontal="center"/>
    </xf>
    <xf numFmtId="49" fontId="14" fillId="6" borderId="2" xfId="0" applyNumberFormat="1" applyFont="1" applyFill="1" applyBorder="1" applyAlignment="1">
      <alignment horizontal="center"/>
    </xf>
    <xf numFmtId="49" fontId="14" fillId="6" borderId="4" xfId="0" applyNumberFormat="1" applyFont="1" applyFill="1" applyBorder="1" applyAlignment="1">
      <alignment horizontal="center"/>
    </xf>
    <xf numFmtId="49" fontId="14" fillId="6" borderId="7" xfId="0" applyNumberFormat="1" applyFont="1" applyFill="1" applyBorder="1" applyAlignment="1">
      <alignment horizontal="center"/>
    </xf>
    <xf numFmtId="2" fontId="15" fillId="7" borderId="2" xfId="0" applyNumberFormat="1" applyFont="1" applyFill="1" applyBorder="1" applyAlignment="1">
      <alignment horizontal="center"/>
    </xf>
    <xf numFmtId="2" fontId="15" fillId="7" borderId="4" xfId="0" applyNumberFormat="1" applyFont="1" applyFill="1" applyBorder="1" applyAlignment="1">
      <alignment horizontal="center"/>
    </xf>
    <xf numFmtId="2" fontId="15" fillId="7" borderId="7" xfId="0" applyNumberFormat="1" applyFont="1" applyFill="1" applyBorder="1" applyAlignment="1">
      <alignment horizontal="center"/>
    </xf>
    <xf numFmtId="3" fontId="14" fillId="8" borderId="2" xfId="0" applyNumberFormat="1" applyFont="1" applyFill="1" applyBorder="1" applyAlignment="1">
      <alignment horizontal="center"/>
    </xf>
    <xf numFmtId="3" fontId="14" fillId="8" borderId="4" xfId="0" applyNumberFormat="1" applyFont="1" applyFill="1" applyBorder="1" applyAlignment="1">
      <alignment horizontal="center"/>
    </xf>
    <xf numFmtId="3" fontId="14" fillId="8" borderId="7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7" fillId="2" borderId="2" xfId="0" applyFont="1" applyFill="1" applyBorder="1" applyAlignment="1" applyProtection="1">
      <alignment horizontal="center"/>
      <protection locked="0"/>
    </xf>
    <xf numFmtId="0" fontId="7" fillId="2" borderId="7" xfId="0" applyFont="1" applyFill="1" applyBorder="1" applyAlignment="1" applyProtection="1">
      <alignment horizontal="center"/>
      <protection locked="0"/>
    </xf>
    <xf numFmtId="0" fontId="9" fillId="0" borderId="2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10" fillId="2" borderId="4" xfId="0" applyFont="1" applyFill="1" applyBorder="1" applyAlignment="1" applyProtection="1">
      <alignment horizontal="center" vertical="center"/>
      <protection locked="0"/>
    </xf>
    <xf numFmtId="0" fontId="10" fillId="2" borderId="7" xfId="0" applyFont="1" applyFill="1" applyBorder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2" fillId="2" borderId="2" xfId="0" applyFont="1" applyFill="1" applyBorder="1" applyAlignment="1" applyProtection="1">
      <alignment horizontal="center"/>
      <protection locked="0"/>
    </xf>
    <xf numFmtId="0" fontId="12" fillId="2" borderId="4" xfId="0" applyFont="1" applyFill="1" applyBorder="1" applyAlignment="1" applyProtection="1">
      <alignment horizontal="center"/>
      <protection locked="0"/>
    </xf>
    <xf numFmtId="0" fontId="12" fillId="2" borderId="7" xfId="0" applyFont="1" applyFill="1" applyBorder="1" applyAlignment="1" applyProtection="1">
      <alignment horizontal="center"/>
      <protection locked="0"/>
    </xf>
    <xf numFmtId="0" fontId="10" fillId="2" borderId="2" xfId="0" applyFont="1" applyFill="1" applyBorder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horizontal="center" wrapText="1"/>
      <protection locked="0"/>
    </xf>
    <xf numFmtId="0" fontId="11" fillId="0" borderId="4" xfId="0" applyFont="1" applyBorder="1" applyAlignment="1" applyProtection="1">
      <alignment horizontal="center" wrapText="1"/>
      <protection locked="0"/>
    </xf>
    <xf numFmtId="0" fontId="11" fillId="0" borderId="7" xfId="0" applyFont="1" applyBorder="1" applyAlignment="1" applyProtection="1">
      <alignment horizontal="center" wrapText="1"/>
      <protection locked="0"/>
    </xf>
    <xf numFmtId="0" fontId="20" fillId="10" borderId="21" xfId="0" applyFont="1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20" fillId="10" borderId="12" xfId="0" applyFont="1" applyFill="1" applyBorder="1" applyAlignment="1">
      <alignment horizontal="center"/>
    </xf>
    <xf numFmtId="0" fontId="20" fillId="10" borderId="26" xfId="0" applyFont="1" applyFill="1" applyBorder="1" applyAlignment="1">
      <alignment horizontal="center"/>
    </xf>
    <xf numFmtId="0" fontId="20" fillId="10" borderId="13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74916</xdr:colOff>
      <xdr:row>0</xdr:row>
      <xdr:rowOff>152399</xdr:rowOff>
    </xdr:from>
    <xdr:to>
      <xdr:col>16</xdr:col>
      <xdr:colOff>225614</xdr:colOff>
      <xdr:row>5</xdr:row>
      <xdr:rowOff>174572</xdr:rowOff>
    </xdr:to>
    <xdr:pic>
      <xdr:nvPicPr>
        <xdr:cNvPr id="2" name="Picture 1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8A79B45F-69A1-4CF0-BBDF-6EF15C122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16" y="152399"/>
          <a:ext cx="2989148" cy="97467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0</xdr:col>
      <xdr:colOff>1734027</xdr:colOff>
      <xdr:row>6</xdr:row>
      <xdr:rowOff>168471</xdr:rowOff>
    </xdr:to>
    <xdr:pic>
      <xdr:nvPicPr>
        <xdr:cNvPr id="2" name="Picture 1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9012DB01-6D97-4A1B-8537-074AD5B92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"/>
          <a:ext cx="1734027" cy="123527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552451</xdr:colOff>
      <xdr:row>0</xdr:row>
      <xdr:rowOff>651332</xdr:rowOff>
    </xdr:from>
    <xdr:to>
      <xdr:col>3</xdr:col>
      <xdr:colOff>1816100</xdr:colOff>
      <xdr:row>1</xdr:row>
      <xdr:rowOff>707360</xdr:rowOff>
    </xdr:to>
    <xdr:pic>
      <xdr:nvPicPr>
        <xdr:cNvPr id="2" name="Picture 1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DF00D8B2-89BC-46EC-B1E1-DA2F4CA27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8201" y="651332"/>
          <a:ext cx="3460749" cy="81802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imms.sharepoint.com/sites/PimmsManufacturing/Manufacturing/Production/Planning/Factory%20Schedule%202023/factory%203%20planning.xlsx" TargetMode="External"/><Relationship Id="rId1" Type="http://schemas.openxmlformats.org/officeDocument/2006/relationships/externalLinkPath" Target="https://pimms.sharepoint.com/sites/PimmsManufacturing/Manufacturing/Production/Planning/Factory%20Schedule%202023/factory%203%20planning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imms.sharepoint.com/sites/PimmsManufacturing/Manufacturing/Production/Planning/Factory%20Schedule%202023/factory%202%20planning.xlsx" TargetMode="External"/><Relationship Id="rId1" Type="http://schemas.openxmlformats.org/officeDocument/2006/relationships/externalLinkPath" Target="https://pimms.sharepoint.com/sites/PimmsManufacturing/Manufacturing/Production/Planning/Factory%20Schedule%202023/factory%202%20plann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imms.sharepoint.com/sites/PimmsManufacturing/Manufacturing/Production/Planning/Factory%20Schedule%202023/Factory%201%20planning.xlsx" TargetMode="External"/><Relationship Id="rId1" Type="http://schemas.openxmlformats.org/officeDocument/2006/relationships/externalLinkPath" Target="https://pimms.sharepoint.com/sites/PimmsManufacturing/Manufacturing/Production/Planning/Factory%20Schedule%202023/Factory%201%20plann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imms.sharepoint.com/sites/PimmsManufacturing/Manufacturing/Production/Planning/Factory%20Schedule%202023/Copy%20of%20factory%203%20planning.xlsx" TargetMode="External"/><Relationship Id="rId1" Type="http://schemas.openxmlformats.org/officeDocument/2006/relationships/externalLinkPath" Target="https://pimms.sharepoint.com/sites/PimmsManufacturing/Manufacturing/Production/Planning/Factory%20Schedule%202023/Copy%20of%20factory%203%20planning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imms-my.sharepoint.com/personal/adrian_pimms_co_za/Documents/Desktop/2023%20JANUARY%20-%20Daily%20Factory%20Planning%20Schedule%20(WIP%20New%20Master)%20trial.xlsx" TargetMode="External"/><Relationship Id="rId1" Type="http://schemas.openxmlformats.org/officeDocument/2006/relationships/externalLinkPath" Target="https://pimms-my.sharepoint.com/personal/adrian_pimms_co_za/Documents/Desktop/2023%20JANUARY%20-%20Daily%20Factory%20Planning%20Schedule%20(WIP%20New%20Master)%20tr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ory 3"/>
    </sheetNames>
    <sheetDataSet>
      <sheetData sheetId="0">
        <row r="169">
          <cell r="A169">
            <v>46153.749652777777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ory 2"/>
    </sheetNames>
    <sheetDataSet>
      <sheetData sheetId="0">
        <row r="14">
          <cell r="X14">
            <v>46153</v>
          </cell>
        </row>
        <row r="15">
          <cell r="A15">
            <v>46153</v>
          </cell>
        </row>
        <row r="16">
          <cell r="A16">
            <v>46153</v>
          </cell>
        </row>
        <row r="17">
          <cell r="A17">
            <v>46153</v>
          </cell>
        </row>
        <row r="18">
          <cell r="A18">
            <v>46153</v>
          </cell>
        </row>
        <row r="19">
          <cell r="A19">
            <v>46153</v>
          </cell>
        </row>
        <row r="20">
          <cell r="A20">
            <v>46153</v>
          </cell>
        </row>
        <row r="21">
          <cell r="A21">
            <v>46153</v>
          </cell>
        </row>
        <row r="103">
          <cell r="X103">
            <v>46153.000108506945</v>
          </cell>
        </row>
        <row r="1476">
          <cell r="X1476">
            <v>46160.450491898133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ory A"/>
      <sheetName val="Assembly "/>
      <sheetName val="Sheet4"/>
      <sheetName val="Sheet5"/>
      <sheetName val="Sheet1"/>
      <sheetName val="Sheet2"/>
      <sheetName val="Gant Chart"/>
      <sheetName val="Sheet3"/>
      <sheetName val="Sheet6"/>
    </sheetNames>
    <sheetDataSet>
      <sheetData sheetId="0">
        <row r="722">
          <cell r="X722">
            <v>46153.865277777775</v>
          </cell>
        </row>
        <row r="1141">
          <cell r="W1141">
            <v>0</v>
          </cell>
        </row>
        <row r="1818">
          <cell r="X1818">
            <v>46153.815393518526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ory 3"/>
    </sheetNames>
    <sheetDataSet>
      <sheetData sheetId="0" refreshError="1">
        <row r="421">
          <cell r="X421">
            <v>46098.604861111104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MMS"/>
      <sheetName val="Sheet1"/>
      <sheetName val="Cape town Relocations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immsv14.odoo.com/web" TargetMode="External"/><Relationship Id="rId3" Type="http://schemas.openxmlformats.org/officeDocument/2006/relationships/hyperlink" Target="https://pimmsv14.odoo.com/web" TargetMode="External"/><Relationship Id="rId7" Type="http://schemas.openxmlformats.org/officeDocument/2006/relationships/hyperlink" Target="https://pimmsv14.odoo.com/web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pimmsv14.odoo.com/web" TargetMode="External"/><Relationship Id="rId1" Type="http://schemas.openxmlformats.org/officeDocument/2006/relationships/hyperlink" Target="https://pimmsv14.odoo.com/web" TargetMode="External"/><Relationship Id="rId6" Type="http://schemas.openxmlformats.org/officeDocument/2006/relationships/hyperlink" Target="https://pimmsv14.odoo.com/web" TargetMode="External"/><Relationship Id="rId11" Type="http://schemas.openxmlformats.org/officeDocument/2006/relationships/hyperlink" Target="https://pimmsv14.odoo.com/web" TargetMode="External"/><Relationship Id="rId5" Type="http://schemas.openxmlformats.org/officeDocument/2006/relationships/hyperlink" Target="https://pimmsv14.odoo.com/web" TargetMode="External"/><Relationship Id="rId10" Type="http://schemas.openxmlformats.org/officeDocument/2006/relationships/hyperlink" Target="https://pimmsv14.odoo.com/web" TargetMode="External"/><Relationship Id="rId4" Type="http://schemas.openxmlformats.org/officeDocument/2006/relationships/hyperlink" Target="https://pimmsv14.odoo.com/web" TargetMode="External"/><Relationship Id="rId9" Type="http://schemas.openxmlformats.org/officeDocument/2006/relationships/hyperlink" Target="https://pimmsv14.odoo.com/web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pimmsv14.odoo.com/web" TargetMode="External"/><Relationship Id="rId1" Type="http://schemas.openxmlformats.org/officeDocument/2006/relationships/hyperlink" Target="https://pimmsv14.odoo.com/web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EC7CA-B9C8-4686-8377-97B74EC71F90}">
  <dimension ref="A1:X2990"/>
  <sheetViews>
    <sheetView workbookViewId="0">
      <selection activeCell="D197" sqref="D197"/>
    </sheetView>
  </sheetViews>
  <sheetFormatPr defaultColWidth="54.7265625" defaultRowHeight="14.5" x14ac:dyDescent="0.35"/>
  <cols>
    <col min="1" max="2" width="29.1796875" customWidth="1"/>
    <col min="3" max="3" width="6.453125" customWidth="1"/>
    <col min="4" max="4" width="19.453125" customWidth="1"/>
    <col min="5" max="5" width="9.453125" customWidth="1"/>
    <col min="6" max="6" width="19.7265625" customWidth="1"/>
    <col min="7" max="7" width="7.7265625" customWidth="1"/>
    <col min="8" max="8" width="14" customWidth="1"/>
    <col min="9" max="9" width="57" customWidth="1"/>
    <col min="10" max="10" width="25.26953125" bestFit="1" customWidth="1"/>
    <col min="11" max="11" width="9.81640625" customWidth="1"/>
    <col min="12" max="12" width="6.453125" customWidth="1"/>
    <col min="13" max="13" width="8.81640625" customWidth="1"/>
    <col min="14" max="14" width="10.453125" style="3" customWidth="1"/>
    <col min="15" max="15" width="8.1796875" customWidth="1"/>
    <col min="16" max="16" width="9.453125" style="3" customWidth="1"/>
    <col min="17" max="17" width="6.453125" style="3" customWidth="1"/>
    <col min="18" max="18" width="7.81640625" customWidth="1"/>
    <col min="19" max="19" width="8.26953125" customWidth="1"/>
    <col min="20" max="20" width="7.7265625" customWidth="1"/>
    <col min="21" max="22" width="8.26953125" customWidth="1"/>
    <col min="23" max="23" width="7.7265625" customWidth="1"/>
    <col min="24" max="24" width="31.26953125" customWidth="1"/>
  </cols>
  <sheetData>
    <row r="1" spans="1:24" ht="60" customHeight="1" thickBot="1" x14ac:dyDescent="0.65">
      <c r="A1" s="1192"/>
      <c r="B1" s="1192"/>
      <c r="C1" s="1192"/>
      <c r="D1" s="1192"/>
      <c r="E1" s="1192"/>
      <c r="F1" s="1192"/>
      <c r="G1" s="1198" t="s">
        <v>0</v>
      </c>
      <c r="H1" s="1198"/>
      <c r="I1" s="1">
        <f>S7</f>
        <v>46153</v>
      </c>
      <c r="J1" s="2" t="s">
        <v>1</v>
      </c>
      <c r="K1" s="1200" t="s">
        <v>2</v>
      </c>
      <c r="L1" s="1200"/>
      <c r="M1" s="1200"/>
      <c r="N1" s="1200"/>
      <c r="O1" s="1203" t="s">
        <v>3</v>
      </c>
      <c r="P1" s="1203"/>
      <c r="Q1" s="1203"/>
      <c r="R1" s="1203"/>
      <c r="S1" s="1205" t="s">
        <v>4</v>
      </c>
      <c r="T1" s="1205"/>
      <c r="U1" s="1205"/>
      <c r="V1" s="1205"/>
      <c r="W1" s="1205"/>
      <c r="X1" s="1205"/>
    </row>
    <row r="2" spans="1:24" ht="60" customHeight="1" thickBot="1" x14ac:dyDescent="0.9">
      <c r="A2" s="1192"/>
      <c r="B2" s="1192"/>
      <c r="C2" s="1192"/>
      <c r="D2" s="1192"/>
      <c r="E2" s="1192"/>
      <c r="F2" s="1192"/>
      <c r="G2" s="1208" t="s">
        <v>5</v>
      </c>
      <c r="H2" s="1208"/>
      <c r="I2" s="1208"/>
      <c r="J2" s="1208"/>
      <c r="K2" s="1208"/>
      <c r="L2" s="1208"/>
      <c r="M2" s="1208"/>
      <c r="N2" s="1208"/>
      <c r="O2" s="1211" t="s">
        <v>6</v>
      </c>
      <c r="P2" s="1211"/>
      <c r="Q2" s="1211"/>
      <c r="R2" s="1211"/>
      <c r="S2" s="1212" t="s">
        <v>7</v>
      </c>
      <c r="T2" s="1212"/>
      <c r="U2" s="1212"/>
      <c r="V2" s="1212"/>
      <c r="W2" s="1212"/>
      <c r="X2" s="1212"/>
    </row>
    <row r="3" spans="1:24" ht="7.9" customHeight="1" thickBot="1" x14ac:dyDescent="0.4"/>
    <row r="4" spans="1:24" ht="27.65" customHeight="1" thickBot="1" x14ac:dyDescent="0.6">
      <c r="A4" s="1168" t="s">
        <v>8</v>
      </c>
      <c r="B4" s="1168"/>
      <c r="C4" s="1168"/>
      <c r="D4" s="1168"/>
      <c r="E4" s="1168"/>
      <c r="F4" s="1168"/>
      <c r="G4" s="1174" t="s">
        <v>9</v>
      </c>
      <c r="H4" s="1174"/>
      <c r="I4" s="1174"/>
      <c r="J4" s="1177" t="s">
        <v>10</v>
      </c>
      <c r="K4" s="1177"/>
      <c r="L4" s="1177"/>
      <c r="M4" s="1177"/>
      <c r="N4" s="1177"/>
      <c r="O4" s="1177"/>
      <c r="P4" s="1177"/>
      <c r="Q4" s="4"/>
      <c r="R4" s="1180" t="s">
        <v>11</v>
      </c>
      <c r="S4" s="1180"/>
      <c r="T4" s="1180"/>
      <c r="U4" s="1180"/>
      <c r="V4" s="1180"/>
      <c r="W4" s="1180"/>
      <c r="X4" s="1180"/>
    </row>
    <row r="5" spans="1:24" ht="27.65" customHeight="1" thickBot="1" x14ac:dyDescent="0.6">
      <c r="A5" s="1168"/>
      <c r="B5" s="1168"/>
      <c r="C5" s="1168"/>
      <c r="D5" s="1168"/>
      <c r="E5" s="1168"/>
      <c r="F5" s="1168"/>
      <c r="G5" s="1183" t="s">
        <v>12</v>
      </c>
      <c r="H5" s="1183"/>
      <c r="I5" s="1183"/>
      <c r="J5" s="1186" t="s">
        <v>13</v>
      </c>
      <c r="K5" s="1186"/>
      <c r="L5" s="1186"/>
      <c r="M5" s="1186"/>
      <c r="N5" s="1186"/>
      <c r="O5" s="1186"/>
      <c r="P5" s="1186"/>
      <c r="Q5" s="5"/>
      <c r="R5" s="1189" t="s">
        <v>14</v>
      </c>
      <c r="S5" s="1189"/>
      <c r="T5" s="1189"/>
      <c r="U5" s="1189"/>
      <c r="V5" s="1189"/>
      <c r="W5" s="1189"/>
      <c r="X5" s="1189"/>
    </row>
    <row r="6" spans="1:24" ht="15" thickBot="1" x14ac:dyDescent="0.4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ht="26.5" thickBot="1" x14ac:dyDescent="0.65">
      <c r="A7" s="1162" t="s">
        <v>15</v>
      </c>
      <c r="B7" s="1162"/>
      <c r="C7" s="1162"/>
      <c r="D7" s="1162"/>
      <c r="E7" s="1162"/>
      <c r="F7" s="1162"/>
      <c r="G7" s="1162"/>
      <c r="H7" s="1162"/>
      <c r="I7" s="1162"/>
      <c r="J7" s="1162"/>
      <c r="K7" s="1162"/>
      <c r="L7" s="1162"/>
      <c r="M7" s="1162"/>
      <c r="N7" s="1162"/>
      <c r="O7" s="1162"/>
      <c r="P7" s="1162"/>
      <c r="Q7" s="1162"/>
      <c r="R7" s="1162"/>
      <c r="S7" s="1165">
        <v>46153</v>
      </c>
      <c r="T7" s="1165"/>
      <c r="U7" s="1165"/>
      <c r="V7" s="1165"/>
      <c r="W7" s="1165"/>
      <c r="X7" s="1165"/>
    </row>
    <row r="8" spans="1:24" ht="29.5" thickBot="1" x14ac:dyDescent="0.4">
      <c r="A8" s="8" t="s">
        <v>16</v>
      </c>
      <c r="B8" s="9" t="s">
        <v>17</v>
      </c>
      <c r="C8" s="10" t="s">
        <v>18</v>
      </c>
      <c r="D8" s="10" t="s">
        <v>19</v>
      </c>
      <c r="E8" s="8" t="s">
        <v>20</v>
      </c>
      <c r="F8" s="11" t="s">
        <v>21</v>
      </c>
      <c r="G8" s="12" t="s">
        <v>22</v>
      </c>
      <c r="H8" s="13" t="s">
        <v>23</v>
      </c>
      <c r="I8" s="11" t="s">
        <v>24</v>
      </c>
      <c r="J8" s="14" t="s">
        <v>25</v>
      </c>
      <c r="K8" s="15" t="s">
        <v>26</v>
      </c>
      <c r="L8" s="16" t="s">
        <v>27</v>
      </c>
      <c r="M8" s="17" t="s">
        <v>28</v>
      </c>
      <c r="N8" s="18" t="s">
        <v>29</v>
      </c>
      <c r="O8" s="17" t="s">
        <v>30</v>
      </c>
      <c r="P8" s="19" t="s">
        <v>31</v>
      </c>
      <c r="Q8" s="20" t="s">
        <v>32</v>
      </c>
      <c r="R8" s="18">
        <v>70</v>
      </c>
      <c r="S8" s="17" t="s">
        <v>33</v>
      </c>
      <c r="T8" s="18" t="s">
        <v>34</v>
      </c>
      <c r="U8" s="12" t="s">
        <v>35</v>
      </c>
      <c r="V8" s="21" t="s">
        <v>36</v>
      </c>
      <c r="W8" s="12" t="s">
        <v>37</v>
      </c>
      <c r="X8" s="22" t="s">
        <v>38</v>
      </c>
    </row>
    <row r="9" spans="1:24" ht="47.5" x14ac:dyDescent="1.1000000000000001">
      <c r="A9" s="23" t="s">
        <v>39</v>
      </c>
      <c r="B9" s="24"/>
      <c r="C9" s="24"/>
      <c r="D9" s="24"/>
      <c r="E9" s="25"/>
      <c r="F9" s="26"/>
      <c r="G9" s="26"/>
      <c r="H9" s="27"/>
      <c r="I9" s="28"/>
      <c r="J9" s="29"/>
      <c r="K9" s="30"/>
      <c r="L9" s="30"/>
      <c r="M9" s="31" t="s">
        <v>40</v>
      </c>
      <c r="N9" s="32"/>
      <c r="O9" s="32"/>
      <c r="P9" s="32"/>
      <c r="Q9" s="32"/>
      <c r="R9" s="32" t="s">
        <v>41</v>
      </c>
      <c r="S9" s="32"/>
      <c r="T9" s="32"/>
      <c r="U9" s="33"/>
      <c r="V9" s="33"/>
      <c r="W9" s="33"/>
      <c r="X9" s="34"/>
    </row>
    <row r="10" spans="1:24" ht="34.5" x14ac:dyDescent="0.8">
      <c r="A10" s="35" t="s">
        <v>42</v>
      </c>
      <c r="B10" s="36"/>
      <c r="C10" s="36"/>
      <c r="D10" s="36"/>
      <c r="E10" s="36"/>
      <c r="F10" s="37"/>
      <c r="G10" s="37"/>
      <c r="H10" s="38"/>
      <c r="I10" s="39"/>
      <c r="J10" s="40"/>
      <c r="K10" s="41"/>
      <c r="L10" s="41"/>
      <c r="M10" s="42"/>
      <c r="N10" s="43"/>
      <c r="O10" s="44"/>
      <c r="P10" s="44"/>
      <c r="Q10" s="44"/>
      <c r="R10" s="44"/>
      <c r="S10" s="44"/>
      <c r="T10" s="44"/>
      <c r="U10" s="44"/>
      <c r="V10" s="44"/>
      <c r="W10" s="44"/>
      <c r="X10" s="45"/>
    </row>
    <row r="11" spans="1:24" hidden="1" x14ac:dyDescent="0.35">
      <c r="A11" s="46">
        <f>S7</f>
        <v>46153</v>
      </c>
      <c r="B11" s="46"/>
      <c r="C11" s="46"/>
      <c r="D11" s="46"/>
      <c r="E11" s="47" t="s">
        <v>43</v>
      </c>
      <c r="F11" s="48" t="s">
        <v>44</v>
      </c>
      <c r="G11" s="48"/>
      <c r="H11" s="49">
        <v>7401</v>
      </c>
      <c r="I11" s="50" t="s">
        <v>45</v>
      </c>
      <c r="J11" s="51"/>
      <c r="K11" s="52">
        <v>0</v>
      </c>
      <c r="L11" s="52">
        <v>0</v>
      </c>
      <c r="M11" s="53">
        <v>60</v>
      </c>
      <c r="N11" s="54">
        <v>1000</v>
      </c>
      <c r="O11" s="53">
        <v>1</v>
      </c>
      <c r="P11" s="54">
        <v>1010</v>
      </c>
      <c r="Q11" s="54"/>
      <c r="R11" s="53">
        <v>1010</v>
      </c>
      <c r="S11" s="53">
        <f t="shared" ref="S11:S74" si="0">P11-R11</f>
        <v>0</v>
      </c>
      <c r="T11" s="53">
        <f t="shared" ref="T11:T74" si="1">((3600/M11)*O11)*24</f>
        <v>1440</v>
      </c>
      <c r="U11" s="52">
        <f t="shared" ref="U11:U74" si="2">(P11-R11)*M11/3600</f>
        <v>0</v>
      </c>
      <c r="V11" s="52">
        <f t="shared" ref="V11:V74" si="3">(P11-R11)*M11/3600/24</f>
        <v>0</v>
      </c>
      <c r="W11" s="52">
        <v>0</v>
      </c>
      <c r="X11" s="55">
        <f t="shared" ref="X11:X74" si="4">A11+K11+V11+W11+L11</f>
        <v>46153</v>
      </c>
    </row>
    <row r="12" spans="1:24" ht="43.5" hidden="1" x14ac:dyDescent="0.35">
      <c r="A12" s="46">
        <f t="shared" ref="A12:A75" si="5">X11</f>
        <v>46153</v>
      </c>
      <c r="B12" s="46"/>
      <c r="C12" s="46"/>
      <c r="D12" s="46"/>
      <c r="E12" s="47" t="s">
        <v>43</v>
      </c>
      <c r="F12" s="48" t="s">
        <v>46</v>
      </c>
      <c r="G12" s="48"/>
      <c r="H12" s="49">
        <v>6902</v>
      </c>
      <c r="I12" s="48" t="s">
        <v>47</v>
      </c>
      <c r="J12" s="51"/>
      <c r="K12" s="52">
        <v>0</v>
      </c>
      <c r="L12" s="52">
        <v>0</v>
      </c>
      <c r="M12" s="53">
        <v>67</v>
      </c>
      <c r="N12" s="54">
        <v>1000</v>
      </c>
      <c r="O12" s="53">
        <v>1</v>
      </c>
      <c r="P12" s="54">
        <v>1129</v>
      </c>
      <c r="Q12" s="54"/>
      <c r="R12" s="53">
        <v>1129</v>
      </c>
      <c r="S12" s="53">
        <f t="shared" si="0"/>
        <v>0</v>
      </c>
      <c r="T12" s="53">
        <f t="shared" si="1"/>
        <v>1289.5522388059703</v>
      </c>
      <c r="U12" s="52">
        <f t="shared" si="2"/>
        <v>0</v>
      </c>
      <c r="V12" s="52">
        <f t="shared" si="3"/>
        <v>0</v>
      </c>
      <c r="W12" s="52">
        <v>0</v>
      </c>
      <c r="X12" s="55">
        <f t="shared" si="4"/>
        <v>46153</v>
      </c>
    </row>
    <row r="13" spans="1:24" hidden="1" x14ac:dyDescent="0.35">
      <c r="A13" s="46">
        <f t="shared" si="5"/>
        <v>46153</v>
      </c>
      <c r="B13" s="46"/>
      <c r="C13" s="46"/>
      <c r="D13" s="46"/>
      <c r="E13" s="47" t="s">
        <v>43</v>
      </c>
      <c r="F13" s="48" t="s">
        <v>48</v>
      </c>
      <c r="G13" s="48"/>
      <c r="H13" s="49">
        <v>6584</v>
      </c>
      <c r="I13" s="48" t="s">
        <v>49</v>
      </c>
      <c r="J13" s="51"/>
      <c r="K13" s="52">
        <v>0</v>
      </c>
      <c r="L13" s="52">
        <v>0</v>
      </c>
      <c r="M13" s="53">
        <v>67</v>
      </c>
      <c r="N13" s="54">
        <v>9450</v>
      </c>
      <c r="O13" s="53">
        <v>2</v>
      </c>
      <c r="P13" s="54">
        <v>4002</v>
      </c>
      <c r="Q13" s="54"/>
      <c r="R13" s="53">
        <v>4002</v>
      </c>
      <c r="S13" s="53">
        <f t="shared" si="0"/>
        <v>0</v>
      </c>
      <c r="T13" s="53">
        <f t="shared" si="1"/>
        <v>2579.1044776119406</v>
      </c>
      <c r="U13" s="52">
        <f t="shared" si="2"/>
        <v>0</v>
      </c>
      <c r="V13" s="52">
        <f t="shared" si="3"/>
        <v>0</v>
      </c>
      <c r="W13" s="52">
        <v>0</v>
      </c>
      <c r="X13" s="55">
        <f t="shared" si="4"/>
        <v>46153</v>
      </c>
    </row>
    <row r="14" spans="1:24" hidden="1" x14ac:dyDescent="0.35">
      <c r="A14" s="46">
        <f t="shared" si="5"/>
        <v>46153</v>
      </c>
      <c r="B14" s="46"/>
      <c r="C14" s="46"/>
      <c r="D14" s="46"/>
      <c r="E14" s="47" t="s">
        <v>43</v>
      </c>
      <c r="F14" s="48" t="s">
        <v>50</v>
      </c>
      <c r="G14" s="48"/>
      <c r="H14" s="49">
        <v>7718</v>
      </c>
      <c r="I14" s="48" t="s">
        <v>51</v>
      </c>
      <c r="J14" s="51"/>
      <c r="K14" s="52">
        <v>0</v>
      </c>
      <c r="L14" s="52">
        <v>0</v>
      </c>
      <c r="M14" s="53">
        <v>730</v>
      </c>
      <c r="N14" s="54">
        <v>75</v>
      </c>
      <c r="O14" s="53">
        <v>1</v>
      </c>
      <c r="P14" s="54">
        <v>94</v>
      </c>
      <c r="Q14" s="54"/>
      <c r="R14" s="53">
        <f>75+19</f>
        <v>94</v>
      </c>
      <c r="S14" s="53">
        <f t="shared" si="0"/>
        <v>0</v>
      </c>
      <c r="T14" s="53">
        <f t="shared" si="1"/>
        <v>118.35616438356165</v>
      </c>
      <c r="U14" s="52">
        <f t="shared" si="2"/>
        <v>0</v>
      </c>
      <c r="V14" s="52">
        <f t="shared" si="3"/>
        <v>0</v>
      </c>
      <c r="W14" s="52">
        <v>0</v>
      </c>
      <c r="X14" s="55">
        <f t="shared" si="4"/>
        <v>46153</v>
      </c>
    </row>
    <row r="15" spans="1:24" hidden="1" x14ac:dyDescent="0.35">
      <c r="A15" s="46">
        <f t="shared" si="5"/>
        <v>46153</v>
      </c>
      <c r="B15" s="46"/>
      <c r="C15" s="46"/>
      <c r="D15" s="46"/>
      <c r="E15" s="47" t="s">
        <v>43</v>
      </c>
      <c r="F15" s="48" t="s">
        <v>50</v>
      </c>
      <c r="G15" s="48"/>
      <c r="H15" s="49">
        <v>7180</v>
      </c>
      <c r="I15" s="48" t="s">
        <v>52</v>
      </c>
      <c r="J15" s="51"/>
      <c r="K15" s="52">
        <v>0</v>
      </c>
      <c r="L15" s="52">
        <v>0</v>
      </c>
      <c r="M15" s="53">
        <v>730</v>
      </c>
      <c r="N15" s="54">
        <v>125</v>
      </c>
      <c r="O15" s="53">
        <v>1</v>
      </c>
      <c r="P15" s="54">
        <f>N15/O15</f>
        <v>125</v>
      </c>
      <c r="Q15" s="54"/>
      <c r="R15" s="53">
        <v>125</v>
      </c>
      <c r="S15" s="53">
        <f t="shared" si="0"/>
        <v>0</v>
      </c>
      <c r="T15" s="53">
        <f t="shared" si="1"/>
        <v>118.35616438356165</v>
      </c>
      <c r="U15" s="52">
        <f t="shared" si="2"/>
        <v>0</v>
      </c>
      <c r="V15" s="52">
        <f t="shared" si="3"/>
        <v>0</v>
      </c>
      <c r="W15" s="52">
        <v>0</v>
      </c>
      <c r="X15" s="55">
        <f t="shared" si="4"/>
        <v>46153</v>
      </c>
    </row>
    <row r="16" spans="1:24" hidden="1" x14ac:dyDescent="0.35">
      <c r="A16" s="46">
        <f t="shared" si="5"/>
        <v>46153</v>
      </c>
      <c r="B16" s="46"/>
      <c r="C16" s="46"/>
      <c r="D16" s="46"/>
      <c r="E16" s="47" t="s">
        <v>43</v>
      </c>
      <c r="F16" s="56" t="s">
        <v>53</v>
      </c>
      <c r="G16" s="56"/>
      <c r="H16" s="49">
        <v>7714</v>
      </c>
      <c r="I16" s="48" t="s">
        <v>54</v>
      </c>
      <c r="J16" s="51"/>
      <c r="K16" s="52">
        <v>0</v>
      </c>
      <c r="L16" s="52">
        <v>0</v>
      </c>
      <c r="M16" s="53">
        <v>730</v>
      </c>
      <c r="N16" s="54">
        <v>50</v>
      </c>
      <c r="O16" s="53">
        <v>1</v>
      </c>
      <c r="P16" s="54">
        <v>56</v>
      </c>
      <c r="Q16" s="54"/>
      <c r="R16" s="53">
        <v>56</v>
      </c>
      <c r="S16" s="53">
        <f t="shared" si="0"/>
        <v>0</v>
      </c>
      <c r="T16" s="53">
        <f t="shared" si="1"/>
        <v>118.35616438356165</v>
      </c>
      <c r="U16" s="52">
        <f t="shared" si="2"/>
        <v>0</v>
      </c>
      <c r="V16" s="52">
        <f t="shared" si="3"/>
        <v>0</v>
      </c>
      <c r="W16" s="52">
        <v>0</v>
      </c>
      <c r="X16" s="55">
        <f t="shared" si="4"/>
        <v>46153</v>
      </c>
    </row>
    <row r="17" spans="1:24" ht="29" hidden="1" x14ac:dyDescent="0.35">
      <c r="A17" s="46">
        <f t="shared" si="5"/>
        <v>46153</v>
      </c>
      <c r="B17" s="46"/>
      <c r="C17" s="46"/>
      <c r="D17" s="46"/>
      <c r="E17" s="47" t="s">
        <v>43</v>
      </c>
      <c r="F17" s="56" t="s">
        <v>55</v>
      </c>
      <c r="G17" s="56"/>
      <c r="H17" s="49">
        <v>7719</v>
      </c>
      <c r="I17" s="48" t="s">
        <v>56</v>
      </c>
      <c r="J17" s="51"/>
      <c r="K17" s="52">
        <v>0</v>
      </c>
      <c r="L17" s="52">
        <v>0</v>
      </c>
      <c r="M17" s="53">
        <v>730</v>
      </c>
      <c r="N17" s="54">
        <v>25</v>
      </c>
      <c r="O17" s="53">
        <v>1</v>
      </c>
      <c r="P17" s="54">
        <v>30</v>
      </c>
      <c r="Q17" s="54"/>
      <c r="R17" s="53">
        <v>30</v>
      </c>
      <c r="S17" s="53">
        <f t="shared" si="0"/>
        <v>0</v>
      </c>
      <c r="T17" s="53">
        <f t="shared" si="1"/>
        <v>118.35616438356165</v>
      </c>
      <c r="U17" s="52">
        <f t="shared" si="2"/>
        <v>0</v>
      </c>
      <c r="V17" s="52">
        <f t="shared" si="3"/>
        <v>0</v>
      </c>
      <c r="W17" s="52">
        <v>0</v>
      </c>
      <c r="X17" s="55">
        <f t="shared" si="4"/>
        <v>46153</v>
      </c>
    </row>
    <row r="18" spans="1:24" hidden="1" x14ac:dyDescent="0.35">
      <c r="A18" s="46">
        <f t="shared" si="5"/>
        <v>46153</v>
      </c>
      <c r="B18" s="46"/>
      <c r="C18" s="46"/>
      <c r="D18" s="46"/>
      <c r="E18" s="47" t="s">
        <v>43</v>
      </c>
      <c r="F18" s="48" t="s">
        <v>57</v>
      </c>
      <c r="G18" s="48"/>
      <c r="H18" s="49">
        <v>7720</v>
      </c>
      <c r="I18" s="48" t="s">
        <v>58</v>
      </c>
      <c r="J18" s="51"/>
      <c r="K18" s="52">
        <v>0</v>
      </c>
      <c r="L18" s="52">
        <v>0</v>
      </c>
      <c r="M18" s="53">
        <v>730</v>
      </c>
      <c r="N18" s="54">
        <v>25</v>
      </c>
      <c r="O18" s="53">
        <v>1</v>
      </c>
      <c r="P18" s="54">
        <v>30</v>
      </c>
      <c r="Q18" s="54"/>
      <c r="R18" s="53">
        <v>30</v>
      </c>
      <c r="S18" s="53">
        <f t="shared" si="0"/>
        <v>0</v>
      </c>
      <c r="T18" s="53">
        <f t="shared" si="1"/>
        <v>118.35616438356165</v>
      </c>
      <c r="U18" s="52">
        <f t="shared" si="2"/>
        <v>0</v>
      </c>
      <c r="V18" s="52">
        <f t="shared" si="3"/>
        <v>0</v>
      </c>
      <c r="W18" s="52">
        <v>0</v>
      </c>
      <c r="X18" s="55">
        <f t="shared" si="4"/>
        <v>46153</v>
      </c>
    </row>
    <row r="19" spans="1:24" ht="29" hidden="1" x14ac:dyDescent="0.35">
      <c r="A19" s="46">
        <f t="shared" si="5"/>
        <v>46153</v>
      </c>
      <c r="B19" s="46"/>
      <c r="C19" s="46"/>
      <c r="D19" s="46"/>
      <c r="E19" s="47" t="s">
        <v>43</v>
      </c>
      <c r="F19" s="56" t="s">
        <v>55</v>
      </c>
      <c r="G19" s="56"/>
      <c r="H19" s="49">
        <v>6709</v>
      </c>
      <c r="I19" s="48" t="s">
        <v>59</v>
      </c>
      <c r="J19" s="51"/>
      <c r="K19" s="52">
        <v>0</v>
      </c>
      <c r="L19" s="52">
        <v>0</v>
      </c>
      <c r="M19" s="53">
        <v>730</v>
      </c>
      <c r="N19" s="54">
        <v>25</v>
      </c>
      <c r="O19" s="53">
        <v>1</v>
      </c>
      <c r="P19" s="54">
        <f>N19/O19</f>
        <v>25</v>
      </c>
      <c r="Q19" s="54"/>
      <c r="R19" s="53">
        <v>25</v>
      </c>
      <c r="S19" s="53">
        <f t="shared" si="0"/>
        <v>0</v>
      </c>
      <c r="T19" s="53">
        <f t="shared" si="1"/>
        <v>118.35616438356165</v>
      </c>
      <c r="U19" s="52">
        <f t="shared" si="2"/>
        <v>0</v>
      </c>
      <c r="V19" s="52">
        <f t="shared" si="3"/>
        <v>0</v>
      </c>
      <c r="W19" s="52">
        <v>0</v>
      </c>
      <c r="X19" s="55">
        <f t="shared" si="4"/>
        <v>46153</v>
      </c>
    </row>
    <row r="20" spans="1:24" ht="29" hidden="1" x14ac:dyDescent="0.35">
      <c r="A20" s="46">
        <f t="shared" si="5"/>
        <v>46153</v>
      </c>
      <c r="B20" s="46"/>
      <c r="C20" s="46"/>
      <c r="D20" s="46"/>
      <c r="E20" s="47" t="s">
        <v>43</v>
      </c>
      <c r="F20" s="56" t="s">
        <v>55</v>
      </c>
      <c r="G20" s="56"/>
      <c r="H20" s="49">
        <v>7459</v>
      </c>
      <c r="I20" s="48" t="s">
        <v>60</v>
      </c>
      <c r="J20" s="51"/>
      <c r="K20" s="52">
        <v>0</v>
      </c>
      <c r="L20" s="52">
        <v>0</v>
      </c>
      <c r="M20" s="53">
        <v>730</v>
      </c>
      <c r="N20" s="54">
        <v>30</v>
      </c>
      <c r="O20" s="53">
        <v>1</v>
      </c>
      <c r="P20" s="54">
        <v>56</v>
      </c>
      <c r="Q20" s="54"/>
      <c r="R20" s="53">
        <v>56</v>
      </c>
      <c r="S20" s="53">
        <f t="shared" si="0"/>
        <v>0</v>
      </c>
      <c r="T20" s="53">
        <f t="shared" si="1"/>
        <v>118.35616438356165</v>
      </c>
      <c r="U20" s="52">
        <f t="shared" si="2"/>
        <v>0</v>
      </c>
      <c r="V20" s="52">
        <f t="shared" si="3"/>
        <v>0</v>
      </c>
      <c r="W20" s="52">
        <v>0</v>
      </c>
      <c r="X20" s="55">
        <f t="shared" si="4"/>
        <v>46153</v>
      </c>
    </row>
    <row r="21" spans="1:24" ht="29" hidden="1" x14ac:dyDescent="0.35">
      <c r="A21" s="46">
        <f t="shared" si="5"/>
        <v>46153</v>
      </c>
      <c r="B21" s="46"/>
      <c r="C21" s="46"/>
      <c r="D21" s="46"/>
      <c r="E21" s="47" t="s">
        <v>43</v>
      </c>
      <c r="F21" s="56" t="s">
        <v>55</v>
      </c>
      <c r="G21" s="56"/>
      <c r="H21" s="49" t="s">
        <v>61</v>
      </c>
      <c r="I21" s="48" t="s">
        <v>59</v>
      </c>
      <c r="J21" s="51"/>
      <c r="K21" s="52">
        <v>0</v>
      </c>
      <c r="L21" s="52">
        <v>0</v>
      </c>
      <c r="M21" s="53">
        <v>730</v>
      </c>
      <c r="N21" s="54">
        <v>35</v>
      </c>
      <c r="O21" s="53">
        <v>1</v>
      </c>
      <c r="P21" s="54">
        <v>40</v>
      </c>
      <c r="Q21" s="54"/>
      <c r="R21" s="53">
        <v>40</v>
      </c>
      <c r="S21" s="53">
        <f t="shared" si="0"/>
        <v>0</v>
      </c>
      <c r="T21" s="53">
        <f t="shared" si="1"/>
        <v>118.35616438356165</v>
      </c>
      <c r="U21" s="52">
        <f t="shared" si="2"/>
        <v>0</v>
      </c>
      <c r="V21" s="52">
        <f t="shared" si="3"/>
        <v>0</v>
      </c>
      <c r="W21" s="52">
        <v>0</v>
      </c>
      <c r="X21" s="55">
        <f t="shared" si="4"/>
        <v>46153</v>
      </c>
    </row>
    <row r="22" spans="1:24" ht="29" hidden="1" x14ac:dyDescent="0.35">
      <c r="A22" s="46">
        <f t="shared" si="5"/>
        <v>46153</v>
      </c>
      <c r="B22" s="46"/>
      <c r="C22" s="46"/>
      <c r="D22" s="46"/>
      <c r="E22" s="47" t="s">
        <v>43</v>
      </c>
      <c r="F22" s="56" t="s">
        <v>55</v>
      </c>
      <c r="G22" s="56"/>
      <c r="H22" s="49">
        <v>7728</v>
      </c>
      <c r="I22" s="48" t="s">
        <v>62</v>
      </c>
      <c r="J22" s="51"/>
      <c r="K22" s="52">
        <v>0</v>
      </c>
      <c r="L22" s="52">
        <v>0</v>
      </c>
      <c r="M22" s="53">
        <v>730</v>
      </c>
      <c r="N22" s="54">
        <v>100</v>
      </c>
      <c r="O22" s="53">
        <v>1</v>
      </c>
      <c r="P22" s="54">
        <v>172</v>
      </c>
      <c r="Q22" s="54"/>
      <c r="R22" s="53">
        <v>172</v>
      </c>
      <c r="S22" s="53">
        <f t="shared" si="0"/>
        <v>0</v>
      </c>
      <c r="T22" s="53">
        <f t="shared" si="1"/>
        <v>118.35616438356165</v>
      </c>
      <c r="U22" s="52">
        <f t="shared" si="2"/>
        <v>0</v>
      </c>
      <c r="V22" s="52">
        <f t="shared" si="3"/>
        <v>0</v>
      </c>
      <c r="W22" s="52">
        <v>0</v>
      </c>
      <c r="X22" s="55">
        <f t="shared" si="4"/>
        <v>46153</v>
      </c>
    </row>
    <row r="23" spans="1:24" ht="29" hidden="1" x14ac:dyDescent="0.35">
      <c r="A23" s="46">
        <f t="shared" si="5"/>
        <v>46153</v>
      </c>
      <c r="B23" s="46"/>
      <c r="C23" s="46"/>
      <c r="D23" s="46"/>
      <c r="E23" s="47" t="s">
        <v>43</v>
      </c>
      <c r="F23" s="56" t="s">
        <v>55</v>
      </c>
      <c r="G23" s="56"/>
      <c r="H23" s="49">
        <v>7723</v>
      </c>
      <c r="I23" s="48" t="s">
        <v>63</v>
      </c>
      <c r="J23" s="51"/>
      <c r="K23" s="52">
        <v>0</v>
      </c>
      <c r="L23" s="52">
        <v>0</v>
      </c>
      <c r="M23" s="53">
        <v>730</v>
      </c>
      <c r="N23" s="54">
        <v>75</v>
      </c>
      <c r="O23" s="53">
        <v>1</v>
      </c>
      <c r="P23" s="54">
        <v>81</v>
      </c>
      <c r="Q23" s="54"/>
      <c r="R23" s="53">
        <v>81</v>
      </c>
      <c r="S23" s="53">
        <f t="shared" si="0"/>
        <v>0</v>
      </c>
      <c r="T23" s="53">
        <f t="shared" si="1"/>
        <v>118.35616438356165</v>
      </c>
      <c r="U23" s="52">
        <f t="shared" si="2"/>
        <v>0</v>
      </c>
      <c r="V23" s="52">
        <f t="shared" si="3"/>
        <v>0</v>
      </c>
      <c r="W23" s="52">
        <v>0</v>
      </c>
      <c r="X23" s="55">
        <f t="shared" si="4"/>
        <v>46153</v>
      </c>
    </row>
    <row r="24" spans="1:24" hidden="1" x14ac:dyDescent="0.35">
      <c r="A24" s="46">
        <f t="shared" si="5"/>
        <v>46153</v>
      </c>
      <c r="B24" s="46"/>
      <c r="C24" s="46"/>
      <c r="D24" s="46"/>
      <c r="E24" s="47" t="s">
        <v>64</v>
      </c>
      <c r="F24" s="48" t="s">
        <v>65</v>
      </c>
      <c r="G24" s="48"/>
      <c r="H24" s="49" t="s">
        <v>66</v>
      </c>
      <c r="I24" s="48" t="s">
        <v>67</v>
      </c>
      <c r="J24" s="51"/>
      <c r="K24" s="52">
        <v>0</v>
      </c>
      <c r="L24" s="52">
        <v>0</v>
      </c>
      <c r="M24" s="53">
        <v>70</v>
      </c>
      <c r="N24" s="54">
        <v>200</v>
      </c>
      <c r="O24" s="53">
        <v>1</v>
      </c>
      <c r="P24" s="54">
        <f>N24/O24</f>
        <v>200</v>
      </c>
      <c r="Q24" s="54"/>
      <c r="R24" s="53">
        <v>200</v>
      </c>
      <c r="S24" s="53">
        <f t="shared" si="0"/>
        <v>0</v>
      </c>
      <c r="T24" s="53">
        <f t="shared" si="1"/>
        <v>1234.2857142857142</v>
      </c>
      <c r="U24" s="52">
        <f t="shared" si="2"/>
        <v>0</v>
      </c>
      <c r="V24" s="52">
        <f t="shared" si="3"/>
        <v>0</v>
      </c>
      <c r="W24" s="52">
        <v>0</v>
      </c>
      <c r="X24" s="55">
        <f t="shared" si="4"/>
        <v>46153</v>
      </c>
    </row>
    <row r="25" spans="1:24" hidden="1" x14ac:dyDescent="0.35">
      <c r="A25" s="46">
        <f t="shared" si="5"/>
        <v>46153</v>
      </c>
      <c r="B25" s="46"/>
      <c r="C25" s="46"/>
      <c r="D25" s="46"/>
      <c r="E25" s="47" t="s">
        <v>64</v>
      </c>
      <c r="F25" s="48" t="s">
        <v>65</v>
      </c>
      <c r="G25" s="48"/>
      <c r="H25" s="49" t="s">
        <v>68</v>
      </c>
      <c r="I25" s="56" t="s">
        <v>69</v>
      </c>
      <c r="J25" s="51"/>
      <c r="K25" s="52">
        <v>0</v>
      </c>
      <c r="L25" s="52">
        <v>0</v>
      </c>
      <c r="M25" s="53">
        <v>70</v>
      </c>
      <c r="N25" s="54">
        <v>500</v>
      </c>
      <c r="O25" s="53">
        <v>1</v>
      </c>
      <c r="P25" s="54">
        <v>534</v>
      </c>
      <c r="Q25" s="54"/>
      <c r="R25" s="53">
        <v>534</v>
      </c>
      <c r="S25" s="53">
        <f t="shared" si="0"/>
        <v>0</v>
      </c>
      <c r="T25" s="53">
        <f t="shared" si="1"/>
        <v>1234.2857142857142</v>
      </c>
      <c r="U25" s="52">
        <f t="shared" si="2"/>
        <v>0</v>
      </c>
      <c r="V25" s="52">
        <f t="shared" si="3"/>
        <v>0</v>
      </c>
      <c r="W25" s="52">
        <v>0</v>
      </c>
      <c r="X25" s="55">
        <f t="shared" si="4"/>
        <v>46153</v>
      </c>
    </row>
    <row r="26" spans="1:24" hidden="1" x14ac:dyDescent="0.35">
      <c r="A26" s="46">
        <f t="shared" si="5"/>
        <v>46153</v>
      </c>
      <c r="B26" s="46"/>
      <c r="C26" s="46"/>
      <c r="D26" s="46"/>
      <c r="E26" s="47" t="s">
        <v>64</v>
      </c>
      <c r="F26" s="48" t="s">
        <v>70</v>
      </c>
      <c r="G26" s="48"/>
      <c r="H26" s="49">
        <v>7779</v>
      </c>
      <c r="I26" s="56" t="s">
        <v>71</v>
      </c>
      <c r="J26" s="51"/>
      <c r="K26" s="52">
        <v>0</v>
      </c>
      <c r="L26" s="52">
        <v>0</v>
      </c>
      <c r="M26" s="53">
        <v>70</v>
      </c>
      <c r="N26" s="54">
        <v>40</v>
      </c>
      <c r="O26" s="53">
        <v>1</v>
      </c>
      <c r="P26" s="54">
        <v>44</v>
      </c>
      <c r="Q26" s="54"/>
      <c r="R26" s="53">
        <v>44</v>
      </c>
      <c r="S26" s="53">
        <f t="shared" si="0"/>
        <v>0</v>
      </c>
      <c r="T26" s="53">
        <f t="shared" si="1"/>
        <v>1234.2857142857142</v>
      </c>
      <c r="U26" s="52">
        <f t="shared" si="2"/>
        <v>0</v>
      </c>
      <c r="V26" s="52">
        <f t="shared" si="3"/>
        <v>0</v>
      </c>
      <c r="W26" s="52">
        <v>0</v>
      </c>
      <c r="X26" s="55">
        <f t="shared" si="4"/>
        <v>46153</v>
      </c>
    </row>
    <row r="27" spans="1:24" hidden="1" x14ac:dyDescent="0.35">
      <c r="A27" s="46">
        <f t="shared" si="5"/>
        <v>46153</v>
      </c>
      <c r="B27" s="46"/>
      <c r="C27" s="46"/>
      <c r="D27" s="46"/>
      <c r="E27" s="47" t="s">
        <v>64</v>
      </c>
      <c r="F27" s="48" t="s">
        <v>72</v>
      </c>
      <c r="G27" s="48"/>
      <c r="H27" s="49">
        <v>7814</v>
      </c>
      <c r="I27" s="56" t="s">
        <v>73</v>
      </c>
      <c r="J27" s="51"/>
      <c r="K27" s="52">
        <v>0</v>
      </c>
      <c r="L27" s="52">
        <v>0</v>
      </c>
      <c r="M27" s="53">
        <v>90</v>
      </c>
      <c r="N27" s="54">
        <v>1500</v>
      </c>
      <c r="O27" s="53">
        <v>1</v>
      </c>
      <c r="P27" s="54">
        <v>1524</v>
      </c>
      <c r="Q27" s="54"/>
      <c r="R27" s="53">
        <v>1524</v>
      </c>
      <c r="S27" s="53">
        <f t="shared" si="0"/>
        <v>0</v>
      </c>
      <c r="T27" s="53">
        <f t="shared" si="1"/>
        <v>960</v>
      </c>
      <c r="U27" s="52">
        <f t="shared" si="2"/>
        <v>0</v>
      </c>
      <c r="V27" s="52">
        <f t="shared" si="3"/>
        <v>0</v>
      </c>
      <c r="W27" s="52">
        <v>0</v>
      </c>
      <c r="X27" s="55">
        <f t="shared" si="4"/>
        <v>46153</v>
      </c>
    </row>
    <row r="28" spans="1:24" hidden="1" x14ac:dyDescent="0.35">
      <c r="A28" s="46">
        <f t="shared" si="5"/>
        <v>46153</v>
      </c>
      <c r="B28" s="46"/>
      <c r="C28" s="46"/>
      <c r="D28" s="46"/>
      <c r="E28" s="47"/>
      <c r="F28" s="48" t="s">
        <v>74</v>
      </c>
      <c r="G28" s="48"/>
      <c r="H28" s="49">
        <v>7821</v>
      </c>
      <c r="I28" s="48" t="s">
        <v>75</v>
      </c>
      <c r="J28" s="51"/>
      <c r="K28" s="52">
        <v>0</v>
      </c>
      <c r="L28" s="52">
        <v>0</v>
      </c>
      <c r="M28" s="53">
        <v>100</v>
      </c>
      <c r="N28" s="54">
        <v>2000</v>
      </c>
      <c r="O28" s="53">
        <v>1</v>
      </c>
      <c r="P28" s="54">
        <v>2072</v>
      </c>
      <c r="Q28" s="54"/>
      <c r="R28" s="53">
        <v>2072</v>
      </c>
      <c r="S28" s="53">
        <f t="shared" si="0"/>
        <v>0</v>
      </c>
      <c r="T28" s="53">
        <f t="shared" si="1"/>
        <v>864</v>
      </c>
      <c r="U28" s="52">
        <f t="shared" si="2"/>
        <v>0</v>
      </c>
      <c r="V28" s="52">
        <f t="shared" si="3"/>
        <v>0</v>
      </c>
      <c r="W28" s="52">
        <v>0</v>
      </c>
      <c r="X28" s="55">
        <f t="shared" si="4"/>
        <v>46153</v>
      </c>
    </row>
    <row r="29" spans="1:24" hidden="1" x14ac:dyDescent="0.35">
      <c r="A29" s="46">
        <f t="shared" si="5"/>
        <v>46153</v>
      </c>
      <c r="B29" s="46"/>
      <c r="C29" s="46"/>
      <c r="D29" s="46"/>
      <c r="E29" s="47"/>
      <c r="F29" s="57" t="s">
        <v>76</v>
      </c>
      <c r="G29" s="57"/>
      <c r="H29" s="49" t="s">
        <v>77</v>
      </c>
      <c r="I29" s="48" t="s">
        <v>78</v>
      </c>
      <c r="J29" s="51"/>
      <c r="K29" s="52">
        <v>0</v>
      </c>
      <c r="L29" s="52">
        <v>0</v>
      </c>
      <c r="M29" s="53">
        <v>100</v>
      </c>
      <c r="N29" s="54">
        <v>1900</v>
      </c>
      <c r="O29" s="53">
        <v>1</v>
      </c>
      <c r="P29" s="54">
        <v>1930</v>
      </c>
      <c r="Q29" s="54"/>
      <c r="R29" s="53">
        <v>1930</v>
      </c>
      <c r="S29" s="53">
        <f t="shared" si="0"/>
        <v>0</v>
      </c>
      <c r="T29" s="53">
        <f t="shared" si="1"/>
        <v>864</v>
      </c>
      <c r="U29" s="52">
        <f t="shared" si="2"/>
        <v>0</v>
      </c>
      <c r="V29" s="52">
        <f t="shared" si="3"/>
        <v>0</v>
      </c>
      <c r="W29" s="52">
        <v>0</v>
      </c>
      <c r="X29" s="55">
        <f t="shared" si="4"/>
        <v>46153</v>
      </c>
    </row>
    <row r="30" spans="1:24" hidden="1" x14ac:dyDescent="0.35">
      <c r="A30" s="46">
        <f t="shared" si="5"/>
        <v>46153</v>
      </c>
      <c r="B30" s="46"/>
      <c r="C30" s="46"/>
      <c r="D30" s="46"/>
      <c r="E30" s="47"/>
      <c r="F30" s="57" t="s">
        <v>79</v>
      </c>
      <c r="G30" s="57"/>
      <c r="H30" s="49" t="s">
        <v>80</v>
      </c>
      <c r="I30" s="48" t="s">
        <v>81</v>
      </c>
      <c r="J30" s="51"/>
      <c r="K30" s="52">
        <v>0</v>
      </c>
      <c r="L30" s="52">
        <v>0</v>
      </c>
      <c r="M30" s="53">
        <v>95</v>
      </c>
      <c r="N30" s="54">
        <v>400</v>
      </c>
      <c r="O30" s="53">
        <v>1</v>
      </c>
      <c r="P30" s="54">
        <v>408</v>
      </c>
      <c r="Q30" s="54"/>
      <c r="R30" s="53">
        <v>408</v>
      </c>
      <c r="S30" s="53">
        <f t="shared" si="0"/>
        <v>0</v>
      </c>
      <c r="T30" s="53">
        <f t="shared" si="1"/>
        <v>909.47368421052624</v>
      </c>
      <c r="U30" s="52">
        <f t="shared" si="2"/>
        <v>0</v>
      </c>
      <c r="V30" s="52">
        <f t="shared" si="3"/>
        <v>0</v>
      </c>
      <c r="W30" s="52">
        <v>0</v>
      </c>
      <c r="X30" s="55">
        <f t="shared" si="4"/>
        <v>46153</v>
      </c>
    </row>
    <row r="31" spans="1:24" hidden="1" x14ac:dyDescent="0.35">
      <c r="A31" s="46">
        <f t="shared" si="5"/>
        <v>46153</v>
      </c>
      <c r="B31" s="46"/>
      <c r="C31" s="46"/>
      <c r="D31" s="46"/>
      <c r="E31" s="47"/>
      <c r="F31" s="57" t="s">
        <v>79</v>
      </c>
      <c r="G31" s="57"/>
      <c r="H31" s="49" t="s">
        <v>82</v>
      </c>
      <c r="I31" s="48" t="s">
        <v>83</v>
      </c>
      <c r="J31" s="51"/>
      <c r="K31" s="52">
        <v>0</v>
      </c>
      <c r="L31" s="52">
        <v>0</v>
      </c>
      <c r="M31" s="53">
        <v>107</v>
      </c>
      <c r="N31" s="54">
        <v>216</v>
      </c>
      <c r="O31" s="53">
        <v>1</v>
      </c>
      <c r="P31" s="54">
        <v>226</v>
      </c>
      <c r="Q31" s="54"/>
      <c r="R31" s="53">
        <v>226</v>
      </c>
      <c r="S31" s="53">
        <f t="shared" si="0"/>
        <v>0</v>
      </c>
      <c r="T31" s="53">
        <f t="shared" si="1"/>
        <v>807.47663551401865</v>
      </c>
      <c r="U31" s="52">
        <f t="shared" si="2"/>
        <v>0</v>
      </c>
      <c r="V31" s="52">
        <f t="shared" si="3"/>
        <v>0</v>
      </c>
      <c r="W31" s="52">
        <v>0</v>
      </c>
      <c r="X31" s="55">
        <f t="shared" si="4"/>
        <v>46153</v>
      </c>
    </row>
    <row r="32" spans="1:24" hidden="1" x14ac:dyDescent="0.35">
      <c r="A32" s="46">
        <f t="shared" si="5"/>
        <v>46153</v>
      </c>
      <c r="B32" s="46"/>
      <c r="C32" s="46"/>
      <c r="D32" s="46"/>
      <c r="E32" s="47" t="s">
        <v>64</v>
      </c>
      <c r="F32" s="57" t="s">
        <v>84</v>
      </c>
      <c r="G32" s="57"/>
      <c r="H32" s="49" t="s">
        <v>85</v>
      </c>
      <c r="I32" s="58" t="s">
        <v>86</v>
      </c>
      <c r="J32" s="51"/>
      <c r="K32" s="52">
        <v>0</v>
      </c>
      <c r="L32" s="52">
        <v>0</v>
      </c>
      <c r="M32" s="53">
        <v>80</v>
      </c>
      <c r="N32" s="54">
        <v>5500</v>
      </c>
      <c r="O32" s="53">
        <v>1</v>
      </c>
      <c r="P32" s="54">
        <v>5698</v>
      </c>
      <c r="Q32" s="54"/>
      <c r="R32" s="53">
        <v>5698</v>
      </c>
      <c r="S32" s="53">
        <f t="shared" si="0"/>
        <v>0</v>
      </c>
      <c r="T32" s="53">
        <f t="shared" si="1"/>
        <v>1080</v>
      </c>
      <c r="U32" s="52">
        <f t="shared" si="2"/>
        <v>0</v>
      </c>
      <c r="V32" s="52">
        <f t="shared" si="3"/>
        <v>0</v>
      </c>
      <c r="W32" s="52">
        <v>0</v>
      </c>
      <c r="X32" s="55">
        <f t="shared" si="4"/>
        <v>46153</v>
      </c>
    </row>
    <row r="33" spans="1:24" hidden="1" x14ac:dyDescent="0.35">
      <c r="A33" s="46">
        <f t="shared" si="5"/>
        <v>46153</v>
      </c>
      <c r="B33" s="46"/>
      <c r="C33" s="46"/>
      <c r="D33" s="46"/>
      <c r="E33" s="47" t="s">
        <v>64</v>
      </c>
      <c r="F33" s="57" t="s">
        <v>84</v>
      </c>
      <c r="G33" s="57"/>
      <c r="H33" s="49" t="s">
        <v>87</v>
      </c>
      <c r="I33" s="58" t="s">
        <v>88</v>
      </c>
      <c r="J33" s="51"/>
      <c r="K33" s="52">
        <v>0</v>
      </c>
      <c r="L33" s="52">
        <v>0</v>
      </c>
      <c r="M33" s="53">
        <v>75</v>
      </c>
      <c r="N33" s="54">
        <v>2000</v>
      </c>
      <c r="O33" s="53">
        <v>1</v>
      </c>
      <c r="P33" s="54">
        <f>N33/O33</f>
        <v>2000</v>
      </c>
      <c r="Q33" s="54"/>
      <c r="R33" s="53">
        <v>2000</v>
      </c>
      <c r="S33" s="53">
        <f t="shared" si="0"/>
        <v>0</v>
      </c>
      <c r="T33" s="53">
        <f t="shared" si="1"/>
        <v>1152</v>
      </c>
      <c r="U33" s="52">
        <f t="shared" si="2"/>
        <v>0</v>
      </c>
      <c r="V33" s="52">
        <f t="shared" si="3"/>
        <v>0</v>
      </c>
      <c r="W33" s="52">
        <v>0</v>
      </c>
      <c r="X33" s="55">
        <f t="shared" si="4"/>
        <v>46153</v>
      </c>
    </row>
    <row r="34" spans="1:24" hidden="1" x14ac:dyDescent="0.35">
      <c r="A34" s="46">
        <f t="shared" si="5"/>
        <v>46153</v>
      </c>
      <c r="B34" s="46"/>
      <c r="C34" s="46"/>
      <c r="D34" s="46"/>
      <c r="E34" s="47" t="s">
        <v>43</v>
      </c>
      <c r="F34" s="48" t="s">
        <v>89</v>
      </c>
      <c r="G34" s="48"/>
      <c r="H34" s="49" t="s">
        <v>90</v>
      </c>
      <c r="I34" s="48" t="s">
        <v>91</v>
      </c>
      <c r="J34" s="51"/>
      <c r="K34" s="52">
        <v>0</v>
      </c>
      <c r="L34" s="52">
        <v>0</v>
      </c>
      <c r="M34" s="53">
        <v>700</v>
      </c>
      <c r="N34" s="54">
        <v>100</v>
      </c>
      <c r="O34" s="53">
        <v>1</v>
      </c>
      <c r="P34" s="54">
        <v>106</v>
      </c>
      <c r="Q34" s="54"/>
      <c r="R34" s="53">
        <v>106</v>
      </c>
      <c r="S34" s="53">
        <f t="shared" si="0"/>
        <v>0</v>
      </c>
      <c r="T34" s="53">
        <f t="shared" si="1"/>
        <v>123.42857142857144</v>
      </c>
      <c r="U34" s="52">
        <f t="shared" si="2"/>
        <v>0</v>
      </c>
      <c r="V34" s="52">
        <f t="shared" si="3"/>
        <v>0</v>
      </c>
      <c r="W34" s="52">
        <v>0</v>
      </c>
      <c r="X34" s="55">
        <f t="shared" si="4"/>
        <v>46153</v>
      </c>
    </row>
    <row r="35" spans="1:24" hidden="1" x14ac:dyDescent="0.35">
      <c r="A35" s="46">
        <f t="shared" si="5"/>
        <v>46153</v>
      </c>
      <c r="B35" s="46"/>
      <c r="C35" s="46"/>
      <c r="D35" s="46"/>
      <c r="E35" s="47" t="s">
        <v>43</v>
      </c>
      <c r="F35" s="48" t="s">
        <v>89</v>
      </c>
      <c r="G35" s="48"/>
      <c r="H35" s="49" t="s">
        <v>92</v>
      </c>
      <c r="I35" s="48" t="s">
        <v>93</v>
      </c>
      <c r="J35" s="51"/>
      <c r="K35" s="52">
        <v>0</v>
      </c>
      <c r="L35" s="52">
        <v>0</v>
      </c>
      <c r="M35" s="53">
        <v>700</v>
      </c>
      <c r="N35" s="54">
        <v>100</v>
      </c>
      <c r="O35" s="53">
        <v>1</v>
      </c>
      <c r="P35" s="54">
        <f>N35/O35</f>
        <v>100</v>
      </c>
      <c r="Q35" s="54"/>
      <c r="R35" s="53">
        <v>100</v>
      </c>
      <c r="S35" s="53">
        <f t="shared" si="0"/>
        <v>0</v>
      </c>
      <c r="T35" s="53">
        <f t="shared" si="1"/>
        <v>123.42857142857144</v>
      </c>
      <c r="U35" s="52">
        <f t="shared" si="2"/>
        <v>0</v>
      </c>
      <c r="V35" s="52">
        <f t="shared" si="3"/>
        <v>0</v>
      </c>
      <c r="W35" s="52">
        <v>0</v>
      </c>
      <c r="X35" s="55">
        <f t="shared" si="4"/>
        <v>46153</v>
      </c>
    </row>
    <row r="36" spans="1:24" hidden="1" x14ac:dyDescent="0.35">
      <c r="A36" s="46">
        <f t="shared" si="5"/>
        <v>46153</v>
      </c>
      <c r="B36" s="46"/>
      <c r="C36" s="46"/>
      <c r="D36" s="46"/>
      <c r="E36" s="47" t="s">
        <v>43</v>
      </c>
      <c r="F36" s="48" t="s">
        <v>89</v>
      </c>
      <c r="G36" s="48"/>
      <c r="H36" s="49" t="s">
        <v>94</v>
      </c>
      <c r="I36" s="48" t="s">
        <v>58</v>
      </c>
      <c r="J36" s="51"/>
      <c r="K36" s="52">
        <v>0</v>
      </c>
      <c r="L36" s="52">
        <v>0</v>
      </c>
      <c r="M36" s="53">
        <v>700</v>
      </c>
      <c r="N36" s="54">
        <v>100</v>
      </c>
      <c r="O36" s="53">
        <v>1</v>
      </c>
      <c r="P36" s="54">
        <v>110</v>
      </c>
      <c r="Q36" s="54"/>
      <c r="R36" s="53">
        <v>110</v>
      </c>
      <c r="S36" s="53">
        <f t="shared" si="0"/>
        <v>0</v>
      </c>
      <c r="T36" s="53">
        <f t="shared" si="1"/>
        <v>123.42857142857144</v>
      </c>
      <c r="U36" s="52">
        <f t="shared" si="2"/>
        <v>0</v>
      </c>
      <c r="V36" s="52">
        <f t="shared" si="3"/>
        <v>0</v>
      </c>
      <c r="W36" s="52">
        <v>0</v>
      </c>
      <c r="X36" s="55">
        <f t="shared" si="4"/>
        <v>46153</v>
      </c>
    </row>
    <row r="37" spans="1:24" hidden="1" x14ac:dyDescent="0.35">
      <c r="A37" s="46">
        <f t="shared" si="5"/>
        <v>46153</v>
      </c>
      <c r="B37" s="46"/>
      <c r="C37" s="46"/>
      <c r="D37" s="46"/>
      <c r="E37" s="47" t="s">
        <v>43</v>
      </c>
      <c r="F37" s="48" t="s">
        <v>89</v>
      </c>
      <c r="G37" s="48"/>
      <c r="H37" s="49" t="s">
        <v>95</v>
      </c>
      <c r="I37" s="48" t="s">
        <v>62</v>
      </c>
      <c r="J37" s="51"/>
      <c r="K37" s="52">
        <v>0</v>
      </c>
      <c r="L37" s="52">
        <v>0</v>
      </c>
      <c r="M37" s="53">
        <v>700</v>
      </c>
      <c r="N37" s="54">
        <v>100</v>
      </c>
      <c r="O37" s="53">
        <v>1</v>
      </c>
      <c r="P37" s="54">
        <v>173</v>
      </c>
      <c r="Q37" s="54"/>
      <c r="R37" s="53">
        <v>173</v>
      </c>
      <c r="S37" s="53">
        <f t="shared" si="0"/>
        <v>0</v>
      </c>
      <c r="T37" s="53">
        <f t="shared" si="1"/>
        <v>123.42857142857144</v>
      </c>
      <c r="U37" s="52">
        <f t="shared" si="2"/>
        <v>0</v>
      </c>
      <c r="V37" s="52">
        <f t="shared" si="3"/>
        <v>0</v>
      </c>
      <c r="W37" s="52">
        <v>0</v>
      </c>
      <c r="X37" s="55">
        <f t="shared" si="4"/>
        <v>46153</v>
      </c>
    </row>
    <row r="38" spans="1:24" hidden="1" x14ac:dyDescent="0.35">
      <c r="A38" s="46">
        <f t="shared" si="5"/>
        <v>46153</v>
      </c>
      <c r="B38" s="46"/>
      <c r="C38" s="46"/>
      <c r="D38" s="46"/>
      <c r="E38" s="47" t="s">
        <v>43</v>
      </c>
      <c r="F38" s="56" t="s">
        <v>96</v>
      </c>
      <c r="G38" s="56"/>
      <c r="H38" s="49">
        <v>7698</v>
      </c>
      <c r="I38" s="56" t="s">
        <v>97</v>
      </c>
      <c r="J38" s="51"/>
      <c r="K38" s="52">
        <v>0</v>
      </c>
      <c r="L38" s="52">
        <v>0</v>
      </c>
      <c r="M38" s="53">
        <v>110</v>
      </c>
      <c r="N38" s="54">
        <v>3000</v>
      </c>
      <c r="O38" s="53">
        <v>1</v>
      </c>
      <c r="P38" s="54">
        <v>3148</v>
      </c>
      <c r="Q38" s="54"/>
      <c r="R38" s="53">
        <v>3148</v>
      </c>
      <c r="S38" s="53">
        <f t="shared" si="0"/>
        <v>0</v>
      </c>
      <c r="T38" s="53">
        <f t="shared" si="1"/>
        <v>785.4545454545455</v>
      </c>
      <c r="U38" s="52">
        <f t="shared" si="2"/>
        <v>0</v>
      </c>
      <c r="V38" s="52">
        <f t="shared" si="3"/>
        <v>0</v>
      </c>
      <c r="W38" s="52">
        <v>0</v>
      </c>
      <c r="X38" s="55">
        <f t="shared" si="4"/>
        <v>46153</v>
      </c>
    </row>
    <row r="39" spans="1:24" ht="29" hidden="1" x14ac:dyDescent="0.35">
      <c r="A39" s="46">
        <f t="shared" si="5"/>
        <v>46153</v>
      </c>
      <c r="B39" s="46"/>
      <c r="C39" s="46"/>
      <c r="D39" s="46"/>
      <c r="E39" s="47" t="s">
        <v>43</v>
      </c>
      <c r="F39" s="48" t="s">
        <v>98</v>
      </c>
      <c r="G39" s="48"/>
      <c r="H39" s="59" t="s">
        <v>99</v>
      </c>
      <c r="I39" s="48" t="s">
        <v>100</v>
      </c>
      <c r="J39" s="60"/>
      <c r="K39" s="52">
        <v>0</v>
      </c>
      <c r="L39" s="52">
        <v>0</v>
      </c>
      <c r="M39" s="53">
        <v>120</v>
      </c>
      <c r="N39" s="54">
        <v>3000</v>
      </c>
      <c r="O39" s="53">
        <v>1</v>
      </c>
      <c r="P39" s="54">
        <v>3016</v>
      </c>
      <c r="Q39" s="54"/>
      <c r="R39" s="53">
        <v>3016</v>
      </c>
      <c r="S39" s="53">
        <f t="shared" si="0"/>
        <v>0</v>
      </c>
      <c r="T39" s="53">
        <f t="shared" si="1"/>
        <v>720</v>
      </c>
      <c r="U39" s="52">
        <f t="shared" si="2"/>
        <v>0</v>
      </c>
      <c r="V39" s="52">
        <f t="shared" si="3"/>
        <v>0</v>
      </c>
      <c r="W39" s="52">
        <v>0</v>
      </c>
      <c r="X39" s="55">
        <f t="shared" si="4"/>
        <v>46153</v>
      </c>
    </row>
    <row r="40" spans="1:24" ht="29" hidden="1" x14ac:dyDescent="0.35">
      <c r="A40" s="46">
        <f t="shared" si="5"/>
        <v>46153</v>
      </c>
      <c r="B40" s="46"/>
      <c r="C40" s="46"/>
      <c r="D40" s="46"/>
      <c r="E40" s="47" t="s">
        <v>43</v>
      </c>
      <c r="F40" s="48" t="s">
        <v>101</v>
      </c>
      <c r="G40" s="48"/>
      <c r="H40" s="59" t="s">
        <v>102</v>
      </c>
      <c r="I40" s="48" t="s">
        <v>103</v>
      </c>
      <c r="J40" s="51"/>
      <c r="K40" s="52">
        <v>0</v>
      </c>
      <c r="L40" s="52">
        <v>0</v>
      </c>
      <c r="M40" s="53">
        <v>180</v>
      </c>
      <c r="N40" s="54">
        <v>2000</v>
      </c>
      <c r="O40" s="53">
        <v>1</v>
      </c>
      <c r="P40" s="54">
        <f>N40/O40</f>
        <v>2000</v>
      </c>
      <c r="Q40" s="54"/>
      <c r="R40" s="53">
        <v>2000</v>
      </c>
      <c r="S40" s="53">
        <f t="shared" si="0"/>
        <v>0</v>
      </c>
      <c r="T40" s="53">
        <f t="shared" si="1"/>
        <v>480</v>
      </c>
      <c r="U40" s="52">
        <f t="shared" si="2"/>
        <v>0</v>
      </c>
      <c r="V40" s="52">
        <f t="shared" si="3"/>
        <v>0</v>
      </c>
      <c r="W40" s="52">
        <v>0</v>
      </c>
      <c r="X40" s="55">
        <f t="shared" si="4"/>
        <v>46153</v>
      </c>
    </row>
    <row r="41" spans="1:24" ht="29" hidden="1" x14ac:dyDescent="0.35">
      <c r="A41" s="46">
        <f t="shared" si="5"/>
        <v>46153</v>
      </c>
      <c r="B41" s="46"/>
      <c r="C41" s="46"/>
      <c r="D41" s="46"/>
      <c r="E41" s="47" t="s">
        <v>43</v>
      </c>
      <c r="F41" s="48" t="s">
        <v>104</v>
      </c>
      <c r="G41" s="48"/>
      <c r="H41" s="59" t="s">
        <v>102</v>
      </c>
      <c r="I41" s="48" t="s">
        <v>103</v>
      </c>
      <c r="J41" s="51"/>
      <c r="K41" s="52">
        <v>0</v>
      </c>
      <c r="L41" s="52">
        <v>0</v>
      </c>
      <c r="M41" s="53">
        <v>180</v>
      </c>
      <c r="N41" s="54">
        <v>2000</v>
      </c>
      <c r="O41" s="53">
        <v>1</v>
      </c>
      <c r="P41" s="54">
        <v>2406</v>
      </c>
      <c r="Q41" s="54"/>
      <c r="R41" s="53">
        <f>-2000+4089+317</f>
        <v>2406</v>
      </c>
      <c r="S41" s="53">
        <f t="shared" si="0"/>
        <v>0</v>
      </c>
      <c r="T41" s="53">
        <f t="shared" si="1"/>
        <v>480</v>
      </c>
      <c r="U41" s="52">
        <f t="shared" si="2"/>
        <v>0</v>
      </c>
      <c r="V41" s="52">
        <f t="shared" si="3"/>
        <v>0</v>
      </c>
      <c r="W41" s="52">
        <v>0</v>
      </c>
      <c r="X41" s="55">
        <f t="shared" si="4"/>
        <v>46153</v>
      </c>
    </row>
    <row r="42" spans="1:24" hidden="1" x14ac:dyDescent="0.35">
      <c r="A42" s="46">
        <f t="shared" si="5"/>
        <v>46153</v>
      </c>
      <c r="B42" s="46"/>
      <c r="C42" s="46"/>
      <c r="D42" s="46"/>
      <c r="E42" s="47" t="s">
        <v>64</v>
      </c>
      <c r="F42" s="48" t="s">
        <v>101</v>
      </c>
      <c r="G42" s="48"/>
      <c r="H42" s="49" t="s">
        <v>105</v>
      </c>
      <c r="I42" s="48" t="s">
        <v>106</v>
      </c>
      <c r="J42" s="51"/>
      <c r="K42" s="52">
        <v>0</v>
      </c>
      <c r="L42" s="52">
        <v>0</v>
      </c>
      <c r="M42" s="53">
        <v>700</v>
      </c>
      <c r="N42" s="54">
        <v>200</v>
      </c>
      <c r="O42" s="53">
        <v>1</v>
      </c>
      <c r="P42" s="54">
        <v>225</v>
      </c>
      <c r="Q42" s="54"/>
      <c r="R42" s="53">
        <v>225</v>
      </c>
      <c r="S42" s="53">
        <f t="shared" si="0"/>
        <v>0</v>
      </c>
      <c r="T42" s="53">
        <f t="shared" si="1"/>
        <v>123.42857142857144</v>
      </c>
      <c r="U42" s="52">
        <f t="shared" si="2"/>
        <v>0</v>
      </c>
      <c r="V42" s="52">
        <f t="shared" si="3"/>
        <v>0</v>
      </c>
      <c r="W42" s="52">
        <v>0</v>
      </c>
      <c r="X42" s="55">
        <f t="shared" si="4"/>
        <v>46153</v>
      </c>
    </row>
    <row r="43" spans="1:24" hidden="1" x14ac:dyDescent="0.35">
      <c r="A43" s="46">
        <f t="shared" si="5"/>
        <v>46153</v>
      </c>
      <c r="B43" s="46"/>
      <c r="C43" s="46"/>
      <c r="D43" s="46"/>
      <c r="E43" s="47" t="s">
        <v>64</v>
      </c>
      <c r="F43" s="48" t="s">
        <v>101</v>
      </c>
      <c r="G43" s="48"/>
      <c r="H43" s="49" t="s">
        <v>107</v>
      </c>
      <c r="I43" s="48" t="s">
        <v>108</v>
      </c>
      <c r="J43" s="51"/>
      <c r="K43" s="52">
        <v>0</v>
      </c>
      <c r="L43" s="52">
        <v>0</v>
      </c>
      <c r="M43" s="53">
        <v>800</v>
      </c>
      <c r="N43" s="54">
        <v>300</v>
      </c>
      <c r="O43" s="53">
        <v>1</v>
      </c>
      <c r="P43" s="54">
        <v>303</v>
      </c>
      <c r="Q43" s="54"/>
      <c r="R43" s="53">
        <f>200+103</f>
        <v>303</v>
      </c>
      <c r="S43" s="53">
        <f t="shared" si="0"/>
        <v>0</v>
      </c>
      <c r="T43" s="53">
        <f t="shared" si="1"/>
        <v>108</v>
      </c>
      <c r="U43" s="52">
        <f t="shared" si="2"/>
        <v>0</v>
      </c>
      <c r="V43" s="52">
        <f t="shared" si="3"/>
        <v>0</v>
      </c>
      <c r="W43" s="52">
        <v>0</v>
      </c>
      <c r="X43" s="55">
        <f t="shared" si="4"/>
        <v>46153</v>
      </c>
    </row>
    <row r="44" spans="1:24" hidden="1" x14ac:dyDescent="0.35">
      <c r="A44" s="46">
        <f t="shared" si="5"/>
        <v>46153</v>
      </c>
      <c r="B44" s="46"/>
      <c r="C44" s="46"/>
      <c r="D44" s="46"/>
      <c r="E44" s="47" t="s">
        <v>43</v>
      </c>
      <c r="F44" s="56" t="s">
        <v>104</v>
      </c>
      <c r="G44" s="56"/>
      <c r="H44" s="49" t="s">
        <v>109</v>
      </c>
      <c r="I44" s="56" t="s">
        <v>97</v>
      </c>
      <c r="J44" s="51"/>
      <c r="K44" s="52">
        <v>0</v>
      </c>
      <c r="L44" s="52">
        <v>0</v>
      </c>
      <c r="M44" s="53">
        <v>120</v>
      </c>
      <c r="N44" s="54">
        <v>3400</v>
      </c>
      <c r="O44" s="53">
        <v>1</v>
      </c>
      <c r="P44" s="54">
        <f t="shared" ref="P44:P78" si="6">N44/O44</f>
        <v>3400</v>
      </c>
      <c r="Q44" s="54"/>
      <c r="R44" s="53">
        <v>3400</v>
      </c>
      <c r="S44" s="53">
        <f t="shared" si="0"/>
        <v>0</v>
      </c>
      <c r="T44" s="53">
        <f t="shared" si="1"/>
        <v>720</v>
      </c>
      <c r="U44" s="52">
        <f t="shared" si="2"/>
        <v>0</v>
      </c>
      <c r="V44" s="52">
        <f t="shared" si="3"/>
        <v>0</v>
      </c>
      <c r="W44" s="52">
        <v>0</v>
      </c>
      <c r="X44" s="55">
        <f t="shared" si="4"/>
        <v>46153</v>
      </c>
    </row>
    <row r="45" spans="1:24" ht="29" hidden="1" x14ac:dyDescent="0.35">
      <c r="A45" s="46">
        <f t="shared" si="5"/>
        <v>46153</v>
      </c>
      <c r="B45" s="46"/>
      <c r="C45" s="46"/>
      <c r="D45" s="46"/>
      <c r="E45" s="47" t="s">
        <v>64</v>
      </c>
      <c r="F45" s="48" t="s">
        <v>104</v>
      </c>
      <c r="G45" s="48"/>
      <c r="H45" s="49" t="s">
        <v>110</v>
      </c>
      <c r="I45" s="48" t="s">
        <v>111</v>
      </c>
      <c r="J45" s="51"/>
      <c r="K45" s="52">
        <v>0</v>
      </c>
      <c r="L45" s="52">
        <v>0</v>
      </c>
      <c r="M45" s="53">
        <v>120</v>
      </c>
      <c r="N45" s="54">
        <v>4000</v>
      </c>
      <c r="O45" s="53">
        <v>1</v>
      </c>
      <c r="P45" s="54">
        <f t="shared" si="6"/>
        <v>4000</v>
      </c>
      <c r="Q45" s="54"/>
      <c r="R45" s="53">
        <v>4000</v>
      </c>
      <c r="S45" s="53">
        <f t="shared" si="0"/>
        <v>0</v>
      </c>
      <c r="T45" s="53">
        <f t="shared" si="1"/>
        <v>720</v>
      </c>
      <c r="U45" s="52">
        <f t="shared" si="2"/>
        <v>0</v>
      </c>
      <c r="V45" s="52">
        <f t="shared" si="3"/>
        <v>0</v>
      </c>
      <c r="W45" s="52">
        <v>0</v>
      </c>
      <c r="X45" s="55">
        <f t="shared" si="4"/>
        <v>46153</v>
      </c>
    </row>
    <row r="46" spans="1:24" hidden="1" x14ac:dyDescent="0.35">
      <c r="A46" s="46">
        <f t="shared" si="5"/>
        <v>46153</v>
      </c>
      <c r="B46" s="46"/>
      <c r="C46" s="46"/>
      <c r="D46" s="46"/>
      <c r="E46" s="47" t="s">
        <v>64</v>
      </c>
      <c r="F46" s="48" t="s">
        <v>104</v>
      </c>
      <c r="G46" s="48"/>
      <c r="H46" s="59" t="s">
        <v>112</v>
      </c>
      <c r="I46" s="48" t="s">
        <v>111</v>
      </c>
      <c r="J46" s="51"/>
      <c r="K46" s="52">
        <v>0</v>
      </c>
      <c r="L46" s="52">
        <v>0</v>
      </c>
      <c r="M46" s="53">
        <v>120</v>
      </c>
      <c r="N46" s="54">
        <v>2000</v>
      </c>
      <c r="O46" s="53">
        <v>1</v>
      </c>
      <c r="P46" s="54">
        <f t="shared" si="6"/>
        <v>2000</v>
      </c>
      <c r="Q46" s="54"/>
      <c r="R46" s="53">
        <v>2000</v>
      </c>
      <c r="S46" s="53">
        <f t="shared" si="0"/>
        <v>0</v>
      </c>
      <c r="T46" s="53">
        <f t="shared" si="1"/>
        <v>720</v>
      </c>
      <c r="U46" s="52">
        <f t="shared" si="2"/>
        <v>0</v>
      </c>
      <c r="V46" s="52">
        <f t="shared" si="3"/>
        <v>0</v>
      </c>
      <c r="W46" s="52">
        <v>0</v>
      </c>
      <c r="X46" s="55">
        <f t="shared" si="4"/>
        <v>46153</v>
      </c>
    </row>
    <row r="47" spans="1:24" hidden="1" x14ac:dyDescent="0.35">
      <c r="A47" s="46">
        <f t="shared" si="5"/>
        <v>46153</v>
      </c>
      <c r="B47" s="46"/>
      <c r="C47" s="46"/>
      <c r="D47" s="46"/>
      <c r="E47" s="47" t="s">
        <v>43</v>
      </c>
      <c r="F47" s="56" t="s">
        <v>113</v>
      </c>
      <c r="G47" s="56"/>
      <c r="H47" s="49" t="s">
        <v>114</v>
      </c>
      <c r="I47" s="56" t="s">
        <v>97</v>
      </c>
      <c r="J47" s="51"/>
      <c r="K47" s="52">
        <v>0</v>
      </c>
      <c r="L47" s="52">
        <v>0</v>
      </c>
      <c r="M47" s="53">
        <v>120</v>
      </c>
      <c r="N47" s="54">
        <v>2500</v>
      </c>
      <c r="O47" s="53">
        <v>1</v>
      </c>
      <c r="P47" s="54">
        <f t="shared" si="6"/>
        <v>2500</v>
      </c>
      <c r="Q47" s="54"/>
      <c r="R47" s="53">
        <v>2500</v>
      </c>
      <c r="S47" s="53">
        <f t="shared" si="0"/>
        <v>0</v>
      </c>
      <c r="T47" s="53">
        <f t="shared" si="1"/>
        <v>720</v>
      </c>
      <c r="U47" s="52">
        <f t="shared" si="2"/>
        <v>0</v>
      </c>
      <c r="V47" s="52">
        <f t="shared" si="3"/>
        <v>0</v>
      </c>
      <c r="W47" s="52">
        <v>0</v>
      </c>
      <c r="X47" s="55">
        <f t="shared" si="4"/>
        <v>46153</v>
      </c>
    </row>
    <row r="48" spans="1:24" hidden="1" x14ac:dyDescent="0.35">
      <c r="A48" s="46">
        <f t="shared" si="5"/>
        <v>46153</v>
      </c>
      <c r="B48" s="46"/>
      <c r="C48" s="46"/>
      <c r="D48" s="46"/>
      <c r="E48" s="47" t="s">
        <v>43</v>
      </c>
      <c r="F48" s="61" t="s">
        <v>115</v>
      </c>
      <c r="G48" s="61"/>
      <c r="H48" s="49" t="s">
        <v>116</v>
      </c>
      <c r="I48" s="61" t="s">
        <v>97</v>
      </c>
      <c r="J48" s="51"/>
      <c r="K48" s="52">
        <v>0</v>
      </c>
      <c r="L48" s="52">
        <v>0</v>
      </c>
      <c r="M48" s="53">
        <v>120</v>
      </c>
      <c r="N48" s="54">
        <v>4000</v>
      </c>
      <c r="O48" s="53">
        <v>1</v>
      </c>
      <c r="P48" s="54">
        <f t="shared" si="6"/>
        <v>4000</v>
      </c>
      <c r="Q48" s="54"/>
      <c r="R48" s="53">
        <v>4000</v>
      </c>
      <c r="S48" s="53">
        <f t="shared" si="0"/>
        <v>0</v>
      </c>
      <c r="T48" s="53">
        <f t="shared" si="1"/>
        <v>720</v>
      </c>
      <c r="U48" s="52">
        <f t="shared" si="2"/>
        <v>0</v>
      </c>
      <c r="V48" s="52">
        <f t="shared" si="3"/>
        <v>0</v>
      </c>
      <c r="W48" s="52">
        <v>0</v>
      </c>
      <c r="X48" s="55">
        <f t="shared" si="4"/>
        <v>46153</v>
      </c>
    </row>
    <row r="49" spans="1:24" ht="29" hidden="1" x14ac:dyDescent="0.35">
      <c r="A49" s="46">
        <f t="shared" si="5"/>
        <v>46153</v>
      </c>
      <c r="B49" s="46"/>
      <c r="C49" s="46"/>
      <c r="D49" s="46"/>
      <c r="E49" s="47" t="s">
        <v>43</v>
      </c>
      <c r="F49" s="48" t="s">
        <v>117</v>
      </c>
      <c r="G49" s="48"/>
      <c r="H49" s="49" t="s">
        <v>118</v>
      </c>
      <c r="I49" s="48" t="s">
        <v>119</v>
      </c>
      <c r="J49" s="51"/>
      <c r="K49" s="52">
        <v>0</v>
      </c>
      <c r="L49" s="52">
        <v>0</v>
      </c>
      <c r="M49" s="53">
        <v>730</v>
      </c>
      <c r="N49" s="54">
        <v>25</v>
      </c>
      <c r="O49" s="53">
        <v>1</v>
      </c>
      <c r="P49" s="54">
        <f t="shared" si="6"/>
        <v>25</v>
      </c>
      <c r="Q49" s="54"/>
      <c r="R49" s="53">
        <v>25</v>
      </c>
      <c r="S49" s="53">
        <f t="shared" si="0"/>
        <v>0</v>
      </c>
      <c r="T49" s="53">
        <f t="shared" si="1"/>
        <v>118.35616438356165</v>
      </c>
      <c r="U49" s="52">
        <f t="shared" si="2"/>
        <v>0</v>
      </c>
      <c r="V49" s="52">
        <f t="shared" si="3"/>
        <v>0</v>
      </c>
      <c r="W49" s="52">
        <v>0</v>
      </c>
      <c r="X49" s="55">
        <f t="shared" si="4"/>
        <v>46153</v>
      </c>
    </row>
    <row r="50" spans="1:24" ht="29" hidden="1" x14ac:dyDescent="0.35">
      <c r="A50" s="46">
        <f t="shared" si="5"/>
        <v>46153</v>
      </c>
      <c r="B50" s="46"/>
      <c r="C50" s="46"/>
      <c r="D50" s="46"/>
      <c r="E50" s="47" t="s">
        <v>43</v>
      </c>
      <c r="F50" s="48" t="s">
        <v>117</v>
      </c>
      <c r="G50" s="48"/>
      <c r="H50" s="49" t="s">
        <v>120</v>
      </c>
      <c r="I50" s="48" t="s">
        <v>121</v>
      </c>
      <c r="J50" s="51"/>
      <c r="K50" s="52">
        <v>0</v>
      </c>
      <c r="L50" s="52">
        <v>0</v>
      </c>
      <c r="M50" s="53">
        <v>730</v>
      </c>
      <c r="N50" s="54">
        <v>39</v>
      </c>
      <c r="O50" s="53">
        <v>1</v>
      </c>
      <c r="P50" s="54">
        <f t="shared" si="6"/>
        <v>39</v>
      </c>
      <c r="Q50" s="54"/>
      <c r="R50" s="53">
        <v>39</v>
      </c>
      <c r="S50" s="53">
        <f t="shared" si="0"/>
        <v>0</v>
      </c>
      <c r="T50" s="53">
        <f t="shared" si="1"/>
        <v>118.35616438356165</v>
      </c>
      <c r="U50" s="52">
        <f t="shared" si="2"/>
        <v>0</v>
      </c>
      <c r="V50" s="52">
        <f t="shared" si="3"/>
        <v>0</v>
      </c>
      <c r="W50" s="52">
        <v>0</v>
      </c>
      <c r="X50" s="55">
        <f t="shared" si="4"/>
        <v>46153</v>
      </c>
    </row>
    <row r="51" spans="1:24" ht="29" hidden="1" x14ac:dyDescent="0.35">
      <c r="A51" s="46">
        <f t="shared" si="5"/>
        <v>46153</v>
      </c>
      <c r="B51" s="46"/>
      <c r="C51" s="46"/>
      <c r="D51" s="46"/>
      <c r="E51" s="47" t="s">
        <v>43</v>
      </c>
      <c r="F51" s="48" t="s">
        <v>117</v>
      </c>
      <c r="G51" s="48"/>
      <c r="H51" s="49" t="s">
        <v>122</v>
      </c>
      <c r="I51" s="48" t="s">
        <v>123</v>
      </c>
      <c r="J51" s="51"/>
      <c r="K51" s="52">
        <v>0</v>
      </c>
      <c r="L51" s="52">
        <v>0</v>
      </c>
      <c r="M51" s="53">
        <v>730</v>
      </c>
      <c r="N51" s="54">
        <v>17</v>
      </c>
      <c r="O51" s="53">
        <v>1</v>
      </c>
      <c r="P51" s="54">
        <f t="shared" si="6"/>
        <v>17</v>
      </c>
      <c r="Q51" s="54"/>
      <c r="R51" s="53">
        <v>17</v>
      </c>
      <c r="S51" s="53">
        <f t="shared" si="0"/>
        <v>0</v>
      </c>
      <c r="T51" s="53">
        <f t="shared" si="1"/>
        <v>118.35616438356165</v>
      </c>
      <c r="U51" s="52">
        <f t="shared" si="2"/>
        <v>0</v>
      </c>
      <c r="V51" s="52">
        <f t="shared" si="3"/>
        <v>0</v>
      </c>
      <c r="W51" s="52">
        <v>0</v>
      </c>
      <c r="X51" s="55">
        <f t="shared" si="4"/>
        <v>46153</v>
      </c>
    </row>
    <row r="52" spans="1:24" ht="29" hidden="1" x14ac:dyDescent="0.35">
      <c r="A52" s="46">
        <f t="shared" si="5"/>
        <v>46153</v>
      </c>
      <c r="B52" s="46"/>
      <c r="C52" s="46"/>
      <c r="D52" s="46"/>
      <c r="E52" s="47" t="s">
        <v>43</v>
      </c>
      <c r="F52" s="48" t="s">
        <v>117</v>
      </c>
      <c r="G52" s="48"/>
      <c r="H52" s="49" t="s">
        <v>124</v>
      </c>
      <c r="I52" s="48" t="s">
        <v>123</v>
      </c>
      <c r="J52" s="51"/>
      <c r="K52" s="52">
        <v>0.1</v>
      </c>
      <c r="L52" s="52">
        <v>0</v>
      </c>
      <c r="M52" s="53">
        <v>730</v>
      </c>
      <c r="N52" s="54">
        <v>26</v>
      </c>
      <c r="O52" s="53">
        <v>1</v>
      </c>
      <c r="P52" s="54">
        <f t="shared" si="6"/>
        <v>26</v>
      </c>
      <c r="Q52" s="54"/>
      <c r="R52" s="53">
        <v>26</v>
      </c>
      <c r="S52" s="53">
        <f t="shared" si="0"/>
        <v>0</v>
      </c>
      <c r="T52" s="53">
        <f t="shared" si="1"/>
        <v>118.35616438356165</v>
      </c>
      <c r="U52" s="52">
        <f t="shared" si="2"/>
        <v>0</v>
      </c>
      <c r="V52" s="52">
        <f t="shared" si="3"/>
        <v>0</v>
      </c>
      <c r="W52" s="52">
        <v>0</v>
      </c>
      <c r="X52" s="55">
        <f t="shared" si="4"/>
        <v>46153.1</v>
      </c>
    </row>
    <row r="53" spans="1:24" ht="29" hidden="1" x14ac:dyDescent="0.35">
      <c r="A53" s="46">
        <f t="shared" si="5"/>
        <v>46153.1</v>
      </c>
      <c r="B53" s="46"/>
      <c r="C53" s="46"/>
      <c r="D53" s="46"/>
      <c r="E53" s="47" t="s">
        <v>43</v>
      </c>
      <c r="F53" s="48" t="s">
        <v>117</v>
      </c>
      <c r="G53" s="48"/>
      <c r="H53" s="49" t="s">
        <v>125</v>
      </c>
      <c r="I53" s="48" t="s">
        <v>126</v>
      </c>
      <c r="J53" s="51"/>
      <c r="K53" s="52">
        <v>0</v>
      </c>
      <c r="L53" s="52">
        <v>0</v>
      </c>
      <c r="M53" s="53">
        <v>730</v>
      </c>
      <c r="N53" s="54">
        <v>108</v>
      </c>
      <c r="O53" s="53">
        <v>1</v>
      </c>
      <c r="P53" s="54">
        <f t="shared" si="6"/>
        <v>108</v>
      </c>
      <c r="Q53" s="54"/>
      <c r="R53" s="53">
        <v>108</v>
      </c>
      <c r="S53" s="53">
        <f t="shared" si="0"/>
        <v>0</v>
      </c>
      <c r="T53" s="53">
        <f t="shared" si="1"/>
        <v>118.35616438356165</v>
      </c>
      <c r="U53" s="52">
        <f t="shared" si="2"/>
        <v>0</v>
      </c>
      <c r="V53" s="52">
        <f t="shared" si="3"/>
        <v>0</v>
      </c>
      <c r="W53" s="52">
        <v>0</v>
      </c>
      <c r="X53" s="55">
        <f t="shared" si="4"/>
        <v>46153.1</v>
      </c>
    </row>
    <row r="54" spans="1:24" ht="29" hidden="1" x14ac:dyDescent="0.35">
      <c r="A54" s="46">
        <f t="shared" si="5"/>
        <v>46153.1</v>
      </c>
      <c r="B54" s="46"/>
      <c r="C54" s="46"/>
      <c r="D54" s="46"/>
      <c r="E54" s="47" t="s">
        <v>43</v>
      </c>
      <c r="F54" s="48" t="s">
        <v>117</v>
      </c>
      <c r="G54" s="48"/>
      <c r="H54" s="49" t="s">
        <v>127</v>
      </c>
      <c r="I54" s="48" t="s">
        <v>128</v>
      </c>
      <c r="J54" s="51"/>
      <c r="K54" s="52">
        <v>0</v>
      </c>
      <c r="L54" s="52">
        <v>0</v>
      </c>
      <c r="M54" s="53">
        <v>730</v>
      </c>
      <c r="N54" s="54">
        <v>30</v>
      </c>
      <c r="O54" s="53">
        <v>1</v>
      </c>
      <c r="P54" s="54">
        <f t="shared" si="6"/>
        <v>30</v>
      </c>
      <c r="Q54" s="54"/>
      <c r="R54" s="53">
        <v>30</v>
      </c>
      <c r="S54" s="53">
        <f t="shared" si="0"/>
        <v>0</v>
      </c>
      <c r="T54" s="53">
        <f t="shared" si="1"/>
        <v>118.35616438356165</v>
      </c>
      <c r="U54" s="52">
        <f t="shared" si="2"/>
        <v>0</v>
      </c>
      <c r="V54" s="52">
        <f t="shared" si="3"/>
        <v>0</v>
      </c>
      <c r="W54" s="52">
        <v>0</v>
      </c>
      <c r="X54" s="55">
        <f t="shared" si="4"/>
        <v>46153.1</v>
      </c>
    </row>
    <row r="55" spans="1:24" ht="29" hidden="1" x14ac:dyDescent="0.35">
      <c r="A55" s="46">
        <f t="shared" si="5"/>
        <v>46153.1</v>
      </c>
      <c r="B55" s="46"/>
      <c r="C55" s="46"/>
      <c r="D55" s="46"/>
      <c r="E55" s="47" t="s">
        <v>43</v>
      </c>
      <c r="F55" s="48" t="s">
        <v>117</v>
      </c>
      <c r="G55" s="48"/>
      <c r="H55" s="49" t="s">
        <v>129</v>
      </c>
      <c r="I55" s="48" t="s">
        <v>130</v>
      </c>
      <c r="J55" s="51"/>
      <c r="K55" s="52">
        <v>0</v>
      </c>
      <c r="L55" s="52">
        <v>0</v>
      </c>
      <c r="M55" s="53">
        <v>730</v>
      </c>
      <c r="N55" s="54">
        <v>50</v>
      </c>
      <c r="O55" s="53">
        <v>1</v>
      </c>
      <c r="P55" s="54">
        <f t="shared" si="6"/>
        <v>50</v>
      </c>
      <c r="Q55" s="54"/>
      <c r="R55" s="53">
        <v>43</v>
      </c>
      <c r="S55" s="53">
        <f t="shared" si="0"/>
        <v>7</v>
      </c>
      <c r="T55" s="53">
        <f t="shared" si="1"/>
        <v>118.35616438356165</v>
      </c>
      <c r="U55" s="52">
        <f t="shared" si="2"/>
        <v>1.4194444444444445</v>
      </c>
      <c r="V55" s="52">
        <f t="shared" si="3"/>
        <v>5.9143518518518519E-2</v>
      </c>
      <c r="W55" s="52">
        <v>0</v>
      </c>
      <c r="X55" s="55">
        <f t="shared" si="4"/>
        <v>46153.159143518518</v>
      </c>
    </row>
    <row r="56" spans="1:24" hidden="1" x14ac:dyDescent="0.35">
      <c r="A56" s="46">
        <f t="shared" si="5"/>
        <v>46153.159143518518</v>
      </c>
      <c r="B56" s="46"/>
      <c r="C56" s="46"/>
      <c r="D56" s="46"/>
      <c r="E56" s="47" t="s">
        <v>43</v>
      </c>
      <c r="F56" s="57" t="s">
        <v>131</v>
      </c>
      <c r="G56" s="57"/>
      <c r="H56" s="49" t="s">
        <v>132</v>
      </c>
      <c r="I56" s="58" t="s">
        <v>133</v>
      </c>
      <c r="J56" s="51"/>
      <c r="K56" s="52">
        <v>0</v>
      </c>
      <c r="L56" s="52">
        <v>0</v>
      </c>
      <c r="M56" s="53">
        <v>80</v>
      </c>
      <c r="N56" s="54">
        <v>1000</v>
      </c>
      <c r="O56" s="53">
        <v>1</v>
      </c>
      <c r="P56" s="54">
        <f t="shared" si="6"/>
        <v>1000</v>
      </c>
      <c r="Q56" s="54"/>
      <c r="R56" s="53">
        <v>1000</v>
      </c>
      <c r="S56" s="53">
        <f t="shared" si="0"/>
        <v>0</v>
      </c>
      <c r="T56" s="53">
        <f t="shared" si="1"/>
        <v>1080</v>
      </c>
      <c r="U56" s="52">
        <f t="shared" si="2"/>
        <v>0</v>
      </c>
      <c r="V56" s="52">
        <f t="shared" si="3"/>
        <v>0</v>
      </c>
      <c r="W56" s="52">
        <v>0</v>
      </c>
      <c r="X56" s="55">
        <f t="shared" si="4"/>
        <v>46153.159143518518</v>
      </c>
    </row>
    <row r="57" spans="1:24" hidden="1" x14ac:dyDescent="0.35">
      <c r="A57" s="46">
        <f t="shared" si="5"/>
        <v>46153.159143518518</v>
      </c>
      <c r="B57" s="46"/>
      <c r="C57" s="46"/>
      <c r="D57" s="46"/>
      <c r="E57" s="47" t="s">
        <v>134</v>
      </c>
      <c r="F57" s="62" t="s">
        <v>135</v>
      </c>
      <c r="G57" s="62"/>
      <c r="H57" s="63" t="s">
        <v>136</v>
      </c>
      <c r="I57" s="62" t="s">
        <v>137</v>
      </c>
      <c r="J57" s="64"/>
      <c r="K57" s="52">
        <v>0</v>
      </c>
      <c r="L57" s="52">
        <v>0</v>
      </c>
      <c r="M57" s="53">
        <v>90</v>
      </c>
      <c r="N57" s="65">
        <v>5000</v>
      </c>
      <c r="O57" s="53">
        <v>1</v>
      </c>
      <c r="P57" s="54">
        <f t="shared" si="6"/>
        <v>5000</v>
      </c>
      <c r="Q57" s="54"/>
      <c r="R57" s="53">
        <v>5000</v>
      </c>
      <c r="S57" s="53">
        <f t="shared" si="0"/>
        <v>0</v>
      </c>
      <c r="T57" s="53">
        <f t="shared" si="1"/>
        <v>960</v>
      </c>
      <c r="U57" s="52">
        <f t="shared" si="2"/>
        <v>0</v>
      </c>
      <c r="V57" s="52">
        <f t="shared" si="3"/>
        <v>0</v>
      </c>
      <c r="W57" s="52">
        <v>0</v>
      </c>
      <c r="X57" s="55">
        <f t="shared" si="4"/>
        <v>46153.159143518518</v>
      </c>
    </row>
    <row r="58" spans="1:24" ht="29" hidden="1" x14ac:dyDescent="0.35">
      <c r="A58" s="46">
        <f t="shared" si="5"/>
        <v>46153.159143518518</v>
      </c>
      <c r="B58" s="46"/>
      <c r="C58" s="46"/>
      <c r="D58" s="46"/>
      <c r="E58" s="47" t="s">
        <v>43</v>
      </c>
      <c r="F58" s="48" t="s">
        <v>117</v>
      </c>
      <c r="G58" s="48"/>
      <c r="H58" s="49" t="s">
        <v>138</v>
      </c>
      <c r="I58" s="48" t="s">
        <v>139</v>
      </c>
      <c r="J58" s="51" t="s">
        <v>140</v>
      </c>
      <c r="K58" s="52">
        <v>0</v>
      </c>
      <c r="L58" s="52">
        <v>0</v>
      </c>
      <c r="M58" s="53">
        <v>730</v>
      </c>
      <c r="N58" s="54">
        <v>39</v>
      </c>
      <c r="O58" s="53">
        <v>1</v>
      </c>
      <c r="P58" s="54">
        <f t="shared" si="6"/>
        <v>39</v>
      </c>
      <c r="Q58" s="54"/>
      <c r="R58" s="53">
        <v>39</v>
      </c>
      <c r="S58" s="53">
        <f t="shared" si="0"/>
        <v>0</v>
      </c>
      <c r="T58" s="53">
        <f t="shared" si="1"/>
        <v>118.35616438356165</v>
      </c>
      <c r="U58" s="52">
        <f t="shared" si="2"/>
        <v>0</v>
      </c>
      <c r="V58" s="52">
        <f t="shared" si="3"/>
        <v>0</v>
      </c>
      <c r="W58" s="52">
        <v>0</v>
      </c>
      <c r="X58" s="55">
        <f t="shared" si="4"/>
        <v>46153.159143518518</v>
      </c>
    </row>
    <row r="59" spans="1:24" hidden="1" x14ac:dyDescent="0.35">
      <c r="A59" s="46">
        <f t="shared" si="5"/>
        <v>46153.159143518518</v>
      </c>
      <c r="B59" s="46"/>
      <c r="C59" s="46"/>
      <c r="D59" s="46"/>
      <c r="E59" s="47" t="s">
        <v>64</v>
      </c>
      <c r="F59" s="48" t="s">
        <v>141</v>
      </c>
      <c r="G59" s="48"/>
      <c r="H59" s="63" t="s">
        <v>142</v>
      </c>
      <c r="I59" s="62" t="s">
        <v>143</v>
      </c>
      <c r="J59" s="64" t="s">
        <v>140</v>
      </c>
      <c r="K59" s="52">
        <v>0</v>
      </c>
      <c r="L59" s="52">
        <v>0</v>
      </c>
      <c r="M59" s="53">
        <v>100</v>
      </c>
      <c r="N59" s="54">
        <v>1500</v>
      </c>
      <c r="O59" s="53">
        <v>1</v>
      </c>
      <c r="P59" s="54">
        <f t="shared" si="6"/>
        <v>1500</v>
      </c>
      <c r="Q59" s="54"/>
      <c r="R59" s="53">
        <v>1500</v>
      </c>
      <c r="S59" s="53">
        <f t="shared" si="0"/>
        <v>0</v>
      </c>
      <c r="T59" s="53">
        <f t="shared" si="1"/>
        <v>864</v>
      </c>
      <c r="U59" s="52">
        <f t="shared" si="2"/>
        <v>0</v>
      </c>
      <c r="V59" s="52">
        <f t="shared" si="3"/>
        <v>0</v>
      </c>
      <c r="W59" s="52">
        <v>0</v>
      </c>
      <c r="X59" s="55">
        <f t="shared" si="4"/>
        <v>46153.159143518518</v>
      </c>
    </row>
    <row r="60" spans="1:24" hidden="1" x14ac:dyDescent="0.35">
      <c r="A60" s="46">
        <f t="shared" si="5"/>
        <v>46153.159143518518</v>
      </c>
      <c r="B60" s="46"/>
      <c r="C60" s="46"/>
      <c r="D60" s="46"/>
      <c r="E60" s="47" t="s">
        <v>64</v>
      </c>
      <c r="F60" s="48" t="s">
        <v>144</v>
      </c>
      <c r="G60" s="48"/>
      <c r="H60" s="66">
        <v>8725</v>
      </c>
      <c r="I60" s="56" t="s">
        <v>145</v>
      </c>
      <c r="J60" s="51" t="s">
        <v>140</v>
      </c>
      <c r="K60" s="52">
        <v>0</v>
      </c>
      <c r="L60" s="52">
        <v>0</v>
      </c>
      <c r="M60" s="53">
        <v>90</v>
      </c>
      <c r="N60" s="54">
        <v>800</v>
      </c>
      <c r="O60" s="53">
        <v>1</v>
      </c>
      <c r="P60" s="54">
        <f t="shared" si="6"/>
        <v>800</v>
      </c>
      <c r="Q60" s="54"/>
      <c r="R60" s="53">
        <v>800</v>
      </c>
      <c r="S60" s="53">
        <f t="shared" si="0"/>
        <v>0</v>
      </c>
      <c r="T60" s="53">
        <f t="shared" si="1"/>
        <v>960</v>
      </c>
      <c r="U60" s="52">
        <f t="shared" si="2"/>
        <v>0</v>
      </c>
      <c r="V60" s="52">
        <f t="shared" si="3"/>
        <v>0</v>
      </c>
      <c r="W60" s="52">
        <v>0</v>
      </c>
      <c r="X60" s="55">
        <f t="shared" si="4"/>
        <v>46153.159143518518</v>
      </c>
    </row>
    <row r="61" spans="1:24" hidden="1" x14ac:dyDescent="0.35">
      <c r="A61" s="46">
        <f t="shared" si="5"/>
        <v>46153.159143518518</v>
      </c>
      <c r="B61" s="46"/>
      <c r="C61" s="46"/>
      <c r="D61" s="46"/>
      <c r="E61" s="47" t="s">
        <v>43</v>
      </c>
      <c r="F61" s="48" t="s">
        <v>146</v>
      </c>
      <c r="G61" s="48"/>
      <c r="H61" s="67" t="s">
        <v>147</v>
      </c>
      <c r="I61" s="56" t="s">
        <v>148</v>
      </c>
      <c r="J61" s="51" t="s">
        <v>140</v>
      </c>
      <c r="K61" s="52">
        <v>0</v>
      </c>
      <c r="L61" s="52">
        <v>0</v>
      </c>
      <c r="M61" s="53">
        <v>90</v>
      </c>
      <c r="N61" s="54">
        <v>2600</v>
      </c>
      <c r="O61" s="53">
        <v>1</v>
      </c>
      <c r="P61" s="54">
        <f t="shared" si="6"/>
        <v>2600</v>
      </c>
      <c r="Q61" s="54"/>
      <c r="R61" s="53">
        <v>2600</v>
      </c>
      <c r="S61" s="53">
        <f t="shared" si="0"/>
        <v>0</v>
      </c>
      <c r="T61" s="53">
        <f t="shared" si="1"/>
        <v>960</v>
      </c>
      <c r="U61" s="52">
        <f t="shared" si="2"/>
        <v>0</v>
      </c>
      <c r="V61" s="52">
        <f t="shared" si="3"/>
        <v>0</v>
      </c>
      <c r="W61" s="52">
        <v>0</v>
      </c>
      <c r="X61" s="55">
        <f t="shared" si="4"/>
        <v>46153.159143518518</v>
      </c>
    </row>
    <row r="62" spans="1:24" hidden="1" x14ac:dyDescent="0.35">
      <c r="A62" s="46">
        <f t="shared" si="5"/>
        <v>46153.159143518518</v>
      </c>
      <c r="B62" s="46"/>
      <c r="C62" s="46"/>
      <c r="D62" s="46"/>
      <c r="E62" s="47" t="s">
        <v>64</v>
      </c>
      <c r="F62" s="48" t="s">
        <v>149</v>
      </c>
      <c r="G62" s="48"/>
      <c r="H62" s="63" t="s">
        <v>150</v>
      </c>
      <c r="I62" s="62" t="s">
        <v>143</v>
      </c>
      <c r="J62" s="64" t="s">
        <v>140</v>
      </c>
      <c r="K62" s="52">
        <v>0</v>
      </c>
      <c r="L62" s="52">
        <v>0</v>
      </c>
      <c r="M62" s="53">
        <v>100</v>
      </c>
      <c r="N62" s="54">
        <v>800</v>
      </c>
      <c r="O62" s="53">
        <v>1</v>
      </c>
      <c r="P62" s="54">
        <f t="shared" si="6"/>
        <v>800</v>
      </c>
      <c r="Q62" s="54"/>
      <c r="R62" s="53">
        <v>800</v>
      </c>
      <c r="S62" s="53">
        <f t="shared" si="0"/>
        <v>0</v>
      </c>
      <c r="T62" s="53">
        <f t="shared" si="1"/>
        <v>864</v>
      </c>
      <c r="U62" s="52">
        <f t="shared" si="2"/>
        <v>0</v>
      </c>
      <c r="V62" s="52">
        <f t="shared" si="3"/>
        <v>0</v>
      </c>
      <c r="W62" s="52">
        <v>0</v>
      </c>
      <c r="X62" s="55">
        <f t="shared" si="4"/>
        <v>46153.159143518518</v>
      </c>
    </row>
    <row r="63" spans="1:24" hidden="1" x14ac:dyDescent="0.35">
      <c r="A63" s="46">
        <f t="shared" si="5"/>
        <v>46153.159143518518</v>
      </c>
      <c r="B63" s="46"/>
      <c r="C63" s="46"/>
      <c r="D63" s="46"/>
      <c r="E63" s="47" t="s">
        <v>43</v>
      </c>
      <c r="F63" s="48" t="s">
        <v>151</v>
      </c>
      <c r="G63" s="48"/>
      <c r="H63" s="49" t="s">
        <v>152</v>
      </c>
      <c r="I63" s="48" t="s">
        <v>139</v>
      </c>
      <c r="J63" s="51" t="s">
        <v>140</v>
      </c>
      <c r="K63" s="52">
        <v>0</v>
      </c>
      <c r="L63" s="52">
        <v>0</v>
      </c>
      <c r="M63" s="53">
        <v>730</v>
      </c>
      <c r="N63" s="54">
        <v>39</v>
      </c>
      <c r="O63" s="53">
        <v>1</v>
      </c>
      <c r="P63" s="54">
        <f t="shared" si="6"/>
        <v>39</v>
      </c>
      <c r="Q63" s="54"/>
      <c r="R63" s="53">
        <v>39</v>
      </c>
      <c r="S63" s="53">
        <f t="shared" si="0"/>
        <v>0</v>
      </c>
      <c r="T63" s="53">
        <f t="shared" si="1"/>
        <v>118.35616438356165</v>
      </c>
      <c r="U63" s="52">
        <f t="shared" si="2"/>
        <v>0</v>
      </c>
      <c r="V63" s="52">
        <f t="shared" si="3"/>
        <v>0</v>
      </c>
      <c r="W63" s="52">
        <v>0</v>
      </c>
      <c r="X63" s="55">
        <f t="shared" si="4"/>
        <v>46153.159143518518</v>
      </c>
    </row>
    <row r="64" spans="1:24" hidden="1" x14ac:dyDescent="0.35">
      <c r="A64" s="46">
        <f t="shared" si="5"/>
        <v>46153.159143518518</v>
      </c>
      <c r="B64" s="46"/>
      <c r="C64" s="46"/>
      <c r="D64" s="46"/>
      <c r="E64" s="47" t="s">
        <v>43</v>
      </c>
      <c r="F64" s="48" t="s">
        <v>153</v>
      </c>
      <c r="G64" s="48"/>
      <c r="H64" s="49" t="s">
        <v>154</v>
      </c>
      <c r="I64" s="48" t="s">
        <v>155</v>
      </c>
      <c r="J64" s="51" t="s">
        <v>140</v>
      </c>
      <c r="K64" s="52">
        <v>0</v>
      </c>
      <c r="L64" s="52">
        <v>0</v>
      </c>
      <c r="M64" s="53">
        <v>730</v>
      </c>
      <c r="N64" s="54">
        <v>41</v>
      </c>
      <c r="O64" s="53">
        <v>1</v>
      </c>
      <c r="P64" s="54">
        <f t="shared" si="6"/>
        <v>41</v>
      </c>
      <c r="Q64" s="54"/>
      <c r="R64" s="53">
        <v>41</v>
      </c>
      <c r="S64" s="53">
        <f t="shared" si="0"/>
        <v>0</v>
      </c>
      <c r="T64" s="53">
        <f t="shared" si="1"/>
        <v>118.35616438356165</v>
      </c>
      <c r="U64" s="52">
        <f t="shared" si="2"/>
        <v>0</v>
      </c>
      <c r="V64" s="52">
        <f t="shared" si="3"/>
        <v>0</v>
      </c>
      <c r="W64" s="52">
        <v>0</v>
      </c>
      <c r="X64" s="55">
        <f t="shared" si="4"/>
        <v>46153.159143518518</v>
      </c>
    </row>
    <row r="65" spans="1:24" hidden="1" x14ac:dyDescent="0.35">
      <c r="A65" s="46">
        <f t="shared" si="5"/>
        <v>46153.159143518518</v>
      </c>
      <c r="B65" s="46"/>
      <c r="C65" s="46"/>
      <c r="D65" s="46"/>
      <c r="E65" s="47" t="s">
        <v>43</v>
      </c>
      <c r="F65" s="48" t="s">
        <v>156</v>
      </c>
      <c r="G65" s="48"/>
      <c r="H65" s="49" t="s">
        <v>157</v>
      </c>
      <c r="I65" s="48" t="s">
        <v>121</v>
      </c>
      <c r="J65" s="51" t="s">
        <v>140</v>
      </c>
      <c r="K65" s="52">
        <v>0</v>
      </c>
      <c r="L65" s="52">
        <v>0</v>
      </c>
      <c r="M65" s="53">
        <v>730</v>
      </c>
      <c r="N65" s="54">
        <v>50</v>
      </c>
      <c r="O65" s="53">
        <v>1</v>
      </c>
      <c r="P65" s="54">
        <f t="shared" si="6"/>
        <v>50</v>
      </c>
      <c r="Q65" s="54"/>
      <c r="R65" s="53">
        <v>50</v>
      </c>
      <c r="S65" s="53">
        <f t="shared" si="0"/>
        <v>0</v>
      </c>
      <c r="T65" s="53">
        <f t="shared" si="1"/>
        <v>118.35616438356165</v>
      </c>
      <c r="U65" s="52">
        <f t="shared" si="2"/>
        <v>0</v>
      </c>
      <c r="V65" s="52">
        <f t="shared" si="3"/>
        <v>0</v>
      </c>
      <c r="W65" s="52">
        <v>0</v>
      </c>
      <c r="X65" s="55">
        <f t="shared" si="4"/>
        <v>46153.159143518518</v>
      </c>
    </row>
    <row r="66" spans="1:24" hidden="1" x14ac:dyDescent="0.35">
      <c r="A66" s="46">
        <f t="shared" si="5"/>
        <v>46153.159143518518</v>
      </c>
      <c r="B66" s="46"/>
      <c r="C66" s="46"/>
      <c r="D66" s="46"/>
      <c r="E66" s="47" t="s">
        <v>43</v>
      </c>
      <c r="F66" s="48" t="s">
        <v>158</v>
      </c>
      <c r="G66" s="48"/>
      <c r="H66" s="49" t="s">
        <v>159</v>
      </c>
      <c r="I66" s="56" t="s">
        <v>160</v>
      </c>
      <c r="J66" s="51" t="s">
        <v>140</v>
      </c>
      <c r="K66" s="52">
        <v>0</v>
      </c>
      <c r="L66" s="52">
        <v>0</v>
      </c>
      <c r="M66" s="53">
        <v>50</v>
      </c>
      <c r="N66" s="54">
        <v>1058</v>
      </c>
      <c r="O66" s="53">
        <v>1</v>
      </c>
      <c r="P66" s="54">
        <f t="shared" si="6"/>
        <v>1058</v>
      </c>
      <c r="Q66" s="54"/>
      <c r="R66" s="53">
        <v>1058</v>
      </c>
      <c r="S66" s="53">
        <f t="shared" si="0"/>
        <v>0</v>
      </c>
      <c r="T66" s="53">
        <f t="shared" si="1"/>
        <v>1728</v>
      </c>
      <c r="U66" s="52">
        <f t="shared" si="2"/>
        <v>0</v>
      </c>
      <c r="V66" s="52">
        <f t="shared" si="3"/>
        <v>0</v>
      </c>
      <c r="W66" s="52">
        <v>0</v>
      </c>
      <c r="X66" s="55">
        <f t="shared" si="4"/>
        <v>46153.159143518518</v>
      </c>
    </row>
    <row r="67" spans="1:24" hidden="1" x14ac:dyDescent="0.35">
      <c r="A67" s="46">
        <f t="shared" si="5"/>
        <v>46153.159143518518</v>
      </c>
      <c r="B67" s="46"/>
      <c r="C67" s="46"/>
      <c r="D67" s="46"/>
      <c r="E67" s="47" t="s">
        <v>64</v>
      </c>
      <c r="F67" s="48" t="s">
        <v>161</v>
      </c>
      <c r="G67" s="48"/>
      <c r="H67" s="63" t="s">
        <v>162</v>
      </c>
      <c r="I67" s="62" t="s">
        <v>143</v>
      </c>
      <c r="J67" s="64" t="s">
        <v>140</v>
      </c>
      <c r="K67" s="52">
        <v>0</v>
      </c>
      <c r="L67" s="52">
        <v>0</v>
      </c>
      <c r="M67" s="53">
        <v>100</v>
      </c>
      <c r="N67" s="54">
        <v>4000</v>
      </c>
      <c r="O67" s="53">
        <v>1</v>
      </c>
      <c r="P67" s="54">
        <f t="shared" si="6"/>
        <v>4000</v>
      </c>
      <c r="Q67" s="54"/>
      <c r="R67" s="53">
        <v>4000</v>
      </c>
      <c r="S67" s="53">
        <f t="shared" si="0"/>
        <v>0</v>
      </c>
      <c r="T67" s="53">
        <f t="shared" si="1"/>
        <v>864</v>
      </c>
      <c r="U67" s="52">
        <f t="shared" si="2"/>
        <v>0</v>
      </c>
      <c r="V67" s="52">
        <f t="shared" si="3"/>
        <v>0</v>
      </c>
      <c r="W67" s="52">
        <v>0</v>
      </c>
      <c r="X67" s="55">
        <f t="shared" si="4"/>
        <v>46153.159143518518</v>
      </c>
    </row>
    <row r="68" spans="1:24" ht="29" hidden="1" x14ac:dyDescent="0.35">
      <c r="A68" s="46">
        <f t="shared" si="5"/>
        <v>46153.159143518518</v>
      </c>
      <c r="B68" s="46"/>
      <c r="C68" s="46"/>
      <c r="D68" s="46"/>
      <c r="E68" s="47" t="s">
        <v>64</v>
      </c>
      <c r="F68" s="48" t="s">
        <v>161</v>
      </c>
      <c r="G68" s="48"/>
      <c r="H68" s="49" t="s">
        <v>163</v>
      </c>
      <c r="I68" s="48" t="s">
        <v>164</v>
      </c>
      <c r="J68" s="51" t="s">
        <v>140</v>
      </c>
      <c r="K68" s="52">
        <v>0</v>
      </c>
      <c r="L68" s="52">
        <v>0</v>
      </c>
      <c r="M68" s="53">
        <v>120</v>
      </c>
      <c r="N68" s="54">
        <v>4000</v>
      </c>
      <c r="O68" s="53">
        <v>1</v>
      </c>
      <c r="P68" s="54">
        <f t="shared" si="6"/>
        <v>4000</v>
      </c>
      <c r="Q68" s="54"/>
      <c r="R68" s="53">
        <v>4000</v>
      </c>
      <c r="S68" s="53">
        <f t="shared" si="0"/>
        <v>0</v>
      </c>
      <c r="T68" s="53">
        <f t="shared" si="1"/>
        <v>720</v>
      </c>
      <c r="U68" s="52">
        <f t="shared" si="2"/>
        <v>0</v>
      </c>
      <c r="V68" s="52">
        <f t="shared" si="3"/>
        <v>0</v>
      </c>
      <c r="W68" s="52">
        <v>0</v>
      </c>
      <c r="X68" s="55">
        <f t="shared" si="4"/>
        <v>46153.159143518518</v>
      </c>
    </row>
    <row r="69" spans="1:24" ht="29" hidden="1" x14ac:dyDescent="0.35">
      <c r="A69" s="46">
        <f t="shared" si="5"/>
        <v>46153.159143518518</v>
      </c>
      <c r="B69" s="46"/>
      <c r="C69" s="46"/>
      <c r="D69" s="46"/>
      <c r="E69" s="47" t="s">
        <v>43</v>
      </c>
      <c r="F69" s="48" t="s">
        <v>165</v>
      </c>
      <c r="G69" s="48"/>
      <c r="H69" s="49" t="s">
        <v>166</v>
      </c>
      <c r="I69" s="62" t="s">
        <v>167</v>
      </c>
      <c r="J69" s="51" t="s">
        <v>140</v>
      </c>
      <c r="K69" s="52">
        <v>0</v>
      </c>
      <c r="L69" s="52">
        <v>0</v>
      </c>
      <c r="M69" s="53">
        <v>730</v>
      </c>
      <c r="N69" s="54">
        <v>30</v>
      </c>
      <c r="O69" s="53">
        <v>1</v>
      </c>
      <c r="P69" s="54">
        <f t="shared" si="6"/>
        <v>30</v>
      </c>
      <c r="Q69" s="54"/>
      <c r="R69" s="53">
        <v>30</v>
      </c>
      <c r="S69" s="53">
        <f t="shared" si="0"/>
        <v>0</v>
      </c>
      <c r="T69" s="53">
        <f t="shared" si="1"/>
        <v>118.35616438356165</v>
      </c>
      <c r="U69" s="52">
        <f t="shared" si="2"/>
        <v>0</v>
      </c>
      <c r="V69" s="52">
        <f t="shared" si="3"/>
        <v>0</v>
      </c>
      <c r="W69" s="52">
        <v>0</v>
      </c>
      <c r="X69" s="55">
        <f t="shared" si="4"/>
        <v>46153.159143518518</v>
      </c>
    </row>
    <row r="70" spans="1:24" ht="29" hidden="1" x14ac:dyDescent="0.35">
      <c r="A70" s="46">
        <f t="shared" si="5"/>
        <v>46153.159143518518</v>
      </c>
      <c r="B70" s="46"/>
      <c r="C70" s="46"/>
      <c r="D70" s="46"/>
      <c r="E70" s="47" t="s">
        <v>43</v>
      </c>
      <c r="F70" s="48" t="s">
        <v>165</v>
      </c>
      <c r="G70" s="48"/>
      <c r="H70" s="49" t="s">
        <v>168</v>
      </c>
      <c r="I70" s="48" t="s">
        <v>139</v>
      </c>
      <c r="J70" s="51" t="s">
        <v>140</v>
      </c>
      <c r="K70" s="52">
        <v>0</v>
      </c>
      <c r="L70" s="52">
        <v>0</v>
      </c>
      <c r="M70" s="53">
        <v>730</v>
      </c>
      <c r="N70" s="54">
        <v>36</v>
      </c>
      <c r="O70" s="53">
        <v>1</v>
      </c>
      <c r="P70" s="54">
        <f t="shared" si="6"/>
        <v>36</v>
      </c>
      <c r="Q70" s="54"/>
      <c r="R70" s="53">
        <v>36</v>
      </c>
      <c r="S70" s="53">
        <f t="shared" si="0"/>
        <v>0</v>
      </c>
      <c r="T70" s="53">
        <f t="shared" si="1"/>
        <v>118.35616438356165</v>
      </c>
      <c r="U70" s="52">
        <f t="shared" si="2"/>
        <v>0</v>
      </c>
      <c r="V70" s="52">
        <f t="shared" si="3"/>
        <v>0</v>
      </c>
      <c r="W70" s="52">
        <v>0</v>
      </c>
      <c r="X70" s="55">
        <f t="shared" si="4"/>
        <v>46153.159143518518</v>
      </c>
    </row>
    <row r="71" spans="1:24" ht="29" hidden="1" x14ac:dyDescent="0.35">
      <c r="A71" s="46">
        <f t="shared" si="5"/>
        <v>46153.159143518518</v>
      </c>
      <c r="B71" s="46"/>
      <c r="C71" s="46"/>
      <c r="D71" s="46"/>
      <c r="E71" s="47" t="s">
        <v>43</v>
      </c>
      <c r="F71" s="48" t="s">
        <v>165</v>
      </c>
      <c r="G71" s="48"/>
      <c r="H71" s="49" t="s">
        <v>169</v>
      </c>
      <c r="I71" s="48" t="s">
        <v>130</v>
      </c>
      <c r="J71" s="51" t="s">
        <v>140</v>
      </c>
      <c r="K71" s="52">
        <v>0</v>
      </c>
      <c r="L71" s="52">
        <v>0</v>
      </c>
      <c r="M71" s="53">
        <v>730</v>
      </c>
      <c r="N71" s="54">
        <v>69</v>
      </c>
      <c r="O71" s="53">
        <v>1</v>
      </c>
      <c r="P71" s="54">
        <f t="shared" si="6"/>
        <v>69</v>
      </c>
      <c r="Q71" s="54"/>
      <c r="R71" s="53">
        <v>69</v>
      </c>
      <c r="S71" s="53">
        <f t="shared" si="0"/>
        <v>0</v>
      </c>
      <c r="T71" s="53">
        <f t="shared" si="1"/>
        <v>118.35616438356165</v>
      </c>
      <c r="U71" s="52">
        <f t="shared" si="2"/>
        <v>0</v>
      </c>
      <c r="V71" s="52">
        <f t="shared" si="3"/>
        <v>0</v>
      </c>
      <c r="W71" s="52">
        <v>0</v>
      </c>
      <c r="X71" s="55">
        <f t="shared" si="4"/>
        <v>46153.159143518518</v>
      </c>
    </row>
    <row r="72" spans="1:24" ht="29" hidden="1" x14ac:dyDescent="0.35">
      <c r="A72" s="46">
        <f t="shared" si="5"/>
        <v>46153.159143518518</v>
      </c>
      <c r="B72" s="46"/>
      <c r="C72" s="46"/>
      <c r="D72" s="46"/>
      <c r="E72" s="47" t="s">
        <v>43</v>
      </c>
      <c r="F72" s="48" t="s">
        <v>165</v>
      </c>
      <c r="G72" s="48"/>
      <c r="H72" s="49" t="s">
        <v>170</v>
      </c>
      <c r="I72" s="62" t="s">
        <v>106</v>
      </c>
      <c r="J72" s="51" t="s">
        <v>140</v>
      </c>
      <c r="K72" s="52">
        <v>0</v>
      </c>
      <c r="L72" s="52">
        <v>0</v>
      </c>
      <c r="M72" s="53">
        <v>730</v>
      </c>
      <c r="N72" s="54">
        <v>69</v>
      </c>
      <c r="O72" s="53">
        <v>1</v>
      </c>
      <c r="P72" s="54">
        <f t="shared" si="6"/>
        <v>69</v>
      </c>
      <c r="Q72" s="54"/>
      <c r="R72" s="53">
        <v>69</v>
      </c>
      <c r="S72" s="53">
        <f t="shared" si="0"/>
        <v>0</v>
      </c>
      <c r="T72" s="53">
        <f t="shared" si="1"/>
        <v>118.35616438356165</v>
      </c>
      <c r="U72" s="52">
        <f t="shared" si="2"/>
        <v>0</v>
      </c>
      <c r="V72" s="52">
        <f t="shared" si="3"/>
        <v>0</v>
      </c>
      <c r="W72" s="52">
        <v>0</v>
      </c>
      <c r="X72" s="55">
        <f t="shared" si="4"/>
        <v>46153.159143518518</v>
      </c>
    </row>
    <row r="73" spans="1:24" ht="29" hidden="1" x14ac:dyDescent="0.35">
      <c r="A73" s="46">
        <f t="shared" si="5"/>
        <v>46153.159143518518</v>
      </c>
      <c r="B73" s="46"/>
      <c r="C73" s="46"/>
      <c r="D73" s="46"/>
      <c r="E73" s="47" t="s">
        <v>43</v>
      </c>
      <c r="F73" s="48" t="s">
        <v>165</v>
      </c>
      <c r="G73" s="48"/>
      <c r="H73" s="49" t="s">
        <v>171</v>
      </c>
      <c r="I73" s="48" t="s">
        <v>128</v>
      </c>
      <c r="J73" s="51" t="s">
        <v>140</v>
      </c>
      <c r="K73" s="52">
        <v>0</v>
      </c>
      <c r="L73" s="52">
        <v>0</v>
      </c>
      <c r="M73" s="53">
        <v>730</v>
      </c>
      <c r="N73" s="54">
        <v>63</v>
      </c>
      <c r="O73" s="53">
        <v>1</v>
      </c>
      <c r="P73" s="54">
        <f t="shared" si="6"/>
        <v>63</v>
      </c>
      <c r="Q73" s="54"/>
      <c r="R73" s="53">
        <v>63</v>
      </c>
      <c r="S73" s="53">
        <f t="shared" si="0"/>
        <v>0</v>
      </c>
      <c r="T73" s="53">
        <f t="shared" si="1"/>
        <v>118.35616438356165</v>
      </c>
      <c r="U73" s="52">
        <f t="shared" si="2"/>
        <v>0</v>
      </c>
      <c r="V73" s="52">
        <f t="shared" si="3"/>
        <v>0</v>
      </c>
      <c r="W73" s="52">
        <v>0</v>
      </c>
      <c r="X73" s="55">
        <f t="shared" si="4"/>
        <v>46153.159143518518</v>
      </c>
    </row>
    <row r="74" spans="1:24" ht="29" hidden="1" x14ac:dyDescent="0.35">
      <c r="A74" s="46">
        <f t="shared" si="5"/>
        <v>46153.159143518518</v>
      </c>
      <c r="B74" s="46"/>
      <c r="C74" s="46"/>
      <c r="D74" s="46"/>
      <c r="E74" s="47" t="s">
        <v>43</v>
      </c>
      <c r="F74" s="48" t="s">
        <v>165</v>
      </c>
      <c r="G74" s="48"/>
      <c r="H74" s="49" t="s">
        <v>172</v>
      </c>
      <c r="I74" s="48" t="s">
        <v>126</v>
      </c>
      <c r="J74" s="51" t="s">
        <v>140</v>
      </c>
      <c r="K74" s="52">
        <v>0</v>
      </c>
      <c r="L74" s="52">
        <v>0</v>
      </c>
      <c r="M74" s="53">
        <v>730</v>
      </c>
      <c r="N74" s="54">
        <v>70</v>
      </c>
      <c r="O74" s="53">
        <v>1</v>
      </c>
      <c r="P74" s="54">
        <f t="shared" si="6"/>
        <v>70</v>
      </c>
      <c r="Q74" s="54"/>
      <c r="R74" s="53">
        <v>70</v>
      </c>
      <c r="S74" s="53">
        <f t="shared" si="0"/>
        <v>0</v>
      </c>
      <c r="T74" s="53">
        <f t="shared" si="1"/>
        <v>118.35616438356165</v>
      </c>
      <c r="U74" s="52">
        <f t="shared" si="2"/>
        <v>0</v>
      </c>
      <c r="V74" s="52">
        <f t="shared" si="3"/>
        <v>0</v>
      </c>
      <c r="W74" s="52">
        <v>0</v>
      </c>
      <c r="X74" s="55">
        <f t="shared" si="4"/>
        <v>46153.159143518518</v>
      </c>
    </row>
    <row r="75" spans="1:24" ht="29" hidden="1" x14ac:dyDescent="0.35">
      <c r="A75" s="46">
        <f t="shared" si="5"/>
        <v>46153.159143518518</v>
      </c>
      <c r="B75" s="46"/>
      <c r="C75" s="46"/>
      <c r="D75" s="46"/>
      <c r="E75" s="47" t="s">
        <v>43</v>
      </c>
      <c r="F75" s="48" t="s">
        <v>165</v>
      </c>
      <c r="G75" s="48"/>
      <c r="H75" s="49" t="s">
        <v>173</v>
      </c>
      <c r="I75" s="48" t="s">
        <v>123</v>
      </c>
      <c r="J75" s="51" t="s">
        <v>140</v>
      </c>
      <c r="K75" s="52">
        <v>0</v>
      </c>
      <c r="L75" s="52">
        <v>0</v>
      </c>
      <c r="M75" s="53">
        <v>730</v>
      </c>
      <c r="N75" s="54">
        <v>50</v>
      </c>
      <c r="O75" s="53">
        <v>1</v>
      </c>
      <c r="P75" s="54">
        <f t="shared" si="6"/>
        <v>50</v>
      </c>
      <c r="Q75" s="54"/>
      <c r="R75" s="53">
        <v>50</v>
      </c>
      <c r="S75" s="53">
        <f t="shared" ref="S75:S78" si="7">P75-R75</f>
        <v>0</v>
      </c>
      <c r="T75" s="53">
        <f t="shared" ref="T75:T78" si="8">((3600/M75)*O75)*24</f>
        <v>118.35616438356165</v>
      </c>
      <c r="U75" s="52">
        <f t="shared" ref="U75:U78" si="9">(P75-R75)*M75/3600</f>
        <v>0</v>
      </c>
      <c r="V75" s="52">
        <f t="shared" ref="V75:V78" si="10">(P75-R75)*M75/3600/24</f>
        <v>0</v>
      </c>
      <c r="W75" s="52">
        <v>0</v>
      </c>
      <c r="X75" s="55">
        <f t="shared" ref="X75:X138" si="11">A75+K75+V75+W75+L75</f>
        <v>46153.159143518518</v>
      </c>
    </row>
    <row r="76" spans="1:24" ht="29" hidden="1" x14ac:dyDescent="0.35">
      <c r="A76" s="46">
        <f t="shared" ref="A76:A139" si="12">X75</f>
        <v>46153.159143518518</v>
      </c>
      <c r="B76" s="46"/>
      <c r="C76" s="46"/>
      <c r="D76" s="46"/>
      <c r="E76" s="47" t="s">
        <v>43</v>
      </c>
      <c r="F76" s="48" t="s">
        <v>165</v>
      </c>
      <c r="G76" s="48"/>
      <c r="H76" s="49" t="s">
        <v>174</v>
      </c>
      <c r="I76" s="48" t="s">
        <v>119</v>
      </c>
      <c r="J76" s="51" t="s">
        <v>140</v>
      </c>
      <c r="K76" s="52">
        <v>0</v>
      </c>
      <c r="L76" s="52">
        <v>0</v>
      </c>
      <c r="M76" s="53">
        <v>730</v>
      </c>
      <c r="N76" s="54">
        <v>20</v>
      </c>
      <c r="O76" s="53">
        <v>1</v>
      </c>
      <c r="P76" s="54">
        <f t="shared" si="6"/>
        <v>20</v>
      </c>
      <c r="Q76" s="54"/>
      <c r="R76" s="53">
        <v>20</v>
      </c>
      <c r="S76" s="53">
        <f t="shared" si="7"/>
        <v>0</v>
      </c>
      <c r="T76" s="53">
        <f t="shared" si="8"/>
        <v>118.35616438356165</v>
      </c>
      <c r="U76" s="52">
        <f t="shared" si="9"/>
        <v>0</v>
      </c>
      <c r="V76" s="52">
        <f t="shared" si="10"/>
        <v>0</v>
      </c>
      <c r="W76" s="52">
        <v>0</v>
      </c>
      <c r="X76" s="55">
        <f t="shared" si="11"/>
        <v>46153.159143518518</v>
      </c>
    </row>
    <row r="77" spans="1:24" hidden="1" x14ac:dyDescent="0.35">
      <c r="A77" s="46">
        <f t="shared" si="12"/>
        <v>46153.159143518518</v>
      </c>
      <c r="B77" s="46"/>
      <c r="C77" s="46"/>
      <c r="D77" s="46"/>
      <c r="E77" s="47" t="s">
        <v>43</v>
      </c>
      <c r="F77" s="48" t="s">
        <v>175</v>
      </c>
      <c r="G77" s="48"/>
      <c r="H77" s="49" t="s">
        <v>176</v>
      </c>
      <c r="I77" s="56" t="s">
        <v>97</v>
      </c>
      <c r="J77" s="51" t="s">
        <v>140</v>
      </c>
      <c r="K77" s="52">
        <v>0</v>
      </c>
      <c r="L77" s="52">
        <v>0</v>
      </c>
      <c r="M77" s="53">
        <v>110</v>
      </c>
      <c r="N77" s="54">
        <v>3100</v>
      </c>
      <c r="O77" s="53">
        <v>1</v>
      </c>
      <c r="P77" s="54">
        <f t="shared" si="6"/>
        <v>3100</v>
      </c>
      <c r="Q77" s="54"/>
      <c r="R77" s="53">
        <v>3100</v>
      </c>
      <c r="S77" s="53">
        <f t="shared" si="7"/>
        <v>0</v>
      </c>
      <c r="T77" s="53">
        <f t="shared" si="8"/>
        <v>785.4545454545455</v>
      </c>
      <c r="U77" s="52">
        <f t="shared" si="9"/>
        <v>0</v>
      </c>
      <c r="V77" s="52">
        <f t="shared" si="10"/>
        <v>0</v>
      </c>
      <c r="W77" s="52">
        <v>0</v>
      </c>
      <c r="X77" s="55">
        <f t="shared" si="11"/>
        <v>46153.159143518518</v>
      </c>
    </row>
    <row r="78" spans="1:24" ht="29" hidden="1" x14ac:dyDescent="0.35">
      <c r="A78" s="46">
        <f t="shared" si="12"/>
        <v>46153.159143518518</v>
      </c>
      <c r="B78" s="46"/>
      <c r="C78" s="46"/>
      <c r="D78" s="46"/>
      <c r="E78" s="47" t="s">
        <v>43</v>
      </c>
      <c r="F78" s="48" t="s">
        <v>177</v>
      </c>
      <c r="G78" s="48"/>
      <c r="H78" s="66">
        <v>9130</v>
      </c>
      <c r="I78" s="58" t="s">
        <v>178</v>
      </c>
      <c r="J78" s="51" t="s">
        <v>140</v>
      </c>
      <c r="K78" s="52">
        <v>0</v>
      </c>
      <c r="L78" s="52">
        <v>0</v>
      </c>
      <c r="M78" s="53">
        <v>35</v>
      </c>
      <c r="N78" s="54">
        <v>2500</v>
      </c>
      <c r="O78" s="53">
        <v>1</v>
      </c>
      <c r="P78" s="54">
        <f t="shared" si="6"/>
        <v>2500</v>
      </c>
      <c r="Q78" s="54"/>
      <c r="R78" s="53">
        <v>2500</v>
      </c>
      <c r="S78" s="53">
        <f t="shared" si="7"/>
        <v>0</v>
      </c>
      <c r="T78" s="53">
        <f t="shared" si="8"/>
        <v>2468.5714285714284</v>
      </c>
      <c r="U78" s="52">
        <f t="shared" si="9"/>
        <v>0</v>
      </c>
      <c r="V78" s="52">
        <f t="shared" si="10"/>
        <v>0</v>
      </c>
      <c r="W78" s="52">
        <v>0</v>
      </c>
      <c r="X78" s="55">
        <f t="shared" si="11"/>
        <v>46153.159143518518</v>
      </c>
    </row>
    <row r="79" spans="1:24" hidden="1" x14ac:dyDescent="0.35">
      <c r="A79" s="46">
        <f t="shared" si="12"/>
        <v>46153.159143518518</v>
      </c>
      <c r="B79" s="46"/>
      <c r="C79" s="46"/>
      <c r="D79" s="46"/>
      <c r="E79" s="47"/>
      <c r="F79" s="48"/>
      <c r="G79" s="48"/>
      <c r="H79" s="66"/>
      <c r="I79" s="58"/>
      <c r="J79" s="51"/>
      <c r="K79" s="52"/>
      <c r="L79" s="52"/>
      <c r="M79" s="53"/>
      <c r="N79" s="54"/>
      <c r="O79" s="53"/>
      <c r="P79" s="54"/>
      <c r="Q79" s="54"/>
      <c r="R79" s="53"/>
      <c r="S79" s="53"/>
      <c r="T79" s="53"/>
      <c r="U79" s="52"/>
      <c r="V79" s="52"/>
      <c r="W79" s="52"/>
      <c r="X79" s="55">
        <f t="shared" si="11"/>
        <v>46153.159143518518</v>
      </c>
    </row>
    <row r="80" spans="1:24" hidden="1" x14ac:dyDescent="0.35">
      <c r="A80" s="46">
        <f t="shared" si="12"/>
        <v>46153.159143518518</v>
      </c>
      <c r="B80" s="46"/>
      <c r="C80" s="46"/>
      <c r="D80" s="46"/>
      <c r="E80" s="47" t="s">
        <v>43</v>
      </c>
      <c r="F80" s="48" t="s">
        <v>175</v>
      </c>
      <c r="G80" s="48"/>
      <c r="H80" s="49" t="s">
        <v>176</v>
      </c>
      <c r="I80" s="56" t="s">
        <v>97</v>
      </c>
      <c r="J80" s="51" t="s">
        <v>140</v>
      </c>
      <c r="K80" s="52">
        <v>0</v>
      </c>
      <c r="L80" s="52">
        <v>0</v>
      </c>
      <c r="M80" s="53">
        <v>110</v>
      </c>
      <c r="N80" s="54">
        <v>2000</v>
      </c>
      <c r="O80" s="53">
        <v>1</v>
      </c>
      <c r="P80" s="54">
        <f t="shared" ref="P80:P143" si="13">N80/O80</f>
        <v>2000</v>
      </c>
      <c r="Q80" s="54"/>
      <c r="R80" s="53">
        <v>2000</v>
      </c>
      <c r="S80" s="53">
        <f t="shared" ref="S80:S143" si="14">P80-R80</f>
        <v>0</v>
      </c>
      <c r="T80" s="53">
        <f t="shared" ref="T80:T143" si="15">((3600/M80)*O80)*24</f>
        <v>785.4545454545455</v>
      </c>
      <c r="U80" s="52">
        <f t="shared" ref="U80:U143" si="16">(P80-R80)*M80/3600</f>
        <v>0</v>
      </c>
      <c r="V80" s="52">
        <f t="shared" ref="V80:V143" si="17">(P80-R80)*M80/3600/24</f>
        <v>0</v>
      </c>
      <c r="W80" s="52">
        <v>0</v>
      </c>
      <c r="X80" s="55">
        <f t="shared" si="11"/>
        <v>46153.159143518518</v>
      </c>
    </row>
    <row r="81" spans="1:24" hidden="1" x14ac:dyDescent="0.35">
      <c r="A81" s="46">
        <f t="shared" si="12"/>
        <v>46153.159143518518</v>
      </c>
      <c r="B81" s="46"/>
      <c r="C81" s="46"/>
      <c r="D81" s="46"/>
      <c r="E81" s="47" t="s">
        <v>43</v>
      </c>
      <c r="F81" s="62" t="s">
        <v>179</v>
      </c>
      <c r="G81" s="62"/>
      <c r="H81" s="68">
        <v>10064</v>
      </c>
      <c r="I81" s="69" t="s">
        <v>180</v>
      </c>
      <c r="J81" s="64" t="s">
        <v>140</v>
      </c>
      <c r="K81" s="52">
        <v>0</v>
      </c>
      <c r="L81" s="52">
        <v>0</v>
      </c>
      <c r="M81" s="53">
        <v>70</v>
      </c>
      <c r="N81" s="70">
        <v>2500</v>
      </c>
      <c r="O81" s="53">
        <v>1</v>
      </c>
      <c r="P81" s="54">
        <f t="shared" si="13"/>
        <v>2500</v>
      </c>
      <c r="Q81" s="54"/>
      <c r="R81" s="53">
        <v>2500</v>
      </c>
      <c r="S81" s="53">
        <f t="shared" si="14"/>
        <v>0</v>
      </c>
      <c r="T81" s="53">
        <f t="shared" si="15"/>
        <v>1234.2857142857142</v>
      </c>
      <c r="U81" s="52">
        <f t="shared" si="16"/>
        <v>0</v>
      </c>
      <c r="V81" s="52">
        <f t="shared" si="17"/>
        <v>0</v>
      </c>
      <c r="W81" s="52">
        <v>0</v>
      </c>
      <c r="X81" s="55">
        <f t="shared" si="11"/>
        <v>46153.159143518518</v>
      </c>
    </row>
    <row r="82" spans="1:24" hidden="1" x14ac:dyDescent="0.35">
      <c r="A82" s="46">
        <f t="shared" si="12"/>
        <v>46153.159143518518</v>
      </c>
      <c r="B82" s="46"/>
      <c r="C82" s="46"/>
      <c r="D82" s="46"/>
      <c r="E82" s="47" t="s">
        <v>43</v>
      </c>
      <c r="F82" s="48" t="s">
        <v>181</v>
      </c>
      <c r="G82" s="48"/>
      <c r="H82" s="49" t="s">
        <v>182</v>
      </c>
      <c r="I82" s="71" t="s">
        <v>183</v>
      </c>
      <c r="J82" s="51" t="s">
        <v>140</v>
      </c>
      <c r="K82" s="52">
        <v>0</v>
      </c>
      <c r="L82" s="52">
        <v>0</v>
      </c>
      <c r="M82" s="53">
        <v>90</v>
      </c>
      <c r="N82" s="54">
        <v>572</v>
      </c>
      <c r="O82" s="53">
        <v>1</v>
      </c>
      <c r="P82" s="54">
        <f t="shared" si="13"/>
        <v>572</v>
      </c>
      <c r="Q82" s="54"/>
      <c r="R82" s="53">
        <v>572</v>
      </c>
      <c r="S82" s="53">
        <f t="shared" si="14"/>
        <v>0</v>
      </c>
      <c r="T82" s="53">
        <f t="shared" si="15"/>
        <v>960</v>
      </c>
      <c r="U82" s="52">
        <f t="shared" si="16"/>
        <v>0</v>
      </c>
      <c r="V82" s="52">
        <f t="shared" si="17"/>
        <v>0</v>
      </c>
      <c r="W82" s="52">
        <v>0</v>
      </c>
      <c r="X82" s="55">
        <f t="shared" si="11"/>
        <v>46153.159143518518</v>
      </c>
    </row>
    <row r="83" spans="1:24" hidden="1" x14ac:dyDescent="0.35">
      <c r="A83" s="46">
        <f t="shared" si="12"/>
        <v>46153.159143518518</v>
      </c>
      <c r="B83" s="46"/>
      <c r="C83" s="46"/>
      <c r="D83" s="46"/>
      <c r="E83" s="47" t="s">
        <v>43</v>
      </c>
      <c r="F83" s="48" t="s">
        <v>184</v>
      </c>
      <c r="G83" s="48"/>
      <c r="H83" s="49" t="s">
        <v>185</v>
      </c>
      <c r="I83" s="71" t="s">
        <v>186</v>
      </c>
      <c r="J83" s="51" t="s">
        <v>140</v>
      </c>
      <c r="K83" s="52">
        <v>0</v>
      </c>
      <c r="L83" s="52">
        <v>0</v>
      </c>
      <c r="M83" s="53">
        <v>90</v>
      </c>
      <c r="N83" s="54">
        <v>4000</v>
      </c>
      <c r="O83" s="53">
        <v>1</v>
      </c>
      <c r="P83" s="54">
        <f t="shared" si="13"/>
        <v>4000</v>
      </c>
      <c r="Q83" s="54"/>
      <c r="R83" s="53">
        <v>4000</v>
      </c>
      <c r="S83" s="53">
        <f t="shared" si="14"/>
        <v>0</v>
      </c>
      <c r="T83" s="53">
        <f t="shared" si="15"/>
        <v>960</v>
      </c>
      <c r="U83" s="52">
        <f t="shared" si="16"/>
        <v>0</v>
      </c>
      <c r="V83" s="52">
        <f t="shared" si="17"/>
        <v>0</v>
      </c>
      <c r="W83" s="52">
        <v>0</v>
      </c>
      <c r="X83" s="55">
        <f t="shared" si="11"/>
        <v>46153.159143518518</v>
      </c>
    </row>
    <row r="84" spans="1:24" hidden="1" x14ac:dyDescent="0.35">
      <c r="A84" s="46">
        <f t="shared" si="12"/>
        <v>46153.159143518518</v>
      </c>
      <c r="B84" s="46"/>
      <c r="C84" s="46"/>
      <c r="D84" s="46"/>
      <c r="E84" s="47" t="s">
        <v>43</v>
      </c>
      <c r="F84" s="48" t="s">
        <v>187</v>
      </c>
      <c r="G84" s="48"/>
      <c r="H84" s="49" t="s">
        <v>188</v>
      </c>
      <c r="I84" s="56" t="s">
        <v>97</v>
      </c>
      <c r="J84" s="51" t="s">
        <v>140</v>
      </c>
      <c r="K84" s="52">
        <v>0</v>
      </c>
      <c r="L84" s="52">
        <v>0</v>
      </c>
      <c r="M84" s="53">
        <v>110</v>
      </c>
      <c r="N84" s="54">
        <v>4000</v>
      </c>
      <c r="O84" s="53">
        <v>1</v>
      </c>
      <c r="P84" s="54">
        <f t="shared" si="13"/>
        <v>4000</v>
      </c>
      <c r="Q84" s="54"/>
      <c r="R84" s="53">
        <v>4000</v>
      </c>
      <c r="S84" s="53">
        <f t="shared" si="14"/>
        <v>0</v>
      </c>
      <c r="T84" s="53">
        <f t="shared" si="15"/>
        <v>785.4545454545455</v>
      </c>
      <c r="U84" s="52">
        <f t="shared" si="16"/>
        <v>0</v>
      </c>
      <c r="V84" s="52">
        <f t="shared" si="17"/>
        <v>0</v>
      </c>
      <c r="W84" s="52">
        <v>0</v>
      </c>
      <c r="X84" s="55">
        <f t="shared" si="11"/>
        <v>46153.159143518518</v>
      </c>
    </row>
    <row r="85" spans="1:24" ht="29" hidden="1" x14ac:dyDescent="0.35">
      <c r="A85" s="46">
        <f t="shared" si="12"/>
        <v>46153.159143518518</v>
      </c>
      <c r="B85" s="46"/>
      <c r="C85" s="46"/>
      <c r="D85" s="46"/>
      <c r="E85" s="47" t="s">
        <v>43</v>
      </c>
      <c r="F85" s="48" t="s">
        <v>189</v>
      </c>
      <c r="G85" s="48"/>
      <c r="H85" s="49" t="s">
        <v>190</v>
      </c>
      <c r="I85" s="72" t="s">
        <v>191</v>
      </c>
      <c r="J85" s="51" t="s">
        <v>140</v>
      </c>
      <c r="K85" s="52">
        <v>0</v>
      </c>
      <c r="L85" s="52">
        <v>0</v>
      </c>
      <c r="M85" s="53">
        <v>67</v>
      </c>
      <c r="N85" s="54">
        <v>1340</v>
      </c>
      <c r="O85" s="53">
        <v>1</v>
      </c>
      <c r="P85" s="54">
        <f t="shared" si="13"/>
        <v>1340</v>
      </c>
      <c r="Q85" s="54"/>
      <c r="R85" s="53">
        <v>1340</v>
      </c>
      <c r="S85" s="53">
        <f t="shared" si="14"/>
        <v>0</v>
      </c>
      <c r="T85" s="53">
        <f t="shared" si="15"/>
        <v>1289.5522388059703</v>
      </c>
      <c r="U85" s="52">
        <f t="shared" si="16"/>
        <v>0</v>
      </c>
      <c r="V85" s="52">
        <f t="shared" si="17"/>
        <v>0</v>
      </c>
      <c r="W85" s="52">
        <v>0</v>
      </c>
      <c r="X85" s="55">
        <f t="shared" si="11"/>
        <v>46153.159143518518</v>
      </c>
    </row>
    <row r="86" spans="1:24" hidden="1" x14ac:dyDescent="0.35">
      <c r="A86" s="46">
        <f t="shared" si="12"/>
        <v>46153.159143518518</v>
      </c>
      <c r="B86" s="46"/>
      <c r="C86" s="46"/>
      <c r="D86" s="46"/>
      <c r="E86" s="47" t="s">
        <v>43</v>
      </c>
      <c r="F86" s="48" t="s">
        <v>192</v>
      </c>
      <c r="G86" s="48"/>
      <c r="H86" s="49" t="s">
        <v>193</v>
      </c>
      <c r="I86" s="73" t="s">
        <v>194</v>
      </c>
      <c r="J86" s="51" t="s">
        <v>140</v>
      </c>
      <c r="K86" s="52">
        <v>0</v>
      </c>
      <c r="L86" s="52">
        <v>0</v>
      </c>
      <c r="M86" s="53">
        <v>67</v>
      </c>
      <c r="N86" s="54">
        <v>540</v>
      </c>
      <c r="O86" s="53">
        <v>1</v>
      </c>
      <c r="P86" s="54">
        <f t="shared" si="13"/>
        <v>540</v>
      </c>
      <c r="Q86" s="54"/>
      <c r="R86" s="53">
        <v>540</v>
      </c>
      <c r="S86" s="53">
        <f t="shared" si="14"/>
        <v>0</v>
      </c>
      <c r="T86" s="53">
        <f t="shared" si="15"/>
        <v>1289.5522388059703</v>
      </c>
      <c r="U86" s="52">
        <f t="shared" si="16"/>
        <v>0</v>
      </c>
      <c r="V86" s="52">
        <f t="shared" si="17"/>
        <v>0</v>
      </c>
      <c r="W86" s="52">
        <v>0</v>
      </c>
      <c r="X86" s="55">
        <f t="shared" si="11"/>
        <v>46153.159143518518</v>
      </c>
    </row>
    <row r="87" spans="1:24" s="81" customFormat="1" ht="29" hidden="1" x14ac:dyDescent="0.35">
      <c r="A87" s="46">
        <f t="shared" si="12"/>
        <v>46153.159143518518</v>
      </c>
      <c r="B87" s="46"/>
      <c r="C87" s="46"/>
      <c r="D87" s="46"/>
      <c r="E87" s="74" t="s">
        <v>195</v>
      </c>
      <c r="F87" s="75" t="s">
        <v>196</v>
      </c>
      <c r="G87" s="75"/>
      <c r="H87" s="76" t="s">
        <v>197</v>
      </c>
      <c r="I87" s="77" t="s">
        <v>198</v>
      </c>
      <c r="J87" s="60" t="s">
        <v>140</v>
      </c>
      <c r="K87" s="78">
        <v>0</v>
      </c>
      <c r="L87" s="78">
        <v>0</v>
      </c>
      <c r="M87" s="79">
        <v>190</v>
      </c>
      <c r="N87" s="80">
        <v>3000</v>
      </c>
      <c r="O87" s="79">
        <v>1</v>
      </c>
      <c r="P87" s="80">
        <f t="shared" si="13"/>
        <v>3000</v>
      </c>
      <c r="Q87" s="80"/>
      <c r="R87" s="79">
        <v>3000</v>
      </c>
      <c r="S87" s="79">
        <f t="shared" si="14"/>
        <v>0</v>
      </c>
      <c r="T87" s="79">
        <f t="shared" si="15"/>
        <v>454.73684210526312</v>
      </c>
      <c r="U87" s="78">
        <f t="shared" si="16"/>
        <v>0</v>
      </c>
      <c r="V87" s="78">
        <f t="shared" si="17"/>
        <v>0</v>
      </c>
      <c r="W87" s="78">
        <v>0</v>
      </c>
      <c r="X87" s="55">
        <f t="shared" si="11"/>
        <v>46153.159143518518</v>
      </c>
    </row>
    <row r="88" spans="1:24" hidden="1" x14ac:dyDescent="0.35">
      <c r="A88" s="46">
        <f t="shared" si="12"/>
        <v>46153.159143518518</v>
      </c>
      <c r="B88" s="46"/>
      <c r="C88" s="46"/>
      <c r="D88" s="46"/>
      <c r="E88" s="47" t="s">
        <v>64</v>
      </c>
      <c r="F88" s="48" t="s">
        <v>199</v>
      </c>
      <c r="G88" s="48"/>
      <c r="H88" s="59" t="s">
        <v>200</v>
      </c>
      <c r="I88" s="50" t="s">
        <v>201</v>
      </c>
      <c r="J88" s="60" t="s">
        <v>140</v>
      </c>
      <c r="K88" s="78">
        <v>0</v>
      </c>
      <c r="L88" s="78">
        <v>0</v>
      </c>
      <c r="M88" s="53">
        <v>60</v>
      </c>
      <c r="N88" s="54">
        <v>1000</v>
      </c>
      <c r="O88" s="53">
        <v>1</v>
      </c>
      <c r="P88" s="54">
        <f t="shared" si="13"/>
        <v>1000</v>
      </c>
      <c r="Q88" s="54"/>
      <c r="R88" s="53">
        <v>1000</v>
      </c>
      <c r="S88" s="53">
        <f t="shared" si="14"/>
        <v>0</v>
      </c>
      <c r="T88" s="53">
        <f t="shared" si="15"/>
        <v>1440</v>
      </c>
      <c r="U88" s="52">
        <f t="shared" si="16"/>
        <v>0</v>
      </c>
      <c r="V88" s="52">
        <f t="shared" si="17"/>
        <v>0</v>
      </c>
      <c r="W88" s="52">
        <v>0</v>
      </c>
      <c r="X88" s="55">
        <f t="shared" si="11"/>
        <v>46153.159143518518</v>
      </c>
    </row>
    <row r="89" spans="1:24" ht="29" hidden="1" x14ac:dyDescent="0.35">
      <c r="A89" s="46">
        <f t="shared" si="12"/>
        <v>46153.159143518518</v>
      </c>
      <c r="B89" s="46"/>
      <c r="C89" s="46"/>
      <c r="D89" s="46"/>
      <c r="E89" s="47" t="s">
        <v>43</v>
      </c>
      <c r="F89" s="48" t="s">
        <v>202</v>
      </c>
      <c r="G89" s="48"/>
      <c r="H89" s="66">
        <v>10336</v>
      </c>
      <c r="I89" s="82" t="s">
        <v>203</v>
      </c>
      <c r="J89" s="51" t="s">
        <v>140</v>
      </c>
      <c r="K89" s="52">
        <v>0</v>
      </c>
      <c r="L89" s="52">
        <v>0</v>
      </c>
      <c r="M89" s="53">
        <v>120</v>
      </c>
      <c r="N89" s="54">
        <v>2520</v>
      </c>
      <c r="O89" s="53">
        <v>1</v>
      </c>
      <c r="P89" s="54">
        <f t="shared" si="13"/>
        <v>2520</v>
      </c>
      <c r="Q89" s="54"/>
      <c r="R89" s="53">
        <v>2520</v>
      </c>
      <c r="S89" s="53">
        <f t="shared" si="14"/>
        <v>0</v>
      </c>
      <c r="T89" s="83">
        <f t="shared" si="15"/>
        <v>720</v>
      </c>
      <c r="U89" s="84">
        <f t="shared" si="16"/>
        <v>0</v>
      </c>
      <c r="V89" s="84">
        <f t="shared" si="17"/>
        <v>0</v>
      </c>
      <c r="W89" s="84">
        <v>0</v>
      </c>
      <c r="X89" s="55">
        <f t="shared" si="11"/>
        <v>46153.159143518518</v>
      </c>
    </row>
    <row r="90" spans="1:24" ht="29" hidden="1" x14ac:dyDescent="0.35">
      <c r="A90" s="46">
        <f t="shared" si="12"/>
        <v>46153.159143518518</v>
      </c>
      <c r="B90" s="46"/>
      <c r="C90" s="46"/>
      <c r="D90" s="46"/>
      <c r="E90" s="47" t="s">
        <v>43</v>
      </c>
      <c r="F90" s="48" t="s">
        <v>202</v>
      </c>
      <c r="G90" s="48"/>
      <c r="H90" s="49" t="s">
        <v>204</v>
      </c>
      <c r="I90" s="85" t="s">
        <v>205</v>
      </c>
      <c r="J90" s="51" t="s">
        <v>140</v>
      </c>
      <c r="K90" s="52">
        <v>0</v>
      </c>
      <c r="L90" s="52">
        <v>0</v>
      </c>
      <c r="M90" s="53">
        <v>120</v>
      </c>
      <c r="N90" s="54">
        <v>210</v>
      </c>
      <c r="O90" s="53">
        <v>1</v>
      </c>
      <c r="P90" s="54">
        <f t="shared" si="13"/>
        <v>210</v>
      </c>
      <c r="Q90" s="54"/>
      <c r="R90" s="53">
        <v>210</v>
      </c>
      <c r="S90" s="53">
        <f t="shared" si="14"/>
        <v>0</v>
      </c>
      <c r="T90" s="83">
        <f t="shared" si="15"/>
        <v>720</v>
      </c>
      <c r="U90" s="84">
        <f t="shared" si="16"/>
        <v>0</v>
      </c>
      <c r="V90" s="84">
        <f t="shared" si="17"/>
        <v>0</v>
      </c>
      <c r="W90" s="84">
        <v>0</v>
      </c>
      <c r="X90" s="55">
        <f t="shared" si="11"/>
        <v>46153.159143518518</v>
      </c>
    </row>
    <row r="91" spans="1:24" s="89" customFormat="1" ht="29" hidden="1" x14ac:dyDescent="0.35">
      <c r="A91" s="46">
        <f t="shared" si="12"/>
        <v>46153.159143518518</v>
      </c>
      <c r="B91" s="46"/>
      <c r="C91" s="46"/>
      <c r="D91" s="46"/>
      <c r="E91" s="47" t="s">
        <v>43</v>
      </c>
      <c r="F91" s="48" t="s">
        <v>202</v>
      </c>
      <c r="G91" s="48"/>
      <c r="H91" s="86" t="s">
        <v>206</v>
      </c>
      <c r="I91" s="87" t="s">
        <v>205</v>
      </c>
      <c r="J91" s="51" t="s">
        <v>140</v>
      </c>
      <c r="K91" s="52">
        <v>0</v>
      </c>
      <c r="L91" s="52">
        <v>0</v>
      </c>
      <c r="M91" s="53">
        <v>165</v>
      </c>
      <c r="N91" s="88">
        <v>1470</v>
      </c>
      <c r="O91" s="53">
        <v>1</v>
      </c>
      <c r="P91" s="54">
        <f t="shared" si="13"/>
        <v>1470</v>
      </c>
      <c r="Q91" s="54"/>
      <c r="R91" s="53">
        <v>1470</v>
      </c>
      <c r="S91" s="53">
        <f t="shared" si="14"/>
        <v>0</v>
      </c>
      <c r="T91" s="53">
        <f t="shared" si="15"/>
        <v>523.63636363636363</v>
      </c>
      <c r="U91" s="52">
        <f t="shared" si="16"/>
        <v>0</v>
      </c>
      <c r="V91" s="52">
        <f t="shared" si="17"/>
        <v>0</v>
      </c>
      <c r="W91" s="52">
        <v>0</v>
      </c>
      <c r="X91" s="55">
        <f t="shared" si="11"/>
        <v>46153.159143518518</v>
      </c>
    </row>
    <row r="92" spans="1:24" s="89" customFormat="1" ht="29" hidden="1" x14ac:dyDescent="0.35">
      <c r="A92" s="46">
        <f t="shared" si="12"/>
        <v>46153.159143518518</v>
      </c>
      <c r="B92" s="46"/>
      <c r="C92" s="46"/>
      <c r="D92" s="46"/>
      <c r="E92" s="47" t="s">
        <v>43</v>
      </c>
      <c r="F92" s="48" t="s">
        <v>202</v>
      </c>
      <c r="G92" s="48"/>
      <c r="H92" s="86" t="s">
        <v>207</v>
      </c>
      <c r="I92" s="87" t="s">
        <v>208</v>
      </c>
      <c r="J92" s="51" t="s">
        <v>140</v>
      </c>
      <c r="K92" s="52">
        <v>0</v>
      </c>
      <c r="L92" s="52">
        <v>0</v>
      </c>
      <c r="M92" s="53">
        <v>165</v>
      </c>
      <c r="N92" s="88">
        <v>1680</v>
      </c>
      <c r="O92" s="53">
        <v>1</v>
      </c>
      <c r="P92" s="54">
        <f t="shared" si="13"/>
        <v>1680</v>
      </c>
      <c r="Q92" s="54"/>
      <c r="R92" s="53">
        <v>1680</v>
      </c>
      <c r="S92" s="53">
        <f t="shared" si="14"/>
        <v>0</v>
      </c>
      <c r="T92" s="53">
        <f t="shared" si="15"/>
        <v>523.63636363636363</v>
      </c>
      <c r="U92" s="52">
        <f t="shared" si="16"/>
        <v>0</v>
      </c>
      <c r="V92" s="52">
        <f t="shared" si="17"/>
        <v>0</v>
      </c>
      <c r="W92" s="52">
        <v>0</v>
      </c>
      <c r="X92" s="55">
        <f t="shared" si="11"/>
        <v>46153.159143518518</v>
      </c>
    </row>
    <row r="93" spans="1:24" s="89" customFormat="1" hidden="1" x14ac:dyDescent="0.35">
      <c r="A93" s="46">
        <f t="shared" si="12"/>
        <v>46153.159143518518</v>
      </c>
      <c r="B93" s="46"/>
      <c r="C93" s="46"/>
      <c r="D93" s="46"/>
      <c r="E93" s="47" t="s">
        <v>43</v>
      </c>
      <c r="F93" s="82" t="s">
        <v>202</v>
      </c>
      <c r="G93" s="82"/>
      <c r="H93" s="90" t="s">
        <v>209</v>
      </c>
      <c r="I93" s="87" t="s">
        <v>210</v>
      </c>
      <c r="J93" s="51" t="s">
        <v>140</v>
      </c>
      <c r="K93" s="91">
        <v>0</v>
      </c>
      <c r="L93" s="91">
        <v>0</v>
      </c>
      <c r="M93" s="92">
        <v>165</v>
      </c>
      <c r="N93" s="93">
        <v>840</v>
      </c>
      <c r="O93" s="92">
        <v>1</v>
      </c>
      <c r="P93" s="94">
        <f t="shared" si="13"/>
        <v>840</v>
      </c>
      <c r="Q93" s="94"/>
      <c r="R93" s="92">
        <v>840</v>
      </c>
      <c r="S93" s="92">
        <f t="shared" si="14"/>
        <v>0</v>
      </c>
      <c r="T93" s="92">
        <f t="shared" si="15"/>
        <v>523.63636363636363</v>
      </c>
      <c r="U93" s="91">
        <f t="shared" si="16"/>
        <v>0</v>
      </c>
      <c r="V93" s="91">
        <f t="shared" si="17"/>
        <v>0</v>
      </c>
      <c r="W93" s="91">
        <v>0</v>
      </c>
      <c r="X93" s="55">
        <f t="shared" si="11"/>
        <v>46153.159143518518</v>
      </c>
    </row>
    <row r="94" spans="1:24" s="89" customFormat="1" hidden="1" x14ac:dyDescent="0.35">
      <c r="A94" s="46">
        <f t="shared" si="12"/>
        <v>46153.159143518518</v>
      </c>
      <c r="B94" s="46"/>
      <c r="C94" s="46"/>
      <c r="D94" s="46"/>
      <c r="E94" s="47" t="s">
        <v>43</v>
      </c>
      <c r="F94" s="82" t="s">
        <v>202</v>
      </c>
      <c r="G94" s="82"/>
      <c r="H94" s="90" t="s">
        <v>211</v>
      </c>
      <c r="I94" s="87" t="s">
        <v>212</v>
      </c>
      <c r="J94" s="51" t="s">
        <v>140</v>
      </c>
      <c r="K94" s="91">
        <v>0</v>
      </c>
      <c r="L94" s="91">
        <v>0</v>
      </c>
      <c r="M94" s="92">
        <v>165</v>
      </c>
      <c r="N94" s="93">
        <v>210</v>
      </c>
      <c r="O94" s="92">
        <v>1</v>
      </c>
      <c r="P94" s="94">
        <f t="shared" si="13"/>
        <v>210</v>
      </c>
      <c r="Q94" s="94"/>
      <c r="R94" s="92">
        <v>210</v>
      </c>
      <c r="S94" s="92">
        <f t="shared" si="14"/>
        <v>0</v>
      </c>
      <c r="T94" s="92">
        <f t="shared" si="15"/>
        <v>523.63636363636363</v>
      </c>
      <c r="U94" s="91">
        <f t="shared" si="16"/>
        <v>0</v>
      </c>
      <c r="V94" s="91">
        <f t="shared" si="17"/>
        <v>0</v>
      </c>
      <c r="W94" s="91">
        <v>0</v>
      </c>
      <c r="X94" s="55">
        <f t="shared" si="11"/>
        <v>46153.159143518518</v>
      </c>
    </row>
    <row r="95" spans="1:24" s="89" customFormat="1" hidden="1" x14ac:dyDescent="0.35">
      <c r="A95" s="46">
        <f t="shared" si="12"/>
        <v>46153.159143518518</v>
      </c>
      <c r="B95" s="46"/>
      <c r="C95" s="46"/>
      <c r="D95" s="46"/>
      <c r="E95" s="47" t="s">
        <v>43</v>
      </c>
      <c r="F95" s="82" t="s">
        <v>202</v>
      </c>
      <c r="G95" s="82"/>
      <c r="H95" s="90" t="s">
        <v>213</v>
      </c>
      <c r="I95" s="87" t="s">
        <v>214</v>
      </c>
      <c r="J95" s="51" t="s">
        <v>140</v>
      </c>
      <c r="K95" s="91">
        <v>0</v>
      </c>
      <c r="L95" s="91">
        <v>0</v>
      </c>
      <c r="M95" s="92">
        <v>165</v>
      </c>
      <c r="N95" s="93">
        <v>420</v>
      </c>
      <c r="O95" s="92">
        <v>1</v>
      </c>
      <c r="P95" s="94">
        <f t="shared" si="13"/>
        <v>420</v>
      </c>
      <c r="Q95" s="94"/>
      <c r="R95" s="92">
        <v>420</v>
      </c>
      <c r="S95" s="92">
        <f t="shared" si="14"/>
        <v>0</v>
      </c>
      <c r="T95" s="92">
        <f t="shared" si="15"/>
        <v>523.63636363636363</v>
      </c>
      <c r="U95" s="91">
        <f t="shared" si="16"/>
        <v>0</v>
      </c>
      <c r="V95" s="91">
        <f t="shared" si="17"/>
        <v>0</v>
      </c>
      <c r="W95" s="91">
        <v>0</v>
      </c>
      <c r="X95" s="55">
        <f t="shared" si="11"/>
        <v>46153.159143518518</v>
      </c>
    </row>
    <row r="96" spans="1:24" s="95" customFormat="1" ht="26" hidden="1" x14ac:dyDescent="0.3">
      <c r="A96" s="46">
        <f t="shared" si="12"/>
        <v>46153.159143518518</v>
      </c>
      <c r="B96" s="46"/>
      <c r="C96" s="46"/>
      <c r="D96" s="46"/>
      <c r="E96" s="47" t="s">
        <v>43</v>
      </c>
      <c r="F96" s="82" t="s">
        <v>215</v>
      </c>
      <c r="G96" s="82"/>
      <c r="H96" s="90" t="s">
        <v>216</v>
      </c>
      <c r="I96" s="87" t="s">
        <v>205</v>
      </c>
      <c r="J96" s="51" t="s">
        <v>140</v>
      </c>
      <c r="K96" s="91">
        <v>0</v>
      </c>
      <c r="L96" s="91">
        <v>0</v>
      </c>
      <c r="M96" s="92">
        <v>165</v>
      </c>
      <c r="N96" s="93">
        <v>420</v>
      </c>
      <c r="O96" s="92">
        <v>1</v>
      </c>
      <c r="P96" s="94">
        <f t="shared" si="13"/>
        <v>420</v>
      </c>
      <c r="Q96" s="94"/>
      <c r="R96" s="92">
        <v>420</v>
      </c>
      <c r="S96" s="92">
        <f t="shared" si="14"/>
        <v>0</v>
      </c>
      <c r="T96" s="92">
        <f t="shared" si="15"/>
        <v>523.63636363636363</v>
      </c>
      <c r="U96" s="91">
        <f t="shared" si="16"/>
        <v>0</v>
      </c>
      <c r="V96" s="91">
        <f t="shared" si="17"/>
        <v>0</v>
      </c>
      <c r="W96" s="91">
        <v>0</v>
      </c>
      <c r="X96" s="55">
        <f t="shared" si="11"/>
        <v>46153.159143518518</v>
      </c>
    </row>
    <row r="97" spans="1:24" s="89" customFormat="1" hidden="1" x14ac:dyDescent="0.35">
      <c r="A97" s="46">
        <f t="shared" si="12"/>
        <v>46153.159143518518</v>
      </c>
      <c r="B97" s="46"/>
      <c r="C97" s="46"/>
      <c r="D97" s="46"/>
      <c r="E97" s="47" t="s">
        <v>43</v>
      </c>
      <c r="F97" s="82" t="s">
        <v>202</v>
      </c>
      <c r="G97" s="82"/>
      <c r="H97" s="90" t="s">
        <v>217</v>
      </c>
      <c r="I97" s="87" t="s">
        <v>203</v>
      </c>
      <c r="J97" s="51" t="s">
        <v>140</v>
      </c>
      <c r="K97" s="91">
        <v>0</v>
      </c>
      <c r="L97" s="91">
        <v>0</v>
      </c>
      <c r="M97" s="92">
        <v>165</v>
      </c>
      <c r="N97" s="94">
        <v>630</v>
      </c>
      <c r="O97" s="92">
        <v>1</v>
      </c>
      <c r="P97" s="94">
        <f t="shared" si="13"/>
        <v>630</v>
      </c>
      <c r="Q97" s="94"/>
      <c r="R97" s="92">
        <v>630</v>
      </c>
      <c r="S97" s="92">
        <f t="shared" si="14"/>
        <v>0</v>
      </c>
      <c r="T97" s="92">
        <f t="shared" si="15"/>
        <v>523.63636363636363</v>
      </c>
      <c r="U97" s="91">
        <f t="shared" si="16"/>
        <v>0</v>
      </c>
      <c r="V97" s="91">
        <f t="shared" si="17"/>
        <v>0</v>
      </c>
      <c r="W97" s="91">
        <v>0</v>
      </c>
      <c r="X97" s="55">
        <f t="shared" si="11"/>
        <v>46153.159143518518</v>
      </c>
    </row>
    <row r="98" spans="1:24" hidden="1" x14ac:dyDescent="0.35">
      <c r="A98" s="46">
        <f t="shared" si="12"/>
        <v>46153.159143518518</v>
      </c>
      <c r="B98" s="46"/>
      <c r="C98" s="46"/>
      <c r="D98" s="46"/>
      <c r="E98" s="96" t="s">
        <v>43</v>
      </c>
      <c r="F98" s="97" t="s">
        <v>218</v>
      </c>
      <c r="G98" s="97"/>
      <c r="H98" s="98" t="s">
        <v>219</v>
      </c>
      <c r="I98" s="99" t="s">
        <v>160</v>
      </c>
      <c r="J98" s="100" t="s">
        <v>140</v>
      </c>
      <c r="K98" s="101">
        <v>0</v>
      </c>
      <c r="L98" s="101">
        <v>0</v>
      </c>
      <c r="M98" s="102">
        <v>50</v>
      </c>
      <c r="N98" s="103">
        <v>1000</v>
      </c>
      <c r="O98" s="102">
        <v>1</v>
      </c>
      <c r="P98" s="103">
        <f t="shared" si="13"/>
        <v>1000</v>
      </c>
      <c r="Q98" s="103"/>
      <c r="R98" s="102">
        <v>1000</v>
      </c>
      <c r="S98" s="102">
        <f t="shared" si="14"/>
        <v>0</v>
      </c>
      <c r="T98" s="102">
        <f t="shared" si="15"/>
        <v>1728</v>
      </c>
      <c r="U98" s="101">
        <f t="shared" si="16"/>
        <v>0</v>
      </c>
      <c r="V98" s="101">
        <f t="shared" si="17"/>
        <v>0</v>
      </c>
      <c r="W98" s="101">
        <v>0</v>
      </c>
      <c r="X98" s="55">
        <f t="shared" si="11"/>
        <v>46153.159143518518</v>
      </c>
    </row>
    <row r="99" spans="1:24" hidden="1" x14ac:dyDescent="0.35">
      <c r="A99" s="46">
        <f t="shared" si="12"/>
        <v>46153.159143518518</v>
      </c>
      <c r="B99" s="46"/>
      <c r="C99" s="46"/>
      <c r="D99" s="46"/>
      <c r="E99" s="47" t="s">
        <v>43</v>
      </c>
      <c r="F99" s="82" t="s">
        <v>220</v>
      </c>
      <c r="G99" s="82"/>
      <c r="H99" s="98" t="s">
        <v>221</v>
      </c>
      <c r="I99" s="104" t="s">
        <v>222</v>
      </c>
      <c r="J99" s="104" t="s">
        <v>140</v>
      </c>
      <c r="K99" s="91">
        <v>0</v>
      </c>
      <c r="L99" s="91">
        <v>0</v>
      </c>
      <c r="M99" s="92">
        <v>100</v>
      </c>
      <c r="N99" s="94">
        <v>1000</v>
      </c>
      <c r="O99" s="92">
        <v>1</v>
      </c>
      <c r="P99" s="94">
        <f t="shared" si="13"/>
        <v>1000</v>
      </c>
      <c r="Q99" s="94"/>
      <c r="R99" s="92">
        <v>1000</v>
      </c>
      <c r="S99" s="92">
        <f t="shared" si="14"/>
        <v>0</v>
      </c>
      <c r="T99" s="92">
        <f t="shared" si="15"/>
        <v>864</v>
      </c>
      <c r="U99" s="91">
        <f t="shared" si="16"/>
        <v>0</v>
      </c>
      <c r="V99" s="91">
        <f t="shared" si="17"/>
        <v>0</v>
      </c>
      <c r="W99" s="91">
        <v>0</v>
      </c>
      <c r="X99" s="55">
        <f t="shared" si="11"/>
        <v>46153.159143518518</v>
      </c>
    </row>
    <row r="100" spans="1:24" hidden="1" x14ac:dyDescent="0.35">
      <c r="A100" s="46">
        <f t="shared" si="12"/>
        <v>46153.159143518518</v>
      </c>
      <c r="B100" s="46"/>
      <c r="C100" s="46"/>
      <c r="D100" s="46"/>
      <c r="E100" s="96" t="s">
        <v>43</v>
      </c>
      <c r="F100" s="97" t="s">
        <v>218</v>
      </c>
      <c r="G100" s="97"/>
      <c r="H100" s="98" t="s">
        <v>223</v>
      </c>
      <c r="I100" s="99" t="s">
        <v>160</v>
      </c>
      <c r="J100" s="100" t="s">
        <v>140</v>
      </c>
      <c r="K100" s="101">
        <v>0</v>
      </c>
      <c r="L100" s="101">
        <v>0</v>
      </c>
      <c r="M100" s="102">
        <v>50</v>
      </c>
      <c r="N100" s="103">
        <v>1000</v>
      </c>
      <c r="O100" s="102">
        <v>1</v>
      </c>
      <c r="P100" s="103">
        <f t="shared" si="13"/>
        <v>1000</v>
      </c>
      <c r="Q100" s="103"/>
      <c r="R100" s="102">
        <v>1000</v>
      </c>
      <c r="S100" s="102">
        <f t="shared" si="14"/>
        <v>0</v>
      </c>
      <c r="T100" s="102">
        <f t="shared" si="15"/>
        <v>1728</v>
      </c>
      <c r="U100" s="101">
        <f t="shared" si="16"/>
        <v>0</v>
      </c>
      <c r="V100" s="101">
        <f t="shared" si="17"/>
        <v>0</v>
      </c>
      <c r="W100" s="101">
        <v>0</v>
      </c>
      <c r="X100" s="55">
        <f t="shared" si="11"/>
        <v>46153.159143518518</v>
      </c>
    </row>
    <row r="101" spans="1:24" ht="26.5" hidden="1" x14ac:dyDescent="0.35">
      <c r="A101" s="46">
        <f t="shared" si="12"/>
        <v>46153.159143518518</v>
      </c>
      <c r="B101" s="46"/>
      <c r="C101" s="46"/>
      <c r="D101" s="46"/>
      <c r="E101" s="47" t="s">
        <v>43</v>
      </c>
      <c r="F101" s="69" t="s">
        <v>224</v>
      </c>
      <c r="G101" s="69"/>
      <c r="H101" s="98" t="s">
        <v>225</v>
      </c>
      <c r="I101" s="71" t="s">
        <v>226</v>
      </c>
      <c r="J101" s="51" t="s">
        <v>140</v>
      </c>
      <c r="K101" s="101">
        <v>0</v>
      </c>
      <c r="L101" s="101">
        <v>0</v>
      </c>
      <c r="M101" s="92">
        <v>90</v>
      </c>
      <c r="N101" s="94">
        <v>200</v>
      </c>
      <c r="O101" s="92">
        <v>1</v>
      </c>
      <c r="P101" s="94">
        <f t="shared" si="13"/>
        <v>200</v>
      </c>
      <c r="Q101" s="94"/>
      <c r="R101" s="92">
        <v>200</v>
      </c>
      <c r="S101" s="92">
        <f t="shared" si="14"/>
        <v>0</v>
      </c>
      <c r="T101" s="92">
        <f t="shared" si="15"/>
        <v>960</v>
      </c>
      <c r="U101" s="91">
        <f t="shared" si="16"/>
        <v>0</v>
      </c>
      <c r="V101" s="91">
        <f t="shared" si="17"/>
        <v>0</v>
      </c>
      <c r="W101" s="101">
        <v>0</v>
      </c>
      <c r="X101" s="55">
        <f t="shared" si="11"/>
        <v>46153.159143518518</v>
      </c>
    </row>
    <row r="102" spans="1:24" hidden="1" x14ac:dyDescent="0.35">
      <c r="A102" s="46">
        <f t="shared" si="12"/>
        <v>46153.159143518518</v>
      </c>
      <c r="B102" s="46"/>
      <c r="C102" s="46"/>
      <c r="D102" s="46"/>
      <c r="E102" s="47" t="s">
        <v>43</v>
      </c>
      <c r="F102" s="82" t="s">
        <v>227</v>
      </c>
      <c r="G102" s="82"/>
      <c r="H102" s="98" t="s">
        <v>228</v>
      </c>
      <c r="I102" s="99" t="s">
        <v>97</v>
      </c>
      <c r="J102" s="51" t="s">
        <v>140</v>
      </c>
      <c r="K102" s="101">
        <v>0</v>
      </c>
      <c r="L102" s="101">
        <v>0</v>
      </c>
      <c r="M102" s="92">
        <v>110</v>
      </c>
      <c r="N102" s="94">
        <v>3000</v>
      </c>
      <c r="O102" s="92">
        <v>1</v>
      </c>
      <c r="P102" s="94">
        <f t="shared" si="13"/>
        <v>3000</v>
      </c>
      <c r="Q102" s="94"/>
      <c r="R102" s="92">
        <v>3000</v>
      </c>
      <c r="S102" s="92">
        <f t="shared" si="14"/>
        <v>0</v>
      </c>
      <c r="T102" s="92">
        <f t="shared" si="15"/>
        <v>785.4545454545455</v>
      </c>
      <c r="U102" s="91">
        <f t="shared" si="16"/>
        <v>0</v>
      </c>
      <c r="V102" s="91">
        <f t="shared" si="17"/>
        <v>0</v>
      </c>
      <c r="W102" s="91">
        <v>0</v>
      </c>
      <c r="X102" s="55">
        <f t="shared" si="11"/>
        <v>46153.159143518518</v>
      </c>
    </row>
    <row r="103" spans="1:24" hidden="1" x14ac:dyDescent="0.35">
      <c r="A103" s="46">
        <f t="shared" si="12"/>
        <v>46153.159143518518</v>
      </c>
      <c r="B103" s="46"/>
      <c r="C103" s="46"/>
      <c r="D103" s="46"/>
      <c r="E103" s="96" t="s">
        <v>43</v>
      </c>
      <c r="F103" s="97" t="s">
        <v>229</v>
      </c>
      <c r="G103" s="97"/>
      <c r="H103" s="98" t="s">
        <v>230</v>
      </c>
      <c r="I103" s="100" t="s">
        <v>4190</v>
      </c>
      <c r="J103" s="100" t="s">
        <v>140</v>
      </c>
      <c r="K103" s="101">
        <v>0</v>
      </c>
      <c r="L103" s="101">
        <v>0</v>
      </c>
      <c r="M103" s="102">
        <v>50</v>
      </c>
      <c r="N103" s="103">
        <v>1016</v>
      </c>
      <c r="O103" s="102">
        <v>1</v>
      </c>
      <c r="P103" s="103">
        <f t="shared" si="13"/>
        <v>1016</v>
      </c>
      <c r="Q103" s="103"/>
      <c r="R103" s="102">
        <v>1016</v>
      </c>
      <c r="S103" s="102">
        <f t="shared" si="14"/>
        <v>0</v>
      </c>
      <c r="T103" s="102">
        <f t="shared" si="15"/>
        <v>1728</v>
      </c>
      <c r="U103" s="101">
        <f t="shared" si="16"/>
        <v>0</v>
      </c>
      <c r="V103" s="101">
        <f t="shared" si="17"/>
        <v>0</v>
      </c>
      <c r="W103" s="101">
        <v>0</v>
      </c>
      <c r="X103" s="55">
        <f t="shared" si="11"/>
        <v>46153.159143518518</v>
      </c>
    </row>
    <row r="104" spans="1:24" hidden="1" x14ac:dyDescent="0.35">
      <c r="A104" s="46">
        <f t="shared" si="12"/>
        <v>46153.159143518518</v>
      </c>
      <c r="B104" s="46"/>
      <c r="C104" s="46"/>
      <c r="D104" s="46"/>
      <c r="E104" s="96" t="s">
        <v>43</v>
      </c>
      <c r="F104" s="82" t="s">
        <v>232</v>
      </c>
      <c r="G104" s="82"/>
      <c r="H104" s="105" t="s">
        <v>233</v>
      </c>
      <c r="I104" s="106" t="s">
        <v>234</v>
      </c>
      <c r="J104" s="100" t="s">
        <v>140</v>
      </c>
      <c r="K104" s="101">
        <v>0</v>
      </c>
      <c r="L104" s="101">
        <v>0</v>
      </c>
      <c r="M104" s="92">
        <v>105</v>
      </c>
      <c r="N104" s="94">
        <v>400</v>
      </c>
      <c r="O104" s="92">
        <v>1</v>
      </c>
      <c r="P104" s="94">
        <f t="shared" si="13"/>
        <v>400</v>
      </c>
      <c r="Q104" s="94"/>
      <c r="R104" s="92">
        <v>400</v>
      </c>
      <c r="S104" s="92">
        <f t="shared" si="14"/>
        <v>0</v>
      </c>
      <c r="T104" s="102">
        <f t="shared" si="15"/>
        <v>822.85714285714289</v>
      </c>
      <c r="U104" s="101">
        <f t="shared" si="16"/>
        <v>0</v>
      </c>
      <c r="V104" s="101">
        <f t="shared" si="17"/>
        <v>0</v>
      </c>
      <c r="W104" s="101">
        <v>0</v>
      </c>
      <c r="X104" s="55">
        <f t="shared" si="11"/>
        <v>46153.159143518518</v>
      </c>
    </row>
    <row r="105" spans="1:24" hidden="1" x14ac:dyDescent="0.35">
      <c r="A105" s="46">
        <f t="shared" si="12"/>
        <v>46153.159143518518</v>
      </c>
      <c r="B105" s="46"/>
      <c r="C105" s="46"/>
      <c r="D105" s="46"/>
      <c r="E105" s="96" t="s">
        <v>43</v>
      </c>
      <c r="F105" s="82" t="s">
        <v>232</v>
      </c>
      <c r="G105" s="82"/>
      <c r="H105" s="107" t="s">
        <v>235</v>
      </c>
      <c r="I105" s="106" t="s">
        <v>236</v>
      </c>
      <c r="J105" s="100" t="s">
        <v>140</v>
      </c>
      <c r="K105" s="101">
        <v>0</v>
      </c>
      <c r="L105" s="101">
        <v>0</v>
      </c>
      <c r="M105" s="92">
        <v>105</v>
      </c>
      <c r="N105" s="94">
        <v>150</v>
      </c>
      <c r="O105" s="92">
        <v>1</v>
      </c>
      <c r="P105" s="94">
        <f t="shared" si="13"/>
        <v>150</v>
      </c>
      <c r="Q105" s="94"/>
      <c r="R105" s="92">
        <v>150</v>
      </c>
      <c r="S105" s="92">
        <f t="shared" si="14"/>
        <v>0</v>
      </c>
      <c r="T105" s="102">
        <f t="shared" si="15"/>
        <v>822.85714285714289</v>
      </c>
      <c r="U105" s="101">
        <f t="shared" si="16"/>
        <v>0</v>
      </c>
      <c r="V105" s="101">
        <f t="shared" si="17"/>
        <v>0</v>
      </c>
      <c r="W105" s="101">
        <v>0</v>
      </c>
      <c r="X105" s="55">
        <f t="shared" si="11"/>
        <v>46153.159143518518</v>
      </c>
    </row>
    <row r="106" spans="1:24" hidden="1" x14ac:dyDescent="0.35">
      <c r="A106" s="46">
        <f t="shared" si="12"/>
        <v>46153.159143518518</v>
      </c>
      <c r="B106" s="46"/>
      <c r="C106" s="46"/>
      <c r="D106" s="46"/>
      <c r="E106" s="96" t="s">
        <v>43</v>
      </c>
      <c r="F106" s="82" t="s">
        <v>232</v>
      </c>
      <c r="G106" s="82"/>
      <c r="H106" s="105" t="s">
        <v>237</v>
      </c>
      <c r="I106" s="106" t="s">
        <v>238</v>
      </c>
      <c r="J106" s="100" t="s">
        <v>140</v>
      </c>
      <c r="K106" s="101">
        <v>0</v>
      </c>
      <c r="L106" s="101">
        <v>0</v>
      </c>
      <c r="M106" s="92">
        <v>105</v>
      </c>
      <c r="N106" s="94">
        <v>75</v>
      </c>
      <c r="O106" s="92">
        <v>1</v>
      </c>
      <c r="P106" s="94">
        <f t="shared" si="13"/>
        <v>75</v>
      </c>
      <c r="Q106" s="94"/>
      <c r="R106" s="92">
        <v>75</v>
      </c>
      <c r="S106" s="92">
        <f t="shared" si="14"/>
        <v>0</v>
      </c>
      <c r="T106" s="102">
        <f t="shared" si="15"/>
        <v>822.85714285714289</v>
      </c>
      <c r="U106" s="101">
        <f t="shared" si="16"/>
        <v>0</v>
      </c>
      <c r="V106" s="101">
        <f t="shared" si="17"/>
        <v>0</v>
      </c>
      <c r="W106" s="101">
        <v>0</v>
      </c>
      <c r="X106" s="55">
        <f t="shared" si="11"/>
        <v>46153.159143518518</v>
      </c>
    </row>
    <row r="107" spans="1:24" hidden="1" x14ac:dyDescent="0.35">
      <c r="A107" s="46">
        <f t="shared" si="12"/>
        <v>46153.159143518518</v>
      </c>
      <c r="B107" s="46"/>
      <c r="C107" s="46"/>
      <c r="D107" s="46"/>
      <c r="E107" s="96" t="s">
        <v>43</v>
      </c>
      <c r="F107" s="82" t="s">
        <v>232</v>
      </c>
      <c r="G107" s="82"/>
      <c r="H107" s="105" t="s">
        <v>239</v>
      </c>
      <c r="I107" s="106" t="s">
        <v>240</v>
      </c>
      <c r="J107" s="100" t="s">
        <v>140</v>
      </c>
      <c r="K107" s="101">
        <v>0</v>
      </c>
      <c r="L107" s="101">
        <v>0</v>
      </c>
      <c r="M107" s="92">
        <v>105</v>
      </c>
      <c r="N107" s="94">
        <v>150</v>
      </c>
      <c r="O107" s="92">
        <v>1</v>
      </c>
      <c r="P107" s="94">
        <f t="shared" si="13"/>
        <v>150</v>
      </c>
      <c r="Q107" s="94"/>
      <c r="R107" s="92">
        <v>150</v>
      </c>
      <c r="S107" s="92">
        <f t="shared" si="14"/>
        <v>0</v>
      </c>
      <c r="T107" s="102">
        <f t="shared" si="15"/>
        <v>822.85714285714289</v>
      </c>
      <c r="U107" s="101">
        <f t="shared" si="16"/>
        <v>0</v>
      </c>
      <c r="V107" s="101">
        <f t="shared" si="17"/>
        <v>0</v>
      </c>
      <c r="W107" s="101">
        <v>0</v>
      </c>
      <c r="X107" s="55">
        <f t="shared" si="11"/>
        <v>46153.159143518518</v>
      </c>
    </row>
    <row r="108" spans="1:24" hidden="1" x14ac:dyDescent="0.35">
      <c r="A108" s="46">
        <f t="shared" si="12"/>
        <v>46153.159143518518</v>
      </c>
      <c r="B108" s="46"/>
      <c r="C108" s="46"/>
      <c r="D108" s="46"/>
      <c r="E108" s="47" t="s">
        <v>43</v>
      </c>
      <c r="F108" s="69" t="s">
        <v>241</v>
      </c>
      <c r="G108" s="69"/>
      <c r="H108" s="98" t="s">
        <v>242</v>
      </c>
      <c r="I108" s="71" t="s">
        <v>243</v>
      </c>
      <c r="J108" s="51" t="s">
        <v>140</v>
      </c>
      <c r="K108" s="101">
        <v>0</v>
      </c>
      <c r="L108" s="101">
        <v>0</v>
      </c>
      <c r="M108" s="92">
        <v>90</v>
      </c>
      <c r="N108" s="94">
        <v>10000</v>
      </c>
      <c r="O108" s="92">
        <v>1</v>
      </c>
      <c r="P108" s="94">
        <f t="shared" si="13"/>
        <v>10000</v>
      </c>
      <c r="Q108" s="94"/>
      <c r="R108" s="92">
        <v>10000</v>
      </c>
      <c r="S108" s="92">
        <f t="shared" si="14"/>
        <v>0</v>
      </c>
      <c r="T108" s="92">
        <f t="shared" si="15"/>
        <v>960</v>
      </c>
      <c r="U108" s="91">
        <f t="shared" si="16"/>
        <v>0</v>
      </c>
      <c r="V108" s="91">
        <f t="shared" si="17"/>
        <v>0</v>
      </c>
      <c r="W108" s="101">
        <v>0</v>
      </c>
      <c r="X108" s="55">
        <f t="shared" si="11"/>
        <v>46153.159143518518</v>
      </c>
    </row>
    <row r="109" spans="1:24" hidden="1" x14ac:dyDescent="0.35">
      <c r="A109" s="46">
        <f t="shared" si="12"/>
        <v>46153.159143518518</v>
      </c>
      <c r="B109" s="46"/>
      <c r="C109" s="46"/>
      <c r="D109" s="46"/>
      <c r="E109" s="96" t="s">
        <v>43</v>
      </c>
      <c r="F109" s="97" t="s">
        <v>244</v>
      </c>
      <c r="G109" s="97"/>
      <c r="H109" s="98" t="s">
        <v>245</v>
      </c>
      <c r="I109" s="100" t="s">
        <v>4191</v>
      </c>
      <c r="J109" s="100" t="s">
        <v>140</v>
      </c>
      <c r="K109" s="101">
        <v>0</v>
      </c>
      <c r="L109" s="101">
        <v>0</v>
      </c>
      <c r="M109" s="102">
        <v>50</v>
      </c>
      <c r="N109" s="103">
        <v>3000</v>
      </c>
      <c r="O109" s="102">
        <v>1</v>
      </c>
      <c r="P109" s="103">
        <f t="shared" si="13"/>
        <v>3000</v>
      </c>
      <c r="Q109" s="103"/>
      <c r="R109" s="102">
        <v>3000</v>
      </c>
      <c r="S109" s="102">
        <f t="shared" si="14"/>
        <v>0</v>
      </c>
      <c r="T109" s="102">
        <f t="shared" si="15"/>
        <v>1728</v>
      </c>
      <c r="U109" s="101">
        <f t="shared" si="16"/>
        <v>0</v>
      </c>
      <c r="V109" s="101">
        <f t="shared" si="17"/>
        <v>0</v>
      </c>
      <c r="W109" s="101">
        <v>0</v>
      </c>
      <c r="X109" s="55">
        <f t="shared" si="11"/>
        <v>46153.159143518518</v>
      </c>
    </row>
    <row r="110" spans="1:24" s="109" customFormat="1" ht="13" hidden="1" x14ac:dyDescent="0.3">
      <c r="A110" s="46">
        <f t="shared" si="12"/>
        <v>46153.159143518518</v>
      </c>
      <c r="B110" s="46"/>
      <c r="C110" s="46"/>
      <c r="D110" s="46"/>
      <c r="E110" s="96" t="s">
        <v>43</v>
      </c>
      <c r="F110" s="97" t="s">
        <v>244</v>
      </c>
      <c r="G110" s="97"/>
      <c r="H110" s="108">
        <v>11917</v>
      </c>
      <c r="I110" s="85" t="s">
        <v>4192</v>
      </c>
      <c r="J110" s="51" t="s">
        <v>140</v>
      </c>
      <c r="K110" s="101">
        <v>0</v>
      </c>
      <c r="L110" s="101">
        <v>0</v>
      </c>
      <c r="M110" s="92">
        <v>35</v>
      </c>
      <c r="N110" s="94">
        <v>3000</v>
      </c>
      <c r="O110" s="92">
        <v>4</v>
      </c>
      <c r="P110" s="94">
        <f t="shared" si="13"/>
        <v>750</v>
      </c>
      <c r="Q110" s="94"/>
      <c r="R110" s="92">
        <v>750</v>
      </c>
      <c r="S110" s="92">
        <f t="shared" si="14"/>
        <v>0</v>
      </c>
      <c r="T110" s="92">
        <f t="shared" si="15"/>
        <v>9874.2857142857138</v>
      </c>
      <c r="U110" s="91">
        <f t="shared" si="16"/>
        <v>0</v>
      </c>
      <c r="V110" s="91">
        <f t="shared" si="17"/>
        <v>0</v>
      </c>
      <c r="W110" s="91">
        <v>0</v>
      </c>
      <c r="X110" s="55">
        <f t="shared" si="11"/>
        <v>46153.159143518518</v>
      </c>
    </row>
    <row r="111" spans="1:24" s="109" customFormat="1" ht="26" hidden="1" x14ac:dyDescent="0.3">
      <c r="A111" s="46">
        <f t="shared" si="12"/>
        <v>46153.159143518518</v>
      </c>
      <c r="B111" s="46"/>
      <c r="C111" s="46"/>
      <c r="D111" s="46"/>
      <c r="E111" s="96" t="s">
        <v>43</v>
      </c>
      <c r="F111" s="97" t="s">
        <v>246</v>
      </c>
      <c r="G111" s="97"/>
      <c r="H111" s="98" t="s">
        <v>247</v>
      </c>
      <c r="I111" s="100" t="s">
        <v>4193</v>
      </c>
      <c r="J111" s="100" t="s">
        <v>140</v>
      </c>
      <c r="K111" s="101">
        <v>0</v>
      </c>
      <c r="L111" s="101">
        <v>0</v>
      </c>
      <c r="M111" s="102">
        <v>50</v>
      </c>
      <c r="N111" s="103">
        <v>300</v>
      </c>
      <c r="O111" s="102">
        <v>1</v>
      </c>
      <c r="P111" s="103">
        <f t="shared" si="13"/>
        <v>300</v>
      </c>
      <c r="Q111" s="103"/>
      <c r="R111" s="102">
        <v>300</v>
      </c>
      <c r="S111" s="102">
        <f t="shared" si="14"/>
        <v>0</v>
      </c>
      <c r="T111" s="102">
        <f t="shared" si="15"/>
        <v>1728</v>
      </c>
      <c r="U111" s="101">
        <f t="shared" si="16"/>
        <v>0</v>
      </c>
      <c r="V111" s="101">
        <f t="shared" si="17"/>
        <v>0</v>
      </c>
      <c r="W111" s="101">
        <v>0</v>
      </c>
      <c r="X111" s="55">
        <f t="shared" si="11"/>
        <v>46153.159143518518</v>
      </c>
    </row>
    <row r="112" spans="1:24" s="109" customFormat="1" ht="13" hidden="1" x14ac:dyDescent="0.3">
      <c r="A112" s="46">
        <f t="shared" si="12"/>
        <v>46153.159143518518</v>
      </c>
      <c r="B112" s="46"/>
      <c r="C112" s="46"/>
      <c r="D112" s="46"/>
      <c r="E112" s="96" t="s">
        <v>43</v>
      </c>
      <c r="F112" s="97" t="s">
        <v>248</v>
      </c>
      <c r="G112" s="97"/>
      <c r="H112" s="108">
        <v>12043</v>
      </c>
      <c r="I112" s="85" t="s">
        <v>4192</v>
      </c>
      <c r="J112" s="51" t="s">
        <v>140</v>
      </c>
      <c r="K112" s="101">
        <v>0</v>
      </c>
      <c r="L112" s="101">
        <v>0</v>
      </c>
      <c r="M112" s="92">
        <v>35</v>
      </c>
      <c r="N112" s="94">
        <v>15000</v>
      </c>
      <c r="O112" s="92">
        <v>4</v>
      </c>
      <c r="P112" s="94">
        <f t="shared" si="13"/>
        <v>3750</v>
      </c>
      <c r="Q112" s="94"/>
      <c r="R112" s="92">
        <v>3750</v>
      </c>
      <c r="S112" s="92">
        <f t="shared" si="14"/>
        <v>0</v>
      </c>
      <c r="T112" s="92">
        <f t="shared" si="15"/>
        <v>9874.2857142857138</v>
      </c>
      <c r="U112" s="91">
        <f t="shared" si="16"/>
        <v>0</v>
      </c>
      <c r="V112" s="91">
        <f t="shared" si="17"/>
        <v>0</v>
      </c>
      <c r="W112" s="91">
        <v>0</v>
      </c>
      <c r="X112" s="55">
        <f t="shared" si="11"/>
        <v>46153.159143518518</v>
      </c>
    </row>
    <row r="113" spans="1:24" hidden="1" x14ac:dyDescent="0.35">
      <c r="A113" s="46">
        <f t="shared" si="12"/>
        <v>46153.159143518518</v>
      </c>
      <c r="B113" s="46"/>
      <c r="C113" s="46"/>
      <c r="D113" s="46"/>
      <c r="E113" s="47" t="s">
        <v>249</v>
      </c>
      <c r="F113" s="99" t="s">
        <v>250</v>
      </c>
      <c r="G113" s="99"/>
      <c r="H113" s="107" t="s">
        <v>251</v>
      </c>
      <c r="I113" s="82" t="s">
        <v>252</v>
      </c>
      <c r="J113" s="51" t="s">
        <v>140</v>
      </c>
      <c r="K113" s="101">
        <v>0</v>
      </c>
      <c r="L113" s="101">
        <v>0</v>
      </c>
      <c r="M113" s="102">
        <v>120</v>
      </c>
      <c r="N113" s="103">
        <v>500</v>
      </c>
      <c r="O113" s="102">
        <v>1</v>
      </c>
      <c r="P113" s="103">
        <f t="shared" si="13"/>
        <v>500</v>
      </c>
      <c r="Q113" s="103"/>
      <c r="R113" s="102">
        <v>500</v>
      </c>
      <c r="S113" s="102">
        <f t="shared" si="14"/>
        <v>0</v>
      </c>
      <c r="T113" s="102">
        <f t="shared" si="15"/>
        <v>720</v>
      </c>
      <c r="U113" s="101">
        <f t="shared" si="16"/>
        <v>0</v>
      </c>
      <c r="V113" s="101">
        <f t="shared" si="17"/>
        <v>0</v>
      </c>
      <c r="W113" s="101">
        <v>0</v>
      </c>
      <c r="X113" s="55">
        <f t="shared" si="11"/>
        <v>46153.159143518518</v>
      </c>
    </row>
    <row r="114" spans="1:24" hidden="1" x14ac:dyDescent="0.35">
      <c r="A114" s="46">
        <f t="shared" si="12"/>
        <v>46153.159143518518</v>
      </c>
      <c r="B114" s="46"/>
      <c r="C114" s="46"/>
      <c r="D114" s="46"/>
      <c r="E114" s="47" t="s">
        <v>249</v>
      </c>
      <c r="F114" s="99" t="s">
        <v>250</v>
      </c>
      <c r="G114" s="99"/>
      <c r="H114" s="107" t="s">
        <v>253</v>
      </c>
      <c r="I114" s="82" t="s">
        <v>254</v>
      </c>
      <c r="J114" s="51" t="s">
        <v>140</v>
      </c>
      <c r="K114" s="101">
        <v>0</v>
      </c>
      <c r="L114" s="101">
        <v>0</v>
      </c>
      <c r="M114" s="102">
        <v>120</v>
      </c>
      <c r="N114" s="103">
        <v>150</v>
      </c>
      <c r="O114" s="102">
        <v>1</v>
      </c>
      <c r="P114" s="103">
        <f t="shared" si="13"/>
        <v>150</v>
      </c>
      <c r="Q114" s="103"/>
      <c r="R114" s="102">
        <v>150</v>
      </c>
      <c r="S114" s="102">
        <f t="shared" si="14"/>
        <v>0</v>
      </c>
      <c r="T114" s="102">
        <f t="shared" si="15"/>
        <v>720</v>
      </c>
      <c r="U114" s="101">
        <f t="shared" si="16"/>
        <v>0</v>
      </c>
      <c r="V114" s="101">
        <f t="shared" si="17"/>
        <v>0</v>
      </c>
      <c r="W114" s="101">
        <v>0</v>
      </c>
      <c r="X114" s="55">
        <f t="shared" si="11"/>
        <v>46153.159143518518</v>
      </c>
    </row>
    <row r="115" spans="1:24" hidden="1" x14ac:dyDescent="0.35">
      <c r="A115" s="46">
        <f t="shared" si="12"/>
        <v>46153.159143518518</v>
      </c>
      <c r="B115" s="46"/>
      <c r="C115" s="46"/>
      <c r="D115" s="46"/>
      <c r="E115" s="47" t="s">
        <v>249</v>
      </c>
      <c r="F115" s="99" t="s">
        <v>250</v>
      </c>
      <c r="G115" s="99"/>
      <c r="H115" s="107" t="s">
        <v>255</v>
      </c>
      <c r="I115" s="82" t="s">
        <v>256</v>
      </c>
      <c r="J115" s="51" t="s">
        <v>140</v>
      </c>
      <c r="K115" s="101">
        <v>0</v>
      </c>
      <c r="L115" s="101">
        <v>0</v>
      </c>
      <c r="M115" s="102">
        <v>120</v>
      </c>
      <c r="N115" s="103">
        <v>500</v>
      </c>
      <c r="O115" s="102">
        <v>1</v>
      </c>
      <c r="P115" s="103">
        <f t="shared" si="13"/>
        <v>500</v>
      </c>
      <c r="Q115" s="103"/>
      <c r="R115" s="102">
        <v>500</v>
      </c>
      <c r="S115" s="102">
        <f t="shared" si="14"/>
        <v>0</v>
      </c>
      <c r="T115" s="102">
        <f t="shared" si="15"/>
        <v>720</v>
      </c>
      <c r="U115" s="101">
        <f t="shared" si="16"/>
        <v>0</v>
      </c>
      <c r="V115" s="101">
        <f t="shared" si="17"/>
        <v>0</v>
      </c>
      <c r="W115" s="101">
        <v>0</v>
      </c>
      <c r="X115" s="55">
        <f t="shared" si="11"/>
        <v>46153.159143518518</v>
      </c>
    </row>
    <row r="116" spans="1:24" ht="26.5" hidden="1" x14ac:dyDescent="0.35">
      <c r="A116" s="46">
        <f t="shared" si="12"/>
        <v>46153.159143518518</v>
      </c>
      <c r="B116" s="46"/>
      <c r="C116" s="46"/>
      <c r="D116" s="46"/>
      <c r="E116" s="47" t="s">
        <v>43</v>
      </c>
      <c r="F116" s="69" t="s">
        <v>257</v>
      </c>
      <c r="G116" s="69"/>
      <c r="H116" s="107" t="s">
        <v>258</v>
      </c>
      <c r="I116" s="99" t="s">
        <v>259</v>
      </c>
      <c r="J116" s="100" t="s">
        <v>140</v>
      </c>
      <c r="K116" s="101">
        <v>0</v>
      </c>
      <c r="L116" s="101">
        <v>0</v>
      </c>
      <c r="M116" s="92">
        <v>70</v>
      </c>
      <c r="N116" s="94">
        <v>250</v>
      </c>
      <c r="O116" s="92">
        <v>1</v>
      </c>
      <c r="P116" s="94">
        <f t="shared" si="13"/>
        <v>250</v>
      </c>
      <c r="Q116" s="94"/>
      <c r="R116" s="92">
        <v>250</v>
      </c>
      <c r="S116" s="92">
        <f t="shared" si="14"/>
        <v>0</v>
      </c>
      <c r="T116" s="102">
        <f t="shared" si="15"/>
        <v>1234.2857142857142</v>
      </c>
      <c r="U116" s="101">
        <f t="shared" si="16"/>
        <v>0</v>
      </c>
      <c r="V116" s="101">
        <f t="shared" si="17"/>
        <v>0</v>
      </c>
      <c r="W116" s="101">
        <v>0</v>
      </c>
      <c r="X116" s="55">
        <f t="shared" si="11"/>
        <v>46153.159143518518</v>
      </c>
    </row>
    <row r="117" spans="1:24" ht="39.5" hidden="1" x14ac:dyDescent="0.35">
      <c r="A117" s="46">
        <f t="shared" si="12"/>
        <v>46153.159143518518</v>
      </c>
      <c r="B117" s="46"/>
      <c r="C117" s="46"/>
      <c r="D117" s="46"/>
      <c r="E117" s="47" t="s">
        <v>43</v>
      </c>
      <c r="F117" s="69" t="s">
        <v>257</v>
      </c>
      <c r="G117" s="69"/>
      <c r="H117" s="107" t="s">
        <v>260</v>
      </c>
      <c r="I117" s="99" t="s">
        <v>261</v>
      </c>
      <c r="J117" s="100" t="s">
        <v>140</v>
      </c>
      <c r="K117" s="101">
        <v>0</v>
      </c>
      <c r="L117" s="101">
        <v>0</v>
      </c>
      <c r="M117" s="92">
        <v>70</v>
      </c>
      <c r="N117" s="94">
        <v>250</v>
      </c>
      <c r="O117" s="92">
        <v>1</v>
      </c>
      <c r="P117" s="94">
        <f t="shared" si="13"/>
        <v>250</v>
      </c>
      <c r="Q117" s="94"/>
      <c r="R117" s="92">
        <v>250</v>
      </c>
      <c r="S117" s="92">
        <f t="shared" si="14"/>
        <v>0</v>
      </c>
      <c r="T117" s="102">
        <f t="shared" si="15"/>
        <v>1234.2857142857142</v>
      </c>
      <c r="U117" s="101">
        <f t="shared" si="16"/>
        <v>0</v>
      </c>
      <c r="V117" s="101">
        <f t="shared" si="17"/>
        <v>0</v>
      </c>
      <c r="W117" s="101">
        <v>0</v>
      </c>
      <c r="X117" s="55">
        <f t="shared" si="11"/>
        <v>46153.159143518518</v>
      </c>
    </row>
    <row r="118" spans="1:24" hidden="1" x14ac:dyDescent="0.35">
      <c r="A118" s="46">
        <f t="shared" si="12"/>
        <v>46153.159143518518</v>
      </c>
      <c r="B118" s="46"/>
      <c r="C118" s="46"/>
      <c r="D118" s="46"/>
      <c r="E118" s="47" t="s">
        <v>43</v>
      </c>
      <c r="F118" s="82" t="s">
        <v>220</v>
      </c>
      <c r="G118" s="82"/>
      <c r="H118" s="98" t="s">
        <v>262</v>
      </c>
      <c r="I118" s="104" t="s">
        <v>222</v>
      </c>
      <c r="J118" s="104" t="s">
        <v>140</v>
      </c>
      <c r="K118" s="101">
        <v>0</v>
      </c>
      <c r="L118" s="101">
        <v>0</v>
      </c>
      <c r="M118" s="92">
        <v>100</v>
      </c>
      <c r="N118" s="94">
        <v>1500</v>
      </c>
      <c r="O118" s="92">
        <v>1</v>
      </c>
      <c r="P118" s="94">
        <f t="shared" si="13"/>
        <v>1500</v>
      </c>
      <c r="Q118" s="94"/>
      <c r="R118" s="92">
        <v>1500</v>
      </c>
      <c r="S118" s="92">
        <f t="shared" si="14"/>
        <v>0</v>
      </c>
      <c r="T118" s="92">
        <f t="shared" si="15"/>
        <v>864</v>
      </c>
      <c r="U118" s="91">
        <f t="shared" si="16"/>
        <v>0</v>
      </c>
      <c r="V118" s="91">
        <f t="shared" si="17"/>
        <v>0</v>
      </c>
      <c r="W118" s="91">
        <v>0</v>
      </c>
      <c r="X118" s="55">
        <f t="shared" si="11"/>
        <v>46153.159143518518</v>
      </c>
    </row>
    <row r="119" spans="1:24" ht="26.5" hidden="1" x14ac:dyDescent="0.35">
      <c r="A119" s="46">
        <f t="shared" si="12"/>
        <v>46153.159143518518</v>
      </c>
      <c r="B119" s="46"/>
      <c r="C119" s="46"/>
      <c r="D119" s="46"/>
      <c r="E119" s="47" t="s">
        <v>43</v>
      </c>
      <c r="F119" s="69" t="s">
        <v>257</v>
      </c>
      <c r="G119" s="69"/>
      <c r="H119" s="107" t="s">
        <v>263</v>
      </c>
      <c r="I119" s="99" t="s">
        <v>264</v>
      </c>
      <c r="J119" s="100" t="s">
        <v>140</v>
      </c>
      <c r="K119" s="101">
        <v>0</v>
      </c>
      <c r="L119" s="101">
        <v>0</v>
      </c>
      <c r="M119" s="92">
        <v>70</v>
      </c>
      <c r="N119" s="94">
        <v>250</v>
      </c>
      <c r="O119" s="92">
        <v>1</v>
      </c>
      <c r="P119" s="94">
        <f t="shared" si="13"/>
        <v>250</v>
      </c>
      <c r="Q119" s="94"/>
      <c r="R119" s="92">
        <v>250</v>
      </c>
      <c r="S119" s="92">
        <f t="shared" si="14"/>
        <v>0</v>
      </c>
      <c r="T119" s="102">
        <f t="shared" si="15"/>
        <v>1234.2857142857142</v>
      </c>
      <c r="U119" s="101">
        <f t="shared" si="16"/>
        <v>0</v>
      </c>
      <c r="V119" s="101">
        <f t="shared" si="17"/>
        <v>0</v>
      </c>
      <c r="W119" s="101">
        <v>0</v>
      </c>
      <c r="X119" s="55">
        <f t="shared" si="11"/>
        <v>46153.159143518518</v>
      </c>
    </row>
    <row r="120" spans="1:24" ht="26.5" hidden="1" x14ac:dyDescent="0.35">
      <c r="A120" s="46">
        <f t="shared" si="12"/>
        <v>46153.159143518518</v>
      </c>
      <c r="B120" s="46"/>
      <c r="C120" s="46"/>
      <c r="D120" s="46"/>
      <c r="E120" s="47" t="s">
        <v>43</v>
      </c>
      <c r="F120" s="82" t="s">
        <v>265</v>
      </c>
      <c r="G120" s="82"/>
      <c r="H120" s="107" t="s">
        <v>266</v>
      </c>
      <c r="I120" s="82" t="s">
        <v>198</v>
      </c>
      <c r="J120" s="100" t="s">
        <v>140</v>
      </c>
      <c r="K120" s="91">
        <v>0</v>
      </c>
      <c r="L120" s="91">
        <v>0</v>
      </c>
      <c r="M120" s="92">
        <v>190</v>
      </c>
      <c r="N120" s="94">
        <v>2000</v>
      </c>
      <c r="O120" s="92">
        <v>1</v>
      </c>
      <c r="P120" s="94">
        <f t="shared" si="13"/>
        <v>2000</v>
      </c>
      <c r="Q120" s="94"/>
      <c r="R120" s="92">
        <v>2000</v>
      </c>
      <c r="S120" s="92">
        <f t="shared" si="14"/>
        <v>0</v>
      </c>
      <c r="T120" s="102">
        <f t="shared" si="15"/>
        <v>454.73684210526312</v>
      </c>
      <c r="U120" s="101">
        <f t="shared" si="16"/>
        <v>0</v>
      </c>
      <c r="V120" s="101">
        <f t="shared" si="17"/>
        <v>0</v>
      </c>
      <c r="W120" s="110">
        <v>0</v>
      </c>
      <c r="X120" s="55">
        <f t="shared" si="11"/>
        <v>46153.159143518518</v>
      </c>
    </row>
    <row r="121" spans="1:24" s="118" customFormat="1" ht="26.5" hidden="1" x14ac:dyDescent="0.35">
      <c r="A121" s="46">
        <f t="shared" si="12"/>
        <v>46153.159143518518</v>
      </c>
      <c r="B121" s="46"/>
      <c r="C121" s="46"/>
      <c r="D121" s="46"/>
      <c r="E121" s="111" t="s">
        <v>43</v>
      </c>
      <c r="F121" s="112" t="s">
        <v>267</v>
      </c>
      <c r="G121" s="112"/>
      <c r="H121" s="113" t="s">
        <v>268</v>
      </c>
      <c r="I121" s="114" t="s">
        <v>269</v>
      </c>
      <c r="J121" s="114" t="s">
        <v>140</v>
      </c>
      <c r="K121" s="115">
        <v>0</v>
      </c>
      <c r="L121" s="115">
        <v>0</v>
      </c>
      <c r="M121" s="116">
        <v>50</v>
      </c>
      <c r="N121" s="117">
        <v>1000</v>
      </c>
      <c r="O121" s="116">
        <v>1</v>
      </c>
      <c r="P121" s="117">
        <f t="shared" si="13"/>
        <v>1000</v>
      </c>
      <c r="Q121" s="117"/>
      <c r="R121" s="116">
        <v>1000</v>
      </c>
      <c r="S121" s="116">
        <f t="shared" si="14"/>
        <v>0</v>
      </c>
      <c r="T121" s="116">
        <f t="shared" si="15"/>
        <v>1728</v>
      </c>
      <c r="U121" s="115">
        <f t="shared" si="16"/>
        <v>0</v>
      </c>
      <c r="V121" s="115">
        <f t="shared" si="17"/>
        <v>0</v>
      </c>
      <c r="W121" s="115">
        <v>0</v>
      </c>
      <c r="X121" s="55">
        <f t="shared" si="11"/>
        <v>46153.159143518518</v>
      </c>
    </row>
    <row r="122" spans="1:24" s="118" customFormat="1" hidden="1" x14ac:dyDescent="0.35">
      <c r="A122" s="46">
        <f t="shared" si="12"/>
        <v>46153.159143518518</v>
      </c>
      <c r="B122" s="46"/>
      <c r="C122" s="46"/>
      <c r="D122" s="46"/>
      <c r="E122" s="119" t="s">
        <v>43</v>
      </c>
      <c r="F122" s="97" t="s">
        <v>270</v>
      </c>
      <c r="G122" s="97"/>
      <c r="H122" s="108">
        <v>12278</v>
      </c>
      <c r="I122" s="85" t="s">
        <v>178</v>
      </c>
      <c r="J122" s="51" t="s">
        <v>140</v>
      </c>
      <c r="K122" s="91">
        <v>0</v>
      </c>
      <c r="L122" s="91">
        <v>0</v>
      </c>
      <c r="M122" s="92">
        <v>35</v>
      </c>
      <c r="N122" s="94">
        <v>600</v>
      </c>
      <c r="O122" s="92">
        <v>4</v>
      </c>
      <c r="P122" s="94">
        <f t="shared" si="13"/>
        <v>150</v>
      </c>
      <c r="Q122" s="94"/>
      <c r="R122" s="92">
        <v>150</v>
      </c>
      <c r="S122" s="92">
        <f t="shared" si="14"/>
        <v>0</v>
      </c>
      <c r="T122" s="92">
        <f t="shared" si="15"/>
        <v>9874.2857142857138</v>
      </c>
      <c r="U122" s="91">
        <f t="shared" si="16"/>
        <v>0</v>
      </c>
      <c r="V122" s="91">
        <f t="shared" si="17"/>
        <v>0</v>
      </c>
      <c r="W122" s="91">
        <v>0</v>
      </c>
      <c r="X122" s="55">
        <f t="shared" si="11"/>
        <v>46153.159143518518</v>
      </c>
    </row>
    <row r="123" spans="1:24" s="120" customFormat="1" ht="13" hidden="1" x14ac:dyDescent="0.3">
      <c r="A123" s="46">
        <f t="shared" si="12"/>
        <v>46153.159143518518</v>
      </c>
      <c r="B123" s="46"/>
      <c r="C123" s="46"/>
      <c r="D123" s="46"/>
      <c r="E123" s="47" t="s">
        <v>43</v>
      </c>
      <c r="F123" s="82" t="s">
        <v>271</v>
      </c>
      <c r="G123" s="82"/>
      <c r="H123" s="98" t="s">
        <v>272</v>
      </c>
      <c r="I123" s="82" t="s">
        <v>191</v>
      </c>
      <c r="J123" s="100" t="s">
        <v>140</v>
      </c>
      <c r="K123" s="101">
        <v>0</v>
      </c>
      <c r="L123" s="101">
        <v>0</v>
      </c>
      <c r="M123" s="102">
        <v>67</v>
      </c>
      <c r="N123" s="103">
        <v>3780</v>
      </c>
      <c r="O123" s="102">
        <v>1</v>
      </c>
      <c r="P123" s="103">
        <f t="shared" si="13"/>
        <v>3780</v>
      </c>
      <c r="Q123" s="103"/>
      <c r="R123" s="102">
        <v>3780</v>
      </c>
      <c r="S123" s="102">
        <f t="shared" si="14"/>
        <v>0</v>
      </c>
      <c r="T123" s="102">
        <f t="shared" si="15"/>
        <v>1289.5522388059703</v>
      </c>
      <c r="U123" s="101">
        <f t="shared" si="16"/>
        <v>0</v>
      </c>
      <c r="V123" s="101">
        <f t="shared" si="17"/>
        <v>0</v>
      </c>
      <c r="W123" s="101">
        <v>0</v>
      </c>
      <c r="X123" s="55">
        <f t="shared" si="11"/>
        <v>46153.159143518518</v>
      </c>
    </row>
    <row r="124" spans="1:24" s="120" customFormat="1" ht="13" hidden="1" x14ac:dyDescent="0.3">
      <c r="A124" s="46">
        <f t="shared" si="12"/>
        <v>46153.159143518518</v>
      </c>
      <c r="B124" s="46"/>
      <c r="C124" s="46"/>
      <c r="D124" s="46"/>
      <c r="E124" s="47" t="s">
        <v>43</v>
      </c>
      <c r="F124" s="82" t="s">
        <v>271</v>
      </c>
      <c r="G124" s="82"/>
      <c r="H124" s="98" t="s">
        <v>273</v>
      </c>
      <c r="I124" s="82" t="s">
        <v>274</v>
      </c>
      <c r="J124" s="100" t="s">
        <v>140</v>
      </c>
      <c r="K124" s="101">
        <v>0</v>
      </c>
      <c r="L124" s="101">
        <v>0</v>
      </c>
      <c r="M124" s="102">
        <v>67</v>
      </c>
      <c r="N124" s="103">
        <v>1050</v>
      </c>
      <c r="O124" s="102">
        <v>1</v>
      </c>
      <c r="P124" s="103">
        <f t="shared" si="13"/>
        <v>1050</v>
      </c>
      <c r="Q124" s="103"/>
      <c r="R124" s="102">
        <v>1050</v>
      </c>
      <c r="S124" s="102">
        <f t="shared" si="14"/>
        <v>0</v>
      </c>
      <c r="T124" s="102">
        <f t="shared" si="15"/>
        <v>1289.5522388059703</v>
      </c>
      <c r="U124" s="101">
        <f t="shared" si="16"/>
        <v>0</v>
      </c>
      <c r="V124" s="101">
        <f t="shared" si="17"/>
        <v>0</v>
      </c>
      <c r="W124" s="101">
        <v>0</v>
      </c>
      <c r="X124" s="55">
        <f t="shared" si="11"/>
        <v>46153.159143518518</v>
      </c>
    </row>
    <row r="125" spans="1:24" s="120" customFormat="1" ht="13" hidden="1" x14ac:dyDescent="0.3">
      <c r="A125" s="46">
        <f t="shared" si="12"/>
        <v>46153.159143518518</v>
      </c>
      <c r="B125" s="46"/>
      <c r="C125" s="46"/>
      <c r="D125" s="46"/>
      <c r="E125" s="47" t="s">
        <v>43</v>
      </c>
      <c r="F125" s="82" t="s">
        <v>271</v>
      </c>
      <c r="G125" s="82"/>
      <c r="H125" s="98" t="s">
        <v>275</v>
      </c>
      <c r="I125" s="82" t="s">
        <v>191</v>
      </c>
      <c r="J125" s="100" t="s">
        <v>140</v>
      </c>
      <c r="K125" s="101">
        <v>0</v>
      </c>
      <c r="L125" s="101">
        <v>0</v>
      </c>
      <c r="M125" s="102">
        <v>67</v>
      </c>
      <c r="N125" s="103">
        <v>3780</v>
      </c>
      <c r="O125" s="102">
        <v>1</v>
      </c>
      <c r="P125" s="103">
        <f t="shared" si="13"/>
        <v>3780</v>
      </c>
      <c r="Q125" s="103"/>
      <c r="R125" s="102">
        <v>3780</v>
      </c>
      <c r="S125" s="102">
        <f t="shared" si="14"/>
        <v>0</v>
      </c>
      <c r="T125" s="102">
        <f t="shared" si="15"/>
        <v>1289.5522388059703</v>
      </c>
      <c r="U125" s="101">
        <f t="shared" si="16"/>
        <v>0</v>
      </c>
      <c r="V125" s="101">
        <f t="shared" si="17"/>
        <v>0</v>
      </c>
      <c r="W125" s="101">
        <v>0</v>
      </c>
      <c r="X125" s="55">
        <f t="shared" si="11"/>
        <v>46153.159143518518</v>
      </c>
    </row>
    <row r="126" spans="1:24" s="120" customFormat="1" ht="13" hidden="1" x14ac:dyDescent="0.3">
      <c r="A126" s="46">
        <f t="shared" si="12"/>
        <v>46153.159143518518</v>
      </c>
      <c r="B126" s="46"/>
      <c r="C126" s="46"/>
      <c r="D126" s="46"/>
      <c r="E126" s="47" t="s">
        <v>43</v>
      </c>
      <c r="F126" s="82" t="s">
        <v>271</v>
      </c>
      <c r="G126" s="82"/>
      <c r="H126" s="98" t="s">
        <v>276</v>
      </c>
      <c r="I126" s="82" t="s">
        <v>277</v>
      </c>
      <c r="J126" s="100" t="s">
        <v>140</v>
      </c>
      <c r="K126" s="101">
        <v>0</v>
      </c>
      <c r="L126" s="101">
        <v>0</v>
      </c>
      <c r="M126" s="102">
        <v>67</v>
      </c>
      <c r="N126" s="103">
        <v>1260</v>
      </c>
      <c r="O126" s="102">
        <v>1</v>
      </c>
      <c r="P126" s="103">
        <f t="shared" si="13"/>
        <v>1260</v>
      </c>
      <c r="Q126" s="103"/>
      <c r="R126" s="102">
        <v>1260</v>
      </c>
      <c r="S126" s="102">
        <f t="shared" si="14"/>
        <v>0</v>
      </c>
      <c r="T126" s="102">
        <f t="shared" si="15"/>
        <v>1289.5522388059703</v>
      </c>
      <c r="U126" s="101">
        <f t="shared" si="16"/>
        <v>0</v>
      </c>
      <c r="V126" s="101">
        <f t="shared" si="17"/>
        <v>0</v>
      </c>
      <c r="W126" s="101">
        <v>0</v>
      </c>
      <c r="X126" s="55">
        <f t="shared" si="11"/>
        <v>46153.159143518518</v>
      </c>
    </row>
    <row r="127" spans="1:24" s="120" customFormat="1" ht="13" hidden="1" x14ac:dyDescent="0.3">
      <c r="A127" s="46">
        <f t="shared" si="12"/>
        <v>46153.159143518518</v>
      </c>
      <c r="B127" s="46"/>
      <c r="C127" s="46"/>
      <c r="D127" s="46"/>
      <c r="E127" s="47" t="s">
        <v>43</v>
      </c>
      <c r="F127" s="82" t="s">
        <v>271</v>
      </c>
      <c r="G127" s="82"/>
      <c r="H127" s="98" t="s">
        <v>273</v>
      </c>
      <c r="I127" s="82" t="s">
        <v>274</v>
      </c>
      <c r="J127" s="100" t="s">
        <v>140</v>
      </c>
      <c r="K127" s="101">
        <v>0</v>
      </c>
      <c r="L127" s="101">
        <v>0</v>
      </c>
      <c r="M127" s="102">
        <v>67</v>
      </c>
      <c r="N127" s="103">
        <v>630</v>
      </c>
      <c r="O127" s="102">
        <v>1</v>
      </c>
      <c r="P127" s="103">
        <f t="shared" si="13"/>
        <v>630</v>
      </c>
      <c r="Q127" s="103"/>
      <c r="R127" s="102">
        <v>630</v>
      </c>
      <c r="S127" s="102">
        <f t="shared" si="14"/>
        <v>0</v>
      </c>
      <c r="T127" s="102">
        <f t="shared" si="15"/>
        <v>1289.5522388059703</v>
      </c>
      <c r="U127" s="101">
        <f t="shared" si="16"/>
        <v>0</v>
      </c>
      <c r="V127" s="101">
        <f t="shared" si="17"/>
        <v>0</v>
      </c>
      <c r="W127" s="101">
        <v>0</v>
      </c>
      <c r="X127" s="55">
        <f t="shared" si="11"/>
        <v>46153.159143518518</v>
      </c>
    </row>
    <row r="128" spans="1:24" s="120" customFormat="1" ht="13" hidden="1" x14ac:dyDescent="0.3">
      <c r="A128" s="46">
        <f t="shared" si="12"/>
        <v>46153.159143518518</v>
      </c>
      <c r="B128" s="46"/>
      <c r="C128" s="46"/>
      <c r="D128" s="46"/>
      <c r="E128" s="47" t="s">
        <v>43</v>
      </c>
      <c r="F128" s="82" t="s">
        <v>271</v>
      </c>
      <c r="G128" s="82"/>
      <c r="H128" s="98" t="s">
        <v>278</v>
      </c>
      <c r="I128" s="82" t="s">
        <v>191</v>
      </c>
      <c r="J128" s="100" t="s">
        <v>140</v>
      </c>
      <c r="K128" s="101">
        <v>0</v>
      </c>
      <c r="L128" s="101">
        <v>0</v>
      </c>
      <c r="M128" s="102">
        <v>67</v>
      </c>
      <c r="N128" s="103">
        <v>2100</v>
      </c>
      <c r="O128" s="102">
        <v>1</v>
      </c>
      <c r="P128" s="103">
        <f t="shared" si="13"/>
        <v>2100</v>
      </c>
      <c r="Q128" s="103"/>
      <c r="R128" s="102">
        <v>2100</v>
      </c>
      <c r="S128" s="102">
        <f t="shared" si="14"/>
        <v>0</v>
      </c>
      <c r="T128" s="102">
        <f t="shared" si="15"/>
        <v>1289.5522388059703</v>
      </c>
      <c r="U128" s="101">
        <f t="shared" si="16"/>
        <v>0</v>
      </c>
      <c r="V128" s="101">
        <f t="shared" si="17"/>
        <v>0</v>
      </c>
      <c r="W128" s="101">
        <v>0</v>
      </c>
      <c r="X128" s="55">
        <f t="shared" si="11"/>
        <v>46153.159143518518</v>
      </c>
    </row>
    <row r="129" spans="1:24" s="118" customFormat="1" hidden="1" x14ac:dyDescent="0.35">
      <c r="A129" s="46">
        <f t="shared" si="12"/>
        <v>46153.159143518518</v>
      </c>
      <c r="B129" s="46"/>
      <c r="C129" s="46"/>
      <c r="D129" s="46"/>
      <c r="E129" s="47" t="s">
        <v>43</v>
      </c>
      <c r="F129" s="82" t="s">
        <v>220</v>
      </c>
      <c r="G129" s="82"/>
      <c r="H129" s="98" t="s">
        <v>279</v>
      </c>
      <c r="I129" s="104" t="s">
        <v>222</v>
      </c>
      <c r="J129" s="104" t="s">
        <v>140</v>
      </c>
      <c r="K129" s="91">
        <v>0</v>
      </c>
      <c r="L129" s="91">
        <v>0</v>
      </c>
      <c r="M129" s="92">
        <v>100</v>
      </c>
      <c r="N129" s="94">
        <v>1000</v>
      </c>
      <c r="O129" s="92">
        <v>1</v>
      </c>
      <c r="P129" s="94">
        <f t="shared" si="13"/>
        <v>1000</v>
      </c>
      <c r="Q129" s="94"/>
      <c r="R129" s="92">
        <v>1000</v>
      </c>
      <c r="S129" s="92">
        <f t="shared" si="14"/>
        <v>0</v>
      </c>
      <c r="T129" s="92">
        <f t="shared" si="15"/>
        <v>864</v>
      </c>
      <c r="U129" s="91">
        <f t="shared" si="16"/>
        <v>0</v>
      </c>
      <c r="V129" s="91">
        <f t="shared" si="17"/>
        <v>0</v>
      </c>
      <c r="W129" s="91">
        <v>0</v>
      </c>
      <c r="X129" s="55">
        <f t="shared" si="11"/>
        <v>46153.159143518518</v>
      </c>
    </row>
    <row r="130" spans="1:24" hidden="1" x14ac:dyDescent="0.35">
      <c r="A130" s="46">
        <f t="shared" si="12"/>
        <v>46153.159143518518</v>
      </c>
      <c r="B130" s="46"/>
      <c r="C130" s="46"/>
      <c r="D130" s="46"/>
      <c r="E130" s="119" t="s">
        <v>43</v>
      </c>
      <c r="F130" s="97" t="s">
        <v>280</v>
      </c>
      <c r="G130" s="97"/>
      <c r="H130" s="98" t="s">
        <v>281</v>
      </c>
      <c r="I130" s="85" t="s">
        <v>282</v>
      </c>
      <c r="J130" s="100" t="s">
        <v>283</v>
      </c>
      <c r="K130" s="91">
        <v>0</v>
      </c>
      <c r="L130" s="91">
        <v>0</v>
      </c>
      <c r="M130" s="92">
        <v>78</v>
      </c>
      <c r="N130" s="94">
        <v>2160</v>
      </c>
      <c r="O130" s="92">
        <v>2</v>
      </c>
      <c r="P130" s="94">
        <f t="shared" si="13"/>
        <v>1080</v>
      </c>
      <c r="Q130" s="94"/>
      <c r="R130" s="102">
        <v>1080</v>
      </c>
      <c r="S130" s="92">
        <f t="shared" si="14"/>
        <v>0</v>
      </c>
      <c r="T130" s="102">
        <f t="shared" si="15"/>
        <v>2215.3846153846152</v>
      </c>
      <c r="U130" s="101">
        <f t="shared" si="16"/>
        <v>0</v>
      </c>
      <c r="V130" s="101">
        <f t="shared" si="17"/>
        <v>0</v>
      </c>
      <c r="W130" s="101">
        <v>0</v>
      </c>
      <c r="X130" s="55">
        <f t="shared" si="11"/>
        <v>46153.159143518518</v>
      </c>
    </row>
    <row r="131" spans="1:24" hidden="1" x14ac:dyDescent="0.35">
      <c r="A131" s="46">
        <f t="shared" si="12"/>
        <v>46153.159143518518</v>
      </c>
      <c r="B131" s="46"/>
      <c r="C131" s="46"/>
      <c r="D131" s="46"/>
      <c r="E131" s="119" t="s">
        <v>43</v>
      </c>
      <c r="F131" s="97" t="s">
        <v>284</v>
      </c>
      <c r="G131" s="97"/>
      <c r="H131" s="98" t="s">
        <v>285</v>
      </c>
      <c r="I131" s="85" t="s">
        <v>286</v>
      </c>
      <c r="J131" s="100" t="s">
        <v>283</v>
      </c>
      <c r="K131" s="91">
        <v>0</v>
      </c>
      <c r="L131" s="91">
        <v>0</v>
      </c>
      <c r="M131" s="92">
        <v>78</v>
      </c>
      <c r="N131" s="94">
        <v>720</v>
      </c>
      <c r="O131" s="92">
        <v>2</v>
      </c>
      <c r="P131" s="94">
        <f t="shared" si="13"/>
        <v>360</v>
      </c>
      <c r="Q131" s="94"/>
      <c r="R131" s="102">
        <v>360</v>
      </c>
      <c r="S131" s="92">
        <f t="shared" si="14"/>
        <v>0</v>
      </c>
      <c r="T131" s="102">
        <f t="shared" si="15"/>
        <v>2215.3846153846152</v>
      </c>
      <c r="U131" s="101">
        <f t="shared" si="16"/>
        <v>0</v>
      </c>
      <c r="V131" s="101">
        <f t="shared" si="17"/>
        <v>0</v>
      </c>
      <c r="W131" s="101">
        <v>0</v>
      </c>
      <c r="X131" s="55">
        <f t="shared" si="11"/>
        <v>46153.159143518518</v>
      </c>
    </row>
    <row r="132" spans="1:24" hidden="1" x14ac:dyDescent="0.35">
      <c r="A132" s="46">
        <f t="shared" si="12"/>
        <v>46153.159143518518</v>
      </c>
      <c r="B132" s="46"/>
      <c r="C132" s="46"/>
      <c r="D132" s="46"/>
      <c r="E132" s="119" t="s">
        <v>43</v>
      </c>
      <c r="F132" s="97" t="s">
        <v>280</v>
      </c>
      <c r="G132" s="97"/>
      <c r="H132" s="98" t="s">
        <v>287</v>
      </c>
      <c r="I132" s="85" t="s">
        <v>288</v>
      </c>
      <c r="J132" s="100" t="s">
        <v>283</v>
      </c>
      <c r="K132" s="91">
        <v>0</v>
      </c>
      <c r="L132" s="91">
        <v>0</v>
      </c>
      <c r="M132" s="92">
        <v>78</v>
      </c>
      <c r="N132" s="94">
        <v>1080</v>
      </c>
      <c r="O132" s="92">
        <v>2</v>
      </c>
      <c r="P132" s="94">
        <f t="shared" si="13"/>
        <v>540</v>
      </c>
      <c r="Q132" s="94"/>
      <c r="R132" s="102">
        <v>540</v>
      </c>
      <c r="S132" s="92">
        <f t="shared" si="14"/>
        <v>0</v>
      </c>
      <c r="T132" s="102">
        <f t="shared" si="15"/>
        <v>2215.3846153846152</v>
      </c>
      <c r="U132" s="101">
        <f t="shared" si="16"/>
        <v>0</v>
      </c>
      <c r="V132" s="101">
        <f t="shared" si="17"/>
        <v>0</v>
      </c>
      <c r="W132" s="101">
        <v>0</v>
      </c>
      <c r="X132" s="55">
        <f t="shared" si="11"/>
        <v>46153.159143518518</v>
      </c>
    </row>
    <row r="133" spans="1:24" s="121" customFormat="1" ht="26.5" hidden="1" x14ac:dyDescent="0.35">
      <c r="A133" s="46">
        <f t="shared" si="12"/>
        <v>46153.159143518518</v>
      </c>
      <c r="B133" s="46"/>
      <c r="C133" s="46"/>
      <c r="D133" s="46"/>
      <c r="E133" s="47" t="s">
        <v>289</v>
      </c>
      <c r="F133" s="82" t="s">
        <v>290</v>
      </c>
      <c r="G133" s="82"/>
      <c r="H133" s="98" t="s">
        <v>291</v>
      </c>
      <c r="I133" s="82" t="s">
        <v>292</v>
      </c>
      <c r="J133" s="100" t="s">
        <v>140</v>
      </c>
      <c r="K133" s="91">
        <v>0</v>
      </c>
      <c r="L133" s="91">
        <v>0</v>
      </c>
      <c r="M133" s="92">
        <v>120</v>
      </c>
      <c r="N133" s="94">
        <v>3000</v>
      </c>
      <c r="O133" s="92">
        <v>2</v>
      </c>
      <c r="P133" s="94">
        <f t="shared" si="13"/>
        <v>1500</v>
      </c>
      <c r="Q133" s="94"/>
      <c r="R133" s="92">
        <v>1500</v>
      </c>
      <c r="S133" s="92">
        <f t="shared" si="14"/>
        <v>0</v>
      </c>
      <c r="T133" s="102">
        <f t="shared" si="15"/>
        <v>1440</v>
      </c>
      <c r="U133" s="101">
        <f t="shared" si="16"/>
        <v>0</v>
      </c>
      <c r="V133" s="101">
        <f t="shared" si="17"/>
        <v>0</v>
      </c>
      <c r="W133" s="101">
        <v>0</v>
      </c>
      <c r="X133" s="55">
        <f t="shared" si="11"/>
        <v>46153.159143518518</v>
      </c>
    </row>
    <row r="134" spans="1:24" s="118" customFormat="1" hidden="1" x14ac:dyDescent="0.35">
      <c r="A134" s="46">
        <f t="shared" si="12"/>
        <v>46153.159143518518</v>
      </c>
      <c r="B134" s="46"/>
      <c r="C134" s="46"/>
      <c r="D134" s="46"/>
      <c r="E134" s="47" t="s">
        <v>43</v>
      </c>
      <c r="F134" s="99" t="s">
        <v>293</v>
      </c>
      <c r="G134" s="99"/>
      <c r="H134" s="107" t="s">
        <v>294</v>
      </c>
      <c r="I134" s="82" t="s">
        <v>254</v>
      </c>
      <c r="J134" s="51" t="s">
        <v>140</v>
      </c>
      <c r="K134" s="101">
        <v>0</v>
      </c>
      <c r="L134" s="91">
        <v>0</v>
      </c>
      <c r="M134" s="102">
        <v>120</v>
      </c>
      <c r="N134" s="103">
        <v>160</v>
      </c>
      <c r="O134" s="102">
        <v>1</v>
      </c>
      <c r="P134" s="103">
        <f t="shared" si="13"/>
        <v>160</v>
      </c>
      <c r="Q134" s="103"/>
      <c r="R134" s="102">
        <v>160</v>
      </c>
      <c r="S134" s="102">
        <f t="shared" si="14"/>
        <v>0</v>
      </c>
      <c r="T134" s="102">
        <f t="shared" si="15"/>
        <v>720</v>
      </c>
      <c r="U134" s="101">
        <f t="shared" si="16"/>
        <v>0</v>
      </c>
      <c r="V134" s="101">
        <f t="shared" si="17"/>
        <v>0</v>
      </c>
      <c r="W134" s="101">
        <v>0</v>
      </c>
      <c r="X134" s="55">
        <f t="shared" si="11"/>
        <v>46153.159143518518</v>
      </c>
    </row>
    <row r="135" spans="1:24" s="118" customFormat="1" hidden="1" x14ac:dyDescent="0.35">
      <c r="A135" s="46">
        <f t="shared" si="12"/>
        <v>46153.159143518518</v>
      </c>
      <c r="B135" s="46"/>
      <c r="C135" s="46"/>
      <c r="D135" s="46"/>
      <c r="E135" s="47" t="s">
        <v>43</v>
      </c>
      <c r="F135" s="99" t="s">
        <v>293</v>
      </c>
      <c r="G135" s="99"/>
      <c r="H135" s="107" t="s">
        <v>295</v>
      </c>
      <c r="I135" s="82" t="s">
        <v>256</v>
      </c>
      <c r="J135" s="51" t="s">
        <v>140</v>
      </c>
      <c r="K135" s="101">
        <v>0</v>
      </c>
      <c r="L135" s="91">
        <v>0</v>
      </c>
      <c r="M135" s="102">
        <v>120</v>
      </c>
      <c r="N135" s="103">
        <v>160</v>
      </c>
      <c r="O135" s="102">
        <v>1</v>
      </c>
      <c r="P135" s="103">
        <f t="shared" si="13"/>
        <v>160</v>
      </c>
      <c r="Q135" s="103"/>
      <c r="R135" s="102">
        <v>160</v>
      </c>
      <c r="S135" s="102">
        <f t="shared" si="14"/>
        <v>0</v>
      </c>
      <c r="T135" s="102">
        <f t="shared" si="15"/>
        <v>720</v>
      </c>
      <c r="U135" s="101">
        <f t="shared" si="16"/>
        <v>0</v>
      </c>
      <c r="V135" s="101">
        <f t="shared" si="17"/>
        <v>0</v>
      </c>
      <c r="W135" s="101">
        <v>0</v>
      </c>
      <c r="X135" s="55">
        <f t="shared" si="11"/>
        <v>46153.159143518518</v>
      </c>
    </row>
    <row r="136" spans="1:24" s="118" customFormat="1" hidden="1" x14ac:dyDescent="0.35">
      <c r="A136" s="46">
        <f t="shared" si="12"/>
        <v>46153.159143518518</v>
      </c>
      <c r="B136" s="46"/>
      <c r="C136" s="46"/>
      <c r="D136" s="46"/>
      <c r="E136" s="47" t="s">
        <v>43</v>
      </c>
      <c r="F136" s="99" t="s">
        <v>293</v>
      </c>
      <c r="G136" s="99"/>
      <c r="H136" s="107" t="s">
        <v>296</v>
      </c>
      <c r="I136" s="82" t="s">
        <v>297</v>
      </c>
      <c r="J136" s="51" t="s">
        <v>140</v>
      </c>
      <c r="K136" s="101">
        <v>0</v>
      </c>
      <c r="L136" s="91">
        <v>0</v>
      </c>
      <c r="M136" s="102">
        <v>120</v>
      </c>
      <c r="N136" s="103">
        <v>160</v>
      </c>
      <c r="O136" s="102">
        <v>1</v>
      </c>
      <c r="P136" s="103">
        <f t="shared" si="13"/>
        <v>160</v>
      </c>
      <c r="Q136" s="103"/>
      <c r="R136" s="102">
        <v>160</v>
      </c>
      <c r="S136" s="102">
        <f t="shared" si="14"/>
        <v>0</v>
      </c>
      <c r="T136" s="102">
        <f t="shared" si="15"/>
        <v>720</v>
      </c>
      <c r="U136" s="101">
        <f t="shared" si="16"/>
        <v>0</v>
      </c>
      <c r="V136" s="101">
        <f t="shared" si="17"/>
        <v>0</v>
      </c>
      <c r="W136" s="101">
        <v>0</v>
      </c>
      <c r="X136" s="55">
        <f t="shared" si="11"/>
        <v>46153.159143518518</v>
      </c>
    </row>
    <row r="137" spans="1:24" s="118" customFormat="1" hidden="1" x14ac:dyDescent="0.35">
      <c r="A137" s="46">
        <f t="shared" si="12"/>
        <v>46153.159143518518</v>
      </c>
      <c r="B137" s="46"/>
      <c r="C137" s="46"/>
      <c r="D137" s="46"/>
      <c r="E137" s="47" t="s">
        <v>43</v>
      </c>
      <c r="F137" s="99" t="s">
        <v>293</v>
      </c>
      <c r="G137" s="99"/>
      <c r="H137" s="107" t="s">
        <v>298</v>
      </c>
      <c r="I137" s="82" t="s">
        <v>299</v>
      </c>
      <c r="J137" s="51" t="s">
        <v>140</v>
      </c>
      <c r="K137" s="101">
        <v>0</v>
      </c>
      <c r="L137" s="91">
        <v>0</v>
      </c>
      <c r="M137" s="102">
        <v>120</v>
      </c>
      <c r="N137" s="103">
        <v>160</v>
      </c>
      <c r="O137" s="102">
        <v>1</v>
      </c>
      <c r="P137" s="103">
        <f t="shared" si="13"/>
        <v>160</v>
      </c>
      <c r="Q137" s="103"/>
      <c r="R137" s="102">
        <v>160</v>
      </c>
      <c r="S137" s="102">
        <f t="shared" si="14"/>
        <v>0</v>
      </c>
      <c r="T137" s="102">
        <f t="shared" si="15"/>
        <v>720</v>
      </c>
      <c r="U137" s="101">
        <f t="shared" si="16"/>
        <v>0</v>
      </c>
      <c r="V137" s="101">
        <f t="shared" si="17"/>
        <v>0</v>
      </c>
      <c r="W137" s="101">
        <v>0</v>
      </c>
      <c r="X137" s="55">
        <f t="shared" si="11"/>
        <v>46153.159143518518</v>
      </c>
    </row>
    <row r="138" spans="1:24" s="118" customFormat="1" hidden="1" x14ac:dyDescent="0.35">
      <c r="A138" s="46">
        <f t="shared" si="12"/>
        <v>46153.159143518518</v>
      </c>
      <c r="B138" s="46"/>
      <c r="C138" s="46"/>
      <c r="D138" s="46"/>
      <c r="E138" s="47" t="s">
        <v>43</v>
      </c>
      <c r="F138" s="99" t="s">
        <v>293</v>
      </c>
      <c r="G138" s="99"/>
      <c r="H138" s="107" t="s">
        <v>300</v>
      </c>
      <c r="I138" s="82" t="s">
        <v>301</v>
      </c>
      <c r="J138" s="51" t="s">
        <v>140</v>
      </c>
      <c r="K138" s="101">
        <v>0</v>
      </c>
      <c r="L138" s="91">
        <v>0</v>
      </c>
      <c r="M138" s="102">
        <v>120</v>
      </c>
      <c r="N138" s="103">
        <v>160</v>
      </c>
      <c r="O138" s="102">
        <v>1</v>
      </c>
      <c r="P138" s="103">
        <f t="shared" si="13"/>
        <v>160</v>
      </c>
      <c r="Q138" s="103"/>
      <c r="R138" s="102">
        <v>160</v>
      </c>
      <c r="S138" s="102">
        <f t="shared" si="14"/>
        <v>0</v>
      </c>
      <c r="T138" s="102">
        <f t="shared" si="15"/>
        <v>720</v>
      </c>
      <c r="U138" s="101">
        <f t="shared" si="16"/>
        <v>0</v>
      </c>
      <c r="V138" s="101">
        <f t="shared" si="17"/>
        <v>0</v>
      </c>
      <c r="W138" s="101">
        <v>0</v>
      </c>
      <c r="X138" s="55">
        <f t="shared" si="11"/>
        <v>46153.159143518518</v>
      </c>
    </row>
    <row r="139" spans="1:24" hidden="1" x14ac:dyDescent="0.35">
      <c r="A139" s="46">
        <f t="shared" si="12"/>
        <v>46153.159143518518</v>
      </c>
      <c r="B139" s="46"/>
      <c r="C139" s="46"/>
      <c r="D139" s="46"/>
      <c r="E139" s="47" t="s">
        <v>43</v>
      </c>
      <c r="F139" s="99" t="s">
        <v>293</v>
      </c>
      <c r="G139" s="99"/>
      <c r="H139" s="107" t="s">
        <v>302</v>
      </c>
      <c r="I139" s="82" t="s">
        <v>303</v>
      </c>
      <c r="J139" s="51" t="s">
        <v>140</v>
      </c>
      <c r="K139" s="101">
        <v>0</v>
      </c>
      <c r="L139" s="91">
        <v>0</v>
      </c>
      <c r="M139" s="102">
        <v>120</v>
      </c>
      <c r="N139" s="103">
        <v>160</v>
      </c>
      <c r="O139" s="102">
        <v>1</v>
      </c>
      <c r="P139" s="103">
        <f t="shared" si="13"/>
        <v>160</v>
      </c>
      <c r="Q139" s="103"/>
      <c r="R139" s="102">
        <v>160</v>
      </c>
      <c r="S139" s="102">
        <f t="shared" si="14"/>
        <v>0</v>
      </c>
      <c r="T139" s="102">
        <f t="shared" si="15"/>
        <v>720</v>
      </c>
      <c r="U139" s="101">
        <f t="shared" si="16"/>
        <v>0</v>
      </c>
      <c r="V139" s="101">
        <f t="shared" si="17"/>
        <v>0</v>
      </c>
      <c r="W139" s="101">
        <v>0</v>
      </c>
      <c r="X139" s="55">
        <f t="shared" ref="X139:X155" si="18">A139+K139+V139+W139+L139</f>
        <v>46153.159143518518</v>
      </c>
    </row>
    <row r="140" spans="1:24" hidden="1" x14ac:dyDescent="0.35">
      <c r="A140" s="46">
        <f t="shared" ref="A140:A195" si="19">X139</f>
        <v>46153.159143518518</v>
      </c>
      <c r="B140" s="46"/>
      <c r="C140" s="46"/>
      <c r="D140" s="46"/>
      <c r="E140" s="47" t="s">
        <v>43</v>
      </c>
      <c r="F140" s="99" t="s">
        <v>293</v>
      </c>
      <c r="G140" s="99"/>
      <c r="H140" s="107" t="s">
        <v>304</v>
      </c>
      <c r="I140" s="82" t="s">
        <v>305</v>
      </c>
      <c r="J140" s="51" t="s">
        <v>140</v>
      </c>
      <c r="K140" s="101">
        <v>0</v>
      </c>
      <c r="L140" s="101">
        <v>0</v>
      </c>
      <c r="M140" s="102">
        <v>120</v>
      </c>
      <c r="N140" s="103">
        <v>160</v>
      </c>
      <c r="O140" s="102">
        <v>1</v>
      </c>
      <c r="P140" s="103">
        <f t="shared" si="13"/>
        <v>160</v>
      </c>
      <c r="Q140" s="103"/>
      <c r="R140" s="102">
        <v>160</v>
      </c>
      <c r="S140" s="102">
        <f t="shared" si="14"/>
        <v>0</v>
      </c>
      <c r="T140" s="102">
        <f t="shared" si="15"/>
        <v>720</v>
      </c>
      <c r="U140" s="101">
        <f t="shared" si="16"/>
        <v>0</v>
      </c>
      <c r="V140" s="101">
        <f t="shared" si="17"/>
        <v>0</v>
      </c>
      <c r="W140" s="101">
        <v>0</v>
      </c>
      <c r="X140" s="55">
        <f t="shared" si="18"/>
        <v>46153.159143518518</v>
      </c>
    </row>
    <row r="141" spans="1:24" hidden="1" x14ac:dyDescent="0.35">
      <c r="A141" s="46">
        <f t="shared" si="19"/>
        <v>46153.159143518518</v>
      </c>
      <c r="B141" s="46"/>
      <c r="C141" s="46"/>
      <c r="D141" s="46"/>
      <c r="E141" s="47" t="s">
        <v>43</v>
      </c>
      <c r="F141" s="99" t="s">
        <v>293</v>
      </c>
      <c r="G141" s="99"/>
      <c r="H141" s="107" t="s">
        <v>306</v>
      </c>
      <c r="I141" s="82" t="s">
        <v>307</v>
      </c>
      <c r="J141" s="51" t="s">
        <v>140</v>
      </c>
      <c r="K141" s="101">
        <v>0</v>
      </c>
      <c r="L141" s="101">
        <v>0</v>
      </c>
      <c r="M141" s="102">
        <v>120</v>
      </c>
      <c r="N141" s="103">
        <v>160</v>
      </c>
      <c r="O141" s="102">
        <v>1</v>
      </c>
      <c r="P141" s="103">
        <f t="shared" si="13"/>
        <v>160</v>
      </c>
      <c r="Q141" s="103"/>
      <c r="R141" s="102">
        <v>160</v>
      </c>
      <c r="S141" s="102">
        <f t="shared" si="14"/>
        <v>0</v>
      </c>
      <c r="T141" s="102">
        <f t="shared" si="15"/>
        <v>720</v>
      </c>
      <c r="U141" s="101">
        <f t="shared" si="16"/>
        <v>0</v>
      </c>
      <c r="V141" s="101">
        <f t="shared" si="17"/>
        <v>0</v>
      </c>
      <c r="W141" s="101">
        <v>0</v>
      </c>
      <c r="X141" s="55">
        <f t="shared" si="18"/>
        <v>46153.159143518518</v>
      </c>
    </row>
    <row r="142" spans="1:24" hidden="1" x14ac:dyDescent="0.35">
      <c r="A142" s="46">
        <f t="shared" si="19"/>
        <v>46153.159143518518</v>
      </c>
      <c r="B142" s="46"/>
      <c r="C142" s="46"/>
      <c r="D142" s="46"/>
      <c r="E142" s="47" t="s">
        <v>43</v>
      </c>
      <c r="F142" s="99" t="s">
        <v>293</v>
      </c>
      <c r="G142" s="99"/>
      <c r="H142" s="107" t="s">
        <v>308</v>
      </c>
      <c r="I142" s="82" t="s">
        <v>309</v>
      </c>
      <c r="J142" s="51" t="s">
        <v>140</v>
      </c>
      <c r="K142" s="101">
        <v>0</v>
      </c>
      <c r="L142" s="101">
        <v>0</v>
      </c>
      <c r="M142" s="102">
        <v>120</v>
      </c>
      <c r="N142" s="103">
        <v>160</v>
      </c>
      <c r="O142" s="102">
        <v>1</v>
      </c>
      <c r="P142" s="103">
        <f t="shared" si="13"/>
        <v>160</v>
      </c>
      <c r="Q142" s="103"/>
      <c r="R142" s="102">
        <v>160</v>
      </c>
      <c r="S142" s="102">
        <f t="shared" si="14"/>
        <v>0</v>
      </c>
      <c r="T142" s="102">
        <f t="shared" si="15"/>
        <v>720</v>
      </c>
      <c r="U142" s="101">
        <f t="shared" si="16"/>
        <v>0</v>
      </c>
      <c r="V142" s="101">
        <f t="shared" si="17"/>
        <v>0</v>
      </c>
      <c r="W142" s="101">
        <v>0</v>
      </c>
      <c r="X142" s="55">
        <f t="shared" si="18"/>
        <v>46153.159143518518</v>
      </c>
    </row>
    <row r="143" spans="1:24" hidden="1" x14ac:dyDescent="0.35">
      <c r="A143" s="46">
        <f t="shared" si="19"/>
        <v>46153.159143518518</v>
      </c>
      <c r="B143" s="46"/>
      <c r="C143" s="46"/>
      <c r="D143" s="46"/>
      <c r="E143" s="47" t="s">
        <v>43</v>
      </c>
      <c r="F143" s="99" t="s">
        <v>293</v>
      </c>
      <c r="G143" s="99"/>
      <c r="H143" s="107" t="s">
        <v>310</v>
      </c>
      <c r="I143" s="82" t="s">
        <v>311</v>
      </c>
      <c r="J143" s="51" t="s">
        <v>140</v>
      </c>
      <c r="K143" s="101">
        <v>0</v>
      </c>
      <c r="L143" s="101">
        <v>0</v>
      </c>
      <c r="M143" s="102">
        <v>120</v>
      </c>
      <c r="N143" s="103">
        <v>160</v>
      </c>
      <c r="O143" s="102">
        <v>1</v>
      </c>
      <c r="P143" s="103">
        <f t="shared" si="13"/>
        <v>160</v>
      </c>
      <c r="Q143" s="103"/>
      <c r="R143" s="102">
        <v>160</v>
      </c>
      <c r="S143" s="102">
        <f t="shared" si="14"/>
        <v>0</v>
      </c>
      <c r="T143" s="102">
        <f t="shared" si="15"/>
        <v>720</v>
      </c>
      <c r="U143" s="101">
        <f t="shared" si="16"/>
        <v>0</v>
      </c>
      <c r="V143" s="101">
        <f t="shared" si="17"/>
        <v>0</v>
      </c>
      <c r="W143" s="101">
        <v>0</v>
      </c>
      <c r="X143" s="55">
        <f t="shared" si="18"/>
        <v>46153.159143518518</v>
      </c>
    </row>
    <row r="144" spans="1:24" s="118" customFormat="1" hidden="1" x14ac:dyDescent="0.35">
      <c r="A144" s="46">
        <f t="shared" si="19"/>
        <v>46153.159143518518</v>
      </c>
      <c r="B144" s="46"/>
      <c r="C144" s="46"/>
      <c r="D144" s="46"/>
      <c r="E144" s="47" t="s">
        <v>43</v>
      </c>
      <c r="F144" s="82" t="s">
        <v>312</v>
      </c>
      <c r="G144" s="82"/>
      <c r="H144" s="98" t="s">
        <v>313</v>
      </c>
      <c r="I144" s="99" t="s">
        <v>97</v>
      </c>
      <c r="J144" s="51" t="s">
        <v>140</v>
      </c>
      <c r="K144" s="91">
        <v>0</v>
      </c>
      <c r="L144" s="91">
        <v>0</v>
      </c>
      <c r="M144" s="92">
        <v>110</v>
      </c>
      <c r="N144" s="94">
        <v>1500</v>
      </c>
      <c r="O144" s="92">
        <v>1</v>
      </c>
      <c r="P144" s="94">
        <f t="shared" ref="P144:P193" si="20">N144/O144</f>
        <v>1500</v>
      </c>
      <c r="Q144" s="94"/>
      <c r="R144" s="92">
        <v>1500</v>
      </c>
      <c r="S144" s="92">
        <f t="shared" ref="S144:S193" si="21">P144-R144</f>
        <v>0</v>
      </c>
      <c r="T144" s="92">
        <f t="shared" ref="T144:T178" si="22">((3600/M144)*O144)*24</f>
        <v>785.4545454545455</v>
      </c>
      <c r="U144" s="91">
        <f t="shared" ref="U144:U178" si="23">(P144-R144)*M144/3600</f>
        <v>0</v>
      </c>
      <c r="V144" s="91">
        <f t="shared" ref="V144:V178" si="24">(P144-R144)*M144/3600/24</f>
        <v>0</v>
      </c>
      <c r="W144" s="91">
        <v>0</v>
      </c>
      <c r="X144" s="55">
        <f t="shared" si="18"/>
        <v>46153.159143518518</v>
      </c>
    </row>
    <row r="145" spans="1:24" s="118" customFormat="1" ht="26.5" hidden="1" x14ac:dyDescent="0.35">
      <c r="A145" s="46">
        <f t="shared" si="19"/>
        <v>46153.159143518518</v>
      </c>
      <c r="B145" s="46"/>
      <c r="C145" s="46"/>
      <c r="D145" s="46"/>
      <c r="E145" s="47" t="s">
        <v>43</v>
      </c>
      <c r="F145" s="82" t="s">
        <v>314</v>
      </c>
      <c r="G145" s="82" t="s">
        <v>315</v>
      </c>
      <c r="H145" s="98" t="s">
        <v>316</v>
      </c>
      <c r="I145" s="82" t="s">
        <v>292</v>
      </c>
      <c r="J145" s="100" t="s">
        <v>140</v>
      </c>
      <c r="K145" s="91">
        <v>0</v>
      </c>
      <c r="L145" s="91">
        <v>0</v>
      </c>
      <c r="M145" s="92">
        <v>85</v>
      </c>
      <c r="N145" s="94">
        <v>14000</v>
      </c>
      <c r="O145" s="92">
        <v>2</v>
      </c>
      <c r="P145" s="94">
        <f t="shared" si="20"/>
        <v>7000</v>
      </c>
      <c r="Q145" s="94"/>
      <c r="R145" s="92">
        <v>7000</v>
      </c>
      <c r="S145" s="92">
        <f t="shared" si="21"/>
        <v>0</v>
      </c>
      <c r="T145" s="102">
        <f t="shared" si="22"/>
        <v>2032.9411764705883</v>
      </c>
      <c r="U145" s="101">
        <f t="shared" si="23"/>
        <v>0</v>
      </c>
      <c r="V145" s="101">
        <f t="shared" si="24"/>
        <v>0</v>
      </c>
      <c r="W145" s="101">
        <v>0</v>
      </c>
      <c r="X145" s="55">
        <f t="shared" si="18"/>
        <v>46153.159143518518</v>
      </c>
    </row>
    <row r="146" spans="1:24" s="118" customFormat="1" ht="26.5" hidden="1" x14ac:dyDescent="0.35">
      <c r="A146" s="46">
        <f t="shared" si="19"/>
        <v>46153.159143518518</v>
      </c>
      <c r="B146" s="46"/>
      <c r="C146" s="46"/>
      <c r="D146" s="46"/>
      <c r="E146" s="47" t="s">
        <v>43</v>
      </c>
      <c r="F146" s="82" t="s">
        <v>314</v>
      </c>
      <c r="G146" s="82" t="s">
        <v>315</v>
      </c>
      <c r="H146" s="98" t="s">
        <v>317</v>
      </c>
      <c r="I146" s="82" t="s">
        <v>292</v>
      </c>
      <c r="J146" s="100" t="s">
        <v>140</v>
      </c>
      <c r="K146" s="91">
        <v>0</v>
      </c>
      <c r="L146" s="91">
        <v>0</v>
      </c>
      <c r="M146" s="92">
        <v>85</v>
      </c>
      <c r="N146" s="94">
        <v>2054</v>
      </c>
      <c r="O146" s="92">
        <v>2</v>
      </c>
      <c r="P146" s="94">
        <f t="shared" si="20"/>
        <v>1027</v>
      </c>
      <c r="Q146" s="94"/>
      <c r="R146" s="92">
        <v>1027</v>
      </c>
      <c r="S146" s="92">
        <f t="shared" si="21"/>
        <v>0</v>
      </c>
      <c r="T146" s="102">
        <f t="shared" si="22"/>
        <v>2032.9411764705883</v>
      </c>
      <c r="U146" s="101">
        <f t="shared" si="23"/>
        <v>0</v>
      </c>
      <c r="V146" s="101">
        <f t="shared" si="24"/>
        <v>0</v>
      </c>
      <c r="W146" s="101">
        <v>0</v>
      </c>
      <c r="X146" s="55">
        <f t="shared" si="18"/>
        <v>46153.159143518518</v>
      </c>
    </row>
    <row r="147" spans="1:24" s="122" customFormat="1" hidden="1" x14ac:dyDescent="0.35">
      <c r="A147" s="46">
        <f t="shared" si="19"/>
        <v>46153.159143518518</v>
      </c>
      <c r="B147" s="46"/>
      <c r="C147" s="46"/>
      <c r="D147" s="46"/>
      <c r="E147" s="47" t="s">
        <v>318</v>
      </c>
      <c r="F147" s="99" t="s">
        <v>319</v>
      </c>
      <c r="G147" s="99" t="s">
        <v>315</v>
      </c>
      <c r="H147" s="107" t="s">
        <v>320</v>
      </c>
      <c r="I147" s="82" t="s">
        <v>252</v>
      </c>
      <c r="J147" s="51" t="s">
        <v>140</v>
      </c>
      <c r="K147" s="101">
        <v>0</v>
      </c>
      <c r="L147" s="101">
        <v>0</v>
      </c>
      <c r="M147" s="102">
        <v>120</v>
      </c>
      <c r="N147" s="103">
        <v>250</v>
      </c>
      <c r="O147" s="102">
        <v>1</v>
      </c>
      <c r="P147" s="103">
        <f t="shared" si="20"/>
        <v>250</v>
      </c>
      <c r="Q147" s="103"/>
      <c r="R147" s="102">
        <v>250</v>
      </c>
      <c r="S147" s="102">
        <f t="shared" si="21"/>
        <v>0</v>
      </c>
      <c r="T147" s="102">
        <f t="shared" si="22"/>
        <v>720</v>
      </c>
      <c r="U147" s="101">
        <f t="shared" si="23"/>
        <v>0</v>
      </c>
      <c r="V147" s="101">
        <f t="shared" si="24"/>
        <v>0</v>
      </c>
      <c r="W147" s="101">
        <v>0</v>
      </c>
      <c r="X147" s="55">
        <f t="shared" si="18"/>
        <v>46153.159143518518</v>
      </c>
    </row>
    <row r="148" spans="1:24" s="122" customFormat="1" hidden="1" x14ac:dyDescent="0.35">
      <c r="A148" s="46">
        <f t="shared" si="19"/>
        <v>46153.159143518518</v>
      </c>
      <c r="B148" s="46"/>
      <c r="C148" s="46"/>
      <c r="D148" s="46"/>
      <c r="E148" s="47" t="s">
        <v>318</v>
      </c>
      <c r="F148" s="99" t="s">
        <v>319</v>
      </c>
      <c r="G148" s="99" t="s">
        <v>315</v>
      </c>
      <c r="H148" s="107" t="s">
        <v>321</v>
      </c>
      <c r="I148" s="82" t="s">
        <v>256</v>
      </c>
      <c r="J148" s="51" t="s">
        <v>140</v>
      </c>
      <c r="K148" s="101">
        <v>0</v>
      </c>
      <c r="L148" s="101">
        <v>0</v>
      </c>
      <c r="M148" s="102">
        <v>120</v>
      </c>
      <c r="N148" s="103">
        <v>75</v>
      </c>
      <c r="O148" s="102">
        <v>1</v>
      </c>
      <c r="P148" s="103">
        <f t="shared" si="20"/>
        <v>75</v>
      </c>
      <c r="Q148" s="103"/>
      <c r="R148" s="102">
        <v>75</v>
      </c>
      <c r="S148" s="102">
        <f t="shared" si="21"/>
        <v>0</v>
      </c>
      <c r="T148" s="102">
        <f t="shared" si="22"/>
        <v>720</v>
      </c>
      <c r="U148" s="101">
        <f t="shared" si="23"/>
        <v>0</v>
      </c>
      <c r="V148" s="101">
        <f t="shared" si="24"/>
        <v>0</v>
      </c>
      <c r="W148" s="101">
        <v>0</v>
      </c>
      <c r="X148" s="55">
        <f t="shared" si="18"/>
        <v>46153.159143518518</v>
      </c>
    </row>
    <row r="149" spans="1:24" s="122" customFormat="1" hidden="1" x14ac:dyDescent="0.35">
      <c r="A149" s="46">
        <f t="shared" si="19"/>
        <v>46153.159143518518</v>
      </c>
      <c r="B149" s="46"/>
      <c r="C149" s="46"/>
      <c r="D149" s="46"/>
      <c r="E149" s="47" t="s">
        <v>318</v>
      </c>
      <c r="F149" s="99" t="s">
        <v>319</v>
      </c>
      <c r="G149" s="99" t="s">
        <v>315</v>
      </c>
      <c r="H149" s="107" t="s">
        <v>322</v>
      </c>
      <c r="I149" s="82" t="s">
        <v>254</v>
      </c>
      <c r="J149" s="51" t="s">
        <v>140</v>
      </c>
      <c r="K149" s="101">
        <v>0</v>
      </c>
      <c r="L149" s="101">
        <v>0</v>
      </c>
      <c r="M149" s="102">
        <v>120</v>
      </c>
      <c r="N149" s="103">
        <v>67</v>
      </c>
      <c r="O149" s="102">
        <v>1</v>
      </c>
      <c r="P149" s="103">
        <f t="shared" si="20"/>
        <v>67</v>
      </c>
      <c r="Q149" s="103"/>
      <c r="R149" s="102">
        <v>67</v>
      </c>
      <c r="S149" s="102">
        <f t="shared" si="21"/>
        <v>0</v>
      </c>
      <c r="T149" s="102">
        <f t="shared" si="22"/>
        <v>720</v>
      </c>
      <c r="U149" s="101">
        <f t="shared" si="23"/>
        <v>0</v>
      </c>
      <c r="V149" s="101">
        <f t="shared" si="24"/>
        <v>0</v>
      </c>
      <c r="W149" s="101">
        <v>0</v>
      </c>
      <c r="X149" s="55">
        <f t="shared" si="18"/>
        <v>46153.159143518518</v>
      </c>
    </row>
    <row r="150" spans="1:24" s="122" customFormat="1" hidden="1" x14ac:dyDescent="0.35">
      <c r="A150" s="46">
        <f t="shared" si="19"/>
        <v>46153.159143518518</v>
      </c>
      <c r="B150" s="46"/>
      <c r="C150" s="46"/>
      <c r="D150" s="46"/>
      <c r="E150" s="47" t="s">
        <v>318</v>
      </c>
      <c r="F150" s="99" t="s">
        <v>319</v>
      </c>
      <c r="G150" s="99" t="s">
        <v>315</v>
      </c>
      <c r="H150" s="107" t="s">
        <v>323</v>
      </c>
      <c r="I150" s="82" t="s">
        <v>297</v>
      </c>
      <c r="J150" s="51" t="s">
        <v>140</v>
      </c>
      <c r="K150" s="101">
        <v>0</v>
      </c>
      <c r="L150" s="101">
        <v>0</v>
      </c>
      <c r="M150" s="102">
        <v>120</v>
      </c>
      <c r="N150" s="103">
        <v>80</v>
      </c>
      <c r="O150" s="102">
        <v>1</v>
      </c>
      <c r="P150" s="103">
        <f t="shared" si="20"/>
        <v>80</v>
      </c>
      <c r="Q150" s="103"/>
      <c r="R150" s="102">
        <v>80</v>
      </c>
      <c r="S150" s="102">
        <f t="shared" si="21"/>
        <v>0</v>
      </c>
      <c r="T150" s="102">
        <f t="shared" si="22"/>
        <v>720</v>
      </c>
      <c r="U150" s="101">
        <f t="shared" si="23"/>
        <v>0</v>
      </c>
      <c r="V150" s="101">
        <f t="shared" si="24"/>
        <v>0</v>
      </c>
      <c r="W150" s="101">
        <v>0</v>
      </c>
      <c r="X150" s="55">
        <f t="shared" si="18"/>
        <v>46153.159143518518</v>
      </c>
    </row>
    <row r="151" spans="1:24" s="122" customFormat="1" hidden="1" x14ac:dyDescent="0.35">
      <c r="A151" s="46">
        <f t="shared" si="19"/>
        <v>46153.159143518518</v>
      </c>
      <c r="B151" s="46"/>
      <c r="C151" s="46"/>
      <c r="D151" s="46"/>
      <c r="E151" s="47" t="s">
        <v>318</v>
      </c>
      <c r="F151" s="99" t="s">
        <v>319</v>
      </c>
      <c r="G151" s="99" t="s">
        <v>315</v>
      </c>
      <c r="H151" s="107" t="s">
        <v>324</v>
      </c>
      <c r="I151" s="82" t="s">
        <v>299</v>
      </c>
      <c r="J151" s="51" t="s">
        <v>140</v>
      </c>
      <c r="K151" s="101">
        <v>0</v>
      </c>
      <c r="L151" s="101">
        <v>0</v>
      </c>
      <c r="M151" s="102">
        <v>120</v>
      </c>
      <c r="N151" s="103">
        <v>84</v>
      </c>
      <c r="O151" s="102">
        <v>1</v>
      </c>
      <c r="P151" s="103">
        <f t="shared" si="20"/>
        <v>84</v>
      </c>
      <c r="Q151" s="103"/>
      <c r="R151" s="102">
        <v>84</v>
      </c>
      <c r="S151" s="102">
        <f t="shared" si="21"/>
        <v>0</v>
      </c>
      <c r="T151" s="102">
        <f t="shared" si="22"/>
        <v>720</v>
      </c>
      <c r="U151" s="101">
        <f t="shared" si="23"/>
        <v>0</v>
      </c>
      <c r="V151" s="101">
        <f t="shared" si="24"/>
        <v>0</v>
      </c>
      <c r="W151" s="101">
        <v>0</v>
      </c>
      <c r="X151" s="55">
        <f t="shared" si="18"/>
        <v>46153.159143518518</v>
      </c>
    </row>
    <row r="152" spans="1:24" s="122" customFormat="1" hidden="1" x14ac:dyDescent="0.35">
      <c r="A152" s="46">
        <f t="shared" si="19"/>
        <v>46153.159143518518</v>
      </c>
      <c r="B152" s="46"/>
      <c r="C152" s="46"/>
      <c r="D152" s="46"/>
      <c r="E152" s="47" t="s">
        <v>318</v>
      </c>
      <c r="F152" s="99" t="s">
        <v>319</v>
      </c>
      <c r="G152" s="99" t="s">
        <v>315</v>
      </c>
      <c r="H152" s="107" t="s">
        <v>325</v>
      </c>
      <c r="I152" s="82" t="s">
        <v>301</v>
      </c>
      <c r="J152" s="51" t="s">
        <v>140</v>
      </c>
      <c r="K152" s="101">
        <v>0</v>
      </c>
      <c r="L152" s="101">
        <v>0</v>
      </c>
      <c r="M152" s="102">
        <v>120</v>
      </c>
      <c r="N152" s="103">
        <v>69</v>
      </c>
      <c r="O152" s="102">
        <v>1</v>
      </c>
      <c r="P152" s="103">
        <f t="shared" si="20"/>
        <v>69</v>
      </c>
      <c r="Q152" s="103"/>
      <c r="R152" s="102">
        <v>69</v>
      </c>
      <c r="S152" s="102">
        <f t="shared" si="21"/>
        <v>0</v>
      </c>
      <c r="T152" s="102">
        <f t="shared" si="22"/>
        <v>720</v>
      </c>
      <c r="U152" s="101">
        <f t="shared" si="23"/>
        <v>0</v>
      </c>
      <c r="V152" s="101">
        <f t="shared" si="24"/>
        <v>0</v>
      </c>
      <c r="W152" s="101">
        <v>0</v>
      </c>
      <c r="X152" s="55">
        <f t="shared" si="18"/>
        <v>46153.159143518518</v>
      </c>
    </row>
    <row r="153" spans="1:24" s="118" customFormat="1" ht="39.5" hidden="1" x14ac:dyDescent="0.35">
      <c r="A153" s="46">
        <f t="shared" si="19"/>
        <v>46153.159143518518</v>
      </c>
      <c r="B153" s="46"/>
      <c r="C153" s="46"/>
      <c r="D153" s="46"/>
      <c r="E153" s="47" t="s">
        <v>43</v>
      </c>
      <c r="F153" s="69" t="s">
        <v>326</v>
      </c>
      <c r="G153" s="97" t="s">
        <v>327</v>
      </c>
      <c r="H153" s="107" t="s">
        <v>328</v>
      </c>
      <c r="I153" s="99" t="s">
        <v>261</v>
      </c>
      <c r="J153" s="100" t="s">
        <v>140</v>
      </c>
      <c r="K153" s="91">
        <v>0</v>
      </c>
      <c r="L153" s="91">
        <v>0</v>
      </c>
      <c r="M153" s="92">
        <v>70</v>
      </c>
      <c r="N153" s="94">
        <v>250</v>
      </c>
      <c r="O153" s="92">
        <v>1</v>
      </c>
      <c r="P153" s="94">
        <f t="shared" si="20"/>
        <v>250</v>
      </c>
      <c r="Q153" s="94"/>
      <c r="R153" s="92">
        <v>250</v>
      </c>
      <c r="S153" s="92">
        <f t="shared" si="21"/>
        <v>0</v>
      </c>
      <c r="T153" s="102">
        <f t="shared" si="22"/>
        <v>1234.2857142857142</v>
      </c>
      <c r="U153" s="101">
        <f t="shared" si="23"/>
        <v>0</v>
      </c>
      <c r="V153" s="101">
        <f t="shared" si="24"/>
        <v>0</v>
      </c>
      <c r="W153" s="101">
        <v>0</v>
      </c>
      <c r="X153" s="55">
        <f t="shared" si="18"/>
        <v>46153.159143518518</v>
      </c>
    </row>
    <row r="154" spans="1:24" ht="26.5" hidden="1" x14ac:dyDescent="0.35">
      <c r="A154" s="123">
        <f t="shared" si="19"/>
        <v>46153.159143518518</v>
      </c>
      <c r="B154" s="123"/>
      <c r="C154" s="123"/>
      <c r="D154" s="123"/>
      <c r="E154" s="124" t="s">
        <v>43</v>
      </c>
      <c r="F154" s="125" t="s">
        <v>329</v>
      </c>
      <c r="G154" s="125" t="s">
        <v>327</v>
      </c>
      <c r="H154" s="126" t="s">
        <v>330</v>
      </c>
      <c r="I154" s="127" t="s">
        <v>4194</v>
      </c>
      <c r="J154" s="128" t="s">
        <v>140</v>
      </c>
      <c r="K154" s="129">
        <v>0</v>
      </c>
      <c r="L154" s="129">
        <v>0</v>
      </c>
      <c r="M154" s="130">
        <v>84</v>
      </c>
      <c r="N154" s="131">
        <v>2000</v>
      </c>
      <c r="O154" s="132">
        <v>1</v>
      </c>
      <c r="P154" s="133">
        <f t="shared" si="20"/>
        <v>2000</v>
      </c>
      <c r="Q154" s="134"/>
      <c r="R154" s="135">
        <v>2000</v>
      </c>
      <c r="S154" s="132">
        <f t="shared" si="21"/>
        <v>0</v>
      </c>
      <c r="T154" s="132">
        <f t="shared" si="22"/>
        <v>1028.5714285714284</v>
      </c>
      <c r="U154" s="136">
        <f t="shared" si="23"/>
        <v>0</v>
      </c>
      <c r="V154" s="129">
        <f t="shared" si="24"/>
        <v>0</v>
      </c>
      <c r="W154" s="129">
        <v>0</v>
      </c>
      <c r="X154" s="137">
        <f t="shared" si="18"/>
        <v>46153.159143518518</v>
      </c>
    </row>
    <row r="155" spans="1:24" ht="26.5" hidden="1" x14ac:dyDescent="0.35">
      <c r="A155" s="138">
        <f t="shared" si="19"/>
        <v>46153.159143518518</v>
      </c>
      <c r="B155" s="138"/>
      <c r="C155" s="138"/>
      <c r="D155" s="138"/>
      <c r="E155" s="139" t="s">
        <v>43</v>
      </c>
      <c r="F155" s="140" t="s">
        <v>331</v>
      </c>
      <c r="G155" s="140" t="s">
        <v>327</v>
      </c>
      <c r="H155" s="141" t="s">
        <v>332</v>
      </c>
      <c r="I155" s="142" t="s">
        <v>333</v>
      </c>
      <c r="J155" s="143" t="s">
        <v>140</v>
      </c>
      <c r="K155" s="144">
        <v>0</v>
      </c>
      <c r="L155" s="144">
        <v>0</v>
      </c>
      <c r="M155" s="145">
        <v>84</v>
      </c>
      <c r="N155" s="146">
        <v>200</v>
      </c>
      <c r="O155" s="145">
        <v>1</v>
      </c>
      <c r="P155" s="146">
        <f t="shared" si="20"/>
        <v>200</v>
      </c>
      <c r="Q155" s="146"/>
      <c r="R155" s="147">
        <v>200</v>
      </c>
      <c r="S155" s="145">
        <f t="shared" si="21"/>
        <v>0</v>
      </c>
      <c r="T155" s="148">
        <f t="shared" si="22"/>
        <v>1028.5714285714284</v>
      </c>
      <c r="U155" s="149">
        <f t="shared" si="23"/>
        <v>0</v>
      </c>
      <c r="V155" s="149">
        <f t="shared" si="24"/>
        <v>0</v>
      </c>
      <c r="W155" s="149">
        <v>0</v>
      </c>
      <c r="X155" s="150">
        <f t="shared" si="18"/>
        <v>46153.159143518518</v>
      </c>
    </row>
    <row r="156" spans="1:24" hidden="1" x14ac:dyDescent="0.35">
      <c r="A156" s="138">
        <f t="shared" si="19"/>
        <v>46153.159143518518</v>
      </c>
      <c r="B156" s="138"/>
      <c r="C156" s="138"/>
      <c r="D156" s="138"/>
      <c r="E156" s="139" t="s">
        <v>43</v>
      </c>
      <c r="F156" s="140" t="s">
        <v>334</v>
      </c>
      <c r="G156" s="151" t="s">
        <v>327</v>
      </c>
      <c r="H156" s="152" t="s">
        <v>335</v>
      </c>
      <c r="I156" s="153" t="s">
        <v>336</v>
      </c>
      <c r="J156" s="154" t="s">
        <v>140</v>
      </c>
      <c r="K156" s="149">
        <v>0</v>
      </c>
      <c r="L156" s="149">
        <v>0</v>
      </c>
      <c r="M156" s="148">
        <v>65</v>
      </c>
      <c r="N156" s="155">
        <v>100</v>
      </c>
      <c r="O156" s="156">
        <v>1</v>
      </c>
      <c r="P156" s="155">
        <f t="shared" si="20"/>
        <v>100</v>
      </c>
      <c r="Q156" s="155"/>
      <c r="R156" s="147">
        <v>100</v>
      </c>
      <c r="S156" s="148">
        <f t="shared" si="21"/>
        <v>0</v>
      </c>
      <c r="T156" s="157">
        <f t="shared" si="22"/>
        <v>1329.2307692307693</v>
      </c>
      <c r="U156" s="149">
        <f t="shared" si="23"/>
        <v>0</v>
      </c>
      <c r="V156" s="149">
        <f t="shared" si="24"/>
        <v>0</v>
      </c>
      <c r="W156" s="149">
        <v>0</v>
      </c>
      <c r="X156" s="150">
        <f>A156+K156+L156+V156+W156</f>
        <v>46153.159143518518</v>
      </c>
    </row>
    <row r="157" spans="1:24" hidden="1" x14ac:dyDescent="0.35">
      <c r="A157" s="123">
        <f t="shared" si="19"/>
        <v>46153.159143518518</v>
      </c>
      <c r="B157" s="123"/>
      <c r="C157" s="123"/>
      <c r="D157" s="123"/>
      <c r="E157" s="158" t="s">
        <v>43</v>
      </c>
      <c r="F157" s="159" t="s">
        <v>337</v>
      </c>
      <c r="G157" s="160" t="s">
        <v>327</v>
      </c>
      <c r="H157" s="126" t="s">
        <v>338</v>
      </c>
      <c r="I157" s="161" t="s">
        <v>339</v>
      </c>
      <c r="J157" s="162" t="s">
        <v>140</v>
      </c>
      <c r="K157" s="163">
        <v>0</v>
      </c>
      <c r="L157" s="163">
        <v>0</v>
      </c>
      <c r="M157" s="164">
        <v>65</v>
      </c>
      <c r="N157" s="165">
        <v>1300</v>
      </c>
      <c r="O157" s="166">
        <v>1</v>
      </c>
      <c r="P157" s="165">
        <f t="shared" si="20"/>
        <v>1300</v>
      </c>
      <c r="Q157" s="165"/>
      <c r="R157" s="167">
        <v>1300</v>
      </c>
      <c r="S157" s="164">
        <f t="shared" si="21"/>
        <v>0</v>
      </c>
      <c r="T157" s="168">
        <f t="shared" si="22"/>
        <v>1329.2307692307693</v>
      </c>
      <c r="U157" s="163">
        <f t="shared" si="23"/>
        <v>0</v>
      </c>
      <c r="V157" s="163">
        <f t="shared" si="24"/>
        <v>0</v>
      </c>
      <c r="W157" s="163">
        <v>0</v>
      </c>
      <c r="X157" s="169">
        <f>A157+K157+V157+W157+L157</f>
        <v>46153.159143518518</v>
      </c>
    </row>
    <row r="158" spans="1:24" hidden="1" x14ac:dyDescent="0.35">
      <c r="A158" s="123">
        <f t="shared" si="19"/>
        <v>46153.159143518518</v>
      </c>
      <c r="B158" s="123"/>
      <c r="C158" s="123"/>
      <c r="D158" s="123"/>
      <c r="E158" s="158" t="s">
        <v>43</v>
      </c>
      <c r="F158" s="159" t="s">
        <v>340</v>
      </c>
      <c r="G158" s="160" t="s">
        <v>327</v>
      </c>
      <c r="H158" s="126" t="s">
        <v>341</v>
      </c>
      <c r="I158" s="161" t="s">
        <v>342</v>
      </c>
      <c r="J158" s="162" t="s">
        <v>140</v>
      </c>
      <c r="K158" s="163">
        <v>0</v>
      </c>
      <c r="L158" s="163">
        <v>0.2</v>
      </c>
      <c r="M158" s="164">
        <v>65</v>
      </c>
      <c r="N158" s="165">
        <v>660</v>
      </c>
      <c r="O158" s="166">
        <v>1</v>
      </c>
      <c r="P158" s="165">
        <f t="shared" si="20"/>
        <v>660</v>
      </c>
      <c r="Q158" s="165"/>
      <c r="R158" s="167">
        <v>660</v>
      </c>
      <c r="S158" s="164">
        <f t="shared" si="21"/>
        <v>0</v>
      </c>
      <c r="T158" s="168">
        <f t="shared" si="22"/>
        <v>1329.2307692307693</v>
      </c>
      <c r="U158" s="163">
        <f t="shared" si="23"/>
        <v>0</v>
      </c>
      <c r="V158" s="163">
        <f t="shared" si="24"/>
        <v>0</v>
      </c>
      <c r="W158" s="163">
        <v>0</v>
      </c>
      <c r="X158" s="137">
        <f>A158+K158+L158+V158+W158</f>
        <v>46153.359143518515</v>
      </c>
    </row>
    <row r="159" spans="1:24" hidden="1" x14ac:dyDescent="0.35">
      <c r="A159" s="46">
        <f t="shared" si="19"/>
        <v>46153.359143518515</v>
      </c>
      <c r="B159" s="46"/>
      <c r="C159" s="46"/>
      <c r="D159" s="46"/>
      <c r="E159" s="119" t="s">
        <v>43</v>
      </c>
      <c r="F159" s="82" t="s">
        <v>343</v>
      </c>
      <c r="G159" s="69" t="s">
        <v>327</v>
      </c>
      <c r="H159" s="98" t="s">
        <v>344</v>
      </c>
      <c r="I159" s="71" t="s">
        <v>345</v>
      </c>
      <c r="J159" s="170" t="s">
        <v>140</v>
      </c>
      <c r="K159" s="101">
        <v>0</v>
      </c>
      <c r="L159" s="101">
        <v>0</v>
      </c>
      <c r="M159" s="102">
        <v>65</v>
      </c>
      <c r="N159" s="103">
        <v>300</v>
      </c>
      <c r="O159" s="171">
        <v>1</v>
      </c>
      <c r="P159" s="103">
        <f t="shared" si="20"/>
        <v>300</v>
      </c>
      <c r="Q159" s="103"/>
      <c r="R159" s="172">
        <v>300</v>
      </c>
      <c r="S159" s="102">
        <f t="shared" si="21"/>
        <v>0</v>
      </c>
      <c r="T159" s="173">
        <f t="shared" si="22"/>
        <v>1329.2307692307693</v>
      </c>
      <c r="U159" s="101">
        <f t="shared" si="23"/>
        <v>0</v>
      </c>
      <c r="V159" s="101">
        <f t="shared" si="24"/>
        <v>0</v>
      </c>
      <c r="W159" s="101">
        <v>0</v>
      </c>
      <c r="X159" s="174">
        <f>A159+K159+V159+W159+L159</f>
        <v>46153.359143518515</v>
      </c>
    </row>
    <row r="160" spans="1:24" hidden="1" x14ac:dyDescent="0.35">
      <c r="A160" s="46">
        <f t="shared" si="19"/>
        <v>46153.359143518515</v>
      </c>
      <c r="B160" s="46"/>
      <c r="C160" s="46"/>
      <c r="D160" s="46"/>
      <c r="E160" s="119" t="s">
        <v>43</v>
      </c>
      <c r="F160" s="82" t="s">
        <v>346</v>
      </c>
      <c r="G160" s="69" t="s">
        <v>327</v>
      </c>
      <c r="H160" s="98" t="s">
        <v>347</v>
      </c>
      <c r="I160" s="71" t="s">
        <v>348</v>
      </c>
      <c r="J160" s="170" t="s">
        <v>140</v>
      </c>
      <c r="K160" s="101">
        <v>0</v>
      </c>
      <c r="L160" s="101">
        <v>0</v>
      </c>
      <c r="M160" s="102">
        <v>65</v>
      </c>
      <c r="N160" s="103">
        <v>100</v>
      </c>
      <c r="O160" s="171">
        <v>1</v>
      </c>
      <c r="P160" s="103">
        <f t="shared" si="20"/>
        <v>100</v>
      </c>
      <c r="Q160" s="103"/>
      <c r="R160" s="172">
        <v>100</v>
      </c>
      <c r="S160" s="102">
        <f t="shared" si="21"/>
        <v>0</v>
      </c>
      <c r="T160" s="173">
        <f t="shared" si="22"/>
        <v>1329.2307692307693</v>
      </c>
      <c r="U160" s="101">
        <f t="shared" si="23"/>
        <v>0</v>
      </c>
      <c r="V160" s="101">
        <f t="shared" si="24"/>
        <v>0</v>
      </c>
      <c r="W160" s="101">
        <v>0</v>
      </c>
      <c r="X160" s="174">
        <f>A160+K160+V160+W160+L160</f>
        <v>46153.359143518515</v>
      </c>
    </row>
    <row r="161" spans="1:24" hidden="1" x14ac:dyDescent="0.35">
      <c r="A161" s="123">
        <f t="shared" si="19"/>
        <v>46153.359143518515</v>
      </c>
      <c r="B161" s="123"/>
      <c r="C161" s="123"/>
      <c r="D161" s="123"/>
      <c r="E161" s="158" t="s">
        <v>43</v>
      </c>
      <c r="F161" s="159" t="s">
        <v>349</v>
      </c>
      <c r="G161" s="160" t="s">
        <v>327</v>
      </c>
      <c r="H161" s="126" t="s">
        <v>350</v>
      </c>
      <c r="I161" s="161" t="s">
        <v>351</v>
      </c>
      <c r="J161" s="175" t="s">
        <v>140</v>
      </c>
      <c r="K161" s="163">
        <v>0</v>
      </c>
      <c r="L161" s="163">
        <v>0</v>
      </c>
      <c r="M161" s="164">
        <v>65</v>
      </c>
      <c r="N161" s="165">
        <v>990</v>
      </c>
      <c r="O161" s="166">
        <v>1</v>
      </c>
      <c r="P161" s="165">
        <f t="shared" si="20"/>
        <v>990</v>
      </c>
      <c r="Q161" s="165"/>
      <c r="R161" s="167">
        <v>990</v>
      </c>
      <c r="S161" s="164">
        <f t="shared" si="21"/>
        <v>0</v>
      </c>
      <c r="T161" s="168">
        <f t="shared" si="22"/>
        <v>1329.2307692307693</v>
      </c>
      <c r="U161" s="163">
        <f t="shared" si="23"/>
        <v>0</v>
      </c>
      <c r="V161" s="163">
        <f t="shared" si="24"/>
        <v>0</v>
      </c>
      <c r="W161" s="163">
        <v>0</v>
      </c>
      <c r="X161" s="169">
        <f>A161+K161+V161+W161+L161</f>
        <v>46153.359143518515</v>
      </c>
    </row>
    <row r="162" spans="1:24" s="118" customFormat="1" hidden="1" x14ac:dyDescent="0.35">
      <c r="A162" s="123">
        <f t="shared" si="19"/>
        <v>46153.359143518515</v>
      </c>
      <c r="B162" s="123"/>
      <c r="C162" s="123"/>
      <c r="D162" s="123"/>
      <c r="E162" s="158" t="s">
        <v>43</v>
      </c>
      <c r="F162" s="159" t="s">
        <v>352</v>
      </c>
      <c r="G162" s="160" t="s">
        <v>327</v>
      </c>
      <c r="H162" s="126" t="s">
        <v>353</v>
      </c>
      <c r="I162" s="161" t="s">
        <v>354</v>
      </c>
      <c r="J162" s="162" t="s">
        <v>140</v>
      </c>
      <c r="K162" s="163">
        <v>0</v>
      </c>
      <c r="L162" s="163">
        <v>0</v>
      </c>
      <c r="M162" s="164">
        <v>65</v>
      </c>
      <c r="N162" s="165">
        <v>100</v>
      </c>
      <c r="O162" s="166">
        <v>1</v>
      </c>
      <c r="P162" s="165">
        <f t="shared" si="20"/>
        <v>100</v>
      </c>
      <c r="Q162" s="165"/>
      <c r="R162" s="167">
        <v>100</v>
      </c>
      <c r="S162" s="164">
        <f t="shared" si="21"/>
        <v>0</v>
      </c>
      <c r="T162" s="168">
        <f t="shared" si="22"/>
        <v>1329.2307692307693</v>
      </c>
      <c r="U162" s="163">
        <f t="shared" si="23"/>
        <v>0</v>
      </c>
      <c r="V162" s="163">
        <f t="shared" si="24"/>
        <v>0</v>
      </c>
      <c r="W162" s="163">
        <v>0</v>
      </c>
      <c r="X162" s="137">
        <f>A162+K162+L162+V162+W162</f>
        <v>46153.359143518515</v>
      </c>
    </row>
    <row r="163" spans="1:24" hidden="1" x14ac:dyDescent="0.35">
      <c r="A163" s="123">
        <f t="shared" si="19"/>
        <v>46153.359143518515</v>
      </c>
      <c r="B163" s="123"/>
      <c r="C163" s="123"/>
      <c r="D163" s="123"/>
      <c r="E163" s="124" t="s">
        <v>43</v>
      </c>
      <c r="F163" s="159" t="s">
        <v>355</v>
      </c>
      <c r="G163" s="160" t="s">
        <v>356</v>
      </c>
      <c r="H163" s="126" t="s">
        <v>357</v>
      </c>
      <c r="I163" s="159" t="s">
        <v>274</v>
      </c>
      <c r="J163" s="175" t="s">
        <v>140</v>
      </c>
      <c r="K163" s="163">
        <v>0</v>
      </c>
      <c r="L163" s="163">
        <v>0</v>
      </c>
      <c r="M163" s="164">
        <v>67</v>
      </c>
      <c r="N163" s="165">
        <f>210*12</f>
        <v>2520</v>
      </c>
      <c r="O163" s="166">
        <v>1</v>
      </c>
      <c r="P163" s="165">
        <f t="shared" si="20"/>
        <v>2520</v>
      </c>
      <c r="Q163" s="165"/>
      <c r="R163" s="176">
        <v>2520</v>
      </c>
      <c r="S163" s="164">
        <f t="shared" si="21"/>
        <v>0</v>
      </c>
      <c r="T163" s="168">
        <f t="shared" si="22"/>
        <v>1289.5522388059703</v>
      </c>
      <c r="U163" s="163">
        <f t="shared" si="23"/>
        <v>0</v>
      </c>
      <c r="V163" s="163">
        <f t="shared" si="24"/>
        <v>0</v>
      </c>
      <c r="W163" s="163">
        <v>0</v>
      </c>
      <c r="X163" s="137">
        <f t="shared" ref="X163:X193" si="25">A163+K163+V163+W163+L163</f>
        <v>46153.359143518515</v>
      </c>
    </row>
    <row r="164" spans="1:24" hidden="1" x14ac:dyDescent="0.35">
      <c r="A164" s="123">
        <f t="shared" si="19"/>
        <v>46153.359143518515</v>
      </c>
      <c r="B164" s="123"/>
      <c r="C164" s="123"/>
      <c r="D164" s="123"/>
      <c r="E164" s="124" t="s">
        <v>43</v>
      </c>
      <c r="F164" s="159" t="s">
        <v>358</v>
      </c>
      <c r="G164" s="160" t="s">
        <v>359</v>
      </c>
      <c r="H164" s="126" t="s">
        <v>360</v>
      </c>
      <c r="I164" s="159" t="s">
        <v>191</v>
      </c>
      <c r="J164" s="175" t="s">
        <v>140</v>
      </c>
      <c r="K164" s="163">
        <v>0</v>
      </c>
      <c r="L164" s="163">
        <v>0</v>
      </c>
      <c r="M164" s="164">
        <v>67</v>
      </c>
      <c r="N164" s="165">
        <v>4200</v>
      </c>
      <c r="O164" s="166">
        <v>1</v>
      </c>
      <c r="P164" s="165">
        <f t="shared" si="20"/>
        <v>4200</v>
      </c>
      <c r="Q164" s="165"/>
      <c r="R164" s="176">
        <v>4200</v>
      </c>
      <c r="S164" s="164">
        <f t="shared" si="21"/>
        <v>0</v>
      </c>
      <c r="T164" s="168">
        <f t="shared" si="22"/>
        <v>1289.5522388059703</v>
      </c>
      <c r="U164" s="163">
        <f t="shared" si="23"/>
        <v>0</v>
      </c>
      <c r="V164" s="163">
        <f t="shared" si="24"/>
        <v>0</v>
      </c>
      <c r="W164" s="163">
        <v>0</v>
      </c>
      <c r="X164" s="137">
        <f t="shared" si="25"/>
        <v>46153.359143518515</v>
      </c>
    </row>
    <row r="165" spans="1:24" hidden="1" x14ac:dyDescent="0.35">
      <c r="A165" s="123">
        <f t="shared" si="19"/>
        <v>46153.359143518515</v>
      </c>
      <c r="B165" s="123"/>
      <c r="C165" s="123"/>
      <c r="D165" s="123"/>
      <c r="E165" s="124" t="s">
        <v>43</v>
      </c>
      <c r="F165" s="159" t="s">
        <v>361</v>
      </c>
      <c r="G165" s="160" t="s">
        <v>359</v>
      </c>
      <c r="H165" s="126" t="s">
        <v>362</v>
      </c>
      <c r="I165" s="159" t="s">
        <v>191</v>
      </c>
      <c r="J165" s="175" t="s">
        <v>140</v>
      </c>
      <c r="K165" s="163">
        <v>0</v>
      </c>
      <c r="L165" s="163">
        <v>0</v>
      </c>
      <c r="M165" s="164">
        <v>67</v>
      </c>
      <c r="N165" s="165">
        <v>2100</v>
      </c>
      <c r="O165" s="166">
        <v>1</v>
      </c>
      <c r="P165" s="165">
        <f t="shared" si="20"/>
        <v>2100</v>
      </c>
      <c r="Q165" s="165"/>
      <c r="R165" s="176">
        <v>2100</v>
      </c>
      <c r="S165" s="164">
        <f t="shared" si="21"/>
        <v>0</v>
      </c>
      <c r="T165" s="168">
        <f t="shared" si="22"/>
        <v>1289.5522388059703</v>
      </c>
      <c r="U165" s="163">
        <f t="shared" si="23"/>
        <v>0</v>
      </c>
      <c r="V165" s="163">
        <f t="shared" si="24"/>
        <v>0</v>
      </c>
      <c r="W165" s="163">
        <v>0</v>
      </c>
      <c r="X165" s="137">
        <f t="shared" si="25"/>
        <v>46153.359143518515</v>
      </c>
    </row>
    <row r="166" spans="1:24" hidden="1" x14ac:dyDescent="0.35">
      <c r="A166" s="123">
        <f t="shared" si="19"/>
        <v>46153.359143518515</v>
      </c>
      <c r="B166" s="123"/>
      <c r="C166" s="123"/>
      <c r="D166" s="123"/>
      <c r="E166" s="124" t="s">
        <v>43</v>
      </c>
      <c r="F166" s="159" t="s">
        <v>358</v>
      </c>
      <c r="G166" s="160" t="s">
        <v>359</v>
      </c>
      <c r="H166" s="126" t="s">
        <v>363</v>
      </c>
      <c r="I166" s="159" t="s">
        <v>277</v>
      </c>
      <c r="J166" s="175" t="s">
        <v>140</v>
      </c>
      <c r="K166" s="163">
        <v>0</v>
      </c>
      <c r="L166" s="163">
        <v>0</v>
      </c>
      <c r="M166" s="164">
        <v>67</v>
      </c>
      <c r="N166" s="165">
        <f>210*10</f>
        <v>2100</v>
      </c>
      <c r="O166" s="166">
        <v>1</v>
      </c>
      <c r="P166" s="165">
        <f t="shared" si="20"/>
        <v>2100</v>
      </c>
      <c r="Q166" s="165"/>
      <c r="R166" s="176">
        <v>2100</v>
      </c>
      <c r="S166" s="164">
        <f t="shared" si="21"/>
        <v>0</v>
      </c>
      <c r="T166" s="168">
        <f t="shared" si="22"/>
        <v>1289.5522388059703</v>
      </c>
      <c r="U166" s="163">
        <f t="shared" si="23"/>
        <v>0</v>
      </c>
      <c r="V166" s="163">
        <f t="shared" si="24"/>
        <v>0</v>
      </c>
      <c r="W166" s="163">
        <v>0</v>
      </c>
      <c r="X166" s="137">
        <f t="shared" si="25"/>
        <v>46153.359143518515</v>
      </c>
    </row>
    <row r="167" spans="1:24" s="178" customFormat="1" hidden="1" x14ac:dyDescent="0.35">
      <c r="A167" s="123">
        <f t="shared" si="19"/>
        <v>46153.359143518515</v>
      </c>
      <c r="B167" s="123"/>
      <c r="C167" s="123"/>
      <c r="D167" s="123"/>
      <c r="E167" s="124" t="s">
        <v>64</v>
      </c>
      <c r="F167" s="159" t="s">
        <v>364</v>
      </c>
      <c r="G167" s="159" t="s">
        <v>359</v>
      </c>
      <c r="H167" s="126" t="s">
        <v>365</v>
      </c>
      <c r="I167" s="177" t="s">
        <v>366</v>
      </c>
      <c r="J167" s="128" t="s">
        <v>283</v>
      </c>
      <c r="K167" s="129">
        <v>0</v>
      </c>
      <c r="L167" s="129">
        <v>0</v>
      </c>
      <c r="M167" s="130">
        <v>67</v>
      </c>
      <c r="N167" s="131">
        <v>720</v>
      </c>
      <c r="O167" s="130">
        <v>1</v>
      </c>
      <c r="P167" s="131">
        <f t="shared" si="20"/>
        <v>720</v>
      </c>
      <c r="Q167" s="131"/>
      <c r="R167" s="176">
        <v>720</v>
      </c>
      <c r="S167" s="130">
        <f t="shared" si="21"/>
        <v>0</v>
      </c>
      <c r="T167" s="130">
        <f t="shared" si="22"/>
        <v>1289.5522388059703</v>
      </c>
      <c r="U167" s="129">
        <f t="shared" si="23"/>
        <v>0</v>
      </c>
      <c r="V167" s="129">
        <f t="shared" si="24"/>
        <v>0</v>
      </c>
      <c r="W167" s="129">
        <v>0</v>
      </c>
      <c r="X167" s="137">
        <f t="shared" si="25"/>
        <v>46153.359143518515</v>
      </c>
    </row>
    <row r="168" spans="1:24" s="178" customFormat="1" hidden="1" x14ac:dyDescent="0.35">
      <c r="A168" s="123">
        <f t="shared" si="19"/>
        <v>46153.359143518515</v>
      </c>
      <c r="B168" s="123"/>
      <c r="C168" s="123"/>
      <c r="D168" s="123"/>
      <c r="E168" s="124" t="s">
        <v>64</v>
      </c>
      <c r="F168" s="159" t="s">
        <v>367</v>
      </c>
      <c r="G168" s="159" t="s">
        <v>359</v>
      </c>
      <c r="H168" s="126" t="s">
        <v>368</v>
      </c>
      <c r="I168" s="159" t="s">
        <v>369</v>
      </c>
      <c r="J168" s="128" t="s">
        <v>283</v>
      </c>
      <c r="K168" s="129">
        <v>0</v>
      </c>
      <c r="L168" s="129">
        <v>0</v>
      </c>
      <c r="M168" s="130">
        <v>67</v>
      </c>
      <c r="N168" s="131">
        <v>1080</v>
      </c>
      <c r="O168" s="130">
        <v>1</v>
      </c>
      <c r="P168" s="131">
        <f t="shared" si="20"/>
        <v>1080</v>
      </c>
      <c r="Q168" s="131"/>
      <c r="R168" s="176">
        <v>1080</v>
      </c>
      <c r="S168" s="130">
        <f t="shared" si="21"/>
        <v>0</v>
      </c>
      <c r="T168" s="130">
        <f t="shared" si="22"/>
        <v>1289.5522388059703</v>
      </c>
      <c r="U168" s="129">
        <f t="shared" si="23"/>
        <v>0</v>
      </c>
      <c r="V168" s="129">
        <f t="shared" si="24"/>
        <v>0</v>
      </c>
      <c r="W168" s="129">
        <v>0</v>
      </c>
      <c r="X168" s="137">
        <f t="shared" si="25"/>
        <v>46153.359143518515</v>
      </c>
    </row>
    <row r="169" spans="1:24" s="118" customFormat="1" hidden="1" x14ac:dyDescent="0.35">
      <c r="A169" s="123">
        <f t="shared" si="19"/>
        <v>46153.359143518515</v>
      </c>
      <c r="B169" s="123"/>
      <c r="C169" s="123"/>
      <c r="D169" s="123"/>
      <c r="E169" s="124" t="s">
        <v>43</v>
      </c>
      <c r="F169" s="159" t="s">
        <v>361</v>
      </c>
      <c r="G169" s="160" t="s">
        <v>359</v>
      </c>
      <c r="H169" s="126" t="s">
        <v>370</v>
      </c>
      <c r="I169" s="159" t="s">
        <v>191</v>
      </c>
      <c r="J169" s="175" t="s">
        <v>140</v>
      </c>
      <c r="K169" s="163">
        <v>0</v>
      </c>
      <c r="L169" s="163">
        <v>0</v>
      </c>
      <c r="M169" s="164">
        <v>67</v>
      </c>
      <c r="N169" s="165">
        <f>210*10</f>
        <v>2100</v>
      </c>
      <c r="O169" s="166">
        <v>1</v>
      </c>
      <c r="P169" s="165">
        <f t="shared" si="20"/>
        <v>2100</v>
      </c>
      <c r="Q169" s="165"/>
      <c r="R169" s="176">
        <v>2100</v>
      </c>
      <c r="S169" s="164">
        <f t="shared" si="21"/>
        <v>0</v>
      </c>
      <c r="T169" s="168">
        <f t="shared" si="22"/>
        <v>1289.5522388059703</v>
      </c>
      <c r="U169" s="163">
        <f t="shared" si="23"/>
        <v>0</v>
      </c>
      <c r="V169" s="163">
        <f t="shared" si="24"/>
        <v>0</v>
      </c>
      <c r="W169" s="163">
        <v>0</v>
      </c>
      <c r="X169" s="137">
        <f t="shared" si="25"/>
        <v>46153.359143518515</v>
      </c>
    </row>
    <row r="170" spans="1:24" s="118" customFormat="1" hidden="1" x14ac:dyDescent="0.35">
      <c r="A170" s="123">
        <f t="shared" si="19"/>
        <v>46153.359143518515</v>
      </c>
      <c r="B170" s="123"/>
      <c r="C170" s="123"/>
      <c r="D170" s="123"/>
      <c r="E170" s="124" t="s">
        <v>43</v>
      </c>
      <c r="F170" s="159" t="s">
        <v>358</v>
      </c>
      <c r="G170" s="160" t="s">
        <v>359</v>
      </c>
      <c r="H170" s="126" t="s">
        <v>371</v>
      </c>
      <c r="I170" s="159" t="s">
        <v>191</v>
      </c>
      <c r="J170" s="175" t="s">
        <v>140</v>
      </c>
      <c r="K170" s="163">
        <v>0</v>
      </c>
      <c r="L170" s="163">
        <v>0</v>
      </c>
      <c r="M170" s="164">
        <v>67</v>
      </c>
      <c r="N170" s="165">
        <f>210*10</f>
        <v>2100</v>
      </c>
      <c r="O170" s="166">
        <v>1</v>
      </c>
      <c r="P170" s="165">
        <f t="shared" si="20"/>
        <v>2100</v>
      </c>
      <c r="Q170" s="165"/>
      <c r="R170" s="176">
        <v>2100</v>
      </c>
      <c r="S170" s="164">
        <f t="shared" si="21"/>
        <v>0</v>
      </c>
      <c r="T170" s="168">
        <f t="shared" si="22"/>
        <v>1289.5522388059703</v>
      </c>
      <c r="U170" s="163">
        <f t="shared" si="23"/>
        <v>0</v>
      </c>
      <c r="V170" s="163">
        <f t="shared" si="24"/>
        <v>0</v>
      </c>
      <c r="W170" s="163">
        <v>0</v>
      </c>
      <c r="X170" s="137">
        <f t="shared" si="25"/>
        <v>46153.359143518515</v>
      </c>
    </row>
    <row r="171" spans="1:24" s="118" customFormat="1" hidden="1" x14ac:dyDescent="0.35">
      <c r="A171" s="123">
        <f t="shared" si="19"/>
        <v>46153.359143518515</v>
      </c>
      <c r="B171" s="123"/>
      <c r="C171" s="123"/>
      <c r="D171" s="123"/>
      <c r="E171" s="124" t="s">
        <v>43</v>
      </c>
      <c r="F171" s="159" t="s">
        <v>372</v>
      </c>
      <c r="G171" s="160" t="s">
        <v>359</v>
      </c>
      <c r="H171" s="126" t="s">
        <v>373</v>
      </c>
      <c r="I171" s="159" t="s">
        <v>191</v>
      </c>
      <c r="J171" s="175" t="s">
        <v>140</v>
      </c>
      <c r="K171" s="163">
        <v>0</v>
      </c>
      <c r="L171" s="163">
        <v>0</v>
      </c>
      <c r="M171" s="164">
        <v>67</v>
      </c>
      <c r="N171" s="165">
        <v>2520</v>
      </c>
      <c r="O171" s="166">
        <v>1</v>
      </c>
      <c r="P171" s="165">
        <f t="shared" si="20"/>
        <v>2520</v>
      </c>
      <c r="Q171" s="165"/>
      <c r="R171" s="176">
        <v>2520</v>
      </c>
      <c r="S171" s="164">
        <f t="shared" si="21"/>
        <v>0</v>
      </c>
      <c r="T171" s="168">
        <f t="shared" si="22"/>
        <v>1289.5522388059703</v>
      </c>
      <c r="U171" s="163">
        <f t="shared" si="23"/>
        <v>0</v>
      </c>
      <c r="V171" s="163">
        <f t="shared" si="24"/>
        <v>0</v>
      </c>
      <c r="W171" s="163">
        <v>0</v>
      </c>
      <c r="X171" s="137">
        <f t="shared" si="25"/>
        <v>46153.359143518515</v>
      </c>
    </row>
    <row r="172" spans="1:24" s="118" customFormat="1" hidden="1" x14ac:dyDescent="0.35">
      <c r="A172" s="123">
        <f t="shared" si="19"/>
        <v>46153.359143518515</v>
      </c>
      <c r="B172" s="123"/>
      <c r="C172" s="123"/>
      <c r="D172" s="123"/>
      <c r="E172" s="124" t="s">
        <v>43</v>
      </c>
      <c r="F172" s="159" t="s">
        <v>358</v>
      </c>
      <c r="G172" s="160" t="s">
        <v>359</v>
      </c>
      <c r="H172" s="126" t="s">
        <v>374</v>
      </c>
      <c r="I172" s="159" t="s">
        <v>277</v>
      </c>
      <c r="J172" s="175" t="s">
        <v>140</v>
      </c>
      <c r="K172" s="163">
        <v>0</v>
      </c>
      <c r="L172" s="163">
        <v>0</v>
      </c>
      <c r="M172" s="164">
        <v>67</v>
      </c>
      <c r="N172" s="165">
        <f>210*10</f>
        <v>2100</v>
      </c>
      <c r="O172" s="166">
        <v>1</v>
      </c>
      <c r="P172" s="165">
        <f t="shared" si="20"/>
        <v>2100</v>
      </c>
      <c r="Q172" s="165"/>
      <c r="R172" s="176">
        <v>2100</v>
      </c>
      <c r="S172" s="164">
        <f t="shared" si="21"/>
        <v>0</v>
      </c>
      <c r="T172" s="168">
        <f t="shared" si="22"/>
        <v>1289.5522388059703</v>
      </c>
      <c r="U172" s="163">
        <f t="shared" si="23"/>
        <v>0</v>
      </c>
      <c r="V172" s="163">
        <f t="shared" si="24"/>
        <v>0</v>
      </c>
      <c r="W172" s="163">
        <v>0</v>
      </c>
      <c r="X172" s="137">
        <f t="shared" si="25"/>
        <v>46153.359143518515</v>
      </c>
    </row>
    <row r="173" spans="1:24" s="118" customFormat="1" hidden="1" x14ac:dyDescent="0.35">
      <c r="A173" s="123">
        <f t="shared" si="19"/>
        <v>46153.359143518515</v>
      </c>
      <c r="B173" s="123"/>
      <c r="C173" s="123"/>
      <c r="D173" s="123"/>
      <c r="E173" s="124" t="s">
        <v>43</v>
      </c>
      <c r="F173" s="159" t="s">
        <v>375</v>
      </c>
      <c r="G173" s="160" t="s">
        <v>359</v>
      </c>
      <c r="H173" s="126" t="s">
        <v>376</v>
      </c>
      <c r="I173" s="159" t="s">
        <v>377</v>
      </c>
      <c r="J173" s="175" t="s">
        <v>140</v>
      </c>
      <c r="K173" s="163">
        <v>0</v>
      </c>
      <c r="L173" s="163">
        <v>0</v>
      </c>
      <c r="M173" s="164">
        <v>67</v>
      </c>
      <c r="N173" s="165">
        <v>420</v>
      </c>
      <c r="O173" s="166">
        <v>1</v>
      </c>
      <c r="P173" s="165">
        <f t="shared" si="20"/>
        <v>420</v>
      </c>
      <c r="Q173" s="165"/>
      <c r="R173" s="176">
        <v>420</v>
      </c>
      <c r="S173" s="164">
        <f t="shared" si="21"/>
        <v>0</v>
      </c>
      <c r="T173" s="168">
        <f t="shared" si="22"/>
        <v>1289.5522388059703</v>
      </c>
      <c r="U173" s="163">
        <f t="shared" si="23"/>
        <v>0</v>
      </c>
      <c r="V173" s="163">
        <f t="shared" si="24"/>
        <v>0</v>
      </c>
      <c r="W173" s="163">
        <v>0</v>
      </c>
      <c r="X173" s="137">
        <f t="shared" si="25"/>
        <v>46153.359143518515</v>
      </c>
    </row>
    <row r="174" spans="1:24" s="118" customFormat="1" hidden="1" x14ac:dyDescent="0.35">
      <c r="A174" s="123">
        <f t="shared" si="19"/>
        <v>46153.359143518515</v>
      </c>
      <c r="B174" s="123"/>
      <c r="C174" s="123"/>
      <c r="D174" s="123"/>
      <c r="E174" s="124" t="s">
        <v>43</v>
      </c>
      <c r="F174" s="159" t="s">
        <v>378</v>
      </c>
      <c r="G174" s="160" t="s">
        <v>359</v>
      </c>
      <c r="H174" s="126" t="s">
        <v>379</v>
      </c>
      <c r="I174" s="159" t="s">
        <v>380</v>
      </c>
      <c r="J174" s="175" t="s">
        <v>140</v>
      </c>
      <c r="K174" s="163">
        <v>0</v>
      </c>
      <c r="L174" s="163">
        <v>0</v>
      </c>
      <c r="M174" s="164">
        <v>67</v>
      </c>
      <c r="N174" s="165">
        <v>420</v>
      </c>
      <c r="O174" s="166">
        <v>1</v>
      </c>
      <c r="P174" s="165">
        <f t="shared" si="20"/>
        <v>420</v>
      </c>
      <c r="Q174" s="165"/>
      <c r="R174" s="176">
        <v>420</v>
      </c>
      <c r="S174" s="164">
        <f t="shared" si="21"/>
        <v>0</v>
      </c>
      <c r="T174" s="168">
        <f t="shared" si="22"/>
        <v>1289.5522388059703</v>
      </c>
      <c r="U174" s="163">
        <f t="shared" si="23"/>
        <v>0</v>
      </c>
      <c r="V174" s="163">
        <f t="shared" si="24"/>
        <v>0</v>
      </c>
      <c r="W174" s="163">
        <v>0</v>
      </c>
      <c r="X174" s="137">
        <f t="shared" si="25"/>
        <v>46153.359143518515</v>
      </c>
    </row>
    <row r="175" spans="1:24" s="179" customFormat="1" hidden="1" x14ac:dyDescent="0.35">
      <c r="A175" s="123">
        <f t="shared" si="19"/>
        <v>46153.359143518515</v>
      </c>
      <c r="B175" s="123"/>
      <c r="C175" s="123"/>
      <c r="D175" s="123"/>
      <c r="E175" s="124" t="s">
        <v>43</v>
      </c>
      <c r="F175" s="159" t="s">
        <v>372</v>
      </c>
      <c r="G175" s="160" t="s">
        <v>359</v>
      </c>
      <c r="H175" s="126" t="s">
        <v>381</v>
      </c>
      <c r="I175" s="159" t="s">
        <v>191</v>
      </c>
      <c r="J175" s="175" t="s">
        <v>140</v>
      </c>
      <c r="K175" s="163">
        <v>0</v>
      </c>
      <c r="L175" s="163">
        <v>0</v>
      </c>
      <c r="M175" s="164">
        <v>67</v>
      </c>
      <c r="N175" s="165">
        <v>8160</v>
      </c>
      <c r="O175" s="166">
        <v>1</v>
      </c>
      <c r="P175" s="165">
        <f t="shared" si="20"/>
        <v>8160</v>
      </c>
      <c r="Q175" s="165"/>
      <c r="R175" s="176">
        <v>8160</v>
      </c>
      <c r="S175" s="164">
        <f t="shared" si="21"/>
        <v>0</v>
      </c>
      <c r="T175" s="168">
        <f t="shared" si="22"/>
        <v>1289.5522388059703</v>
      </c>
      <c r="U175" s="163">
        <f t="shared" si="23"/>
        <v>0</v>
      </c>
      <c r="V175" s="163">
        <f t="shared" si="24"/>
        <v>0</v>
      </c>
      <c r="W175" s="163">
        <v>0</v>
      </c>
      <c r="X175" s="137">
        <f t="shared" si="25"/>
        <v>46153.359143518515</v>
      </c>
    </row>
    <row r="176" spans="1:24" s="179" customFormat="1" hidden="1" x14ac:dyDescent="0.35">
      <c r="A176" s="161">
        <f t="shared" si="19"/>
        <v>46153.359143518515</v>
      </c>
      <c r="B176" s="161"/>
      <c r="C176" s="161"/>
      <c r="D176" s="161"/>
      <c r="E176" s="124" t="s">
        <v>43</v>
      </c>
      <c r="F176" s="159" t="s">
        <v>372</v>
      </c>
      <c r="G176" s="160" t="s">
        <v>359</v>
      </c>
      <c r="H176" s="126" t="s">
        <v>381</v>
      </c>
      <c r="I176" s="159" t="s">
        <v>191</v>
      </c>
      <c r="J176" s="175" t="s">
        <v>140</v>
      </c>
      <c r="K176" s="163">
        <v>0</v>
      </c>
      <c r="L176" s="163">
        <v>0</v>
      </c>
      <c r="M176" s="164">
        <v>67</v>
      </c>
      <c r="N176" s="165">
        <f>8160+3750</f>
        <v>11910</v>
      </c>
      <c r="O176" s="166">
        <v>1</v>
      </c>
      <c r="P176" s="165">
        <f t="shared" si="20"/>
        <v>11910</v>
      </c>
      <c r="Q176" s="165"/>
      <c r="R176" s="176">
        <v>11910</v>
      </c>
      <c r="S176" s="164">
        <f t="shared" si="21"/>
        <v>0</v>
      </c>
      <c r="T176" s="168">
        <f t="shared" si="22"/>
        <v>1289.5522388059703</v>
      </c>
      <c r="U176" s="163">
        <f t="shared" si="23"/>
        <v>0</v>
      </c>
      <c r="V176" s="163">
        <f t="shared" si="24"/>
        <v>0</v>
      </c>
      <c r="W176" s="163">
        <v>0</v>
      </c>
      <c r="X176" s="137">
        <f t="shared" si="25"/>
        <v>46153.359143518515</v>
      </c>
    </row>
    <row r="177" spans="1:24" s="179" customFormat="1" hidden="1" x14ac:dyDescent="0.35">
      <c r="A177" s="161">
        <f t="shared" si="19"/>
        <v>46153.359143518515</v>
      </c>
      <c r="B177" s="161"/>
      <c r="C177" s="161"/>
      <c r="D177" s="161"/>
      <c r="E177" s="124" t="s">
        <v>43</v>
      </c>
      <c r="F177" s="159" t="s">
        <v>358</v>
      </c>
      <c r="G177" s="160" t="s">
        <v>359</v>
      </c>
      <c r="H177" s="126" t="s">
        <v>382</v>
      </c>
      <c r="I177" s="159" t="s">
        <v>377</v>
      </c>
      <c r="J177" s="175" t="s">
        <v>140</v>
      </c>
      <c r="K177" s="163">
        <v>0</v>
      </c>
      <c r="L177" s="163">
        <v>0</v>
      </c>
      <c r="M177" s="164">
        <v>67</v>
      </c>
      <c r="N177" s="165">
        <v>420</v>
      </c>
      <c r="O177" s="166">
        <v>1</v>
      </c>
      <c r="P177" s="165">
        <f t="shared" si="20"/>
        <v>420</v>
      </c>
      <c r="Q177" s="165"/>
      <c r="R177" s="176">
        <v>420</v>
      </c>
      <c r="S177" s="164">
        <f t="shared" si="21"/>
        <v>0</v>
      </c>
      <c r="T177" s="168">
        <f t="shared" si="22"/>
        <v>1289.5522388059703</v>
      </c>
      <c r="U177" s="163">
        <f t="shared" si="23"/>
        <v>0</v>
      </c>
      <c r="V177" s="163">
        <f t="shared" si="24"/>
        <v>0</v>
      </c>
      <c r="W177" s="163">
        <v>0</v>
      </c>
      <c r="X177" s="137">
        <f t="shared" si="25"/>
        <v>46153.359143518515</v>
      </c>
    </row>
    <row r="178" spans="1:24" s="179" customFormat="1" hidden="1" x14ac:dyDescent="0.35">
      <c r="A178" s="161">
        <f t="shared" si="19"/>
        <v>46153.359143518515</v>
      </c>
      <c r="B178" s="161"/>
      <c r="C178" s="161"/>
      <c r="D178" s="161"/>
      <c r="E178" s="124" t="s">
        <v>43</v>
      </c>
      <c r="F178" s="159" t="s">
        <v>358</v>
      </c>
      <c r="G178" s="160" t="s">
        <v>359</v>
      </c>
      <c r="H178" s="126" t="s">
        <v>383</v>
      </c>
      <c r="I178" s="159" t="s">
        <v>277</v>
      </c>
      <c r="J178" s="175" t="s">
        <v>140</v>
      </c>
      <c r="K178" s="163">
        <v>0</v>
      </c>
      <c r="L178" s="163">
        <v>0</v>
      </c>
      <c r="M178" s="164">
        <v>67</v>
      </c>
      <c r="N178" s="165">
        <f>210*10</f>
        <v>2100</v>
      </c>
      <c r="O178" s="166">
        <v>1</v>
      </c>
      <c r="P178" s="165">
        <f t="shared" si="20"/>
        <v>2100</v>
      </c>
      <c r="Q178" s="165"/>
      <c r="R178" s="176">
        <v>2100</v>
      </c>
      <c r="S178" s="164">
        <f t="shared" si="21"/>
        <v>0</v>
      </c>
      <c r="T178" s="168">
        <f t="shared" si="22"/>
        <v>1289.5522388059703</v>
      </c>
      <c r="U178" s="163">
        <f t="shared" si="23"/>
        <v>0</v>
      </c>
      <c r="V178" s="163">
        <f t="shared" si="24"/>
        <v>0</v>
      </c>
      <c r="W178" s="163">
        <v>0</v>
      </c>
      <c r="X178" s="137">
        <f t="shared" si="25"/>
        <v>46153.359143518515</v>
      </c>
    </row>
    <row r="179" spans="1:24" s="121" customFormat="1" hidden="1" x14ac:dyDescent="0.35">
      <c r="A179" s="71">
        <f t="shared" si="19"/>
        <v>46153.359143518515</v>
      </c>
      <c r="B179" s="71">
        <v>46059</v>
      </c>
      <c r="C179" s="180">
        <f t="shared" ref="C179:C193" si="26">B179-A179</f>
        <v>-94.359143518515339</v>
      </c>
      <c r="D179" s="180"/>
      <c r="E179" s="47" t="s">
        <v>43</v>
      </c>
      <c r="F179" s="82" t="s">
        <v>361</v>
      </c>
      <c r="G179" s="69" t="s">
        <v>359</v>
      </c>
      <c r="H179" s="98" t="s">
        <v>384</v>
      </c>
      <c r="I179" s="82" t="s">
        <v>274</v>
      </c>
      <c r="J179" s="100" t="s">
        <v>140</v>
      </c>
      <c r="K179" s="101">
        <v>0</v>
      </c>
      <c r="L179" s="101">
        <v>0</v>
      </c>
      <c r="M179" s="102">
        <v>67</v>
      </c>
      <c r="N179" s="103">
        <f>210*10</f>
        <v>2100</v>
      </c>
      <c r="O179" s="171">
        <v>1</v>
      </c>
      <c r="P179" s="103">
        <f t="shared" si="20"/>
        <v>2100</v>
      </c>
      <c r="Q179" s="181">
        <v>0.8</v>
      </c>
      <c r="R179" s="182">
        <v>2100</v>
      </c>
      <c r="S179" s="102">
        <f t="shared" si="21"/>
        <v>0</v>
      </c>
      <c r="T179" s="173">
        <f t="shared" ref="T179:T193" si="27">((3600/M179)*O179)*24*Q179</f>
        <v>1031.6417910447763</v>
      </c>
      <c r="U179" s="101">
        <f t="shared" ref="U179:U193" si="28">(P179-R179)*M179/3600/Q179</f>
        <v>0</v>
      </c>
      <c r="V179" s="101">
        <f t="shared" ref="V179:V193" si="29">U179/24</f>
        <v>0</v>
      </c>
      <c r="W179" s="101">
        <v>0</v>
      </c>
      <c r="X179" s="55">
        <f t="shared" si="25"/>
        <v>46153.359143518515</v>
      </c>
    </row>
    <row r="180" spans="1:24" s="186" customFormat="1" hidden="1" x14ac:dyDescent="0.35">
      <c r="A180" s="123">
        <f t="shared" si="19"/>
        <v>46153.359143518515</v>
      </c>
      <c r="B180" s="123">
        <v>46061</v>
      </c>
      <c r="C180" s="183">
        <f t="shared" si="26"/>
        <v>-92.359143518515339</v>
      </c>
      <c r="D180" s="183"/>
      <c r="E180" s="124" t="s">
        <v>43</v>
      </c>
      <c r="F180" s="159" t="s">
        <v>385</v>
      </c>
      <c r="G180" s="159" t="s">
        <v>386</v>
      </c>
      <c r="H180" s="126" t="s">
        <v>387</v>
      </c>
      <c r="I180" s="159" t="s">
        <v>388</v>
      </c>
      <c r="J180" s="184" t="s">
        <v>140</v>
      </c>
      <c r="K180" s="163">
        <v>0</v>
      </c>
      <c r="L180" s="163">
        <v>0</v>
      </c>
      <c r="M180" s="164">
        <v>125</v>
      </c>
      <c r="N180" s="165">
        <v>250</v>
      </c>
      <c r="O180" s="166">
        <v>1</v>
      </c>
      <c r="P180" s="165">
        <f t="shared" si="20"/>
        <v>250</v>
      </c>
      <c r="Q180" s="185">
        <v>0.8</v>
      </c>
      <c r="R180" s="164">
        <v>250</v>
      </c>
      <c r="S180" s="164">
        <f t="shared" si="21"/>
        <v>0</v>
      </c>
      <c r="T180" s="168">
        <f t="shared" si="27"/>
        <v>552.96</v>
      </c>
      <c r="U180" s="163">
        <f t="shared" si="28"/>
        <v>0</v>
      </c>
      <c r="V180" s="163">
        <f t="shared" si="29"/>
        <v>0</v>
      </c>
      <c r="W180" s="163">
        <v>0</v>
      </c>
      <c r="X180" s="169">
        <f t="shared" si="25"/>
        <v>46153.359143518515</v>
      </c>
    </row>
    <row r="181" spans="1:24" s="186" customFormat="1" ht="26.5" hidden="1" x14ac:dyDescent="0.35">
      <c r="A181" s="123">
        <f t="shared" si="19"/>
        <v>46153.359143518515</v>
      </c>
      <c r="B181" s="123">
        <v>46063</v>
      </c>
      <c r="C181" s="183">
        <f t="shared" si="26"/>
        <v>-90.359143518515339</v>
      </c>
      <c r="D181" s="183"/>
      <c r="E181" s="124" t="s">
        <v>43</v>
      </c>
      <c r="F181" s="160" t="s">
        <v>389</v>
      </c>
      <c r="G181" s="187" t="s">
        <v>386</v>
      </c>
      <c r="H181" s="188" t="s">
        <v>390</v>
      </c>
      <c r="I181" s="160" t="s">
        <v>4195</v>
      </c>
      <c r="J181" s="175" t="s">
        <v>140</v>
      </c>
      <c r="K181" s="129">
        <v>0</v>
      </c>
      <c r="L181" s="129">
        <v>0</v>
      </c>
      <c r="M181" s="130">
        <v>70</v>
      </c>
      <c r="N181" s="131">
        <v>250</v>
      </c>
      <c r="O181" s="189">
        <v>1</v>
      </c>
      <c r="P181" s="131">
        <f t="shared" si="20"/>
        <v>250</v>
      </c>
      <c r="Q181" s="185">
        <v>0.8</v>
      </c>
      <c r="R181" s="130">
        <v>250</v>
      </c>
      <c r="S181" s="164">
        <f t="shared" si="21"/>
        <v>0</v>
      </c>
      <c r="T181" s="168">
        <f t="shared" si="27"/>
        <v>987.42857142857144</v>
      </c>
      <c r="U181" s="163">
        <f t="shared" si="28"/>
        <v>0</v>
      </c>
      <c r="V181" s="163">
        <f t="shared" si="29"/>
        <v>0</v>
      </c>
      <c r="W181" s="163">
        <v>0</v>
      </c>
      <c r="X181" s="137">
        <f t="shared" si="25"/>
        <v>46153.359143518515</v>
      </c>
    </row>
    <row r="182" spans="1:24" s="186" customFormat="1" ht="39.5" hidden="1" x14ac:dyDescent="0.35">
      <c r="A182" s="123">
        <f t="shared" si="19"/>
        <v>46153.359143518515</v>
      </c>
      <c r="B182" s="123">
        <v>46064</v>
      </c>
      <c r="C182" s="190">
        <f t="shared" si="26"/>
        <v>-89.359143518515339</v>
      </c>
      <c r="D182" s="190"/>
      <c r="E182" s="124" t="s">
        <v>43</v>
      </c>
      <c r="F182" s="160" t="s">
        <v>389</v>
      </c>
      <c r="G182" s="187" t="s">
        <v>386</v>
      </c>
      <c r="H182" s="188" t="s">
        <v>391</v>
      </c>
      <c r="I182" s="160" t="s">
        <v>4196</v>
      </c>
      <c r="J182" s="175" t="s">
        <v>140</v>
      </c>
      <c r="K182" s="129">
        <v>0</v>
      </c>
      <c r="L182" s="129">
        <v>0</v>
      </c>
      <c r="M182" s="130">
        <v>70</v>
      </c>
      <c r="N182" s="131">
        <v>250</v>
      </c>
      <c r="O182" s="189">
        <v>1</v>
      </c>
      <c r="P182" s="131">
        <f t="shared" si="20"/>
        <v>250</v>
      </c>
      <c r="Q182" s="185">
        <v>0.8</v>
      </c>
      <c r="R182" s="130">
        <v>250</v>
      </c>
      <c r="S182" s="164">
        <f t="shared" si="21"/>
        <v>0</v>
      </c>
      <c r="T182" s="168">
        <f t="shared" si="27"/>
        <v>987.42857142857144</v>
      </c>
      <c r="U182" s="163">
        <f t="shared" si="28"/>
        <v>0</v>
      </c>
      <c r="V182" s="163">
        <f t="shared" si="29"/>
        <v>0</v>
      </c>
      <c r="W182" s="163">
        <v>0</v>
      </c>
      <c r="X182" s="137">
        <f t="shared" si="25"/>
        <v>46153.359143518515</v>
      </c>
    </row>
    <row r="183" spans="1:24" s="191" customFormat="1" ht="26" hidden="1" x14ac:dyDescent="0.3">
      <c r="A183" s="123">
        <f t="shared" si="19"/>
        <v>46153.359143518515</v>
      </c>
      <c r="B183" s="123">
        <v>46064</v>
      </c>
      <c r="C183" s="183">
        <f t="shared" si="26"/>
        <v>-89.359143518515339</v>
      </c>
      <c r="D183" s="183"/>
      <c r="E183" s="124" t="s">
        <v>43</v>
      </c>
      <c r="F183" s="187" t="s">
        <v>392</v>
      </c>
      <c r="G183" s="187" t="s">
        <v>386</v>
      </c>
      <c r="H183" s="188" t="s">
        <v>393</v>
      </c>
      <c r="I183" s="187" t="s">
        <v>4197</v>
      </c>
      <c r="J183" s="175" t="s">
        <v>140</v>
      </c>
      <c r="K183" s="129">
        <v>0</v>
      </c>
      <c r="L183" s="129">
        <v>0</v>
      </c>
      <c r="M183" s="130">
        <v>70</v>
      </c>
      <c r="N183" s="131">
        <v>5000</v>
      </c>
      <c r="O183" s="189">
        <v>1</v>
      </c>
      <c r="P183" s="131">
        <f t="shared" si="20"/>
        <v>5000</v>
      </c>
      <c r="Q183" s="185">
        <v>0.8</v>
      </c>
      <c r="R183" s="130">
        <v>5000</v>
      </c>
      <c r="S183" s="164">
        <f t="shared" si="21"/>
        <v>0</v>
      </c>
      <c r="T183" s="168">
        <f t="shared" si="27"/>
        <v>987.42857142857144</v>
      </c>
      <c r="U183" s="163">
        <f t="shared" si="28"/>
        <v>0</v>
      </c>
      <c r="V183" s="163">
        <f t="shared" si="29"/>
        <v>0</v>
      </c>
      <c r="W183" s="163">
        <v>0</v>
      </c>
      <c r="X183" s="137">
        <f t="shared" si="25"/>
        <v>46153.359143518515</v>
      </c>
    </row>
    <row r="184" spans="1:24" s="179" customFormat="1" hidden="1" x14ac:dyDescent="0.35">
      <c r="A184" s="123">
        <f t="shared" si="19"/>
        <v>46153.359143518515</v>
      </c>
      <c r="B184" s="123">
        <v>46084</v>
      </c>
      <c r="C184" s="190">
        <f t="shared" si="26"/>
        <v>-69.359143518515339</v>
      </c>
      <c r="D184" s="190"/>
      <c r="E184" s="124" t="s">
        <v>43</v>
      </c>
      <c r="F184" s="125" t="s">
        <v>394</v>
      </c>
      <c r="G184" s="160" t="s">
        <v>386</v>
      </c>
      <c r="H184" s="126" t="s">
        <v>395</v>
      </c>
      <c r="I184" s="159" t="s">
        <v>396</v>
      </c>
      <c r="J184" s="175" t="s">
        <v>140</v>
      </c>
      <c r="K184" s="163">
        <v>0</v>
      </c>
      <c r="L184" s="163">
        <v>0</v>
      </c>
      <c r="M184" s="164">
        <v>130</v>
      </c>
      <c r="N184" s="165">
        <v>1080</v>
      </c>
      <c r="O184" s="166">
        <v>1</v>
      </c>
      <c r="P184" s="165">
        <f t="shared" si="20"/>
        <v>1080</v>
      </c>
      <c r="Q184" s="185">
        <v>0.8</v>
      </c>
      <c r="R184" s="176">
        <v>1080</v>
      </c>
      <c r="S184" s="164">
        <f t="shared" si="21"/>
        <v>0</v>
      </c>
      <c r="T184" s="168">
        <f t="shared" si="27"/>
        <v>531.69230769230774</v>
      </c>
      <c r="U184" s="163">
        <f t="shared" si="28"/>
        <v>0</v>
      </c>
      <c r="V184" s="163">
        <f t="shared" si="29"/>
        <v>0</v>
      </c>
      <c r="W184" s="163">
        <v>0</v>
      </c>
      <c r="X184" s="137">
        <f t="shared" si="25"/>
        <v>46153.359143518515</v>
      </c>
    </row>
    <row r="185" spans="1:24" s="179" customFormat="1" hidden="1" x14ac:dyDescent="0.35">
      <c r="A185" s="161">
        <f t="shared" si="19"/>
        <v>46153.359143518515</v>
      </c>
      <c r="B185" s="161">
        <v>46087.841608796291</v>
      </c>
      <c r="C185" s="183">
        <f t="shared" si="26"/>
        <v>-65.517534722224809</v>
      </c>
      <c r="D185" s="183"/>
      <c r="E185" s="124" t="s">
        <v>43</v>
      </c>
      <c r="F185" s="159" t="s">
        <v>397</v>
      </c>
      <c r="G185" s="160" t="s">
        <v>398</v>
      </c>
      <c r="H185" s="126" t="s">
        <v>399</v>
      </c>
      <c r="I185" s="159" t="s">
        <v>400</v>
      </c>
      <c r="J185" s="175" t="s">
        <v>140</v>
      </c>
      <c r="K185" s="163">
        <v>0</v>
      </c>
      <c r="L185" s="163">
        <v>0</v>
      </c>
      <c r="M185" s="164">
        <v>90</v>
      </c>
      <c r="N185" s="165">
        <v>2100</v>
      </c>
      <c r="O185" s="166">
        <v>1</v>
      </c>
      <c r="P185" s="165">
        <f t="shared" si="20"/>
        <v>2100</v>
      </c>
      <c r="Q185" s="185">
        <v>0.8</v>
      </c>
      <c r="R185" s="176">
        <v>2100</v>
      </c>
      <c r="S185" s="164">
        <f t="shared" si="21"/>
        <v>0</v>
      </c>
      <c r="T185" s="168">
        <f t="shared" si="27"/>
        <v>768</v>
      </c>
      <c r="U185" s="163">
        <f t="shared" si="28"/>
        <v>0</v>
      </c>
      <c r="V185" s="163">
        <f t="shared" si="29"/>
        <v>0</v>
      </c>
      <c r="W185" s="163">
        <v>0</v>
      </c>
      <c r="X185" s="137">
        <f t="shared" si="25"/>
        <v>46153.359143518515</v>
      </c>
    </row>
    <row r="186" spans="1:24" s="179" customFormat="1" hidden="1" x14ac:dyDescent="0.35">
      <c r="A186" s="161">
        <f t="shared" si="19"/>
        <v>46153.359143518515</v>
      </c>
      <c r="B186" s="123">
        <v>46088.448726851842</v>
      </c>
      <c r="C186" s="190">
        <f t="shared" si="26"/>
        <v>-64.910416666672972</v>
      </c>
      <c r="D186" s="183" t="s">
        <v>401</v>
      </c>
      <c r="E186" s="124" t="s">
        <v>43</v>
      </c>
      <c r="F186" s="159" t="s">
        <v>397</v>
      </c>
      <c r="G186" s="160" t="s">
        <v>386</v>
      </c>
      <c r="H186" s="126" t="s">
        <v>402</v>
      </c>
      <c r="I186" s="159" t="s">
        <v>380</v>
      </c>
      <c r="J186" s="175" t="s">
        <v>140</v>
      </c>
      <c r="K186" s="163">
        <v>0</v>
      </c>
      <c r="L186" s="163">
        <v>0</v>
      </c>
      <c r="M186" s="164">
        <v>90</v>
      </c>
      <c r="N186" s="165">
        <v>420</v>
      </c>
      <c r="O186" s="166">
        <v>1</v>
      </c>
      <c r="P186" s="165">
        <f t="shared" si="20"/>
        <v>420</v>
      </c>
      <c r="Q186" s="185">
        <v>0.8</v>
      </c>
      <c r="R186" s="176">
        <v>420</v>
      </c>
      <c r="S186" s="164">
        <f t="shared" si="21"/>
        <v>0</v>
      </c>
      <c r="T186" s="168">
        <f t="shared" si="27"/>
        <v>768</v>
      </c>
      <c r="U186" s="163">
        <f t="shared" si="28"/>
        <v>0</v>
      </c>
      <c r="V186" s="163">
        <f t="shared" si="29"/>
        <v>0</v>
      </c>
      <c r="W186" s="163">
        <v>0</v>
      </c>
      <c r="X186" s="137">
        <f t="shared" si="25"/>
        <v>46153.359143518515</v>
      </c>
    </row>
    <row r="187" spans="1:24" s="179" customFormat="1" hidden="1" x14ac:dyDescent="0.35">
      <c r="A187" s="161">
        <f t="shared" si="19"/>
        <v>46153.359143518515</v>
      </c>
      <c r="B187" s="161">
        <v>46092.719907407394</v>
      </c>
      <c r="C187" s="183">
        <f t="shared" si="26"/>
        <v>-60.639236111121136</v>
      </c>
      <c r="D187" s="183" t="s">
        <v>401</v>
      </c>
      <c r="E187" s="124" t="s">
        <v>43</v>
      </c>
      <c r="F187" s="159" t="s">
        <v>397</v>
      </c>
      <c r="G187" s="160" t="s">
        <v>386</v>
      </c>
      <c r="H187" s="126" t="s">
        <v>403</v>
      </c>
      <c r="I187" s="159" t="s">
        <v>191</v>
      </c>
      <c r="J187" s="175" t="s">
        <v>140</v>
      </c>
      <c r="K187" s="163">
        <v>0</v>
      </c>
      <c r="L187" s="163">
        <v>0</v>
      </c>
      <c r="M187" s="164">
        <v>90</v>
      </c>
      <c r="N187" s="165">
        <f>210*20</f>
        <v>4200</v>
      </c>
      <c r="O187" s="166">
        <v>1</v>
      </c>
      <c r="P187" s="165">
        <f t="shared" si="20"/>
        <v>4200</v>
      </c>
      <c r="Q187" s="185">
        <v>0.8</v>
      </c>
      <c r="R187" s="176">
        <v>4200</v>
      </c>
      <c r="S187" s="164">
        <f t="shared" si="21"/>
        <v>0</v>
      </c>
      <c r="T187" s="168">
        <f t="shared" si="27"/>
        <v>768</v>
      </c>
      <c r="U187" s="163">
        <f t="shared" si="28"/>
        <v>0</v>
      </c>
      <c r="V187" s="163">
        <f t="shared" si="29"/>
        <v>0</v>
      </c>
      <c r="W187" s="163">
        <v>0</v>
      </c>
      <c r="X187" s="137">
        <f t="shared" si="25"/>
        <v>46153.359143518515</v>
      </c>
    </row>
    <row r="188" spans="1:24" s="179" customFormat="1" hidden="1" x14ac:dyDescent="0.35">
      <c r="A188" s="161">
        <f t="shared" si="19"/>
        <v>46153.359143518515</v>
      </c>
      <c r="B188" s="161">
        <v>46099.003067129619</v>
      </c>
      <c r="C188" s="183">
        <f t="shared" si="26"/>
        <v>-54.356076388896327</v>
      </c>
      <c r="D188" s="183" t="s">
        <v>404</v>
      </c>
      <c r="E188" s="124" t="s">
        <v>43</v>
      </c>
      <c r="F188" s="159" t="s">
        <v>397</v>
      </c>
      <c r="G188" s="160" t="s">
        <v>398</v>
      </c>
      <c r="H188" s="126" t="s">
        <v>405</v>
      </c>
      <c r="I188" s="159" t="s">
        <v>191</v>
      </c>
      <c r="J188" s="175" t="s">
        <v>140</v>
      </c>
      <c r="K188" s="163">
        <v>0</v>
      </c>
      <c r="L188" s="163">
        <v>0</v>
      </c>
      <c r="M188" s="164">
        <v>90</v>
      </c>
      <c r="N188" s="165">
        <v>2100</v>
      </c>
      <c r="O188" s="166">
        <v>1</v>
      </c>
      <c r="P188" s="165">
        <f t="shared" si="20"/>
        <v>2100</v>
      </c>
      <c r="Q188" s="185">
        <v>0.8</v>
      </c>
      <c r="R188" s="176">
        <v>2100</v>
      </c>
      <c r="S188" s="164">
        <f t="shared" si="21"/>
        <v>0</v>
      </c>
      <c r="T188" s="168">
        <f t="shared" si="27"/>
        <v>768</v>
      </c>
      <c r="U188" s="163">
        <f t="shared" si="28"/>
        <v>0</v>
      </c>
      <c r="V188" s="163">
        <f t="shared" si="29"/>
        <v>0</v>
      </c>
      <c r="W188" s="163">
        <v>0</v>
      </c>
      <c r="X188" s="137">
        <f t="shared" si="25"/>
        <v>46153.359143518515</v>
      </c>
    </row>
    <row r="189" spans="1:24" s="121" customFormat="1" hidden="1" x14ac:dyDescent="0.35">
      <c r="A189" s="71">
        <f t="shared" si="19"/>
        <v>46153.359143518515</v>
      </c>
      <c r="B189" s="71">
        <v>46102.9527199074</v>
      </c>
      <c r="C189" s="180">
        <f t="shared" si="26"/>
        <v>-50.406423611115315</v>
      </c>
      <c r="D189" s="180" t="s">
        <v>404</v>
      </c>
      <c r="E189" s="47" t="s">
        <v>43</v>
      </c>
      <c r="F189" s="82" t="s">
        <v>397</v>
      </c>
      <c r="G189" s="69" t="s">
        <v>398</v>
      </c>
      <c r="H189" s="98" t="s">
        <v>406</v>
      </c>
      <c r="I189" s="82" t="s">
        <v>191</v>
      </c>
      <c r="J189" s="100" t="s">
        <v>140</v>
      </c>
      <c r="K189" s="101">
        <v>0</v>
      </c>
      <c r="L189" s="101">
        <v>0</v>
      </c>
      <c r="M189" s="102">
        <v>90</v>
      </c>
      <c r="N189" s="103">
        <v>840</v>
      </c>
      <c r="O189" s="171">
        <v>1</v>
      </c>
      <c r="P189" s="103">
        <f t="shared" si="20"/>
        <v>840</v>
      </c>
      <c r="Q189" s="181">
        <v>0.8</v>
      </c>
      <c r="R189" s="182">
        <v>840</v>
      </c>
      <c r="S189" s="102">
        <f t="shared" si="21"/>
        <v>0</v>
      </c>
      <c r="T189" s="173">
        <f t="shared" si="27"/>
        <v>768</v>
      </c>
      <c r="U189" s="101">
        <f t="shared" si="28"/>
        <v>0</v>
      </c>
      <c r="V189" s="101">
        <f t="shared" si="29"/>
        <v>0</v>
      </c>
      <c r="W189" s="101">
        <v>0</v>
      </c>
      <c r="X189" s="55">
        <f t="shared" si="25"/>
        <v>46153.359143518515</v>
      </c>
    </row>
    <row r="190" spans="1:24" s="179" customFormat="1" hidden="1" x14ac:dyDescent="0.35">
      <c r="A190" s="161">
        <f t="shared" si="19"/>
        <v>46153.359143518515</v>
      </c>
      <c r="B190" s="161">
        <v>46123.816782407404</v>
      </c>
      <c r="C190" s="183">
        <f t="shared" si="26"/>
        <v>-29.542361111110949</v>
      </c>
      <c r="D190" s="183"/>
      <c r="E190" s="124" t="s">
        <v>43</v>
      </c>
      <c r="F190" s="159" t="s">
        <v>397</v>
      </c>
      <c r="G190" s="160" t="s">
        <v>398</v>
      </c>
      <c r="H190" s="126" t="s">
        <v>407</v>
      </c>
      <c r="I190" s="159" t="s">
        <v>274</v>
      </c>
      <c r="J190" s="175" t="s">
        <v>140</v>
      </c>
      <c r="K190" s="163">
        <v>0</v>
      </c>
      <c r="L190" s="163">
        <v>0</v>
      </c>
      <c r="M190" s="164">
        <v>90</v>
      </c>
      <c r="N190" s="165">
        <v>3780</v>
      </c>
      <c r="O190" s="166">
        <v>1</v>
      </c>
      <c r="P190" s="165">
        <f t="shared" si="20"/>
        <v>3780</v>
      </c>
      <c r="Q190" s="185">
        <v>0.8</v>
      </c>
      <c r="R190" s="176">
        <v>3780</v>
      </c>
      <c r="S190" s="164">
        <f t="shared" si="21"/>
        <v>0</v>
      </c>
      <c r="T190" s="168">
        <f t="shared" si="27"/>
        <v>768</v>
      </c>
      <c r="U190" s="163">
        <f t="shared" si="28"/>
        <v>0</v>
      </c>
      <c r="V190" s="163">
        <f t="shared" si="29"/>
        <v>0</v>
      </c>
      <c r="W190" s="163">
        <v>0</v>
      </c>
      <c r="X190" s="137">
        <f t="shared" si="25"/>
        <v>46153.359143518515</v>
      </c>
    </row>
    <row r="191" spans="1:24" s="179" customFormat="1" hidden="1" x14ac:dyDescent="0.35">
      <c r="A191" s="161">
        <f t="shared" si="19"/>
        <v>46153.359143518515</v>
      </c>
      <c r="B191" s="161">
        <v>46120</v>
      </c>
      <c r="C191" s="183">
        <f t="shared" si="26"/>
        <v>-33.359143518515339</v>
      </c>
      <c r="D191" s="183"/>
      <c r="E191" s="124" t="s">
        <v>43</v>
      </c>
      <c r="F191" s="159" t="s">
        <v>397</v>
      </c>
      <c r="G191" s="160" t="s">
        <v>398</v>
      </c>
      <c r="H191" s="126" t="s">
        <v>408</v>
      </c>
      <c r="I191" s="159" t="s">
        <v>409</v>
      </c>
      <c r="J191" s="175" t="s">
        <v>140</v>
      </c>
      <c r="K191" s="163">
        <v>0</v>
      </c>
      <c r="L191" s="163">
        <v>0</v>
      </c>
      <c r="M191" s="164">
        <v>90</v>
      </c>
      <c r="N191" s="165">
        <v>420</v>
      </c>
      <c r="O191" s="166">
        <v>1</v>
      </c>
      <c r="P191" s="165">
        <f t="shared" si="20"/>
        <v>420</v>
      </c>
      <c r="Q191" s="185">
        <v>0.8</v>
      </c>
      <c r="R191" s="176">
        <v>420</v>
      </c>
      <c r="S191" s="164">
        <f t="shared" si="21"/>
        <v>0</v>
      </c>
      <c r="T191" s="168">
        <f t="shared" si="27"/>
        <v>768</v>
      </c>
      <c r="U191" s="163">
        <f t="shared" si="28"/>
        <v>0</v>
      </c>
      <c r="V191" s="163">
        <f t="shared" si="29"/>
        <v>0</v>
      </c>
      <c r="W191" s="163">
        <v>0</v>
      </c>
      <c r="X191" s="137">
        <f t="shared" si="25"/>
        <v>46153.359143518515</v>
      </c>
    </row>
    <row r="192" spans="1:24" s="121" customFormat="1" hidden="1" x14ac:dyDescent="0.35">
      <c r="A192" s="71">
        <f t="shared" si="19"/>
        <v>46153.359143518515</v>
      </c>
      <c r="B192" s="71">
        <v>46122.036921296298</v>
      </c>
      <c r="C192" s="180">
        <f t="shared" si="26"/>
        <v>-31.322222222217533</v>
      </c>
      <c r="D192" s="180"/>
      <c r="E192" s="47" t="s">
        <v>43</v>
      </c>
      <c r="F192" s="82" t="s">
        <v>397</v>
      </c>
      <c r="G192" s="69" t="s">
        <v>398</v>
      </c>
      <c r="H192" s="98" t="s">
        <v>410</v>
      </c>
      <c r="I192" s="82" t="s">
        <v>377</v>
      </c>
      <c r="J192" s="100" t="s">
        <v>140</v>
      </c>
      <c r="K192" s="101">
        <v>0</v>
      </c>
      <c r="L192" s="101">
        <v>0</v>
      </c>
      <c r="M192" s="102">
        <v>70</v>
      </c>
      <c r="N192" s="103">
        <f>210*4</f>
        <v>840</v>
      </c>
      <c r="O192" s="171">
        <v>1</v>
      </c>
      <c r="P192" s="103">
        <f t="shared" si="20"/>
        <v>840</v>
      </c>
      <c r="Q192" s="181">
        <v>0.8</v>
      </c>
      <c r="R192" s="182">
        <v>840</v>
      </c>
      <c r="S192" s="102">
        <f t="shared" si="21"/>
        <v>0</v>
      </c>
      <c r="T192" s="173">
        <f t="shared" si="27"/>
        <v>987.42857142857144</v>
      </c>
      <c r="U192" s="101">
        <f t="shared" si="28"/>
        <v>0</v>
      </c>
      <c r="V192" s="101">
        <f t="shared" si="29"/>
        <v>0</v>
      </c>
      <c r="W192" s="101">
        <v>0</v>
      </c>
      <c r="X192" s="55">
        <f t="shared" si="25"/>
        <v>46153.359143518515</v>
      </c>
    </row>
    <row r="193" spans="1:24" s="179" customFormat="1" hidden="1" x14ac:dyDescent="0.35">
      <c r="A193" s="161">
        <f t="shared" si="19"/>
        <v>46153.359143518515</v>
      </c>
      <c r="B193" s="161">
        <v>46125</v>
      </c>
      <c r="C193" s="183">
        <f t="shared" si="26"/>
        <v>-28.359143518515339</v>
      </c>
      <c r="D193" s="183"/>
      <c r="E193" s="124" t="s">
        <v>43</v>
      </c>
      <c r="F193" s="159" t="s">
        <v>397</v>
      </c>
      <c r="G193" s="160" t="s">
        <v>411</v>
      </c>
      <c r="H193" s="126" t="s">
        <v>412</v>
      </c>
      <c r="I193" s="159" t="s">
        <v>191</v>
      </c>
      <c r="J193" s="175" t="s">
        <v>140</v>
      </c>
      <c r="K193" s="163">
        <v>0</v>
      </c>
      <c r="L193" s="163">
        <v>0</v>
      </c>
      <c r="M193" s="164">
        <v>70</v>
      </c>
      <c r="N193" s="165">
        <v>2730</v>
      </c>
      <c r="O193" s="166">
        <v>1</v>
      </c>
      <c r="P193" s="165">
        <f t="shared" si="20"/>
        <v>2730</v>
      </c>
      <c r="Q193" s="185">
        <v>0.8</v>
      </c>
      <c r="R193" s="176">
        <v>2730</v>
      </c>
      <c r="S193" s="164">
        <f t="shared" si="21"/>
        <v>0</v>
      </c>
      <c r="T193" s="168">
        <f t="shared" si="27"/>
        <v>987.42857142857144</v>
      </c>
      <c r="U193" s="163">
        <f t="shared" si="28"/>
        <v>0</v>
      </c>
      <c r="V193" s="163">
        <f t="shared" si="29"/>
        <v>0</v>
      </c>
      <c r="W193" s="163">
        <v>0</v>
      </c>
      <c r="X193" s="137">
        <f t="shared" si="25"/>
        <v>46153.359143518515</v>
      </c>
    </row>
    <row r="194" spans="1:24" s="186" customFormat="1" ht="25" hidden="1" customHeight="1" x14ac:dyDescent="0.35">
      <c r="A194" s="161">
        <f t="shared" si="19"/>
        <v>46153.359143518515</v>
      </c>
      <c r="B194" s="123">
        <v>46144</v>
      </c>
      <c r="C194" s="190">
        <f>B194-A194</f>
        <v>-9.3591435185153387</v>
      </c>
      <c r="D194" s="123"/>
      <c r="E194" s="124" t="s">
        <v>43</v>
      </c>
      <c r="F194" s="187" t="s">
        <v>413</v>
      </c>
      <c r="G194" s="159" t="s">
        <v>414</v>
      </c>
      <c r="H194" s="126" t="s">
        <v>415</v>
      </c>
      <c r="I194" s="187" t="s">
        <v>4198</v>
      </c>
      <c r="J194" s="128" t="s">
        <v>140</v>
      </c>
      <c r="K194" s="129">
        <v>0</v>
      </c>
      <c r="L194" s="129">
        <v>0</v>
      </c>
      <c r="M194" s="130">
        <v>50</v>
      </c>
      <c r="N194" s="131">
        <v>5600</v>
      </c>
      <c r="O194" s="189">
        <v>1</v>
      </c>
      <c r="P194" s="131">
        <f>N194/O194</f>
        <v>5600</v>
      </c>
      <c r="Q194" s="185">
        <v>0.8</v>
      </c>
      <c r="R194" s="130">
        <v>5600</v>
      </c>
      <c r="S194" s="164">
        <f>P194-R194</f>
        <v>0</v>
      </c>
      <c r="T194" s="168">
        <f>((3600/M194)*O194)*24*Q194</f>
        <v>1382.4</v>
      </c>
      <c r="U194" s="163">
        <f>(P194-R194)*M194/3600/Q194</f>
        <v>0</v>
      </c>
      <c r="V194" s="163">
        <f>U194/24</f>
        <v>0</v>
      </c>
      <c r="W194" s="163">
        <v>0</v>
      </c>
      <c r="X194" s="137">
        <f>A194+K194+V194+W194+L194</f>
        <v>46153.359143518515</v>
      </c>
    </row>
    <row r="195" spans="1:24" s="202" customFormat="1" ht="25" customHeight="1" x14ac:dyDescent="0.35">
      <c r="A195" s="192">
        <f t="shared" si="19"/>
        <v>46153.359143518515</v>
      </c>
      <c r="B195" s="193">
        <v>46140</v>
      </c>
      <c r="C195" s="194">
        <f>B195-A195</f>
        <v>-13.359143518515339</v>
      </c>
      <c r="D195" s="193"/>
      <c r="E195" s="195" t="s">
        <v>43</v>
      </c>
      <c r="F195" s="112" t="s">
        <v>416</v>
      </c>
      <c r="G195" s="196" t="s">
        <v>414</v>
      </c>
      <c r="H195" s="113" t="s">
        <v>417</v>
      </c>
      <c r="I195" s="197" t="s">
        <v>4199</v>
      </c>
      <c r="J195" s="114" t="s">
        <v>140</v>
      </c>
      <c r="K195" s="115">
        <v>0</v>
      </c>
      <c r="L195" s="115">
        <v>0</v>
      </c>
      <c r="M195" s="116">
        <v>50</v>
      </c>
      <c r="N195" s="117">
        <v>5920</v>
      </c>
      <c r="O195" s="116">
        <v>1</v>
      </c>
      <c r="P195" s="117">
        <f>N195/O195</f>
        <v>5920</v>
      </c>
      <c r="Q195" s="198">
        <v>0.8</v>
      </c>
      <c r="R195" s="199">
        <v>146</v>
      </c>
      <c r="S195" s="116">
        <f>P195-R195</f>
        <v>5774</v>
      </c>
      <c r="T195" s="200">
        <f>((3600/M195)*O195)*24*Q195</f>
        <v>1382.4</v>
      </c>
      <c r="U195" s="115">
        <f>(P195-R195)*M195/3600/Q195</f>
        <v>100.24305555555554</v>
      </c>
      <c r="V195" s="115">
        <f>U195/24</f>
        <v>4.176793981481481</v>
      </c>
      <c r="W195" s="115">
        <v>0</v>
      </c>
      <c r="X195" s="201">
        <f>A195+K195+V195+W195+L195</f>
        <v>46157.535937499997</v>
      </c>
    </row>
    <row r="196" spans="1:24" s="178" customFormat="1" ht="25" customHeight="1" x14ac:dyDescent="0.35">
      <c r="A196" s="203"/>
      <c r="B196" s="203"/>
      <c r="C196" s="203"/>
      <c r="D196" s="203"/>
      <c r="E196" s="204"/>
      <c r="F196" s="205"/>
      <c r="G196" s="205"/>
      <c r="H196" s="206"/>
      <c r="I196" s="205"/>
      <c r="J196" s="207"/>
      <c r="K196" s="208"/>
      <c r="L196" s="208"/>
      <c r="M196" s="209"/>
      <c r="N196" s="210"/>
      <c r="O196" s="209"/>
      <c r="P196" s="210"/>
      <c r="Q196" s="210"/>
      <c r="R196" s="211"/>
      <c r="S196" s="209"/>
      <c r="T196" s="209"/>
      <c r="U196" s="208"/>
      <c r="V196" s="208"/>
      <c r="W196" s="208"/>
      <c r="X196" s="212"/>
    </row>
    <row r="197" spans="1:24" ht="34.5" x14ac:dyDescent="0.8">
      <c r="A197" s="35" t="s">
        <v>134</v>
      </c>
      <c r="B197" s="35"/>
      <c r="C197" s="35"/>
      <c r="D197" s="35"/>
      <c r="E197" s="36"/>
      <c r="F197" s="213"/>
      <c r="G197" s="213"/>
      <c r="H197" s="38"/>
      <c r="I197" s="214"/>
      <c r="J197" s="40"/>
      <c r="K197" s="41"/>
      <c r="L197" s="41"/>
      <c r="M197" s="42"/>
      <c r="N197" s="43"/>
      <c r="O197" s="44"/>
      <c r="P197" s="44"/>
      <c r="Q197" s="44"/>
      <c r="R197" s="215"/>
      <c r="S197" s="44"/>
      <c r="T197" s="44"/>
      <c r="U197" s="44"/>
      <c r="V197" s="44"/>
      <c r="W197" s="44"/>
      <c r="X197" s="45"/>
    </row>
    <row r="198" spans="1:24" hidden="1" x14ac:dyDescent="0.35">
      <c r="A198" s="46">
        <f>S7</f>
        <v>46153</v>
      </c>
      <c r="B198" s="46"/>
      <c r="C198" s="46"/>
      <c r="D198" s="46"/>
      <c r="E198" s="47" t="s">
        <v>418</v>
      </c>
      <c r="F198" s="48" t="s">
        <v>14</v>
      </c>
      <c r="G198" s="48"/>
      <c r="H198" s="49">
        <v>7415</v>
      </c>
      <c r="I198" s="82" t="s">
        <v>419</v>
      </c>
      <c r="J198" s="100"/>
      <c r="K198" s="52">
        <v>0.25</v>
      </c>
      <c r="L198" s="52">
        <v>0.2</v>
      </c>
      <c r="M198" s="53">
        <v>120</v>
      </c>
      <c r="N198" s="54">
        <v>50</v>
      </c>
      <c r="O198" s="53">
        <v>1</v>
      </c>
      <c r="P198" s="54">
        <v>50</v>
      </c>
      <c r="Q198" s="54"/>
      <c r="R198" s="53">
        <v>0</v>
      </c>
      <c r="S198" s="53">
        <f t="shared" ref="S198:S261" si="30">P198-R198</f>
        <v>50</v>
      </c>
      <c r="T198" s="83">
        <f t="shared" ref="T198:T261" si="31">((3600/M198)*O198)*24</f>
        <v>720</v>
      </c>
      <c r="U198" s="84">
        <f t="shared" ref="U198:U261" si="32">(P198-R198)*M198/3600</f>
        <v>1.6666666666666667</v>
      </c>
      <c r="V198" s="84">
        <f t="shared" ref="V198:V261" si="33">(P198-R198)*M198/3600/24</f>
        <v>6.9444444444444448E-2</v>
      </c>
      <c r="W198" s="84">
        <v>0</v>
      </c>
      <c r="X198" s="55">
        <f t="shared" ref="X198:X261" si="34">A198+K198+V198+W198+L198</f>
        <v>46153.519444444442</v>
      </c>
    </row>
    <row r="199" spans="1:24" ht="29" hidden="1" x14ac:dyDescent="0.35">
      <c r="A199" s="46">
        <f t="shared" ref="A199:A262" si="35">X198</f>
        <v>46153.519444444442</v>
      </c>
      <c r="B199" s="46"/>
      <c r="C199" s="46"/>
      <c r="D199" s="46"/>
      <c r="E199" s="47" t="s">
        <v>418</v>
      </c>
      <c r="F199" s="48" t="s">
        <v>420</v>
      </c>
      <c r="G199" s="48"/>
      <c r="H199" s="49" t="s">
        <v>421</v>
      </c>
      <c r="I199" s="82" t="s">
        <v>419</v>
      </c>
      <c r="J199" s="100"/>
      <c r="K199" s="52">
        <v>0</v>
      </c>
      <c r="L199" s="52">
        <v>0</v>
      </c>
      <c r="M199" s="53">
        <v>120</v>
      </c>
      <c r="N199" s="54">
        <v>3550</v>
      </c>
      <c r="O199" s="53">
        <v>1</v>
      </c>
      <c r="P199" s="54">
        <f t="shared" ref="P199:P262" si="36">N199/O199</f>
        <v>3550</v>
      </c>
      <c r="Q199" s="54"/>
      <c r="R199" s="53">
        <v>3550</v>
      </c>
      <c r="S199" s="53">
        <f t="shared" si="30"/>
        <v>0</v>
      </c>
      <c r="T199" s="83">
        <f t="shared" si="31"/>
        <v>720</v>
      </c>
      <c r="U199" s="84">
        <f t="shared" si="32"/>
        <v>0</v>
      </c>
      <c r="V199" s="84">
        <f t="shared" si="33"/>
        <v>0</v>
      </c>
      <c r="W199" s="84">
        <v>0</v>
      </c>
      <c r="X199" s="55">
        <f t="shared" si="34"/>
        <v>46153.519444444442</v>
      </c>
    </row>
    <row r="200" spans="1:24" hidden="1" x14ac:dyDescent="0.35">
      <c r="A200" s="46">
        <f t="shared" si="35"/>
        <v>46153.519444444442</v>
      </c>
      <c r="B200" s="46"/>
      <c r="C200" s="46"/>
      <c r="D200" s="46"/>
      <c r="E200" s="47" t="s">
        <v>418</v>
      </c>
      <c r="F200" s="48" t="s">
        <v>422</v>
      </c>
      <c r="G200" s="48"/>
      <c r="H200" s="49" t="s">
        <v>423</v>
      </c>
      <c r="I200" s="82" t="s">
        <v>424</v>
      </c>
      <c r="J200" s="100"/>
      <c r="K200" s="52">
        <v>0</v>
      </c>
      <c r="L200" s="52">
        <v>0</v>
      </c>
      <c r="M200" s="53">
        <v>67</v>
      </c>
      <c r="N200" s="54">
        <v>4000</v>
      </c>
      <c r="O200" s="53">
        <v>1</v>
      </c>
      <c r="P200" s="54">
        <f t="shared" si="36"/>
        <v>4000</v>
      </c>
      <c r="Q200" s="54"/>
      <c r="R200" s="53">
        <v>4000</v>
      </c>
      <c r="S200" s="53">
        <f t="shared" si="30"/>
        <v>0</v>
      </c>
      <c r="T200" s="83">
        <f t="shared" si="31"/>
        <v>1289.5522388059703</v>
      </c>
      <c r="U200" s="84">
        <f t="shared" si="32"/>
        <v>0</v>
      </c>
      <c r="V200" s="84">
        <f t="shared" si="33"/>
        <v>0</v>
      </c>
      <c r="W200" s="84">
        <v>0</v>
      </c>
      <c r="X200" s="55">
        <f t="shared" si="34"/>
        <v>46153.519444444442</v>
      </c>
    </row>
    <row r="201" spans="1:24" hidden="1" x14ac:dyDescent="0.35">
      <c r="A201" s="46">
        <f t="shared" si="35"/>
        <v>46153.519444444442</v>
      </c>
      <c r="B201" s="46"/>
      <c r="C201" s="46"/>
      <c r="D201" s="46"/>
      <c r="E201" s="47" t="s">
        <v>418</v>
      </c>
      <c r="F201" s="48" t="s">
        <v>425</v>
      </c>
      <c r="G201" s="48"/>
      <c r="H201" s="49" t="s">
        <v>426</v>
      </c>
      <c r="I201" s="82" t="s">
        <v>427</v>
      </c>
      <c r="J201" s="100"/>
      <c r="K201" s="52">
        <v>0</v>
      </c>
      <c r="L201" s="52">
        <v>0</v>
      </c>
      <c r="M201" s="53">
        <v>67</v>
      </c>
      <c r="N201" s="54">
        <v>1890</v>
      </c>
      <c r="O201" s="53">
        <v>1</v>
      </c>
      <c r="P201" s="54">
        <f t="shared" si="36"/>
        <v>1890</v>
      </c>
      <c r="Q201" s="54"/>
      <c r="R201" s="53">
        <v>1890</v>
      </c>
      <c r="S201" s="53">
        <f t="shared" si="30"/>
        <v>0</v>
      </c>
      <c r="T201" s="83">
        <f t="shared" si="31"/>
        <v>1289.5522388059703</v>
      </c>
      <c r="U201" s="84">
        <f t="shared" si="32"/>
        <v>0</v>
      </c>
      <c r="V201" s="84">
        <f t="shared" si="33"/>
        <v>0</v>
      </c>
      <c r="W201" s="84">
        <v>0</v>
      </c>
      <c r="X201" s="55">
        <f t="shared" si="34"/>
        <v>46153.519444444442</v>
      </c>
    </row>
    <row r="202" spans="1:24" hidden="1" x14ac:dyDescent="0.35">
      <c r="A202" s="46">
        <f t="shared" si="35"/>
        <v>46153.519444444442</v>
      </c>
      <c r="B202" s="46"/>
      <c r="C202" s="46"/>
      <c r="D202" s="46"/>
      <c r="E202" s="47" t="s">
        <v>418</v>
      </c>
      <c r="F202" s="48" t="s">
        <v>425</v>
      </c>
      <c r="G202" s="48"/>
      <c r="H202" s="49" t="s">
        <v>428</v>
      </c>
      <c r="I202" s="82" t="s">
        <v>427</v>
      </c>
      <c r="J202" s="100"/>
      <c r="K202" s="52">
        <v>0</v>
      </c>
      <c r="L202" s="52">
        <v>0</v>
      </c>
      <c r="M202" s="53">
        <v>67</v>
      </c>
      <c r="N202" s="54">
        <v>630</v>
      </c>
      <c r="O202" s="53">
        <v>1</v>
      </c>
      <c r="P202" s="54">
        <f t="shared" si="36"/>
        <v>630</v>
      </c>
      <c r="Q202" s="54"/>
      <c r="R202" s="53">
        <v>630</v>
      </c>
      <c r="S202" s="53">
        <f t="shared" si="30"/>
        <v>0</v>
      </c>
      <c r="T202" s="83">
        <f t="shared" si="31"/>
        <v>1289.5522388059703</v>
      </c>
      <c r="U202" s="84">
        <f t="shared" si="32"/>
        <v>0</v>
      </c>
      <c r="V202" s="84">
        <f t="shared" si="33"/>
        <v>0</v>
      </c>
      <c r="W202" s="84">
        <v>0</v>
      </c>
      <c r="X202" s="55">
        <f t="shared" si="34"/>
        <v>46153.519444444442</v>
      </c>
    </row>
    <row r="203" spans="1:24" hidden="1" x14ac:dyDescent="0.35">
      <c r="A203" s="46">
        <f t="shared" si="35"/>
        <v>46153.519444444442</v>
      </c>
      <c r="B203" s="46"/>
      <c r="C203" s="46"/>
      <c r="D203" s="46"/>
      <c r="E203" s="47" t="s">
        <v>418</v>
      </c>
      <c r="F203" s="48" t="s">
        <v>422</v>
      </c>
      <c r="G203" s="48"/>
      <c r="H203" s="49" t="s">
        <v>429</v>
      </c>
      <c r="I203" s="82" t="s">
        <v>430</v>
      </c>
      <c r="J203" s="100"/>
      <c r="K203" s="52">
        <v>0</v>
      </c>
      <c r="L203" s="52">
        <v>0</v>
      </c>
      <c r="M203" s="53">
        <v>67</v>
      </c>
      <c r="N203" s="54">
        <v>840</v>
      </c>
      <c r="O203" s="53">
        <v>1</v>
      </c>
      <c r="P203" s="54">
        <f t="shared" si="36"/>
        <v>840</v>
      </c>
      <c r="Q203" s="54"/>
      <c r="R203" s="53">
        <v>840</v>
      </c>
      <c r="S203" s="53">
        <f t="shared" si="30"/>
        <v>0</v>
      </c>
      <c r="T203" s="83">
        <f t="shared" si="31"/>
        <v>1289.5522388059703</v>
      </c>
      <c r="U203" s="84">
        <f t="shared" si="32"/>
        <v>0</v>
      </c>
      <c r="V203" s="84">
        <f t="shared" si="33"/>
        <v>0</v>
      </c>
      <c r="W203" s="84">
        <v>0</v>
      </c>
      <c r="X203" s="55">
        <f t="shared" si="34"/>
        <v>46153.519444444442</v>
      </c>
    </row>
    <row r="204" spans="1:24" hidden="1" x14ac:dyDescent="0.35">
      <c r="A204" s="46">
        <f t="shared" si="35"/>
        <v>46153.519444444442</v>
      </c>
      <c r="B204" s="46"/>
      <c r="C204" s="46"/>
      <c r="D204" s="46"/>
      <c r="E204" s="47" t="s">
        <v>418</v>
      </c>
      <c r="F204" s="48" t="s">
        <v>422</v>
      </c>
      <c r="G204" s="48"/>
      <c r="H204" s="49" t="s">
        <v>431</v>
      </c>
      <c r="I204" s="82" t="s">
        <v>191</v>
      </c>
      <c r="J204" s="100"/>
      <c r="K204" s="52">
        <v>0</v>
      </c>
      <c r="L204" s="52">
        <v>0</v>
      </c>
      <c r="M204" s="53">
        <v>67</v>
      </c>
      <c r="N204" s="54">
        <v>840</v>
      </c>
      <c r="O204" s="53">
        <v>1</v>
      </c>
      <c r="P204" s="54">
        <f t="shared" si="36"/>
        <v>840</v>
      </c>
      <c r="Q204" s="54"/>
      <c r="R204" s="53">
        <v>840</v>
      </c>
      <c r="S204" s="53">
        <f t="shared" si="30"/>
        <v>0</v>
      </c>
      <c r="T204" s="83">
        <f t="shared" si="31"/>
        <v>1289.5522388059703</v>
      </c>
      <c r="U204" s="84">
        <f t="shared" si="32"/>
        <v>0</v>
      </c>
      <c r="V204" s="84">
        <f t="shared" si="33"/>
        <v>0</v>
      </c>
      <c r="W204" s="84">
        <v>0</v>
      </c>
      <c r="X204" s="55">
        <f t="shared" si="34"/>
        <v>46153.519444444442</v>
      </c>
    </row>
    <row r="205" spans="1:24" hidden="1" x14ac:dyDescent="0.35">
      <c r="A205" s="46">
        <f t="shared" si="35"/>
        <v>46153.519444444442</v>
      </c>
      <c r="B205" s="46"/>
      <c r="C205" s="46"/>
      <c r="D205" s="46"/>
      <c r="E205" s="47" t="s">
        <v>418</v>
      </c>
      <c r="F205" s="57" t="s">
        <v>135</v>
      </c>
      <c r="G205" s="57"/>
      <c r="H205" s="67" t="s">
        <v>432</v>
      </c>
      <c r="I205" s="97" t="s">
        <v>433</v>
      </c>
      <c r="J205" s="77"/>
      <c r="K205" s="52">
        <v>0</v>
      </c>
      <c r="L205" s="52">
        <v>0</v>
      </c>
      <c r="M205" s="53">
        <v>90</v>
      </c>
      <c r="N205" s="65">
        <v>300</v>
      </c>
      <c r="O205" s="53">
        <v>1</v>
      </c>
      <c r="P205" s="54">
        <f t="shared" si="36"/>
        <v>300</v>
      </c>
      <c r="Q205" s="54"/>
      <c r="R205" s="53">
        <v>300</v>
      </c>
      <c r="S205" s="53">
        <f t="shared" si="30"/>
        <v>0</v>
      </c>
      <c r="T205" s="83">
        <f t="shared" si="31"/>
        <v>960</v>
      </c>
      <c r="U205" s="84">
        <f t="shared" si="32"/>
        <v>0</v>
      </c>
      <c r="V205" s="84">
        <f t="shared" si="33"/>
        <v>0</v>
      </c>
      <c r="W205" s="84">
        <v>0</v>
      </c>
      <c r="X205" s="55">
        <f t="shared" si="34"/>
        <v>46153.519444444442</v>
      </c>
    </row>
    <row r="206" spans="1:24" hidden="1" x14ac:dyDescent="0.35">
      <c r="A206" s="46">
        <f t="shared" si="35"/>
        <v>46153.519444444442</v>
      </c>
      <c r="B206" s="46"/>
      <c r="C206" s="46"/>
      <c r="D206" s="46"/>
      <c r="E206" s="47" t="s">
        <v>418</v>
      </c>
      <c r="F206" s="62" t="s">
        <v>135</v>
      </c>
      <c r="G206" s="62"/>
      <c r="H206" s="63" t="s">
        <v>434</v>
      </c>
      <c r="I206" s="69" t="s">
        <v>435</v>
      </c>
      <c r="J206" s="77"/>
      <c r="K206" s="52">
        <v>0</v>
      </c>
      <c r="L206" s="52">
        <v>0</v>
      </c>
      <c r="M206" s="53">
        <v>90</v>
      </c>
      <c r="N206" s="65">
        <v>1000</v>
      </c>
      <c r="O206" s="53">
        <v>1</v>
      </c>
      <c r="P206" s="54">
        <f t="shared" si="36"/>
        <v>1000</v>
      </c>
      <c r="Q206" s="54"/>
      <c r="R206" s="53">
        <v>1000</v>
      </c>
      <c r="S206" s="53">
        <f t="shared" si="30"/>
        <v>0</v>
      </c>
      <c r="T206" s="83">
        <f t="shared" si="31"/>
        <v>960</v>
      </c>
      <c r="U206" s="84">
        <f t="shared" si="32"/>
        <v>0</v>
      </c>
      <c r="V206" s="84">
        <f t="shared" si="33"/>
        <v>0</v>
      </c>
      <c r="W206" s="84">
        <v>0</v>
      </c>
      <c r="X206" s="55">
        <f t="shared" si="34"/>
        <v>46153.519444444442</v>
      </c>
    </row>
    <row r="207" spans="1:24" hidden="1" x14ac:dyDescent="0.35">
      <c r="A207" s="46">
        <f t="shared" si="35"/>
        <v>46153.519444444442</v>
      </c>
      <c r="B207" s="46"/>
      <c r="C207" s="46"/>
      <c r="D207" s="46"/>
      <c r="E207" s="47" t="s">
        <v>418</v>
      </c>
      <c r="F207" s="62" t="s">
        <v>135</v>
      </c>
      <c r="G207" s="62"/>
      <c r="H207" s="63" t="s">
        <v>436</v>
      </c>
      <c r="I207" s="69" t="s">
        <v>437</v>
      </c>
      <c r="J207" s="77"/>
      <c r="K207" s="52">
        <v>0</v>
      </c>
      <c r="L207" s="52">
        <v>0</v>
      </c>
      <c r="M207" s="53">
        <v>70</v>
      </c>
      <c r="N207" s="65">
        <v>300</v>
      </c>
      <c r="O207" s="53">
        <v>1</v>
      </c>
      <c r="P207" s="54">
        <f t="shared" si="36"/>
        <v>300</v>
      </c>
      <c r="Q207" s="54"/>
      <c r="R207" s="53">
        <v>300</v>
      </c>
      <c r="S207" s="53">
        <f t="shared" si="30"/>
        <v>0</v>
      </c>
      <c r="T207" s="83">
        <f t="shared" si="31"/>
        <v>1234.2857142857142</v>
      </c>
      <c r="U207" s="84">
        <f t="shared" si="32"/>
        <v>0</v>
      </c>
      <c r="V207" s="84">
        <f t="shared" si="33"/>
        <v>0</v>
      </c>
      <c r="W207" s="84">
        <v>0</v>
      </c>
      <c r="X207" s="55">
        <f t="shared" si="34"/>
        <v>46153.519444444442</v>
      </c>
    </row>
    <row r="208" spans="1:24" hidden="1" x14ac:dyDescent="0.35">
      <c r="A208" s="46">
        <f t="shared" si="35"/>
        <v>46153.519444444442</v>
      </c>
      <c r="B208" s="46"/>
      <c r="C208" s="46"/>
      <c r="D208" s="46"/>
      <c r="E208" s="47" t="s">
        <v>418</v>
      </c>
      <c r="F208" s="62" t="s">
        <v>135</v>
      </c>
      <c r="G208" s="62"/>
      <c r="H208" s="63" t="s">
        <v>438</v>
      </c>
      <c r="I208" s="69" t="s">
        <v>439</v>
      </c>
      <c r="J208" s="77"/>
      <c r="K208" s="52">
        <v>0</v>
      </c>
      <c r="L208" s="52">
        <v>0</v>
      </c>
      <c r="M208" s="53">
        <v>70</v>
      </c>
      <c r="N208" s="65">
        <v>200</v>
      </c>
      <c r="O208" s="53">
        <v>1</v>
      </c>
      <c r="P208" s="54">
        <f t="shared" si="36"/>
        <v>200</v>
      </c>
      <c r="Q208" s="54"/>
      <c r="R208" s="53">
        <v>200</v>
      </c>
      <c r="S208" s="53">
        <f t="shared" si="30"/>
        <v>0</v>
      </c>
      <c r="T208" s="83">
        <f t="shared" si="31"/>
        <v>1234.2857142857142</v>
      </c>
      <c r="U208" s="84">
        <f t="shared" si="32"/>
        <v>0</v>
      </c>
      <c r="V208" s="84">
        <f t="shared" si="33"/>
        <v>0</v>
      </c>
      <c r="W208" s="84">
        <v>0</v>
      </c>
      <c r="X208" s="55">
        <f t="shared" si="34"/>
        <v>46153.519444444442</v>
      </c>
    </row>
    <row r="209" spans="1:24" hidden="1" x14ac:dyDescent="0.35">
      <c r="A209" s="46">
        <f t="shared" si="35"/>
        <v>46153.519444444442</v>
      </c>
      <c r="B209" s="46"/>
      <c r="C209" s="46"/>
      <c r="D209" s="46"/>
      <c r="E209" s="47" t="s">
        <v>440</v>
      </c>
      <c r="F209" s="62" t="s">
        <v>135</v>
      </c>
      <c r="G209" s="62"/>
      <c r="H209" s="63" t="s">
        <v>441</v>
      </c>
      <c r="I209" s="69" t="s">
        <v>442</v>
      </c>
      <c r="J209" s="77"/>
      <c r="K209" s="52">
        <v>0</v>
      </c>
      <c r="L209" s="52">
        <v>0</v>
      </c>
      <c r="M209" s="53">
        <v>95</v>
      </c>
      <c r="N209" s="65">
        <v>200</v>
      </c>
      <c r="O209" s="53">
        <v>1</v>
      </c>
      <c r="P209" s="54">
        <f t="shared" si="36"/>
        <v>200</v>
      </c>
      <c r="Q209" s="54"/>
      <c r="R209" s="83">
        <v>200</v>
      </c>
      <c r="S209" s="53">
        <f t="shared" si="30"/>
        <v>0</v>
      </c>
      <c r="T209" s="83">
        <f t="shared" si="31"/>
        <v>909.47368421052624</v>
      </c>
      <c r="U209" s="84">
        <f t="shared" si="32"/>
        <v>0</v>
      </c>
      <c r="V209" s="84">
        <f t="shared" si="33"/>
        <v>0</v>
      </c>
      <c r="W209" s="84">
        <v>0</v>
      </c>
      <c r="X209" s="55">
        <f t="shared" si="34"/>
        <v>46153.519444444442</v>
      </c>
    </row>
    <row r="210" spans="1:24" hidden="1" x14ac:dyDescent="0.35">
      <c r="A210" s="46">
        <f t="shared" si="35"/>
        <v>46153.519444444442</v>
      </c>
      <c r="B210" s="46"/>
      <c r="C210" s="46"/>
      <c r="D210" s="46"/>
      <c r="E210" s="47" t="s">
        <v>440</v>
      </c>
      <c r="F210" s="62" t="s">
        <v>135</v>
      </c>
      <c r="G210" s="62"/>
      <c r="H210" s="63" t="s">
        <v>443</v>
      </c>
      <c r="I210" s="69" t="s">
        <v>444</v>
      </c>
      <c r="J210" s="77"/>
      <c r="K210" s="52">
        <v>0</v>
      </c>
      <c r="L210" s="52">
        <v>0</v>
      </c>
      <c r="M210" s="53">
        <v>95</v>
      </c>
      <c r="N210" s="65">
        <v>200</v>
      </c>
      <c r="O210" s="53">
        <v>1</v>
      </c>
      <c r="P210" s="54">
        <f t="shared" si="36"/>
        <v>200</v>
      </c>
      <c r="Q210" s="54"/>
      <c r="R210" s="83">
        <v>200</v>
      </c>
      <c r="S210" s="53">
        <f t="shared" si="30"/>
        <v>0</v>
      </c>
      <c r="T210" s="83">
        <f t="shared" si="31"/>
        <v>909.47368421052624</v>
      </c>
      <c r="U210" s="84">
        <f t="shared" si="32"/>
        <v>0</v>
      </c>
      <c r="V210" s="84">
        <f t="shared" si="33"/>
        <v>0</v>
      </c>
      <c r="W210" s="84">
        <v>0</v>
      </c>
      <c r="X210" s="55">
        <f t="shared" si="34"/>
        <v>46153.519444444442</v>
      </c>
    </row>
    <row r="211" spans="1:24" hidden="1" x14ac:dyDescent="0.35">
      <c r="A211" s="46">
        <f t="shared" si="35"/>
        <v>46153.519444444442</v>
      </c>
      <c r="B211" s="46"/>
      <c r="C211" s="46"/>
      <c r="D211" s="46"/>
      <c r="E211" s="47" t="s">
        <v>440</v>
      </c>
      <c r="F211" s="62" t="s">
        <v>135</v>
      </c>
      <c r="G211" s="62"/>
      <c r="H211" s="63" t="s">
        <v>445</v>
      </c>
      <c r="I211" s="69" t="s">
        <v>446</v>
      </c>
      <c r="J211" s="82"/>
      <c r="K211" s="52">
        <v>0</v>
      </c>
      <c r="L211" s="52">
        <v>0</v>
      </c>
      <c r="M211" s="53">
        <v>95</v>
      </c>
      <c r="N211" s="65">
        <v>200</v>
      </c>
      <c r="O211" s="53">
        <v>1</v>
      </c>
      <c r="P211" s="54">
        <f t="shared" si="36"/>
        <v>200</v>
      </c>
      <c r="Q211" s="54"/>
      <c r="R211" s="83">
        <v>200</v>
      </c>
      <c r="S211" s="53">
        <f t="shared" si="30"/>
        <v>0</v>
      </c>
      <c r="T211" s="83">
        <f t="shared" si="31"/>
        <v>909.47368421052624</v>
      </c>
      <c r="U211" s="84">
        <f t="shared" si="32"/>
        <v>0</v>
      </c>
      <c r="V211" s="84">
        <f t="shared" si="33"/>
        <v>0</v>
      </c>
      <c r="W211" s="84">
        <v>0</v>
      </c>
      <c r="X211" s="55">
        <f t="shared" si="34"/>
        <v>46153.519444444442</v>
      </c>
    </row>
    <row r="212" spans="1:24" hidden="1" x14ac:dyDescent="0.35">
      <c r="A212" s="46">
        <f t="shared" si="35"/>
        <v>46153.519444444442</v>
      </c>
      <c r="B212" s="46"/>
      <c r="C212" s="46"/>
      <c r="D212" s="46"/>
      <c r="E212" s="47" t="s">
        <v>440</v>
      </c>
      <c r="F212" s="62" t="s">
        <v>135</v>
      </c>
      <c r="G212" s="62"/>
      <c r="H212" s="63" t="s">
        <v>447</v>
      </c>
      <c r="I212" s="69" t="s">
        <v>448</v>
      </c>
      <c r="J212" s="77"/>
      <c r="K212" s="52">
        <v>0</v>
      </c>
      <c r="L212" s="52">
        <v>0</v>
      </c>
      <c r="M212" s="53">
        <v>95</v>
      </c>
      <c r="N212" s="65">
        <v>100</v>
      </c>
      <c r="O212" s="53">
        <v>1</v>
      </c>
      <c r="P212" s="54">
        <f t="shared" si="36"/>
        <v>100</v>
      </c>
      <c r="Q212" s="54"/>
      <c r="R212" s="83">
        <v>100</v>
      </c>
      <c r="S212" s="53">
        <f t="shared" si="30"/>
        <v>0</v>
      </c>
      <c r="T212" s="83">
        <f t="shared" si="31"/>
        <v>909.47368421052624</v>
      </c>
      <c r="U212" s="84">
        <f t="shared" si="32"/>
        <v>0</v>
      </c>
      <c r="V212" s="84">
        <f t="shared" si="33"/>
        <v>0</v>
      </c>
      <c r="W212" s="84">
        <v>0</v>
      </c>
      <c r="X212" s="55">
        <f t="shared" si="34"/>
        <v>46153.519444444442</v>
      </c>
    </row>
    <row r="213" spans="1:24" hidden="1" x14ac:dyDescent="0.35">
      <c r="A213" s="46">
        <f t="shared" si="35"/>
        <v>46153.519444444442</v>
      </c>
      <c r="B213" s="46"/>
      <c r="C213" s="46"/>
      <c r="D213" s="46"/>
      <c r="E213" s="47" t="s">
        <v>440</v>
      </c>
      <c r="F213" s="62" t="s">
        <v>135</v>
      </c>
      <c r="G213" s="62"/>
      <c r="H213" s="63" t="s">
        <v>447</v>
      </c>
      <c r="I213" s="69" t="s">
        <v>448</v>
      </c>
      <c r="J213" s="77"/>
      <c r="K213" s="52">
        <v>0</v>
      </c>
      <c r="L213" s="52">
        <v>0</v>
      </c>
      <c r="M213" s="53">
        <v>95</v>
      </c>
      <c r="N213" s="65">
        <v>400</v>
      </c>
      <c r="O213" s="53">
        <v>1</v>
      </c>
      <c r="P213" s="54">
        <f t="shared" si="36"/>
        <v>400</v>
      </c>
      <c r="Q213" s="54"/>
      <c r="R213" s="83">
        <v>400</v>
      </c>
      <c r="S213" s="53">
        <f t="shared" si="30"/>
        <v>0</v>
      </c>
      <c r="T213" s="83">
        <f t="shared" si="31"/>
        <v>909.47368421052624</v>
      </c>
      <c r="U213" s="84">
        <f t="shared" si="32"/>
        <v>0</v>
      </c>
      <c r="V213" s="84">
        <f t="shared" si="33"/>
        <v>0</v>
      </c>
      <c r="W213" s="84">
        <v>0</v>
      </c>
      <c r="X213" s="55">
        <f t="shared" si="34"/>
        <v>46153.519444444442</v>
      </c>
    </row>
    <row r="214" spans="1:24" ht="29" hidden="1" x14ac:dyDescent="0.35">
      <c r="A214" s="46">
        <f t="shared" si="35"/>
        <v>46153.519444444442</v>
      </c>
      <c r="B214" s="46"/>
      <c r="C214" s="46"/>
      <c r="D214" s="46"/>
      <c r="E214" s="47" t="s">
        <v>43</v>
      </c>
      <c r="F214" s="61" t="s">
        <v>449</v>
      </c>
      <c r="G214" s="61"/>
      <c r="H214" s="49" t="s">
        <v>450</v>
      </c>
      <c r="I214" s="82" t="s">
        <v>451</v>
      </c>
      <c r="J214" s="100"/>
      <c r="K214" s="52">
        <v>0</v>
      </c>
      <c r="L214" s="52">
        <v>0</v>
      </c>
      <c r="M214" s="53">
        <v>120</v>
      </c>
      <c r="N214" s="54">
        <v>2000</v>
      </c>
      <c r="O214" s="53">
        <v>1</v>
      </c>
      <c r="P214" s="54">
        <f t="shared" si="36"/>
        <v>2000</v>
      </c>
      <c r="Q214" s="54"/>
      <c r="R214" s="53">
        <v>2000</v>
      </c>
      <c r="S214" s="53">
        <f t="shared" si="30"/>
        <v>0</v>
      </c>
      <c r="T214" s="83">
        <f t="shared" si="31"/>
        <v>720</v>
      </c>
      <c r="U214" s="84">
        <f t="shared" si="32"/>
        <v>0</v>
      </c>
      <c r="V214" s="84">
        <f t="shared" si="33"/>
        <v>0</v>
      </c>
      <c r="W214" s="84">
        <v>0</v>
      </c>
      <c r="X214" s="55">
        <f t="shared" si="34"/>
        <v>46153.519444444442</v>
      </c>
    </row>
    <row r="215" spans="1:24" hidden="1" x14ac:dyDescent="0.35">
      <c r="A215" s="46">
        <f t="shared" si="35"/>
        <v>46153.519444444442</v>
      </c>
      <c r="B215" s="46"/>
      <c r="C215" s="46"/>
      <c r="D215" s="46"/>
      <c r="E215" s="47" t="s">
        <v>43</v>
      </c>
      <c r="F215" s="61" t="s">
        <v>452</v>
      </c>
      <c r="G215" s="61"/>
      <c r="H215" s="49" t="s">
        <v>453</v>
      </c>
      <c r="I215" s="82" t="s">
        <v>451</v>
      </c>
      <c r="J215" s="100" t="s">
        <v>140</v>
      </c>
      <c r="K215" s="52">
        <v>0</v>
      </c>
      <c r="L215" s="52">
        <v>0</v>
      </c>
      <c r="M215" s="53">
        <v>120</v>
      </c>
      <c r="N215" s="54">
        <v>1666</v>
      </c>
      <c r="O215" s="53">
        <v>1</v>
      </c>
      <c r="P215" s="54">
        <f t="shared" si="36"/>
        <v>1666</v>
      </c>
      <c r="Q215" s="54"/>
      <c r="R215" s="53">
        <v>1666</v>
      </c>
      <c r="S215" s="53">
        <f t="shared" si="30"/>
        <v>0</v>
      </c>
      <c r="T215" s="83">
        <f t="shared" si="31"/>
        <v>720</v>
      </c>
      <c r="U215" s="84">
        <f t="shared" si="32"/>
        <v>0</v>
      </c>
      <c r="V215" s="84">
        <f t="shared" si="33"/>
        <v>0</v>
      </c>
      <c r="W215" s="84">
        <v>0</v>
      </c>
      <c r="X215" s="55">
        <f t="shared" si="34"/>
        <v>46153.519444444442</v>
      </c>
    </row>
    <row r="216" spans="1:24" hidden="1" x14ac:dyDescent="0.35">
      <c r="A216" s="46">
        <f t="shared" si="35"/>
        <v>46153.519444444442</v>
      </c>
      <c r="B216" s="46"/>
      <c r="C216" s="46"/>
      <c r="D216" s="46"/>
      <c r="E216" s="47" t="s">
        <v>454</v>
      </c>
      <c r="F216" s="48" t="s">
        <v>455</v>
      </c>
      <c r="G216" s="48"/>
      <c r="H216" s="49" t="s">
        <v>456</v>
      </c>
      <c r="I216" s="82" t="s">
        <v>457</v>
      </c>
      <c r="J216" s="100" t="s">
        <v>140</v>
      </c>
      <c r="K216" s="52">
        <v>0</v>
      </c>
      <c r="L216" s="52">
        <v>0</v>
      </c>
      <c r="M216" s="53">
        <v>90</v>
      </c>
      <c r="N216" s="54">
        <v>1800</v>
      </c>
      <c r="O216" s="53">
        <v>1</v>
      </c>
      <c r="P216" s="54">
        <f t="shared" si="36"/>
        <v>1800</v>
      </c>
      <c r="Q216" s="54"/>
      <c r="R216" s="53">
        <v>1800</v>
      </c>
      <c r="S216" s="53">
        <f t="shared" si="30"/>
        <v>0</v>
      </c>
      <c r="T216" s="83">
        <f t="shared" si="31"/>
        <v>960</v>
      </c>
      <c r="U216" s="84">
        <f t="shared" si="32"/>
        <v>0</v>
      </c>
      <c r="V216" s="84">
        <f t="shared" si="33"/>
        <v>0</v>
      </c>
      <c r="W216" s="84">
        <v>0</v>
      </c>
      <c r="X216" s="55">
        <f t="shared" si="34"/>
        <v>46153.519444444442</v>
      </c>
    </row>
    <row r="217" spans="1:24" hidden="1" x14ac:dyDescent="0.35">
      <c r="A217" s="46">
        <f t="shared" si="35"/>
        <v>46153.519444444442</v>
      </c>
      <c r="B217" s="46"/>
      <c r="C217" s="46"/>
      <c r="D217" s="46"/>
      <c r="E217" s="47" t="s">
        <v>458</v>
      </c>
      <c r="F217" s="48" t="s">
        <v>144</v>
      </c>
      <c r="G217" s="48"/>
      <c r="H217" s="68">
        <v>8726</v>
      </c>
      <c r="I217" s="69" t="s">
        <v>459</v>
      </c>
      <c r="J217" s="100" t="s">
        <v>140</v>
      </c>
      <c r="K217" s="52">
        <v>0</v>
      </c>
      <c r="L217" s="52">
        <v>0</v>
      </c>
      <c r="M217" s="53">
        <v>95</v>
      </c>
      <c r="N217" s="65">
        <v>800</v>
      </c>
      <c r="O217" s="53">
        <v>1</v>
      </c>
      <c r="P217" s="54">
        <f t="shared" si="36"/>
        <v>800</v>
      </c>
      <c r="Q217" s="54"/>
      <c r="R217" s="83">
        <v>800</v>
      </c>
      <c r="S217" s="53">
        <f t="shared" si="30"/>
        <v>0</v>
      </c>
      <c r="T217" s="83">
        <f t="shared" si="31"/>
        <v>909.47368421052624</v>
      </c>
      <c r="U217" s="84">
        <f t="shared" si="32"/>
        <v>0</v>
      </c>
      <c r="V217" s="84">
        <f t="shared" si="33"/>
        <v>0</v>
      </c>
      <c r="W217" s="84">
        <v>0</v>
      </c>
      <c r="X217" s="55">
        <f t="shared" si="34"/>
        <v>46153.519444444442</v>
      </c>
    </row>
    <row r="218" spans="1:24" hidden="1" x14ac:dyDescent="0.35">
      <c r="A218" s="46">
        <f t="shared" si="35"/>
        <v>46153.519444444442</v>
      </c>
      <c r="B218" s="46"/>
      <c r="C218" s="46"/>
      <c r="D218" s="46"/>
      <c r="E218" s="47" t="s">
        <v>454</v>
      </c>
      <c r="F218" s="48" t="s">
        <v>460</v>
      </c>
      <c r="G218" s="48"/>
      <c r="H218" s="49" t="s">
        <v>461</v>
      </c>
      <c r="I218" s="82" t="s">
        <v>191</v>
      </c>
      <c r="J218" s="100" t="s">
        <v>140</v>
      </c>
      <c r="K218" s="52">
        <v>0</v>
      </c>
      <c r="L218" s="52">
        <v>0</v>
      </c>
      <c r="M218" s="53">
        <v>67</v>
      </c>
      <c r="N218" s="54">
        <v>1685</v>
      </c>
      <c r="O218" s="53">
        <v>1</v>
      </c>
      <c r="P218" s="54">
        <f t="shared" si="36"/>
        <v>1685</v>
      </c>
      <c r="Q218" s="54"/>
      <c r="R218" s="53">
        <v>1685</v>
      </c>
      <c r="S218" s="53">
        <f t="shared" si="30"/>
        <v>0</v>
      </c>
      <c r="T218" s="83">
        <f t="shared" si="31"/>
        <v>1289.5522388059703</v>
      </c>
      <c r="U218" s="84">
        <f t="shared" si="32"/>
        <v>0</v>
      </c>
      <c r="V218" s="84">
        <f t="shared" si="33"/>
        <v>0</v>
      </c>
      <c r="W218" s="84">
        <v>0</v>
      </c>
      <c r="X218" s="55">
        <f t="shared" si="34"/>
        <v>46153.519444444442</v>
      </c>
    </row>
    <row r="219" spans="1:24" hidden="1" x14ac:dyDescent="0.35">
      <c r="A219" s="46">
        <f t="shared" si="35"/>
        <v>46153.519444444442</v>
      </c>
      <c r="B219" s="46"/>
      <c r="C219" s="46"/>
      <c r="D219" s="46"/>
      <c r="E219" s="47" t="s">
        <v>458</v>
      </c>
      <c r="F219" s="48" t="s">
        <v>146</v>
      </c>
      <c r="G219" s="48"/>
      <c r="H219" s="63" t="s">
        <v>462</v>
      </c>
      <c r="I219" s="69" t="s">
        <v>463</v>
      </c>
      <c r="J219" s="100" t="s">
        <v>140</v>
      </c>
      <c r="K219" s="52">
        <v>0</v>
      </c>
      <c r="L219" s="52">
        <v>0</v>
      </c>
      <c r="M219" s="53">
        <v>95</v>
      </c>
      <c r="N219" s="65">
        <v>799</v>
      </c>
      <c r="O219" s="53">
        <v>1</v>
      </c>
      <c r="P219" s="54">
        <f t="shared" si="36"/>
        <v>799</v>
      </c>
      <c r="Q219" s="54"/>
      <c r="R219" s="83">
        <v>799</v>
      </c>
      <c r="S219" s="53">
        <f t="shared" si="30"/>
        <v>0</v>
      </c>
      <c r="T219" s="83">
        <f t="shared" si="31"/>
        <v>909.47368421052624</v>
      </c>
      <c r="U219" s="84">
        <f t="shared" si="32"/>
        <v>0</v>
      </c>
      <c r="V219" s="84">
        <f t="shared" si="33"/>
        <v>0</v>
      </c>
      <c r="W219" s="84">
        <v>0</v>
      </c>
      <c r="X219" s="55">
        <f t="shared" si="34"/>
        <v>46153.519444444442</v>
      </c>
    </row>
    <row r="220" spans="1:24" hidden="1" x14ac:dyDescent="0.35">
      <c r="A220" s="46">
        <f t="shared" si="35"/>
        <v>46153.519444444442</v>
      </c>
      <c r="B220" s="46"/>
      <c r="C220" s="46"/>
      <c r="D220" s="46"/>
      <c r="E220" s="47" t="s">
        <v>454</v>
      </c>
      <c r="F220" s="48" t="s">
        <v>460</v>
      </c>
      <c r="G220" s="48"/>
      <c r="H220" s="49" t="s">
        <v>464</v>
      </c>
      <c r="I220" s="82" t="s">
        <v>191</v>
      </c>
      <c r="J220" s="100" t="s">
        <v>140</v>
      </c>
      <c r="K220" s="52">
        <v>0</v>
      </c>
      <c r="L220" s="52">
        <v>0</v>
      </c>
      <c r="M220" s="53">
        <v>67</v>
      </c>
      <c r="N220" s="54">
        <v>2940</v>
      </c>
      <c r="O220" s="53">
        <v>1</v>
      </c>
      <c r="P220" s="54">
        <f t="shared" si="36"/>
        <v>2940</v>
      </c>
      <c r="Q220" s="54"/>
      <c r="R220" s="53">
        <v>2940</v>
      </c>
      <c r="S220" s="53">
        <f t="shared" si="30"/>
        <v>0</v>
      </c>
      <c r="T220" s="83">
        <f t="shared" si="31"/>
        <v>1289.5522388059703</v>
      </c>
      <c r="U220" s="84">
        <f t="shared" si="32"/>
        <v>0</v>
      </c>
      <c r="V220" s="84">
        <f t="shared" si="33"/>
        <v>0</v>
      </c>
      <c r="W220" s="84">
        <v>0</v>
      </c>
      <c r="X220" s="55">
        <f t="shared" si="34"/>
        <v>46153.519444444442</v>
      </c>
    </row>
    <row r="221" spans="1:24" hidden="1" x14ac:dyDescent="0.35">
      <c r="A221" s="46">
        <f t="shared" si="35"/>
        <v>46153.519444444442</v>
      </c>
      <c r="B221" s="46"/>
      <c r="C221" s="46"/>
      <c r="D221" s="46"/>
      <c r="E221" s="47" t="s">
        <v>454</v>
      </c>
      <c r="F221" s="48" t="s">
        <v>460</v>
      </c>
      <c r="G221" s="48"/>
      <c r="H221" s="49" t="s">
        <v>465</v>
      </c>
      <c r="I221" s="82" t="s">
        <v>277</v>
      </c>
      <c r="J221" s="100" t="s">
        <v>140</v>
      </c>
      <c r="K221" s="52">
        <v>0</v>
      </c>
      <c r="L221" s="52">
        <v>0</v>
      </c>
      <c r="M221" s="53">
        <v>67</v>
      </c>
      <c r="N221" s="54">
        <v>1050</v>
      </c>
      <c r="O221" s="53">
        <v>1</v>
      </c>
      <c r="P221" s="54">
        <f t="shared" si="36"/>
        <v>1050</v>
      </c>
      <c r="Q221" s="54"/>
      <c r="R221" s="53">
        <v>1050</v>
      </c>
      <c r="S221" s="53">
        <f t="shared" si="30"/>
        <v>0</v>
      </c>
      <c r="T221" s="83">
        <f t="shared" si="31"/>
        <v>1289.5522388059703</v>
      </c>
      <c r="U221" s="84">
        <f t="shared" si="32"/>
        <v>0</v>
      </c>
      <c r="V221" s="84">
        <f t="shared" si="33"/>
        <v>0</v>
      </c>
      <c r="W221" s="84">
        <v>0</v>
      </c>
      <c r="X221" s="55">
        <f t="shared" si="34"/>
        <v>46153.519444444442</v>
      </c>
    </row>
    <row r="222" spans="1:24" hidden="1" x14ac:dyDescent="0.35">
      <c r="A222" s="46">
        <f t="shared" si="35"/>
        <v>46153.519444444442</v>
      </c>
      <c r="B222" s="46"/>
      <c r="C222" s="46"/>
      <c r="D222" s="46"/>
      <c r="E222" s="47" t="s">
        <v>454</v>
      </c>
      <c r="F222" s="48" t="s">
        <v>460</v>
      </c>
      <c r="G222" s="48"/>
      <c r="H222" s="49" t="s">
        <v>466</v>
      </c>
      <c r="I222" s="82" t="s">
        <v>277</v>
      </c>
      <c r="J222" s="100" t="s">
        <v>140</v>
      </c>
      <c r="K222" s="52">
        <v>0</v>
      </c>
      <c r="L222" s="52">
        <v>0</v>
      </c>
      <c r="M222" s="53">
        <v>67</v>
      </c>
      <c r="N222" s="54">
        <v>1050</v>
      </c>
      <c r="O222" s="53">
        <v>1</v>
      </c>
      <c r="P222" s="54">
        <f t="shared" si="36"/>
        <v>1050</v>
      </c>
      <c r="Q222" s="54"/>
      <c r="R222" s="53">
        <v>1050</v>
      </c>
      <c r="S222" s="53">
        <f t="shared" si="30"/>
        <v>0</v>
      </c>
      <c r="T222" s="83">
        <f t="shared" si="31"/>
        <v>1289.5522388059703</v>
      </c>
      <c r="U222" s="84">
        <f t="shared" si="32"/>
        <v>0</v>
      </c>
      <c r="V222" s="84">
        <f t="shared" si="33"/>
        <v>0</v>
      </c>
      <c r="W222" s="84">
        <v>0</v>
      </c>
      <c r="X222" s="55">
        <f t="shared" si="34"/>
        <v>46153.519444444442</v>
      </c>
    </row>
    <row r="223" spans="1:24" hidden="1" x14ac:dyDescent="0.35">
      <c r="A223" s="46">
        <f t="shared" si="35"/>
        <v>46153.519444444442</v>
      </c>
      <c r="B223" s="46"/>
      <c r="C223" s="46"/>
      <c r="D223" s="46"/>
      <c r="E223" s="47" t="s">
        <v>458</v>
      </c>
      <c r="F223" s="48" t="s">
        <v>146</v>
      </c>
      <c r="G223" s="48"/>
      <c r="H223" s="63" t="s">
        <v>462</v>
      </c>
      <c r="I223" s="69" t="s">
        <v>463</v>
      </c>
      <c r="J223" s="100" t="s">
        <v>140</v>
      </c>
      <c r="K223" s="52">
        <v>0</v>
      </c>
      <c r="L223" s="52">
        <v>0</v>
      </c>
      <c r="M223" s="53">
        <v>95</v>
      </c>
      <c r="N223" s="65">
        <v>1801</v>
      </c>
      <c r="O223" s="53">
        <v>1</v>
      </c>
      <c r="P223" s="54">
        <f t="shared" si="36"/>
        <v>1801</v>
      </c>
      <c r="Q223" s="54"/>
      <c r="R223" s="83">
        <v>1801</v>
      </c>
      <c r="S223" s="53">
        <f t="shared" si="30"/>
        <v>0</v>
      </c>
      <c r="T223" s="83">
        <f t="shared" si="31"/>
        <v>909.47368421052624</v>
      </c>
      <c r="U223" s="84">
        <f t="shared" si="32"/>
        <v>0</v>
      </c>
      <c r="V223" s="84">
        <f t="shared" si="33"/>
        <v>0</v>
      </c>
      <c r="W223" s="84"/>
      <c r="X223" s="55">
        <f t="shared" si="34"/>
        <v>46153.519444444442</v>
      </c>
    </row>
    <row r="224" spans="1:24" ht="29" hidden="1" x14ac:dyDescent="0.35">
      <c r="A224" s="46">
        <f t="shared" si="35"/>
        <v>46153.519444444442</v>
      </c>
      <c r="B224" s="46"/>
      <c r="C224" s="46"/>
      <c r="D224" s="46"/>
      <c r="E224" s="47" t="s">
        <v>467</v>
      </c>
      <c r="F224" s="57" t="s">
        <v>468</v>
      </c>
      <c r="G224" s="57"/>
      <c r="H224" s="216" t="s">
        <v>469</v>
      </c>
      <c r="I224" s="82" t="s">
        <v>470</v>
      </c>
      <c r="J224" s="100" t="s">
        <v>140</v>
      </c>
      <c r="K224" s="52">
        <v>0</v>
      </c>
      <c r="L224" s="52">
        <v>0</v>
      </c>
      <c r="M224" s="53">
        <v>207</v>
      </c>
      <c r="N224" s="54">
        <v>4320</v>
      </c>
      <c r="O224" s="53">
        <v>2</v>
      </c>
      <c r="P224" s="54">
        <f t="shared" si="36"/>
        <v>2160</v>
      </c>
      <c r="Q224" s="54"/>
      <c r="R224" s="53">
        <v>2160</v>
      </c>
      <c r="S224" s="53">
        <f t="shared" si="30"/>
        <v>0</v>
      </c>
      <c r="T224" s="83">
        <f t="shared" si="31"/>
        <v>834.78260869565213</v>
      </c>
      <c r="U224" s="84">
        <f t="shared" si="32"/>
        <v>0</v>
      </c>
      <c r="V224" s="84">
        <f t="shared" si="33"/>
        <v>0</v>
      </c>
      <c r="W224" s="84">
        <v>0</v>
      </c>
      <c r="X224" s="55">
        <f t="shared" si="34"/>
        <v>46153.519444444442</v>
      </c>
    </row>
    <row r="225" spans="1:24" ht="29" hidden="1" x14ac:dyDescent="0.35">
      <c r="A225" s="46">
        <f t="shared" si="35"/>
        <v>46153.519444444442</v>
      </c>
      <c r="B225" s="46"/>
      <c r="C225" s="46"/>
      <c r="D225" s="46"/>
      <c r="E225" s="47" t="s">
        <v>454</v>
      </c>
      <c r="F225" s="48" t="s">
        <v>468</v>
      </c>
      <c r="G225" s="48"/>
      <c r="H225" s="49" t="s">
        <v>471</v>
      </c>
      <c r="I225" s="82" t="s">
        <v>470</v>
      </c>
      <c r="J225" s="51" t="s">
        <v>140</v>
      </c>
      <c r="K225" s="52">
        <v>0</v>
      </c>
      <c r="L225" s="52">
        <v>0</v>
      </c>
      <c r="M225" s="53">
        <v>207</v>
      </c>
      <c r="N225" s="54">
        <v>2900</v>
      </c>
      <c r="O225" s="53">
        <v>2</v>
      </c>
      <c r="P225" s="54">
        <f t="shared" si="36"/>
        <v>1450</v>
      </c>
      <c r="Q225" s="54"/>
      <c r="R225" s="53">
        <v>1450</v>
      </c>
      <c r="S225" s="53">
        <f t="shared" si="30"/>
        <v>0</v>
      </c>
      <c r="T225" s="53">
        <f t="shared" si="31"/>
        <v>834.78260869565213</v>
      </c>
      <c r="U225" s="52">
        <f t="shared" si="32"/>
        <v>0</v>
      </c>
      <c r="V225" s="52">
        <f t="shared" si="33"/>
        <v>0</v>
      </c>
      <c r="W225" s="52">
        <v>0</v>
      </c>
      <c r="X225" s="55">
        <f t="shared" si="34"/>
        <v>46153.519444444442</v>
      </c>
    </row>
    <row r="226" spans="1:24" hidden="1" x14ac:dyDescent="0.35">
      <c r="A226" s="46">
        <f t="shared" si="35"/>
        <v>46153.519444444442</v>
      </c>
      <c r="B226" s="46"/>
      <c r="C226" s="46"/>
      <c r="D226" s="46"/>
      <c r="E226" s="47" t="s">
        <v>454</v>
      </c>
      <c r="F226" s="48" t="s">
        <v>472</v>
      </c>
      <c r="G226" s="48"/>
      <c r="H226" s="49" t="s">
        <v>473</v>
      </c>
      <c r="I226" s="106" t="s">
        <v>474</v>
      </c>
      <c r="J226" s="51" t="s">
        <v>140</v>
      </c>
      <c r="K226" s="52">
        <v>0</v>
      </c>
      <c r="L226" s="52">
        <v>0</v>
      </c>
      <c r="M226" s="53">
        <v>100</v>
      </c>
      <c r="N226" s="54">
        <v>1786</v>
      </c>
      <c r="O226" s="53">
        <v>1</v>
      </c>
      <c r="P226" s="54">
        <f t="shared" si="36"/>
        <v>1786</v>
      </c>
      <c r="Q226" s="54"/>
      <c r="R226" s="53">
        <v>1786</v>
      </c>
      <c r="S226" s="53">
        <f t="shared" si="30"/>
        <v>0</v>
      </c>
      <c r="T226" s="53">
        <f t="shared" si="31"/>
        <v>864</v>
      </c>
      <c r="U226" s="52">
        <f t="shared" si="32"/>
        <v>0</v>
      </c>
      <c r="V226" s="52">
        <f t="shared" si="33"/>
        <v>0</v>
      </c>
      <c r="W226" s="52">
        <v>0</v>
      </c>
      <c r="X226" s="55">
        <f t="shared" si="34"/>
        <v>46153.519444444442</v>
      </c>
    </row>
    <row r="227" spans="1:24" hidden="1" x14ac:dyDescent="0.35">
      <c r="A227" s="46">
        <f t="shared" si="35"/>
        <v>46153.519444444442</v>
      </c>
      <c r="B227" s="46"/>
      <c r="C227" s="46"/>
      <c r="D227" s="46"/>
      <c r="E227" s="47" t="s">
        <v>454</v>
      </c>
      <c r="F227" s="48" t="s">
        <v>475</v>
      </c>
      <c r="G227" s="48"/>
      <c r="H227" s="49" t="s">
        <v>476</v>
      </c>
      <c r="I227" s="99" t="s">
        <v>477</v>
      </c>
      <c r="J227" s="51" t="s">
        <v>140</v>
      </c>
      <c r="K227" s="52">
        <v>0</v>
      </c>
      <c r="L227" s="52">
        <v>0</v>
      </c>
      <c r="M227" s="53">
        <v>65</v>
      </c>
      <c r="N227" s="54">
        <v>300</v>
      </c>
      <c r="O227" s="53">
        <v>1</v>
      </c>
      <c r="P227" s="54">
        <f t="shared" si="36"/>
        <v>300</v>
      </c>
      <c r="Q227" s="54"/>
      <c r="R227" s="53">
        <v>300</v>
      </c>
      <c r="S227" s="53">
        <f t="shared" si="30"/>
        <v>0</v>
      </c>
      <c r="T227" s="53">
        <f t="shared" si="31"/>
        <v>1329.2307692307693</v>
      </c>
      <c r="U227" s="52">
        <f t="shared" si="32"/>
        <v>0</v>
      </c>
      <c r="V227" s="52">
        <f t="shared" si="33"/>
        <v>0</v>
      </c>
      <c r="W227" s="52">
        <v>0</v>
      </c>
      <c r="X227" s="55">
        <f t="shared" si="34"/>
        <v>46153.519444444442</v>
      </c>
    </row>
    <row r="228" spans="1:24" hidden="1" x14ac:dyDescent="0.35">
      <c r="A228" s="46">
        <f t="shared" si="35"/>
        <v>46153.519444444442</v>
      </c>
      <c r="B228" s="46"/>
      <c r="C228" s="46"/>
      <c r="D228" s="46"/>
      <c r="E228" s="47" t="s">
        <v>454</v>
      </c>
      <c r="F228" s="48" t="s">
        <v>478</v>
      </c>
      <c r="G228" s="48"/>
      <c r="H228" s="49" t="s">
        <v>479</v>
      </c>
      <c r="I228" s="99" t="s">
        <v>480</v>
      </c>
      <c r="J228" s="51" t="s">
        <v>140</v>
      </c>
      <c r="K228" s="52">
        <v>0</v>
      </c>
      <c r="L228" s="52">
        <v>0</v>
      </c>
      <c r="M228" s="53">
        <v>65</v>
      </c>
      <c r="N228" s="54">
        <v>300</v>
      </c>
      <c r="O228" s="53">
        <v>1</v>
      </c>
      <c r="P228" s="54">
        <f t="shared" si="36"/>
        <v>300</v>
      </c>
      <c r="Q228" s="54"/>
      <c r="R228" s="53">
        <v>300</v>
      </c>
      <c r="S228" s="53">
        <f t="shared" si="30"/>
        <v>0</v>
      </c>
      <c r="T228" s="53">
        <f t="shared" si="31"/>
        <v>1329.2307692307693</v>
      </c>
      <c r="U228" s="52">
        <f t="shared" si="32"/>
        <v>0</v>
      </c>
      <c r="V228" s="52">
        <f t="shared" si="33"/>
        <v>0</v>
      </c>
      <c r="W228" s="52">
        <v>0</v>
      </c>
      <c r="X228" s="55">
        <f t="shared" si="34"/>
        <v>46153.519444444442</v>
      </c>
    </row>
    <row r="229" spans="1:24" hidden="1" x14ac:dyDescent="0.35">
      <c r="A229" s="46">
        <f t="shared" si="35"/>
        <v>46153.519444444442</v>
      </c>
      <c r="B229" s="46"/>
      <c r="C229" s="46"/>
      <c r="D229" s="46"/>
      <c r="E229" s="47" t="s">
        <v>454</v>
      </c>
      <c r="F229" s="48" t="s">
        <v>481</v>
      </c>
      <c r="G229" s="48"/>
      <c r="H229" s="59" t="s">
        <v>482</v>
      </c>
      <c r="I229" s="99" t="s">
        <v>483</v>
      </c>
      <c r="J229" s="51" t="s">
        <v>140</v>
      </c>
      <c r="K229" s="52">
        <v>0</v>
      </c>
      <c r="L229" s="52">
        <v>0</v>
      </c>
      <c r="M229" s="53">
        <v>65</v>
      </c>
      <c r="N229" s="54">
        <v>425</v>
      </c>
      <c r="O229" s="53">
        <v>1</v>
      </c>
      <c r="P229" s="54">
        <f t="shared" si="36"/>
        <v>425</v>
      </c>
      <c r="Q229" s="54"/>
      <c r="R229" s="53">
        <v>425</v>
      </c>
      <c r="S229" s="53">
        <f t="shared" si="30"/>
        <v>0</v>
      </c>
      <c r="T229" s="53">
        <f t="shared" si="31"/>
        <v>1329.2307692307693</v>
      </c>
      <c r="U229" s="52">
        <f t="shared" si="32"/>
        <v>0</v>
      </c>
      <c r="V229" s="52">
        <f t="shared" si="33"/>
        <v>0</v>
      </c>
      <c r="W229" s="52">
        <v>0</v>
      </c>
      <c r="X229" s="55">
        <f t="shared" si="34"/>
        <v>46153.519444444442</v>
      </c>
    </row>
    <row r="230" spans="1:24" hidden="1" x14ac:dyDescent="0.35">
      <c r="A230" s="46">
        <f t="shared" si="35"/>
        <v>46153.519444444442</v>
      </c>
      <c r="B230" s="46"/>
      <c r="C230" s="46"/>
      <c r="D230" s="46"/>
      <c r="E230" s="47" t="s">
        <v>454</v>
      </c>
      <c r="F230" s="48" t="s">
        <v>484</v>
      </c>
      <c r="G230" s="48"/>
      <c r="H230" s="59" t="s">
        <v>485</v>
      </c>
      <c r="I230" s="99" t="s">
        <v>486</v>
      </c>
      <c r="J230" s="51" t="s">
        <v>140</v>
      </c>
      <c r="K230" s="52">
        <v>0</v>
      </c>
      <c r="L230" s="52">
        <v>0</v>
      </c>
      <c r="M230" s="53">
        <v>65</v>
      </c>
      <c r="N230" s="54">
        <v>2000</v>
      </c>
      <c r="O230" s="53">
        <v>1</v>
      </c>
      <c r="P230" s="54">
        <f t="shared" si="36"/>
        <v>2000</v>
      </c>
      <c r="Q230" s="54"/>
      <c r="R230" s="53">
        <v>2000</v>
      </c>
      <c r="S230" s="53">
        <f t="shared" si="30"/>
        <v>0</v>
      </c>
      <c r="T230" s="53">
        <f t="shared" si="31"/>
        <v>1329.2307692307693</v>
      </c>
      <c r="U230" s="52">
        <f t="shared" si="32"/>
        <v>0</v>
      </c>
      <c r="V230" s="52">
        <f t="shared" si="33"/>
        <v>0</v>
      </c>
      <c r="W230" s="52">
        <v>0</v>
      </c>
      <c r="X230" s="55">
        <f t="shared" si="34"/>
        <v>46153.519444444442</v>
      </c>
    </row>
    <row r="231" spans="1:24" hidden="1" x14ac:dyDescent="0.35">
      <c r="A231" s="46">
        <f t="shared" si="35"/>
        <v>46153.519444444442</v>
      </c>
      <c r="B231" s="46"/>
      <c r="C231" s="46"/>
      <c r="D231" s="46"/>
      <c r="E231" s="47" t="s">
        <v>454</v>
      </c>
      <c r="F231" s="48" t="s">
        <v>475</v>
      </c>
      <c r="G231" s="48"/>
      <c r="H231" s="59" t="s">
        <v>487</v>
      </c>
      <c r="I231" s="99" t="s">
        <v>488</v>
      </c>
      <c r="J231" s="51" t="s">
        <v>140</v>
      </c>
      <c r="K231" s="52">
        <v>0</v>
      </c>
      <c r="L231" s="52">
        <v>0</v>
      </c>
      <c r="M231" s="53">
        <v>65</v>
      </c>
      <c r="N231" s="54">
        <v>170</v>
      </c>
      <c r="O231" s="53">
        <v>1</v>
      </c>
      <c r="P231" s="54">
        <f t="shared" si="36"/>
        <v>170</v>
      </c>
      <c r="Q231" s="54"/>
      <c r="R231" s="53">
        <v>170</v>
      </c>
      <c r="S231" s="53">
        <f t="shared" si="30"/>
        <v>0</v>
      </c>
      <c r="T231" s="53">
        <f t="shared" si="31"/>
        <v>1329.2307692307693</v>
      </c>
      <c r="U231" s="52">
        <f t="shared" si="32"/>
        <v>0</v>
      </c>
      <c r="V231" s="52">
        <f t="shared" si="33"/>
        <v>0</v>
      </c>
      <c r="W231" s="52">
        <v>0</v>
      </c>
      <c r="X231" s="55">
        <f t="shared" si="34"/>
        <v>46153.519444444442</v>
      </c>
    </row>
    <row r="232" spans="1:24" hidden="1" x14ac:dyDescent="0.35">
      <c r="A232" s="46">
        <f t="shared" si="35"/>
        <v>46153.519444444442</v>
      </c>
      <c r="B232" s="46"/>
      <c r="C232" s="46"/>
      <c r="D232" s="46"/>
      <c r="E232" s="47" t="s">
        <v>454</v>
      </c>
      <c r="F232" s="48" t="s">
        <v>489</v>
      </c>
      <c r="G232" s="48"/>
      <c r="H232" s="59" t="s">
        <v>490</v>
      </c>
      <c r="I232" s="99" t="s">
        <v>488</v>
      </c>
      <c r="J232" s="51" t="s">
        <v>140</v>
      </c>
      <c r="K232" s="52">
        <v>0</v>
      </c>
      <c r="L232" s="52">
        <v>0</v>
      </c>
      <c r="M232" s="53">
        <v>65</v>
      </c>
      <c r="N232" s="54">
        <v>400</v>
      </c>
      <c r="O232" s="53">
        <v>1</v>
      </c>
      <c r="P232" s="54">
        <f t="shared" si="36"/>
        <v>400</v>
      </c>
      <c r="Q232" s="54"/>
      <c r="R232" s="53">
        <v>400</v>
      </c>
      <c r="S232" s="53">
        <f t="shared" si="30"/>
        <v>0</v>
      </c>
      <c r="T232" s="53">
        <f t="shared" si="31"/>
        <v>1329.2307692307693</v>
      </c>
      <c r="U232" s="52">
        <f t="shared" si="32"/>
        <v>0</v>
      </c>
      <c r="V232" s="52">
        <f t="shared" si="33"/>
        <v>0</v>
      </c>
      <c r="W232" s="52">
        <v>0</v>
      </c>
      <c r="X232" s="55">
        <f t="shared" si="34"/>
        <v>46153.519444444442</v>
      </c>
    </row>
    <row r="233" spans="1:24" hidden="1" x14ac:dyDescent="0.35">
      <c r="A233" s="46">
        <f t="shared" si="35"/>
        <v>46153.519444444442</v>
      </c>
      <c r="B233" s="46"/>
      <c r="C233" s="46"/>
      <c r="D233" s="46"/>
      <c r="E233" s="47" t="s">
        <v>454</v>
      </c>
      <c r="F233" s="48" t="s">
        <v>491</v>
      </c>
      <c r="G233" s="48"/>
      <c r="H233" s="59" t="s">
        <v>492</v>
      </c>
      <c r="I233" s="99" t="s">
        <v>493</v>
      </c>
      <c r="J233" s="51" t="s">
        <v>140</v>
      </c>
      <c r="K233" s="52">
        <v>0</v>
      </c>
      <c r="L233" s="52">
        <v>0</v>
      </c>
      <c r="M233" s="53">
        <v>65</v>
      </c>
      <c r="N233" s="54">
        <v>600</v>
      </c>
      <c r="O233" s="53">
        <v>1</v>
      </c>
      <c r="P233" s="54">
        <f t="shared" si="36"/>
        <v>600</v>
      </c>
      <c r="Q233" s="54"/>
      <c r="R233" s="53">
        <v>600</v>
      </c>
      <c r="S233" s="53">
        <f t="shared" si="30"/>
        <v>0</v>
      </c>
      <c r="T233" s="53">
        <f t="shared" si="31"/>
        <v>1329.2307692307693</v>
      </c>
      <c r="U233" s="52">
        <f t="shared" si="32"/>
        <v>0</v>
      </c>
      <c r="V233" s="52">
        <f t="shared" si="33"/>
        <v>0</v>
      </c>
      <c r="W233" s="52">
        <v>0</v>
      </c>
      <c r="X233" s="55">
        <f t="shared" si="34"/>
        <v>46153.519444444442</v>
      </c>
    </row>
    <row r="234" spans="1:24" hidden="1" x14ac:dyDescent="0.35">
      <c r="A234" s="46">
        <f t="shared" si="35"/>
        <v>46153.519444444442</v>
      </c>
      <c r="B234" s="46"/>
      <c r="C234" s="46"/>
      <c r="D234" s="46"/>
      <c r="E234" s="47" t="s">
        <v>454</v>
      </c>
      <c r="F234" s="48" t="s">
        <v>491</v>
      </c>
      <c r="G234" s="48"/>
      <c r="H234" s="59" t="s">
        <v>494</v>
      </c>
      <c r="I234" s="85" t="s">
        <v>495</v>
      </c>
      <c r="J234" s="51" t="s">
        <v>140</v>
      </c>
      <c r="K234" s="52">
        <v>0</v>
      </c>
      <c r="L234" s="52">
        <v>0</v>
      </c>
      <c r="M234" s="53">
        <v>65</v>
      </c>
      <c r="N234" s="54">
        <v>600</v>
      </c>
      <c r="O234" s="53">
        <v>1</v>
      </c>
      <c r="P234" s="54">
        <f t="shared" si="36"/>
        <v>600</v>
      </c>
      <c r="Q234" s="54"/>
      <c r="R234" s="53">
        <v>600</v>
      </c>
      <c r="S234" s="53">
        <f t="shared" si="30"/>
        <v>0</v>
      </c>
      <c r="T234" s="53">
        <f t="shared" si="31"/>
        <v>1329.2307692307693</v>
      </c>
      <c r="U234" s="52">
        <f t="shared" si="32"/>
        <v>0</v>
      </c>
      <c r="V234" s="52">
        <f t="shared" si="33"/>
        <v>0</v>
      </c>
      <c r="W234" s="52">
        <v>0</v>
      </c>
      <c r="X234" s="55">
        <f t="shared" si="34"/>
        <v>46153.519444444442</v>
      </c>
    </row>
    <row r="235" spans="1:24" ht="29" hidden="1" x14ac:dyDescent="0.35">
      <c r="A235" s="46">
        <f t="shared" si="35"/>
        <v>46153.519444444442</v>
      </c>
      <c r="B235" s="46"/>
      <c r="C235" s="46"/>
      <c r="D235" s="46"/>
      <c r="E235" s="47" t="s">
        <v>43</v>
      </c>
      <c r="F235" s="48" t="s">
        <v>177</v>
      </c>
      <c r="G235" s="48"/>
      <c r="H235" s="49" t="s">
        <v>496</v>
      </c>
      <c r="I235" s="82" t="s">
        <v>277</v>
      </c>
      <c r="J235" s="51" t="s">
        <v>140</v>
      </c>
      <c r="K235" s="52">
        <v>0</v>
      </c>
      <c r="L235" s="52">
        <v>0</v>
      </c>
      <c r="M235" s="53">
        <v>67</v>
      </c>
      <c r="N235" s="54">
        <v>1050</v>
      </c>
      <c r="O235" s="53">
        <v>1</v>
      </c>
      <c r="P235" s="54">
        <f t="shared" si="36"/>
        <v>1050</v>
      </c>
      <c r="Q235" s="54"/>
      <c r="R235" s="53">
        <v>1050</v>
      </c>
      <c r="S235" s="53">
        <f t="shared" si="30"/>
        <v>0</v>
      </c>
      <c r="T235" s="53">
        <f t="shared" si="31"/>
        <v>1289.5522388059703</v>
      </c>
      <c r="U235" s="52">
        <f t="shared" si="32"/>
        <v>0</v>
      </c>
      <c r="V235" s="52">
        <f t="shared" si="33"/>
        <v>0</v>
      </c>
      <c r="W235" s="52">
        <v>0</v>
      </c>
      <c r="X235" s="55">
        <f t="shared" si="34"/>
        <v>46153.519444444442</v>
      </c>
    </row>
    <row r="236" spans="1:24" ht="26.5" hidden="1" x14ac:dyDescent="0.35">
      <c r="A236" s="46">
        <f t="shared" si="35"/>
        <v>46153.519444444442</v>
      </c>
      <c r="B236" s="46"/>
      <c r="C236" s="46"/>
      <c r="D236" s="46"/>
      <c r="E236" s="47" t="s">
        <v>454</v>
      </c>
      <c r="F236" s="48" t="s">
        <v>497</v>
      </c>
      <c r="G236" s="48"/>
      <c r="H236" s="59" t="s">
        <v>498</v>
      </c>
      <c r="I236" s="82" t="s">
        <v>499</v>
      </c>
      <c r="J236" s="51" t="s">
        <v>140</v>
      </c>
      <c r="K236" s="52">
        <v>0.25</v>
      </c>
      <c r="L236" s="52">
        <v>0.2</v>
      </c>
      <c r="M236" s="53">
        <v>106</v>
      </c>
      <c r="N236" s="54">
        <v>5000</v>
      </c>
      <c r="O236" s="53">
        <v>1</v>
      </c>
      <c r="P236" s="54">
        <f t="shared" si="36"/>
        <v>5000</v>
      </c>
      <c r="Q236" s="54"/>
      <c r="R236" s="53">
        <v>5000</v>
      </c>
      <c r="S236" s="53">
        <f t="shared" si="30"/>
        <v>0</v>
      </c>
      <c r="T236" s="53">
        <f t="shared" si="31"/>
        <v>815.09433962264154</v>
      </c>
      <c r="U236" s="52">
        <f t="shared" si="32"/>
        <v>0</v>
      </c>
      <c r="V236" s="52">
        <f t="shared" si="33"/>
        <v>0</v>
      </c>
      <c r="W236" s="52">
        <v>0</v>
      </c>
      <c r="X236" s="55">
        <f t="shared" si="34"/>
        <v>46153.969444444439</v>
      </c>
    </row>
    <row r="237" spans="1:24" ht="29" hidden="1" x14ac:dyDescent="0.35">
      <c r="A237" s="46">
        <f t="shared" si="35"/>
        <v>46153.969444444439</v>
      </c>
      <c r="B237" s="46"/>
      <c r="C237" s="46"/>
      <c r="D237" s="46"/>
      <c r="E237" s="47" t="s">
        <v>134</v>
      </c>
      <c r="F237" s="48" t="s">
        <v>177</v>
      </c>
      <c r="G237" s="48"/>
      <c r="H237" s="49" t="s">
        <v>500</v>
      </c>
      <c r="I237" s="82" t="s">
        <v>191</v>
      </c>
      <c r="J237" s="51" t="s">
        <v>140</v>
      </c>
      <c r="K237" s="52">
        <v>0</v>
      </c>
      <c r="L237" s="52">
        <v>0</v>
      </c>
      <c r="M237" s="53">
        <v>67</v>
      </c>
      <c r="N237" s="54">
        <v>630</v>
      </c>
      <c r="O237" s="53">
        <v>1</v>
      </c>
      <c r="P237" s="54">
        <f t="shared" si="36"/>
        <v>630</v>
      </c>
      <c r="Q237" s="54"/>
      <c r="R237" s="53">
        <v>630</v>
      </c>
      <c r="S237" s="53">
        <f t="shared" si="30"/>
        <v>0</v>
      </c>
      <c r="T237" s="53">
        <f t="shared" si="31"/>
        <v>1289.5522388059703</v>
      </c>
      <c r="U237" s="52">
        <f t="shared" si="32"/>
        <v>0</v>
      </c>
      <c r="V237" s="52">
        <f t="shared" si="33"/>
        <v>0</v>
      </c>
      <c r="W237" s="52">
        <v>0</v>
      </c>
      <c r="X237" s="55">
        <f t="shared" si="34"/>
        <v>46153.969444444439</v>
      </c>
    </row>
    <row r="238" spans="1:24" ht="29" hidden="1" x14ac:dyDescent="0.35">
      <c r="A238" s="46">
        <f t="shared" si="35"/>
        <v>46153.969444444439</v>
      </c>
      <c r="B238" s="46"/>
      <c r="C238" s="46"/>
      <c r="D238" s="46"/>
      <c r="E238" s="47" t="s">
        <v>454</v>
      </c>
      <c r="F238" s="48" t="s">
        <v>501</v>
      </c>
      <c r="G238" s="48"/>
      <c r="H238" s="49" t="s">
        <v>502</v>
      </c>
      <c r="I238" s="82" t="s">
        <v>191</v>
      </c>
      <c r="J238" s="51" t="s">
        <v>140</v>
      </c>
      <c r="K238" s="52">
        <v>0</v>
      </c>
      <c r="L238" s="52">
        <v>0</v>
      </c>
      <c r="M238" s="53">
        <v>67</v>
      </c>
      <c r="N238" s="217">
        <v>4200</v>
      </c>
      <c r="O238" s="53">
        <v>1</v>
      </c>
      <c r="P238" s="54">
        <f t="shared" si="36"/>
        <v>4200</v>
      </c>
      <c r="Q238" s="54"/>
      <c r="R238" s="53">
        <v>4200</v>
      </c>
      <c r="S238" s="53">
        <f t="shared" si="30"/>
        <v>0</v>
      </c>
      <c r="T238" s="53">
        <f t="shared" si="31"/>
        <v>1289.5522388059703</v>
      </c>
      <c r="U238" s="52">
        <f t="shared" si="32"/>
        <v>0</v>
      </c>
      <c r="V238" s="52">
        <f t="shared" si="33"/>
        <v>0</v>
      </c>
      <c r="W238" s="52">
        <v>0</v>
      </c>
      <c r="X238" s="55">
        <f t="shared" si="34"/>
        <v>46153.969444444439</v>
      </c>
    </row>
    <row r="239" spans="1:24" ht="29" hidden="1" x14ac:dyDescent="0.35">
      <c r="A239" s="46">
        <f t="shared" si="35"/>
        <v>46153.969444444439</v>
      </c>
      <c r="B239" s="46"/>
      <c r="C239" s="46"/>
      <c r="D239" s="46"/>
      <c r="E239" s="47" t="s">
        <v>454</v>
      </c>
      <c r="F239" s="48" t="s">
        <v>501</v>
      </c>
      <c r="G239" s="48"/>
      <c r="H239" s="49" t="s">
        <v>503</v>
      </c>
      <c r="I239" s="82" t="s">
        <v>274</v>
      </c>
      <c r="J239" s="51" t="s">
        <v>140</v>
      </c>
      <c r="K239" s="52">
        <v>0</v>
      </c>
      <c r="L239" s="52">
        <v>0</v>
      </c>
      <c r="M239" s="53">
        <v>67</v>
      </c>
      <c r="N239" s="54">
        <v>2940</v>
      </c>
      <c r="O239" s="53">
        <v>1</v>
      </c>
      <c r="P239" s="54">
        <f t="shared" si="36"/>
        <v>2940</v>
      </c>
      <c r="Q239" s="54"/>
      <c r="R239" s="53">
        <v>2940</v>
      </c>
      <c r="S239" s="53">
        <f t="shared" si="30"/>
        <v>0</v>
      </c>
      <c r="T239" s="53">
        <f t="shared" si="31"/>
        <v>1289.5522388059703</v>
      </c>
      <c r="U239" s="52">
        <f t="shared" si="32"/>
        <v>0</v>
      </c>
      <c r="V239" s="52">
        <f t="shared" si="33"/>
        <v>0</v>
      </c>
      <c r="W239" s="52">
        <v>0</v>
      </c>
      <c r="X239" s="55">
        <f t="shared" si="34"/>
        <v>46153.969444444439</v>
      </c>
    </row>
    <row r="240" spans="1:24" ht="29" hidden="1" x14ac:dyDescent="0.35">
      <c r="A240" s="46">
        <f t="shared" si="35"/>
        <v>46153.969444444439</v>
      </c>
      <c r="B240" s="46"/>
      <c r="C240" s="46"/>
      <c r="D240" s="46"/>
      <c r="E240" s="47" t="s">
        <v>454</v>
      </c>
      <c r="F240" s="48" t="s">
        <v>501</v>
      </c>
      <c r="G240" s="48"/>
      <c r="H240" s="49" t="s">
        <v>504</v>
      </c>
      <c r="I240" s="82" t="s">
        <v>377</v>
      </c>
      <c r="J240" s="51" t="s">
        <v>140</v>
      </c>
      <c r="K240" s="52">
        <v>0</v>
      </c>
      <c r="L240" s="52">
        <v>0</v>
      </c>
      <c r="M240" s="53">
        <v>67</v>
      </c>
      <c r="N240" s="217">
        <v>420</v>
      </c>
      <c r="O240" s="53">
        <v>1</v>
      </c>
      <c r="P240" s="54">
        <f t="shared" si="36"/>
        <v>420</v>
      </c>
      <c r="Q240" s="54"/>
      <c r="R240" s="53">
        <v>420</v>
      </c>
      <c r="S240" s="53">
        <f t="shared" si="30"/>
        <v>0</v>
      </c>
      <c r="T240" s="53">
        <f t="shared" si="31"/>
        <v>1289.5522388059703</v>
      </c>
      <c r="U240" s="52">
        <f t="shared" si="32"/>
        <v>0</v>
      </c>
      <c r="V240" s="52">
        <f t="shared" si="33"/>
        <v>0</v>
      </c>
      <c r="W240" s="52">
        <v>0</v>
      </c>
      <c r="X240" s="55">
        <f t="shared" si="34"/>
        <v>46153.969444444439</v>
      </c>
    </row>
    <row r="241" spans="1:24" ht="29" hidden="1" x14ac:dyDescent="0.35">
      <c r="A241" s="46">
        <f t="shared" si="35"/>
        <v>46153.969444444439</v>
      </c>
      <c r="B241" s="46"/>
      <c r="C241" s="46"/>
      <c r="D241" s="46"/>
      <c r="E241" s="47" t="s">
        <v>454</v>
      </c>
      <c r="F241" s="48" t="s">
        <v>501</v>
      </c>
      <c r="G241" s="48"/>
      <c r="H241" s="49" t="s">
        <v>505</v>
      </c>
      <c r="I241" s="82" t="s">
        <v>277</v>
      </c>
      <c r="J241" s="51" t="s">
        <v>140</v>
      </c>
      <c r="K241" s="52">
        <v>0</v>
      </c>
      <c r="L241" s="52">
        <v>0</v>
      </c>
      <c r="M241" s="53">
        <v>67</v>
      </c>
      <c r="N241" s="54">
        <v>1470</v>
      </c>
      <c r="O241" s="53">
        <v>1</v>
      </c>
      <c r="P241" s="54">
        <f t="shared" si="36"/>
        <v>1470</v>
      </c>
      <c r="Q241" s="54"/>
      <c r="R241" s="53">
        <v>1470</v>
      </c>
      <c r="S241" s="53">
        <f t="shared" si="30"/>
        <v>0</v>
      </c>
      <c r="T241" s="53">
        <f t="shared" si="31"/>
        <v>1289.5522388059703</v>
      </c>
      <c r="U241" s="52">
        <f t="shared" si="32"/>
        <v>0</v>
      </c>
      <c r="V241" s="52">
        <f t="shared" si="33"/>
        <v>0</v>
      </c>
      <c r="W241" s="52">
        <v>0</v>
      </c>
      <c r="X241" s="55">
        <f t="shared" si="34"/>
        <v>46153.969444444439</v>
      </c>
    </row>
    <row r="242" spans="1:24" hidden="1" x14ac:dyDescent="0.35">
      <c r="A242" s="46">
        <f t="shared" si="35"/>
        <v>46153.969444444439</v>
      </c>
      <c r="B242" s="46"/>
      <c r="C242" s="46"/>
      <c r="D242" s="46"/>
      <c r="E242" s="47" t="s">
        <v>454</v>
      </c>
      <c r="F242" s="48" t="s">
        <v>506</v>
      </c>
      <c r="G242" s="48"/>
      <c r="H242" s="49" t="s">
        <v>507</v>
      </c>
      <c r="I242" s="82" t="s">
        <v>377</v>
      </c>
      <c r="J242" s="51" t="s">
        <v>140</v>
      </c>
      <c r="K242" s="52">
        <v>0</v>
      </c>
      <c r="L242" s="52">
        <v>0</v>
      </c>
      <c r="M242" s="53">
        <v>67</v>
      </c>
      <c r="N242" s="218">
        <v>420</v>
      </c>
      <c r="O242" s="53">
        <v>1</v>
      </c>
      <c r="P242" s="54">
        <f t="shared" si="36"/>
        <v>420</v>
      </c>
      <c r="Q242" s="54"/>
      <c r="R242" s="53">
        <v>420</v>
      </c>
      <c r="S242" s="53">
        <f t="shared" si="30"/>
        <v>0</v>
      </c>
      <c r="T242" s="53">
        <f t="shared" si="31"/>
        <v>1289.5522388059703</v>
      </c>
      <c r="U242" s="52">
        <f t="shared" si="32"/>
        <v>0</v>
      </c>
      <c r="V242" s="52">
        <f t="shared" si="33"/>
        <v>0</v>
      </c>
      <c r="W242" s="52">
        <v>0</v>
      </c>
      <c r="X242" s="55">
        <f t="shared" si="34"/>
        <v>46153.969444444439</v>
      </c>
    </row>
    <row r="243" spans="1:24" ht="29" hidden="1" x14ac:dyDescent="0.35">
      <c r="A243" s="46">
        <f t="shared" si="35"/>
        <v>46153.969444444439</v>
      </c>
      <c r="B243" s="46"/>
      <c r="C243" s="46"/>
      <c r="D243" s="46"/>
      <c r="E243" s="47" t="s">
        <v>454</v>
      </c>
      <c r="F243" s="48" t="s">
        <v>508</v>
      </c>
      <c r="G243" s="48"/>
      <c r="H243" s="49" t="s">
        <v>509</v>
      </c>
      <c r="I243" s="72" t="s">
        <v>191</v>
      </c>
      <c r="J243" s="51" t="s">
        <v>140</v>
      </c>
      <c r="K243" s="52">
        <v>0</v>
      </c>
      <c r="L243" s="52">
        <v>0</v>
      </c>
      <c r="M243" s="53">
        <v>67</v>
      </c>
      <c r="N243" s="54">
        <v>5040</v>
      </c>
      <c r="O243" s="53">
        <v>1</v>
      </c>
      <c r="P243" s="54">
        <f t="shared" si="36"/>
        <v>5040</v>
      </c>
      <c r="Q243" s="54"/>
      <c r="R243" s="53">
        <v>5040</v>
      </c>
      <c r="S243" s="53">
        <f t="shared" si="30"/>
        <v>0</v>
      </c>
      <c r="T243" s="53">
        <f t="shared" si="31"/>
        <v>1289.5522388059703</v>
      </c>
      <c r="U243" s="52">
        <f t="shared" si="32"/>
        <v>0</v>
      </c>
      <c r="V243" s="52">
        <f t="shared" si="33"/>
        <v>0</v>
      </c>
      <c r="W243" s="52">
        <v>0</v>
      </c>
      <c r="X243" s="55">
        <f t="shared" si="34"/>
        <v>46153.969444444439</v>
      </c>
    </row>
    <row r="244" spans="1:24" ht="29" hidden="1" x14ac:dyDescent="0.35">
      <c r="A244" s="46">
        <f t="shared" si="35"/>
        <v>46153.969444444439</v>
      </c>
      <c r="B244" s="46"/>
      <c r="C244" s="46"/>
      <c r="D244" s="46"/>
      <c r="E244" s="47" t="s">
        <v>454</v>
      </c>
      <c r="F244" s="48" t="s">
        <v>508</v>
      </c>
      <c r="G244" s="48"/>
      <c r="H244" s="59" t="s">
        <v>510</v>
      </c>
      <c r="I244" s="82" t="s">
        <v>499</v>
      </c>
      <c r="J244" s="51" t="s">
        <v>140</v>
      </c>
      <c r="K244" s="52">
        <v>0</v>
      </c>
      <c r="L244" s="52">
        <v>0</v>
      </c>
      <c r="M244" s="53">
        <v>106</v>
      </c>
      <c r="N244" s="54">
        <v>1200</v>
      </c>
      <c r="O244" s="53">
        <v>1</v>
      </c>
      <c r="P244" s="54">
        <f t="shared" si="36"/>
        <v>1200</v>
      </c>
      <c r="Q244" s="54"/>
      <c r="R244" s="53">
        <v>1200</v>
      </c>
      <c r="S244" s="53">
        <f t="shared" si="30"/>
        <v>0</v>
      </c>
      <c r="T244" s="53">
        <f t="shared" si="31"/>
        <v>815.09433962264154</v>
      </c>
      <c r="U244" s="52">
        <f t="shared" si="32"/>
        <v>0</v>
      </c>
      <c r="V244" s="52">
        <f t="shared" si="33"/>
        <v>0</v>
      </c>
      <c r="W244" s="52">
        <v>0</v>
      </c>
      <c r="X244" s="55">
        <f t="shared" si="34"/>
        <v>46153.969444444439</v>
      </c>
    </row>
    <row r="245" spans="1:24" hidden="1" x14ac:dyDescent="0.35">
      <c r="A245" s="46">
        <f t="shared" si="35"/>
        <v>46153.969444444439</v>
      </c>
      <c r="B245" s="46"/>
      <c r="C245" s="46"/>
      <c r="D245" s="46"/>
      <c r="E245" s="47" t="s">
        <v>454</v>
      </c>
      <c r="F245" s="48" t="s">
        <v>511</v>
      </c>
      <c r="G245" s="48"/>
      <c r="H245" s="49" t="s">
        <v>512</v>
      </c>
      <c r="I245" s="82" t="s">
        <v>457</v>
      </c>
      <c r="J245" s="51" t="s">
        <v>140</v>
      </c>
      <c r="K245" s="52">
        <v>0</v>
      </c>
      <c r="L245" s="52">
        <v>0</v>
      </c>
      <c r="M245" s="53">
        <v>90</v>
      </c>
      <c r="N245" s="54">
        <v>2400</v>
      </c>
      <c r="O245" s="53">
        <v>1</v>
      </c>
      <c r="P245" s="54">
        <f t="shared" si="36"/>
        <v>2400</v>
      </c>
      <c r="Q245" s="54"/>
      <c r="R245" s="53">
        <v>2400</v>
      </c>
      <c r="S245" s="53">
        <f t="shared" si="30"/>
        <v>0</v>
      </c>
      <c r="T245" s="53">
        <f t="shared" si="31"/>
        <v>960</v>
      </c>
      <c r="U245" s="52">
        <f t="shared" si="32"/>
        <v>0</v>
      </c>
      <c r="V245" s="52">
        <f t="shared" si="33"/>
        <v>0</v>
      </c>
      <c r="W245" s="52">
        <v>0</v>
      </c>
      <c r="X245" s="55">
        <f t="shared" si="34"/>
        <v>46153.969444444439</v>
      </c>
    </row>
    <row r="246" spans="1:24" ht="29" hidden="1" x14ac:dyDescent="0.35">
      <c r="A246" s="46">
        <f t="shared" si="35"/>
        <v>46153.969444444439</v>
      </c>
      <c r="B246" s="46"/>
      <c r="C246" s="46"/>
      <c r="D246" s="46"/>
      <c r="E246" s="47" t="s">
        <v>454</v>
      </c>
      <c r="F246" s="48" t="s">
        <v>513</v>
      </c>
      <c r="G246" s="48"/>
      <c r="H246" s="49" t="s">
        <v>514</v>
      </c>
      <c r="I246" s="82" t="s">
        <v>194</v>
      </c>
      <c r="J246" s="51" t="s">
        <v>283</v>
      </c>
      <c r="K246" s="52">
        <v>0</v>
      </c>
      <c r="L246" s="52">
        <v>0</v>
      </c>
      <c r="M246" s="53">
        <v>67</v>
      </c>
      <c r="N246" s="54">
        <v>435</v>
      </c>
      <c r="O246" s="53">
        <v>1</v>
      </c>
      <c r="P246" s="54">
        <f t="shared" si="36"/>
        <v>435</v>
      </c>
      <c r="Q246" s="54"/>
      <c r="R246" s="53">
        <v>435</v>
      </c>
      <c r="S246" s="53">
        <f t="shared" si="30"/>
        <v>0</v>
      </c>
      <c r="T246" s="53">
        <f t="shared" si="31"/>
        <v>1289.5522388059703</v>
      </c>
      <c r="U246" s="52">
        <f t="shared" si="32"/>
        <v>0</v>
      </c>
      <c r="V246" s="52">
        <f t="shared" si="33"/>
        <v>0</v>
      </c>
      <c r="W246" s="52">
        <v>0</v>
      </c>
      <c r="X246" s="55">
        <f t="shared" si="34"/>
        <v>46153.969444444439</v>
      </c>
    </row>
    <row r="247" spans="1:24" ht="29" hidden="1" x14ac:dyDescent="0.35">
      <c r="A247" s="46">
        <f t="shared" si="35"/>
        <v>46153.969444444439</v>
      </c>
      <c r="B247" s="46"/>
      <c r="C247" s="46"/>
      <c r="D247" s="46"/>
      <c r="E247" s="47" t="s">
        <v>454</v>
      </c>
      <c r="F247" s="48" t="s">
        <v>508</v>
      </c>
      <c r="G247" s="48"/>
      <c r="H247" s="49" t="s">
        <v>515</v>
      </c>
      <c r="I247" s="82" t="s">
        <v>277</v>
      </c>
      <c r="J247" s="51" t="s">
        <v>140</v>
      </c>
      <c r="K247" s="52">
        <v>0</v>
      </c>
      <c r="L247" s="52">
        <v>0</v>
      </c>
      <c r="M247" s="53">
        <v>67</v>
      </c>
      <c r="N247" s="54">
        <v>1260</v>
      </c>
      <c r="O247" s="53">
        <v>1</v>
      </c>
      <c r="P247" s="54">
        <f t="shared" si="36"/>
        <v>1260</v>
      </c>
      <c r="Q247" s="54"/>
      <c r="R247" s="53">
        <v>1260</v>
      </c>
      <c r="S247" s="53">
        <f t="shared" si="30"/>
        <v>0</v>
      </c>
      <c r="T247" s="53">
        <f t="shared" si="31"/>
        <v>1289.5522388059703</v>
      </c>
      <c r="U247" s="52">
        <f t="shared" si="32"/>
        <v>0</v>
      </c>
      <c r="V247" s="52">
        <f t="shared" si="33"/>
        <v>0</v>
      </c>
      <c r="W247" s="52">
        <v>0</v>
      </c>
      <c r="X247" s="55">
        <f t="shared" si="34"/>
        <v>46153.969444444439</v>
      </c>
    </row>
    <row r="248" spans="1:24" ht="29" hidden="1" x14ac:dyDescent="0.35">
      <c r="A248" s="46">
        <f t="shared" si="35"/>
        <v>46153.969444444439</v>
      </c>
      <c r="B248" s="46"/>
      <c r="C248" s="46"/>
      <c r="D248" s="46"/>
      <c r="E248" s="47" t="s">
        <v>454</v>
      </c>
      <c r="F248" s="48" t="s">
        <v>516</v>
      </c>
      <c r="G248" s="48"/>
      <c r="H248" s="49" t="s">
        <v>517</v>
      </c>
      <c r="I248" s="72" t="s">
        <v>191</v>
      </c>
      <c r="J248" s="51" t="s">
        <v>140</v>
      </c>
      <c r="K248" s="52">
        <v>0</v>
      </c>
      <c r="L248" s="52">
        <v>0</v>
      </c>
      <c r="M248" s="53">
        <v>67</v>
      </c>
      <c r="N248" s="54">
        <v>3150</v>
      </c>
      <c r="O248" s="53">
        <v>1</v>
      </c>
      <c r="P248" s="54">
        <f t="shared" si="36"/>
        <v>3150</v>
      </c>
      <c r="Q248" s="54"/>
      <c r="R248" s="53">
        <v>3150</v>
      </c>
      <c r="S248" s="53">
        <f t="shared" si="30"/>
        <v>0</v>
      </c>
      <c r="T248" s="53">
        <f t="shared" si="31"/>
        <v>1289.5522388059703</v>
      </c>
      <c r="U248" s="52">
        <f t="shared" si="32"/>
        <v>0</v>
      </c>
      <c r="V248" s="52">
        <f t="shared" si="33"/>
        <v>0</v>
      </c>
      <c r="W248" s="52">
        <v>0</v>
      </c>
      <c r="X248" s="55">
        <f t="shared" si="34"/>
        <v>46153.969444444439</v>
      </c>
    </row>
    <row r="249" spans="1:24" ht="72.5" hidden="1" x14ac:dyDescent="0.35">
      <c r="A249" s="46">
        <f t="shared" si="35"/>
        <v>46153.969444444439</v>
      </c>
      <c r="B249" s="46"/>
      <c r="C249" s="46"/>
      <c r="D249" s="46"/>
      <c r="E249" s="47" t="s">
        <v>454</v>
      </c>
      <c r="F249" s="57" t="s">
        <v>4200</v>
      </c>
      <c r="G249" s="57"/>
      <c r="H249" s="216" t="s">
        <v>518</v>
      </c>
      <c r="I249" s="82" t="s">
        <v>470</v>
      </c>
      <c r="J249" s="51" t="s">
        <v>140</v>
      </c>
      <c r="K249" s="52">
        <v>0</v>
      </c>
      <c r="L249" s="52">
        <v>0</v>
      </c>
      <c r="M249" s="53">
        <v>187</v>
      </c>
      <c r="N249" s="54">
        <v>1073</v>
      </c>
      <c r="O249" s="53">
        <v>2</v>
      </c>
      <c r="P249" s="54">
        <f t="shared" si="36"/>
        <v>536.5</v>
      </c>
      <c r="Q249" s="54"/>
      <c r="R249" s="53">
        <v>537</v>
      </c>
      <c r="S249" s="53">
        <f t="shared" si="30"/>
        <v>-0.5</v>
      </c>
      <c r="T249" s="53">
        <f t="shared" si="31"/>
        <v>924.06417112299459</v>
      </c>
      <c r="U249" s="52">
        <f t="shared" si="32"/>
        <v>-2.5972222222222223E-2</v>
      </c>
      <c r="V249" s="52">
        <f t="shared" si="33"/>
        <v>-1.0821759259259259E-3</v>
      </c>
      <c r="W249" s="52">
        <v>0</v>
      </c>
      <c r="X249" s="55">
        <f t="shared" si="34"/>
        <v>46153.968362268512</v>
      </c>
    </row>
    <row r="250" spans="1:24" ht="29" hidden="1" x14ac:dyDescent="0.35">
      <c r="A250" s="46">
        <f t="shared" si="35"/>
        <v>46153.968362268512</v>
      </c>
      <c r="B250" s="46"/>
      <c r="C250" s="46"/>
      <c r="D250" s="46"/>
      <c r="E250" s="47" t="s">
        <v>454</v>
      </c>
      <c r="F250" s="48" t="s">
        <v>519</v>
      </c>
      <c r="G250" s="48"/>
      <c r="H250" s="66">
        <v>9481</v>
      </c>
      <c r="I250" s="82" t="s">
        <v>520</v>
      </c>
      <c r="J250" s="51" t="s">
        <v>140</v>
      </c>
      <c r="K250" s="52">
        <v>0</v>
      </c>
      <c r="L250" s="52">
        <v>0</v>
      </c>
      <c r="M250" s="53">
        <v>100</v>
      </c>
      <c r="N250" s="70">
        <v>1000</v>
      </c>
      <c r="O250" s="53">
        <v>1</v>
      </c>
      <c r="P250" s="54">
        <f t="shared" si="36"/>
        <v>1000</v>
      </c>
      <c r="Q250" s="54"/>
      <c r="R250" s="53">
        <v>1000</v>
      </c>
      <c r="S250" s="53">
        <f t="shared" si="30"/>
        <v>0</v>
      </c>
      <c r="T250" s="53">
        <f t="shared" si="31"/>
        <v>864</v>
      </c>
      <c r="U250" s="52">
        <f t="shared" si="32"/>
        <v>0</v>
      </c>
      <c r="V250" s="52">
        <f t="shared" si="33"/>
        <v>0</v>
      </c>
      <c r="W250" s="52">
        <v>0</v>
      </c>
      <c r="X250" s="55">
        <f t="shared" si="34"/>
        <v>46153.968362268512</v>
      </c>
    </row>
    <row r="251" spans="1:24" ht="29" hidden="1" x14ac:dyDescent="0.35">
      <c r="A251" s="46">
        <f t="shared" si="35"/>
        <v>46153.968362268512</v>
      </c>
      <c r="B251" s="46"/>
      <c r="C251" s="46"/>
      <c r="D251" s="46"/>
      <c r="E251" s="47" t="s">
        <v>454</v>
      </c>
      <c r="F251" s="48" t="s">
        <v>516</v>
      </c>
      <c r="G251" s="48"/>
      <c r="H251" s="49" t="s">
        <v>517</v>
      </c>
      <c r="I251" s="72" t="s">
        <v>191</v>
      </c>
      <c r="J251" s="51" t="s">
        <v>140</v>
      </c>
      <c r="K251" s="52">
        <v>0</v>
      </c>
      <c r="L251" s="52">
        <v>0</v>
      </c>
      <c r="M251" s="53">
        <v>67</v>
      </c>
      <c r="N251" s="54">
        <v>914</v>
      </c>
      <c r="O251" s="53">
        <v>1</v>
      </c>
      <c r="P251" s="54">
        <f t="shared" si="36"/>
        <v>914</v>
      </c>
      <c r="Q251" s="54"/>
      <c r="R251" s="53">
        <v>914</v>
      </c>
      <c r="S251" s="53">
        <f t="shared" si="30"/>
        <v>0</v>
      </c>
      <c r="T251" s="53">
        <f t="shared" si="31"/>
        <v>1289.5522388059703</v>
      </c>
      <c r="U251" s="52">
        <f t="shared" si="32"/>
        <v>0</v>
      </c>
      <c r="V251" s="52">
        <f t="shared" si="33"/>
        <v>0</v>
      </c>
      <c r="W251" s="52">
        <v>0</v>
      </c>
      <c r="X251" s="55">
        <f t="shared" si="34"/>
        <v>46153.968362268512</v>
      </c>
    </row>
    <row r="252" spans="1:24" hidden="1" x14ac:dyDescent="0.35">
      <c r="A252" s="46">
        <f t="shared" si="35"/>
        <v>46153.968362268512</v>
      </c>
      <c r="B252" s="46"/>
      <c r="C252" s="46"/>
      <c r="D252" s="46"/>
      <c r="E252" s="47" t="s">
        <v>454</v>
      </c>
      <c r="F252" s="48" t="s">
        <v>521</v>
      </c>
      <c r="G252" s="48"/>
      <c r="H252" s="59" t="s">
        <v>522</v>
      </c>
      <c r="I252" s="73" t="s">
        <v>523</v>
      </c>
      <c r="J252" s="51" t="s">
        <v>140</v>
      </c>
      <c r="K252" s="52">
        <v>0</v>
      </c>
      <c r="L252" s="52">
        <v>0</v>
      </c>
      <c r="M252" s="53">
        <v>67</v>
      </c>
      <c r="N252" s="54">
        <v>360</v>
      </c>
      <c r="O252" s="53">
        <v>1</v>
      </c>
      <c r="P252" s="54">
        <f t="shared" si="36"/>
        <v>360</v>
      </c>
      <c r="Q252" s="54"/>
      <c r="R252" s="53">
        <v>360</v>
      </c>
      <c r="S252" s="53">
        <f t="shared" si="30"/>
        <v>0</v>
      </c>
      <c r="T252" s="53">
        <f t="shared" si="31"/>
        <v>1289.5522388059703</v>
      </c>
      <c r="U252" s="52">
        <f t="shared" si="32"/>
        <v>0</v>
      </c>
      <c r="V252" s="52">
        <f t="shared" si="33"/>
        <v>0</v>
      </c>
      <c r="W252" s="52">
        <v>0</v>
      </c>
      <c r="X252" s="55">
        <f t="shared" si="34"/>
        <v>46153.968362268512</v>
      </c>
    </row>
    <row r="253" spans="1:24" ht="29" hidden="1" x14ac:dyDescent="0.35">
      <c r="A253" s="46">
        <f t="shared" si="35"/>
        <v>46153.968362268512</v>
      </c>
      <c r="B253" s="46"/>
      <c r="C253" s="46"/>
      <c r="D253" s="46"/>
      <c r="E253" s="47" t="s">
        <v>454</v>
      </c>
      <c r="F253" s="48" t="s">
        <v>516</v>
      </c>
      <c r="G253" s="48"/>
      <c r="H253" s="49" t="s">
        <v>517</v>
      </c>
      <c r="I253" s="72" t="s">
        <v>191</v>
      </c>
      <c r="J253" s="51" t="s">
        <v>140</v>
      </c>
      <c r="K253" s="52">
        <v>0</v>
      </c>
      <c r="L253" s="52">
        <v>0</v>
      </c>
      <c r="M253" s="53">
        <v>67</v>
      </c>
      <c r="N253" s="54">
        <v>4326</v>
      </c>
      <c r="O253" s="53">
        <v>1</v>
      </c>
      <c r="P253" s="54">
        <f t="shared" si="36"/>
        <v>4326</v>
      </c>
      <c r="Q253" s="54"/>
      <c r="R253" s="53">
        <v>4326</v>
      </c>
      <c r="S253" s="53">
        <f t="shared" si="30"/>
        <v>0</v>
      </c>
      <c r="T253" s="53">
        <f t="shared" si="31"/>
        <v>1289.5522388059703</v>
      </c>
      <c r="U253" s="52">
        <f t="shared" si="32"/>
        <v>0</v>
      </c>
      <c r="V253" s="52">
        <f t="shared" si="33"/>
        <v>0</v>
      </c>
      <c r="W253" s="52">
        <v>0</v>
      </c>
      <c r="X253" s="55">
        <f t="shared" si="34"/>
        <v>46153.968362268512</v>
      </c>
    </row>
    <row r="254" spans="1:24" ht="29" hidden="1" x14ac:dyDescent="0.35">
      <c r="A254" s="46">
        <f t="shared" si="35"/>
        <v>46153.968362268512</v>
      </c>
      <c r="B254" s="46"/>
      <c r="C254" s="46"/>
      <c r="D254" s="46"/>
      <c r="E254" s="47" t="s">
        <v>454</v>
      </c>
      <c r="F254" s="48" t="s">
        <v>516</v>
      </c>
      <c r="G254" s="48"/>
      <c r="H254" s="49" t="s">
        <v>524</v>
      </c>
      <c r="I254" s="72" t="s">
        <v>191</v>
      </c>
      <c r="J254" s="51" t="s">
        <v>140</v>
      </c>
      <c r="K254" s="52">
        <v>0</v>
      </c>
      <c r="L254" s="52">
        <v>0</v>
      </c>
      <c r="M254" s="53">
        <v>67</v>
      </c>
      <c r="N254" s="54">
        <v>3150</v>
      </c>
      <c r="O254" s="53">
        <v>1</v>
      </c>
      <c r="P254" s="54">
        <f t="shared" si="36"/>
        <v>3150</v>
      </c>
      <c r="Q254" s="54"/>
      <c r="R254" s="53">
        <v>3150</v>
      </c>
      <c r="S254" s="53">
        <f t="shared" si="30"/>
        <v>0</v>
      </c>
      <c r="T254" s="53">
        <f t="shared" si="31"/>
        <v>1289.5522388059703</v>
      </c>
      <c r="U254" s="52">
        <f t="shared" si="32"/>
        <v>0</v>
      </c>
      <c r="V254" s="52">
        <f t="shared" si="33"/>
        <v>0</v>
      </c>
      <c r="W254" s="52">
        <v>0</v>
      </c>
      <c r="X254" s="55">
        <f t="shared" si="34"/>
        <v>46153.968362268512</v>
      </c>
    </row>
    <row r="255" spans="1:24" ht="29" hidden="1" x14ac:dyDescent="0.35">
      <c r="A255" s="46">
        <f t="shared" si="35"/>
        <v>46153.968362268512</v>
      </c>
      <c r="B255" s="46"/>
      <c r="C255" s="46"/>
      <c r="D255" s="46"/>
      <c r="E255" s="47" t="s">
        <v>454</v>
      </c>
      <c r="F255" s="48" t="s">
        <v>516</v>
      </c>
      <c r="G255" s="48"/>
      <c r="H255" s="49" t="s">
        <v>525</v>
      </c>
      <c r="I255" s="72" t="s">
        <v>380</v>
      </c>
      <c r="J255" s="51" t="s">
        <v>140</v>
      </c>
      <c r="K255" s="52">
        <v>0</v>
      </c>
      <c r="L255" s="52">
        <v>0</v>
      </c>
      <c r="M255" s="53">
        <v>67</v>
      </c>
      <c r="N255" s="54">
        <v>630</v>
      </c>
      <c r="O255" s="53">
        <v>1</v>
      </c>
      <c r="P255" s="54">
        <f t="shared" si="36"/>
        <v>630</v>
      </c>
      <c r="Q255" s="54"/>
      <c r="R255" s="53">
        <v>630</v>
      </c>
      <c r="S255" s="53">
        <f t="shared" si="30"/>
        <v>0</v>
      </c>
      <c r="T255" s="53">
        <f t="shared" si="31"/>
        <v>1289.5522388059703</v>
      </c>
      <c r="U255" s="52">
        <f t="shared" si="32"/>
        <v>0</v>
      </c>
      <c r="V255" s="52">
        <f t="shared" si="33"/>
        <v>0</v>
      </c>
      <c r="W255" s="52">
        <v>0</v>
      </c>
      <c r="X255" s="55">
        <f t="shared" si="34"/>
        <v>46153.968362268512</v>
      </c>
    </row>
    <row r="256" spans="1:24" ht="29" hidden="1" x14ac:dyDescent="0.35">
      <c r="A256" s="46">
        <f t="shared" si="35"/>
        <v>46153.968362268512</v>
      </c>
      <c r="B256" s="46"/>
      <c r="C256" s="46"/>
      <c r="D256" s="46"/>
      <c r="E256" s="47" t="s">
        <v>454</v>
      </c>
      <c r="F256" s="48" t="s">
        <v>516</v>
      </c>
      <c r="G256" s="48"/>
      <c r="H256" s="49" t="s">
        <v>526</v>
      </c>
      <c r="I256" s="72" t="s">
        <v>277</v>
      </c>
      <c r="J256" s="51" t="s">
        <v>140</v>
      </c>
      <c r="K256" s="52">
        <v>0</v>
      </c>
      <c r="L256" s="52">
        <v>0</v>
      </c>
      <c r="M256" s="53">
        <v>67</v>
      </c>
      <c r="N256" s="54">
        <v>420</v>
      </c>
      <c r="O256" s="53">
        <v>1</v>
      </c>
      <c r="P256" s="54">
        <f t="shared" si="36"/>
        <v>420</v>
      </c>
      <c r="Q256" s="54"/>
      <c r="R256" s="53">
        <v>420</v>
      </c>
      <c r="S256" s="53">
        <f t="shared" si="30"/>
        <v>0</v>
      </c>
      <c r="T256" s="53">
        <f t="shared" si="31"/>
        <v>1289.5522388059703</v>
      </c>
      <c r="U256" s="52">
        <f t="shared" si="32"/>
        <v>0</v>
      </c>
      <c r="V256" s="52">
        <f t="shared" si="33"/>
        <v>0</v>
      </c>
      <c r="W256" s="52">
        <v>0</v>
      </c>
      <c r="X256" s="55">
        <f t="shared" si="34"/>
        <v>46153.968362268512</v>
      </c>
    </row>
    <row r="257" spans="1:24" hidden="1" x14ac:dyDescent="0.35">
      <c r="A257" s="46">
        <f t="shared" si="35"/>
        <v>46153.968362268512</v>
      </c>
      <c r="B257" s="46"/>
      <c r="C257" s="46"/>
      <c r="D257" s="46"/>
      <c r="E257" s="47" t="s">
        <v>454</v>
      </c>
      <c r="F257" s="48" t="s">
        <v>527</v>
      </c>
      <c r="G257" s="48"/>
      <c r="H257" s="49" t="s">
        <v>528</v>
      </c>
      <c r="I257" s="82" t="s">
        <v>529</v>
      </c>
      <c r="J257" s="51" t="s">
        <v>283</v>
      </c>
      <c r="K257" s="52">
        <v>0</v>
      </c>
      <c r="L257" s="52">
        <v>0</v>
      </c>
      <c r="M257" s="53">
        <v>67</v>
      </c>
      <c r="N257" s="54">
        <v>360</v>
      </c>
      <c r="O257" s="53">
        <v>1</v>
      </c>
      <c r="P257" s="54">
        <f t="shared" si="36"/>
        <v>360</v>
      </c>
      <c r="Q257" s="54"/>
      <c r="R257" s="53">
        <v>360</v>
      </c>
      <c r="S257" s="53">
        <f t="shared" si="30"/>
        <v>0</v>
      </c>
      <c r="T257" s="53">
        <f t="shared" si="31"/>
        <v>1289.5522388059703</v>
      </c>
      <c r="U257" s="52">
        <f t="shared" si="32"/>
        <v>0</v>
      </c>
      <c r="V257" s="52">
        <f t="shared" si="33"/>
        <v>0</v>
      </c>
      <c r="W257" s="52">
        <v>0</v>
      </c>
      <c r="X257" s="55">
        <f t="shared" si="34"/>
        <v>46153.968362268512</v>
      </c>
    </row>
    <row r="258" spans="1:24" hidden="1" x14ac:dyDescent="0.35">
      <c r="A258" s="46">
        <f t="shared" si="35"/>
        <v>46153.968362268512</v>
      </c>
      <c r="B258" s="46"/>
      <c r="C258" s="46"/>
      <c r="D258" s="46"/>
      <c r="E258" s="47" t="s">
        <v>454</v>
      </c>
      <c r="F258" s="48" t="s">
        <v>527</v>
      </c>
      <c r="G258" s="48"/>
      <c r="H258" s="49" t="s">
        <v>530</v>
      </c>
      <c r="I258" s="72" t="s">
        <v>366</v>
      </c>
      <c r="J258" s="51" t="s">
        <v>283</v>
      </c>
      <c r="K258" s="52">
        <v>0</v>
      </c>
      <c r="L258" s="52">
        <v>0</v>
      </c>
      <c r="M258" s="53">
        <v>67</v>
      </c>
      <c r="N258" s="54">
        <v>1080</v>
      </c>
      <c r="O258" s="53">
        <v>1</v>
      </c>
      <c r="P258" s="54">
        <f t="shared" si="36"/>
        <v>1080</v>
      </c>
      <c r="Q258" s="54"/>
      <c r="R258" s="53">
        <v>1080</v>
      </c>
      <c r="S258" s="53">
        <f t="shared" si="30"/>
        <v>0</v>
      </c>
      <c r="T258" s="53">
        <f t="shared" si="31"/>
        <v>1289.5522388059703</v>
      </c>
      <c r="U258" s="52">
        <f t="shared" si="32"/>
        <v>0</v>
      </c>
      <c r="V258" s="52">
        <f t="shared" si="33"/>
        <v>0</v>
      </c>
      <c r="W258" s="52">
        <v>0</v>
      </c>
      <c r="X258" s="55">
        <f t="shared" si="34"/>
        <v>46153.968362268512</v>
      </c>
    </row>
    <row r="259" spans="1:24" hidden="1" x14ac:dyDescent="0.35">
      <c r="A259" s="46">
        <f t="shared" si="35"/>
        <v>46153.968362268512</v>
      </c>
      <c r="B259" s="46"/>
      <c r="C259" s="46"/>
      <c r="D259" s="46"/>
      <c r="E259" s="47" t="s">
        <v>454</v>
      </c>
      <c r="F259" s="48" t="s">
        <v>527</v>
      </c>
      <c r="G259" s="48"/>
      <c r="H259" s="49" t="s">
        <v>531</v>
      </c>
      <c r="I259" s="82" t="s">
        <v>194</v>
      </c>
      <c r="J259" s="51" t="s">
        <v>283</v>
      </c>
      <c r="K259" s="52">
        <v>0</v>
      </c>
      <c r="L259" s="52">
        <v>0</v>
      </c>
      <c r="M259" s="53">
        <v>67</v>
      </c>
      <c r="N259" s="54">
        <v>1080</v>
      </c>
      <c r="O259" s="53">
        <v>1</v>
      </c>
      <c r="P259" s="54">
        <f t="shared" si="36"/>
        <v>1080</v>
      </c>
      <c r="Q259" s="54"/>
      <c r="R259" s="53">
        <v>1080</v>
      </c>
      <c r="S259" s="53">
        <f t="shared" si="30"/>
        <v>0</v>
      </c>
      <c r="T259" s="53">
        <f t="shared" si="31"/>
        <v>1289.5522388059703</v>
      </c>
      <c r="U259" s="52">
        <f t="shared" si="32"/>
        <v>0</v>
      </c>
      <c r="V259" s="52">
        <f t="shared" si="33"/>
        <v>0</v>
      </c>
      <c r="W259" s="52">
        <v>0</v>
      </c>
      <c r="X259" s="55">
        <f t="shared" si="34"/>
        <v>46153.968362268512</v>
      </c>
    </row>
    <row r="260" spans="1:24" hidden="1" x14ac:dyDescent="0.35">
      <c r="A260" s="46">
        <f t="shared" si="35"/>
        <v>46153.968362268512</v>
      </c>
      <c r="B260" s="46"/>
      <c r="C260" s="46"/>
      <c r="D260" s="46"/>
      <c r="E260" s="47" t="s">
        <v>454</v>
      </c>
      <c r="F260" s="48" t="s">
        <v>532</v>
      </c>
      <c r="G260" s="48"/>
      <c r="H260" s="49" t="s">
        <v>533</v>
      </c>
      <c r="I260" s="82" t="s">
        <v>194</v>
      </c>
      <c r="J260" s="51" t="s">
        <v>283</v>
      </c>
      <c r="K260" s="52">
        <v>0</v>
      </c>
      <c r="L260" s="52">
        <v>0</v>
      </c>
      <c r="M260" s="53">
        <v>67</v>
      </c>
      <c r="N260" s="54">
        <v>360</v>
      </c>
      <c r="O260" s="53">
        <v>1</v>
      </c>
      <c r="P260" s="54">
        <f t="shared" si="36"/>
        <v>360</v>
      </c>
      <c r="Q260" s="54"/>
      <c r="R260" s="53">
        <v>360</v>
      </c>
      <c r="S260" s="53">
        <f t="shared" si="30"/>
        <v>0</v>
      </c>
      <c r="T260" s="53">
        <f t="shared" si="31"/>
        <v>1289.5522388059703</v>
      </c>
      <c r="U260" s="52">
        <f t="shared" si="32"/>
        <v>0</v>
      </c>
      <c r="V260" s="52">
        <f t="shared" si="33"/>
        <v>0</v>
      </c>
      <c r="W260" s="52">
        <v>0</v>
      </c>
      <c r="X260" s="55">
        <f t="shared" si="34"/>
        <v>46153.968362268512</v>
      </c>
    </row>
    <row r="261" spans="1:24" hidden="1" x14ac:dyDescent="0.35">
      <c r="A261" s="46">
        <f t="shared" si="35"/>
        <v>46153.968362268512</v>
      </c>
      <c r="B261" s="46"/>
      <c r="C261" s="46"/>
      <c r="D261" s="46"/>
      <c r="E261" s="47" t="s">
        <v>195</v>
      </c>
      <c r="F261" s="48" t="s">
        <v>534</v>
      </c>
      <c r="G261" s="48"/>
      <c r="H261" s="49" t="s">
        <v>535</v>
      </c>
      <c r="I261" s="82" t="s">
        <v>536</v>
      </c>
      <c r="J261" s="51" t="s">
        <v>140</v>
      </c>
      <c r="K261" s="52">
        <v>0</v>
      </c>
      <c r="L261" s="52">
        <v>0</v>
      </c>
      <c r="M261" s="53">
        <v>120</v>
      </c>
      <c r="N261" s="54">
        <v>1200</v>
      </c>
      <c r="O261" s="53">
        <v>1</v>
      </c>
      <c r="P261" s="54">
        <f t="shared" si="36"/>
        <v>1200</v>
      </c>
      <c r="Q261" s="54"/>
      <c r="R261" s="53">
        <v>1200</v>
      </c>
      <c r="S261" s="53">
        <f t="shared" si="30"/>
        <v>0</v>
      </c>
      <c r="T261" s="53">
        <f t="shared" si="31"/>
        <v>720</v>
      </c>
      <c r="U261" s="52">
        <f t="shared" si="32"/>
        <v>0</v>
      </c>
      <c r="V261" s="52">
        <f t="shared" si="33"/>
        <v>0</v>
      </c>
      <c r="W261" s="52">
        <v>0</v>
      </c>
      <c r="X261" s="55">
        <f t="shared" si="34"/>
        <v>46153.968362268512</v>
      </c>
    </row>
    <row r="262" spans="1:24" ht="26.5" hidden="1" x14ac:dyDescent="0.35">
      <c r="A262" s="46">
        <f t="shared" si="35"/>
        <v>46153.968362268512</v>
      </c>
      <c r="B262" s="46"/>
      <c r="C262" s="46"/>
      <c r="D262" s="46"/>
      <c r="E262" s="47" t="s">
        <v>454</v>
      </c>
      <c r="F262" s="48" t="s">
        <v>537</v>
      </c>
      <c r="G262" s="48"/>
      <c r="H262" s="59" t="s">
        <v>538</v>
      </c>
      <c r="I262" s="82" t="s">
        <v>499</v>
      </c>
      <c r="J262" s="51" t="s">
        <v>140</v>
      </c>
      <c r="K262" s="52">
        <v>0</v>
      </c>
      <c r="L262" s="52">
        <v>0</v>
      </c>
      <c r="M262" s="53">
        <v>106</v>
      </c>
      <c r="N262" s="54">
        <v>1000</v>
      </c>
      <c r="O262" s="53">
        <v>1</v>
      </c>
      <c r="P262" s="54">
        <f t="shared" si="36"/>
        <v>1000</v>
      </c>
      <c r="Q262" s="54"/>
      <c r="R262" s="53">
        <v>1000</v>
      </c>
      <c r="S262" s="53">
        <f t="shared" ref="S262:S325" si="37">P262-R262</f>
        <v>0</v>
      </c>
      <c r="T262" s="53">
        <f t="shared" ref="T262:T325" si="38">((3600/M262)*O262)*24</f>
        <v>815.09433962264154</v>
      </c>
      <c r="U262" s="52">
        <f t="shared" ref="U262:U325" si="39">(P262-R262)*M262/3600</f>
        <v>0</v>
      </c>
      <c r="V262" s="52">
        <f t="shared" ref="V262:V325" si="40">(P262-R262)*M262/3600/24</f>
        <v>0</v>
      </c>
      <c r="W262" s="52">
        <v>0</v>
      </c>
      <c r="X262" s="55">
        <f t="shared" ref="X262:X325" si="41">A262+K262+V262+W262+L262</f>
        <v>46153.968362268512</v>
      </c>
    </row>
    <row r="263" spans="1:24" ht="26.5" hidden="1" x14ac:dyDescent="0.35">
      <c r="A263" s="46">
        <f t="shared" ref="A263:A326" si="42">X262</f>
        <v>46153.968362268512</v>
      </c>
      <c r="B263" s="46"/>
      <c r="C263" s="46"/>
      <c r="D263" s="46"/>
      <c r="E263" s="47" t="s">
        <v>454</v>
      </c>
      <c r="F263" s="48" t="s">
        <v>539</v>
      </c>
      <c r="G263" s="48"/>
      <c r="H263" s="59" t="s">
        <v>540</v>
      </c>
      <c r="I263" s="82" t="s">
        <v>499</v>
      </c>
      <c r="J263" s="51" t="s">
        <v>140</v>
      </c>
      <c r="K263" s="52">
        <v>0</v>
      </c>
      <c r="L263" s="52">
        <v>0</v>
      </c>
      <c r="M263" s="53">
        <v>106</v>
      </c>
      <c r="N263" s="54">
        <v>540</v>
      </c>
      <c r="O263" s="53">
        <v>1</v>
      </c>
      <c r="P263" s="54">
        <f t="shared" ref="P263:P326" si="43">N263/O263</f>
        <v>540</v>
      </c>
      <c r="Q263" s="54"/>
      <c r="R263" s="53">
        <v>540</v>
      </c>
      <c r="S263" s="53">
        <f t="shared" si="37"/>
        <v>0</v>
      </c>
      <c r="T263" s="53">
        <f t="shared" si="38"/>
        <v>815.09433962264154</v>
      </c>
      <c r="U263" s="52">
        <f t="shared" si="39"/>
        <v>0</v>
      </c>
      <c r="V263" s="52">
        <f t="shared" si="40"/>
        <v>0</v>
      </c>
      <c r="W263" s="52">
        <v>0</v>
      </c>
      <c r="X263" s="55">
        <f t="shared" si="41"/>
        <v>46153.968362268512</v>
      </c>
    </row>
    <row r="264" spans="1:24" hidden="1" x14ac:dyDescent="0.35">
      <c r="A264" s="46">
        <f t="shared" si="42"/>
        <v>46153.968362268512</v>
      </c>
      <c r="B264" s="46"/>
      <c r="C264" s="46"/>
      <c r="D264" s="46"/>
      <c r="E264" s="47" t="s">
        <v>195</v>
      </c>
      <c r="F264" s="48" t="s">
        <v>541</v>
      </c>
      <c r="G264" s="48"/>
      <c r="H264" s="49" t="s">
        <v>542</v>
      </c>
      <c r="I264" s="82" t="s">
        <v>536</v>
      </c>
      <c r="J264" s="51" t="s">
        <v>140</v>
      </c>
      <c r="K264" s="52">
        <v>0</v>
      </c>
      <c r="L264" s="52">
        <v>0</v>
      </c>
      <c r="M264" s="53">
        <v>120</v>
      </c>
      <c r="N264" s="54">
        <v>1075</v>
      </c>
      <c r="O264" s="53">
        <v>1</v>
      </c>
      <c r="P264" s="54">
        <f t="shared" si="43"/>
        <v>1075</v>
      </c>
      <c r="Q264" s="54"/>
      <c r="R264" s="53">
        <v>1075</v>
      </c>
      <c r="S264" s="53">
        <f t="shared" si="37"/>
        <v>0</v>
      </c>
      <c r="T264" s="53">
        <f t="shared" si="38"/>
        <v>720</v>
      </c>
      <c r="U264" s="52">
        <f t="shared" si="39"/>
        <v>0</v>
      </c>
      <c r="V264" s="52">
        <f t="shared" si="40"/>
        <v>0</v>
      </c>
      <c r="W264" s="52">
        <v>0</v>
      </c>
      <c r="X264" s="55">
        <f t="shared" si="41"/>
        <v>46153.968362268512</v>
      </c>
    </row>
    <row r="265" spans="1:24" ht="29" hidden="1" x14ac:dyDescent="0.35">
      <c r="A265" s="46">
        <f t="shared" si="42"/>
        <v>46153.968362268512</v>
      </c>
      <c r="B265" s="46"/>
      <c r="C265" s="46"/>
      <c r="D265" s="46"/>
      <c r="E265" s="47" t="s">
        <v>454</v>
      </c>
      <c r="F265" s="48" t="s">
        <v>543</v>
      </c>
      <c r="G265" s="48"/>
      <c r="H265" s="49" t="s">
        <v>544</v>
      </c>
      <c r="I265" s="72" t="s">
        <v>274</v>
      </c>
      <c r="J265" s="51" t="s">
        <v>140</v>
      </c>
      <c r="K265" s="52">
        <v>0</v>
      </c>
      <c r="L265" s="52">
        <v>0</v>
      </c>
      <c r="M265" s="53">
        <v>67</v>
      </c>
      <c r="N265" s="54">
        <v>1260</v>
      </c>
      <c r="O265" s="53">
        <v>1</v>
      </c>
      <c r="P265" s="54">
        <f t="shared" si="43"/>
        <v>1260</v>
      </c>
      <c r="Q265" s="54"/>
      <c r="R265" s="53">
        <v>1260</v>
      </c>
      <c r="S265" s="53">
        <f t="shared" si="37"/>
        <v>0</v>
      </c>
      <c r="T265" s="53">
        <f t="shared" si="38"/>
        <v>1289.5522388059703</v>
      </c>
      <c r="U265" s="52">
        <f t="shared" si="39"/>
        <v>0</v>
      </c>
      <c r="V265" s="52">
        <f t="shared" si="40"/>
        <v>0</v>
      </c>
      <c r="W265" s="52">
        <v>0</v>
      </c>
      <c r="X265" s="55">
        <f t="shared" si="41"/>
        <v>46153.968362268512</v>
      </c>
    </row>
    <row r="266" spans="1:24" ht="26.5" hidden="1" x14ac:dyDescent="0.35">
      <c r="A266" s="46">
        <f t="shared" si="42"/>
        <v>46153.968362268512</v>
      </c>
      <c r="B266" s="46"/>
      <c r="C266" s="46"/>
      <c r="D266" s="46"/>
      <c r="E266" s="47" t="s">
        <v>454</v>
      </c>
      <c r="F266" s="48" t="s">
        <v>545</v>
      </c>
      <c r="G266" s="48"/>
      <c r="H266" s="59" t="s">
        <v>546</v>
      </c>
      <c r="I266" s="82" t="s">
        <v>499</v>
      </c>
      <c r="J266" s="51" t="s">
        <v>140</v>
      </c>
      <c r="K266" s="52">
        <v>0</v>
      </c>
      <c r="L266" s="52">
        <v>0</v>
      </c>
      <c r="M266" s="53">
        <v>106</v>
      </c>
      <c r="N266" s="54">
        <v>2000</v>
      </c>
      <c r="O266" s="53">
        <v>1</v>
      </c>
      <c r="P266" s="54">
        <f t="shared" si="43"/>
        <v>2000</v>
      </c>
      <c r="Q266" s="54"/>
      <c r="R266" s="53">
        <v>2000</v>
      </c>
      <c r="S266" s="53">
        <f t="shared" si="37"/>
        <v>0</v>
      </c>
      <c r="T266" s="53">
        <f t="shared" si="38"/>
        <v>815.09433962264154</v>
      </c>
      <c r="U266" s="52">
        <f t="shared" si="39"/>
        <v>0</v>
      </c>
      <c r="V266" s="52">
        <f t="shared" si="40"/>
        <v>0</v>
      </c>
      <c r="W266" s="52">
        <v>0</v>
      </c>
      <c r="X266" s="55">
        <f t="shared" si="41"/>
        <v>46153.968362268512</v>
      </c>
    </row>
    <row r="267" spans="1:24" ht="26.5" hidden="1" x14ac:dyDescent="0.35">
      <c r="A267" s="46">
        <f t="shared" si="42"/>
        <v>46153.968362268512</v>
      </c>
      <c r="B267" s="46"/>
      <c r="C267" s="46"/>
      <c r="D267" s="46"/>
      <c r="E267" s="47" t="s">
        <v>454</v>
      </c>
      <c r="F267" s="48" t="s">
        <v>547</v>
      </c>
      <c r="G267" s="48"/>
      <c r="H267" s="59" t="s">
        <v>548</v>
      </c>
      <c r="I267" s="82" t="s">
        <v>499</v>
      </c>
      <c r="J267" s="51" t="s">
        <v>140</v>
      </c>
      <c r="K267" s="52">
        <v>0</v>
      </c>
      <c r="L267" s="52">
        <v>0</v>
      </c>
      <c r="M267" s="53">
        <v>106</v>
      </c>
      <c r="N267" s="54">
        <v>2000</v>
      </c>
      <c r="O267" s="53">
        <v>1</v>
      </c>
      <c r="P267" s="54">
        <f t="shared" si="43"/>
        <v>2000</v>
      </c>
      <c r="Q267" s="54"/>
      <c r="R267" s="53">
        <v>2000</v>
      </c>
      <c r="S267" s="53">
        <f t="shared" si="37"/>
        <v>0</v>
      </c>
      <c r="T267" s="53">
        <f t="shared" si="38"/>
        <v>815.09433962264154</v>
      </c>
      <c r="U267" s="52">
        <f t="shared" si="39"/>
        <v>0</v>
      </c>
      <c r="V267" s="52">
        <f t="shared" si="40"/>
        <v>0</v>
      </c>
      <c r="W267" s="52">
        <v>0</v>
      </c>
      <c r="X267" s="55">
        <f t="shared" si="41"/>
        <v>46153.968362268512</v>
      </c>
    </row>
    <row r="268" spans="1:24" ht="26.5" hidden="1" x14ac:dyDescent="0.35">
      <c r="A268" s="46">
        <f t="shared" si="42"/>
        <v>46153.968362268512</v>
      </c>
      <c r="B268" s="46"/>
      <c r="C268" s="46"/>
      <c r="D268" s="46"/>
      <c r="E268" s="47" t="s">
        <v>454</v>
      </c>
      <c r="F268" s="48" t="s">
        <v>549</v>
      </c>
      <c r="G268" s="48"/>
      <c r="H268" s="59" t="s">
        <v>550</v>
      </c>
      <c r="I268" s="82" t="s">
        <v>499</v>
      </c>
      <c r="J268" s="51" t="s">
        <v>140</v>
      </c>
      <c r="K268" s="52">
        <v>0</v>
      </c>
      <c r="L268" s="52">
        <v>0</v>
      </c>
      <c r="M268" s="53">
        <v>106</v>
      </c>
      <c r="N268" s="54">
        <v>1000</v>
      </c>
      <c r="O268" s="53">
        <v>1</v>
      </c>
      <c r="P268" s="54">
        <f t="shared" si="43"/>
        <v>1000</v>
      </c>
      <c r="Q268" s="54"/>
      <c r="R268" s="53">
        <v>1000</v>
      </c>
      <c r="S268" s="53">
        <f t="shared" si="37"/>
        <v>0</v>
      </c>
      <c r="T268" s="53">
        <f t="shared" si="38"/>
        <v>815.09433962264154</v>
      </c>
      <c r="U268" s="52">
        <f t="shared" si="39"/>
        <v>0</v>
      </c>
      <c r="V268" s="52">
        <f t="shared" si="40"/>
        <v>0</v>
      </c>
      <c r="W268" s="52">
        <v>0</v>
      </c>
      <c r="X268" s="55">
        <f t="shared" si="41"/>
        <v>46153.968362268512</v>
      </c>
    </row>
    <row r="269" spans="1:24" ht="26.5" hidden="1" x14ac:dyDescent="0.35">
      <c r="A269" s="46">
        <f t="shared" si="42"/>
        <v>46153.968362268512</v>
      </c>
      <c r="B269" s="46"/>
      <c r="C269" s="46"/>
      <c r="D269" s="46"/>
      <c r="E269" s="47" t="s">
        <v>454</v>
      </c>
      <c r="F269" s="48" t="s">
        <v>539</v>
      </c>
      <c r="G269" s="48"/>
      <c r="H269" s="59" t="s">
        <v>540</v>
      </c>
      <c r="I269" s="82" t="s">
        <v>499</v>
      </c>
      <c r="J269" s="51" t="s">
        <v>140</v>
      </c>
      <c r="K269" s="52">
        <v>0</v>
      </c>
      <c r="L269" s="52">
        <v>0</v>
      </c>
      <c r="M269" s="53">
        <v>106</v>
      </c>
      <c r="N269" s="54">
        <v>460</v>
      </c>
      <c r="O269" s="53">
        <v>1</v>
      </c>
      <c r="P269" s="54">
        <f t="shared" si="43"/>
        <v>460</v>
      </c>
      <c r="Q269" s="54"/>
      <c r="R269" s="53">
        <v>460</v>
      </c>
      <c r="S269" s="53">
        <f t="shared" si="37"/>
        <v>0</v>
      </c>
      <c r="T269" s="53">
        <f t="shared" si="38"/>
        <v>815.09433962264154</v>
      </c>
      <c r="U269" s="52">
        <f t="shared" si="39"/>
        <v>0</v>
      </c>
      <c r="V269" s="52">
        <f t="shared" si="40"/>
        <v>0</v>
      </c>
      <c r="W269" s="52">
        <v>0</v>
      </c>
      <c r="X269" s="55">
        <f t="shared" si="41"/>
        <v>46153.968362268512</v>
      </c>
    </row>
    <row r="270" spans="1:24" ht="26.5" hidden="1" x14ac:dyDescent="0.35">
      <c r="A270" s="46">
        <f t="shared" si="42"/>
        <v>46153.968362268512</v>
      </c>
      <c r="B270" s="46"/>
      <c r="C270" s="46"/>
      <c r="D270" s="46"/>
      <c r="E270" s="47" t="s">
        <v>454</v>
      </c>
      <c r="F270" s="48" t="s">
        <v>551</v>
      </c>
      <c r="G270" s="48"/>
      <c r="H270" s="59" t="s">
        <v>552</v>
      </c>
      <c r="I270" s="82" t="s">
        <v>499</v>
      </c>
      <c r="J270" s="51" t="s">
        <v>140</v>
      </c>
      <c r="K270" s="52">
        <v>0</v>
      </c>
      <c r="L270" s="52">
        <v>0</v>
      </c>
      <c r="M270" s="53">
        <v>106</v>
      </c>
      <c r="N270" s="54">
        <v>1000</v>
      </c>
      <c r="O270" s="53">
        <v>1</v>
      </c>
      <c r="P270" s="54">
        <f t="shared" si="43"/>
        <v>1000</v>
      </c>
      <c r="Q270" s="54"/>
      <c r="R270" s="53">
        <v>1000</v>
      </c>
      <c r="S270" s="53">
        <f t="shared" si="37"/>
        <v>0</v>
      </c>
      <c r="T270" s="53">
        <f t="shared" si="38"/>
        <v>815.09433962264154</v>
      </c>
      <c r="U270" s="52">
        <f t="shared" si="39"/>
        <v>0</v>
      </c>
      <c r="V270" s="52">
        <f t="shared" si="40"/>
        <v>0</v>
      </c>
      <c r="W270" s="52">
        <v>0</v>
      </c>
      <c r="X270" s="55">
        <f t="shared" si="41"/>
        <v>46153.968362268512</v>
      </c>
    </row>
    <row r="271" spans="1:24" ht="26.5" hidden="1" x14ac:dyDescent="0.35">
      <c r="A271" s="46">
        <f t="shared" si="42"/>
        <v>46153.968362268512</v>
      </c>
      <c r="B271" s="46"/>
      <c r="C271" s="46"/>
      <c r="D271" s="46"/>
      <c r="E271" s="47" t="s">
        <v>454</v>
      </c>
      <c r="F271" s="48" t="s">
        <v>553</v>
      </c>
      <c r="G271" s="48"/>
      <c r="H271" s="49" t="s">
        <v>554</v>
      </c>
      <c r="I271" s="82" t="s">
        <v>499</v>
      </c>
      <c r="J271" s="51" t="s">
        <v>140</v>
      </c>
      <c r="K271" s="52">
        <v>0</v>
      </c>
      <c r="L271" s="52">
        <v>0</v>
      </c>
      <c r="M271" s="53">
        <v>106</v>
      </c>
      <c r="N271" s="54">
        <v>1000</v>
      </c>
      <c r="O271" s="53">
        <v>1</v>
      </c>
      <c r="P271" s="54">
        <f t="shared" si="43"/>
        <v>1000</v>
      </c>
      <c r="Q271" s="54"/>
      <c r="R271" s="53">
        <v>1000</v>
      </c>
      <c r="S271" s="53">
        <f t="shared" si="37"/>
        <v>0</v>
      </c>
      <c r="T271" s="53">
        <f t="shared" si="38"/>
        <v>815.09433962264154</v>
      </c>
      <c r="U271" s="52">
        <f t="shared" si="39"/>
        <v>0</v>
      </c>
      <c r="V271" s="52">
        <f t="shared" si="40"/>
        <v>0</v>
      </c>
      <c r="W271" s="52">
        <v>0</v>
      </c>
      <c r="X271" s="55">
        <f t="shared" si="41"/>
        <v>46153.968362268512</v>
      </c>
    </row>
    <row r="272" spans="1:24" ht="26.5" hidden="1" x14ac:dyDescent="0.35">
      <c r="A272" s="46">
        <f t="shared" si="42"/>
        <v>46153.968362268512</v>
      </c>
      <c r="B272" s="46"/>
      <c r="C272" s="46"/>
      <c r="D272" s="46"/>
      <c r="E272" s="47" t="s">
        <v>249</v>
      </c>
      <c r="F272" s="97" t="s">
        <v>555</v>
      </c>
      <c r="G272" s="97"/>
      <c r="H272" s="68">
        <v>10070</v>
      </c>
      <c r="I272" s="69" t="s">
        <v>556</v>
      </c>
      <c r="J272" s="64" t="s">
        <v>140</v>
      </c>
      <c r="K272" s="52">
        <v>0</v>
      </c>
      <c r="L272" s="52">
        <v>0</v>
      </c>
      <c r="M272" s="53">
        <v>95</v>
      </c>
      <c r="N272" s="70">
        <v>1123</v>
      </c>
      <c r="O272" s="53">
        <v>1</v>
      </c>
      <c r="P272" s="54">
        <f t="shared" si="43"/>
        <v>1123</v>
      </c>
      <c r="Q272" s="54"/>
      <c r="R272" s="53">
        <v>1123</v>
      </c>
      <c r="S272" s="53">
        <f t="shared" si="37"/>
        <v>0</v>
      </c>
      <c r="T272" s="53">
        <f t="shared" si="38"/>
        <v>909.47368421052624</v>
      </c>
      <c r="U272" s="52">
        <f t="shared" si="39"/>
        <v>0</v>
      </c>
      <c r="V272" s="52">
        <f t="shared" si="40"/>
        <v>0</v>
      </c>
      <c r="W272" s="52">
        <v>0</v>
      </c>
      <c r="X272" s="55">
        <f t="shared" si="41"/>
        <v>46153.968362268512</v>
      </c>
    </row>
    <row r="273" spans="1:24" hidden="1" x14ac:dyDescent="0.35">
      <c r="A273" s="46">
        <f t="shared" si="42"/>
        <v>46153.968362268512</v>
      </c>
      <c r="B273" s="46"/>
      <c r="C273" s="46"/>
      <c r="D273" s="46"/>
      <c r="E273" s="47" t="s">
        <v>454</v>
      </c>
      <c r="F273" s="48" t="s">
        <v>557</v>
      </c>
      <c r="G273" s="48"/>
      <c r="H273" s="49" t="s">
        <v>558</v>
      </c>
      <c r="I273" s="56" t="s">
        <v>97</v>
      </c>
      <c r="J273" s="51" t="s">
        <v>140</v>
      </c>
      <c r="K273" s="52">
        <v>0</v>
      </c>
      <c r="L273" s="52">
        <v>0</v>
      </c>
      <c r="M273" s="53">
        <v>110</v>
      </c>
      <c r="N273" s="54">
        <v>3000</v>
      </c>
      <c r="O273" s="53">
        <v>1</v>
      </c>
      <c r="P273" s="54">
        <f t="shared" si="43"/>
        <v>3000</v>
      </c>
      <c r="Q273" s="54"/>
      <c r="R273" s="53">
        <v>3000</v>
      </c>
      <c r="S273" s="53">
        <f t="shared" si="37"/>
        <v>0</v>
      </c>
      <c r="T273" s="53">
        <f t="shared" si="38"/>
        <v>785.4545454545455</v>
      </c>
      <c r="U273" s="52">
        <f t="shared" si="39"/>
        <v>0</v>
      </c>
      <c r="V273" s="52">
        <f t="shared" si="40"/>
        <v>0</v>
      </c>
      <c r="W273" s="52">
        <v>0</v>
      </c>
      <c r="X273" s="55">
        <f t="shared" si="41"/>
        <v>46153.968362268512</v>
      </c>
    </row>
    <row r="274" spans="1:24" ht="26.5" hidden="1" x14ac:dyDescent="0.35">
      <c r="A274" s="46">
        <f t="shared" si="42"/>
        <v>46153.968362268512</v>
      </c>
      <c r="B274" s="46"/>
      <c r="C274" s="46"/>
      <c r="D274" s="46"/>
      <c r="E274" s="47" t="s">
        <v>454</v>
      </c>
      <c r="F274" s="82" t="s">
        <v>189</v>
      </c>
      <c r="G274" s="82"/>
      <c r="H274" s="49" t="s">
        <v>559</v>
      </c>
      <c r="I274" s="219" t="s">
        <v>560</v>
      </c>
      <c r="J274" s="51" t="s">
        <v>140</v>
      </c>
      <c r="K274" s="52">
        <v>0</v>
      </c>
      <c r="L274" s="52">
        <v>0</v>
      </c>
      <c r="M274" s="53">
        <v>140</v>
      </c>
      <c r="N274" s="218">
        <v>300</v>
      </c>
      <c r="O274" s="53">
        <v>1</v>
      </c>
      <c r="P274" s="54">
        <f t="shared" si="43"/>
        <v>300</v>
      </c>
      <c r="Q274" s="54"/>
      <c r="R274" s="53">
        <v>300</v>
      </c>
      <c r="S274" s="53">
        <f t="shared" si="37"/>
        <v>0</v>
      </c>
      <c r="T274" s="53">
        <f t="shared" si="38"/>
        <v>617.14285714285711</v>
      </c>
      <c r="U274" s="52">
        <f t="shared" si="39"/>
        <v>0</v>
      </c>
      <c r="V274" s="52">
        <f t="shared" si="40"/>
        <v>0</v>
      </c>
      <c r="W274" s="52">
        <v>0</v>
      </c>
      <c r="X274" s="55">
        <f t="shared" si="41"/>
        <v>46153.968362268512</v>
      </c>
    </row>
    <row r="275" spans="1:24" ht="26.5" hidden="1" x14ac:dyDescent="0.35">
      <c r="A275" s="46">
        <f t="shared" si="42"/>
        <v>46153.968362268512</v>
      </c>
      <c r="B275" s="46"/>
      <c r="C275" s="46"/>
      <c r="D275" s="46"/>
      <c r="E275" s="47" t="s">
        <v>454</v>
      </c>
      <c r="F275" s="82" t="s">
        <v>189</v>
      </c>
      <c r="G275" s="82"/>
      <c r="H275" s="49" t="s">
        <v>561</v>
      </c>
      <c r="I275" s="219" t="s">
        <v>562</v>
      </c>
      <c r="J275" s="51" t="s">
        <v>140</v>
      </c>
      <c r="K275" s="52">
        <v>0</v>
      </c>
      <c r="L275" s="52">
        <v>0</v>
      </c>
      <c r="M275" s="53">
        <v>140</v>
      </c>
      <c r="N275" s="218">
        <v>450</v>
      </c>
      <c r="O275" s="53">
        <v>1</v>
      </c>
      <c r="P275" s="54">
        <f t="shared" si="43"/>
        <v>450</v>
      </c>
      <c r="Q275" s="54"/>
      <c r="R275" s="53">
        <v>450</v>
      </c>
      <c r="S275" s="53">
        <f t="shared" si="37"/>
        <v>0</v>
      </c>
      <c r="T275" s="53">
        <f t="shared" si="38"/>
        <v>617.14285714285711</v>
      </c>
      <c r="U275" s="52">
        <f t="shared" si="39"/>
        <v>0</v>
      </c>
      <c r="V275" s="52">
        <f t="shared" si="40"/>
        <v>0</v>
      </c>
      <c r="W275" s="52">
        <v>0</v>
      </c>
      <c r="X275" s="55">
        <f t="shared" si="41"/>
        <v>46153.968362268512</v>
      </c>
    </row>
    <row r="276" spans="1:24" hidden="1" x14ac:dyDescent="0.35">
      <c r="A276" s="46">
        <f t="shared" si="42"/>
        <v>46153.968362268512</v>
      </c>
      <c r="B276" s="46"/>
      <c r="C276" s="46"/>
      <c r="D276" s="46"/>
      <c r="E276" s="47" t="s">
        <v>43</v>
      </c>
      <c r="F276" s="48" t="s">
        <v>563</v>
      </c>
      <c r="G276" s="48"/>
      <c r="H276" s="49" t="s">
        <v>564</v>
      </c>
      <c r="I276" s="82" t="s">
        <v>565</v>
      </c>
      <c r="J276" s="51" t="s">
        <v>140</v>
      </c>
      <c r="K276" s="52">
        <v>0</v>
      </c>
      <c r="L276" s="52">
        <v>0</v>
      </c>
      <c r="M276" s="53">
        <v>95</v>
      </c>
      <c r="N276" s="54">
        <v>500</v>
      </c>
      <c r="O276" s="53">
        <v>1</v>
      </c>
      <c r="P276" s="54">
        <f t="shared" si="43"/>
        <v>500</v>
      </c>
      <c r="Q276" s="54"/>
      <c r="R276" s="53">
        <v>500</v>
      </c>
      <c r="S276" s="53">
        <f t="shared" si="37"/>
        <v>0</v>
      </c>
      <c r="T276" s="53">
        <f t="shared" si="38"/>
        <v>909.47368421052624</v>
      </c>
      <c r="U276" s="52">
        <f t="shared" si="39"/>
        <v>0</v>
      </c>
      <c r="V276" s="52">
        <f t="shared" si="40"/>
        <v>0</v>
      </c>
      <c r="W276" s="52">
        <v>0</v>
      </c>
      <c r="X276" s="55">
        <f t="shared" si="41"/>
        <v>46153.968362268512</v>
      </c>
    </row>
    <row r="277" spans="1:24" hidden="1" x14ac:dyDescent="0.35">
      <c r="A277" s="46">
        <f t="shared" si="42"/>
        <v>46153.968362268512</v>
      </c>
      <c r="B277" s="46"/>
      <c r="C277" s="46"/>
      <c r="D277" s="46"/>
      <c r="E277" s="47" t="s">
        <v>43</v>
      </c>
      <c r="F277" s="48" t="s">
        <v>179</v>
      </c>
      <c r="G277" s="48"/>
      <c r="H277" s="49" t="s">
        <v>566</v>
      </c>
      <c r="I277" s="220" t="s">
        <v>567</v>
      </c>
      <c r="J277" s="51" t="s">
        <v>140</v>
      </c>
      <c r="K277" s="52">
        <v>0</v>
      </c>
      <c r="L277" s="52">
        <v>0</v>
      </c>
      <c r="M277" s="53">
        <v>95</v>
      </c>
      <c r="N277" s="54">
        <v>1900</v>
      </c>
      <c r="O277" s="53">
        <v>1</v>
      </c>
      <c r="P277" s="54">
        <f t="shared" si="43"/>
        <v>1900</v>
      </c>
      <c r="Q277" s="54"/>
      <c r="R277" s="53">
        <v>1900</v>
      </c>
      <c r="S277" s="53">
        <f t="shared" si="37"/>
        <v>0</v>
      </c>
      <c r="T277" s="53">
        <f t="shared" si="38"/>
        <v>909.47368421052624</v>
      </c>
      <c r="U277" s="52">
        <f t="shared" si="39"/>
        <v>0</v>
      </c>
      <c r="V277" s="52">
        <f t="shared" si="40"/>
        <v>0</v>
      </c>
      <c r="W277" s="52">
        <v>0</v>
      </c>
      <c r="X277" s="55">
        <f t="shared" si="41"/>
        <v>46153.968362268512</v>
      </c>
    </row>
    <row r="278" spans="1:24" ht="26.5" hidden="1" x14ac:dyDescent="0.35">
      <c r="A278" s="46">
        <f t="shared" si="42"/>
        <v>46153.968362268512</v>
      </c>
      <c r="B278" s="46"/>
      <c r="C278" s="46"/>
      <c r="D278" s="46"/>
      <c r="E278" s="47" t="s">
        <v>454</v>
      </c>
      <c r="F278" s="48" t="s">
        <v>568</v>
      </c>
      <c r="G278" s="48"/>
      <c r="H278" s="49" t="s">
        <v>569</v>
      </c>
      <c r="I278" s="82" t="s">
        <v>499</v>
      </c>
      <c r="J278" s="51" t="s">
        <v>140</v>
      </c>
      <c r="K278" s="52">
        <v>0</v>
      </c>
      <c r="L278" s="52">
        <v>0</v>
      </c>
      <c r="M278" s="53">
        <v>106</v>
      </c>
      <c r="N278" s="54">
        <v>1000</v>
      </c>
      <c r="O278" s="53">
        <v>1</v>
      </c>
      <c r="P278" s="54">
        <f t="shared" si="43"/>
        <v>1000</v>
      </c>
      <c r="Q278" s="54"/>
      <c r="R278" s="53">
        <v>1000</v>
      </c>
      <c r="S278" s="53">
        <f t="shared" si="37"/>
        <v>0</v>
      </c>
      <c r="T278" s="53">
        <f t="shared" si="38"/>
        <v>815.09433962264154</v>
      </c>
      <c r="U278" s="52">
        <f t="shared" si="39"/>
        <v>0</v>
      </c>
      <c r="V278" s="52">
        <f t="shared" si="40"/>
        <v>0</v>
      </c>
      <c r="W278" s="52">
        <v>0</v>
      </c>
      <c r="X278" s="55">
        <f t="shared" si="41"/>
        <v>46153.968362268512</v>
      </c>
    </row>
    <row r="279" spans="1:24" ht="26.5" hidden="1" x14ac:dyDescent="0.35">
      <c r="A279" s="46">
        <f t="shared" si="42"/>
        <v>46153.968362268512</v>
      </c>
      <c r="B279" s="46"/>
      <c r="C279" s="46"/>
      <c r="D279" s="46"/>
      <c r="E279" s="47" t="s">
        <v>454</v>
      </c>
      <c r="F279" s="48" t="s">
        <v>570</v>
      </c>
      <c r="G279" s="48"/>
      <c r="H279" s="49" t="s">
        <v>571</v>
      </c>
      <c r="I279" s="82" t="s">
        <v>499</v>
      </c>
      <c r="J279" s="51" t="s">
        <v>140</v>
      </c>
      <c r="K279" s="52">
        <v>0</v>
      </c>
      <c r="L279" s="52">
        <v>0</v>
      </c>
      <c r="M279" s="53">
        <v>106</v>
      </c>
      <c r="N279" s="54">
        <v>2583</v>
      </c>
      <c r="O279" s="53">
        <v>1</v>
      </c>
      <c r="P279" s="54">
        <f t="shared" si="43"/>
        <v>2583</v>
      </c>
      <c r="Q279" s="54"/>
      <c r="R279" s="53">
        <v>2583</v>
      </c>
      <c r="S279" s="53">
        <f t="shared" si="37"/>
        <v>0</v>
      </c>
      <c r="T279" s="53">
        <f t="shared" si="38"/>
        <v>815.09433962264154</v>
      </c>
      <c r="U279" s="52">
        <f t="shared" si="39"/>
        <v>0</v>
      </c>
      <c r="V279" s="52">
        <f t="shared" si="40"/>
        <v>0</v>
      </c>
      <c r="W279" s="52">
        <v>0</v>
      </c>
      <c r="X279" s="55">
        <f t="shared" si="41"/>
        <v>46153.968362268512</v>
      </c>
    </row>
    <row r="280" spans="1:24" hidden="1" x14ac:dyDescent="0.35">
      <c r="A280" s="46">
        <f t="shared" si="42"/>
        <v>46153.968362268512</v>
      </c>
      <c r="B280" s="46"/>
      <c r="C280" s="46"/>
      <c r="D280" s="46"/>
      <c r="E280" s="47" t="s">
        <v>454</v>
      </c>
      <c r="F280" s="61" t="s">
        <v>572</v>
      </c>
      <c r="G280" s="61"/>
      <c r="H280" s="49" t="s">
        <v>573</v>
      </c>
      <c r="I280" s="61" t="s">
        <v>574</v>
      </c>
      <c r="J280" s="51" t="s">
        <v>140</v>
      </c>
      <c r="K280" s="52">
        <v>0</v>
      </c>
      <c r="L280" s="52">
        <v>0</v>
      </c>
      <c r="M280" s="53">
        <v>106</v>
      </c>
      <c r="N280" s="54">
        <v>1134</v>
      </c>
      <c r="O280" s="53">
        <v>1</v>
      </c>
      <c r="P280" s="54">
        <f t="shared" si="43"/>
        <v>1134</v>
      </c>
      <c r="Q280" s="54"/>
      <c r="R280" s="53">
        <v>1134</v>
      </c>
      <c r="S280" s="53">
        <f t="shared" si="37"/>
        <v>0</v>
      </c>
      <c r="T280" s="53">
        <f t="shared" si="38"/>
        <v>815.09433962264154</v>
      </c>
      <c r="U280" s="52">
        <f t="shared" si="39"/>
        <v>0</v>
      </c>
      <c r="V280" s="52">
        <f t="shared" si="40"/>
        <v>0</v>
      </c>
      <c r="W280" s="52">
        <v>0</v>
      </c>
      <c r="X280" s="55">
        <f t="shared" si="41"/>
        <v>46153.968362268512</v>
      </c>
    </row>
    <row r="281" spans="1:24" ht="43.5" hidden="1" x14ac:dyDescent="0.35">
      <c r="A281" s="46">
        <f t="shared" si="42"/>
        <v>46153.968362268512</v>
      </c>
      <c r="B281" s="46"/>
      <c r="C281" s="46"/>
      <c r="D281" s="46"/>
      <c r="E281" s="47" t="s">
        <v>454</v>
      </c>
      <c r="F281" s="61" t="s">
        <v>575</v>
      </c>
      <c r="G281" s="61"/>
      <c r="H281" s="49" t="s">
        <v>576</v>
      </c>
      <c r="I281" s="61" t="s">
        <v>574</v>
      </c>
      <c r="J281" s="51" t="s">
        <v>140</v>
      </c>
      <c r="K281" s="52">
        <v>0</v>
      </c>
      <c r="L281" s="52">
        <v>0</v>
      </c>
      <c r="M281" s="53">
        <v>106</v>
      </c>
      <c r="N281" s="54">
        <v>864</v>
      </c>
      <c r="O281" s="53">
        <v>1</v>
      </c>
      <c r="P281" s="54">
        <f t="shared" si="43"/>
        <v>864</v>
      </c>
      <c r="Q281" s="54"/>
      <c r="R281" s="53">
        <v>864</v>
      </c>
      <c r="S281" s="53">
        <f t="shared" si="37"/>
        <v>0</v>
      </c>
      <c r="T281" s="53">
        <f t="shared" si="38"/>
        <v>815.09433962264154</v>
      </c>
      <c r="U281" s="52">
        <f t="shared" si="39"/>
        <v>0</v>
      </c>
      <c r="V281" s="52">
        <f t="shared" si="40"/>
        <v>0</v>
      </c>
      <c r="W281" s="52">
        <v>0</v>
      </c>
      <c r="X281" s="55">
        <f t="shared" si="41"/>
        <v>46153.968362268512</v>
      </c>
    </row>
    <row r="282" spans="1:24" s="221" customFormat="1" ht="43.5" hidden="1" x14ac:dyDescent="0.35">
      <c r="A282" s="46">
        <f t="shared" si="42"/>
        <v>46153.968362268512</v>
      </c>
      <c r="B282" s="46"/>
      <c r="C282" s="46"/>
      <c r="D282" s="46"/>
      <c r="E282" s="47" t="s">
        <v>454</v>
      </c>
      <c r="F282" s="61" t="s">
        <v>575</v>
      </c>
      <c r="G282" s="61"/>
      <c r="H282" s="59" t="s">
        <v>577</v>
      </c>
      <c r="I282" s="82" t="s">
        <v>499</v>
      </c>
      <c r="J282" s="51" t="s">
        <v>140</v>
      </c>
      <c r="K282" s="52">
        <v>0</v>
      </c>
      <c r="L282" s="52">
        <v>0</v>
      </c>
      <c r="M282" s="53">
        <v>106</v>
      </c>
      <c r="N282" s="54">
        <v>270</v>
      </c>
      <c r="O282" s="53">
        <v>1</v>
      </c>
      <c r="P282" s="54">
        <f t="shared" si="43"/>
        <v>270</v>
      </c>
      <c r="Q282" s="54"/>
      <c r="R282" s="53">
        <v>270</v>
      </c>
      <c r="S282" s="53">
        <f t="shared" si="37"/>
        <v>0</v>
      </c>
      <c r="T282" s="53">
        <f t="shared" si="38"/>
        <v>815.09433962264154</v>
      </c>
      <c r="U282" s="52">
        <f t="shared" si="39"/>
        <v>0</v>
      </c>
      <c r="V282" s="52">
        <f t="shared" si="40"/>
        <v>0</v>
      </c>
      <c r="W282" s="52">
        <v>0</v>
      </c>
      <c r="X282" s="55">
        <f t="shared" si="41"/>
        <v>46153.968362268512</v>
      </c>
    </row>
    <row r="283" spans="1:24" ht="29" hidden="1" x14ac:dyDescent="0.35">
      <c r="A283" s="46">
        <f t="shared" si="42"/>
        <v>46153.968362268512</v>
      </c>
      <c r="B283" s="46"/>
      <c r="C283" s="46"/>
      <c r="D283" s="46"/>
      <c r="E283" s="47" t="s">
        <v>454</v>
      </c>
      <c r="F283" s="61" t="s">
        <v>578</v>
      </c>
      <c r="G283" s="61"/>
      <c r="H283" s="49" t="s">
        <v>579</v>
      </c>
      <c r="I283" s="61" t="s">
        <v>574</v>
      </c>
      <c r="J283" s="51" t="s">
        <v>140</v>
      </c>
      <c r="K283" s="52">
        <v>0</v>
      </c>
      <c r="L283" s="52">
        <v>0</v>
      </c>
      <c r="M283" s="53">
        <v>106</v>
      </c>
      <c r="N283" s="54">
        <v>1200</v>
      </c>
      <c r="O283" s="53">
        <v>1</v>
      </c>
      <c r="P283" s="54">
        <f t="shared" si="43"/>
        <v>1200</v>
      </c>
      <c r="Q283" s="54"/>
      <c r="R283" s="53">
        <v>1200</v>
      </c>
      <c r="S283" s="53">
        <f t="shared" si="37"/>
        <v>0</v>
      </c>
      <c r="T283" s="53">
        <f t="shared" si="38"/>
        <v>815.09433962264154</v>
      </c>
      <c r="U283" s="52">
        <f t="shared" si="39"/>
        <v>0</v>
      </c>
      <c r="V283" s="52">
        <f t="shared" si="40"/>
        <v>0</v>
      </c>
      <c r="W283" s="52">
        <v>0</v>
      </c>
      <c r="X283" s="55">
        <f t="shared" si="41"/>
        <v>46153.968362268512</v>
      </c>
    </row>
    <row r="284" spans="1:24" s="221" customFormat="1" ht="29" hidden="1" x14ac:dyDescent="0.35">
      <c r="A284" s="46">
        <f t="shared" si="42"/>
        <v>46153.968362268512</v>
      </c>
      <c r="B284" s="46"/>
      <c r="C284" s="46"/>
      <c r="D284" s="46"/>
      <c r="E284" s="47" t="s">
        <v>454</v>
      </c>
      <c r="F284" s="56" t="s">
        <v>578</v>
      </c>
      <c r="G284" s="56"/>
      <c r="H284" s="59" t="s">
        <v>580</v>
      </c>
      <c r="I284" s="82" t="s">
        <v>499</v>
      </c>
      <c r="J284" s="51" t="s">
        <v>140</v>
      </c>
      <c r="K284" s="52">
        <v>0</v>
      </c>
      <c r="L284" s="52">
        <v>0</v>
      </c>
      <c r="M284" s="53">
        <v>106</v>
      </c>
      <c r="N284" s="54">
        <v>1000</v>
      </c>
      <c r="O284" s="53">
        <v>1</v>
      </c>
      <c r="P284" s="54">
        <f t="shared" si="43"/>
        <v>1000</v>
      </c>
      <c r="Q284" s="54"/>
      <c r="R284" s="53">
        <v>1000</v>
      </c>
      <c r="S284" s="53">
        <f t="shared" si="37"/>
        <v>0</v>
      </c>
      <c r="T284" s="53">
        <f t="shared" si="38"/>
        <v>815.09433962264154</v>
      </c>
      <c r="U284" s="52">
        <f t="shared" si="39"/>
        <v>0</v>
      </c>
      <c r="V284" s="52">
        <f t="shared" si="40"/>
        <v>0</v>
      </c>
      <c r="W284" s="52">
        <v>0</v>
      </c>
      <c r="X284" s="55">
        <f t="shared" si="41"/>
        <v>46153.968362268512</v>
      </c>
    </row>
    <row r="285" spans="1:24" ht="43.5" hidden="1" x14ac:dyDescent="0.35">
      <c r="A285" s="46">
        <f t="shared" si="42"/>
        <v>46153.968362268512</v>
      </c>
      <c r="B285" s="46"/>
      <c r="C285" s="46"/>
      <c r="D285" s="46"/>
      <c r="E285" s="47" t="s">
        <v>454</v>
      </c>
      <c r="F285" s="61" t="s">
        <v>581</v>
      </c>
      <c r="G285" s="61"/>
      <c r="H285" s="49" t="s">
        <v>582</v>
      </c>
      <c r="I285" s="61" t="s">
        <v>574</v>
      </c>
      <c r="J285" s="51" t="s">
        <v>140</v>
      </c>
      <c r="K285" s="52">
        <v>0</v>
      </c>
      <c r="L285" s="52">
        <v>0</v>
      </c>
      <c r="M285" s="53">
        <v>106</v>
      </c>
      <c r="N285" s="54">
        <v>1134</v>
      </c>
      <c r="O285" s="53">
        <v>1</v>
      </c>
      <c r="P285" s="54">
        <f t="shared" si="43"/>
        <v>1134</v>
      </c>
      <c r="Q285" s="54"/>
      <c r="R285" s="53">
        <v>1134</v>
      </c>
      <c r="S285" s="53">
        <f t="shared" si="37"/>
        <v>0</v>
      </c>
      <c r="T285" s="53">
        <f t="shared" si="38"/>
        <v>815.09433962264154</v>
      </c>
      <c r="U285" s="52">
        <f t="shared" si="39"/>
        <v>0</v>
      </c>
      <c r="V285" s="52">
        <f t="shared" si="40"/>
        <v>0</v>
      </c>
      <c r="W285" s="52">
        <v>0</v>
      </c>
      <c r="X285" s="55">
        <f t="shared" si="41"/>
        <v>46153.968362268512</v>
      </c>
    </row>
    <row r="286" spans="1:24" ht="43.5" hidden="1" x14ac:dyDescent="0.35">
      <c r="A286" s="46">
        <f t="shared" si="42"/>
        <v>46153.968362268512</v>
      </c>
      <c r="B286" s="46"/>
      <c r="C286" s="46"/>
      <c r="D286" s="46"/>
      <c r="E286" s="47" t="s">
        <v>454</v>
      </c>
      <c r="F286" s="61" t="s">
        <v>583</v>
      </c>
      <c r="G286" s="61"/>
      <c r="H286" s="49" t="s">
        <v>584</v>
      </c>
      <c r="I286" s="61" t="s">
        <v>574</v>
      </c>
      <c r="J286" s="51" t="s">
        <v>140</v>
      </c>
      <c r="K286" s="52">
        <v>0</v>
      </c>
      <c r="L286" s="52">
        <v>0</v>
      </c>
      <c r="M286" s="53">
        <v>106</v>
      </c>
      <c r="N286" s="54">
        <v>702</v>
      </c>
      <c r="O286" s="53">
        <v>1</v>
      </c>
      <c r="P286" s="54">
        <f t="shared" si="43"/>
        <v>702</v>
      </c>
      <c r="Q286" s="54"/>
      <c r="R286" s="53">
        <v>702</v>
      </c>
      <c r="S286" s="53">
        <f t="shared" si="37"/>
        <v>0</v>
      </c>
      <c r="T286" s="53">
        <f t="shared" si="38"/>
        <v>815.09433962264154</v>
      </c>
      <c r="U286" s="52">
        <f t="shared" si="39"/>
        <v>0</v>
      </c>
      <c r="V286" s="52">
        <f t="shared" si="40"/>
        <v>0</v>
      </c>
      <c r="W286" s="52">
        <v>0</v>
      </c>
      <c r="X286" s="55">
        <f t="shared" si="41"/>
        <v>46153.968362268512</v>
      </c>
    </row>
    <row r="287" spans="1:24" s="221" customFormat="1" ht="43.5" hidden="1" x14ac:dyDescent="0.35">
      <c r="A287" s="46">
        <f t="shared" si="42"/>
        <v>46153.968362268512</v>
      </c>
      <c r="B287" s="46"/>
      <c r="C287" s="46"/>
      <c r="D287" s="46"/>
      <c r="E287" s="47" t="s">
        <v>454</v>
      </c>
      <c r="F287" s="61" t="s">
        <v>583</v>
      </c>
      <c r="G287" s="61"/>
      <c r="H287" s="59" t="s">
        <v>585</v>
      </c>
      <c r="I287" s="82" t="s">
        <v>499</v>
      </c>
      <c r="J287" s="51" t="s">
        <v>140</v>
      </c>
      <c r="K287" s="52">
        <v>0</v>
      </c>
      <c r="L287" s="52">
        <v>0</v>
      </c>
      <c r="M287" s="53">
        <v>106</v>
      </c>
      <c r="N287" s="54">
        <v>432</v>
      </c>
      <c r="O287" s="53">
        <v>1</v>
      </c>
      <c r="P287" s="54">
        <f t="shared" si="43"/>
        <v>432</v>
      </c>
      <c r="Q287" s="54"/>
      <c r="R287" s="53">
        <v>432</v>
      </c>
      <c r="S287" s="53">
        <f t="shared" si="37"/>
        <v>0</v>
      </c>
      <c r="T287" s="53">
        <f t="shared" si="38"/>
        <v>815.09433962264154</v>
      </c>
      <c r="U287" s="52">
        <f t="shared" si="39"/>
        <v>0</v>
      </c>
      <c r="V287" s="52">
        <f t="shared" si="40"/>
        <v>0</v>
      </c>
      <c r="W287" s="52">
        <v>0</v>
      </c>
      <c r="X287" s="55">
        <f t="shared" si="41"/>
        <v>46153.968362268512</v>
      </c>
    </row>
    <row r="288" spans="1:24" ht="43.5" hidden="1" x14ac:dyDescent="0.35">
      <c r="A288" s="46">
        <f t="shared" si="42"/>
        <v>46153.968362268512</v>
      </c>
      <c r="B288" s="46"/>
      <c r="C288" s="46"/>
      <c r="D288" s="46"/>
      <c r="E288" s="47" t="s">
        <v>454</v>
      </c>
      <c r="F288" s="61" t="s">
        <v>586</v>
      </c>
      <c r="G288" s="61"/>
      <c r="H288" s="49" t="s">
        <v>587</v>
      </c>
      <c r="I288" s="61" t="s">
        <v>574</v>
      </c>
      <c r="J288" s="51" t="s">
        <v>140</v>
      </c>
      <c r="K288" s="52">
        <v>0</v>
      </c>
      <c r="L288" s="52">
        <v>0</v>
      </c>
      <c r="M288" s="53">
        <v>106</v>
      </c>
      <c r="N288" s="54">
        <v>594</v>
      </c>
      <c r="O288" s="53">
        <v>1</v>
      </c>
      <c r="P288" s="54">
        <f t="shared" si="43"/>
        <v>594</v>
      </c>
      <c r="Q288" s="54"/>
      <c r="R288" s="53">
        <v>594</v>
      </c>
      <c r="S288" s="53">
        <f t="shared" si="37"/>
        <v>0</v>
      </c>
      <c r="T288" s="53">
        <f t="shared" si="38"/>
        <v>815.09433962264154</v>
      </c>
      <c r="U288" s="52">
        <f t="shared" si="39"/>
        <v>0</v>
      </c>
      <c r="V288" s="52">
        <f t="shared" si="40"/>
        <v>0</v>
      </c>
      <c r="W288" s="52">
        <v>0</v>
      </c>
      <c r="X288" s="55">
        <f t="shared" si="41"/>
        <v>46153.968362268512</v>
      </c>
    </row>
    <row r="289" spans="1:24" s="221" customFormat="1" ht="43.5" hidden="1" x14ac:dyDescent="0.35">
      <c r="A289" s="46">
        <f t="shared" si="42"/>
        <v>46153.968362268512</v>
      </c>
      <c r="B289" s="46"/>
      <c r="C289" s="46"/>
      <c r="D289" s="46"/>
      <c r="E289" s="47" t="s">
        <v>454</v>
      </c>
      <c r="F289" s="61" t="s">
        <v>586</v>
      </c>
      <c r="G289" s="61"/>
      <c r="H289" s="59" t="s">
        <v>588</v>
      </c>
      <c r="I289" s="82" t="s">
        <v>499</v>
      </c>
      <c r="J289" s="51" t="s">
        <v>140</v>
      </c>
      <c r="K289" s="52">
        <v>0</v>
      </c>
      <c r="L289" s="52">
        <v>0</v>
      </c>
      <c r="M289" s="53">
        <v>106</v>
      </c>
      <c r="N289" s="54">
        <v>540</v>
      </c>
      <c r="O289" s="53">
        <v>1</v>
      </c>
      <c r="P289" s="54">
        <f t="shared" si="43"/>
        <v>540</v>
      </c>
      <c r="Q289" s="54"/>
      <c r="R289" s="53">
        <v>540</v>
      </c>
      <c r="S289" s="53">
        <f t="shared" si="37"/>
        <v>0</v>
      </c>
      <c r="T289" s="53">
        <f t="shared" si="38"/>
        <v>815.09433962264154</v>
      </c>
      <c r="U289" s="52">
        <f t="shared" si="39"/>
        <v>0</v>
      </c>
      <c r="V289" s="52">
        <f t="shared" si="40"/>
        <v>0</v>
      </c>
      <c r="W289" s="52">
        <v>0</v>
      </c>
      <c r="X289" s="55">
        <f t="shared" si="41"/>
        <v>46153.968362268512</v>
      </c>
    </row>
    <row r="290" spans="1:24" s="221" customFormat="1" ht="29" hidden="1" x14ac:dyDescent="0.35">
      <c r="A290" s="46">
        <f t="shared" si="42"/>
        <v>46153.968362268512</v>
      </c>
      <c r="B290" s="46"/>
      <c r="C290" s="46"/>
      <c r="D290" s="46"/>
      <c r="E290" s="47" t="s">
        <v>454</v>
      </c>
      <c r="F290" s="48" t="s">
        <v>513</v>
      </c>
      <c r="G290" s="48"/>
      <c r="H290" s="49" t="s">
        <v>589</v>
      </c>
      <c r="I290" s="222" t="s">
        <v>222</v>
      </c>
      <c r="J290" s="222" t="s">
        <v>140</v>
      </c>
      <c r="K290" s="52">
        <v>0</v>
      </c>
      <c r="L290" s="52">
        <v>0</v>
      </c>
      <c r="M290" s="53">
        <v>100</v>
      </c>
      <c r="N290" s="54">
        <v>1000</v>
      </c>
      <c r="O290" s="53">
        <v>1</v>
      </c>
      <c r="P290" s="54">
        <f t="shared" si="43"/>
        <v>1000</v>
      </c>
      <c r="Q290" s="54"/>
      <c r="R290" s="53">
        <v>1000</v>
      </c>
      <c r="S290" s="53">
        <f t="shared" si="37"/>
        <v>0</v>
      </c>
      <c r="T290" s="53">
        <f t="shared" si="38"/>
        <v>864</v>
      </c>
      <c r="U290" s="52">
        <f t="shared" si="39"/>
        <v>0</v>
      </c>
      <c r="V290" s="52">
        <f t="shared" si="40"/>
        <v>0</v>
      </c>
      <c r="W290" s="52">
        <v>0</v>
      </c>
      <c r="X290" s="55">
        <f t="shared" si="41"/>
        <v>46153.968362268512</v>
      </c>
    </row>
    <row r="291" spans="1:24" s="221" customFormat="1" ht="29" hidden="1" x14ac:dyDescent="0.35">
      <c r="A291" s="46">
        <f t="shared" si="42"/>
        <v>46153.968362268512</v>
      </c>
      <c r="B291" s="46"/>
      <c r="C291" s="46"/>
      <c r="D291" s="46"/>
      <c r="E291" s="47" t="s">
        <v>454</v>
      </c>
      <c r="F291" s="48" t="s">
        <v>271</v>
      </c>
      <c r="G291" s="48"/>
      <c r="H291" s="86" t="s">
        <v>590</v>
      </c>
      <c r="I291" s="82" t="s">
        <v>562</v>
      </c>
      <c r="J291" s="51" t="s">
        <v>140</v>
      </c>
      <c r="K291" s="52">
        <v>0</v>
      </c>
      <c r="L291" s="52">
        <v>0</v>
      </c>
      <c r="M291" s="53">
        <v>140</v>
      </c>
      <c r="N291" s="54">
        <v>500</v>
      </c>
      <c r="O291" s="53">
        <v>1</v>
      </c>
      <c r="P291" s="54">
        <f t="shared" si="43"/>
        <v>500</v>
      </c>
      <c r="Q291" s="54"/>
      <c r="R291" s="53">
        <v>500</v>
      </c>
      <c r="S291" s="53">
        <f t="shared" si="37"/>
        <v>0</v>
      </c>
      <c r="T291" s="53">
        <f t="shared" si="38"/>
        <v>617.14285714285711</v>
      </c>
      <c r="U291" s="52">
        <f t="shared" si="39"/>
        <v>0</v>
      </c>
      <c r="V291" s="52">
        <f t="shared" si="40"/>
        <v>0</v>
      </c>
      <c r="W291" s="52">
        <v>0</v>
      </c>
      <c r="X291" s="55">
        <f t="shared" si="41"/>
        <v>46153.968362268512</v>
      </c>
    </row>
    <row r="292" spans="1:24" s="221" customFormat="1" hidden="1" x14ac:dyDescent="0.35">
      <c r="A292" s="46">
        <f t="shared" si="42"/>
        <v>46153.968362268512</v>
      </c>
      <c r="B292" s="46"/>
      <c r="C292" s="46"/>
      <c r="D292" s="46"/>
      <c r="E292" s="119" t="s">
        <v>454</v>
      </c>
      <c r="F292" s="48" t="s">
        <v>591</v>
      </c>
      <c r="G292" s="48"/>
      <c r="H292" s="49" t="s">
        <v>592</v>
      </c>
      <c r="I292" s="71" t="s">
        <v>351</v>
      </c>
      <c r="J292" s="100" t="s">
        <v>140</v>
      </c>
      <c r="K292" s="84">
        <v>0</v>
      </c>
      <c r="L292" s="84">
        <v>0</v>
      </c>
      <c r="M292" s="83">
        <v>65</v>
      </c>
      <c r="N292" s="223">
        <v>500</v>
      </c>
      <c r="O292" s="83">
        <v>1</v>
      </c>
      <c r="P292" s="223">
        <f t="shared" si="43"/>
        <v>500</v>
      </c>
      <c r="Q292" s="223"/>
      <c r="R292" s="83">
        <v>500</v>
      </c>
      <c r="S292" s="83">
        <f t="shared" si="37"/>
        <v>0</v>
      </c>
      <c r="T292" s="83">
        <f t="shared" si="38"/>
        <v>1329.2307692307693</v>
      </c>
      <c r="U292" s="84">
        <f t="shared" si="39"/>
        <v>0</v>
      </c>
      <c r="V292" s="84">
        <f t="shared" si="40"/>
        <v>0</v>
      </c>
      <c r="W292" s="84">
        <v>0</v>
      </c>
      <c r="X292" s="55">
        <f t="shared" si="41"/>
        <v>46153.968362268512</v>
      </c>
    </row>
    <row r="293" spans="1:24" s="221" customFormat="1" ht="26.5" hidden="1" x14ac:dyDescent="0.35">
      <c r="A293" s="46">
        <f t="shared" si="42"/>
        <v>46153.968362268512</v>
      </c>
      <c r="B293" s="46"/>
      <c r="C293" s="46"/>
      <c r="D293" s="46"/>
      <c r="E293" s="47" t="s">
        <v>454</v>
      </c>
      <c r="F293" s="82" t="s">
        <v>593</v>
      </c>
      <c r="G293" s="82"/>
      <c r="H293" s="107" t="s">
        <v>594</v>
      </c>
      <c r="I293" s="82" t="s">
        <v>499</v>
      </c>
      <c r="J293" s="51" t="s">
        <v>140</v>
      </c>
      <c r="K293" s="91">
        <v>0</v>
      </c>
      <c r="L293" s="91">
        <v>0</v>
      </c>
      <c r="M293" s="92">
        <v>106</v>
      </c>
      <c r="N293" s="94">
        <v>3750</v>
      </c>
      <c r="O293" s="92">
        <v>1</v>
      </c>
      <c r="P293" s="94">
        <f t="shared" si="43"/>
        <v>3750</v>
      </c>
      <c r="Q293" s="94"/>
      <c r="R293" s="92">
        <v>3750</v>
      </c>
      <c r="S293" s="92">
        <f t="shared" si="37"/>
        <v>0</v>
      </c>
      <c r="T293" s="92">
        <f t="shared" si="38"/>
        <v>815.09433962264154</v>
      </c>
      <c r="U293" s="91">
        <f t="shared" si="39"/>
        <v>0</v>
      </c>
      <c r="V293" s="91">
        <f t="shared" si="40"/>
        <v>0</v>
      </c>
      <c r="W293" s="91">
        <v>0</v>
      </c>
      <c r="X293" s="55">
        <f t="shared" si="41"/>
        <v>46153.968362268512</v>
      </c>
    </row>
    <row r="294" spans="1:24" s="221" customFormat="1" hidden="1" x14ac:dyDescent="0.35">
      <c r="A294" s="46">
        <f t="shared" si="42"/>
        <v>46153.968362268512</v>
      </c>
      <c r="B294" s="46"/>
      <c r="C294" s="46"/>
      <c r="D294" s="46"/>
      <c r="E294" s="47" t="s">
        <v>454</v>
      </c>
      <c r="F294" s="69" t="s">
        <v>595</v>
      </c>
      <c r="G294" s="69"/>
      <c r="H294" s="98" t="s">
        <v>596</v>
      </c>
      <c r="I294" s="97" t="s">
        <v>597</v>
      </c>
      <c r="J294" s="51" t="s">
        <v>140</v>
      </c>
      <c r="K294" s="91">
        <v>0</v>
      </c>
      <c r="L294" s="91">
        <v>0</v>
      </c>
      <c r="M294" s="92">
        <v>100</v>
      </c>
      <c r="N294" s="94">
        <v>15400</v>
      </c>
      <c r="O294" s="92">
        <v>1</v>
      </c>
      <c r="P294" s="94">
        <f t="shared" si="43"/>
        <v>15400</v>
      </c>
      <c r="Q294" s="94"/>
      <c r="R294" s="92">
        <v>15400</v>
      </c>
      <c r="S294" s="92">
        <f t="shared" si="37"/>
        <v>0</v>
      </c>
      <c r="T294" s="92">
        <f t="shared" si="38"/>
        <v>864</v>
      </c>
      <c r="U294" s="91">
        <f t="shared" si="39"/>
        <v>0</v>
      </c>
      <c r="V294" s="91">
        <f t="shared" si="40"/>
        <v>0</v>
      </c>
      <c r="W294" s="91">
        <v>0</v>
      </c>
      <c r="X294" s="55">
        <f t="shared" si="41"/>
        <v>46153.968362268512</v>
      </c>
    </row>
    <row r="295" spans="1:24" ht="26.5" hidden="1" x14ac:dyDescent="0.35">
      <c r="A295" s="46">
        <f t="shared" si="42"/>
        <v>46153.968362268512</v>
      </c>
      <c r="B295" s="46"/>
      <c r="C295" s="46"/>
      <c r="D295" s="46"/>
      <c r="E295" s="47" t="s">
        <v>454</v>
      </c>
      <c r="F295" s="82" t="s">
        <v>598</v>
      </c>
      <c r="G295" s="82"/>
      <c r="H295" s="224" t="s">
        <v>599</v>
      </c>
      <c r="I295" s="82" t="s">
        <v>499</v>
      </c>
      <c r="J295" s="51" t="s">
        <v>140</v>
      </c>
      <c r="K295" s="91">
        <v>0</v>
      </c>
      <c r="L295" s="91">
        <v>0</v>
      </c>
      <c r="M295" s="92">
        <v>106</v>
      </c>
      <c r="N295" s="94">
        <v>1000</v>
      </c>
      <c r="O295" s="92">
        <v>1</v>
      </c>
      <c r="P295" s="94">
        <f t="shared" si="43"/>
        <v>1000</v>
      </c>
      <c r="Q295" s="94"/>
      <c r="R295" s="92">
        <v>1000</v>
      </c>
      <c r="S295" s="92">
        <f t="shared" si="37"/>
        <v>0</v>
      </c>
      <c r="T295" s="92">
        <f t="shared" si="38"/>
        <v>815.09433962264154</v>
      </c>
      <c r="U295" s="91">
        <f t="shared" si="39"/>
        <v>0</v>
      </c>
      <c r="V295" s="91">
        <f t="shared" si="40"/>
        <v>0</v>
      </c>
      <c r="W295" s="91">
        <v>0</v>
      </c>
      <c r="X295" s="55">
        <f t="shared" si="41"/>
        <v>46153.968362268512</v>
      </c>
    </row>
    <row r="296" spans="1:24" ht="26.5" hidden="1" x14ac:dyDescent="0.35">
      <c r="A296" s="46">
        <f t="shared" si="42"/>
        <v>46153.968362268512</v>
      </c>
      <c r="B296" s="46"/>
      <c r="C296" s="46"/>
      <c r="D296" s="46"/>
      <c r="E296" s="47" t="s">
        <v>454</v>
      </c>
      <c r="F296" s="82" t="s">
        <v>600</v>
      </c>
      <c r="G296" s="82"/>
      <c r="H296" s="98" t="s">
        <v>601</v>
      </c>
      <c r="I296" s="85" t="s">
        <v>602</v>
      </c>
      <c r="J296" s="100" t="s">
        <v>140</v>
      </c>
      <c r="K296" s="91">
        <v>0</v>
      </c>
      <c r="L296" s="91">
        <v>0</v>
      </c>
      <c r="M296" s="92">
        <v>70</v>
      </c>
      <c r="N296" s="94">
        <v>500</v>
      </c>
      <c r="O296" s="92">
        <v>1</v>
      </c>
      <c r="P296" s="94">
        <f t="shared" si="43"/>
        <v>500</v>
      </c>
      <c r="Q296" s="94"/>
      <c r="R296" s="102">
        <v>500</v>
      </c>
      <c r="S296" s="92">
        <f t="shared" si="37"/>
        <v>0</v>
      </c>
      <c r="T296" s="102">
        <f t="shared" si="38"/>
        <v>1234.2857142857142</v>
      </c>
      <c r="U296" s="101">
        <f t="shared" si="39"/>
        <v>0</v>
      </c>
      <c r="V296" s="101">
        <f t="shared" si="40"/>
        <v>0</v>
      </c>
      <c r="W296" s="101">
        <v>0</v>
      </c>
      <c r="X296" s="55">
        <f t="shared" si="41"/>
        <v>46153.968362268512</v>
      </c>
    </row>
    <row r="297" spans="1:24" hidden="1" x14ac:dyDescent="0.35">
      <c r="A297" s="46">
        <f t="shared" si="42"/>
        <v>46153.968362268512</v>
      </c>
      <c r="B297" s="46"/>
      <c r="C297" s="46"/>
      <c r="D297" s="46"/>
      <c r="E297" s="47" t="s">
        <v>454</v>
      </c>
      <c r="F297" s="69" t="s">
        <v>603</v>
      </c>
      <c r="G297" s="69"/>
      <c r="H297" s="98" t="s">
        <v>604</v>
      </c>
      <c r="I297" s="97" t="s">
        <v>605</v>
      </c>
      <c r="J297" s="51" t="s">
        <v>140</v>
      </c>
      <c r="K297" s="91">
        <v>0</v>
      </c>
      <c r="L297" s="91">
        <v>0</v>
      </c>
      <c r="M297" s="92">
        <v>100</v>
      </c>
      <c r="N297" s="94">
        <v>8000</v>
      </c>
      <c r="O297" s="92">
        <v>1</v>
      </c>
      <c r="P297" s="94">
        <f t="shared" si="43"/>
        <v>8000</v>
      </c>
      <c r="Q297" s="94"/>
      <c r="R297" s="92">
        <v>8000</v>
      </c>
      <c r="S297" s="92">
        <f t="shared" si="37"/>
        <v>0</v>
      </c>
      <c r="T297" s="92">
        <f t="shared" si="38"/>
        <v>864</v>
      </c>
      <c r="U297" s="91">
        <f t="shared" si="39"/>
        <v>0</v>
      </c>
      <c r="V297" s="91">
        <f t="shared" si="40"/>
        <v>0</v>
      </c>
      <c r="W297" s="225">
        <v>0</v>
      </c>
      <c r="X297" s="55">
        <f t="shared" si="41"/>
        <v>46153.968362268512</v>
      </c>
    </row>
    <row r="298" spans="1:24" ht="26.5" hidden="1" x14ac:dyDescent="0.35">
      <c r="A298" s="46">
        <f t="shared" si="42"/>
        <v>46153.968362268512</v>
      </c>
      <c r="B298" s="46"/>
      <c r="C298" s="46"/>
      <c r="D298" s="46"/>
      <c r="E298" s="47" t="s">
        <v>454</v>
      </c>
      <c r="F298" s="82" t="s">
        <v>606</v>
      </c>
      <c r="G298" s="82"/>
      <c r="H298" s="224" t="s">
        <v>607</v>
      </c>
      <c r="I298" s="82" t="s">
        <v>499</v>
      </c>
      <c r="J298" s="51" t="s">
        <v>140</v>
      </c>
      <c r="K298" s="91">
        <v>0</v>
      </c>
      <c r="L298" s="91">
        <v>0</v>
      </c>
      <c r="M298" s="92">
        <v>106</v>
      </c>
      <c r="N298" s="94">
        <v>1000</v>
      </c>
      <c r="O298" s="92">
        <v>1</v>
      </c>
      <c r="P298" s="94">
        <f t="shared" si="43"/>
        <v>1000</v>
      </c>
      <c r="Q298" s="94"/>
      <c r="R298" s="92">
        <v>1000</v>
      </c>
      <c r="S298" s="92">
        <f t="shared" si="37"/>
        <v>0</v>
      </c>
      <c r="T298" s="92">
        <f t="shared" si="38"/>
        <v>815.09433962264154</v>
      </c>
      <c r="U298" s="91">
        <f t="shared" si="39"/>
        <v>0</v>
      </c>
      <c r="V298" s="91">
        <f t="shared" si="40"/>
        <v>0</v>
      </c>
      <c r="W298" s="91">
        <v>0</v>
      </c>
      <c r="X298" s="55">
        <f t="shared" si="41"/>
        <v>46153.968362268512</v>
      </c>
    </row>
    <row r="299" spans="1:24" ht="26.5" hidden="1" x14ac:dyDescent="0.35">
      <c r="A299" s="46">
        <f t="shared" si="42"/>
        <v>46153.968362268512</v>
      </c>
      <c r="B299" s="46"/>
      <c r="C299" s="46"/>
      <c r="D299" s="46"/>
      <c r="E299" s="47" t="s">
        <v>454</v>
      </c>
      <c r="F299" s="82" t="s">
        <v>608</v>
      </c>
      <c r="G299" s="82"/>
      <c r="H299" s="224" t="s">
        <v>609</v>
      </c>
      <c r="I299" s="82" t="s">
        <v>499</v>
      </c>
      <c r="J299" s="51" t="s">
        <v>140</v>
      </c>
      <c r="K299" s="91">
        <v>0</v>
      </c>
      <c r="L299" s="91">
        <v>0</v>
      </c>
      <c r="M299" s="92">
        <v>106</v>
      </c>
      <c r="N299" s="94">
        <v>1000</v>
      </c>
      <c r="O299" s="92">
        <v>1</v>
      </c>
      <c r="P299" s="94">
        <f t="shared" si="43"/>
        <v>1000</v>
      </c>
      <c r="Q299" s="94"/>
      <c r="R299" s="92">
        <v>1000</v>
      </c>
      <c r="S299" s="92">
        <f t="shared" si="37"/>
        <v>0</v>
      </c>
      <c r="T299" s="92">
        <f t="shared" si="38"/>
        <v>815.09433962264154</v>
      </c>
      <c r="U299" s="91">
        <f t="shared" si="39"/>
        <v>0</v>
      </c>
      <c r="V299" s="91">
        <f t="shared" si="40"/>
        <v>0</v>
      </c>
      <c r="W299" s="91">
        <v>0</v>
      </c>
      <c r="X299" s="55">
        <f t="shared" si="41"/>
        <v>46153.968362268512</v>
      </c>
    </row>
    <row r="300" spans="1:24" hidden="1" x14ac:dyDescent="0.35">
      <c r="A300" s="46">
        <f t="shared" si="42"/>
        <v>46153.968362268512</v>
      </c>
      <c r="B300" s="46"/>
      <c r="C300" s="46"/>
      <c r="D300" s="46"/>
      <c r="E300" s="119" t="s">
        <v>454</v>
      </c>
      <c r="F300" s="82" t="s">
        <v>610</v>
      </c>
      <c r="G300" s="82"/>
      <c r="H300" s="98" t="s">
        <v>611</v>
      </c>
      <c r="I300" s="99" t="s">
        <v>97</v>
      </c>
      <c r="J300" s="51" t="s">
        <v>140</v>
      </c>
      <c r="K300" s="91">
        <v>0</v>
      </c>
      <c r="L300" s="91">
        <v>0</v>
      </c>
      <c r="M300" s="92">
        <v>110</v>
      </c>
      <c r="N300" s="94">
        <v>4000</v>
      </c>
      <c r="O300" s="92">
        <v>1</v>
      </c>
      <c r="P300" s="94">
        <f t="shared" si="43"/>
        <v>4000</v>
      </c>
      <c r="Q300" s="94"/>
      <c r="R300" s="92">
        <v>4000</v>
      </c>
      <c r="S300" s="92">
        <f t="shared" si="37"/>
        <v>0</v>
      </c>
      <c r="T300" s="92">
        <f t="shared" si="38"/>
        <v>785.4545454545455</v>
      </c>
      <c r="U300" s="91">
        <f t="shared" si="39"/>
        <v>0</v>
      </c>
      <c r="V300" s="91">
        <f t="shared" si="40"/>
        <v>0</v>
      </c>
      <c r="W300" s="84">
        <v>0</v>
      </c>
      <c r="X300" s="55">
        <f t="shared" si="41"/>
        <v>46153.968362268512</v>
      </c>
    </row>
    <row r="301" spans="1:24" hidden="1" x14ac:dyDescent="0.35">
      <c r="A301" s="46">
        <f t="shared" si="42"/>
        <v>46153.968362268512</v>
      </c>
      <c r="B301" s="46"/>
      <c r="C301" s="46"/>
      <c r="D301" s="46"/>
      <c r="E301" s="119" t="s">
        <v>454</v>
      </c>
      <c r="F301" s="82" t="s">
        <v>612</v>
      </c>
      <c r="G301" s="82"/>
      <c r="H301" s="98" t="s">
        <v>613</v>
      </c>
      <c r="I301" s="99" t="s">
        <v>97</v>
      </c>
      <c r="J301" s="51" t="s">
        <v>140</v>
      </c>
      <c r="K301" s="91">
        <v>0</v>
      </c>
      <c r="L301" s="91">
        <v>0</v>
      </c>
      <c r="M301" s="92">
        <v>110</v>
      </c>
      <c r="N301" s="94">
        <v>500</v>
      </c>
      <c r="O301" s="92">
        <v>1</v>
      </c>
      <c r="P301" s="94">
        <f t="shared" si="43"/>
        <v>500</v>
      </c>
      <c r="Q301" s="94"/>
      <c r="R301" s="92">
        <v>500</v>
      </c>
      <c r="S301" s="92">
        <f t="shared" si="37"/>
        <v>0</v>
      </c>
      <c r="T301" s="92">
        <f t="shared" si="38"/>
        <v>785.4545454545455</v>
      </c>
      <c r="U301" s="91">
        <f t="shared" si="39"/>
        <v>0</v>
      </c>
      <c r="V301" s="91">
        <f t="shared" si="40"/>
        <v>0</v>
      </c>
      <c r="W301" s="84">
        <v>0</v>
      </c>
      <c r="X301" s="55">
        <f t="shared" si="41"/>
        <v>46153.968362268512</v>
      </c>
    </row>
    <row r="302" spans="1:24" ht="26.5" hidden="1" x14ac:dyDescent="0.35">
      <c r="A302" s="46">
        <f t="shared" si="42"/>
        <v>46153.968362268512</v>
      </c>
      <c r="B302" s="46"/>
      <c r="C302" s="46"/>
      <c r="D302" s="46"/>
      <c r="E302" s="47" t="s">
        <v>454</v>
      </c>
      <c r="F302" s="69" t="s">
        <v>614</v>
      </c>
      <c r="G302" s="69"/>
      <c r="H302" s="98" t="s">
        <v>615</v>
      </c>
      <c r="I302" s="97" t="s">
        <v>616</v>
      </c>
      <c r="J302" s="51" t="s">
        <v>140</v>
      </c>
      <c r="K302" s="91">
        <v>0</v>
      </c>
      <c r="L302" s="91">
        <v>0</v>
      </c>
      <c r="M302" s="92">
        <v>100</v>
      </c>
      <c r="N302" s="94">
        <v>200</v>
      </c>
      <c r="O302" s="92">
        <v>1</v>
      </c>
      <c r="P302" s="94">
        <f t="shared" si="43"/>
        <v>200</v>
      </c>
      <c r="Q302" s="94"/>
      <c r="R302" s="92">
        <v>200</v>
      </c>
      <c r="S302" s="92">
        <f t="shared" si="37"/>
        <v>0</v>
      </c>
      <c r="T302" s="92">
        <f t="shared" si="38"/>
        <v>864</v>
      </c>
      <c r="U302" s="91">
        <f t="shared" si="39"/>
        <v>0</v>
      </c>
      <c r="V302" s="91">
        <f t="shared" si="40"/>
        <v>0</v>
      </c>
      <c r="W302" s="91">
        <v>0</v>
      </c>
      <c r="X302" s="55">
        <f t="shared" si="41"/>
        <v>46153.968362268512</v>
      </c>
    </row>
    <row r="303" spans="1:24" ht="26.5" hidden="1" x14ac:dyDescent="0.35">
      <c r="A303" s="46">
        <f t="shared" si="42"/>
        <v>46153.968362268512</v>
      </c>
      <c r="B303" s="46"/>
      <c r="C303" s="46"/>
      <c r="D303" s="46"/>
      <c r="E303" s="47" t="s">
        <v>454</v>
      </c>
      <c r="F303" s="69" t="s">
        <v>614</v>
      </c>
      <c r="G303" s="69"/>
      <c r="H303" s="98" t="s">
        <v>617</v>
      </c>
      <c r="I303" s="97" t="s">
        <v>618</v>
      </c>
      <c r="J303" s="51" t="s">
        <v>140</v>
      </c>
      <c r="K303" s="91">
        <v>0</v>
      </c>
      <c r="L303" s="91">
        <v>0</v>
      </c>
      <c r="M303" s="92">
        <v>100</v>
      </c>
      <c r="N303" s="94">
        <v>150</v>
      </c>
      <c r="O303" s="92">
        <v>1</v>
      </c>
      <c r="P303" s="94">
        <f t="shared" si="43"/>
        <v>150</v>
      </c>
      <c r="Q303" s="94"/>
      <c r="R303" s="92">
        <v>150</v>
      </c>
      <c r="S303" s="92">
        <f t="shared" si="37"/>
        <v>0</v>
      </c>
      <c r="T303" s="92">
        <f t="shared" si="38"/>
        <v>864</v>
      </c>
      <c r="U303" s="91">
        <f t="shared" si="39"/>
        <v>0</v>
      </c>
      <c r="V303" s="91">
        <f t="shared" si="40"/>
        <v>0</v>
      </c>
      <c r="W303" s="91">
        <v>0</v>
      </c>
      <c r="X303" s="55">
        <f t="shared" si="41"/>
        <v>46153.968362268512</v>
      </c>
    </row>
    <row r="304" spans="1:24" ht="26.5" hidden="1" x14ac:dyDescent="0.35">
      <c r="A304" s="46">
        <f t="shared" si="42"/>
        <v>46153.968362268512</v>
      </c>
      <c r="B304" s="46"/>
      <c r="C304" s="46"/>
      <c r="D304" s="46"/>
      <c r="E304" s="47" t="s">
        <v>454</v>
      </c>
      <c r="F304" s="69" t="s">
        <v>614</v>
      </c>
      <c r="G304" s="69"/>
      <c r="H304" s="98" t="s">
        <v>619</v>
      </c>
      <c r="I304" s="97" t="s">
        <v>620</v>
      </c>
      <c r="J304" s="51" t="s">
        <v>140</v>
      </c>
      <c r="K304" s="91">
        <v>0</v>
      </c>
      <c r="L304" s="91">
        <v>0</v>
      </c>
      <c r="M304" s="92">
        <v>100</v>
      </c>
      <c r="N304" s="94">
        <v>150</v>
      </c>
      <c r="O304" s="92">
        <v>1</v>
      </c>
      <c r="P304" s="94">
        <f t="shared" si="43"/>
        <v>150</v>
      </c>
      <c r="Q304" s="94"/>
      <c r="R304" s="92">
        <v>150</v>
      </c>
      <c r="S304" s="92">
        <f t="shared" si="37"/>
        <v>0</v>
      </c>
      <c r="T304" s="92">
        <f t="shared" si="38"/>
        <v>864</v>
      </c>
      <c r="U304" s="91">
        <f t="shared" si="39"/>
        <v>0</v>
      </c>
      <c r="V304" s="91">
        <f t="shared" si="40"/>
        <v>0</v>
      </c>
      <c r="W304" s="91">
        <v>0</v>
      </c>
      <c r="X304" s="55">
        <f t="shared" si="41"/>
        <v>46153.968362268512</v>
      </c>
    </row>
    <row r="305" spans="1:24" ht="26.5" hidden="1" x14ac:dyDescent="0.35">
      <c r="A305" s="46">
        <f t="shared" si="42"/>
        <v>46153.968362268512</v>
      </c>
      <c r="B305" s="46"/>
      <c r="C305" s="46"/>
      <c r="D305" s="46"/>
      <c r="E305" s="47" t="s">
        <v>454</v>
      </c>
      <c r="F305" s="69" t="s">
        <v>621</v>
      </c>
      <c r="G305" s="69"/>
      <c r="H305" s="98" t="s">
        <v>622</v>
      </c>
      <c r="I305" s="97" t="s">
        <v>623</v>
      </c>
      <c r="J305" s="51" t="s">
        <v>140</v>
      </c>
      <c r="K305" s="91">
        <v>0</v>
      </c>
      <c r="L305" s="91">
        <v>0</v>
      </c>
      <c r="M305" s="92">
        <v>100</v>
      </c>
      <c r="N305" s="94">
        <v>3400</v>
      </c>
      <c r="O305" s="92">
        <v>1</v>
      </c>
      <c r="P305" s="94">
        <f t="shared" si="43"/>
        <v>3400</v>
      </c>
      <c r="Q305" s="94"/>
      <c r="R305" s="92">
        <v>3400</v>
      </c>
      <c r="S305" s="92">
        <f t="shared" si="37"/>
        <v>0</v>
      </c>
      <c r="T305" s="92">
        <f t="shared" si="38"/>
        <v>864</v>
      </c>
      <c r="U305" s="91">
        <f t="shared" si="39"/>
        <v>0</v>
      </c>
      <c r="V305" s="91">
        <f t="shared" si="40"/>
        <v>0</v>
      </c>
      <c r="W305" s="91">
        <v>0</v>
      </c>
      <c r="X305" s="55">
        <f t="shared" si="41"/>
        <v>46153.968362268512</v>
      </c>
    </row>
    <row r="306" spans="1:24" ht="26.5" hidden="1" x14ac:dyDescent="0.35">
      <c r="A306" s="46">
        <f t="shared" si="42"/>
        <v>46153.968362268512</v>
      </c>
      <c r="B306" s="46"/>
      <c r="C306" s="46"/>
      <c r="D306" s="46"/>
      <c r="E306" s="47" t="s">
        <v>454</v>
      </c>
      <c r="F306" s="82" t="s">
        <v>624</v>
      </c>
      <c r="G306" s="82"/>
      <c r="H306" s="107" t="s">
        <v>625</v>
      </c>
      <c r="I306" s="82" t="s">
        <v>626</v>
      </c>
      <c r="J306" s="100" t="s">
        <v>140</v>
      </c>
      <c r="K306" s="91">
        <v>0</v>
      </c>
      <c r="L306" s="91">
        <v>0</v>
      </c>
      <c r="M306" s="92">
        <v>100</v>
      </c>
      <c r="N306" s="94">
        <v>1000</v>
      </c>
      <c r="O306" s="92">
        <v>1</v>
      </c>
      <c r="P306" s="94">
        <f t="shared" si="43"/>
        <v>1000</v>
      </c>
      <c r="Q306" s="94"/>
      <c r="R306" s="92">
        <v>1000</v>
      </c>
      <c r="S306" s="92">
        <f t="shared" si="37"/>
        <v>0</v>
      </c>
      <c r="T306" s="102">
        <f t="shared" si="38"/>
        <v>864</v>
      </c>
      <c r="U306" s="101">
        <f t="shared" si="39"/>
        <v>0</v>
      </c>
      <c r="V306" s="101">
        <f t="shared" si="40"/>
        <v>0</v>
      </c>
      <c r="W306" s="101">
        <v>0</v>
      </c>
      <c r="X306" s="55">
        <f t="shared" si="41"/>
        <v>46153.968362268512</v>
      </c>
    </row>
    <row r="307" spans="1:24" ht="26.5" hidden="1" x14ac:dyDescent="0.35">
      <c r="A307" s="46">
        <f t="shared" si="42"/>
        <v>46153.968362268512</v>
      </c>
      <c r="B307" s="46"/>
      <c r="C307" s="46"/>
      <c r="D307" s="46"/>
      <c r="E307" s="47" t="s">
        <v>454</v>
      </c>
      <c r="F307" s="82" t="s">
        <v>624</v>
      </c>
      <c r="G307" s="82"/>
      <c r="H307" s="224" t="s">
        <v>627</v>
      </c>
      <c r="I307" s="82" t="s">
        <v>628</v>
      </c>
      <c r="J307" s="51" t="s">
        <v>140</v>
      </c>
      <c r="K307" s="91">
        <v>0</v>
      </c>
      <c r="L307" s="91">
        <v>0</v>
      </c>
      <c r="M307" s="92">
        <v>106</v>
      </c>
      <c r="N307" s="94">
        <v>1000</v>
      </c>
      <c r="O307" s="92">
        <v>1</v>
      </c>
      <c r="P307" s="94">
        <f t="shared" si="43"/>
        <v>1000</v>
      </c>
      <c r="Q307" s="94"/>
      <c r="R307" s="92">
        <v>1000</v>
      </c>
      <c r="S307" s="92">
        <f t="shared" si="37"/>
        <v>0</v>
      </c>
      <c r="T307" s="92">
        <f t="shared" si="38"/>
        <v>815.09433962264154</v>
      </c>
      <c r="U307" s="91">
        <f t="shared" si="39"/>
        <v>0</v>
      </c>
      <c r="V307" s="91">
        <f t="shared" si="40"/>
        <v>0</v>
      </c>
      <c r="W307" s="91">
        <v>0</v>
      </c>
      <c r="X307" s="55">
        <f t="shared" si="41"/>
        <v>46153.968362268512</v>
      </c>
    </row>
    <row r="308" spans="1:24" ht="26.5" hidden="1" x14ac:dyDescent="0.35">
      <c r="A308" s="46">
        <f t="shared" si="42"/>
        <v>46153.968362268512</v>
      </c>
      <c r="B308" s="46"/>
      <c r="C308" s="46"/>
      <c r="D308" s="46"/>
      <c r="E308" s="47" t="s">
        <v>454</v>
      </c>
      <c r="F308" s="82" t="s">
        <v>177</v>
      </c>
      <c r="G308" s="82"/>
      <c r="H308" s="98" t="s">
        <v>629</v>
      </c>
      <c r="I308" s="219" t="s">
        <v>562</v>
      </c>
      <c r="J308" s="51" t="s">
        <v>140</v>
      </c>
      <c r="K308" s="91">
        <v>0</v>
      </c>
      <c r="L308" s="91">
        <v>0</v>
      </c>
      <c r="M308" s="92">
        <v>140</v>
      </c>
      <c r="N308" s="226">
        <v>550</v>
      </c>
      <c r="O308" s="92">
        <v>1</v>
      </c>
      <c r="P308" s="94">
        <f t="shared" si="43"/>
        <v>550</v>
      </c>
      <c r="Q308" s="94"/>
      <c r="R308" s="92">
        <v>550</v>
      </c>
      <c r="S308" s="92">
        <f t="shared" si="37"/>
        <v>0</v>
      </c>
      <c r="T308" s="92">
        <f t="shared" si="38"/>
        <v>617.14285714285711</v>
      </c>
      <c r="U308" s="91">
        <f t="shared" si="39"/>
        <v>0</v>
      </c>
      <c r="V308" s="91">
        <f t="shared" si="40"/>
        <v>0</v>
      </c>
      <c r="W308" s="91">
        <v>0</v>
      </c>
      <c r="X308" s="55">
        <f t="shared" si="41"/>
        <v>46153.968362268512</v>
      </c>
    </row>
    <row r="309" spans="1:24" ht="26.5" hidden="1" x14ac:dyDescent="0.35">
      <c r="A309" s="46">
        <f t="shared" si="42"/>
        <v>46153.968362268512</v>
      </c>
      <c r="B309" s="46"/>
      <c r="C309" s="46"/>
      <c r="D309" s="46"/>
      <c r="E309" s="47" t="s">
        <v>454</v>
      </c>
      <c r="F309" s="82" t="s">
        <v>177</v>
      </c>
      <c r="G309" s="82"/>
      <c r="H309" s="98" t="s">
        <v>630</v>
      </c>
      <c r="I309" s="219" t="s">
        <v>560</v>
      </c>
      <c r="J309" s="51" t="s">
        <v>140</v>
      </c>
      <c r="K309" s="91">
        <v>0</v>
      </c>
      <c r="L309" s="91">
        <v>0</v>
      </c>
      <c r="M309" s="92">
        <v>140</v>
      </c>
      <c r="N309" s="226">
        <v>200</v>
      </c>
      <c r="O309" s="92">
        <v>1</v>
      </c>
      <c r="P309" s="94">
        <f t="shared" si="43"/>
        <v>200</v>
      </c>
      <c r="Q309" s="94"/>
      <c r="R309" s="92">
        <v>200</v>
      </c>
      <c r="S309" s="92">
        <f t="shared" si="37"/>
        <v>0</v>
      </c>
      <c r="T309" s="92">
        <f t="shared" si="38"/>
        <v>617.14285714285711</v>
      </c>
      <c r="U309" s="91">
        <f t="shared" si="39"/>
        <v>0</v>
      </c>
      <c r="V309" s="91">
        <f t="shared" si="40"/>
        <v>0</v>
      </c>
      <c r="W309" s="91">
        <v>0</v>
      </c>
      <c r="X309" s="55">
        <f t="shared" si="41"/>
        <v>46153.968362268512</v>
      </c>
    </row>
    <row r="310" spans="1:24" ht="26.5" hidden="1" x14ac:dyDescent="0.35">
      <c r="A310" s="46">
        <f t="shared" si="42"/>
        <v>46153.968362268512</v>
      </c>
      <c r="B310" s="46"/>
      <c r="C310" s="46"/>
      <c r="D310" s="46"/>
      <c r="E310" s="47" t="s">
        <v>43</v>
      </c>
      <c r="F310" s="82" t="s">
        <v>631</v>
      </c>
      <c r="G310" s="82"/>
      <c r="H310" s="98" t="s">
        <v>632</v>
      </c>
      <c r="I310" s="82" t="s">
        <v>164</v>
      </c>
      <c r="J310" s="51" t="s">
        <v>140</v>
      </c>
      <c r="K310" s="91">
        <v>0</v>
      </c>
      <c r="L310" s="91">
        <v>0</v>
      </c>
      <c r="M310" s="92">
        <v>120</v>
      </c>
      <c r="N310" s="94">
        <v>1000</v>
      </c>
      <c r="O310" s="92">
        <v>1</v>
      </c>
      <c r="P310" s="94">
        <f t="shared" si="43"/>
        <v>1000</v>
      </c>
      <c r="Q310" s="94"/>
      <c r="R310" s="92">
        <v>1000</v>
      </c>
      <c r="S310" s="92">
        <f t="shared" si="37"/>
        <v>0</v>
      </c>
      <c r="T310" s="92">
        <f t="shared" si="38"/>
        <v>720</v>
      </c>
      <c r="U310" s="91">
        <f t="shared" si="39"/>
        <v>0</v>
      </c>
      <c r="V310" s="91">
        <f t="shared" si="40"/>
        <v>0</v>
      </c>
      <c r="W310" s="91">
        <v>0</v>
      </c>
      <c r="X310" s="55">
        <f t="shared" si="41"/>
        <v>46153.968362268512</v>
      </c>
    </row>
    <row r="311" spans="1:24" ht="26.5" hidden="1" x14ac:dyDescent="0.35">
      <c r="A311" s="46">
        <f t="shared" si="42"/>
        <v>46153.968362268512</v>
      </c>
      <c r="B311" s="46"/>
      <c r="C311" s="46"/>
      <c r="D311" s="46"/>
      <c r="E311" s="47" t="s">
        <v>454</v>
      </c>
      <c r="F311" s="48" t="s">
        <v>633</v>
      </c>
      <c r="G311" s="48"/>
      <c r="H311" s="49" t="s">
        <v>634</v>
      </c>
      <c r="I311" s="82" t="s">
        <v>164</v>
      </c>
      <c r="J311" s="51" t="s">
        <v>140</v>
      </c>
      <c r="K311" s="91">
        <v>0</v>
      </c>
      <c r="L311" s="91">
        <v>0</v>
      </c>
      <c r="M311" s="92">
        <v>120</v>
      </c>
      <c r="N311" s="94">
        <v>2100</v>
      </c>
      <c r="O311" s="92">
        <v>1</v>
      </c>
      <c r="P311" s="94">
        <f t="shared" si="43"/>
        <v>2100</v>
      </c>
      <c r="Q311" s="94"/>
      <c r="R311" s="92">
        <v>2100</v>
      </c>
      <c r="S311" s="92">
        <f t="shared" si="37"/>
        <v>0</v>
      </c>
      <c r="T311" s="92">
        <f t="shared" si="38"/>
        <v>720</v>
      </c>
      <c r="U311" s="91">
        <f t="shared" si="39"/>
        <v>0</v>
      </c>
      <c r="V311" s="91">
        <f t="shared" si="40"/>
        <v>0</v>
      </c>
      <c r="W311" s="91">
        <v>0</v>
      </c>
      <c r="X311" s="55">
        <f t="shared" si="41"/>
        <v>46153.968362268512</v>
      </c>
    </row>
    <row r="312" spans="1:24" ht="26.5" hidden="1" x14ac:dyDescent="0.35">
      <c r="A312" s="46">
        <f t="shared" si="42"/>
        <v>46153.968362268512</v>
      </c>
      <c r="B312" s="46"/>
      <c r="C312" s="46"/>
      <c r="D312" s="46"/>
      <c r="E312" s="119" t="s">
        <v>454</v>
      </c>
      <c r="F312" s="82" t="s">
        <v>501</v>
      </c>
      <c r="G312" s="82"/>
      <c r="H312" s="98" t="s">
        <v>635</v>
      </c>
      <c r="I312" s="71" t="s">
        <v>369</v>
      </c>
      <c r="J312" s="100" t="s">
        <v>140</v>
      </c>
      <c r="K312" s="101">
        <v>0</v>
      </c>
      <c r="L312" s="101">
        <v>0</v>
      </c>
      <c r="M312" s="102">
        <v>67</v>
      </c>
      <c r="N312" s="227">
        <v>630</v>
      </c>
      <c r="O312" s="102">
        <v>1</v>
      </c>
      <c r="P312" s="103">
        <f t="shared" si="43"/>
        <v>630</v>
      </c>
      <c r="Q312" s="103"/>
      <c r="R312" s="102">
        <v>630</v>
      </c>
      <c r="S312" s="102">
        <f t="shared" si="37"/>
        <v>0</v>
      </c>
      <c r="T312" s="102">
        <f t="shared" si="38"/>
        <v>1289.5522388059703</v>
      </c>
      <c r="U312" s="101">
        <f t="shared" si="39"/>
        <v>0</v>
      </c>
      <c r="V312" s="101">
        <f t="shared" si="40"/>
        <v>0</v>
      </c>
      <c r="W312" s="101">
        <v>0</v>
      </c>
      <c r="X312" s="55">
        <f t="shared" si="41"/>
        <v>46153.968362268512</v>
      </c>
    </row>
    <row r="313" spans="1:24" hidden="1" x14ac:dyDescent="0.35">
      <c r="A313" s="46">
        <f t="shared" si="42"/>
        <v>46153.968362268512</v>
      </c>
      <c r="B313" s="46"/>
      <c r="C313" s="46"/>
      <c r="D313" s="46"/>
      <c r="E313" s="119" t="s">
        <v>454</v>
      </c>
      <c r="F313" s="82" t="s">
        <v>636</v>
      </c>
      <c r="G313" s="82"/>
      <c r="H313" s="98" t="s">
        <v>637</v>
      </c>
      <c r="I313" s="71" t="s">
        <v>369</v>
      </c>
      <c r="J313" s="100" t="s">
        <v>283</v>
      </c>
      <c r="K313" s="101">
        <v>0</v>
      </c>
      <c r="L313" s="101">
        <v>0</v>
      </c>
      <c r="M313" s="102">
        <v>67</v>
      </c>
      <c r="N313" s="227">
        <v>1800</v>
      </c>
      <c r="O313" s="102">
        <v>1</v>
      </c>
      <c r="P313" s="103">
        <f t="shared" si="43"/>
        <v>1800</v>
      </c>
      <c r="Q313" s="103"/>
      <c r="R313" s="102">
        <v>1800</v>
      </c>
      <c r="S313" s="102">
        <f t="shared" si="37"/>
        <v>0</v>
      </c>
      <c r="T313" s="102">
        <f t="shared" si="38"/>
        <v>1289.5522388059703</v>
      </c>
      <c r="U313" s="101">
        <f t="shared" si="39"/>
        <v>0</v>
      </c>
      <c r="V313" s="101">
        <f t="shared" si="40"/>
        <v>0</v>
      </c>
      <c r="W313" s="101">
        <v>0</v>
      </c>
      <c r="X313" s="55">
        <f t="shared" si="41"/>
        <v>46153.968362268512</v>
      </c>
    </row>
    <row r="314" spans="1:24" s="118" customFormat="1" ht="26.5" hidden="1" x14ac:dyDescent="0.35">
      <c r="A314" s="46">
        <f t="shared" si="42"/>
        <v>46153.968362268512</v>
      </c>
      <c r="B314" s="46"/>
      <c r="C314" s="46"/>
      <c r="D314" s="46"/>
      <c r="E314" s="47" t="s">
        <v>454</v>
      </c>
      <c r="F314" s="82" t="s">
        <v>638</v>
      </c>
      <c r="G314" s="82"/>
      <c r="H314" s="224" t="s">
        <v>639</v>
      </c>
      <c r="I314" s="82" t="s">
        <v>499</v>
      </c>
      <c r="J314" s="51" t="s">
        <v>140</v>
      </c>
      <c r="K314" s="91">
        <v>0</v>
      </c>
      <c r="L314" s="91">
        <v>0</v>
      </c>
      <c r="M314" s="92">
        <v>106</v>
      </c>
      <c r="N314" s="94">
        <v>862</v>
      </c>
      <c r="O314" s="92">
        <v>1</v>
      </c>
      <c r="P314" s="94">
        <f t="shared" si="43"/>
        <v>862</v>
      </c>
      <c r="Q314" s="94"/>
      <c r="R314" s="92">
        <v>862</v>
      </c>
      <c r="S314" s="92">
        <f t="shared" si="37"/>
        <v>0</v>
      </c>
      <c r="T314" s="92">
        <f t="shared" si="38"/>
        <v>815.09433962264154</v>
      </c>
      <c r="U314" s="91">
        <f t="shared" si="39"/>
        <v>0</v>
      </c>
      <c r="V314" s="91">
        <f t="shared" si="40"/>
        <v>0</v>
      </c>
      <c r="W314" s="91">
        <v>0</v>
      </c>
      <c r="X314" s="55">
        <f t="shared" si="41"/>
        <v>46153.968362268512</v>
      </c>
    </row>
    <row r="315" spans="1:24" s="118" customFormat="1" ht="26.5" hidden="1" x14ac:dyDescent="0.35">
      <c r="A315" s="46">
        <f t="shared" si="42"/>
        <v>46153.968362268512</v>
      </c>
      <c r="B315" s="46"/>
      <c r="C315" s="46"/>
      <c r="D315" s="46"/>
      <c r="E315" s="119" t="s">
        <v>454</v>
      </c>
      <c r="F315" s="82" t="s">
        <v>501</v>
      </c>
      <c r="G315" s="82"/>
      <c r="H315" s="98" t="s">
        <v>640</v>
      </c>
      <c r="I315" s="82" t="s">
        <v>274</v>
      </c>
      <c r="J315" s="100" t="s">
        <v>140</v>
      </c>
      <c r="K315" s="101">
        <v>0</v>
      </c>
      <c r="L315" s="101">
        <v>0</v>
      </c>
      <c r="M315" s="102">
        <v>67</v>
      </c>
      <c r="N315" s="103">
        <v>630</v>
      </c>
      <c r="O315" s="102">
        <v>1</v>
      </c>
      <c r="P315" s="103">
        <f t="shared" si="43"/>
        <v>630</v>
      </c>
      <c r="Q315" s="103"/>
      <c r="R315" s="102">
        <v>630</v>
      </c>
      <c r="S315" s="102">
        <f t="shared" si="37"/>
        <v>0</v>
      </c>
      <c r="T315" s="102">
        <f t="shared" si="38"/>
        <v>1289.5522388059703</v>
      </c>
      <c r="U315" s="101">
        <f t="shared" si="39"/>
        <v>0</v>
      </c>
      <c r="V315" s="101">
        <f t="shared" si="40"/>
        <v>0</v>
      </c>
      <c r="W315" s="101">
        <v>0</v>
      </c>
      <c r="X315" s="55">
        <f t="shared" si="41"/>
        <v>46153.968362268512</v>
      </c>
    </row>
    <row r="316" spans="1:24" s="118" customFormat="1" ht="26.5" hidden="1" x14ac:dyDescent="0.35">
      <c r="A316" s="46">
        <f t="shared" si="42"/>
        <v>46153.968362268512</v>
      </c>
      <c r="B316" s="46"/>
      <c r="C316" s="46"/>
      <c r="D316" s="46"/>
      <c r="E316" s="119" t="s">
        <v>454</v>
      </c>
      <c r="F316" s="82" t="s">
        <v>501</v>
      </c>
      <c r="G316" s="82"/>
      <c r="H316" s="98" t="s">
        <v>641</v>
      </c>
      <c r="I316" s="82" t="s">
        <v>274</v>
      </c>
      <c r="J316" s="100" t="s">
        <v>140</v>
      </c>
      <c r="K316" s="101">
        <v>0</v>
      </c>
      <c r="L316" s="101">
        <v>0</v>
      </c>
      <c r="M316" s="102">
        <v>67</v>
      </c>
      <c r="N316" s="103">
        <v>630</v>
      </c>
      <c r="O316" s="102">
        <v>1</v>
      </c>
      <c r="P316" s="103">
        <f t="shared" si="43"/>
        <v>630</v>
      </c>
      <c r="Q316" s="103"/>
      <c r="R316" s="102">
        <v>630</v>
      </c>
      <c r="S316" s="102">
        <f t="shared" si="37"/>
        <v>0</v>
      </c>
      <c r="T316" s="102">
        <f t="shared" si="38"/>
        <v>1289.5522388059703</v>
      </c>
      <c r="U316" s="101">
        <f t="shared" si="39"/>
        <v>0</v>
      </c>
      <c r="V316" s="101">
        <f t="shared" si="40"/>
        <v>0</v>
      </c>
      <c r="W316" s="101">
        <v>0</v>
      </c>
      <c r="X316" s="55">
        <f t="shared" si="41"/>
        <v>46153.968362268512</v>
      </c>
    </row>
    <row r="317" spans="1:24" s="118" customFormat="1" ht="26.5" hidden="1" x14ac:dyDescent="0.35">
      <c r="A317" s="46">
        <f t="shared" si="42"/>
        <v>46153.968362268512</v>
      </c>
      <c r="B317" s="46"/>
      <c r="C317" s="46"/>
      <c r="D317" s="46"/>
      <c r="E317" s="119" t="s">
        <v>454</v>
      </c>
      <c r="F317" s="82" t="s">
        <v>501</v>
      </c>
      <c r="G317" s="82"/>
      <c r="H317" s="98" t="s">
        <v>642</v>
      </c>
      <c r="I317" s="82" t="s">
        <v>191</v>
      </c>
      <c r="J317" s="100" t="s">
        <v>140</v>
      </c>
      <c r="K317" s="101">
        <v>0</v>
      </c>
      <c r="L317" s="101">
        <v>0</v>
      </c>
      <c r="M317" s="102">
        <v>67</v>
      </c>
      <c r="N317" s="103">
        <v>4200</v>
      </c>
      <c r="O317" s="102">
        <v>1</v>
      </c>
      <c r="P317" s="103">
        <f t="shared" si="43"/>
        <v>4200</v>
      </c>
      <c r="Q317" s="103"/>
      <c r="R317" s="102">
        <v>4200</v>
      </c>
      <c r="S317" s="102">
        <f t="shared" si="37"/>
        <v>0</v>
      </c>
      <c r="T317" s="102">
        <f t="shared" si="38"/>
        <v>1289.5522388059703</v>
      </c>
      <c r="U317" s="101">
        <f t="shared" si="39"/>
        <v>0</v>
      </c>
      <c r="V317" s="101">
        <f t="shared" si="40"/>
        <v>0</v>
      </c>
      <c r="W317" s="101">
        <v>0</v>
      </c>
      <c r="X317" s="55">
        <f t="shared" si="41"/>
        <v>46153.968362268512</v>
      </c>
    </row>
    <row r="318" spans="1:24" s="118" customFormat="1" ht="26.5" hidden="1" x14ac:dyDescent="0.35">
      <c r="A318" s="46">
        <f t="shared" si="42"/>
        <v>46153.968362268512</v>
      </c>
      <c r="B318" s="46"/>
      <c r="C318" s="46"/>
      <c r="D318" s="46"/>
      <c r="E318" s="47" t="s">
        <v>454</v>
      </c>
      <c r="F318" s="69" t="s">
        <v>643</v>
      </c>
      <c r="G318" s="69"/>
      <c r="H318" s="98" t="s">
        <v>644</v>
      </c>
      <c r="I318" s="97" t="s">
        <v>623</v>
      </c>
      <c r="J318" s="51" t="s">
        <v>140</v>
      </c>
      <c r="K318" s="91">
        <v>0</v>
      </c>
      <c r="L318" s="91">
        <v>0</v>
      </c>
      <c r="M318" s="92">
        <v>100</v>
      </c>
      <c r="N318" s="94">
        <v>500</v>
      </c>
      <c r="O318" s="92">
        <v>1</v>
      </c>
      <c r="P318" s="94">
        <f t="shared" si="43"/>
        <v>500</v>
      </c>
      <c r="Q318" s="94"/>
      <c r="R318" s="92">
        <v>500</v>
      </c>
      <c r="S318" s="92">
        <f t="shared" si="37"/>
        <v>0</v>
      </c>
      <c r="T318" s="92">
        <f t="shared" si="38"/>
        <v>864</v>
      </c>
      <c r="U318" s="91">
        <f t="shared" si="39"/>
        <v>0</v>
      </c>
      <c r="V318" s="91">
        <f t="shared" si="40"/>
        <v>0</v>
      </c>
      <c r="W318" s="91">
        <v>0</v>
      </c>
      <c r="X318" s="55">
        <f t="shared" si="41"/>
        <v>46153.968362268512</v>
      </c>
    </row>
    <row r="319" spans="1:24" s="118" customFormat="1" ht="26.5" hidden="1" x14ac:dyDescent="0.35">
      <c r="A319" s="46">
        <f t="shared" si="42"/>
        <v>46153.968362268512</v>
      </c>
      <c r="B319" s="46"/>
      <c r="C319" s="46"/>
      <c r="D319" s="46"/>
      <c r="E319" s="47" t="s">
        <v>454</v>
      </c>
      <c r="F319" s="69" t="s">
        <v>645</v>
      </c>
      <c r="G319" s="69"/>
      <c r="H319" s="98" t="s">
        <v>646</v>
      </c>
      <c r="I319" s="97" t="s">
        <v>623</v>
      </c>
      <c r="J319" s="51" t="s">
        <v>140</v>
      </c>
      <c r="K319" s="91">
        <v>0</v>
      </c>
      <c r="L319" s="91">
        <v>0</v>
      </c>
      <c r="M319" s="92">
        <v>100</v>
      </c>
      <c r="N319" s="94">
        <v>2000</v>
      </c>
      <c r="O319" s="92">
        <v>1</v>
      </c>
      <c r="P319" s="94">
        <f t="shared" si="43"/>
        <v>2000</v>
      </c>
      <c r="Q319" s="94"/>
      <c r="R319" s="92">
        <v>2000</v>
      </c>
      <c r="S319" s="92">
        <f t="shared" si="37"/>
        <v>0</v>
      </c>
      <c r="T319" s="92">
        <f t="shared" si="38"/>
        <v>864</v>
      </c>
      <c r="U319" s="91">
        <f t="shared" si="39"/>
        <v>0</v>
      </c>
      <c r="V319" s="91">
        <f t="shared" si="40"/>
        <v>0</v>
      </c>
      <c r="W319" s="91">
        <v>0</v>
      </c>
      <c r="X319" s="55">
        <f t="shared" si="41"/>
        <v>46153.968362268512</v>
      </c>
    </row>
    <row r="320" spans="1:24" s="118" customFormat="1" ht="26.5" hidden="1" x14ac:dyDescent="0.35">
      <c r="A320" s="46">
        <f t="shared" si="42"/>
        <v>46153.968362268512</v>
      </c>
      <c r="B320" s="46"/>
      <c r="C320" s="46"/>
      <c r="D320" s="46"/>
      <c r="E320" s="47" t="s">
        <v>454</v>
      </c>
      <c r="F320" s="69" t="s">
        <v>647</v>
      </c>
      <c r="G320" s="69"/>
      <c r="H320" s="98" t="s">
        <v>648</v>
      </c>
      <c r="I320" s="97" t="s">
        <v>649</v>
      </c>
      <c r="J320" s="51" t="s">
        <v>140</v>
      </c>
      <c r="K320" s="91">
        <v>0</v>
      </c>
      <c r="L320" s="91">
        <v>0</v>
      </c>
      <c r="M320" s="92">
        <v>100</v>
      </c>
      <c r="N320" s="94">
        <v>1800</v>
      </c>
      <c r="O320" s="92">
        <v>1</v>
      </c>
      <c r="P320" s="94">
        <f t="shared" si="43"/>
        <v>1800</v>
      </c>
      <c r="Q320" s="94"/>
      <c r="R320" s="92">
        <v>1800</v>
      </c>
      <c r="S320" s="92">
        <f t="shared" si="37"/>
        <v>0</v>
      </c>
      <c r="T320" s="92">
        <f t="shared" si="38"/>
        <v>864</v>
      </c>
      <c r="U320" s="91">
        <f t="shared" si="39"/>
        <v>0</v>
      </c>
      <c r="V320" s="91">
        <f t="shared" si="40"/>
        <v>0</v>
      </c>
      <c r="W320" s="91">
        <v>0</v>
      </c>
      <c r="X320" s="55">
        <f t="shared" si="41"/>
        <v>46153.968362268512</v>
      </c>
    </row>
    <row r="321" spans="1:24" s="118" customFormat="1" ht="26.5" hidden="1" x14ac:dyDescent="0.35">
      <c r="A321" s="46">
        <f t="shared" si="42"/>
        <v>46153.968362268512</v>
      </c>
      <c r="B321" s="46"/>
      <c r="C321" s="46"/>
      <c r="D321" s="46"/>
      <c r="E321" s="47" t="s">
        <v>454</v>
      </c>
      <c r="F321" s="69" t="s">
        <v>650</v>
      </c>
      <c r="G321" s="69"/>
      <c r="H321" s="98" t="s">
        <v>651</v>
      </c>
      <c r="I321" s="97" t="s">
        <v>623</v>
      </c>
      <c r="J321" s="51" t="s">
        <v>140</v>
      </c>
      <c r="K321" s="91">
        <v>0</v>
      </c>
      <c r="L321" s="91">
        <v>0</v>
      </c>
      <c r="M321" s="92">
        <v>100</v>
      </c>
      <c r="N321" s="94">
        <v>750</v>
      </c>
      <c r="O321" s="92">
        <v>1</v>
      </c>
      <c r="P321" s="94">
        <f t="shared" si="43"/>
        <v>750</v>
      </c>
      <c r="Q321" s="94"/>
      <c r="R321" s="92">
        <v>750</v>
      </c>
      <c r="S321" s="92">
        <f t="shared" si="37"/>
        <v>0</v>
      </c>
      <c r="T321" s="92">
        <f t="shared" si="38"/>
        <v>864</v>
      </c>
      <c r="U321" s="91">
        <f t="shared" si="39"/>
        <v>0</v>
      </c>
      <c r="V321" s="91">
        <f t="shared" si="40"/>
        <v>0</v>
      </c>
      <c r="W321" s="91">
        <v>0</v>
      </c>
      <c r="X321" s="55">
        <f t="shared" si="41"/>
        <v>46153.968362268512</v>
      </c>
    </row>
    <row r="322" spans="1:24" s="118" customFormat="1" ht="26.5" hidden="1" x14ac:dyDescent="0.35">
      <c r="A322" s="46">
        <f t="shared" si="42"/>
        <v>46153.968362268512</v>
      </c>
      <c r="B322" s="46"/>
      <c r="C322" s="46"/>
      <c r="D322" s="46"/>
      <c r="E322" s="119" t="s">
        <v>454</v>
      </c>
      <c r="F322" s="82" t="s">
        <v>501</v>
      </c>
      <c r="G322" s="82"/>
      <c r="H322" s="98" t="s">
        <v>642</v>
      </c>
      <c r="I322" s="82" t="s">
        <v>191</v>
      </c>
      <c r="J322" s="100" t="s">
        <v>140</v>
      </c>
      <c r="K322" s="101">
        <v>0</v>
      </c>
      <c r="L322" s="101">
        <v>0</v>
      </c>
      <c r="M322" s="102">
        <v>67</v>
      </c>
      <c r="N322" s="103">
        <v>3990</v>
      </c>
      <c r="O322" s="102">
        <v>1</v>
      </c>
      <c r="P322" s="103">
        <f t="shared" si="43"/>
        <v>3990</v>
      </c>
      <c r="Q322" s="103"/>
      <c r="R322" s="102">
        <v>3990</v>
      </c>
      <c r="S322" s="102">
        <f t="shared" si="37"/>
        <v>0</v>
      </c>
      <c r="T322" s="102">
        <f t="shared" si="38"/>
        <v>1289.5522388059703</v>
      </c>
      <c r="U322" s="101">
        <f t="shared" si="39"/>
        <v>0</v>
      </c>
      <c r="V322" s="101">
        <f t="shared" si="40"/>
        <v>0</v>
      </c>
      <c r="W322" s="101">
        <v>0</v>
      </c>
      <c r="X322" s="55">
        <f t="shared" si="41"/>
        <v>46153.968362268512</v>
      </c>
    </row>
    <row r="323" spans="1:24" s="118" customFormat="1" ht="26.5" hidden="1" x14ac:dyDescent="0.35">
      <c r="A323" s="46">
        <f t="shared" si="42"/>
        <v>46153.968362268512</v>
      </c>
      <c r="B323" s="46"/>
      <c r="C323" s="46"/>
      <c r="D323" s="46"/>
      <c r="E323" s="119" t="s">
        <v>454</v>
      </c>
      <c r="F323" s="82" t="s">
        <v>652</v>
      </c>
      <c r="G323" s="82"/>
      <c r="H323" s="98" t="s">
        <v>653</v>
      </c>
      <c r="I323" s="82" t="s">
        <v>277</v>
      </c>
      <c r="J323" s="100" t="s">
        <v>140</v>
      </c>
      <c r="K323" s="101">
        <v>0</v>
      </c>
      <c r="L323" s="101">
        <v>0</v>
      </c>
      <c r="M323" s="102">
        <v>67</v>
      </c>
      <c r="N323" s="103">
        <v>630</v>
      </c>
      <c r="O323" s="102">
        <v>1</v>
      </c>
      <c r="P323" s="103">
        <f t="shared" si="43"/>
        <v>630</v>
      </c>
      <c r="Q323" s="103"/>
      <c r="R323" s="102">
        <v>630</v>
      </c>
      <c r="S323" s="102">
        <f t="shared" si="37"/>
        <v>0</v>
      </c>
      <c r="T323" s="102">
        <f t="shared" si="38"/>
        <v>1289.5522388059703</v>
      </c>
      <c r="U323" s="101">
        <f t="shared" si="39"/>
        <v>0</v>
      </c>
      <c r="V323" s="101">
        <f t="shared" si="40"/>
        <v>0</v>
      </c>
      <c r="W323" s="101">
        <v>0</v>
      </c>
      <c r="X323" s="55">
        <f t="shared" si="41"/>
        <v>46153.968362268512</v>
      </c>
    </row>
    <row r="324" spans="1:24" s="118" customFormat="1" ht="26.5" hidden="1" x14ac:dyDescent="0.35">
      <c r="A324" s="46">
        <f t="shared" si="42"/>
        <v>46153.968362268512</v>
      </c>
      <c r="B324" s="46"/>
      <c r="C324" s="46"/>
      <c r="D324" s="46"/>
      <c r="E324" s="47" t="s">
        <v>454</v>
      </c>
      <c r="F324" s="69" t="s">
        <v>654</v>
      </c>
      <c r="G324" s="69"/>
      <c r="H324" s="98" t="s">
        <v>655</v>
      </c>
      <c r="I324" s="97" t="s">
        <v>656</v>
      </c>
      <c r="J324" s="51" t="s">
        <v>140</v>
      </c>
      <c r="K324" s="91">
        <v>0</v>
      </c>
      <c r="L324" s="91">
        <v>0</v>
      </c>
      <c r="M324" s="92">
        <v>100</v>
      </c>
      <c r="N324" s="94">
        <v>2000</v>
      </c>
      <c r="O324" s="92">
        <v>1</v>
      </c>
      <c r="P324" s="94">
        <f t="shared" si="43"/>
        <v>2000</v>
      </c>
      <c r="Q324" s="94"/>
      <c r="R324" s="92">
        <v>2000</v>
      </c>
      <c r="S324" s="92">
        <f t="shared" si="37"/>
        <v>0</v>
      </c>
      <c r="T324" s="92">
        <f t="shared" si="38"/>
        <v>864</v>
      </c>
      <c r="U324" s="91">
        <f t="shared" si="39"/>
        <v>0</v>
      </c>
      <c r="V324" s="91">
        <f t="shared" si="40"/>
        <v>0</v>
      </c>
      <c r="W324" s="91">
        <v>0</v>
      </c>
      <c r="X324" s="55">
        <f t="shared" si="41"/>
        <v>46153.968362268512</v>
      </c>
    </row>
    <row r="325" spans="1:24" s="118" customFormat="1" ht="26.5" hidden="1" x14ac:dyDescent="0.35">
      <c r="A325" s="46">
        <f t="shared" si="42"/>
        <v>46153.968362268512</v>
      </c>
      <c r="B325" s="46"/>
      <c r="C325" s="46"/>
      <c r="D325" s="46"/>
      <c r="E325" s="47" t="s">
        <v>454</v>
      </c>
      <c r="F325" s="69" t="s">
        <v>657</v>
      </c>
      <c r="G325" s="69"/>
      <c r="H325" s="98" t="s">
        <v>658</v>
      </c>
      <c r="I325" s="97" t="s">
        <v>623</v>
      </c>
      <c r="J325" s="51" t="s">
        <v>140</v>
      </c>
      <c r="K325" s="91">
        <v>0</v>
      </c>
      <c r="L325" s="91">
        <v>0</v>
      </c>
      <c r="M325" s="92">
        <v>100</v>
      </c>
      <c r="N325" s="94">
        <v>500</v>
      </c>
      <c r="O325" s="92">
        <v>1</v>
      </c>
      <c r="P325" s="94">
        <f t="shared" si="43"/>
        <v>500</v>
      </c>
      <c r="Q325" s="94"/>
      <c r="R325" s="92">
        <v>500</v>
      </c>
      <c r="S325" s="92">
        <f t="shared" si="37"/>
        <v>0</v>
      </c>
      <c r="T325" s="92">
        <f t="shared" si="38"/>
        <v>864</v>
      </c>
      <c r="U325" s="91">
        <f t="shared" si="39"/>
        <v>0</v>
      </c>
      <c r="V325" s="91">
        <f t="shared" si="40"/>
        <v>0</v>
      </c>
      <c r="W325" s="91">
        <v>0</v>
      </c>
      <c r="X325" s="55">
        <f t="shared" si="41"/>
        <v>46153.968362268512</v>
      </c>
    </row>
    <row r="326" spans="1:24" s="118" customFormat="1" ht="26.5" hidden="1" x14ac:dyDescent="0.35">
      <c r="A326" s="46">
        <f t="shared" si="42"/>
        <v>46153.968362268512</v>
      </c>
      <c r="B326" s="46"/>
      <c r="C326" s="46"/>
      <c r="D326" s="46"/>
      <c r="E326" s="47" t="s">
        <v>454</v>
      </c>
      <c r="F326" s="69" t="s">
        <v>657</v>
      </c>
      <c r="G326" s="69"/>
      <c r="H326" s="98" t="s">
        <v>659</v>
      </c>
      <c r="I326" s="97" t="s">
        <v>660</v>
      </c>
      <c r="J326" s="51" t="s">
        <v>140</v>
      </c>
      <c r="K326" s="91">
        <v>0</v>
      </c>
      <c r="L326" s="91">
        <v>0</v>
      </c>
      <c r="M326" s="92">
        <v>100</v>
      </c>
      <c r="N326" s="94">
        <v>300</v>
      </c>
      <c r="O326" s="92">
        <v>1</v>
      </c>
      <c r="P326" s="94">
        <f t="shared" si="43"/>
        <v>300</v>
      </c>
      <c r="Q326" s="94"/>
      <c r="R326" s="92">
        <v>300</v>
      </c>
      <c r="S326" s="92">
        <f t="shared" ref="S326:S389" si="44">P326-R326</f>
        <v>0</v>
      </c>
      <c r="T326" s="92">
        <f t="shared" ref="T326:T389" si="45">((3600/M326)*O326)*24</f>
        <v>864</v>
      </c>
      <c r="U326" s="91">
        <f t="shared" ref="U326:U389" si="46">(P326-R326)*M326/3600</f>
        <v>0</v>
      </c>
      <c r="V326" s="91">
        <f t="shared" ref="V326:V389" si="47">(P326-R326)*M326/3600/24</f>
        <v>0</v>
      </c>
      <c r="W326" s="91">
        <v>0</v>
      </c>
      <c r="X326" s="55">
        <f t="shared" ref="X326:X389" si="48">A326+K326+V326+W326+L326</f>
        <v>46153.968362268512</v>
      </c>
    </row>
    <row r="327" spans="1:24" ht="26.5" hidden="1" x14ac:dyDescent="0.35">
      <c r="A327" s="46">
        <f t="shared" ref="A327:A390" si="49">X326</f>
        <v>46153.968362268512</v>
      </c>
      <c r="B327" s="46"/>
      <c r="C327" s="46"/>
      <c r="D327" s="46"/>
      <c r="E327" s="47" t="s">
        <v>454</v>
      </c>
      <c r="F327" s="69" t="s">
        <v>647</v>
      </c>
      <c r="G327" s="69"/>
      <c r="H327" s="59" t="s">
        <v>661</v>
      </c>
      <c r="I327" s="82" t="s">
        <v>662</v>
      </c>
      <c r="J327" s="100" t="s">
        <v>140</v>
      </c>
      <c r="K327" s="91">
        <v>0</v>
      </c>
      <c r="L327" s="91">
        <v>0</v>
      </c>
      <c r="M327" s="53">
        <v>70</v>
      </c>
      <c r="N327" s="54">
        <v>300</v>
      </c>
      <c r="O327" s="53">
        <v>1</v>
      </c>
      <c r="P327" s="54">
        <f t="shared" ref="P327:P390" si="50">N327/O327</f>
        <v>300</v>
      </c>
      <c r="Q327" s="54"/>
      <c r="R327" s="53">
        <v>300</v>
      </c>
      <c r="S327" s="53">
        <f t="shared" si="44"/>
        <v>0</v>
      </c>
      <c r="T327" s="83">
        <f t="shared" si="45"/>
        <v>1234.2857142857142</v>
      </c>
      <c r="U327" s="84">
        <f t="shared" si="46"/>
        <v>0</v>
      </c>
      <c r="V327" s="84">
        <f t="shared" si="47"/>
        <v>0</v>
      </c>
      <c r="W327" s="84">
        <v>0</v>
      </c>
      <c r="X327" s="55">
        <f t="shared" si="48"/>
        <v>46153.968362268512</v>
      </c>
    </row>
    <row r="328" spans="1:24" ht="26.5" hidden="1" x14ac:dyDescent="0.35">
      <c r="A328" s="46">
        <f t="shared" si="49"/>
        <v>46153.968362268512</v>
      </c>
      <c r="B328" s="46"/>
      <c r="C328" s="46"/>
      <c r="D328" s="46"/>
      <c r="E328" s="47" t="s">
        <v>454</v>
      </c>
      <c r="F328" s="69" t="s">
        <v>657</v>
      </c>
      <c r="G328" s="69"/>
      <c r="H328" s="59" t="s">
        <v>663</v>
      </c>
      <c r="I328" s="82" t="s">
        <v>664</v>
      </c>
      <c r="J328" s="100" t="s">
        <v>140</v>
      </c>
      <c r="K328" s="91">
        <v>0</v>
      </c>
      <c r="L328" s="91">
        <v>0</v>
      </c>
      <c r="M328" s="53">
        <v>70</v>
      </c>
      <c r="N328" s="54">
        <v>500</v>
      </c>
      <c r="O328" s="53">
        <v>1</v>
      </c>
      <c r="P328" s="54">
        <f t="shared" si="50"/>
        <v>500</v>
      </c>
      <c r="Q328" s="54"/>
      <c r="R328" s="53">
        <v>500</v>
      </c>
      <c r="S328" s="53">
        <f t="shared" si="44"/>
        <v>0</v>
      </c>
      <c r="T328" s="83">
        <f t="shared" si="45"/>
        <v>1234.2857142857142</v>
      </c>
      <c r="U328" s="84">
        <f t="shared" si="46"/>
        <v>0</v>
      </c>
      <c r="V328" s="84">
        <f t="shared" si="47"/>
        <v>0</v>
      </c>
      <c r="W328" s="84">
        <v>0</v>
      </c>
      <c r="X328" s="55">
        <f t="shared" si="48"/>
        <v>46153.968362268512</v>
      </c>
    </row>
    <row r="329" spans="1:24" s="118" customFormat="1" ht="26.5" hidden="1" x14ac:dyDescent="0.35">
      <c r="A329" s="46">
        <f t="shared" si="49"/>
        <v>46153.968362268512</v>
      </c>
      <c r="B329" s="46"/>
      <c r="C329" s="46"/>
      <c r="D329" s="46"/>
      <c r="E329" s="47" t="s">
        <v>454</v>
      </c>
      <c r="F329" s="82" t="s">
        <v>665</v>
      </c>
      <c r="G329" s="82"/>
      <c r="H329" s="224" t="s">
        <v>666</v>
      </c>
      <c r="I329" s="82" t="s">
        <v>499</v>
      </c>
      <c r="J329" s="51" t="s">
        <v>140</v>
      </c>
      <c r="K329" s="91">
        <v>0</v>
      </c>
      <c r="L329" s="91">
        <v>0</v>
      </c>
      <c r="M329" s="92">
        <v>106</v>
      </c>
      <c r="N329" s="94">
        <v>1000</v>
      </c>
      <c r="O329" s="92">
        <v>1</v>
      </c>
      <c r="P329" s="94">
        <f t="shared" si="50"/>
        <v>1000</v>
      </c>
      <c r="Q329" s="94"/>
      <c r="R329" s="92">
        <v>1000</v>
      </c>
      <c r="S329" s="92">
        <f t="shared" si="44"/>
        <v>0</v>
      </c>
      <c r="T329" s="92">
        <f t="shared" si="45"/>
        <v>815.09433962264154</v>
      </c>
      <c r="U329" s="91">
        <f t="shared" si="46"/>
        <v>0</v>
      </c>
      <c r="V329" s="91">
        <f t="shared" si="47"/>
        <v>0</v>
      </c>
      <c r="W329" s="91">
        <v>0</v>
      </c>
      <c r="X329" s="55">
        <f t="shared" si="48"/>
        <v>46153.968362268512</v>
      </c>
    </row>
    <row r="330" spans="1:24" s="118" customFormat="1" ht="26.5" hidden="1" x14ac:dyDescent="0.35">
      <c r="A330" s="46">
        <f t="shared" si="49"/>
        <v>46153.968362268512</v>
      </c>
      <c r="B330" s="46"/>
      <c r="C330" s="46"/>
      <c r="D330" s="46"/>
      <c r="E330" s="47" t="s">
        <v>454</v>
      </c>
      <c r="F330" s="82" t="s">
        <v>667</v>
      </c>
      <c r="G330" s="82"/>
      <c r="H330" s="224" t="s">
        <v>668</v>
      </c>
      <c r="I330" s="82" t="s">
        <v>499</v>
      </c>
      <c r="J330" s="51" t="s">
        <v>140</v>
      </c>
      <c r="K330" s="91">
        <v>0</v>
      </c>
      <c r="L330" s="91">
        <v>0</v>
      </c>
      <c r="M330" s="92">
        <v>106</v>
      </c>
      <c r="N330" s="94">
        <v>2000</v>
      </c>
      <c r="O330" s="92">
        <v>1</v>
      </c>
      <c r="P330" s="94">
        <f t="shared" si="50"/>
        <v>2000</v>
      </c>
      <c r="Q330" s="94"/>
      <c r="R330" s="92">
        <v>2000</v>
      </c>
      <c r="S330" s="92">
        <f t="shared" si="44"/>
        <v>0</v>
      </c>
      <c r="T330" s="92">
        <f t="shared" si="45"/>
        <v>815.09433962264154</v>
      </c>
      <c r="U330" s="91">
        <f t="shared" si="46"/>
        <v>0</v>
      </c>
      <c r="V330" s="91">
        <f t="shared" si="47"/>
        <v>0</v>
      </c>
      <c r="W330" s="91">
        <v>0</v>
      </c>
      <c r="X330" s="55">
        <f t="shared" si="48"/>
        <v>46153.968362268512</v>
      </c>
    </row>
    <row r="331" spans="1:24" s="118" customFormat="1" ht="26.5" hidden="1" x14ac:dyDescent="0.35">
      <c r="A331" s="46">
        <f t="shared" si="49"/>
        <v>46153.968362268512</v>
      </c>
      <c r="B331" s="46"/>
      <c r="C331" s="46"/>
      <c r="D331" s="46"/>
      <c r="E331" s="47" t="s">
        <v>454</v>
      </c>
      <c r="F331" s="82" t="s">
        <v>669</v>
      </c>
      <c r="G331" s="82"/>
      <c r="H331" s="224" t="s">
        <v>670</v>
      </c>
      <c r="I331" s="82" t="s">
        <v>628</v>
      </c>
      <c r="J331" s="51" t="s">
        <v>140</v>
      </c>
      <c r="K331" s="91">
        <v>0</v>
      </c>
      <c r="L331" s="91">
        <v>0</v>
      </c>
      <c r="M331" s="92">
        <v>106</v>
      </c>
      <c r="N331" s="94">
        <v>750</v>
      </c>
      <c r="O331" s="92">
        <v>1</v>
      </c>
      <c r="P331" s="94">
        <f t="shared" si="50"/>
        <v>750</v>
      </c>
      <c r="Q331" s="94"/>
      <c r="R331" s="92">
        <v>750</v>
      </c>
      <c r="S331" s="92">
        <f t="shared" si="44"/>
        <v>0</v>
      </c>
      <c r="T331" s="92">
        <f t="shared" si="45"/>
        <v>815.09433962264154</v>
      </c>
      <c r="U331" s="91">
        <f t="shared" si="46"/>
        <v>0</v>
      </c>
      <c r="V331" s="91">
        <f t="shared" si="47"/>
        <v>0</v>
      </c>
      <c r="W331" s="91">
        <v>0</v>
      </c>
      <c r="X331" s="55">
        <f t="shared" si="48"/>
        <v>46153.968362268512</v>
      </c>
    </row>
    <row r="332" spans="1:24" s="118" customFormat="1" ht="26.5" hidden="1" x14ac:dyDescent="0.35">
      <c r="A332" s="46">
        <f t="shared" si="49"/>
        <v>46153.968362268512</v>
      </c>
      <c r="B332" s="46"/>
      <c r="C332" s="46"/>
      <c r="D332" s="46"/>
      <c r="E332" s="47" t="s">
        <v>454</v>
      </c>
      <c r="F332" s="82" t="s">
        <v>667</v>
      </c>
      <c r="G332" s="82"/>
      <c r="H332" s="224" t="s">
        <v>668</v>
      </c>
      <c r="I332" s="82" t="s">
        <v>499</v>
      </c>
      <c r="J332" s="51" t="s">
        <v>140</v>
      </c>
      <c r="K332" s="91">
        <v>0</v>
      </c>
      <c r="L332" s="91">
        <v>0</v>
      </c>
      <c r="M332" s="92">
        <v>106</v>
      </c>
      <c r="N332" s="94">
        <v>2000</v>
      </c>
      <c r="O332" s="92">
        <v>1</v>
      </c>
      <c r="P332" s="94">
        <f t="shared" si="50"/>
        <v>2000</v>
      </c>
      <c r="Q332" s="94"/>
      <c r="R332" s="92">
        <v>2000</v>
      </c>
      <c r="S332" s="92">
        <f t="shared" si="44"/>
        <v>0</v>
      </c>
      <c r="T332" s="92">
        <f t="shared" si="45"/>
        <v>815.09433962264154</v>
      </c>
      <c r="U332" s="91">
        <f t="shared" si="46"/>
        <v>0</v>
      </c>
      <c r="V332" s="91">
        <f t="shared" si="47"/>
        <v>0</v>
      </c>
      <c r="W332" s="91">
        <v>0</v>
      </c>
      <c r="X332" s="55">
        <f t="shared" si="48"/>
        <v>46153.968362268512</v>
      </c>
    </row>
    <row r="333" spans="1:24" s="118" customFormat="1" ht="26.5" hidden="1" x14ac:dyDescent="0.35">
      <c r="A333" s="46">
        <f t="shared" si="49"/>
        <v>46153.968362268512</v>
      </c>
      <c r="B333" s="46"/>
      <c r="C333" s="46"/>
      <c r="D333" s="46"/>
      <c r="E333" s="47" t="s">
        <v>454</v>
      </c>
      <c r="F333" s="82" t="s">
        <v>669</v>
      </c>
      <c r="G333" s="82"/>
      <c r="H333" s="224" t="s">
        <v>670</v>
      </c>
      <c r="I333" s="82" t="s">
        <v>628</v>
      </c>
      <c r="J333" s="51" t="s">
        <v>140</v>
      </c>
      <c r="K333" s="91">
        <v>0</v>
      </c>
      <c r="L333" s="91">
        <v>0</v>
      </c>
      <c r="M333" s="92">
        <v>106</v>
      </c>
      <c r="N333" s="94">
        <v>750</v>
      </c>
      <c r="O333" s="92">
        <v>1</v>
      </c>
      <c r="P333" s="94">
        <f t="shared" si="50"/>
        <v>750</v>
      </c>
      <c r="Q333" s="94"/>
      <c r="R333" s="92">
        <v>750</v>
      </c>
      <c r="S333" s="92">
        <f t="shared" si="44"/>
        <v>0</v>
      </c>
      <c r="T333" s="92">
        <f t="shared" si="45"/>
        <v>815.09433962264154</v>
      </c>
      <c r="U333" s="91">
        <f t="shared" si="46"/>
        <v>0</v>
      </c>
      <c r="V333" s="91">
        <f t="shared" si="47"/>
        <v>0</v>
      </c>
      <c r="W333" s="91">
        <v>0</v>
      </c>
      <c r="X333" s="55">
        <f t="shared" si="48"/>
        <v>46153.968362268512</v>
      </c>
    </row>
    <row r="334" spans="1:24" s="118" customFormat="1" hidden="1" x14ac:dyDescent="0.35">
      <c r="A334" s="46">
        <f t="shared" si="49"/>
        <v>46153.968362268512</v>
      </c>
      <c r="B334" s="46"/>
      <c r="C334" s="46"/>
      <c r="D334" s="46"/>
      <c r="E334" s="47" t="s">
        <v>454</v>
      </c>
      <c r="F334" s="48" t="s">
        <v>671</v>
      </c>
      <c r="G334" s="48"/>
      <c r="H334" s="49" t="s">
        <v>672</v>
      </c>
      <c r="I334" s="82" t="s">
        <v>673</v>
      </c>
      <c r="J334" s="51" t="s">
        <v>283</v>
      </c>
      <c r="K334" s="52">
        <v>0</v>
      </c>
      <c r="L334" s="52">
        <v>0</v>
      </c>
      <c r="M334" s="53">
        <v>67</v>
      </c>
      <c r="N334" s="54">
        <v>720</v>
      </c>
      <c r="O334" s="53">
        <v>1</v>
      </c>
      <c r="P334" s="54">
        <f t="shared" si="50"/>
        <v>720</v>
      </c>
      <c r="Q334" s="54"/>
      <c r="R334" s="53">
        <v>720</v>
      </c>
      <c r="S334" s="53">
        <f t="shared" si="44"/>
        <v>0</v>
      </c>
      <c r="T334" s="53">
        <f t="shared" si="45"/>
        <v>1289.5522388059703</v>
      </c>
      <c r="U334" s="52">
        <f t="shared" si="46"/>
        <v>0</v>
      </c>
      <c r="V334" s="52">
        <f t="shared" si="47"/>
        <v>0</v>
      </c>
      <c r="W334" s="52">
        <v>0</v>
      </c>
      <c r="X334" s="55">
        <f t="shared" si="48"/>
        <v>46153.968362268512</v>
      </c>
    </row>
    <row r="335" spans="1:24" s="118" customFormat="1" hidden="1" x14ac:dyDescent="0.35">
      <c r="A335" s="46">
        <f t="shared" si="49"/>
        <v>46153.968362268512</v>
      </c>
      <c r="B335" s="46"/>
      <c r="C335" s="46"/>
      <c r="D335" s="46"/>
      <c r="E335" s="47" t="s">
        <v>454</v>
      </c>
      <c r="F335" s="48" t="s">
        <v>671</v>
      </c>
      <c r="G335" s="48"/>
      <c r="H335" s="49" t="s">
        <v>674</v>
      </c>
      <c r="I335" s="82" t="s">
        <v>369</v>
      </c>
      <c r="J335" s="51" t="s">
        <v>283</v>
      </c>
      <c r="K335" s="52">
        <v>0</v>
      </c>
      <c r="L335" s="52">
        <v>0</v>
      </c>
      <c r="M335" s="53">
        <v>67</v>
      </c>
      <c r="N335" s="54">
        <v>360</v>
      </c>
      <c r="O335" s="53">
        <v>1</v>
      </c>
      <c r="P335" s="54">
        <f t="shared" si="50"/>
        <v>360</v>
      </c>
      <c r="Q335" s="54"/>
      <c r="R335" s="53">
        <v>360</v>
      </c>
      <c r="S335" s="53">
        <f t="shared" si="44"/>
        <v>0</v>
      </c>
      <c r="T335" s="53">
        <f t="shared" si="45"/>
        <v>1289.5522388059703</v>
      </c>
      <c r="U335" s="52">
        <f t="shared" si="46"/>
        <v>0</v>
      </c>
      <c r="V335" s="52">
        <f t="shared" si="47"/>
        <v>0</v>
      </c>
      <c r="W335" s="52">
        <v>0</v>
      </c>
      <c r="X335" s="55">
        <f t="shared" si="48"/>
        <v>46153.968362268512</v>
      </c>
    </row>
    <row r="336" spans="1:24" s="118" customFormat="1" hidden="1" x14ac:dyDescent="0.35">
      <c r="A336" s="46">
        <f t="shared" si="49"/>
        <v>46153.968362268512</v>
      </c>
      <c r="B336" s="46"/>
      <c r="C336" s="46"/>
      <c r="D336" s="46"/>
      <c r="E336" s="47" t="s">
        <v>454</v>
      </c>
      <c r="F336" s="48" t="s">
        <v>671</v>
      </c>
      <c r="G336" s="48"/>
      <c r="H336" s="49" t="s">
        <v>675</v>
      </c>
      <c r="I336" s="72" t="s">
        <v>366</v>
      </c>
      <c r="J336" s="51" t="s">
        <v>283</v>
      </c>
      <c r="K336" s="52">
        <v>0</v>
      </c>
      <c r="L336" s="52">
        <v>0</v>
      </c>
      <c r="M336" s="53">
        <v>67</v>
      </c>
      <c r="N336" s="54">
        <v>360</v>
      </c>
      <c r="O336" s="53">
        <v>1</v>
      </c>
      <c r="P336" s="54">
        <f t="shared" si="50"/>
        <v>360</v>
      </c>
      <c r="Q336" s="54"/>
      <c r="R336" s="53">
        <v>360</v>
      </c>
      <c r="S336" s="53">
        <f t="shared" si="44"/>
        <v>0</v>
      </c>
      <c r="T336" s="53">
        <f t="shared" si="45"/>
        <v>1289.5522388059703</v>
      </c>
      <c r="U336" s="52">
        <f t="shared" si="46"/>
        <v>0</v>
      </c>
      <c r="V336" s="52">
        <f t="shared" si="47"/>
        <v>0</v>
      </c>
      <c r="W336" s="52">
        <v>0</v>
      </c>
      <c r="X336" s="55">
        <f t="shared" si="48"/>
        <v>46153.968362268512</v>
      </c>
    </row>
    <row r="337" spans="1:24" s="118" customFormat="1" hidden="1" x14ac:dyDescent="0.35">
      <c r="A337" s="46">
        <f t="shared" si="49"/>
        <v>46153.968362268512</v>
      </c>
      <c r="B337" s="46"/>
      <c r="C337" s="46"/>
      <c r="D337" s="46"/>
      <c r="E337" s="119" t="s">
        <v>454</v>
      </c>
      <c r="F337" s="82" t="s">
        <v>271</v>
      </c>
      <c r="G337" s="82"/>
      <c r="H337" s="98" t="s">
        <v>676</v>
      </c>
      <c r="I337" s="82" t="s">
        <v>377</v>
      </c>
      <c r="J337" s="100" t="s">
        <v>140</v>
      </c>
      <c r="K337" s="101">
        <v>0</v>
      </c>
      <c r="L337" s="101">
        <v>0</v>
      </c>
      <c r="M337" s="102">
        <v>67</v>
      </c>
      <c r="N337" s="103">
        <v>630</v>
      </c>
      <c r="O337" s="102">
        <v>1</v>
      </c>
      <c r="P337" s="103">
        <f t="shared" si="50"/>
        <v>630</v>
      </c>
      <c r="Q337" s="103"/>
      <c r="R337" s="102">
        <v>630</v>
      </c>
      <c r="S337" s="102">
        <f t="shared" si="44"/>
        <v>0</v>
      </c>
      <c r="T337" s="102">
        <f t="shared" si="45"/>
        <v>1289.5522388059703</v>
      </c>
      <c r="U337" s="101">
        <f t="shared" si="46"/>
        <v>0</v>
      </c>
      <c r="V337" s="101">
        <f t="shared" si="47"/>
        <v>0</v>
      </c>
      <c r="W337" s="101">
        <v>0</v>
      </c>
      <c r="X337" s="55">
        <f t="shared" si="48"/>
        <v>46153.968362268512</v>
      </c>
    </row>
    <row r="338" spans="1:24" s="118" customFormat="1" hidden="1" x14ac:dyDescent="0.35">
      <c r="A338" s="46">
        <f t="shared" si="49"/>
        <v>46153.968362268512</v>
      </c>
      <c r="B338" s="46"/>
      <c r="C338" s="46"/>
      <c r="D338" s="46"/>
      <c r="E338" s="119" t="s">
        <v>454</v>
      </c>
      <c r="F338" s="82" t="s">
        <v>271</v>
      </c>
      <c r="G338" s="82"/>
      <c r="H338" s="98" t="s">
        <v>677</v>
      </c>
      <c r="I338" s="82" t="s">
        <v>191</v>
      </c>
      <c r="J338" s="100" t="s">
        <v>140</v>
      </c>
      <c r="K338" s="101">
        <v>0</v>
      </c>
      <c r="L338" s="101">
        <v>0</v>
      </c>
      <c r="M338" s="102">
        <v>67</v>
      </c>
      <c r="N338" s="103">
        <v>3780</v>
      </c>
      <c r="O338" s="102">
        <v>1</v>
      </c>
      <c r="P338" s="103">
        <f t="shared" si="50"/>
        <v>3780</v>
      </c>
      <c r="Q338" s="103"/>
      <c r="R338" s="102">
        <v>3780</v>
      </c>
      <c r="S338" s="102">
        <f t="shared" si="44"/>
        <v>0</v>
      </c>
      <c r="T338" s="102">
        <f t="shared" si="45"/>
        <v>1289.5522388059703</v>
      </c>
      <c r="U338" s="101">
        <f t="shared" si="46"/>
        <v>0</v>
      </c>
      <c r="V338" s="101">
        <f t="shared" si="47"/>
        <v>0</v>
      </c>
      <c r="W338" s="101">
        <v>0</v>
      </c>
      <c r="X338" s="55">
        <f t="shared" si="48"/>
        <v>46153.968362268512</v>
      </c>
    </row>
    <row r="339" spans="1:24" s="118" customFormat="1" hidden="1" x14ac:dyDescent="0.35">
      <c r="A339" s="46">
        <f t="shared" si="49"/>
        <v>46153.968362268512</v>
      </c>
      <c r="B339" s="46"/>
      <c r="C339" s="46"/>
      <c r="D339" s="46"/>
      <c r="E339" s="119" t="s">
        <v>454</v>
      </c>
      <c r="F339" s="82" t="s">
        <v>271</v>
      </c>
      <c r="G339" s="82"/>
      <c r="H339" s="98" t="s">
        <v>678</v>
      </c>
      <c r="I339" s="82" t="s">
        <v>277</v>
      </c>
      <c r="J339" s="100" t="s">
        <v>140</v>
      </c>
      <c r="K339" s="101">
        <v>0</v>
      </c>
      <c r="L339" s="101">
        <v>0</v>
      </c>
      <c r="M339" s="102">
        <v>67</v>
      </c>
      <c r="N339" s="103">
        <v>630</v>
      </c>
      <c r="O339" s="102">
        <v>1</v>
      </c>
      <c r="P339" s="103">
        <f t="shared" si="50"/>
        <v>630</v>
      </c>
      <c r="Q339" s="103"/>
      <c r="R339" s="102">
        <v>630</v>
      </c>
      <c r="S339" s="102">
        <f t="shared" si="44"/>
        <v>0</v>
      </c>
      <c r="T339" s="102">
        <f t="shared" si="45"/>
        <v>1289.5522388059703</v>
      </c>
      <c r="U339" s="101">
        <f t="shared" si="46"/>
        <v>0</v>
      </c>
      <c r="V339" s="101">
        <f t="shared" si="47"/>
        <v>0</v>
      </c>
      <c r="W339" s="101">
        <v>0</v>
      </c>
      <c r="X339" s="55">
        <f t="shared" si="48"/>
        <v>46153.968362268512</v>
      </c>
    </row>
    <row r="340" spans="1:24" s="118" customFormat="1" hidden="1" x14ac:dyDescent="0.35">
      <c r="A340" s="46">
        <f t="shared" si="49"/>
        <v>46153.968362268512</v>
      </c>
      <c r="B340" s="46"/>
      <c r="C340" s="46"/>
      <c r="D340" s="46"/>
      <c r="E340" s="119" t="s">
        <v>454</v>
      </c>
      <c r="F340" s="82" t="s">
        <v>271</v>
      </c>
      <c r="G340" s="82"/>
      <c r="H340" s="98" t="s">
        <v>679</v>
      </c>
      <c r="I340" s="82" t="s">
        <v>274</v>
      </c>
      <c r="J340" s="100" t="s">
        <v>140</v>
      </c>
      <c r="K340" s="101">
        <v>0</v>
      </c>
      <c r="L340" s="101">
        <v>0</v>
      </c>
      <c r="M340" s="102">
        <v>67</v>
      </c>
      <c r="N340" s="103">
        <v>1050</v>
      </c>
      <c r="O340" s="102">
        <v>1</v>
      </c>
      <c r="P340" s="103">
        <f t="shared" si="50"/>
        <v>1050</v>
      </c>
      <c r="Q340" s="103"/>
      <c r="R340" s="102">
        <v>1050</v>
      </c>
      <c r="S340" s="102">
        <f t="shared" si="44"/>
        <v>0</v>
      </c>
      <c r="T340" s="102">
        <f t="shared" si="45"/>
        <v>1289.5522388059703</v>
      </c>
      <c r="U340" s="101">
        <f t="shared" si="46"/>
        <v>0</v>
      </c>
      <c r="V340" s="101">
        <f t="shared" si="47"/>
        <v>0</v>
      </c>
      <c r="W340" s="101">
        <v>0</v>
      </c>
      <c r="X340" s="55">
        <f t="shared" si="48"/>
        <v>46153.968362268512</v>
      </c>
    </row>
    <row r="341" spans="1:24" s="121" customFormat="1" hidden="1" x14ac:dyDescent="0.35">
      <c r="A341" s="46">
        <f t="shared" si="49"/>
        <v>46153.968362268512</v>
      </c>
      <c r="B341" s="46"/>
      <c r="C341" s="46"/>
      <c r="D341" s="46"/>
      <c r="E341" s="119" t="s">
        <v>454</v>
      </c>
      <c r="F341" s="82" t="s">
        <v>271</v>
      </c>
      <c r="G341" s="82"/>
      <c r="H341" s="98" t="s">
        <v>680</v>
      </c>
      <c r="I341" s="82" t="s">
        <v>191</v>
      </c>
      <c r="J341" s="100" t="s">
        <v>140</v>
      </c>
      <c r="K341" s="101">
        <v>0</v>
      </c>
      <c r="L341" s="101">
        <v>0</v>
      </c>
      <c r="M341" s="102">
        <v>67</v>
      </c>
      <c r="N341" s="103">
        <v>3360</v>
      </c>
      <c r="O341" s="102">
        <v>1</v>
      </c>
      <c r="P341" s="103">
        <f t="shared" si="50"/>
        <v>3360</v>
      </c>
      <c r="Q341" s="103"/>
      <c r="R341" s="102">
        <v>3360</v>
      </c>
      <c r="S341" s="102">
        <f t="shared" si="44"/>
        <v>0</v>
      </c>
      <c r="T341" s="102">
        <f t="shared" si="45"/>
        <v>1289.5522388059703</v>
      </c>
      <c r="U341" s="101">
        <f t="shared" si="46"/>
        <v>0</v>
      </c>
      <c r="V341" s="101">
        <f t="shared" si="47"/>
        <v>0</v>
      </c>
      <c r="W341" s="101">
        <v>0</v>
      </c>
      <c r="X341" s="55">
        <f t="shared" si="48"/>
        <v>46153.968362268512</v>
      </c>
    </row>
    <row r="342" spans="1:24" s="228" customFormat="1" hidden="1" x14ac:dyDescent="0.35">
      <c r="A342" s="46">
        <f t="shared" si="49"/>
        <v>46153.968362268512</v>
      </c>
      <c r="B342" s="46"/>
      <c r="C342" s="46"/>
      <c r="D342" s="46"/>
      <c r="E342" s="119" t="s">
        <v>454</v>
      </c>
      <c r="F342" s="82" t="s">
        <v>271</v>
      </c>
      <c r="G342" s="82"/>
      <c r="H342" s="98" t="s">
        <v>681</v>
      </c>
      <c r="I342" s="82" t="s">
        <v>377</v>
      </c>
      <c r="J342" s="100" t="s">
        <v>140</v>
      </c>
      <c r="K342" s="101">
        <v>0</v>
      </c>
      <c r="L342" s="101">
        <v>0</v>
      </c>
      <c r="M342" s="102">
        <v>67</v>
      </c>
      <c r="N342" s="103">
        <v>420</v>
      </c>
      <c r="O342" s="102">
        <v>1</v>
      </c>
      <c r="P342" s="103">
        <f t="shared" si="50"/>
        <v>420</v>
      </c>
      <c r="Q342" s="103"/>
      <c r="R342" s="102">
        <v>420</v>
      </c>
      <c r="S342" s="102">
        <f t="shared" si="44"/>
        <v>0</v>
      </c>
      <c r="T342" s="102">
        <f t="shared" si="45"/>
        <v>1289.5522388059703</v>
      </c>
      <c r="U342" s="101">
        <f t="shared" si="46"/>
        <v>0</v>
      </c>
      <c r="V342" s="101">
        <f t="shared" si="47"/>
        <v>0</v>
      </c>
      <c r="W342" s="101">
        <v>0</v>
      </c>
      <c r="X342" s="55">
        <f t="shared" si="48"/>
        <v>46153.968362268512</v>
      </c>
    </row>
    <row r="343" spans="1:24" s="221" customFormat="1" ht="26.5" hidden="1" x14ac:dyDescent="0.35">
      <c r="A343" s="46">
        <f t="shared" si="49"/>
        <v>46153.968362268512</v>
      </c>
      <c r="B343" s="46"/>
      <c r="C343" s="46"/>
      <c r="D343" s="46"/>
      <c r="E343" s="47" t="s">
        <v>454</v>
      </c>
      <c r="F343" s="82" t="s">
        <v>682</v>
      </c>
      <c r="G343" s="82"/>
      <c r="H343" s="107" t="s">
        <v>683</v>
      </c>
      <c r="I343" s="82" t="s">
        <v>628</v>
      </c>
      <c r="J343" s="51" t="s">
        <v>140</v>
      </c>
      <c r="K343" s="91">
        <v>0</v>
      </c>
      <c r="L343" s="91">
        <v>0</v>
      </c>
      <c r="M343" s="92">
        <v>106</v>
      </c>
      <c r="N343" s="94">
        <v>825</v>
      </c>
      <c r="O343" s="92">
        <v>1</v>
      </c>
      <c r="P343" s="94">
        <f t="shared" si="50"/>
        <v>825</v>
      </c>
      <c r="Q343" s="94"/>
      <c r="R343" s="92">
        <v>825</v>
      </c>
      <c r="S343" s="92">
        <f t="shared" si="44"/>
        <v>0</v>
      </c>
      <c r="T343" s="92">
        <f t="shared" si="45"/>
        <v>815.09433962264154</v>
      </c>
      <c r="U343" s="91">
        <f t="shared" si="46"/>
        <v>0</v>
      </c>
      <c r="V343" s="91">
        <f t="shared" si="47"/>
        <v>0</v>
      </c>
      <c r="W343" s="91">
        <v>0</v>
      </c>
      <c r="X343" s="55">
        <f t="shared" si="48"/>
        <v>46153.968362268512</v>
      </c>
    </row>
    <row r="344" spans="1:24" s="221" customFormat="1" ht="26.5" hidden="1" x14ac:dyDescent="0.35">
      <c r="A344" s="46">
        <f t="shared" si="49"/>
        <v>46153.968362268512</v>
      </c>
      <c r="B344" s="46"/>
      <c r="C344" s="46"/>
      <c r="D344" s="46"/>
      <c r="E344" s="47" t="s">
        <v>454</v>
      </c>
      <c r="F344" s="82" t="s">
        <v>682</v>
      </c>
      <c r="G344" s="82"/>
      <c r="H344" s="107" t="s">
        <v>684</v>
      </c>
      <c r="I344" s="82" t="s">
        <v>499</v>
      </c>
      <c r="J344" s="51" t="s">
        <v>140</v>
      </c>
      <c r="K344" s="91">
        <v>0</v>
      </c>
      <c r="L344" s="91">
        <v>0</v>
      </c>
      <c r="M344" s="92">
        <v>106</v>
      </c>
      <c r="N344" s="94">
        <v>2189</v>
      </c>
      <c r="O344" s="92">
        <v>1</v>
      </c>
      <c r="P344" s="94">
        <f t="shared" si="50"/>
        <v>2189</v>
      </c>
      <c r="Q344" s="94"/>
      <c r="R344" s="92">
        <v>2189</v>
      </c>
      <c r="S344" s="92">
        <f t="shared" si="44"/>
        <v>0</v>
      </c>
      <c r="T344" s="92">
        <f t="shared" si="45"/>
        <v>815.09433962264154</v>
      </c>
      <c r="U344" s="91">
        <f t="shared" si="46"/>
        <v>0</v>
      </c>
      <c r="V344" s="91">
        <f t="shared" si="47"/>
        <v>0</v>
      </c>
      <c r="W344" s="91">
        <v>0</v>
      </c>
      <c r="X344" s="55">
        <f t="shared" si="48"/>
        <v>46153.968362268512</v>
      </c>
    </row>
    <row r="345" spans="1:24" s="229" customFormat="1" hidden="1" x14ac:dyDescent="0.35">
      <c r="A345" s="46">
        <f t="shared" si="49"/>
        <v>46153.968362268512</v>
      </c>
      <c r="B345" s="46"/>
      <c r="C345" s="46"/>
      <c r="D345" s="46"/>
      <c r="E345" s="47" t="s">
        <v>454</v>
      </c>
      <c r="F345" s="48" t="s">
        <v>685</v>
      </c>
      <c r="G345" s="48"/>
      <c r="H345" s="49" t="s">
        <v>686</v>
      </c>
      <c r="I345" s="82" t="s">
        <v>529</v>
      </c>
      <c r="J345" s="51" t="s">
        <v>283</v>
      </c>
      <c r="K345" s="52">
        <v>0</v>
      </c>
      <c r="L345" s="52">
        <v>0</v>
      </c>
      <c r="M345" s="53">
        <v>67</v>
      </c>
      <c r="N345" s="54">
        <v>840</v>
      </c>
      <c r="O345" s="53">
        <v>1</v>
      </c>
      <c r="P345" s="54">
        <f t="shared" si="50"/>
        <v>840</v>
      </c>
      <c r="Q345" s="54"/>
      <c r="R345" s="53">
        <v>840</v>
      </c>
      <c r="S345" s="53">
        <f t="shared" si="44"/>
        <v>0</v>
      </c>
      <c r="T345" s="53">
        <f t="shared" si="45"/>
        <v>1289.5522388059703</v>
      </c>
      <c r="U345" s="52">
        <f t="shared" si="46"/>
        <v>0</v>
      </c>
      <c r="V345" s="52">
        <f t="shared" si="47"/>
        <v>0</v>
      </c>
      <c r="W345" s="52">
        <v>0</v>
      </c>
      <c r="X345" s="55">
        <f t="shared" si="48"/>
        <v>46153.968362268512</v>
      </c>
    </row>
    <row r="346" spans="1:24" s="221" customFormat="1" hidden="1" x14ac:dyDescent="0.35">
      <c r="A346" s="46">
        <f t="shared" si="49"/>
        <v>46153.968362268512</v>
      </c>
      <c r="B346" s="46"/>
      <c r="C346" s="46"/>
      <c r="D346" s="46"/>
      <c r="E346" s="119" t="s">
        <v>454</v>
      </c>
      <c r="F346" s="82" t="s">
        <v>271</v>
      </c>
      <c r="G346" s="82"/>
      <c r="H346" s="98" t="s">
        <v>687</v>
      </c>
      <c r="I346" s="82" t="s">
        <v>274</v>
      </c>
      <c r="J346" s="100" t="s">
        <v>140</v>
      </c>
      <c r="K346" s="101">
        <v>0</v>
      </c>
      <c r="L346" s="101">
        <v>0</v>
      </c>
      <c r="M346" s="102">
        <v>67</v>
      </c>
      <c r="N346" s="103">
        <v>1680</v>
      </c>
      <c r="O346" s="102">
        <v>1</v>
      </c>
      <c r="P346" s="103">
        <f t="shared" si="50"/>
        <v>1680</v>
      </c>
      <c r="Q346" s="103"/>
      <c r="R346" s="102">
        <v>1680</v>
      </c>
      <c r="S346" s="102">
        <f t="shared" si="44"/>
        <v>0</v>
      </c>
      <c r="T346" s="102">
        <f t="shared" si="45"/>
        <v>1289.5522388059703</v>
      </c>
      <c r="U346" s="101">
        <f t="shared" si="46"/>
        <v>0</v>
      </c>
      <c r="V346" s="101">
        <f t="shared" si="47"/>
        <v>0</v>
      </c>
      <c r="W346" s="101">
        <v>0</v>
      </c>
      <c r="X346" s="55">
        <f t="shared" si="48"/>
        <v>46153.968362268512</v>
      </c>
    </row>
    <row r="347" spans="1:24" s="221" customFormat="1" hidden="1" x14ac:dyDescent="0.35">
      <c r="A347" s="46">
        <f t="shared" si="49"/>
        <v>46153.968362268512</v>
      </c>
      <c r="B347" s="46"/>
      <c r="C347" s="46"/>
      <c r="D347" s="46"/>
      <c r="E347" s="230" t="s">
        <v>454</v>
      </c>
      <c r="F347" s="231" t="s">
        <v>271</v>
      </c>
      <c r="G347" s="231"/>
      <c r="H347" s="232" t="s">
        <v>688</v>
      </c>
      <c r="I347" s="231" t="s">
        <v>191</v>
      </c>
      <c r="J347" s="233" t="s">
        <v>140</v>
      </c>
      <c r="K347" s="234">
        <v>0</v>
      </c>
      <c r="L347" s="234">
        <v>0</v>
      </c>
      <c r="M347" s="235">
        <v>67</v>
      </c>
      <c r="N347" s="236">
        <v>3360</v>
      </c>
      <c r="O347" s="235">
        <v>1</v>
      </c>
      <c r="P347" s="236">
        <f t="shared" si="50"/>
        <v>3360</v>
      </c>
      <c r="Q347" s="236"/>
      <c r="R347" s="235">
        <v>3360</v>
      </c>
      <c r="S347" s="235">
        <f t="shared" si="44"/>
        <v>0</v>
      </c>
      <c r="T347" s="235">
        <f t="shared" si="45"/>
        <v>1289.5522388059703</v>
      </c>
      <c r="U347" s="234">
        <f t="shared" si="46"/>
        <v>0</v>
      </c>
      <c r="V347" s="234">
        <f t="shared" si="47"/>
        <v>0</v>
      </c>
      <c r="W347" s="234">
        <v>0</v>
      </c>
      <c r="X347" s="55">
        <f t="shared" si="48"/>
        <v>46153.968362268512</v>
      </c>
    </row>
    <row r="348" spans="1:24" s="118" customFormat="1" hidden="1" x14ac:dyDescent="0.35">
      <c r="A348" s="46">
        <f t="shared" si="49"/>
        <v>46153.968362268512</v>
      </c>
      <c r="B348" s="46"/>
      <c r="C348" s="46"/>
      <c r="D348" s="46"/>
      <c r="E348" s="119" t="s">
        <v>454</v>
      </c>
      <c r="F348" s="82" t="s">
        <v>271</v>
      </c>
      <c r="G348" s="82"/>
      <c r="H348" s="98" t="s">
        <v>689</v>
      </c>
      <c r="I348" s="82" t="s">
        <v>191</v>
      </c>
      <c r="J348" s="100" t="s">
        <v>140</v>
      </c>
      <c r="K348" s="101">
        <v>0</v>
      </c>
      <c r="L348" s="101">
        <v>0</v>
      </c>
      <c r="M348" s="102">
        <v>67</v>
      </c>
      <c r="N348" s="103">
        <v>2730</v>
      </c>
      <c r="O348" s="102">
        <v>1</v>
      </c>
      <c r="P348" s="103">
        <f t="shared" si="50"/>
        <v>2730</v>
      </c>
      <c r="Q348" s="103"/>
      <c r="R348" s="102">
        <v>2730</v>
      </c>
      <c r="S348" s="102">
        <f t="shared" si="44"/>
        <v>0</v>
      </c>
      <c r="T348" s="102">
        <f t="shared" si="45"/>
        <v>1289.5522388059703</v>
      </c>
      <c r="U348" s="101">
        <f t="shared" si="46"/>
        <v>0</v>
      </c>
      <c r="V348" s="101">
        <f t="shared" si="47"/>
        <v>0</v>
      </c>
      <c r="W348" s="101">
        <v>0</v>
      </c>
      <c r="X348" s="55">
        <f t="shared" si="48"/>
        <v>46153.968362268512</v>
      </c>
    </row>
    <row r="349" spans="1:24" s="118" customFormat="1" hidden="1" x14ac:dyDescent="0.35">
      <c r="A349" s="46">
        <f t="shared" si="49"/>
        <v>46153.968362268512</v>
      </c>
      <c r="B349" s="46"/>
      <c r="C349" s="46"/>
      <c r="D349" s="46"/>
      <c r="E349" s="119" t="s">
        <v>454</v>
      </c>
      <c r="F349" s="82" t="s">
        <v>271</v>
      </c>
      <c r="G349" s="82"/>
      <c r="H349" s="98" t="s">
        <v>690</v>
      </c>
      <c r="I349" s="82" t="s">
        <v>691</v>
      </c>
      <c r="J349" s="100" t="s">
        <v>140</v>
      </c>
      <c r="K349" s="101">
        <v>0</v>
      </c>
      <c r="L349" s="101">
        <v>0</v>
      </c>
      <c r="M349" s="102">
        <v>67</v>
      </c>
      <c r="N349" s="103">
        <v>1050</v>
      </c>
      <c r="O349" s="102">
        <v>1</v>
      </c>
      <c r="P349" s="103">
        <f t="shared" si="50"/>
        <v>1050</v>
      </c>
      <c r="Q349" s="103"/>
      <c r="R349" s="102">
        <v>1050</v>
      </c>
      <c r="S349" s="102">
        <f t="shared" si="44"/>
        <v>0</v>
      </c>
      <c r="T349" s="102">
        <f t="shared" si="45"/>
        <v>1289.5522388059703</v>
      </c>
      <c r="U349" s="101">
        <f t="shared" si="46"/>
        <v>0</v>
      </c>
      <c r="V349" s="101">
        <f t="shared" si="47"/>
        <v>0</v>
      </c>
      <c r="W349" s="101">
        <v>0</v>
      </c>
      <c r="X349" s="55">
        <f t="shared" si="48"/>
        <v>46153.968362268512</v>
      </c>
    </row>
    <row r="350" spans="1:24" s="221" customFormat="1" hidden="1" x14ac:dyDescent="0.35">
      <c r="A350" s="46">
        <f t="shared" si="49"/>
        <v>46153.968362268512</v>
      </c>
      <c r="B350" s="46"/>
      <c r="C350" s="46"/>
      <c r="D350" s="46"/>
      <c r="E350" s="119" t="s">
        <v>454</v>
      </c>
      <c r="F350" s="82" t="s">
        <v>271</v>
      </c>
      <c r="G350" s="82"/>
      <c r="H350" s="98" t="s">
        <v>692</v>
      </c>
      <c r="I350" s="82" t="s">
        <v>277</v>
      </c>
      <c r="J350" s="100" t="s">
        <v>140</v>
      </c>
      <c r="K350" s="101">
        <v>0</v>
      </c>
      <c r="L350" s="101">
        <v>0</v>
      </c>
      <c r="M350" s="102">
        <v>67</v>
      </c>
      <c r="N350" s="103">
        <v>840</v>
      </c>
      <c r="O350" s="102">
        <v>1</v>
      </c>
      <c r="P350" s="103">
        <f t="shared" si="50"/>
        <v>840</v>
      </c>
      <c r="Q350" s="103"/>
      <c r="R350" s="102">
        <v>840</v>
      </c>
      <c r="S350" s="102">
        <f t="shared" si="44"/>
        <v>0</v>
      </c>
      <c r="T350" s="102">
        <f t="shared" si="45"/>
        <v>1289.5522388059703</v>
      </c>
      <c r="U350" s="101">
        <f t="shared" si="46"/>
        <v>0</v>
      </c>
      <c r="V350" s="101">
        <f t="shared" si="47"/>
        <v>0</v>
      </c>
      <c r="W350" s="101">
        <v>0</v>
      </c>
      <c r="X350" s="55">
        <f t="shared" si="48"/>
        <v>46153.968362268512</v>
      </c>
    </row>
    <row r="351" spans="1:24" s="118" customFormat="1" ht="26.5" hidden="1" x14ac:dyDescent="0.35">
      <c r="A351" s="46">
        <f t="shared" si="49"/>
        <v>46153.968362268512</v>
      </c>
      <c r="B351" s="46"/>
      <c r="C351" s="46"/>
      <c r="D351" s="46"/>
      <c r="E351" s="47" t="s">
        <v>454</v>
      </c>
      <c r="F351" s="82" t="s">
        <v>693</v>
      </c>
      <c r="G351" s="82"/>
      <c r="H351" s="107" t="s">
        <v>694</v>
      </c>
      <c r="I351" s="82" t="s">
        <v>499</v>
      </c>
      <c r="J351" s="51" t="s">
        <v>140</v>
      </c>
      <c r="K351" s="91">
        <v>0</v>
      </c>
      <c r="L351" s="91">
        <v>0</v>
      </c>
      <c r="M351" s="92">
        <v>106</v>
      </c>
      <c r="N351" s="94">
        <v>1000</v>
      </c>
      <c r="O351" s="92">
        <v>1</v>
      </c>
      <c r="P351" s="94">
        <f t="shared" si="50"/>
        <v>1000</v>
      </c>
      <c r="Q351" s="94"/>
      <c r="R351" s="92">
        <v>1000</v>
      </c>
      <c r="S351" s="92">
        <f t="shared" si="44"/>
        <v>0</v>
      </c>
      <c r="T351" s="92">
        <f t="shared" si="45"/>
        <v>815.09433962264154</v>
      </c>
      <c r="U351" s="91">
        <f t="shared" si="46"/>
        <v>0</v>
      </c>
      <c r="V351" s="91">
        <f t="shared" si="47"/>
        <v>0</v>
      </c>
      <c r="W351" s="91">
        <v>0</v>
      </c>
      <c r="X351" s="55">
        <f t="shared" si="48"/>
        <v>46153.968362268512</v>
      </c>
    </row>
    <row r="352" spans="1:24" ht="26.5" hidden="1" x14ac:dyDescent="0.35">
      <c r="A352" s="46">
        <f t="shared" si="49"/>
        <v>46153.968362268512</v>
      </c>
      <c r="B352" s="46"/>
      <c r="C352" s="46"/>
      <c r="D352" s="46"/>
      <c r="E352" s="47" t="s">
        <v>454</v>
      </c>
      <c r="F352" s="82" t="s">
        <v>695</v>
      </c>
      <c r="G352" s="82"/>
      <c r="H352" s="98" t="s">
        <v>696</v>
      </c>
      <c r="I352" s="219" t="s">
        <v>560</v>
      </c>
      <c r="J352" s="51" t="s">
        <v>140</v>
      </c>
      <c r="K352" s="91">
        <v>0</v>
      </c>
      <c r="L352" s="91">
        <v>0</v>
      </c>
      <c r="M352" s="92">
        <v>140</v>
      </c>
      <c r="N352" s="226">
        <v>200</v>
      </c>
      <c r="O352" s="92">
        <v>1</v>
      </c>
      <c r="P352" s="94">
        <f t="shared" si="50"/>
        <v>200</v>
      </c>
      <c r="Q352" s="94"/>
      <c r="R352" s="92">
        <v>200</v>
      </c>
      <c r="S352" s="92">
        <f t="shared" si="44"/>
        <v>0</v>
      </c>
      <c r="T352" s="92">
        <f t="shared" si="45"/>
        <v>617.14285714285711</v>
      </c>
      <c r="U352" s="91">
        <f t="shared" si="46"/>
        <v>0</v>
      </c>
      <c r="V352" s="91">
        <f t="shared" si="47"/>
        <v>0</v>
      </c>
      <c r="W352" s="91">
        <v>0</v>
      </c>
      <c r="X352" s="55">
        <f t="shared" si="48"/>
        <v>46153.968362268512</v>
      </c>
    </row>
    <row r="353" spans="1:24" s="118" customFormat="1" ht="26.5" hidden="1" x14ac:dyDescent="0.35">
      <c r="A353" s="46">
        <f t="shared" si="49"/>
        <v>46153.968362268512</v>
      </c>
      <c r="B353" s="46"/>
      <c r="C353" s="46"/>
      <c r="D353" s="46"/>
      <c r="E353" s="47" t="s">
        <v>454</v>
      </c>
      <c r="F353" s="82" t="s">
        <v>189</v>
      </c>
      <c r="G353" s="82"/>
      <c r="H353" s="98" t="s">
        <v>697</v>
      </c>
      <c r="I353" s="219" t="s">
        <v>562</v>
      </c>
      <c r="J353" s="51" t="s">
        <v>140</v>
      </c>
      <c r="K353" s="91">
        <v>0</v>
      </c>
      <c r="L353" s="91">
        <v>0</v>
      </c>
      <c r="M353" s="92">
        <v>140</v>
      </c>
      <c r="N353" s="226">
        <v>500</v>
      </c>
      <c r="O353" s="92">
        <v>1</v>
      </c>
      <c r="P353" s="94">
        <f t="shared" si="50"/>
        <v>500</v>
      </c>
      <c r="Q353" s="94"/>
      <c r="R353" s="92">
        <v>500</v>
      </c>
      <c r="S353" s="92">
        <f t="shared" si="44"/>
        <v>0</v>
      </c>
      <c r="T353" s="92">
        <f t="shared" si="45"/>
        <v>617.14285714285711</v>
      </c>
      <c r="U353" s="91">
        <f t="shared" si="46"/>
        <v>0</v>
      </c>
      <c r="V353" s="91">
        <f t="shared" si="47"/>
        <v>0</v>
      </c>
      <c r="W353" s="91">
        <v>0</v>
      </c>
      <c r="X353" s="55">
        <f t="shared" si="48"/>
        <v>46153.968362268512</v>
      </c>
    </row>
    <row r="354" spans="1:24" s="118" customFormat="1" hidden="1" x14ac:dyDescent="0.35">
      <c r="A354" s="46">
        <f t="shared" si="49"/>
        <v>46153.968362268512</v>
      </c>
      <c r="B354" s="46"/>
      <c r="C354" s="46"/>
      <c r="D354" s="46"/>
      <c r="E354" s="119" t="s">
        <v>454</v>
      </c>
      <c r="F354" s="82" t="s">
        <v>271</v>
      </c>
      <c r="G354" s="82"/>
      <c r="H354" s="98" t="s">
        <v>698</v>
      </c>
      <c r="I354" s="82" t="s">
        <v>191</v>
      </c>
      <c r="J354" s="100" t="s">
        <v>140</v>
      </c>
      <c r="K354" s="101">
        <v>0</v>
      </c>
      <c r="L354" s="101">
        <v>0</v>
      </c>
      <c r="M354" s="102">
        <v>67</v>
      </c>
      <c r="N354" s="103">
        <v>2520</v>
      </c>
      <c r="O354" s="102">
        <v>1</v>
      </c>
      <c r="P354" s="103">
        <f t="shared" si="50"/>
        <v>2520</v>
      </c>
      <c r="Q354" s="103"/>
      <c r="R354" s="102">
        <v>2520</v>
      </c>
      <c r="S354" s="102">
        <f t="shared" si="44"/>
        <v>0</v>
      </c>
      <c r="T354" s="102">
        <f t="shared" si="45"/>
        <v>1289.5522388059703</v>
      </c>
      <c r="U354" s="101">
        <f t="shared" si="46"/>
        <v>0</v>
      </c>
      <c r="V354" s="101">
        <f t="shared" si="47"/>
        <v>0</v>
      </c>
      <c r="W354" s="101">
        <v>0</v>
      </c>
      <c r="X354" s="55">
        <f t="shared" si="48"/>
        <v>46153.968362268512</v>
      </c>
    </row>
    <row r="355" spans="1:24" s="118" customFormat="1" hidden="1" x14ac:dyDescent="0.35">
      <c r="A355" s="46">
        <f t="shared" si="49"/>
        <v>46153.968362268512</v>
      </c>
      <c r="B355" s="46"/>
      <c r="C355" s="46"/>
      <c r="D355" s="46"/>
      <c r="E355" s="119" t="s">
        <v>454</v>
      </c>
      <c r="F355" s="82" t="s">
        <v>271</v>
      </c>
      <c r="G355" s="82"/>
      <c r="H355" s="98" t="s">
        <v>699</v>
      </c>
      <c r="I355" s="82" t="s">
        <v>277</v>
      </c>
      <c r="J355" s="100" t="s">
        <v>140</v>
      </c>
      <c r="K355" s="101">
        <v>0</v>
      </c>
      <c r="L355" s="101">
        <v>0</v>
      </c>
      <c r="M355" s="102">
        <v>67</v>
      </c>
      <c r="N355" s="103">
        <v>1680</v>
      </c>
      <c r="O355" s="102">
        <v>1</v>
      </c>
      <c r="P355" s="103">
        <f t="shared" si="50"/>
        <v>1680</v>
      </c>
      <c r="Q355" s="103"/>
      <c r="R355" s="102">
        <v>1680</v>
      </c>
      <c r="S355" s="102">
        <f t="shared" si="44"/>
        <v>0</v>
      </c>
      <c r="T355" s="102">
        <f t="shared" si="45"/>
        <v>1289.5522388059703</v>
      </c>
      <c r="U355" s="101">
        <f t="shared" si="46"/>
        <v>0</v>
      </c>
      <c r="V355" s="101">
        <f t="shared" si="47"/>
        <v>0</v>
      </c>
      <c r="W355" s="101">
        <v>0</v>
      </c>
      <c r="X355" s="55">
        <f t="shared" si="48"/>
        <v>46153.968362268512</v>
      </c>
    </row>
    <row r="356" spans="1:24" s="118" customFormat="1" ht="26.5" hidden="1" x14ac:dyDescent="0.35">
      <c r="A356" s="46">
        <f t="shared" si="49"/>
        <v>46153.968362268512</v>
      </c>
      <c r="B356" s="46"/>
      <c r="C356" s="46"/>
      <c r="D356" s="46"/>
      <c r="E356" s="47" t="s">
        <v>454</v>
      </c>
      <c r="F356" s="82" t="s">
        <v>700</v>
      </c>
      <c r="G356" s="82"/>
      <c r="H356" s="107" t="s">
        <v>701</v>
      </c>
      <c r="I356" s="82" t="s">
        <v>499</v>
      </c>
      <c r="J356" s="51" t="s">
        <v>140</v>
      </c>
      <c r="K356" s="91">
        <v>0</v>
      </c>
      <c r="L356" s="91">
        <v>0</v>
      </c>
      <c r="M356" s="92">
        <v>106</v>
      </c>
      <c r="N356" s="94">
        <v>1000</v>
      </c>
      <c r="O356" s="92">
        <v>1</v>
      </c>
      <c r="P356" s="94">
        <f t="shared" si="50"/>
        <v>1000</v>
      </c>
      <c r="Q356" s="94"/>
      <c r="R356" s="92">
        <v>1000</v>
      </c>
      <c r="S356" s="92">
        <f t="shared" si="44"/>
        <v>0</v>
      </c>
      <c r="T356" s="92">
        <f t="shared" si="45"/>
        <v>815.09433962264154</v>
      </c>
      <c r="U356" s="91">
        <f t="shared" si="46"/>
        <v>0</v>
      </c>
      <c r="V356" s="91">
        <f t="shared" si="47"/>
        <v>0</v>
      </c>
      <c r="W356" s="91">
        <v>0</v>
      </c>
      <c r="X356" s="55">
        <f t="shared" si="48"/>
        <v>46153.968362268512</v>
      </c>
    </row>
    <row r="357" spans="1:24" s="118" customFormat="1" ht="26.5" hidden="1" x14ac:dyDescent="0.35">
      <c r="A357" s="46">
        <f t="shared" si="49"/>
        <v>46153.968362268512</v>
      </c>
      <c r="B357" s="46"/>
      <c r="C357" s="46"/>
      <c r="D357" s="46"/>
      <c r="E357" s="47" t="s">
        <v>454</v>
      </c>
      <c r="F357" s="69" t="s">
        <v>241</v>
      </c>
      <c r="G357" s="69"/>
      <c r="H357" s="98" t="s">
        <v>702</v>
      </c>
      <c r="I357" s="97" t="s">
        <v>703</v>
      </c>
      <c r="J357" s="51" t="s">
        <v>140</v>
      </c>
      <c r="K357" s="91">
        <v>0</v>
      </c>
      <c r="L357" s="91">
        <v>0</v>
      </c>
      <c r="M357" s="92">
        <v>100</v>
      </c>
      <c r="N357" s="94">
        <v>10000</v>
      </c>
      <c r="O357" s="92">
        <v>1</v>
      </c>
      <c r="P357" s="94">
        <f t="shared" si="50"/>
        <v>10000</v>
      </c>
      <c r="Q357" s="94"/>
      <c r="R357" s="92">
        <v>10000</v>
      </c>
      <c r="S357" s="92">
        <f t="shared" si="44"/>
        <v>0</v>
      </c>
      <c r="T357" s="92">
        <f t="shared" si="45"/>
        <v>864</v>
      </c>
      <c r="U357" s="91">
        <f t="shared" si="46"/>
        <v>0</v>
      </c>
      <c r="V357" s="91">
        <f t="shared" si="47"/>
        <v>0</v>
      </c>
      <c r="W357" s="91">
        <v>0</v>
      </c>
      <c r="X357" s="55">
        <f t="shared" si="48"/>
        <v>46153.968362268512</v>
      </c>
    </row>
    <row r="358" spans="1:24" s="118" customFormat="1" ht="26.5" hidden="1" x14ac:dyDescent="0.35">
      <c r="A358" s="46">
        <f t="shared" si="49"/>
        <v>46153.968362268512</v>
      </c>
      <c r="B358" s="46"/>
      <c r="C358" s="46"/>
      <c r="D358" s="46"/>
      <c r="E358" s="47" t="s">
        <v>454</v>
      </c>
      <c r="F358" s="82" t="s">
        <v>704</v>
      </c>
      <c r="G358" s="82"/>
      <c r="H358" s="107" t="s">
        <v>705</v>
      </c>
      <c r="I358" s="82" t="s">
        <v>499</v>
      </c>
      <c r="J358" s="51" t="s">
        <v>140</v>
      </c>
      <c r="K358" s="91">
        <v>0</v>
      </c>
      <c r="L358" s="91">
        <v>0</v>
      </c>
      <c r="M358" s="92">
        <v>106</v>
      </c>
      <c r="N358" s="94">
        <v>1000</v>
      </c>
      <c r="O358" s="92">
        <v>1</v>
      </c>
      <c r="P358" s="94">
        <f t="shared" si="50"/>
        <v>1000</v>
      </c>
      <c r="Q358" s="94"/>
      <c r="R358" s="92">
        <v>1000</v>
      </c>
      <c r="S358" s="92">
        <f t="shared" si="44"/>
        <v>0</v>
      </c>
      <c r="T358" s="92">
        <f t="shared" si="45"/>
        <v>815.09433962264154</v>
      </c>
      <c r="U358" s="91">
        <f t="shared" si="46"/>
        <v>0</v>
      </c>
      <c r="V358" s="91">
        <f t="shared" si="47"/>
        <v>0</v>
      </c>
      <c r="W358" s="91">
        <v>0</v>
      </c>
      <c r="X358" s="55">
        <f t="shared" si="48"/>
        <v>46153.968362268512</v>
      </c>
    </row>
    <row r="359" spans="1:24" hidden="1" x14ac:dyDescent="0.35">
      <c r="A359" s="46">
        <f t="shared" si="49"/>
        <v>46153.968362268512</v>
      </c>
      <c r="B359" s="46"/>
      <c r="C359" s="46"/>
      <c r="D359" s="46"/>
      <c r="E359" s="96" t="s">
        <v>454</v>
      </c>
      <c r="F359" s="97" t="s">
        <v>706</v>
      </c>
      <c r="G359" s="97"/>
      <c r="H359" s="98" t="s">
        <v>707</v>
      </c>
      <c r="I359" s="85" t="s">
        <v>282</v>
      </c>
      <c r="J359" s="100" t="s">
        <v>283</v>
      </c>
      <c r="K359" s="91">
        <v>0</v>
      </c>
      <c r="L359" s="91">
        <v>0</v>
      </c>
      <c r="M359" s="92">
        <v>78</v>
      </c>
      <c r="N359" s="94">
        <v>2160</v>
      </c>
      <c r="O359" s="92">
        <v>2</v>
      </c>
      <c r="P359" s="94">
        <f t="shared" si="50"/>
        <v>1080</v>
      </c>
      <c r="Q359" s="94"/>
      <c r="R359" s="102">
        <v>1080</v>
      </c>
      <c r="S359" s="92">
        <f t="shared" si="44"/>
        <v>0</v>
      </c>
      <c r="T359" s="102">
        <f t="shared" si="45"/>
        <v>2215.3846153846152</v>
      </c>
      <c r="U359" s="101">
        <f t="shared" si="46"/>
        <v>0</v>
      </c>
      <c r="V359" s="101">
        <f t="shared" si="47"/>
        <v>0</v>
      </c>
      <c r="W359" s="101">
        <v>0</v>
      </c>
      <c r="X359" s="55">
        <f t="shared" si="48"/>
        <v>46153.968362268512</v>
      </c>
    </row>
    <row r="360" spans="1:24" ht="26.5" hidden="1" x14ac:dyDescent="0.35">
      <c r="A360" s="46">
        <f t="shared" si="49"/>
        <v>46153.968362268512</v>
      </c>
      <c r="B360" s="46"/>
      <c r="C360" s="46"/>
      <c r="D360" s="46"/>
      <c r="E360" s="119" t="s">
        <v>454</v>
      </c>
      <c r="F360" s="97" t="s">
        <v>708</v>
      </c>
      <c r="G360" s="97"/>
      <c r="H360" s="98" t="s">
        <v>709</v>
      </c>
      <c r="I360" s="106" t="s">
        <v>710</v>
      </c>
      <c r="J360" s="100" t="s">
        <v>140</v>
      </c>
      <c r="K360" s="101">
        <v>0</v>
      </c>
      <c r="L360" s="101">
        <v>0</v>
      </c>
      <c r="M360" s="102">
        <v>105</v>
      </c>
      <c r="N360" s="103">
        <v>500</v>
      </c>
      <c r="O360" s="102">
        <v>1</v>
      </c>
      <c r="P360" s="103">
        <f t="shared" si="50"/>
        <v>500</v>
      </c>
      <c r="Q360" s="103"/>
      <c r="R360" s="102">
        <v>500</v>
      </c>
      <c r="S360" s="102">
        <f t="shared" si="44"/>
        <v>0</v>
      </c>
      <c r="T360" s="102">
        <f t="shared" si="45"/>
        <v>822.85714285714289</v>
      </c>
      <c r="U360" s="101">
        <f t="shared" si="46"/>
        <v>0</v>
      </c>
      <c r="V360" s="101">
        <f t="shared" si="47"/>
        <v>0</v>
      </c>
      <c r="W360" s="101">
        <v>0</v>
      </c>
      <c r="X360" s="55">
        <f t="shared" si="48"/>
        <v>46153.968362268512</v>
      </c>
    </row>
    <row r="361" spans="1:24" ht="26.5" hidden="1" x14ac:dyDescent="0.35">
      <c r="A361" s="46">
        <f t="shared" si="49"/>
        <v>46153.968362268512</v>
      </c>
      <c r="B361" s="46"/>
      <c r="C361" s="46"/>
      <c r="D361" s="46"/>
      <c r="E361" s="119" t="s">
        <v>454</v>
      </c>
      <c r="F361" s="82" t="s">
        <v>711</v>
      </c>
      <c r="G361" s="82"/>
      <c r="H361" s="98" t="s">
        <v>712</v>
      </c>
      <c r="I361" s="85" t="s">
        <v>664</v>
      </c>
      <c r="J361" s="100" t="s">
        <v>140</v>
      </c>
      <c r="K361" s="91">
        <v>0</v>
      </c>
      <c r="L361" s="91">
        <v>0</v>
      </c>
      <c r="M361" s="92">
        <v>70</v>
      </c>
      <c r="N361" s="94">
        <v>500</v>
      </c>
      <c r="O361" s="92">
        <v>1</v>
      </c>
      <c r="P361" s="94">
        <f t="shared" si="50"/>
        <v>500</v>
      </c>
      <c r="Q361" s="94"/>
      <c r="R361" s="102">
        <v>500</v>
      </c>
      <c r="S361" s="92">
        <f t="shared" si="44"/>
        <v>0</v>
      </c>
      <c r="T361" s="102">
        <f t="shared" si="45"/>
        <v>1234.2857142857142</v>
      </c>
      <c r="U361" s="101">
        <f t="shared" si="46"/>
        <v>0</v>
      </c>
      <c r="V361" s="101">
        <f t="shared" si="47"/>
        <v>0</v>
      </c>
      <c r="W361" s="101">
        <v>0</v>
      </c>
      <c r="X361" s="55">
        <f t="shared" si="48"/>
        <v>46153.968362268512</v>
      </c>
    </row>
    <row r="362" spans="1:24" ht="26.5" hidden="1" x14ac:dyDescent="0.35">
      <c r="A362" s="46">
        <f t="shared" si="49"/>
        <v>46153.968362268512</v>
      </c>
      <c r="B362" s="46"/>
      <c r="C362" s="46"/>
      <c r="D362" s="46"/>
      <c r="E362" s="119" t="s">
        <v>454</v>
      </c>
      <c r="F362" s="82" t="s">
        <v>711</v>
      </c>
      <c r="G362" s="82"/>
      <c r="H362" s="107" t="s">
        <v>713</v>
      </c>
      <c r="I362" s="85" t="s">
        <v>333</v>
      </c>
      <c r="J362" s="100" t="s">
        <v>140</v>
      </c>
      <c r="K362" s="91">
        <v>0</v>
      </c>
      <c r="L362" s="91">
        <v>0</v>
      </c>
      <c r="M362" s="92">
        <v>70</v>
      </c>
      <c r="N362" s="94">
        <v>500</v>
      </c>
      <c r="O362" s="92">
        <v>1</v>
      </c>
      <c r="P362" s="94">
        <f t="shared" si="50"/>
        <v>500</v>
      </c>
      <c r="Q362" s="94"/>
      <c r="R362" s="92">
        <v>500</v>
      </c>
      <c r="S362" s="92">
        <f t="shared" si="44"/>
        <v>0</v>
      </c>
      <c r="T362" s="102">
        <f t="shared" si="45"/>
        <v>1234.2857142857142</v>
      </c>
      <c r="U362" s="101">
        <f t="shared" si="46"/>
        <v>0</v>
      </c>
      <c r="V362" s="101">
        <f t="shared" si="47"/>
        <v>0</v>
      </c>
      <c r="W362" s="101">
        <v>0</v>
      </c>
      <c r="X362" s="55">
        <f t="shared" si="48"/>
        <v>46153.968362268512</v>
      </c>
    </row>
    <row r="363" spans="1:24" hidden="1" x14ac:dyDescent="0.35">
      <c r="A363" s="46">
        <f t="shared" si="49"/>
        <v>46153.968362268512</v>
      </c>
      <c r="B363" s="46"/>
      <c r="C363" s="46"/>
      <c r="D363" s="46"/>
      <c r="E363" s="119" t="s">
        <v>454</v>
      </c>
      <c r="F363" s="82" t="s">
        <v>714</v>
      </c>
      <c r="G363" s="82"/>
      <c r="H363" s="98" t="s">
        <v>715</v>
      </c>
      <c r="I363" s="82" t="s">
        <v>716</v>
      </c>
      <c r="J363" s="100" t="s">
        <v>140</v>
      </c>
      <c r="K363" s="101">
        <v>0</v>
      </c>
      <c r="L363" s="101">
        <v>0</v>
      </c>
      <c r="M363" s="102">
        <v>85</v>
      </c>
      <c r="N363" s="103">
        <v>2000</v>
      </c>
      <c r="O363" s="102">
        <v>1</v>
      </c>
      <c r="P363" s="103">
        <f t="shared" si="50"/>
        <v>2000</v>
      </c>
      <c r="Q363" s="103"/>
      <c r="R363" s="102">
        <v>2000</v>
      </c>
      <c r="S363" s="102">
        <f t="shared" si="44"/>
        <v>0</v>
      </c>
      <c r="T363" s="102">
        <f t="shared" si="45"/>
        <v>1016.4705882352941</v>
      </c>
      <c r="U363" s="101">
        <f t="shared" si="46"/>
        <v>0</v>
      </c>
      <c r="V363" s="101">
        <f t="shared" si="47"/>
        <v>0</v>
      </c>
      <c r="W363" s="101">
        <v>0</v>
      </c>
      <c r="X363" s="55">
        <f t="shared" si="48"/>
        <v>46153.968362268512</v>
      </c>
    </row>
    <row r="364" spans="1:24" hidden="1" x14ac:dyDescent="0.35">
      <c r="A364" s="46">
        <f t="shared" si="49"/>
        <v>46153.968362268512</v>
      </c>
      <c r="B364" s="46"/>
      <c r="C364" s="46"/>
      <c r="D364" s="46"/>
      <c r="E364" s="119" t="s">
        <v>454</v>
      </c>
      <c r="F364" s="82" t="s">
        <v>265</v>
      </c>
      <c r="G364" s="82"/>
      <c r="H364" s="98" t="s">
        <v>717</v>
      </c>
      <c r="I364" s="82" t="s">
        <v>716</v>
      </c>
      <c r="J364" s="100" t="s">
        <v>140</v>
      </c>
      <c r="K364" s="101">
        <v>0</v>
      </c>
      <c r="L364" s="101">
        <v>0</v>
      </c>
      <c r="M364" s="102">
        <v>85</v>
      </c>
      <c r="N364" s="103">
        <v>2000</v>
      </c>
      <c r="O364" s="102">
        <v>1</v>
      </c>
      <c r="P364" s="103">
        <f t="shared" si="50"/>
        <v>2000</v>
      </c>
      <c r="Q364" s="103"/>
      <c r="R364" s="102">
        <v>2000</v>
      </c>
      <c r="S364" s="102">
        <f t="shared" si="44"/>
        <v>0</v>
      </c>
      <c r="T364" s="102">
        <f t="shared" si="45"/>
        <v>1016.4705882352941</v>
      </c>
      <c r="U364" s="101">
        <f t="shared" si="46"/>
        <v>0</v>
      </c>
      <c r="V364" s="101">
        <f t="shared" si="47"/>
        <v>0</v>
      </c>
      <c r="W364" s="101">
        <v>0</v>
      </c>
      <c r="X364" s="55">
        <f t="shared" si="48"/>
        <v>46153.968362268512</v>
      </c>
    </row>
    <row r="365" spans="1:24" hidden="1" x14ac:dyDescent="0.35">
      <c r="A365" s="46">
        <f t="shared" si="49"/>
        <v>46153.968362268512</v>
      </c>
      <c r="B365" s="46"/>
      <c r="C365" s="46"/>
      <c r="D365" s="46"/>
      <c r="E365" s="119" t="s">
        <v>454</v>
      </c>
      <c r="F365" s="69" t="s">
        <v>718</v>
      </c>
      <c r="G365" s="69"/>
      <c r="H365" s="98" t="s">
        <v>719</v>
      </c>
      <c r="I365" s="237" t="s">
        <v>148</v>
      </c>
      <c r="J365" s="51" t="s">
        <v>140</v>
      </c>
      <c r="K365" s="91">
        <v>0</v>
      </c>
      <c r="L365" s="91">
        <v>0</v>
      </c>
      <c r="M365" s="92">
        <v>90</v>
      </c>
      <c r="N365" s="94">
        <v>2750</v>
      </c>
      <c r="O365" s="92">
        <v>1</v>
      </c>
      <c r="P365" s="94">
        <f t="shared" si="50"/>
        <v>2750</v>
      </c>
      <c r="Q365" s="94"/>
      <c r="R365" s="92">
        <v>2750</v>
      </c>
      <c r="S365" s="92">
        <f t="shared" si="44"/>
        <v>0</v>
      </c>
      <c r="T365" s="92">
        <f t="shared" si="45"/>
        <v>960</v>
      </c>
      <c r="U365" s="91">
        <f t="shared" si="46"/>
        <v>0</v>
      </c>
      <c r="V365" s="91">
        <f t="shared" si="47"/>
        <v>0</v>
      </c>
      <c r="W365" s="91">
        <v>0</v>
      </c>
      <c r="X365" s="55">
        <f t="shared" si="48"/>
        <v>46153.968362268512</v>
      </c>
    </row>
    <row r="366" spans="1:24" hidden="1" x14ac:dyDescent="0.35">
      <c r="A366" s="46">
        <f t="shared" si="49"/>
        <v>46153.968362268512</v>
      </c>
      <c r="B366" s="46"/>
      <c r="C366" s="46"/>
      <c r="D366" s="46"/>
      <c r="E366" s="119" t="s">
        <v>454</v>
      </c>
      <c r="F366" s="69" t="s">
        <v>720</v>
      </c>
      <c r="G366" s="69"/>
      <c r="H366" s="98" t="s">
        <v>721</v>
      </c>
      <c r="I366" s="237" t="s">
        <v>243</v>
      </c>
      <c r="J366" s="51" t="s">
        <v>140</v>
      </c>
      <c r="K366" s="91">
        <v>0</v>
      </c>
      <c r="L366" s="91">
        <v>0</v>
      </c>
      <c r="M366" s="92">
        <v>90</v>
      </c>
      <c r="N366" s="94">
        <v>100</v>
      </c>
      <c r="O366" s="92">
        <v>1</v>
      </c>
      <c r="P366" s="94">
        <f t="shared" si="50"/>
        <v>100</v>
      </c>
      <c r="Q366" s="94"/>
      <c r="R366" s="92">
        <v>100</v>
      </c>
      <c r="S366" s="92">
        <f t="shared" si="44"/>
        <v>0</v>
      </c>
      <c r="T366" s="92">
        <f t="shared" si="45"/>
        <v>960</v>
      </c>
      <c r="U366" s="91">
        <f t="shared" si="46"/>
        <v>0</v>
      </c>
      <c r="V366" s="91">
        <f t="shared" si="47"/>
        <v>0</v>
      </c>
      <c r="W366" s="91">
        <v>0</v>
      </c>
      <c r="X366" s="55">
        <f t="shared" si="48"/>
        <v>46153.968362268512</v>
      </c>
    </row>
    <row r="367" spans="1:24" hidden="1" x14ac:dyDescent="0.35">
      <c r="A367" s="46">
        <f t="shared" si="49"/>
        <v>46153.968362268512</v>
      </c>
      <c r="B367" s="46"/>
      <c r="C367" s="46"/>
      <c r="D367" s="46"/>
      <c r="E367" s="119" t="s">
        <v>454</v>
      </c>
      <c r="F367" s="82" t="s">
        <v>271</v>
      </c>
      <c r="G367" s="82"/>
      <c r="H367" s="98" t="s">
        <v>722</v>
      </c>
      <c r="I367" s="82" t="s">
        <v>274</v>
      </c>
      <c r="J367" s="100" t="s">
        <v>140</v>
      </c>
      <c r="K367" s="101">
        <v>0</v>
      </c>
      <c r="L367" s="101">
        <v>0</v>
      </c>
      <c r="M367" s="102">
        <v>67</v>
      </c>
      <c r="N367" s="103">
        <v>1680</v>
      </c>
      <c r="O367" s="102">
        <v>1</v>
      </c>
      <c r="P367" s="103">
        <f t="shared" si="50"/>
        <v>1680</v>
      </c>
      <c r="Q367" s="103"/>
      <c r="R367" s="102">
        <v>1680</v>
      </c>
      <c r="S367" s="102">
        <f t="shared" si="44"/>
        <v>0</v>
      </c>
      <c r="T367" s="102">
        <f t="shared" si="45"/>
        <v>1289.5522388059703</v>
      </c>
      <c r="U367" s="101">
        <f t="shared" si="46"/>
        <v>0</v>
      </c>
      <c r="V367" s="101">
        <f t="shared" si="47"/>
        <v>0</v>
      </c>
      <c r="W367" s="101">
        <v>0</v>
      </c>
      <c r="X367" s="55">
        <f t="shared" si="48"/>
        <v>46153.968362268512</v>
      </c>
    </row>
    <row r="368" spans="1:24" hidden="1" x14ac:dyDescent="0.35">
      <c r="A368" s="46">
        <f t="shared" si="49"/>
        <v>46153.968362268512</v>
      </c>
      <c r="B368" s="46"/>
      <c r="C368" s="46"/>
      <c r="D368" s="46"/>
      <c r="E368" s="119" t="s">
        <v>454</v>
      </c>
      <c r="F368" s="82" t="s">
        <v>271</v>
      </c>
      <c r="G368" s="82"/>
      <c r="H368" s="98" t="s">
        <v>723</v>
      </c>
      <c r="I368" s="82" t="s">
        <v>191</v>
      </c>
      <c r="J368" s="100" t="s">
        <v>140</v>
      </c>
      <c r="K368" s="101">
        <v>0</v>
      </c>
      <c r="L368" s="101">
        <v>0</v>
      </c>
      <c r="M368" s="102">
        <v>67</v>
      </c>
      <c r="N368" s="103">
        <v>3780</v>
      </c>
      <c r="O368" s="102">
        <v>1</v>
      </c>
      <c r="P368" s="103">
        <f t="shared" si="50"/>
        <v>3780</v>
      </c>
      <c r="Q368" s="103"/>
      <c r="R368" s="102">
        <v>3780</v>
      </c>
      <c r="S368" s="102">
        <f t="shared" si="44"/>
        <v>0</v>
      </c>
      <c r="T368" s="102">
        <f t="shared" si="45"/>
        <v>1289.5522388059703</v>
      </c>
      <c r="U368" s="101">
        <f t="shared" si="46"/>
        <v>0</v>
      </c>
      <c r="V368" s="101">
        <f t="shared" si="47"/>
        <v>0</v>
      </c>
      <c r="W368" s="101">
        <v>0</v>
      </c>
      <c r="X368" s="55">
        <f t="shared" si="48"/>
        <v>46153.968362268512</v>
      </c>
    </row>
    <row r="369" spans="1:24" hidden="1" x14ac:dyDescent="0.35">
      <c r="A369" s="46">
        <f t="shared" si="49"/>
        <v>46153.968362268512</v>
      </c>
      <c r="B369" s="46"/>
      <c r="C369" s="46"/>
      <c r="D369" s="46"/>
      <c r="E369" s="119" t="s">
        <v>454</v>
      </c>
      <c r="F369" s="82" t="s">
        <v>271</v>
      </c>
      <c r="G369" s="82"/>
      <c r="H369" s="98" t="s">
        <v>724</v>
      </c>
      <c r="I369" s="82" t="s">
        <v>191</v>
      </c>
      <c r="J369" s="100" t="s">
        <v>140</v>
      </c>
      <c r="K369" s="101">
        <v>0</v>
      </c>
      <c r="L369" s="101">
        <v>0</v>
      </c>
      <c r="M369" s="102">
        <v>67</v>
      </c>
      <c r="N369" s="103">
        <v>3150</v>
      </c>
      <c r="O369" s="102">
        <v>1</v>
      </c>
      <c r="P369" s="103">
        <f t="shared" si="50"/>
        <v>3150</v>
      </c>
      <c r="Q369" s="103"/>
      <c r="R369" s="102">
        <v>3150</v>
      </c>
      <c r="S369" s="102">
        <f t="shared" si="44"/>
        <v>0</v>
      </c>
      <c r="T369" s="102">
        <f t="shared" si="45"/>
        <v>1289.5522388059703</v>
      </c>
      <c r="U369" s="101">
        <f t="shared" si="46"/>
        <v>0</v>
      </c>
      <c r="V369" s="101">
        <f t="shared" si="47"/>
        <v>0</v>
      </c>
      <c r="W369" s="101">
        <v>0</v>
      </c>
      <c r="X369" s="55">
        <f t="shared" si="48"/>
        <v>46153.968362268512</v>
      </c>
    </row>
    <row r="370" spans="1:24" hidden="1" x14ac:dyDescent="0.35">
      <c r="A370" s="46">
        <f t="shared" si="49"/>
        <v>46153.968362268512</v>
      </c>
      <c r="B370" s="46"/>
      <c r="C370" s="46"/>
      <c r="D370" s="46"/>
      <c r="E370" s="119" t="s">
        <v>454</v>
      </c>
      <c r="F370" s="82" t="s">
        <v>271</v>
      </c>
      <c r="G370" s="82"/>
      <c r="H370" s="98" t="s">
        <v>725</v>
      </c>
      <c r="I370" s="82" t="s">
        <v>277</v>
      </c>
      <c r="J370" s="100" t="s">
        <v>140</v>
      </c>
      <c r="K370" s="101">
        <v>0</v>
      </c>
      <c r="L370" s="101">
        <v>0</v>
      </c>
      <c r="M370" s="102">
        <v>67</v>
      </c>
      <c r="N370" s="103">
        <v>420</v>
      </c>
      <c r="O370" s="102">
        <v>1</v>
      </c>
      <c r="P370" s="103">
        <f t="shared" si="50"/>
        <v>420</v>
      </c>
      <c r="Q370" s="103"/>
      <c r="R370" s="102">
        <v>420</v>
      </c>
      <c r="S370" s="102">
        <f t="shared" si="44"/>
        <v>0</v>
      </c>
      <c r="T370" s="102">
        <f t="shared" si="45"/>
        <v>1289.5522388059703</v>
      </c>
      <c r="U370" s="101">
        <f t="shared" si="46"/>
        <v>0</v>
      </c>
      <c r="V370" s="101">
        <f t="shared" si="47"/>
        <v>0</v>
      </c>
      <c r="W370" s="101">
        <v>0</v>
      </c>
      <c r="X370" s="55">
        <f t="shared" si="48"/>
        <v>46153.968362268512</v>
      </c>
    </row>
    <row r="371" spans="1:24" hidden="1" x14ac:dyDescent="0.35">
      <c r="A371" s="46">
        <f t="shared" si="49"/>
        <v>46153.968362268512</v>
      </c>
      <c r="B371" s="46"/>
      <c r="C371" s="46"/>
      <c r="D371" s="46"/>
      <c r="E371" s="119" t="s">
        <v>454</v>
      </c>
      <c r="F371" s="82" t="s">
        <v>271</v>
      </c>
      <c r="G371" s="82"/>
      <c r="H371" s="98" t="s">
        <v>726</v>
      </c>
      <c r="I371" s="82" t="s">
        <v>274</v>
      </c>
      <c r="J371" s="100" t="s">
        <v>140</v>
      </c>
      <c r="K371" s="101">
        <v>0</v>
      </c>
      <c r="L371" s="101">
        <v>0</v>
      </c>
      <c r="M371" s="102">
        <v>67</v>
      </c>
      <c r="N371" s="103">
        <v>630</v>
      </c>
      <c r="O371" s="102">
        <v>1</v>
      </c>
      <c r="P371" s="103">
        <f t="shared" si="50"/>
        <v>630</v>
      </c>
      <c r="Q371" s="103"/>
      <c r="R371" s="102">
        <v>630</v>
      </c>
      <c r="S371" s="102">
        <f t="shared" si="44"/>
        <v>0</v>
      </c>
      <c r="T371" s="102">
        <f t="shared" si="45"/>
        <v>1289.5522388059703</v>
      </c>
      <c r="U371" s="101">
        <f t="shared" si="46"/>
        <v>0</v>
      </c>
      <c r="V371" s="101">
        <f t="shared" si="47"/>
        <v>0</v>
      </c>
      <c r="W371" s="101">
        <v>0</v>
      </c>
      <c r="X371" s="55">
        <f t="shared" si="48"/>
        <v>46153.968362268512</v>
      </c>
    </row>
    <row r="372" spans="1:24" hidden="1" x14ac:dyDescent="0.35">
      <c r="A372" s="46">
        <f t="shared" si="49"/>
        <v>46153.968362268512</v>
      </c>
      <c r="B372" s="46"/>
      <c r="C372" s="46"/>
      <c r="D372" s="46"/>
      <c r="E372" s="47" t="s">
        <v>454</v>
      </c>
      <c r="F372" s="82" t="s">
        <v>727</v>
      </c>
      <c r="G372" s="82"/>
      <c r="H372" s="107" t="s">
        <v>728</v>
      </c>
      <c r="I372" s="82" t="s">
        <v>729</v>
      </c>
      <c r="J372" s="51" t="s">
        <v>140</v>
      </c>
      <c r="K372" s="91">
        <v>0</v>
      </c>
      <c r="L372" s="91">
        <v>0</v>
      </c>
      <c r="M372" s="92">
        <v>106</v>
      </c>
      <c r="N372" s="94">
        <v>3000</v>
      </c>
      <c r="O372" s="92">
        <v>1</v>
      </c>
      <c r="P372" s="94">
        <f t="shared" si="50"/>
        <v>3000</v>
      </c>
      <c r="Q372" s="94"/>
      <c r="R372" s="92">
        <v>3000</v>
      </c>
      <c r="S372" s="92">
        <f t="shared" si="44"/>
        <v>0</v>
      </c>
      <c r="T372" s="92">
        <f t="shared" si="45"/>
        <v>815.09433962264154</v>
      </c>
      <c r="U372" s="91">
        <f t="shared" si="46"/>
        <v>0</v>
      </c>
      <c r="V372" s="91">
        <f t="shared" si="47"/>
        <v>0</v>
      </c>
      <c r="W372" s="91">
        <v>0</v>
      </c>
      <c r="X372" s="55">
        <f t="shared" si="48"/>
        <v>46153.968362268512</v>
      </c>
    </row>
    <row r="373" spans="1:24" hidden="1" x14ac:dyDescent="0.35">
      <c r="A373" s="46">
        <f t="shared" si="49"/>
        <v>46153.968362268512</v>
      </c>
      <c r="B373" s="46"/>
      <c r="C373" s="46"/>
      <c r="D373" s="46"/>
      <c r="E373" s="47" t="s">
        <v>454</v>
      </c>
      <c r="F373" s="97" t="s">
        <v>730</v>
      </c>
      <c r="G373" s="97"/>
      <c r="H373" s="98" t="s">
        <v>731</v>
      </c>
      <c r="I373" s="82" t="s">
        <v>673</v>
      </c>
      <c r="J373" s="51" t="s">
        <v>283</v>
      </c>
      <c r="K373" s="91">
        <v>0</v>
      </c>
      <c r="L373" s="91">
        <v>0</v>
      </c>
      <c r="M373" s="92">
        <v>67</v>
      </c>
      <c r="N373" s="94">
        <v>720</v>
      </c>
      <c r="O373" s="92">
        <v>1</v>
      </c>
      <c r="P373" s="94">
        <f t="shared" si="50"/>
        <v>720</v>
      </c>
      <c r="Q373" s="94"/>
      <c r="R373" s="92">
        <v>720</v>
      </c>
      <c r="S373" s="92">
        <f t="shared" si="44"/>
        <v>0</v>
      </c>
      <c r="T373" s="92">
        <f t="shared" si="45"/>
        <v>1289.5522388059703</v>
      </c>
      <c r="U373" s="91">
        <f t="shared" si="46"/>
        <v>0</v>
      </c>
      <c r="V373" s="91">
        <f t="shared" si="47"/>
        <v>0</v>
      </c>
      <c r="W373" s="91">
        <v>0</v>
      </c>
      <c r="X373" s="55">
        <f t="shared" si="48"/>
        <v>46153.968362268512</v>
      </c>
    </row>
    <row r="374" spans="1:24" hidden="1" x14ac:dyDescent="0.35">
      <c r="A374" s="46">
        <f t="shared" si="49"/>
        <v>46153.968362268512</v>
      </c>
      <c r="B374" s="46"/>
      <c r="C374" s="46"/>
      <c r="D374" s="46"/>
      <c r="E374" s="119" t="s">
        <v>454</v>
      </c>
      <c r="F374" s="97" t="s">
        <v>730</v>
      </c>
      <c r="G374" s="97"/>
      <c r="H374" s="98" t="s">
        <v>732</v>
      </c>
      <c r="I374" s="85" t="s">
        <v>282</v>
      </c>
      <c r="J374" s="100" t="s">
        <v>283</v>
      </c>
      <c r="K374" s="91">
        <v>0</v>
      </c>
      <c r="L374" s="91">
        <v>0</v>
      </c>
      <c r="M374" s="92">
        <v>78</v>
      </c>
      <c r="N374" s="94">
        <v>2160</v>
      </c>
      <c r="O374" s="92">
        <v>2</v>
      </c>
      <c r="P374" s="94">
        <f t="shared" si="50"/>
        <v>1080</v>
      </c>
      <c r="Q374" s="94"/>
      <c r="R374" s="102">
        <v>1080</v>
      </c>
      <c r="S374" s="92">
        <f t="shared" si="44"/>
        <v>0</v>
      </c>
      <c r="T374" s="102">
        <f t="shared" si="45"/>
        <v>2215.3846153846152</v>
      </c>
      <c r="U374" s="101">
        <f t="shared" si="46"/>
        <v>0</v>
      </c>
      <c r="V374" s="101">
        <f t="shared" si="47"/>
        <v>0</v>
      </c>
      <c r="W374" s="101">
        <v>0</v>
      </c>
      <c r="X374" s="55">
        <f t="shared" si="48"/>
        <v>46153.968362268512</v>
      </c>
    </row>
    <row r="375" spans="1:24" hidden="1" x14ac:dyDescent="0.35">
      <c r="A375" s="46">
        <f t="shared" si="49"/>
        <v>46153.968362268512</v>
      </c>
      <c r="B375" s="46"/>
      <c r="C375" s="46"/>
      <c r="D375" s="46"/>
      <c r="E375" s="119" t="s">
        <v>454</v>
      </c>
      <c r="F375" s="82" t="s">
        <v>733</v>
      </c>
      <c r="G375" s="82"/>
      <c r="H375" s="98" t="s">
        <v>734</v>
      </c>
      <c r="I375" s="82" t="s">
        <v>277</v>
      </c>
      <c r="J375" s="100" t="s">
        <v>140</v>
      </c>
      <c r="K375" s="101">
        <v>0</v>
      </c>
      <c r="L375" s="101">
        <v>0</v>
      </c>
      <c r="M375" s="102">
        <v>67</v>
      </c>
      <c r="N375" s="103">
        <v>1260</v>
      </c>
      <c r="O375" s="102">
        <v>1</v>
      </c>
      <c r="P375" s="103">
        <f t="shared" si="50"/>
        <v>1260</v>
      </c>
      <c r="Q375" s="103"/>
      <c r="R375" s="102">
        <v>1260</v>
      </c>
      <c r="S375" s="102">
        <f t="shared" si="44"/>
        <v>0</v>
      </c>
      <c r="T375" s="102">
        <f t="shared" si="45"/>
        <v>1289.5522388059703</v>
      </c>
      <c r="U375" s="101">
        <f t="shared" si="46"/>
        <v>0</v>
      </c>
      <c r="V375" s="101">
        <f t="shared" si="47"/>
        <v>0</v>
      </c>
      <c r="W375" s="101">
        <v>0</v>
      </c>
      <c r="X375" s="55">
        <f t="shared" si="48"/>
        <v>46153.968362268512</v>
      </c>
    </row>
    <row r="376" spans="1:24" ht="26.5" hidden="1" x14ac:dyDescent="0.35">
      <c r="A376" s="46">
        <f t="shared" si="49"/>
        <v>46153.968362268512</v>
      </c>
      <c r="B376" s="46"/>
      <c r="C376" s="46"/>
      <c r="D376" s="46"/>
      <c r="E376" s="119" t="s">
        <v>454</v>
      </c>
      <c r="F376" s="82" t="s">
        <v>735</v>
      </c>
      <c r="G376" s="82"/>
      <c r="H376" s="98" t="s">
        <v>736</v>
      </c>
      <c r="I376" s="82" t="s">
        <v>277</v>
      </c>
      <c r="J376" s="100" t="s">
        <v>140</v>
      </c>
      <c r="K376" s="101">
        <v>0</v>
      </c>
      <c r="L376" s="101">
        <v>0</v>
      </c>
      <c r="M376" s="102">
        <v>67</v>
      </c>
      <c r="N376" s="103">
        <v>1050</v>
      </c>
      <c r="O376" s="102">
        <v>1</v>
      </c>
      <c r="P376" s="103">
        <f t="shared" si="50"/>
        <v>1050</v>
      </c>
      <c r="Q376" s="103"/>
      <c r="R376" s="102">
        <v>1050</v>
      </c>
      <c r="S376" s="102">
        <f t="shared" si="44"/>
        <v>0</v>
      </c>
      <c r="T376" s="102">
        <f t="shared" si="45"/>
        <v>1289.5522388059703</v>
      </c>
      <c r="U376" s="101">
        <f t="shared" si="46"/>
        <v>0</v>
      </c>
      <c r="V376" s="101">
        <f t="shared" si="47"/>
        <v>0</v>
      </c>
      <c r="W376" s="101">
        <v>0</v>
      </c>
      <c r="X376" s="55">
        <f t="shared" si="48"/>
        <v>46153.968362268512</v>
      </c>
    </row>
    <row r="377" spans="1:24" ht="26.5" hidden="1" x14ac:dyDescent="0.35">
      <c r="A377" s="46">
        <f t="shared" si="49"/>
        <v>46153.968362268512</v>
      </c>
      <c r="B377" s="46"/>
      <c r="C377" s="46"/>
      <c r="D377" s="46"/>
      <c r="E377" s="119" t="s">
        <v>454</v>
      </c>
      <c r="F377" s="82" t="s">
        <v>735</v>
      </c>
      <c r="G377" s="82"/>
      <c r="H377" s="98" t="s">
        <v>737</v>
      </c>
      <c r="I377" s="82" t="s">
        <v>409</v>
      </c>
      <c r="J377" s="100" t="s">
        <v>140</v>
      </c>
      <c r="K377" s="101">
        <v>0</v>
      </c>
      <c r="L377" s="101">
        <v>0</v>
      </c>
      <c r="M377" s="102">
        <v>67</v>
      </c>
      <c r="N377" s="103">
        <v>210</v>
      </c>
      <c r="O377" s="102">
        <v>1</v>
      </c>
      <c r="P377" s="103">
        <f t="shared" si="50"/>
        <v>210</v>
      </c>
      <c r="Q377" s="103"/>
      <c r="R377" s="102">
        <v>210</v>
      </c>
      <c r="S377" s="102">
        <f t="shared" si="44"/>
        <v>0</v>
      </c>
      <c r="T377" s="102">
        <f t="shared" si="45"/>
        <v>1289.5522388059703</v>
      </c>
      <c r="U377" s="101">
        <f t="shared" si="46"/>
        <v>0</v>
      </c>
      <c r="V377" s="101">
        <f t="shared" si="47"/>
        <v>0</v>
      </c>
      <c r="W377" s="101">
        <v>0</v>
      </c>
      <c r="X377" s="55">
        <f t="shared" si="48"/>
        <v>46153.968362268512</v>
      </c>
    </row>
    <row r="378" spans="1:24" hidden="1" x14ac:dyDescent="0.35">
      <c r="A378" s="46">
        <f t="shared" si="49"/>
        <v>46153.968362268512</v>
      </c>
      <c r="B378" s="46"/>
      <c r="C378" s="46"/>
      <c r="D378" s="46"/>
      <c r="E378" s="119" t="s">
        <v>454</v>
      </c>
      <c r="F378" s="82" t="s">
        <v>271</v>
      </c>
      <c r="G378" s="82"/>
      <c r="H378" s="98" t="s">
        <v>738</v>
      </c>
      <c r="I378" s="82" t="s">
        <v>191</v>
      </c>
      <c r="J378" s="100" t="s">
        <v>140</v>
      </c>
      <c r="K378" s="101">
        <v>0</v>
      </c>
      <c r="L378" s="101">
        <v>0</v>
      </c>
      <c r="M378" s="102">
        <v>67</v>
      </c>
      <c r="N378" s="103">
        <v>2100</v>
      </c>
      <c r="O378" s="102">
        <v>1</v>
      </c>
      <c r="P378" s="103">
        <f t="shared" si="50"/>
        <v>2100</v>
      </c>
      <c r="Q378" s="103"/>
      <c r="R378" s="102">
        <v>2100</v>
      </c>
      <c r="S378" s="102">
        <f t="shared" si="44"/>
        <v>0</v>
      </c>
      <c r="T378" s="102">
        <f t="shared" si="45"/>
        <v>1289.5522388059703</v>
      </c>
      <c r="U378" s="101">
        <f t="shared" si="46"/>
        <v>0</v>
      </c>
      <c r="V378" s="101">
        <f t="shared" si="47"/>
        <v>0</v>
      </c>
      <c r="W378" s="101">
        <v>0</v>
      </c>
      <c r="X378" s="55">
        <f t="shared" si="48"/>
        <v>46153.968362268512</v>
      </c>
    </row>
    <row r="379" spans="1:24" ht="26.5" hidden="1" x14ac:dyDescent="0.35">
      <c r="A379" s="46">
        <f t="shared" si="49"/>
        <v>46153.968362268512</v>
      </c>
      <c r="B379" s="46"/>
      <c r="C379" s="46"/>
      <c r="D379" s="46"/>
      <c r="E379" s="119" t="s">
        <v>454</v>
      </c>
      <c r="F379" s="82" t="s">
        <v>735</v>
      </c>
      <c r="G379" s="82"/>
      <c r="H379" s="98" t="s">
        <v>739</v>
      </c>
      <c r="I379" s="82" t="s">
        <v>274</v>
      </c>
      <c r="J379" s="100" t="s">
        <v>140</v>
      </c>
      <c r="K379" s="101">
        <v>0</v>
      </c>
      <c r="L379" s="101">
        <v>0</v>
      </c>
      <c r="M379" s="102">
        <v>67</v>
      </c>
      <c r="N379" s="103">
        <v>1050</v>
      </c>
      <c r="O379" s="102">
        <v>1</v>
      </c>
      <c r="P379" s="103">
        <f t="shared" si="50"/>
        <v>1050</v>
      </c>
      <c r="Q379" s="103"/>
      <c r="R379" s="102">
        <v>1050</v>
      </c>
      <c r="S379" s="102">
        <f t="shared" si="44"/>
        <v>0</v>
      </c>
      <c r="T379" s="102">
        <f t="shared" si="45"/>
        <v>1289.5522388059703</v>
      </c>
      <c r="U379" s="101">
        <f t="shared" si="46"/>
        <v>0</v>
      </c>
      <c r="V379" s="101">
        <f t="shared" si="47"/>
        <v>0</v>
      </c>
      <c r="W379" s="101">
        <v>0</v>
      </c>
      <c r="X379" s="55">
        <f t="shared" si="48"/>
        <v>46153.968362268512</v>
      </c>
    </row>
    <row r="380" spans="1:24" ht="26.5" hidden="1" x14ac:dyDescent="0.35">
      <c r="A380" s="46">
        <f t="shared" si="49"/>
        <v>46153.968362268512</v>
      </c>
      <c r="B380" s="46"/>
      <c r="C380" s="46"/>
      <c r="D380" s="46"/>
      <c r="E380" s="119" t="s">
        <v>454</v>
      </c>
      <c r="F380" s="82" t="s">
        <v>735</v>
      </c>
      <c r="G380" s="82"/>
      <c r="H380" s="98" t="s">
        <v>740</v>
      </c>
      <c r="I380" s="82" t="s">
        <v>274</v>
      </c>
      <c r="J380" s="100" t="s">
        <v>140</v>
      </c>
      <c r="K380" s="101">
        <v>0</v>
      </c>
      <c r="L380" s="101">
        <v>0</v>
      </c>
      <c r="M380" s="102">
        <v>67</v>
      </c>
      <c r="N380" s="103">
        <v>1050</v>
      </c>
      <c r="O380" s="102">
        <v>1</v>
      </c>
      <c r="P380" s="103">
        <f t="shared" si="50"/>
        <v>1050</v>
      </c>
      <c r="Q380" s="103"/>
      <c r="R380" s="102">
        <v>1050</v>
      </c>
      <c r="S380" s="102">
        <f t="shared" si="44"/>
        <v>0</v>
      </c>
      <c r="T380" s="102">
        <f t="shared" si="45"/>
        <v>1289.5522388059703</v>
      </c>
      <c r="U380" s="101">
        <f t="shared" si="46"/>
        <v>0</v>
      </c>
      <c r="V380" s="101">
        <f t="shared" si="47"/>
        <v>0</v>
      </c>
      <c r="W380" s="101">
        <v>0</v>
      </c>
      <c r="X380" s="55">
        <f t="shared" si="48"/>
        <v>46153.968362268512</v>
      </c>
    </row>
    <row r="381" spans="1:24" ht="26.5" hidden="1" x14ac:dyDescent="0.35">
      <c r="A381" s="46">
        <f t="shared" si="49"/>
        <v>46153.968362268512</v>
      </c>
      <c r="B381" s="46"/>
      <c r="C381" s="46"/>
      <c r="D381" s="46"/>
      <c r="E381" s="47" t="s">
        <v>454</v>
      </c>
      <c r="F381" s="82" t="s">
        <v>215</v>
      </c>
      <c r="G381" s="82"/>
      <c r="H381" s="98" t="s">
        <v>741</v>
      </c>
      <c r="I381" s="219" t="s">
        <v>562</v>
      </c>
      <c r="J381" s="51" t="s">
        <v>140</v>
      </c>
      <c r="K381" s="91">
        <v>0</v>
      </c>
      <c r="L381" s="91">
        <v>0</v>
      </c>
      <c r="M381" s="92">
        <v>140</v>
      </c>
      <c r="N381" s="226">
        <v>1500</v>
      </c>
      <c r="O381" s="92">
        <v>1</v>
      </c>
      <c r="P381" s="94">
        <f t="shared" si="50"/>
        <v>1500</v>
      </c>
      <c r="Q381" s="94"/>
      <c r="R381" s="92">
        <v>1500</v>
      </c>
      <c r="S381" s="92">
        <f t="shared" si="44"/>
        <v>0</v>
      </c>
      <c r="T381" s="92">
        <f t="shared" si="45"/>
        <v>617.14285714285711</v>
      </c>
      <c r="U381" s="91">
        <f t="shared" si="46"/>
        <v>0</v>
      </c>
      <c r="V381" s="91">
        <f t="shared" si="47"/>
        <v>0</v>
      </c>
      <c r="W381" s="91">
        <v>0</v>
      </c>
      <c r="X381" s="55">
        <f t="shared" si="48"/>
        <v>46153.968362268512</v>
      </c>
    </row>
    <row r="382" spans="1:24" ht="26.5" hidden="1" x14ac:dyDescent="0.35">
      <c r="A382" s="46">
        <f t="shared" si="49"/>
        <v>46153.968362268512</v>
      </c>
      <c r="B382" s="46"/>
      <c r="C382" s="46"/>
      <c r="D382" s="46"/>
      <c r="E382" s="47" t="s">
        <v>454</v>
      </c>
      <c r="F382" s="82" t="s">
        <v>215</v>
      </c>
      <c r="G382" s="82"/>
      <c r="H382" s="98" t="s">
        <v>742</v>
      </c>
      <c r="I382" s="219" t="s">
        <v>560</v>
      </c>
      <c r="J382" s="51" t="s">
        <v>140</v>
      </c>
      <c r="K382" s="91">
        <v>0</v>
      </c>
      <c r="L382" s="91">
        <v>0</v>
      </c>
      <c r="M382" s="92">
        <v>140</v>
      </c>
      <c r="N382" s="226">
        <v>200</v>
      </c>
      <c r="O382" s="92">
        <v>1</v>
      </c>
      <c r="P382" s="94">
        <f t="shared" si="50"/>
        <v>200</v>
      </c>
      <c r="Q382" s="94"/>
      <c r="R382" s="92">
        <v>200</v>
      </c>
      <c r="S382" s="92">
        <f t="shared" si="44"/>
        <v>0</v>
      </c>
      <c r="T382" s="92">
        <f t="shared" si="45"/>
        <v>617.14285714285711</v>
      </c>
      <c r="U382" s="91">
        <f t="shared" si="46"/>
        <v>0</v>
      </c>
      <c r="V382" s="91">
        <f t="shared" si="47"/>
        <v>0</v>
      </c>
      <c r="W382" s="91">
        <v>0</v>
      </c>
      <c r="X382" s="55">
        <f t="shared" si="48"/>
        <v>46153.968362268512</v>
      </c>
    </row>
    <row r="383" spans="1:24" ht="26.5" hidden="1" x14ac:dyDescent="0.35">
      <c r="A383" s="46">
        <f t="shared" si="49"/>
        <v>46153.968362268512</v>
      </c>
      <c r="B383" s="46"/>
      <c r="C383" s="46"/>
      <c r="D383" s="46"/>
      <c r="E383" s="47" t="s">
        <v>454</v>
      </c>
      <c r="F383" s="82" t="s">
        <v>743</v>
      </c>
      <c r="G383" s="82"/>
      <c r="H383" s="107" t="s">
        <v>744</v>
      </c>
      <c r="I383" s="82" t="s">
        <v>499</v>
      </c>
      <c r="J383" s="51" t="s">
        <v>140</v>
      </c>
      <c r="K383" s="91">
        <v>0</v>
      </c>
      <c r="L383" s="91">
        <v>0</v>
      </c>
      <c r="M383" s="92">
        <v>106</v>
      </c>
      <c r="N383" s="94">
        <v>1000</v>
      </c>
      <c r="O383" s="92">
        <v>1</v>
      </c>
      <c r="P383" s="94">
        <f t="shared" si="50"/>
        <v>1000</v>
      </c>
      <c r="Q383" s="94"/>
      <c r="R383" s="92">
        <v>1000</v>
      </c>
      <c r="S383" s="92">
        <f t="shared" si="44"/>
        <v>0</v>
      </c>
      <c r="T383" s="92">
        <f t="shared" si="45"/>
        <v>815.09433962264154</v>
      </c>
      <c r="U383" s="91">
        <f t="shared" si="46"/>
        <v>0</v>
      </c>
      <c r="V383" s="91">
        <f t="shared" si="47"/>
        <v>0</v>
      </c>
      <c r="W383" s="91">
        <v>0</v>
      </c>
      <c r="X383" s="55">
        <f t="shared" si="48"/>
        <v>46153.968362268512</v>
      </c>
    </row>
    <row r="384" spans="1:24" ht="26.5" hidden="1" x14ac:dyDescent="0.35">
      <c r="A384" s="46">
        <f t="shared" si="49"/>
        <v>46153.968362268512</v>
      </c>
      <c r="B384" s="46"/>
      <c r="C384" s="46"/>
      <c r="D384" s="46"/>
      <c r="E384" s="47" t="s">
        <v>454</v>
      </c>
      <c r="F384" s="82" t="s">
        <v>745</v>
      </c>
      <c r="G384" s="82"/>
      <c r="H384" s="107" t="s">
        <v>746</v>
      </c>
      <c r="I384" s="82" t="s">
        <v>499</v>
      </c>
      <c r="J384" s="51" t="s">
        <v>140</v>
      </c>
      <c r="K384" s="91">
        <v>0</v>
      </c>
      <c r="L384" s="91">
        <v>0</v>
      </c>
      <c r="M384" s="92">
        <v>106</v>
      </c>
      <c r="N384" s="94">
        <v>1500</v>
      </c>
      <c r="O384" s="92">
        <v>1</v>
      </c>
      <c r="P384" s="94">
        <f t="shared" si="50"/>
        <v>1500</v>
      </c>
      <c r="Q384" s="94"/>
      <c r="R384" s="92">
        <v>1500</v>
      </c>
      <c r="S384" s="92">
        <f t="shared" si="44"/>
        <v>0</v>
      </c>
      <c r="T384" s="92">
        <f t="shared" si="45"/>
        <v>815.09433962264154</v>
      </c>
      <c r="U384" s="91">
        <f t="shared" si="46"/>
        <v>0</v>
      </c>
      <c r="V384" s="91">
        <f t="shared" si="47"/>
        <v>0</v>
      </c>
      <c r="W384" s="91">
        <v>0</v>
      </c>
      <c r="X384" s="55">
        <f t="shared" si="48"/>
        <v>46153.968362268512</v>
      </c>
    </row>
    <row r="385" spans="1:24" hidden="1" x14ac:dyDescent="0.35">
      <c r="A385" s="46">
        <f t="shared" si="49"/>
        <v>46153.968362268512</v>
      </c>
      <c r="B385" s="46"/>
      <c r="C385" s="46"/>
      <c r="D385" s="46"/>
      <c r="E385" s="119" t="s">
        <v>454</v>
      </c>
      <c r="F385" s="82" t="s">
        <v>232</v>
      </c>
      <c r="G385" s="82"/>
      <c r="H385" s="105" t="s">
        <v>747</v>
      </c>
      <c r="I385" s="106" t="s">
        <v>234</v>
      </c>
      <c r="J385" s="100" t="s">
        <v>140</v>
      </c>
      <c r="K385" s="91">
        <v>0</v>
      </c>
      <c r="L385" s="91">
        <v>0</v>
      </c>
      <c r="M385" s="92">
        <v>105</v>
      </c>
      <c r="N385" s="94">
        <v>400</v>
      </c>
      <c r="O385" s="92">
        <v>1</v>
      </c>
      <c r="P385" s="94">
        <f t="shared" si="50"/>
        <v>400</v>
      </c>
      <c r="Q385" s="94"/>
      <c r="R385" s="92">
        <v>400</v>
      </c>
      <c r="S385" s="92">
        <f t="shared" si="44"/>
        <v>0</v>
      </c>
      <c r="T385" s="102">
        <f t="shared" si="45"/>
        <v>822.85714285714289</v>
      </c>
      <c r="U385" s="101">
        <f t="shared" si="46"/>
        <v>0</v>
      </c>
      <c r="V385" s="101">
        <f t="shared" si="47"/>
        <v>0</v>
      </c>
      <c r="W385" s="101">
        <v>0</v>
      </c>
      <c r="X385" s="55">
        <f t="shared" si="48"/>
        <v>46153.968362268512</v>
      </c>
    </row>
    <row r="386" spans="1:24" hidden="1" x14ac:dyDescent="0.35">
      <c r="A386" s="46">
        <f t="shared" si="49"/>
        <v>46153.968362268512</v>
      </c>
      <c r="B386" s="46"/>
      <c r="C386" s="46"/>
      <c r="D386" s="46"/>
      <c r="E386" s="119" t="s">
        <v>454</v>
      </c>
      <c r="F386" s="82" t="s">
        <v>232</v>
      </c>
      <c r="G386" s="82"/>
      <c r="H386" s="105" t="s">
        <v>748</v>
      </c>
      <c r="I386" s="106" t="s">
        <v>238</v>
      </c>
      <c r="J386" s="100" t="s">
        <v>140</v>
      </c>
      <c r="K386" s="91">
        <v>0</v>
      </c>
      <c r="L386" s="91">
        <v>0</v>
      </c>
      <c r="M386" s="92">
        <v>105</v>
      </c>
      <c r="N386" s="94">
        <v>250</v>
      </c>
      <c r="O386" s="92">
        <v>1</v>
      </c>
      <c r="P386" s="94">
        <f t="shared" si="50"/>
        <v>250</v>
      </c>
      <c r="Q386" s="94"/>
      <c r="R386" s="92">
        <v>250</v>
      </c>
      <c r="S386" s="92">
        <f t="shared" si="44"/>
        <v>0</v>
      </c>
      <c r="T386" s="102">
        <f t="shared" si="45"/>
        <v>822.85714285714289</v>
      </c>
      <c r="U386" s="101">
        <f t="shared" si="46"/>
        <v>0</v>
      </c>
      <c r="V386" s="101">
        <f t="shared" si="47"/>
        <v>0</v>
      </c>
      <c r="W386" s="101">
        <v>0</v>
      </c>
      <c r="X386" s="55">
        <f t="shared" si="48"/>
        <v>46153.968362268512</v>
      </c>
    </row>
    <row r="387" spans="1:24" hidden="1" x14ac:dyDescent="0.35">
      <c r="A387" s="46">
        <f t="shared" si="49"/>
        <v>46153.968362268512</v>
      </c>
      <c r="B387" s="46"/>
      <c r="C387" s="46"/>
      <c r="D387" s="46"/>
      <c r="E387" s="119" t="s">
        <v>454</v>
      </c>
      <c r="F387" s="82" t="s">
        <v>232</v>
      </c>
      <c r="G387" s="82"/>
      <c r="H387" s="107" t="s">
        <v>749</v>
      </c>
      <c r="I387" s="106" t="s">
        <v>236</v>
      </c>
      <c r="J387" s="100" t="s">
        <v>140</v>
      </c>
      <c r="K387" s="91">
        <v>0</v>
      </c>
      <c r="L387" s="91">
        <v>0</v>
      </c>
      <c r="M387" s="92">
        <v>105</v>
      </c>
      <c r="N387" s="94">
        <v>100</v>
      </c>
      <c r="O387" s="92">
        <v>1</v>
      </c>
      <c r="P387" s="94">
        <f t="shared" si="50"/>
        <v>100</v>
      </c>
      <c r="Q387" s="94"/>
      <c r="R387" s="92">
        <v>100</v>
      </c>
      <c r="S387" s="92">
        <f t="shared" si="44"/>
        <v>0</v>
      </c>
      <c r="T387" s="102">
        <f t="shared" si="45"/>
        <v>822.85714285714289</v>
      </c>
      <c r="U387" s="101">
        <f t="shared" si="46"/>
        <v>0</v>
      </c>
      <c r="V387" s="101">
        <f t="shared" si="47"/>
        <v>0</v>
      </c>
      <c r="W387" s="101">
        <v>0</v>
      </c>
      <c r="X387" s="55">
        <f t="shared" si="48"/>
        <v>46153.968362268512</v>
      </c>
    </row>
    <row r="388" spans="1:24" hidden="1" x14ac:dyDescent="0.35">
      <c r="A388" s="46">
        <f t="shared" si="49"/>
        <v>46153.968362268512</v>
      </c>
      <c r="B388" s="46"/>
      <c r="C388" s="46"/>
      <c r="D388" s="46"/>
      <c r="E388" s="119" t="s">
        <v>454</v>
      </c>
      <c r="F388" s="82" t="s">
        <v>232</v>
      </c>
      <c r="G388" s="82"/>
      <c r="H388" s="107" t="s">
        <v>750</v>
      </c>
      <c r="I388" s="106" t="s">
        <v>751</v>
      </c>
      <c r="J388" s="100" t="s">
        <v>140</v>
      </c>
      <c r="K388" s="91">
        <v>0</v>
      </c>
      <c r="L388" s="91">
        <v>0</v>
      </c>
      <c r="M388" s="92">
        <v>105</v>
      </c>
      <c r="N388" s="94">
        <v>100</v>
      </c>
      <c r="O388" s="92">
        <v>1</v>
      </c>
      <c r="P388" s="94">
        <f t="shared" si="50"/>
        <v>100</v>
      </c>
      <c r="Q388" s="94"/>
      <c r="R388" s="92">
        <v>100</v>
      </c>
      <c r="S388" s="92">
        <f t="shared" si="44"/>
        <v>0</v>
      </c>
      <c r="T388" s="102">
        <f t="shared" si="45"/>
        <v>822.85714285714289</v>
      </c>
      <c r="U388" s="101">
        <f t="shared" si="46"/>
        <v>0</v>
      </c>
      <c r="V388" s="101">
        <f t="shared" si="47"/>
        <v>0</v>
      </c>
      <c r="W388" s="101">
        <v>0</v>
      </c>
      <c r="X388" s="55">
        <f t="shared" si="48"/>
        <v>46153.968362268512</v>
      </c>
    </row>
    <row r="389" spans="1:24" hidden="1" x14ac:dyDescent="0.35">
      <c r="A389" s="46">
        <f t="shared" si="49"/>
        <v>46153.968362268512</v>
      </c>
      <c r="B389" s="46"/>
      <c r="C389" s="46"/>
      <c r="D389" s="46"/>
      <c r="E389" s="119" t="s">
        <v>454</v>
      </c>
      <c r="F389" s="82" t="s">
        <v>232</v>
      </c>
      <c r="G389" s="82"/>
      <c r="H389" s="105" t="s">
        <v>752</v>
      </c>
      <c r="I389" s="106" t="s">
        <v>240</v>
      </c>
      <c r="J389" s="100" t="s">
        <v>140</v>
      </c>
      <c r="K389" s="91">
        <v>0</v>
      </c>
      <c r="L389" s="91">
        <v>0</v>
      </c>
      <c r="M389" s="92">
        <v>105</v>
      </c>
      <c r="N389" s="94">
        <v>200</v>
      </c>
      <c r="O389" s="92">
        <v>1</v>
      </c>
      <c r="P389" s="94">
        <f t="shared" si="50"/>
        <v>200</v>
      </c>
      <c r="Q389" s="94"/>
      <c r="R389" s="92">
        <v>200</v>
      </c>
      <c r="S389" s="92">
        <f t="shared" si="44"/>
        <v>0</v>
      </c>
      <c r="T389" s="102">
        <f t="shared" si="45"/>
        <v>822.85714285714289</v>
      </c>
      <c r="U389" s="101">
        <f t="shared" si="46"/>
        <v>0</v>
      </c>
      <c r="V389" s="101">
        <f t="shared" si="47"/>
        <v>0</v>
      </c>
      <c r="W389" s="101">
        <v>0</v>
      </c>
      <c r="X389" s="55">
        <f t="shared" si="48"/>
        <v>46153.968362268512</v>
      </c>
    </row>
    <row r="390" spans="1:24" hidden="1" x14ac:dyDescent="0.35">
      <c r="A390" s="46">
        <f t="shared" si="49"/>
        <v>46153.968362268512</v>
      </c>
      <c r="B390" s="46"/>
      <c r="C390" s="46"/>
      <c r="D390" s="46"/>
      <c r="E390" s="119" t="s">
        <v>454</v>
      </c>
      <c r="F390" s="69" t="s">
        <v>753</v>
      </c>
      <c r="G390" s="69"/>
      <c r="H390" s="98" t="s">
        <v>754</v>
      </c>
      <c r="I390" s="237" t="s">
        <v>755</v>
      </c>
      <c r="J390" s="51" t="s">
        <v>140</v>
      </c>
      <c r="K390" s="91">
        <v>0</v>
      </c>
      <c r="L390" s="91">
        <v>0</v>
      </c>
      <c r="M390" s="92">
        <v>90</v>
      </c>
      <c r="N390" s="94">
        <v>250</v>
      </c>
      <c r="O390" s="92">
        <v>1</v>
      </c>
      <c r="P390" s="94">
        <f t="shared" si="50"/>
        <v>250</v>
      </c>
      <c r="Q390" s="94"/>
      <c r="R390" s="92">
        <v>250</v>
      </c>
      <c r="S390" s="92">
        <f t="shared" ref="S390:S453" si="51">P390-R390</f>
        <v>0</v>
      </c>
      <c r="T390" s="92">
        <f t="shared" ref="T390:T439" si="52">((3600/M390)*O390)*24</f>
        <v>960</v>
      </c>
      <c r="U390" s="91">
        <f t="shared" ref="U390:U439" si="53">(P390-R390)*M390/3600</f>
        <v>0</v>
      </c>
      <c r="V390" s="91">
        <f t="shared" ref="V390:V439" si="54">(P390-R390)*M390/3600/24</f>
        <v>0</v>
      </c>
      <c r="W390" s="91">
        <v>0</v>
      </c>
      <c r="X390" s="55">
        <f t="shared" ref="X390:X416" si="55">A390+K390+V390+W390+L390</f>
        <v>46153.968362268512</v>
      </c>
    </row>
    <row r="391" spans="1:24" s="202" customFormat="1" hidden="1" x14ac:dyDescent="0.35">
      <c r="A391" s="46">
        <f t="shared" ref="A391:A406" si="56">X390</f>
        <v>46153.968362268512</v>
      </c>
      <c r="B391" s="46"/>
      <c r="C391" s="46"/>
      <c r="D391" s="46"/>
      <c r="E391" s="119" t="s">
        <v>454</v>
      </c>
      <c r="F391" s="69" t="s">
        <v>753</v>
      </c>
      <c r="G391" s="69"/>
      <c r="H391" s="98" t="s">
        <v>756</v>
      </c>
      <c r="I391" s="237" t="s">
        <v>145</v>
      </c>
      <c r="J391" s="51" t="s">
        <v>140</v>
      </c>
      <c r="K391" s="91">
        <v>0</v>
      </c>
      <c r="L391" s="91">
        <v>0</v>
      </c>
      <c r="M391" s="92">
        <v>90</v>
      </c>
      <c r="N391" s="94">
        <v>250</v>
      </c>
      <c r="O391" s="92">
        <v>1</v>
      </c>
      <c r="P391" s="94">
        <f t="shared" ref="P391:P410" si="57">N391/O391</f>
        <v>250</v>
      </c>
      <c r="Q391" s="94"/>
      <c r="R391" s="92">
        <v>250</v>
      </c>
      <c r="S391" s="92">
        <f t="shared" si="51"/>
        <v>0</v>
      </c>
      <c r="T391" s="92">
        <f t="shared" si="52"/>
        <v>960</v>
      </c>
      <c r="U391" s="91">
        <f t="shared" si="53"/>
        <v>0</v>
      </c>
      <c r="V391" s="91">
        <f t="shared" si="54"/>
        <v>0</v>
      </c>
      <c r="W391" s="91">
        <v>0</v>
      </c>
      <c r="X391" s="55">
        <f t="shared" si="55"/>
        <v>46153.968362268512</v>
      </c>
    </row>
    <row r="392" spans="1:24" hidden="1" x14ac:dyDescent="0.35">
      <c r="A392" s="46">
        <f t="shared" si="56"/>
        <v>46153.968362268512</v>
      </c>
      <c r="B392" s="46"/>
      <c r="C392" s="46"/>
      <c r="D392" s="46"/>
      <c r="E392" s="119" t="s">
        <v>454</v>
      </c>
      <c r="F392" s="69" t="s">
        <v>753</v>
      </c>
      <c r="G392" s="69"/>
      <c r="H392" s="98" t="s">
        <v>757</v>
      </c>
      <c r="I392" s="238" t="s">
        <v>148</v>
      </c>
      <c r="J392" s="51" t="s">
        <v>140</v>
      </c>
      <c r="K392" s="91">
        <v>0</v>
      </c>
      <c r="L392" s="91">
        <v>0</v>
      </c>
      <c r="M392" s="92">
        <v>90</v>
      </c>
      <c r="N392" s="94">
        <v>2300</v>
      </c>
      <c r="O392" s="92">
        <v>1</v>
      </c>
      <c r="P392" s="94">
        <f t="shared" si="57"/>
        <v>2300</v>
      </c>
      <c r="Q392" s="94"/>
      <c r="R392" s="92">
        <v>2300</v>
      </c>
      <c r="S392" s="92">
        <f t="shared" si="51"/>
        <v>0</v>
      </c>
      <c r="T392" s="92">
        <f t="shared" si="52"/>
        <v>960</v>
      </c>
      <c r="U392" s="91">
        <f t="shared" si="53"/>
        <v>0</v>
      </c>
      <c r="V392" s="91">
        <f t="shared" si="54"/>
        <v>0</v>
      </c>
      <c r="W392" s="91">
        <v>0</v>
      </c>
      <c r="X392" s="55">
        <f t="shared" si="55"/>
        <v>46153.968362268512</v>
      </c>
    </row>
    <row r="393" spans="1:24" ht="26.5" hidden="1" x14ac:dyDescent="0.35">
      <c r="A393" s="46">
        <f t="shared" si="56"/>
        <v>46153.968362268512</v>
      </c>
      <c r="B393" s="46"/>
      <c r="C393" s="46"/>
      <c r="D393" s="46"/>
      <c r="E393" s="47" t="s">
        <v>454</v>
      </c>
      <c r="F393" s="82" t="s">
        <v>758</v>
      </c>
      <c r="G393" s="82"/>
      <c r="H393" s="107" t="s">
        <v>759</v>
      </c>
      <c r="I393" s="82" t="s">
        <v>499</v>
      </c>
      <c r="J393" s="51" t="s">
        <v>140</v>
      </c>
      <c r="K393" s="91">
        <v>0</v>
      </c>
      <c r="L393" s="91">
        <v>0</v>
      </c>
      <c r="M393" s="92">
        <v>106</v>
      </c>
      <c r="N393" s="94">
        <v>2000</v>
      </c>
      <c r="O393" s="92">
        <v>1</v>
      </c>
      <c r="P393" s="94">
        <f t="shared" si="57"/>
        <v>2000</v>
      </c>
      <c r="Q393" s="94"/>
      <c r="R393" s="92">
        <v>2000</v>
      </c>
      <c r="S393" s="92">
        <f t="shared" si="51"/>
        <v>0</v>
      </c>
      <c r="T393" s="92">
        <f t="shared" si="52"/>
        <v>815.09433962264154</v>
      </c>
      <c r="U393" s="91">
        <f t="shared" si="53"/>
        <v>0</v>
      </c>
      <c r="V393" s="91">
        <f t="shared" si="54"/>
        <v>0</v>
      </c>
      <c r="W393" s="91">
        <v>0</v>
      </c>
      <c r="X393" s="55">
        <f t="shared" si="55"/>
        <v>46153.968362268512</v>
      </c>
    </row>
    <row r="394" spans="1:24" ht="26.5" hidden="1" x14ac:dyDescent="0.35">
      <c r="A394" s="46">
        <f t="shared" si="56"/>
        <v>46153.968362268512</v>
      </c>
      <c r="B394" s="46"/>
      <c r="C394" s="46"/>
      <c r="D394" s="46"/>
      <c r="E394" s="47" t="s">
        <v>454</v>
      </c>
      <c r="F394" s="82" t="s">
        <v>758</v>
      </c>
      <c r="G394" s="82"/>
      <c r="H394" s="107" t="s">
        <v>760</v>
      </c>
      <c r="I394" s="82" t="s">
        <v>761</v>
      </c>
      <c r="J394" s="51" t="s">
        <v>140</v>
      </c>
      <c r="K394" s="91">
        <v>0</v>
      </c>
      <c r="L394" s="91">
        <v>0</v>
      </c>
      <c r="M394" s="92">
        <v>106</v>
      </c>
      <c r="N394" s="94">
        <v>1000</v>
      </c>
      <c r="O394" s="92">
        <v>1</v>
      </c>
      <c r="P394" s="94">
        <f t="shared" si="57"/>
        <v>1000</v>
      </c>
      <c r="Q394" s="94"/>
      <c r="R394" s="92">
        <v>1000</v>
      </c>
      <c r="S394" s="92">
        <f t="shared" si="51"/>
        <v>0</v>
      </c>
      <c r="T394" s="92">
        <f t="shared" si="52"/>
        <v>815.09433962264154</v>
      </c>
      <c r="U394" s="91">
        <f t="shared" si="53"/>
        <v>0</v>
      </c>
      <c r="V394" s="91">
        <f t="shared" si="54"/>
        <v>0</v>
      </c>
      <c r="W394" s="91">
        <v>0</v>
      </c>
      <c r="X394" s="55">
        <f t="shared" si="55"/>
        <v>46153.968362268512</v>
      </c>
    </row>
    <row r="395" spans="1:24" s="118" customFormat="1" ht="26.5" hidden="1" x14ac:dyDescent="0.35">
      <c r="A395" s="46">
        <f t="shared" si="56"/>
        <v>46153.968362268512</v>
      </c>
      <c r="B395" s="46"/>
      <c r="C395" s="46"/>
      <c r="D395" s="46"/>
      <c r="E395" s="47" t="s">
        <v>454</v>
      </c>
      <c r="F395" s="82" t="s">
        <v>165</v>
      </c>
      <c r="G395" s="82"/>
      <c r="H395" s="98" t="s">
        <v>762</v>
      </c>
      <c r="I395" s="219" t="s">
        <v>560</v>
      </c>
      <c r="J395" s="51" t="s">
        <v>140</v>
      </c>
      <c r="K395" s="91">
        <v>0</v>
      </c>
      <c r="L395" s="91">
        <v>0</v>
      </c>
      <c r="M395" s="92">
        <v>140</v>
      </c>
      <c r="N395" s="226">
        <v>300</v>
      </c>
      <c r="O395" s="92">
        <v>1</v>
      </c>
      <c r="P395" s="94">
        <f t="shared" si="57"/>
        <v>300</v>
      </c>
      <c r="Q395" s="94"/>
      <c r="R395" s="92">
        <v>300</v>
      </c>
      <c r="S395" s="92">
        <f t="shared" si="51"/>
        <v>0</v>
      </c>
      <c r="T395" s="92">
        <f t="shared" si="52"/>
        <v>617.14285714285711</v>
      </c>
      <c r="U395" s="91">
        <f t="shared" si="53"/>
        <v>0</v>
      </c>
      <c r="V395" s="91">
        <f t="shared" si="54"/>
        <v>0</v>
      </c>
      <c r="W395" s="91">
        <v>0</v>
      </c>
      <c r="X395" s="55">
        <f t="shared" si="55"/>
        <v>46153.968362268512</v>
      </c>
    </row>
    <row r="396" spans="1:24" s="118" customFormat="1" ht="26.5" hidden="1" x14ac:dyDescent="0.35">
      <c r="A396" s="46">
        <f t="shared" si="56"/>
        <v>46153.968362268512</v>
      </c>
      <c r="B396" s="46"/>
      <c r="C396" s="46"/>
      <c r="D396" s="46"/>
      <c r="E396" s="47" t="s">
        <v>454</v>
      </c>
      <c r="F396" s="82" t="s">
        <v>165</v>
      </c>
      <c r="G396" s="82"/>
      <c r="H396" s="98" t="s">
        <v>763</v>
      </c>
      <c r="I396" s="219" t="s">
        <v>562</v>
      </c>
      <c r="J396" s="51" t="s">
        <v>140</v>
      </c>
      <c r="K396" s="91">
        <v>0</v>
      </c>
      <c r="L396" s="91">
        <v>0</v>
      </c>
      <c r="M396" s="92">
        <v>140</v>
      </c>
      <c r="N396" s="226">
        <v>200</v>
      </c>
      <c r="O396" s="92">
        <v>1</v>
      </c>
      <c r="P396" s="94">
        <f t="shared" si="57"/>
        <v>200</v>
      </c>
      <c r="Q396" s="94"/>
      <c r="R396" s="92">
        <v>200</v>
      </c>
      <c r="S396" s="92">
        <f t="shared" si="51"/>
        <v>0</v>
      </c>
      <c r="T396" s="92">
        <f t="shared" si="52"/>
        <v>617.14285714285711</v>
      </c>
      <c r="U396" s="91">
        <f t="shared" si="53"/>
        <v>0</v>
      </c>
      <c r="V396" s="91">
        <f t="shared" si="54"/>
        <v>0</v>
      </c>
      <c r="W396" s="91">
        <v>0</v>
      </c>
      <c r="X396" s="55">
        <f t="shared" si="55"/>
        <v>46153.968362268512</v>
      </c>
    </row>
    <row r="397" spans="1:24" s="118" customFormat="1" ht="26.5" hidden="1" x14ac:dyDescent="0.35">
      <c r="A397" s="46">
        <f t="shared" si="56"/>
        <v>46153.968362268512</v>
      </c>
      <c r="B397" s="46"/>
      <c r="C397" s="46"/>
      <c r="D397" s="46"/>
      <c r="E397" s="47" t="s">
        <v>454</v>
      </c>
      <c r="F397" s="82" t="s">
        <v>758</v>
      </c>
      <c r="G397" s="82"/>
      <c r="H397" s="107" t="s">
        <v>764</v>
      </c>
      <c r="I397" s="97" t="s">
        <v>765</v>
      </c>
      <c r="J397" s="100" t="s">
        <v>140</v>
      </c>
      <c r="K397" s="91">
        <v>0</v>
      </c>
      <c r="L397" s="91">
        <v>0</v>
      </c>
      <c r="M397" s="92">
        <v>100</v>
      </c>
      <c r="N397" s="94">
        <v>1000</v>
      </c>
      <c r="O397" s="92">
        <v>1</v>
      </c>
      <c r="P397" s="94">
        <f t="shared" si="57"/>
        <v>1000</v>
      </c>
      <c r="Q397" s="94"/>
      <c r="R397" s="92">
        <v>1000</v>
      </c>
      <c r="S397" s="92">
        <f t="shared" si="51"/>
        <v>0</v>
      </c>
      <c r="T397" s="102">
        <f t="shared" si="52"/>
        <v>864</v>
      </c>
      <c r="U397" s="101">
        <f t="shared" si="53"/>
        <v>0</v>
      </c>
      <c r="V397" s="101">
        <f t="shared" si="54"/>
        <v>0</v>
      </c>
      <c r="W397" s="101">
        <v>0</v>
      </c>
      <c r="X397" s="55">
        <f t="shared" si="55"/>
        <v>46153.968362268512</v>
      </c>
    </row>
    <row r="398" spans="1:24" s="118" customFormat="1" ht="26.5" hidden="1" x14ac:dyDescent="0.35">
      <c r="A398" s="46">
        <f t="shared" si="56"/>
        <v>46153.968362268512</v>
      </c>
      <c r="B398" s="46"/>
      <c r="C398" s="46"/>
      <c r="D398" s="46"/>
      <c r="E398" s="47" t="s">
        <v>454</v>
      </c>
      <c r="F398" s="69" t="s">
        <v>766</v>
      </c>
      <c r="G398" s="69"/>
      <c r="H398" s="98" t="s">
        <v>767</v>
      </c>
      <c r="I398" s="97" t="s">
        <v>4201</v>
      </c>
      <c r="J398" s="51" t="s">
        <v>140</v>
      </c>
      <c r="K398" s="91">
        <v>0</v>
      </c>
      <c r="L398" s="91">
        <v>0</v>
      </c>
      <c r="M398" s="92">
        <v>100</v>
      </c>
      <c r="N398" s="94">
        <v>1000</v>
      </c>
      <c r="O398" s="92">
        <v>1</v>
      </c>
      <c r="P398" s="94">
        <f t="shared" si="57"/>
        <v>1000</v>
      </c>
      <c r="Q398" s="94"/>
      <c r="R398" s="92">
        <v>1000</v>
      </c>
      <c r="S398" s="92">
        <f t="shared" si="51"/>
        <v>0</v>
      </c>
      <c r="T398" s="92">
        <f t="shared" si="52"/>
        <v>864</v>
      </c>
      <c r="U398" s="91">
        <f t="shared" si="53"/>
        <v>0</v>
      </c>
      <c r="V398" s="91">
        <f t="shared" si="54"/>
        <v>0</v>
      </c>
      <c r="W398" s="91">
        <v>0</v>
      </c>
      <c r="X398" s="55">
        <f t="shared" si="55"/>
        <v>46153.968362268512</v>
      </c>
    </row>
    <row r="399" spans="1:24" s="118" customFormat="1" hidden="1" x14ac:dyDescent="0.35">
      <c r="A399" s="46">
        <f t="shared" si="56"/>
        <v>46153.968362268512</v>
      </c>
      <c r="B399" s="46"/>
      <c r="C399" s="46"/>
      <c r="D399" s="46"/>
      <c r="E399" s="47" t="s">
        <v>454</v>
      </c>
      <c r="F399" s="82" t="s">
        <v>768</v>
      </c>
      <c r="G399" s="82"/>
      <c r="H399" s="98" t="s">
        <v>769</v>
      </c>
      <c r="I399" s="82" t="s">
        <v>380</v>
      </c>
      <c r="J399" s="100" t="s">
        <v>140</v>
      </c>
      <c r="K399" s="101">
        <v>0</v>
      </c>
      <c r="L399" s="101">
        <v>0</v>
      </c>
      <c r="M399" s="102">
        <v>67</v>
      </c>
      <c r="N399" s="103">
        <v>210</v>
      </c>
      <c r="O399" s="102">
        <v>1</v>
      </c>
      <c r="P399" s="103">
        <f t="shared" si="57"/>
        <v>210</v>
      </c>
      <c r="Q399" s="103"/>
      <c r="R399" s="102">
        <v>210</v>
      </c>
      <c r="S399" s="102">
        <f t="shared" si="51"/>
        <v>0</v>
      </c>
      <c r="T399" s="102">
        <f t="shared" si="52"/>
        <v>1289.5522388059703</v>
      </c>
      <c r="U399" s="101">
        <f t="shared" si="53"/>
        <v>0</v>
      </c>
      <c r="V399" s="101">
        <f t="shared" si="54"/>
        <v>0</v>
      </c>
      <c r="W399" s="101">
        <v>0</v>
      </c>
      <c r="X399" s="55">
        <f t="shared" si="55"/>
        <v>46153.968362268512</v>
      </c>
    </row>
    <row r="400" spans="1:24" s="118" customFormat="1" hidden="1" x14ac:dyDescent="0.35">
      <c r="A400" s="46">
        <f t="shared" si="56"/>
        <v>46153.968362268512</v>
      </c>
      <c r="B400" s="46"/>
      <c r="C400" s="46"/>
      <c r="D400" s="46"/>
      <c r="E400" s="47" t="s">
        <v>454</v>
      </c>
      <c r="F400" s="82" t="s">
        <v>770</v>
      </c>
      <c r="G400" s="82"/>
      <c r="H400" s="98" t="s">
        <v>771</v>
      </c>
      <c r="I400" s="82" t="s">
        <v>191</v>
      </c>
      <c r="J400" s="100" t="s">
        <v>140</v>
      </c>
      <c r="K400" s="101">
        <v>0</v>
      </c>
      <c r="L400" s="101">
        <v>0</v>
      </c>
      <c r="M400" s="102">
        <v>67</v>
      </c>
      <c r="N400" s="103">
        <v>2000</v>
      </c>
      <c r="O400" s="102">
        <v>1</v>
      </c>
      <c r="P400" s="103">
        <f t="shared" si="57"/>
        <v>2000</v>
      </c>
      <c r="Q400" s="103"/>
      <c r="R400" s="102">
        <v>2000</v>
      </c>
      <c r="S400" s="102">
        <f t="shared" si="51"/>
        <v>0</v>
      </c>
      <c r="T400" s="102">
        <f t="shared" si="52"/>
        <v>1289.5522388059703</v>
      </c>
      <c r="U400" s="101">
        <f t="shared" si="53"/>
        <v>0</v>
      </c>
      <c r="V400" s="101">
        <f t="shared" si="54"/>
        <v>0</v>
      </c>
      <c r="W400" s="101">
        <v>0</v>
      </c>
      <c r="X400" s="55">
        <f t="shared" si="55"/>
        <v>46153.968362268512</v>
      </c>
    </row>
    <row r="401" spans="1:24" s="118" customFormat="1" hidden="1" x14ac:dyDescent="0.35">
      <c r="A401" s="46">
        <f t="shared" si="56"/>
        <v>46153.968362268512</v>
      </c>
      <c r="B401" s="46"/>
      <c r="C401" s="46"/>
      <c r="D401" s="46"/>
      <c r="E401" s="47" t="s">
        <v>454</v>
      </c>
      <c r="F401" s="82" t="s">
        <v>271</v>
      </c>
      <c r="G401" s="82"/>
      <c r="H401" s="98" t="s">
        <v>772</v>
      </c>
      <c r="I401" s="82" t="s">
        <v>274</v>
      </c>
      <c r="J401" s="100" t="s">
        <v>140</v>
      </c>
      <c r="K401" s="101">
        <v>0</v>
      </c>
      <c r="L401" s="101">
        <v>0</v>
      </c>
      <c r="M401" s="102">
        <v>67</v>
      </c>
      <c r="N401" s="103">
        <v>1050</v>
      </c>
      <c r="O401" s="102">
        <v>1</v>
      </c>
      <c r="P401" s="103">
        <f t="shared" si="57"/>
        <v>1050</v>
      </c>
      <c r="Q401" s="103"/>
      <c r="R401" s="102">
        <v>1050</v>
      </c>
      <c r="S401" s="102">
        <f t="shared" si="51"/>
        <v>0</v>
      </c>
      <c r="T401" s="102">
        <f t="shared" si="52"/>
        <v>1289.5522388059703</v>
      </c>
      <c r="U401" s="101">
        <f t="shared" si="53"/>
        <v>0</v>
      </c>
      <c r="V401" s="101">
        <f t="shared" si="54"/>
        <v>0</v>
      </c>
      <c r="W401" s="101">
        <v>0</v>
      </c>
      <c r="X401" s="55">
        <f t="shared" si="55"/>
        <v>46153.968362268512</v>
      </c>
    </row>
    <row r="402" spans="1:24" s="118" customFormat="1" hidden="1" x14ac:dyDescent="0.35">
      <c r="A402" s="46">
        <f t="shared" si="56"/>
        <v>46153.968362268512</v>
      </c>
      <c r="B402" s="46"/>
      <c r="C402" s="46"/>
      <c r="D402" s="46"/>
      <c r="E402" s="47" t="s">
        <v>454</v>
      </c>
      <c r="F402" s="82" t="s">
        <v>773</v>
      </c>
      <c r="G402" s="82"/>
      <c r="H402" s="98" t="s">
        <v>774</v>
      </c>
      <c r="I402" s="82" t="s">
        <v>191</v>
      </c>
      <c r="J402" s="100" t="s">
        <v>140</v>
      </c>
      <c r="K402" s="101">
        <v>0</v>
      </c>
      <c r="L402" s="101">
        <v>0</v>
      </c>
      <c r="M402" s="102">
        <v>67</v>
      </c>
      <c r="N402" s="103">
        <v>2100</v>
      </c>
      <c r="O402" s="102">
        <v>1</v>
      </c>
      <c r="P402" s="103">
        <f t="shared" si="57"/>
        <v>2100</v>
      </c>
      <c r="Q402" s="103"/>
      <c r="R402" s="102">
        <v>2100</v>
      </c>
      <c r="S402" s="102">
        <f t="shared" si="51"/>
        <v>0</v>
      </c>
      <c r="T402" s="102">
        <f t="shared" si="52"/>
        <v>1289.5522388059703</v>
      </c>
      <c r="U402" s="101">
        <f t="shared" si="53"/>
        <v>0</v>
      </c>
      <c r="V402" s="101">
        <f t="shared" si="54"/>
        <v>0</v>
      </c>
      <c r="W402" s="101">
        <v>0</v>
      </c>
      <c r="X402" s="55">
        <f t="shared" si="55"/>
        <v>46153.968362268512</v>
      </c>
    </row>
    <row r="403" spans="1:24" s="118" customFormat="1" hidden="1" x14ac:dyDescent="0.35">
      <c r="A403" s="46">
        <f t="shared" si="56"/>
        <v>46153.968362268512</v>
      </c>
      <c r="B403" s="46"/>
      <c r="C403" s="46"/>
      <c r="D403" s="46"/>
      <c r="E403" s="47" t="s">
        <v>454</v>
      </c>
      <c r="F403" s="82" t="s">
        <v>768</v>
      </c>
      <c r="G403" s="82"/>
      <c r="H403" s="98" t="s">
        <v>775</v>
      </c>
      <c r="I403" s="82" t="s">
        <v>380</v>
      </c>
      <c r="J403" s="100" t="s">
        <v>140</v>
      </c>
      <c r="K403" s="101">
        <v>0</v>
      </c>
      <c r="L403" s="101">
        <v>0</v>
      </c>
      <c r="M403" s="102">
        <v>67</v>
      </c>
      <c r="N403" s="103">
        <v>420</v>
      </c>
      <c r="O403" s="102">
        <v>1</v>
      </c>
      <c r="P403" s="103">
        <f t="shared" si="57"/>
        <v>420</v>
      </c>
      <c r="Q403" s="103"/>
      <c r="R403" s="102">
        <v>420</v>
      </c>
      <c r="S403" s="102">
        <f t="shared" si="51"/>
        <v>0</v>
      </c>
      <c r="T403" s="102">
        <f t="shared" si="52"/>
        <v>1289.5522388059703</v>
      </c>
      <c r="U403" s="101">
        <f t="shared" si="53"/>
        <v>0</v>
      </c>
      <c r="V403" s="101">
        <f t="shared" si="54"/>
        <v>0</v>
      </c>
      <c r="W403" s="101">
        <v>0</v>
      </c>
      <c r="X403" s="55">
        <f t="shared" si="55"/>
        <v>46153.968362268512</v>
      </c>
    </row>
    <row r="404" spans="1:24" s="118" customFormat="1" hidden="1" x14ac:dyDescent="0.35">
      <c r="A404" s="46">
        <f t="shared" si="56"/>
        <v>46153.968362268512</v>
      </c>
      <c r="B404" s="46"/>
      <c r="C404" s="46"/>
      <c r="D404" s="46"/>
      <c r="E404" s="47" t="s">
        <v>454</v>
      </c>
      <c r="F404" s="82" t="s">
        <v>776</v>
      </c>
      <c r="G404" s="82" t="s">
        <v>315</v>
      </c>
      <c r="H404" s="107" t="s">
        <v>777</v>
      </c>
      <c r="I404" s="97" t="s">
        <v>729</v>
      </c>
      <c r="J404" s="100" t="s">
        <v>140</v>
      </c>
      <c r="K404" s="91">
        <v>0</v>
      </c>
      <c r="L404" s="91">
        <v>0</v>
      </c>
      <c r="M404" s="92">
        <v>100</v>
      </c>
      <c r="N404" s="94">
        <v>2000</v>
      </c>
      <c r="O404" s="92">
        <v>1</v>
      </c>
      <c r="P404" s="94">
        <f t="shared" si="57"/>
        <v>2000</v>
      </c>
      <c r="Q404" s="94"/>
      <c r="R404" s="92">
        <v>2000</v>
      </c>
      <c r="S404" s="92">
        <f t="shared" si="51"/>
        <v>0</v>
      </c>
      <c r="T404" s="102">
        <f t="shared" si="52"/>
        <v>864</v>
      </c>
      <c r="U404" s="101">
        <f t="shared" si="53"/>
        <v>0</v>
      </c>
      <c r="V404" s="101">
        <f t="shared" si="54"/>
        <v>0</v>
      </c>
      <c r="W404" s="101">
        <v>0</v>
      </c>
      <c r="X404" s="55">
        <f t="shared" si="55"/>
        <v>46153.968362268512</v>
      </c>
    </row>
    <row r="405" spans="1:24" s="118" customFormat="1" hidden="1" x14ac:dyDescent="0.35">
      <c r="A405" s="46">
        <f t="shared" si="56"/>
        <v>46153.968362268512</v>
      </c>
      <c r="B405" s="46"/>
      <c r="C405" s="46"/>
      <c r="D405" s="46"/>
      <c r="E405" s="47" t="s">
        <v>454</v>
      </c>
      <c r="F405" s="82" t="s">
        <v>778</v>
      </c>
      <c r="G405" s="82" t="s">
        <v>315</v>
      </c>
      <c r="H405" s="107" t="s">
        <v>779</v>
      </c>
      <c r="I405" s="97" t="s">
        <v>729</v>
      </c>
      <c r="J405" s="100" t="s">
        <v>140</v>
      </c>
      <c r="K405" s="91">
        <v>0</v>
      </c>
      <c r="L405" s="91">
        <v>0</v>
      </c>
      <c r="M405" s="92">
        <v>100</v>
      </c>
      <c r="N405" s="94">
        <v>1500</v>
      </c>
      <c r="O405" s="92">
        <v>1</v>
      </c>
      <c r="P405" s="94">
        <f t="shared" si="57"/>
        <v>1500</v>
      </c>
      <c r="Q405" s="94"/>
      <c r="R405" s="92">
        <v>1500</v>
      </c>
      <c r="S405" s="92">
        <f t="shared" si="51"/>
        <v>0</v>
      </c>
      <c r="T405" s="102">
        <f t="shared" si="52"/>
        <v>864</v>
      </c>
      <c r="U405" s="101">
        <f t="shared" si="53"/>
        <v>0</v>
      </c>
      <c r="V405" s="101">
        <f t="shared" si="54"/>
        <v>0</v>
      </c>
      <c r="W405" s="101">
        <v>0</v>
      </c>
      <c r="X405" s="55">
        <f t="shared" si="55"/>
        <v>46153.968362268512</v>
      </c>
    </row>
    <row r="406" spans="1:24" s="118" customFormat="1" ht="39" hidden="1" x14ac:dyDescent="0.35">
      <c r="A406" s="46">
        <f t="shared" si="56"/>
        <v>46153.968362268512</v>
      </c>
      <c r="B406" s="46"/>
      <c r="C406" s="46"/>
      <c r="D406" s="46"/>
      <c r="E406" s="47" t="s">
        <v>454</v>
      </c>
      <c r="F406" s="69" t="s">
        <v>326</v>
      </c>
      <c r="G406" s="82" t="s">
        <v>780</v>
      </c>
      <c r="H406" s="98" t="s">
        <v>781</v>
      </c>
      <c r="I406" s="239" t="s">
        <v>4202</v>
      </c>
      <c r="J406" s="51" t="s">
        <v>140</v>
      </c>
      <c r="K406" s="91">
        <v>0</v>
      </c>
      <c r="L406" s="91">
        <v>0</v>
      </c>
      <c r="M406" s="92">
        <v>100</v>
      </c>
      <c r="N406" s="94">
        <v>250</v>
      </c>
      <c r="O406" s="92">
        <v>1</v>
      </c>
      <c r="P406" s="94">
        <f t="shared" si="57"/>
        <v>250</v>
      </c>
      <c r="Q406" s="94"/>
      <c r="R406" s="92">
        <v>250</v>
      </c>
      <c r="S406" s="92">
        <f t="shared" si="51"/>
        <v>0</v>
      </c>
      <c r="T406" s="92">
        <f t="shared" si="52"/>
        <v>864</v>
      </c>
      <c r="U406" s="91">
        <f t="shared" si="53"/>
        <v>0</v>
      </c>
      <c r="V406" s="91">
        <f t="shared" si="54"/>
        <v>0</v>
      </c>
      <c r="W406" s="91">
        <v>0</v>
      </c>
      <c r="X406" s="55">
        <f t="shared" si="55"/>
        <v>46153.968362268512</v>
      </c>
    </row>
    <row r="407" spans="1:24" s="243" customFormat="1" ht="26.5" hidden="1" x14ac:dyDescent="0.35">
      <c r="A407" s="123">
        <f>A406</f>
        <v>46153.968362268512</v>
      </c>
      <c r="B407" s="123"/>
      <c r="C407" s="123"/>
      <c r="D407" s="123"/>
      <c r="E407" s="124" t="s">
        <v>454</v>
      </c>
      <c r="F407" s="159" t="s">
        <v>782</v>
      </c>
      <c r="G407" s="125" t="s">
        <v>327</v>
      </c>
      <c r="H407" s="126" t="s">
        <v>783</v>
      </c>
      <c r="I407" s="125" t="s">
        <v>4203</v>
      </c>
      <c r="J407" s="128" t="s">
        <v>140</v>
      </c>
      <c r="K407" s="129">
        <v>0</v>
      </c>
      <c r="L407" s="129">
        <v>0</v>
      </c>
      <c r="M407" s="130">
        <v>100</v>
      </c>
      <c r="N407" s="131">
        <v>3500</v>
      </c>
      <c r="O407" s="189">
        <v>1</v>
      </c>
      <c r="P407" s="131">
        <f t="shared" si="57"/>
        <v>3500</v>
      </c>
      <c r="Q407" s="240"/>
      <c r="R407" s="241">
        <v>3500</v>
      </c>
      <c r="S407" s="130">
        <f t="shared" si="51"/>
        <v>0</v>
      </c>
      <c r="T407" s="242">
        <f t="shared" si="52"/>
        <v>864</v>
      </c>
      <c r="U407" s="129">
        <f t="shared" si="53"/>
        <v>0</v>
      </c>
      <c r="V407" s="129">
        <f t="shared" si="54"/>
        <v>0</v>
      </c>
      <c r="W407" s="129">
        <v>0</v>
      </c>
      <c r="X407" s="137">
        <f t="shared" si="55"/>
        <v>46153.968362268512</v>
      </c>
    </row>
    <row r="408" spans="1:24" s="118" customFormat="1" ht="26.5" hidden="1" x14ac:dyDescent="0.35">
      <c r="A408" s="138">
        <f t="shared" ref="A408:A424" si="58">X407</f>
        <v>46153.968362268512</v>
      </c>
      <c r="B408" s="138"/>
      <c r="C408" s="138"/>
      <c r="D408" s="138"/>
      <c r="E408" s="244" t="s">
        <v>454</v>
      </c>
      <c r="F408" s="151" t="s">
        <v>326</v>
      </c>
      <c r="G408" s="140" t="s">
        <v>780</v>
      </c>
      <c r="H408" s="152" t="s">
        <v>784</v>
      </c>
      <c r="I408" s="245" t="s">
        <v>4204</v>
      </c>
      <c r="J408" s="246" t="s">
        <v>140</v>
      </c>
      <c r="K408" s="144">
        <v>0</v>
      </c>
      <c r="L408" s="144">
        <v>0</v>
      </c>
      <c r="M408" s="145">
        <v>100</v>
      </c>
      <c r="N408" s="146">
        <v>250</v>
      </c>
      <c r="O408" s="247">
        <v>1</v>
      </c>
      <c r="P408" s="146">
        <f t="shared" si="57"/>
        <v>250</v>
      </c>
      <c r="Q408" s="146"/>
      <c r="R408" s="248">
        <v>250</v>
      </c>
      <c r="S408" s="145">
        <f t="shared" si="51"/>
        <v>0</v>
      </c>
      <c r="T408" s="249">
        <f t="shared" si="52"/>
        <v>864</v>
      </c>
      <c r="U408" s="144">
        <f t="shared" si="53"/>
        <v>0</v>
      </c>
      <c r="V408" s="144">
        <f t="shared" si="54"/>
        <v>0</v>
      </c>
      <c r="W408" s="144">
        <v>0</v>
      </c>
      <c r="X408" s="150">
        <f t="shared" si="55"/>
        <v>46153.968362268512</v>
      </c>
    </row>
    <row r="409" spans="1:24" ht="26.5" hidden="1" x14ac:dyDescent="0.35">
      <c r="A409" s="123">
        <f t="shared" si="58"/>
        <v>46153.968362268512</v>
      </c>
      <c r="B409" s="123"/>
      <c r="C409" s="123"/>
      <c r="D409" s="123"/>
      <c r="E409" s="124" t="s">
        <v>454</v>
      </c>
      <c r="F409" s="160" t="s">
        <v>785</v>
      </c>
      <c r="G409" s="160" t="s">
        <v>327</v>
      </c>
      <c r="H409" s="250" t="s">
        <v>786</v>
      </c>
      <c r="I409" s="160" t="s">
        <v>4205</v>
      </c>
      <c r="J409" s="251" t="s">
        <v>140</v>
      </c>
      <c r="K409" s="129">
        <v>0</v>
      </c>
      <c r="L409" s="129">
        <v>0</v>
      </c>
      <c r="M409" s="130">
        <v>100</v>
      </c>
      <c r="N409" s="252">
        <v>1000</v>
      </c>
      <c r="O409" s="189">
        <v>1</v>
      </c>
      <c r="P409" s="131">
        <f t="shared" si="57"/>
        <v>1000</v>
      </c>
      <c r="Q409" s="131"/>
      <c r="R409" s="167">
        <v>1000</v>
      </c>
      <c r="S409" s="130">
        <f t="shared" si="51"/>
        <v>0</v>
      </c>
      <c r="T409" s="168">
        <f t="shared" si="52"/>
        <v>864</v>
      </c>
      <c r="U409" s="163">
        <f t="shared" si="53"/>
        <v>0</v>
      </c>
      <c r="V409" s="163">
        <f t="shared" si="54"/>
        <v>0</v>
      </c>
      <c r="W409" s="163">
        <v>0</v>
      </c>
      <c r="X409" s="137">
        <f t="shared" si="55"/>
        <v>46153.968362268512</v>
      </c>
    </row>
    <row r="410" spans="1:24" s="118" customFormat="1" ht="26.5" hidden="1" x14ac:dyDescent="0.35">
      <c r="A410" s="123">
        <f t="shared" si="58"/>
        <v>46153.968362268512</v>
      </c>
      <c r="B410" s="123"/>
      <c r="C410" s="123"/>
      <c r="D410" s="123"/>
      <c r="E410" s="124" t="s">
        <v>454</v>
      </c>
      <c r="F410" s="160" t="s">
        <v>787</v>
      </c>
      <c r="G410" s="159" t="s">
        <v>780</v>
      </c>
      <c r="H410" s="126" t="s">
        <v>788</v>
      </c>
      <c r="I410" s="160" t="s">
        <v>4205</v>
      </c>
      <c r="J410" s="128" t="s">
        <v>140</v>
      </c>
      <c r="K410" s="129">
        <v>0</v>
      </c>
      <c r="L410" s="129">
        <v>0</v>
      </c>
      <c r="M410" s="130">
        <v>100</v>
      </c>
      <c r="N410" s="131">
        <v>3500</v>
      </c>
      <c r="O410" s="189">
        <v>1</v>
      </c>
      <c r="P410" s="131">
        <f t="shared" si="57"/>
        <v>3500</v>
      </c>
      <c r="Q410" s="131"/>
      <c r="R410" s="176">
        <v>3500</v>
      </c>
      <c r="S410" s="130">
        <f t="shared" si="51"/>
        <v>0</v>
      </c>
      <c r="T410" s="242">
        <f t="shared" si="52"/>
        <v>864</v>
      </c>
      <c r="U410" s="129">
        <f t="shared" si="53"/>
        <v>0</v>
      </c>
      <c r="V410" s="129">
        <f t="shared" si="54"/>
        <v>0</v>
      </c>
      <c r="W410" s="129">
        <v>0</v>
      </c>
      <c r="X410" s="137">
        <f t="shared" si="55"/>
        <v>46153.968362268512</v>
      </c>
    </row>
    <row r="411" spans="1:24" s="118" customFormat="1" hidden="1" x14ac:dyDescent="0.35">
      <c r="A411" s="123">
        <f t="shared" si="58"/>
        <v>46153.968362268512</v>
      </c>
      <c r="B411" s="123"/>
      <c r="C411" s="123"/>
      <c r="D411" s="123"/>
      <c r="E411" s="124" t="s">
        <v>454</v>
      </c>
      <c r="F411" s="159" t="s">
        <v>789</v>
      </c>
      <c r="G411" s="159" t="s">
        <v>327</v>
      </c>
      <c r="H411" s="188" t="s">
        <v>790</v>
      </c>
      <c r="I411" s="125" t="s">
        <v>729</v>
      </c>
      <c r="J411" s="175" t="s">
        <v>140</v>
      </c>
      <c r="K411" s="129">
        <v>0</v>
      </c>
      <c r="L411" s="129">
        <v>0</v>
      </c>
      <c r="M411" s="130">
        <v>100</v>
      </c>
      <c r="N411" s="131">
        <v>2000</v>
      </c>
      <c r="O411" s="130">
        <v>1</v>
      </c>
      <c r="P411" s="131">
        <v>2000</v>
      </c>
      <c r="Q411" s="131"/>
      <c r="R411" s="176">
        <v>2000</v>
      </c>
      <c r="S411" s="130">
        <f t="shared" si="51"/>
        <v>0</v>
      </c>
      <c r="T411" s="164">
        <f t="shared" si="52"/>
        <v>864</v>
      </c>
      <c r="U411" s="163">
        <f t="shared" si="53"/>
        <v>0</v>
      </c>
      <c r="V411" s="163">
        <f t="shared" si="54"/>
        <v>0</v>
      </c>
      <c r="W411" s="163">
        <v>0</v>
      </c>
      <c r="X411" s="137">
        <f t="shared" si="55"/>
        <v>46153.968362268512</v>
      </c>
    </row>
    <row r="412" spans="1:24" s="118" customFormat="1" hidden="1" x14ac:dyDescent="0.35">
      <c r="A412" s="123">
        <f t="shared" si="58"/>
        <v>46153.968362268512</v>
      </c>
      <c r="B412" s="123"/>
      <c r="C412" s="123"/>
      <c r="D412" s="123"/>
      <c r="E412" s="124" t="s">
        <v>454</v>
      </c>
      <c r="F412" s="125" t="s">
        <v>791</v>
      </c>
      <c r="G412" s="125" t="s">
        <v>792</v>
      </c>
      <c r="H412" s="126" t="s">
        <v>793</v>
      </c>
      <c r="I412" s="187" t="s">
        <v>4206</v>
      </c>
      <c r="J412" s="175" t="s">
        <v>140</v>
      </c>
      <c r="K412" s="163">
        <v>0</v>
      </c>
      <c r="L412" s="163">
        <v>0</v>
      </c>
      <c r="M412" s="164">
        <v>50</v>
      </c>
      <c r="N412" s="165">
        <v>2368</v>
      </c>
      <c r="O412" s="164">
        <v>1</v>
      </c>
      <c r="P412" s="165">
        <f t="shared" ref="P412:P468" si="59">N412/O412</f>
        <v>2368</v>
      </c>
      <c r="Q412" s="165"/>
      <c r="R412" s="130">
        <v>2368</v>
      </c>
      <c r="S412" s="164">
        <f t="shared" si="51"/>
        <v>0</v>
      </c>
      <c r="T412" s="164">
        <f t="shared" si="52"/>
        <v>1728</v>
      </c>
      <c r="U412" s="163">
        <f t="shared" si="53"/>
        <v>0</v>
      </c>
      <c r="V412" s="163">
        <f t="shared" si="54"/>
        <v>0</v>
      </c>
      <c r="W412" s="163">
        <v>0</v>
      </c>
      <c r="X412" s="137">
        <f t="shared" si="55"/>
        <v>46153.968362268512</v>
      </c>
    </row>
    <row r="413" spans="1:24" s="118" customFormat="1" hidden="1" x14ac:dyDescent="0.35">
      <c r="A413" s="123">
        <f t="shared" si="58"/>
        <v>46153.968362268512</v>
      </c>
      <c r="B413" s="123"/>
      <c r="C413" s="123"/>
      <c r="D413" s="123"/>
      <c r="E413" s="124" t="s">
        <v>454</v>
      </c>
      <c r="F413" s="187" t="s">
        <v>794</v>
      </c>
      <c r="G413" s="187" t="s">
        <v>792</v>
      </c>
      <c r="H413" s="126" t="s">
        <v>795</v>
      </c>
      <c r="I413" s="187" t="s">
        <v>4207</v>
      </c>
      <c r="J413" s="128" t="s">
        <v>140</v>
      </c>
      <c r="K413" s="129">
        <v>0</v>
      </c>
      <c r="L413" s="129">
        <v>0</v>
      </c>
      <c r="M413" s="130">
        <v>50</v>
      </c>
      <c r="N413" s="131">
        <v>1968</v>
      </c>
      <c r="O413" s="189">
        <v>1</v>
      </c>
      <c r="P413" s="131">
        <f t="shared" si="59"/>
        <v>1968</v>
      </c>
      <c r="Q413" s="131"/>
      <c r="R413" s="130">
        <v>1968</v>
      </c>
      <c r="S413" s="130">
        <f t="shared" si="51"/>
        <v>0</v>
      </c>
      <c r="T413" s="242">
        <f t="shared" si="52"/>
        <v>1728</v>
      </c>
      <c r="U413" s="129">
        <f t="shared" si="53"/>
        <v>0</v>
      </c>
      <c r="V413" s="129">
        <f t="shared" si="54"/>
        <v>0</v>
      </c>
      <c r="W413" s="129">
        <v>0</v>
      </c>
      <c r="X413" s="137">
        <f t="shared" si="55"/>
        <v>46153.968362268512</v>
      </c>
    </row>
    <row r="414" spans="1:24" hidden="1" x14ac:dyDescent="0.35">
      <c r="A414" s="123">
        <f t="shared" si="58"/>
        <v>46153.968362268512</v>
      </c>
      <c r="B414" s="123"/>
      <c r="C414" s="123"/>
      <c r="D414" s="123"/>
      <c r="E414" s="124" t="s">
        <v>454</v>
      </c>
      <c r="F414" s="187" t="s">
        <v>796</v>
      </c>
      <c r="G414" s="187" t="s">
        <v>792</v>
      </c>
      <c r="H414" s="126" t="s">
        <v>797</v>
      </c>
      <c r="I414" s="159" t="s">
        <v>457</v>
      </c>
      <c r="J414" s="175" t="s">
        <v>140</v>
      </c>
      <c r="K414" s="129">
        <v>0</v>
      </c>
      <c r="L414" s="129">
        <v>0</v>
      </c>
      <c r="M414" s="130">
        <v>90</v>
      </c>
      <c r="N414" s="131">
        <v>1200</v>
      </c>
      <c r="O414" s="189">
        <v>1</v>
      </c>
      <c r="P414" s="131">
        <f t="shared" si="59"/>
        <v>1200</v>
      </c>
      <c r="Q414" s="131"/>
      <c r="R414" s="130">
        <v>1200</v>
      </c>
      <c r="S414" s="130">
        <f t="shared" si="51"/>
        <v>0</v>
      </c>
      <c r="T414" s="168">
        <f t="shared" si="52"/>
        <v>960</v>
      </c>
      <c r="U414" s="163">
        <f t="shared" si="53"/>
        <v>0</v>
      </c>
      <c r="V414" s="163">
        <f t="shared" si="54"/>
        <v>0</v>
      </c>
      <c r="W414" s="163">
        <v>0</v>
      </c>
      <c r="X414" s="137">
        <f t="shared" si="55"/>
        <v>46153.968362268512</v>
      </c>
    </row>
    <row r="415" spans="1:24" s="120" customFormat="1" ht="13" hidden="1" x14ac:dyDescent="0.3">
      <c r="A415" s="71">
        <f t="shared" si="58"/>
        <v>46153.968362268512</v>
      </c>
      <c r="B415" s="71"/>
      <c r="C415" s="71"/>
      <c r="D415" s="71"/>
      <c r="E415" s="47" t="s">
        <v>195</v>
      </c>
      <c r="F415" s="99" t="s">
        <v>796</v>
      </c>
      <c r="G415" s="97" t="s">
        <v>792</v>
      </c>
      <c r="H415" s="98" t="s">
        <v>798</v>
      </c>
      <c r="I415" s="82" t="s">
        <v>536</v>
      </c>
      <c r="J415" s="51" t="s">
        <v>140</v>
      </c>
      <c r="K415" s="91">
        <v>0</v>
      </c>
      <c r="L415" s="91">
        <v>0</v>
      </c>
      <c r="M415" s="92">
        <v>120</v>
      </c>
      <c r="N415" s="94">
        <v>1200</v>
      </c>
      <c r="O415" s="253">
        <v>1</v>
      </c>
      <c r="P415" s="94">
        <f t="shared" si="59"/>
        <v>1200</v>
      </c>
      <c r="Q415" s="94"/>
      <c r="R415" s="92">
        <v>1200</v>
      </c>
      <c r="S415" s="92">
        <f t="shared" si="51"/>
        <v>0</v>
      </c>
      <c r="T415" s="254">
        <f t="shared" si="52"/>
        <v>720</v>
      </c>
      <c r="U415" s="91">
        <f t="shared" si="53"/>
        <v>0</v>
      </c>
      <c r="V415" s="91">
        <f t="shared" si="54"/>
        <v>0</v>
      </c>
      <c r="W415" s="91">
        <v>0</v>
      </c>
      <c r="X415" s="55">
        <f t="shared" si="55"/>
        <v>46153.968362268512</v>
      </c>
    </row>
    <row r="416" spans="1:24" hidden="1" x14ac:dyDescent="0.35">
      <c r="A416" s="123">
        <f t="shared" si="58"/>
        <v>46153.968362268512</v>
      </c>
      <c r="B416" s="123"/>
      <c r="C416" s="123"/>
      <c r="D416" s="123"/>
      <c r="E416" s="124" t="s">
        <v>195</v>
      </c>
      <c r="F416" s="159" t="s">
        <v>799</v>
      </c>
      <c r="G416" s="159" t="s">
        <v>792</v>
      </c>
      <c r="H416" s="126" t="s">
        <v>800</v>
      </c>
      <c r="I416" s="159" t="s">
        <v>801</v>
      </c>
      <c r="J416" s="128" t="s">
        <v>140</v>
      </c>
      <c r="K416" s="129">
        <v>0</v>
      </c>
      <c r="L416" s="129">
        <v>0</v>
      </c>
      <c r="M416" s="130">
        <v>120</v>
      </c>
      <c r="N416" s="131">
        <v>600</v>
      </c>
      <c r="O416" s="189">
        <v>1</v>
      </c>
      <c r="P416" s="131">
        <f t="shared" si="59"/>
        <v>600</v>
      </c>
      <c r="Q416" s="131"/>
      <c r="R416" s="130">
        <v>600</v>
      </c>
      <c r="S416" s="130">
        <f t="shared" si="51"/>
        <v>0</v>
      </c>
      <c r="T416" s="242">
        <f t="shared" si="52"/>
        <v>720</v>
      </c>
      <c r="U416" s="129">
        <f t="shared" si="53"/>
        <v>0</v>
      </c>
      <c r="V416" s="129">
        <f t="shared" si="54"/>
        <v>0</v>
      </c>
      <c r="W416" s="129">
        <v>0</v>
      </c>
      <c r="X416" s="137">
        <f t="shared" si="55"/>
        <v>46153.968362268512</v>
      </c>
    </row>
    <row r="417" spans="1:24" s="118" customFormat="1" hidden="1" x14ac:dyDescent="0.35">
      <c r="A417" s="123">
        <f t="shared" si="58"/>
        <v>46153.968362268512</v>
      </c>
      <c r="B417" s="123"/>
      <c r="C417" s="123"/>
      <c r="D417" s="123"/>
      <c r="E417" s="124" t="s">
        <v>454</v>
      </c>
      <c r="F417" s="184" t="s">
        <v>802</v>
      </c>
      <c r="G417" s="184" t="s">
        <v>792</v>
      </c>
      <c r="H417" s="126" t="s">
        <v>803</v>
      </c>
      <c r="I417" s="159" t="s">
        <v>804</v>
      </c>
      <c r="J417" s="175" t="s">
        <v>140</v>
      </c>
      <c r="K417" s="163">
        <v>0</v>
      </c>
      <c r="L417" s="163">
        <v>0</v>
      </c>
      <c r="M417" s="130">
        <v>85</v>
      </c>
      <c r="N417" s="131">
        <f>5000-880</f>
        <v>4120</v>
      </c>
      <c r="O417" s="189">
        <v>1</v>
      </c>
      <c r="P417" s="131">
        <f t="shared" si="59"/>
        <v>4120</v>
      </c>
      <c r="Q417" s="131"/>
      <c r="R417" s="176">
        <v>4120</v>
      </c>
      <c r="S417" s="130">
        <f t="shared" si="51"/>
        <v>0</v>
      </c>
      <c r="T417" s="168">
        <f t="shared" si="52"/>
        <v>1016.4705882352941</v>
      </c>
      <c r="U417" s="163">
        <f t="shared" si="53"/>
        <v>0</v>
      </c>
      <c r="V417" s="163">
        <f t="shared" si="54"/>
        <v>0</v>
      </c>
      <c r="W417" s="163">
        <v>0</v>
      </c>
      <c r="X417" s="137">
        <f>A417+K417+L417+V417+W417</f>
        <v>46153.968362268512</v>
      </c>
    </row>
    <row r="418" spans="1:24" s="118" customFormat="1" hidden="1" x14ac:dyDescent="0.35">
      <c r="A418" s="123">
        <f t="shared" si="58"/>
        <v>46153.968362268512</v>
      </c>
      <c r="B418" s="123"/>
      <c r="C418" s="123"/>
      <c r="D418" s="123"/>
      <c r="E418" s="124" t="s">
        <v>454</v>
      </c>
      <c r="F418" s="159" t="s">
        <v>805</v>
      </c>
      <c r="G418" s="159" t="s">
        <v>792</v>
      </c>
      <c r="H418" s="188" t="s">
        <v>806</v>
      </c>
      <c r="I418" s="125" t="s">
        <v>729</v>
      </c>
      <c r="J418" s="175" t="s">
        <v>140</v>
      </c>
      <c r="K418" s="129">
        <v>0</v>
      </c>
      <c r="L418" s="129">
        <v>0</v>
      </c>
      <c r="M418" s="130">
        <v>100</v>
      </c>
      <c r="N418" s="131">
        <v>2762</v>
      </c>
      <c r="O418" s="130">
        <v>1</v>
      </c>
      <c r="P418" s="131">
        <f t="shared" si="59"/>
        <v>2762</v>
      </c>
      <c r="Q418" s="131"/>
      <c r="R418" s="176">
        <v>2762</v>
      </c>
      <c r="S418" s="130">
        <f t="shared" si="51"/>
        <v>0</v>
      </c>
      <c r="T418" s="164">
        <f t="shared" si="52"/>
        <v>864</v>
      </c>
      <c r="U418" s="163">
        <f t="shared" si="53"/>
        <v>0</v>
      </c>
      <c r="V418" s="163">
        <f t="shared" si="54"/>
        <v>0</v>
      </c>
      <c r="W418" s="163">
        <v>0</v>
      </c>
      <c r="X418" s="137">
        <f t="shared" ref="X418:X468" si="60">A418+K418+V418+W418+L418</f>
        <v>46153.968362268512</v>
      </c>
    </row>
    <row r="419" spans="1:24" s="118" customFormat="1" hidden="1" x14ac:dyDescent="0.35">
      <c r="A419" s="123">
        <f t="shared" si="58"/>
        <v>46153.968362268512</v>
      </c>
      <c r="B419" s="123"/>
      <c r="C419" s="123"/>
      <c r="D419" s="123"/>
      <c r="E419" s="124" t="s">
        <v>454</v>
      </c>
      <c r="F419" s="159" t="s">
        <v>807</v>
      </c>
      <c r="G419" s="159" t="s">
        <v>792</v>
      </c>
      <c r="H419" s="188" t="s">
        <v>808</v>
      </c>
      <c r="I419" s="125" t="s">
        <v>729</v>
      </c>
      <c r="J419" s="175" t="s">
        <v>140</v>
      </c>
      <c r="K419" s="129">
        <v>0</v>
      </c>
      <c r="L419" s="129">
        <v>0</v>
      </c>
      <c r="M419" s="130">
        <v>100</v>
      </c>
      <c r="N419" s="131">
        <v>3000</v>
      </c>
      <c r="O419" s="130">
        <v>1</v>
      </c>
      <c r="P419" s="131">
        <f t="shared" si="59"/>
        <v>3000</v>
      </c>
      <c r="Q419" s="131"/>
      <c r="R419" s="176">
        <v>3000</v>
      </c>
      <c r="S419" s="130">
        <f t="shared" si="51"/>
        <v>0</v>
      </c>
      <c r="T419" s="164">
        <f t="shared" si="52"/>
        <v>864</v>
      </c>
      <c r="U419" s="163">
        <f t="shared" si="53"/>
        <v>0</v>
      </c>
      <c r="V419" s="163">
        <f t="shared" si="54"/>
        <v>0</v>
      </c>
      <c r="W419" s="163">
        <v>0</v>
      </c>
      <c r="X419" s="137">
        <f t="shared" si="60"/>
        <v>46153.968362268512</v>
      </c>
    </row>
    <row r="420" spans="1:24" s="118" customFormat="1" hidden="1" x14ac:dyDescent="0.35">
      <c r="A420" s="123">
        <f t="shared" si="58"/>
        <v>46153.968362268512</v>
      </c>
      <c r="B420" s="123"/>
      <c r="C420" s="123"/>
      <c r="D420" s="123"/>
      <c r="E420" s="124" t="s">
        <v>454</v>
      </c>
      <c r="F420" s="159" t="s">
        <v>809</v>
      </c>
      <c r="G420" s="159" t="s">
        <v>359</v>
      </c>
      <c r="H420" s="126" t="s">
        <v>313</v>
      </c>
      <c r="I420" s="187" t="s">
        <v>97</v>
      </c>
      <c r="J420" s="128" t="s">
        <v>140</v>
      </c>
      <c r="K420" s="129">
        <v>0</v>
      </c>
      <c r="L420" s="129">
        <v>0</v>
      </c>
      <c r="M420" s="130">
        <v>110</v>
      </c>
      <c r="N420" s="131">
        <v>3000</v>
      </c>
      <c r="O420" s="130">
        <v>1</v>
      </c>
      <c r="P420" s="131">
        <f t="shared" si="59"/>
        <v>3000</v>
      </c>
      <c r="Q420" s="131"/>
      <c r="R420" s="176">
        <v>3000</v>
      </c>
      <c r="S420" s="130">
        <f t="shared" si="51"/>
        <v>0</v>
      </c>
      <c r="T420" s="130">
        <f t="shared" si="52"/>
        <v>785.4545454545455</v>
      </c>
      <c r="U420" s="129">
        <f t="shared" si="53"/>
        <v>0</v>
      </c>
      <c r="V420" s="129">
        <f t="shared" si="54"/>
        <v>0</v>
      </c>
      <c r="W420" s="129">
        <v>0</v>
      </c>
      <c r="X420" s="137">
        <f t="shared" si="60"/>
        <v>46153.968362268512</v>
      </c>
    </row>
    <row r="421" spans="1:24" s="118" customFormat="1" hidden="1" x14ac:dyDescent="0.35">
      <c r="A421" s="161">
        <f t="shared" si="58"/>
        <v>46153.968362268512</v>
      </c>
      <c r="B421" s="161"/>
      <c r="C421" s="161"/>
      <c r="D421" s="161"/>
      <c r="E421" s="124" t="s">
        <v>454</v>
      </c>
      <c r="F421" s="159" t="s">
        <v>810</v>
      </c>
      <c r="G421" s="159" t="s">
        <v>359</v>
      </c>
      <c r="H421" s="126" t="s">
        <v>811</v>
      </c>
      <c r="I421" s="161" t="s">
        <v>348</v>
      </c>
      <c r="J421" s="175" t="s">
        <v>140</v>
      </c>
      <c r="K421" s="163">
        <v>0</v>
      </c>
      <c r="L421" s="163">
        <v>0</v>
      </c>
      <c r="M421" s="164">
        <v>65</v>
      </c>
      <c r="N421" s="165">
        <v>75</v>
      </c>
      <c r="O421" s="166">
        <v>1</v>
      </c>
      <c r="P421" s="165">
        <f t="shared" si="59"/>
        <v>75</v>
      </c>
      <c r="Q421" s="165"/>
      <c r="R421" s="164">
        <v>75</v>
      </c>
      <c r="S421" s="164">
        <f t="shared" si="51"/>
        <v>0</v>
      </c>
      <c r="T421" s="168">
        <f t="shared" si="52"/>
        <v>1329.2307692307693</v>
      </c>
      <c r="U421" s="163">
        <f t="shared" si="53"/>
        <v>0</v>
      </c>
      <c r="V421" s="163">
        <f t="shared" si="54"/>
        <v>0</v>
      </c>
      <c r="W421" s="163">
        <v>0</v>
      </c>
      <c r="X421" s="169">
        <f t="shared" si="60"/>
        <v>46153.968362268512</v>
      </c>
    </row>
    <row r="422" spans="1:24" s="118" customFormat="1" hidden="1" x14ac:dyDescent="0.35">
      <c r="A422" s="161">
        <f t="shared" si="58"/>
        <v>46153.968362268512</v>
      </c>
      <c r="B422" s="161"/>
      <c r="C422" s="161"/>
      <c r="D422" s="161"/>
      <c r="E422" s="124" t="s">
        <v>454</v>
      </c>
      <c r="F422" s="159" t="s">
        <v>812</v>
      </c>
      <c r="G422" s="159" t="s">
        <v>359</v>
      </c>
      <c r="H422" s="126" t="s">
        <v>813</v>
      </c>
      <c r="I422" s="161" t="s">
        <v>345</v>
      </c>
      <c r="J422" s="175" t="s">
        <v>140</v>
      </c>
      <c r="K422" s="163">
        <v>0</v>
      </c>
      <c r="L422" s="163">
        <v>0</v>
      </c>
      <c r="M422" s="164">
        <v>65</v>
      </c>
      <c r="N422" s="165">
        <v>100</v>
      </c>
      <c r="O422" s="166">
        <v>1</v>
      </c>
      <c r="P422" s="165">
        <f t="shared" si="59"/>
        <v>100</v>
      </c>
      <c r="Q422" s="165"/>
      <c r="R422" s="164">
        <v>100</v>
      </c>
      <c r="S422" s="164">
        <f t="shared" si="51"/>
        <v>0</v>
      </c>
      <c r="T422" s="168">
        <f t="shared" si="52"/>
        <v>1329.2307692307693</v>
      </c>
      <c r="U422" s="163">
        <f t="shared" si="53"/>
        <v>0</v>
      </c>
      <c r="V422" s="163">
        <f t="shared" si="54"/>
        <v>0</v>
      </c>
      <c r="W422" s="163">
        <v>0</v>
      </c>
      <c r="X422" s="169">
        <f t="shared" si="60"/>
        <v>46153.968362268512</v>
      </c>
    </row>
    <row r="423" spans="1:24" s="118" customFormat="1" hidden="1" x14ac:dyDescent="0.35">
      <c r="A423" s="161">
        <f t="shared" si="58"/>
        <v>46153.968362268512</v>
      </c>
      <c r="B423" s="161"/>
      <c r="C423" s="161"/>
      <c r="D423" s="161"/>
      <c r="E423" s="124" t="s">
        <v>454</v>
      </c>
      <c r="F423" s="159" t="s">
        <v>814</v>
      </c>
      <c r="G423" s="159" t="s">
        <v>359</v>
      </c>
      <c r="H423" s="126" t="s">
        <v>815</v>
      </c>
      <c r="I423" s="161" t="s">
        <v>816</v>
      </c>
      <c r="J423" s="162" t="s">
        <v>140</v>
      </c>
      <c r="K423" s="163">
        <v>0</v>
      </c>
      <c r="L423" s="163">
        <v>0</v>
      </c>
      <c r="M423" s="164">
        <v>65</v>
      </c>
      <c r="N423" s="165">
        <v>300</v>
      </c>
      <c r="O423" s="166">
        <v>1</v>
      </c>
      <c r="P423" s="165">
        <f t="shared" si="59"/>
        <v>300</v>
      </c>
      <c r="Q423" s="165"/>
      <c r="R423" s="164">
        <v>300</v>
      </c>
      <c r="S423" s="164">
        <f t="shared" si="51"/>
        <v>0</v>
      </c>
      <c r="T423" s="168">
        <f t="shared" si="52"/>
        <v>1329.2307692307693</v>
      </c>
      <c r="U423" s="163">
        <f t="shared" si="53"/>
        <v>0</v>
      </c>
      <c r="V423" s="163">
        <f t="shared" si="54"/>
        <v>0</v>
      </c>
      <c r="W423" s="163">
        <v>0</v>
      </c>
      <c r="X423" s="169">
        <f t="shared" si="60"/>
        <v>46153.968362268512</v>
      </c>
    </row>
    <row r="424" spans="1:24" s="118" customFormat="1" hidden="1" x14ac:dyDescent="0.35">
      <c r="A424" s="71">
        <f t="shared" si="58"/>
        <v>46153.968362268512</v>
      </c>
      <c r="B424" s="71"/>
      <c r="C424" s="71"/>
      <c r="D424" s="71"/>
      <c r="E424" s="47" t="s">
        <v>454</v>
      </c>
      <c r="F424" s="82" t="s">
        <v>814</v>
      </c>
      <c r="G424" s="82" t="s">
        <v>359</v>
      </c>
      <c r="H424" s="98" t="s">
        <v>817</v>
      </c>
      <c r="I424" s="71" t="s">
        <v>818</v>
      </c>
      <c r="J424" s="170" t="s">
        <v>140</v>
      </c>
      <c r="K424" s="101">
        <v>0</v>
      </c>
      <c r="L424" s="101">
        <v>0</v>
      </c>
      <c r="M424" s="102">
        <v>65</v>
      </c>
      <c r="N424" s="103">
        <v>350</v>
      </c>
      <c r="O424" s="171">
        <v>1</v>
      </c>
      <c r="P424" s="103">
        <f t="shared" si="59"/>
        <v>350</v>
      </c>
      <c r="Q424" s="103"/>
      <c r="R424" s="102">
        <v>350</v>
      </c>
      <c r="S424" s="102">
        <f t="shared" si="51"/>
        <v>0</v>
      </c>
      <c r="T424" s="173">
        <f t="shared" si="52"/>
        <v>1329.2307692307693</v>
      </c>
      <c r="U424" s="101">
        <f t="shared" si="53"/>
        <v>0</v>
      </c>
      <c r="V424" s="101">
        <f t="shared" si="54"/>
        <v>0</v>
      </c>
      <c r="W424" s="101">
        <v>0</v>
      </c>
      <c r="X424" s="255">
        <f t="shared" si="60"/>
        <v>46153.968362268512</v>
      </c>
    </row>
    <row r="425" spans="1:24" s="118" customFormat="1" hidden="1" x14ac:dyDescent="0.35">
      <c r="A425" s="161">
        <f>X423</f>
        <v>46153.968362268512</v>
      </c>
      <c r="B425" s="161"/>
      <c r="C425" s="161"/>
      <c r="D425" s="161"/>
      <c r="E425" s="124" t="s">
        <v>454</v>
      </c>
      <c r="F425" s="159" t="s">
        <v>819</v>
      </c>
      <c r="G425" s="159" t="s">
        <v>359</v>
      </c>
      <c r="H425" s="126" t="s">
        <v>820</v>
      </c>
      <c r="I425" s="161" t="s">
        <v>351</v>
      </c>
      <c r="J425" s="162" t="s">
        <v>140</v>
      </c>
      <c r="K425" s="163">
        <v>0</v>
      </c>
      <c r="L425" s="163">
        <v>0</v>
      </c>
      <c r="M425" s="164">
        <v>65</v>
      </c>
      <c r="N425" s="165">
        <v>650</v>
      </c>
      <c r="O425" s="166">
        <v>1</v>
      </c>
      <c r="P425" s="165">
        <f t="shared" si="59"/>
        <v>650</v>
      </c>
      <c r="Q425" s="165"/>
      <c r="R425" s="164">
        <v>650</v>
      </c>
      <c r="S425" s="164">
        <f t="shared" si="51"/>
        <v>0</v>
      </c>
      <c r="T425" s="168">
        <f t="shared" si="52"/>
        <v>1329.2307692307693</v>
      </c>
      <c r="U425" s="163">
        <f t="shared" si="53"/>
        <v>0</v>
      </c>
      <c r="V425" s="163">
        <f t="shared" si="54"/>
        <v>0</v>
      </c>
      <c r="W425" s="163">
        <v>0</v>
      </c>
      <c r="X425" s="169">
        <f t="shared" si="60"/>
        <v>46153.968362268512</v>
      </c>
    </row>
    <row r="426" spans="1:24" s="118" customFormat="1" ht="26.5" hidden="1" x14ac:dyDescent="0.35">
      <c r="A426" s="161">
        <f t="shared" ref="A426:A440" si="61">X425</f>
        <v>46153.968362268512</v>
      </c>
      <c r="B426" s="161"/>
      <c r="C426" s="161"/>
      <c r="D426" s="161"/>
      <c r="E426" s="124" t="s">
        <v>454</v>
      </c>
      <c r="F426" s="159" t="s">
        <v>652</v>
      </c>
      <c r="G426" s="159" t="s">
        <v>359</v>
      </c>
      <c r="H426" s="126" t="s">
        <v>821</v>
      </c>
      <c r="I426" s="256" t="s">
        <v>562</v>
      </c>
      <c r="J426" s="128" t="s">
        <v>140</v>
      </c>
      <c r="K426" s="129">
        <v>0</v>
      </c>
      <c r="L426" s="129">
        <v>0</v>
      </c>
      <c r="M426" s="130">
        <v>140</v>
      </c>
      <c r="N426" s="257">
        <v>500</v>
      </c>
      <c r="O426" s="130">
        <v>1</v>
      </c>
      <c r="P426" s="131">
        <f t="shared" si="59"/>
        <v>500</v>
      </c>
      <c r="Q426" s="131"/>
      <c r="R426" s="164">
        <v>500</v>
      </c>
      <c r="S426" s="130">
        <f t="shared" si="51"/>
        <v>0</v>
      </c>
      <c r="T426" s="130">
        <f t="shared" si="52"/>
        <v>617.14285714285711</v>
      </c>
      <c r="U426" s="129">
        <f t="shared" si="53"/>
        <v>0</v>
      </c>
      <c r="V426" s="129">
        <f t="shared" si="54"/>
        <v>0</v>
      </c>
      <c r="W426" s="129">
        <v>0</v>
      </c>
      <c r="X426" s="137">
        <f t="shared" si="60"/>
        <v>46153.968362268512</v>
      </c>
    </row>
    <row r="427" spans="1:24" s="118" customFormat="1" ht="26.5" hidden="1" x14ac:dyDescent="0.35">
      <c r="A427" s="161">
        <f t="shared" si="61"/>
        <v>46153.968362268512</v>
      </c>
      <c r="B427" s="161"/>
      <c r="C427" s="161"/>
      <c r="D427" s="161"/>
      <c r="E427" s="124" t="s">
        <v>454</v>
      </c>
      <c r="F427" s="159" t="s">
        <v>652</v>
      </c>
      <c r="G427" s="159" t="s">
        <v>359</v>
      </c>
      <c r="H427" s="126" t="s">
        <v>822</v>
      </c>
      <c r="I427" s="256" t="s">
        <v>560</v>
      </c>
      <c r="J427" s="128" t="s">
        <v>140</v>
      </c>
      <c r="K427" s="129">
        <v>0</v>
      </c>
      <c r="L427" s="129">
        <v>0</v>
      </c>
      <c r="M427" s="130">
        <v>140</v>
      </c>
      <c r="N427" s="257">
        <v>200</v>
      </c>
      <c r="O427" s="130">
        <v>1</v>
      </c>
      <c r="P427" s="131">
        <f t="shared" si="59"/>
        <v>200</v>
      </c>
      <c r="Q427" s="131"/>
      <c r="R427" s="164">
        <v>200</v>
      </c>
      <c r="S427" s="130">
        <f t="shared" si="51"/>
        <v>0</v>
      </c>
      <c r="T427" s="130">
        <f t="shared" si="52"/>
        <v>617.14285714285711</v>
      </c>
      <c r="U427" s="129">
        <f t="shared" si="53"/>
        <v>0</v>
      </c>
      <c r="V427" s="129">
        <f t="shared" si="54"/>
        <v>0</v>
      </c>
      <c r="W427" s="129">
        <v>0</v>
      </c>
      <c r="X427" s="137">
        <f t="shared" si="60"/>
        <v>46153.968362268512</v>
      </c>
    </row>
    <row r="428" spans="1:24" s="118" customFormat="1" hidden="1" x14ac:dyDescent="0.35">
      <c r="A428" s="46">
        <f t="shared" si="61"/>
        <v>46153.968362268512</v>
      </c>
      <c r="B428" s="46"/>
      <c r="C428" s="46"/>
      <c r="D428" s="46"/>
      <c r="E428" s="47" t="s">
        <v>134</v>
      </c>
      <c r="F428" s="99" t="s">
        <v>823</v>
      </c>
      <c r="G428" s="99" t="s">
        <v>359</v>
      </c>
      <c r="H428" s="98" t="s">
        <v>824</v>
      </c>
      <c r="I428" s="99" t="s">
        <v>825</v>
      </c>
      <c r="J428" s="100" t="s">
        <v>826</v>
      </c>
      <c r="K428" s="91">
        <v>0</v>
      </c>
      <c r="L428" s="91">
        <v>0</v>
      </c>
      <c r="M428" s="92">
        <v>50</v>
      </c>
      <c r="N428" s="94">
        <v>592</v>
      </c>
      <c r="O428" s="253">
        <v>1</v>
      </c>
      <c r="P428" s="94">
        <f t="shared" si="59"/>
        <v>592</v>
      </c>
      <c r="Q428" s="94"/>
      <c r="R428" s="92">
        <v>592</v>
      </c>
      <c r="S428" s="92">
        <f t="shared" si="51"/>
        <v>0</v>
      </c>
      <c r="T428" s="254">
        <f t="shared" si="52"/>
        <v>1728</v>
      </c>
      <c r="U428" s="91">
        <f t="shared" si="53"/>
        <v>0</v>
      </c>
      <c r="V428" s="91">
        <f t="shared" si="54"/>
        <v>0</v>
      </c>
      <c r="W428" s="91">
        <v>0</v>
      </c>
      <c r="X428" s="55">
        <f t="shared" si="60"/>
        <v>46153.968362268512</v>
      </c>
    </row>
    <row r="429" spans="1:24" s="118" customFormat="1" ht="26.5" hidden="1" x14ac:dyDescent="0.35">
      <c r="A429" s="123">
        <f t="shared" si="61"/>
        <v>46153.968362268512</v>
      </c>
      <c r="B429" s="123"/>
      <c r="C429" s="123"/>
      <c r="D429" s="123"/>
      <c r="E429" s="124" t="s">
        <v>134</v>
      </c>
      <c r="F429" s="159" t="s">
        <v>827</v>
      </c>
      <c r="G429" s="159" t="s">
        <v>359</v>
      </c>
      <c r="H429" s="188" t="s">
        <v>828</v>
      </c>
      <c r="I429" s="159" t="s">
        <v>198</v>
      </c>
      <c r="J429" s="175" t="s">
        <v>140</v>
      </c>
      <c r="K429" s="129">
        <v>0</v>
      </c>
      <c r="L429" s="129">
        <v>0</v>
      </c>
      <c r="M429" s="130">
        <v>190</v>
      </c>
      <c r="N429" s="131">
        <v>1000</v>
      </c>
      <c r="O429" s="189">
        <v>1</v>
      </c>
      <c r="P429" s="131">
        <f t="shared" si="59"/>
        <v>1000</v>
      </c>
      <c r="Q429" s="131"/>
      <c r="R429" s="130">
        <v>1000</v>
      </c>
      <c r="S429" s="130">
        <f t="shared" si="51"/>
        <v>0</v>
      </c>
      <c r="T429" s="168">
        <f t="shared" si="52"/>
        <v>454.73684210526312</v>
      </c>
      <c r="U429" s="163">
        <f t="shared" si="53"/>
        <v>0</v>
      </c>
      <c r="V429" s="163">
        <f t="shared" si="54"/>
        <v>0</v>
      </c>
      <c r="W429" s="258">
        <v>0</v>
      </c>
      <c r="X429" s="137">
        <f t="shared" si="60"/>
        <v>46153.968362268512</v>
      </c>
    </row>
    <row r="430" spans="1:24" s="118" customFormat="1" hidden="1" x14ac:dyDescent="0.35">
      <c r="A430" s="123">
        <f t="shared" si="61"/>
        <v>46153.968362268512</v>
      </c>
      <c r="B430" s="123"/>
      <c r="C430" s="123"/>
      <c r="D430" s="123"/>
      <c r="E430" s="124" t="s">
        <v>134</v>
      </c>
      <c r="F430" s="160" t="s">
        <v>829</v>
      </c>
      <c r="G430" s="160" t="s">
        <v>830</v>
      </c>
      <c r="H430" s="188" t="s">
        <v>831</v>
      </c>
      <c r="I430" s="187" t="s">
        <v>832</v>
      </c>
      <c r="J430" s="175" t="s">
        <v>140</v>
      </c>
      <c r="K430" s="163">
        <v>0</v>
      </c>
      <c r="L430" s="163">
        <v>0</v>
      </c>
      <c r="M430" s="130">
        <v>70</v>
      </c>
      <c r="N430" s="131">
        <v>200</v>
      </c>
      <c r="O430" s="130">
        <v>1</v>
      </c>
      <c r="P430" s="131">
        <f t="shared" si="59"/>
        <v>200</v>
      </c>
      <c r="Q430" s="131"/>
      <c r="R430" s="176">
        <v>200</v>
      </c>
      <c r="S430" s="130">
        <f t="shared" si="51"/>
        <v>0</v>
      </c>
      <c r="T430" s="164">
        <f t="shared" si="52"/>
        <v>1234.2857142857142</v>
      </c>
      <c r="U430" s="163">
        <f t="shared" si="53"/>
        <v>0</v>
      </c>
      <c r="V430" s="163">
        <f t="shared" si="54"/>
        <v>0</v>
      </c>
      <c r="W430" s="163">
        <v>0</v>
      </c>
      <c r="X430" s="137">
        <f t="shared" si="60"/>
        <v>46153.968362268512</v>
      </c>
    </row>
    <row r="431" spans="1:24" s="118" customFormat="1" hidden="1" x14ac:dyDescent="0.35">
      <c r="A431" s="123">
        <f t="shared" si="61"/>
        <v>46153.968362268512</v>
      </c>
      <c r="B431" s="123"/>
      <c r="C431" s="123"/>
      <c r="D431" s="123"/>
      <c r="E431" s="124" t="s">
        <v>134</v>
      </c>
      <c r="F431" s="160" t="s">
        <v>829</v>
      </c>
      <c r="G431" s="160" t="s">
        <v>830</v>
      </c>
      <c r="H431" s="188" t="s">
        <v>833</v>
      </c>
      <c r="I431" s="187" t="s">
        <v>834</v>
      </c>
      <c r="J431" s="175" t="s">
        <v>140</v>
      </c>
      <c r="K431" s="163">
        <v>0</v>
      </c>
      <c r="L431" s="163">
        <v>0</v>
      </c>
      <c r="M431" s="130">
        <v>70</v>
      </c>
      <c r="N431" s="131">
        <v>200</v>
      </c>
      <c r="O431" s="130">
        <v>1</v>
      </c>
      <c r="P431" s="131">
        <f t="shared" si="59"/>
        <v>200</v>
      </c>
      <c r="Q431" s="131"/>
      <c r="R431" s="176">
        <v>200</v>
      </c>
      <c r="S431" s="130">
        <f t="shared" si="51"/>
        <v>0</v>
      </c>
      <c r="T431" s="164">
        <f t="shared" si="52"/>
        <v>1234.2857142857142</v>
      </c>
      <c r="U431" s="163">
        <f t="shared" si="53"/>
        <v>0</v>
      </c>
      <c r="V431" s="163">
        <f t="shared" si="54"/>
        <v>0</v>
      </c>
      <c r="W431" s="163">
        <v>0</v>
      </c>
      <c r="X431" s="137">
        <f t="shared" si="60"/>
        <v>46153.968362268512</v>
      </c>
    </row>
    <row r="432" spans="1:24" s="118" customFormat="1" hidden="1" x14ac:dyDescent="0.35">
      <c r="A432" s="46">
        <f t="shared" si="61"/>
        <v>46153.968362268512</v>
      </c>
      <c r="B432" s="46"/>
      <c r="C432" s="46"/>
      <c r="D432" s="46"/>
      <c r="E432" s="47" t="s">
        <v>134</v>
      </c>
      <c r="F432" s="69" t="s">
        <v>829</v>
      </c>
      <c r="G432" s="69" t="s">
        <v>830</v>
      </c>
      <c r="H432" s="107" t="s">
        <v>833</v>
      </c>
      <c r="I432" s="99" t="s">
        <v>180</v>
      </c>
      <c r="J432" s="100" t="s">
        <v>140</v>
      </c>
      <c r="K432" s="101">
        <v>0</v>
      </c>
      <c r="L432" s="101">
        <v>0</v>
      </c>
      <c r="M432" s="92">
        <v>70</v>
      </c>
      <c r="N432" s="94">
        <v>50</v>
      </c>
      <c r="O432" s="92">
        <v>1</v>
      </c>
      <c r="P432" s="94">
        <f t="shared" si="59"/>
        <v>50</v>
      </c>
      <c r="Q432" s="94"/>
      <c r="R432" s="182">
        <v>50</v>
      </c>
      <c r="S432" s="92">
        <f t="shared" si="51"/>
        <v>0</v>
      </c>
      <c r="T432" s="102">
        <f t="shared" si="52"/>
        <v>1234.2857142857142</v>
      </c>
      <c r="U432" s="101">
        <f t="shared" si="53"/>
        <v>0</v>
      </c>
      <c r="V432" s="101">
        <f t="shared" si="54"/>
        <v>0</v>
      </c>
      <c r="W432" s="101">
        <v>0</v>
      </c>
      <c r="X432" s="55">
        <f t="shared" si="60"/>
        <v>46153.968362268512</v>
      </c>
    </row>
    <row r="433" spans="1:24" s="118" customFormat="1" ht="26.5" hidden="1" x14ac:dyDescent="0.35">
      <c r="A433" s="161">
        <f t="shared" si="61"/>
        <v>46153.968362268512</v>
      </c>
      <c r="B433" s="161"/>
      <c r="C433" s="161"/>
      <c r="D433" s="161"/>
      <c r="E433" s="124" t="s">
        <v>134</v>
      </c>
      <c r="F433" s="125" t="s">
        <v>835</v>
      </c>
      <c r="G433" s="125" t="s">
        <v>830</v>
      </c>
      <c r="H433" s="126" t="s">
        <v>836</v>
      </c>
      <c r="I433" s="259" t="s">
        <v>710</v>
      </c>
      <c r="J433" s="175" t="s">
        <v>140</v>
      </c>
      <c r="K433" s="163">
        <v>0</v>
      </c>
      <c r="L433" s="163">
        <v>0</v>
      </c>
      <c r="M433" s="164">
        <v>105</v>
      </c>
      <c r="N433" s="165">
        <v>500</v>
      </c>
      <c r="O433" s="166">
        <v>1</v>
      </c>
      <c r="P433" s="165">
        <f t="shared" si="59"/>
        <v>500</v>
      </c>
      <c r="Q433" s="165"/>
      <c r="R433" s="164">
        <v>500</v>
      </c>
      <c r="S433" s="164">
        <f t="shared" si="51"/>
        <v>0</v>
      </c>
      <c r="T433" s="168">
        <f t="shared" si="52"/>
        <v>822.85714285714289</v>
      </c>
      <c r="U433" s="163">
        <f t="shared" si="53"/>
        <v>0</v>
      </c>
      <c r="V433" s="163">
        <f t="shared" si="54"/>
        <v>0</v>
      </c>
      <c r="W433" s="163">
        <v>0</v>
      </c>
      <c r="X433" s="169">
        <f t="shared" si="60"/>
        <v>46153.968362268512</v>
      </c>
    </row>
    <row r="434" spans="1:24" s="179" customFormat="1" ht="26.5" hidden="1" x14ac:dyDescent="0.35">
      <c r="A434" s="161">
        <f t="shared" si="61"/>
        <v>46153.968362268512</v>
      </c>
      <c r="B434" s="161"/>
      <c r="C434" s="161"/>
      <c r="D434" s="161"/>
      <c r="E434" s="124" t="s">
        <v>134</v>
      </c>
      <c r="F434" s="125" t="s">
        <v>835</v>
      </c>
      <c r="G434" s="125" t="s">
        <v>830</v>
      </c>
      <c r="H434" s="126" t="s">
        <v>837</v>
      </c>
      <c r="I434" s="259" t="s">
        <v>234</v>
      </c>
      <c r="J434" s="175" t="s">
        <v>140</v>
      </c>
      <c r="K434" s="163">
        <v>0</v>
      </c>
      <c r="L434" s="163">
        <v>0</v>
      </c>
      <c r="M434" s="164">
        <v>105</v>
      </c>
      <c r="N434" s="165">
        <v>300</v>
      </c>
      <c r="O434" s="166">
        <v>1</v>
      </c>
      <c r="P434" s="165">
        <f t="shared" si="59"/>
        <v>300</v>
      </c>
      <c r="Q434" s="165"/>
      <c r="R434" s="164">
        <v>300</v>
      </c>
      <c r="S434" s="164">
        <f t="shared" si="51"/>
        <v>0</v>
      </c>
      <c r="T434" s="168">
        <f t="shared" si="52"/>
        <v>822.85714285714289</v>
      </c>
      <c r="U434" s="163">
        <f t="shared" si="53"/>
        <v>0</v>
      </c>
      <c r="V434" s="163">
        <f t="shared" si="54"/>
        <v>0</v>
      </c>
      <c r="W434" s="163">
        <v>0</v>
      </c>
      <c r="X434" s="169">
        <f t="shared" si="60"/>
        <v>46153.968362268512</v>
      </c>
    </row>
    <row r="435" spans="1:24" s="179" customFormat="1" hidden="1" x14ac:dyDescent="0.35">
      <c r="A435" s="161">
        <f t="shared" si="61"/>
        <v>46153.968362268512</v>
      </c>
      <c r="B435" s="161"/>
      <c r="C435" s="161"/>
      <c r="D435" s="161"/>
      <c r="E435" s="158" t="s">
        <v>134</v>
      </c>
      <c r="F435" s="159" t="s">
        <v>838</v>
      </c>
      <c r="G435" s="159" t="s">
        <v>839</v>
      </c>
      <c r="H435" s="126" t="s">
        <v>840</v>
      </c>
      <c r="I435" s="187" t="s">
        <v>97</v>
      </c>
      <c r="J435" s="128" t="s">
        <v>140</v>
      </c>
      <c r="K435" s="129">
        <v>0</v>
      </c>
      <c r="L435" s="129">
        <v>0</v>
      </c>
      <c r="M435" s="130">
        <v>110</v>
      </c>
      <c r="N435" s="131">
        <v>2000</v>
      </c>
      <c r="O435" s="189">
        <v>1</v>
      </c>
      <c r="P435" s="131">
        <f t="shared" si="59"/>
        <v>2000</v>
      </c>
      <c r="Q435" s="131"/>
      <c r="R435" s="130">
        <v>2000</v>
      </c>
      <c r="S435" s="130">
        <f t="shared" si="51"/>
        <v>0</v>
      </c>
      <c r="T435" s="242">
        <f t="shared" si="52"/>
        <v>785.4545454545455</v>
      </c>
      <c r="U435" s="129">
        <f t="shared" si="53"/>
        <v>0</v>
      </c>
      <c r="V435" s="129">
        <f t="shared" si="54"/>
        <v>0</v>
      </c>
      <c r="W435" s="129">
        <v>0</v>
      </c>
      <c r="X435" s="169">
        <f t="shared" si="60"/>
        <v>46153.968362268512</v>
      </c>
    </row>
    <row r="436" spans="1:24" s="179" customFormat="1" hidden="1" x14ac:dyDescent="0.35">
      <c r="A436" s="123">
        <f t="shared" si="61"/>
        <v>46153.968362268512</v>
      </c>
      <c r="B436" s="123"/>
      <c r="C436" s="123"/>
      <c r="D436" s="123"/>
      <c r="E436" s="158" t="s">
        <v>134</v>
      </c>
      <c r="F436" s="159" t="s">
        <v>841</v>
      </c>
      <c r="G436" s="159" t="s">
        <v>839</v>
      </c>
      <c r="H436" s="188" t="s">
        <v>842</v>
      </c>
      <c r="I436" s="125" t="s">
        <v>729</v>
      </c>
      <c r="J436" s="175" t="s">
        <v>140</v>
      </c>
      <c r="K436" s="129">
        <v>0</v>
      </c>
      <c r="L436" s="129">
        <v>0</v>
      </c>
      <c r="M436" s="130">
        <v>100</v>
      </c>
      <c r="N436" s="131">
        <v>1000</v>
      </c>
      <c r="O436" s="130">
        <v>1</v>
      </c>
      <c r="P436" s="131">
        <f t="shared" si="59"/>
        <v>1000</v>
      </c>
      <c r="Q436" s="131"/>
      <c r="R436" s="176">
        <v>1000</v>
      </c>
      <c r="S436" s="130">
        <f t="shared" si="51"/>
        <v>0</v>
      </c>
      <c r="T436" s="164">
        <f t="shared" si="52"/>
        <v>864</v>
      </c>
      <c r="U436" s="163">
        <f t="shared" si="53"/>
        <v>0</v>
      </c>
      <c r="V436" s="163">
        <f t="shared" si="54"/>
        <v>0</v>
      </c>
      <c r="W436" s="163">
        <v>0</v>
      </c>
      <c r="X436" s="137">
        <f t="shared" si="60"/>
        <v>46153.968362268512</v>
      </c>
    </row>
    <row r="437" spans="1:24" s="179" customFormat="1" hidden="1" x14ac:dyDescent="0.35">
      <c r="A437" s="123">
        <f t="shared" si="61"/>
        <v>46153.968362268512</v>
      </c>
      <c r="B437" s="123"/>
      <c r="C437" s="123"/>
      <c r="D437" s="123"/>
      <c r="E437" s="158" t="s">
        <v>134</v>
      </c>
      <c r="F437" s="159" t="s">
        <v>843</v>
      </c>
      <c r="G437" s="159" t="s">
        <v>839</v>
      </c>
      <c r="H437" s="188" t="s">
        <v>844</v>
      </c>
      <c r="I437" s="125" t="s">
        <v>729</v>
      </c>
      <c r="J437" s="175" t="s">
        <v>140</v>
      </c>
      <c r="K437" s="129">
        <v>0</v>
      </c>
      <c r="L437" s="129">
        <v>0</v>
      </c>
      <c r="M437" s="130">
        <v>100</v>
      </c>
      <c r="N437" s="131">
        <v>1000</v>
      </c>
      <c r="O437" s="130">
        <v>1</v>
      </c>
      <c r="P437" s="131">
        <f t="shared" si="59"/>
        <v>1000</v>
      </c>
      <c r="Q437" s="131"/>
      <c r="R437" s="176">
        <v>1000</v>
      </c>
      <c r="S437" s="130">
        <f t="shared" si="51"/>
        <v>0</v>
      </c>
      <c r="T437" s="164">
        <f t="shared" si="52"/>
        <v>864</v>
      </c>
      <c r="U437" s="163">
        <f t="shared" si="53"/>
        <v>0</v>
      </c>
      <c r="V437" s="163">
        <f t="shared" si="54"/>
        <v>0</v>
      </c>
      <c r="W437" s="163">
        <v>0</v>
      </c>
      <c r="X437" s="137">
        <f t="shared" si="60"/>
        <v>46153.968362268512</v>
      </c>
    </row>
    <row r="438" spans="1:24" s="118" customFormat="1" ht="26.5" hidden="1" x14ac:dyDescent="0.35">
      <c r="A438" s="123">
        <f t="shared" si="61"/>
        <v>46153.968362268512</v>
      </c>
      <c r="B438" s="123"/>
      <c r="C438" s="123"/>
      <c r="D438" s="123"/>
      <c r="E438" s="124" t="s">
        <v>134</v>
      </c>
      <c r="F438" s="125" t="s">
        <v>835</v>
      </c>
      <c r="G438" s="125" t="s">
        <v>830</v>
      </c>
      <c r="H438" s="126" t="s">
        <v>845</v>
      </c>
      <c r="I438" s="259" t="s">
        <v>846</v>
      </c>
      <c r="J438" s="175" t="s">
        <v>140</v>
      </c>
      <c r="K438" s="163">
        <v>0</v>
      </c>
      <c r="L438" s="163">
        <v>0</v>
      </c>
      <c r="M438" s="164">
        <v>105</v>
      </c>
      <c r="N438" s="165">
        <v>150</v>
      </c>
      <c r="O438" s="166">
        <v>1</v>
      </c>
      <c r="P438" s="165">
        <f t="shared" si="59"/>
        <v>150</v>
      </c>
      <c r="Q438" s="165"/>
      <c r="R438" s="164">
        <v>150</v>
      </c>
      <c r="S438" s="164">
        <f t="shared" si="51"/>
        <v>0</v>
      </c>
      <c r="T438" s="168">
        <f t="shared" si="52"/>
        <v>822.85714285714289</v>
      </c>
      <c r="U438" s="163">
        <f t="shared" si="53"/>
        <v>0</v>
      </c>
      <c r="V438" s="163">
        <f t="shared" si="54"/>
        <v>0</v>
      </c>
      <c r="W438" s="163">
        <v>0</v>
      </c>
      <c r="X438" s="169">
        <f t="shared" si="60"/>
        <v>46153.968362268512</v>
      </c>
    </row>
    <row r="439" spans="1:24" s="118" customFormat="1" ht="26.5" hidden="1" x14ac:dyDescent="0.35">
      <c r="A439" s="123">
        <f t="shared" si="61"/>
        <v>46153.968362268512</v>
      </c>
      <c r="B439" s="123"/>
      <c r="C439" s="123"/>
      <c r="D439" s="123"/>
      <c r="E439" s="124" t="s">
        <v>134</v>
      </c>
      <c r="F439" s="125" t="s">
        <v>835</v>
      </c>
      <c r="G439" s="125" t="s">
        <v>830</v>
      </c>
      <c r="H439" s="126" t="s">
        <v>847</v>
      </c>
      <c r="I439" s="259" t="s">
        <v>848</v>
      </c>
      <c r="J439" s="175" t="s">
        <v>140</v>
      </c>
      <c r="K439" s="163">
        <v>0</v>
      </c>
      <c r="L439" s="163">
        <v>0</v>
      </c>
      <c r="M439" s="164">
        <v>105</v>
      </c>
      <c r="N439" s="165">
        <v>150</v>
      </c>
      <c r="O439" s="166">
        <v>1</v>
      </c>
      <c r="P439" s="165">
        <f t="shared" si="59"/>
        <v>150</v>
      </c>
      <c r="Q439" s="165"/>
      <c r="R439" s="164">
        <v>150</v>
      </c>
      <c r="S439" s="164">
        <f t="shared" si="51"/>
        <v>0</v>
      </c>
      <c r="T439" s="168">
        <f t="shared" si="52"/>
        <v>822.85714285714289</v>
      </c>
      <c r="U439" s="163">
        <f t="shared" si="53"/>
        <v>0</v>
      </c>
      <c r="V439" s="163">
        <f t="shared" si="54"/>
        <v>0</v>
      </c>
      <c r="W439" s="163">
        <v>0</v>
      </c>
      <c r="X439" s="169">
        <f t="shared" si="60"/>
        <v>46153.968362268512</v>
      </c>
    </row>
    <row r="440" spans="1:24" s="121" customFormat="1" ht="52.5" hidden="1" x14ac:dyDescent="0.35">
      <c r="A440" s="46">
        <f t="shared" si="61"/>
        <v>46153.968362268512</v>
      </c>
      <c r="B440" s="71">
        <v>46059</v>
      </c>
      <c r="C440" s="180">
        <f t="shared" ref="C440:C474" si="62">B440-A440</f>
        <v>-94.968362268511555</v>
      </c>
      <c r="D440" s="180"/>
      <c r="E440" s="47" t="s">
        <v>454</v>
      </c>
      <c r="F440" s="82" t="s">
        <v>397</v>
      </c>
      <c r="G440" s="82" t="s">
        <v>849</v>
      </c>
      <c r="H440" s="98" t="s">
        <v>850</v>
      </c>
      <c r="I440" s="71" t="s">
        <v>348</v>
      </c>
      <c r="J440" s="100" t="s">
        <v>140</v>
      </c>
      <c r="K440" s="101">
        <v>0</v>
      </c>
      <c r="L440" s="101">
        <v>0</v>
      </c>
      <c r="M440" s="102">
        <v>65</v>
      </c>
      <c r="N440" s="103">
        <v>225</v>
      </c>
      <c r="O440" s="171">
        <v>1</v>
      </c>
      <c r="P440" s="103">
        <f t="shared" si="59"/>
        <v>225</v>
      </c>
      <c r="Q440" s="181">
        <v>0.8</v>
      </c>
      <c r="R440" s="102">
        <v>225</v>
      </c>
      <c r="S440" s="102">
        <f t="shared" si="51"/>
        <v>0</v>
      </c>
      <c r="T440" s="173">
        <f t="shared" ref="T440:T455" si="63">((3600/M440)*O440)*24*Q440</f>
        <v>1063.3846153846155</v>
      </c>
      <c r="U440" s="101">
        <f t="shared" ref="U440:U474" si="64">(P440-R440)*M440/3600/Q440</f>
        <v>0</v>
      </c>
      <c r="V440" s="101">
        <f t="shared" ref="V440:V474" si="65">U440/24</f>
        <v>0</v>
      </c>
      <c r="W440" s="101">
        <v>0</v>
      </c>
      <c r="X440" s="255">
        <f t="shared" si="60"/>
        <v>46153.968362268512</v>
      </c>
    </row>
    <row r="441" spans="1:24" s="121" customFormat="1" hidden="1" x14ac:dyDescent="0.35">
      <c r="A441" s="46">
        <f>X439</f>
        <v>46153.968362268512</v>
      </c>
      <c r="B441" s="46">
        <v>46059</v>
      </c>
      <c r="C441" s="260">
        <f t="shared" si="62"/>
        <v>-94.968362268511555</v>
      </c>
      <c r="D441" s="260"/>
      <c r="E441" s="47" t="s">
        <v>454</v>
      </c>
      <c r="F441" s="82" t="s">
        <v>851</v>
      </c>
      <c r="G441" s="82" t="s">
        <v>386</v>
      </c>
      <c r="H441" s="98" t="s">
        <v>852</v>
      </c>
      <c r="I441" s="71" t="s">
        <v>853</v>
      </c>
      <c r="J441" s="100" t="s">
        <v>140</v>
      </c>
      <c r="K441" s="101">
        <v>0</v>
      </c>
      <c r="L441" s="101">
        <v>0</v>
      </c>
      <c r="M441" s="102">
        <v>65</v>
      </c>
      <c r="N441" s="103">
        <v>50</v>
      </c>
      <c r="O441" s="171">
        <v>1</v>
      </c>
      <c r="P441" s="103">
        <f t="shared" si="59"/>
        <v>50</v>
      </c>
      <c r="Q441" s="181">
        <v>0.8</v>
      </c>
      <c r="R441" s="102">
        <v>50</v>
      </c>
      <c r="S441" s="102">
        <f t="shared" si="51"/>
        <v>0</v>
      </c>
      <c r="T441" s="173">
        <f t="shared" si="63"/>
        <v>1063.3846153846155</v>
      </c>
      <c r="U441" s="101">
        <f t="shared" si="64"/>
        <v>0</v>
      </c>
      <c r="V441" s="101">
        <f t="shared" si="65"/>
        <v>0</v>
      </c>
      <c r="W441" s="101">
        <v>0</v>
      </c>
      <c r="X441" s="255">
        <f t="shared" si="60"/>
        <v>46153.968362268512</v>
      </c>
    </row>
    <row r="442" spans="1:24" s="121" customFormat="1" ht="52.5" hidden="1" x14ac:dyDescent="0.35">
      <c r="A442" s="46">
        <f>X440</f>
        <v>46153.968362268512</v>
      </c>
      <c r="B442" s="46">
        <v>46060</v>
      </c>
      <c r="C442" s="180">
        <f t="shared" si="62"/>
        <v>-93.968362268511555</v>
      </c>
      <c r="D442" s="180"/>
      <c r="E442" s="47" t="s">
        <v>454</v>
      </c>
      <c r="F442" s="82" t="s">
        <v>397</v>
      </c>
      <c r="G442" s="82" t="s">
        <v>849</v>
      </c>
      <c r="H442" s="98" t="s">
        <v>854</v>
      </c>
      <c r="I442" s="71" t="s">
        <v>345</v>
      </c>
      <c r="J442" s="100" t="s">
        <v>140</v>
      </c>
      <c r="K442" s="101">
        <v>0</v>
      </c>
      <c r="L442" s="101">
        <v>0</v>
      </c>
      <c r="M442" s="102">
        <v>65</v>
      </c>
      <c r="N442" s="103">
        <v>225</v>
      </c>
      <c r="O442" s="171">
        <v>1</v>
      </c>
      <c r="P442" s="103">
        <f t="shared" si="59"/>
        <v>225</v>
      </c>
      <c r="Q442" s="181">
        <v>0.8</v>
      </c>
      <c r="R442" s="102">
        <v>225</v>
      </c>
      <c r="S442" s="102">
        <f t="shared" si="51"/>
        <v>0</v>
      </c>
      <c r="T442" s="173">
        <f t="shared" si="63"/>
        <v>1063.3846153846155</v>
      </c>
      <c r="U442" s="101">
        <f t="shared" si="64"/>
        <v>0</v>
      </c>
      <c r="V442" s="101">
        <f t="shared" si="65"/>
        <v>0</v>
      </c>
      <c r="W442" s="101">
        <v>0</v>
      </c>
      <c r="X442" s="255">
        <f t="shared" si="60"/>
        <v>46153.968362268512</v>
      </c>
    </row>
    <row r="443" spans="1:24" s="121" customFormat="1" ht="52.5" hidden="1" x14ac:dyDescent="0.35">
      <c r="A443" s="46">
        <f t="shared" ref="A443:A468" si="66">X442</f>
        <v>46153.968362268512</v>
      </c>
      <c r="B443" s="46">
        <v>46060</v>
      </c>
      <c r="C443" s="260">
        <f t="shared" si="62"/>
        <v>-93.968362268511555</v>
      </c>
      <c r="D443" s="260"/>
      <c r="E443" s="47" t="s">
        <v>454</v>
      </c>
      <c r="F443" s="82" t="s">
        <v>397</v>
      </c>
      <c r="G443" s="82" t="s">
        <v>849</v>
      </c>
      <c r="H443" s="98" t="s">
        <v>855</v>
      </c>
      <c r="I443" s="71" t="s">
        <v>816</v>
      </c>
      <c r="J443" s="170" t="s">
        <v>140</v>
      </c>
      <c r="K443" s="101">
        <v>0</v>
      </c>
      <c r="L443" s="101">
        <v>0</v>
      </c>
      <c r="M443" s="102">
        <v>65</v>
      </c>
      <c r="N443" s="103">
        <v>450</v>
      </c>
      <c r="O443" s="171">
        <v>1</v>
      </c>
      <c r="P443" s="103">
        <f t="shared" si="59"/>
        <v>450</v>
      </c>
      <c r="Q443" s="181">
        <v>0.8</v>
      </c>
      <c r="R443" s="102">
        <v>450</v>
      </c>
      <c r="S443" s="102">
        <f t="shared" si="51"/>
        <v>0</v>
      </c>
      <c r="T443" s="173">
        <f t="shared" si="63"/>
        <v>1063.3846153846155</v>
      </c>
      <c r="U443" s="101">
        <f t="shared" si="64"/>
        <v>0</v>
      </c>
      <c r="V443" s="101">
        <f t="shared" si="65"/>
        <v>0</v>
      </c>
      <c r="W443" s="101">
        <v>0</v>
      </c>
      <c r="X443" s="255">
        <f t="shared" si="60"/>
        <v>46153.968362268512</v>
      </c>
    </row>
    <row r="444" spans="1:24" s="121" customFormat="1" ht="52.5" hidden="1" x14ac:dyDescent="0.35">
      <c r="A444" s="46">
        <f t="shared" si="66"/>
        <v>46153.968362268512</v>
      </c>
      <c r="B444" s="46">
        <v>46061</v>
      </c>
      <c r="C444" s="260">
        <f t="shared" si="62"/>
        <v>-92.968362268511555</v>
      </c>
      <c r="D444" s="260"/>
      <c r="E444" s="119" t="s">
        <v>134</v>
      </c>
      <c r="F444" s="82" t="s">
        <v>397</v>
      </c>
      <c r="G444" s="82" t="s">
        <v>849</v>
      </c>
      <c r="H444" s="98" t="s">
        <v>856</v>
      </c>
      <c r="I444" s="71" t="s">
        <v>339</v>
      </c>
      <c r="J444" s="100" t="s">
        <v>140</v>
      </c>
      <c r="K444" s="101">
        <v>0</v>
      </c>
      <c r="L444" s="101">
        <v>0</v>
      </c>
      <c r="M444" s="102">
        <v>65</v>
      </c>
      <c r="N444" s="103">
        <v>450</v>
      </c>
      <c r="O444" s="171">
        <v>1</v>
      </c>
      <c r="P444" s="103">
        <f t="shared" si="59"/>
        <v>450</v>
      </c>
      <c r="Q444" s="181">
        <v>0.8</v>
      </c>
      <c r="R444" s="102">
        <v>450</v>
      </c>
      <c r="S444" s="102">
        <f t="shared" si="51"/>
        <v>0</v>
      </c>
      <c r="T444" s="173">
        <f t="shared" si="63"/>
        <v>1063.3846153846155</v>
      </c>
      <c r="U444" s="101">
        <f t="shared" si="64"/>
        <v>0</v>
      </c>
      <c r="V444" s="101">
        <f t="shared" si="65"/>
        <v>0</v>
      </c>
      <c r="W444" s="101">
        <v>0</v>
      </c>
      <c r="X444" s="255">
        <f t="shared" si="60"/>
        <v>46153.968362268512</v>
      </c>
    </row>
    <row r="445" spans="1:24" s="179" customFormat="1" hidden="1" x14ac:dyDescent="0.35">
      <c r="A445" s="46">
        <f t="shared" si="66"/>
        <v>46153.968362268512</v>
      </c>
      <c r="B445" s="46">
        <v>46061</v>
      </c>
      <c r="C445" s="46">
        <f t="shared" si="62"/>
        <v>-92.968362268511555</v>
      </c>
      <c r="D445" s="46"/>
      <c r="E445" s="46" t="s">
        <v>454</v>
      </c>
      <c r="F445" s="46" t="s">
        <v>397</v>
      </c>
      <c r="G445" s="46" t="s">
        <v>849</v>
      </c>
      <c r="H445" s="46" t="s">
        <v>857</v>
      </c>
      <c r="I445" s="46" t="s">
        <v>818</v>
      </c>
      <c r="J445" s="46" t="s">
        <v>140</v>
      </c>
      <c r="K445" s="46">
        <v>0</v>
      </c>
      <c r="L445" s="46">
        <v>0</v>
      </c>
      <c r="M445" s="46">
        <v>65</v>
      </c>
      <c r="N445" s="46">
        <f>225*2</f>
        <v>450</v>
      </c>
      <c r="O445" s="46">
        <v>1</v>
      </c>
      <c r="P445" s="46">
        <f t="shared" si="59"/>
        <v>450</v>
      </c>
      <c r="Q445" s="46">
        <v>0.8</v>
      </c>
      <c r="R445" s="46">
        <v>450</v>
      </c>
      <c r="S445" s="46">
        <f t="shared" si="51"/>
        <v>0</v>
      </c>
      <c r="T445" s="46">
        <f t="shared" si="63"/>
        <v>1063.3846153846155</v>
      </c>
      <c r="U445" s="46">
        <f t="shared" si="64"/>
        <v>0</v>
      </c>
      <c r="V445" s="46">
        <f t="shared" si="65"/>
        <v>0</v>
      </c>
      <c r="W445" s="46">
        <v>0</v>
      </c>
      <c r="X445" s="46">
        <f t="shared" si="60"/>
        <v>46153.968362268512</v>
      </c>
    </row>
    <row r="446" spans="1:24" s="179" customFormat="1" ht="52.5" hidden="1" x14ac:dyDescent="0.35">
      <c r="A446" s="123">
        <f t="shared" si="66"/>
        <v>46153.968362268512</v>
      </c>
      <c r="B446" s="123">
        <v>46060</v>
      </c>
      <c r="C446" s="190">
        <f t="shared" si="62"/>
        <v>-93.968362268511555</v>
      </c>
      <c r="D446" s="190"/>
      <c r="E446" s="124" t="s">
        <v>454</v>
      </c>
      <c r="F446" s="159" t="s">
        <v>397</v>
      </c>
      <c r="G446" s="159" t="s">
        <v>849</v>
      </c>
      <c r="H446" s="126" t="s">
        <v>858</v>
      </c>
      <c r="I446" s="161" t="s">
        <v>351</v>
      </c>
      <c r="J446" s="162" t="s">
        <v>140</v>
      </c>
      <c r="K446" s="163">
        <v>0</v>
      </c>
      <c r="L446" s="163">
        <v>0</v>
      </c>
      <c r="M446" s="164">
        <v>65</v>
      </c>
      <c r="N446" s="165">
        <v>450</v>
      </c>
      <c r="O446" s="166">
        <v>1</v>
      </c>
      <c r="P446" s="165">
        <f t="shared" si="59"/>
        <v>450</v>
      </c>
      <c r="Q446" s="185">
        <v>0.8</v>
      </c>
      <c r="R446" s="164">
        <v>450</v>
      </c>
      <c r="S446" s="164">
        <f t="shared" si="51"/>
        <v>0</v>
      </c>
      <c r="T446" s="168">
        <f t="shared" si="63"/>
        <v>1063.3846153846155</v>
      </c>
      <c r="U446" s="163">
        <f t="shared" si="64"/>
        <v>0</v>
      </c>
      <c r="V446" s="163">
        <f t="shared" si="65"/>
        <v>0</v>
      </c>
      <c r="W446" s="163">
        <v>0</v>
      </c>
      <c r="X446" s="169">
        <f t="shared" si="60"/>
        <v>46153.968362268512</v>
      </c>
    </row>
    <row r="447" spans="1:24" s="179" customFormat="1" ht="26.5" hidden="1" x14ac:dyDescent="0.35">
      <c r="A447" s="123">
        <f t="shared" si="66"/>
        <v>46153.968362268512</v>
      </c>
      <c r="B447" s="123">
        <v>46062</v>
      </c>
      <c r="C447" s="190">
        <f t="shared" si="62"/>
        <v>-91.968362268511555</v>
      </c>
      <c r="D447" s="190"/>
      <c r="E447" s="158" t="s">
        <v>134</v>
      </c>
      <c r="F447" s="159" t="s">
        <v>859</v>
      </c>
      <c r="G447" s="159" t="s">
        <v>386</v>
      </c>
      <c r="H447" s="188" t="s">
        <v>860</v>
      </c>
      <c r="I447" s="125" t="s">
        <v>861</v>
      </c>
      <c r="J447" s="175" t="s">
        <v>140</v>
      </c>
      <c r="K447" s="129">
        <v>0</v>
      </c>
      <c r="L447" s="129">
        <v>0</v>
      </c>
      <c r="M447" s="130">
        <v>100</v>
      </c>
      <c r="N447" s="131">
        <v>2000</v>
      </c>
      <c r="O447" s="130">
        <v>1</v>
      </c>
      <c r="P447" s="131">
        <f t="shared" si="59"/>
        <v>2000</v>
      </c>
      <c r="Q447" s="185">
        <v>0.8</v>
      </c>
      <c r="R447" s="176">
        <v>2000</v>
      </c>
      <c r="S447" s="130">
        <f t="shared" si="51"/>
        <v>0</v>
      </c>
      <c r="T447" s="168">
        <f t="shared" si="63"/>
        <v>691.2</v>
      </c>
      <c r="U447" s="163">
        <f t="shared" si="64"/>
        <v>0</v>
      </c>
      <c r="V447" s="163">
        <f t="shared" si="65"/>
        <v>0</v>
      </c>
      <c r="W447" s="163">
        <v>0</v>
      </c>
      <c r="X447" s="137">
        <f t="shared" si="60"/>
        <v>46153.968362268512</v>
      </c>
    </row>
    <row r="448" spans="1:24" s="179" customFormat="1" hidden="1" x14ac:dyDescent="0.35">
      <c r="A448" s="161">
        <f t="shared" si="66"/>
        <v>46153.968362268512</v>
      </c>
      <c r="B448" s="161">
        <v>46071</v>
      </c>
      <c r="C448" s="183">
        <f t="shared" si="62"/>
        <v>-82.968362268511555</v>
      </c>
      <c r="D448" s="183"/>
      <c r="E448" s="124" t="s">
        <v>454</v>
      </c>
      <c r="F448" s="159" t="s">
        <v>862</v>
      </c>
      <c r="G448" s="159" t="s">
        <v>386</v>
      </c>
      <c r="H448" s="126" t="s">
        <v>863</v>
      </c>
      <c r="I448" s="256" t="s">
        <v>562</v>
      </c>
      <c r="J448" s="128" t="s">
        <v>140</v>
      </c>
      <c r="K448" s="129">
        <v>0</v>
      </c>
      <c r="L448" s="129">
        <v>0</v>
      </c>
      <c r="M448" s="130">
        <v>140</v>
      </c>
      <c r="N448" s="257">
        <v>1500</v>
      </c>
      <c r="O448" s="130">
        <v>1</v>
      </c>
      <c r="P448" s="131">
        <f t="shared" si="59"/>
        <v>1500</v>
      </c>
      <c r="Q448" s="185">
        <v>0.8</v>
      </c>
      <c r="R448" s="164">
        <v>1500</v>
      </c>
      <c r="S448" s="164">
        <f t="shared" si="51"/>
        <v>0</v>
      </c>
      <c r="T448" s="168">
        <f t="shared" si="63"/>
        <v>493.71428571428572</v>
      </c>
      <c r="U448" s="163">
        <f t="shared" si="64"/>
        <v>0</v>
      </c>
      <c r="V448" s="163">
        <f t="shared" si="65"/>
        <v>0</v>
      </c>
      <c r="W448" s="163">
        <v>0</v>
      </c>
      <c r="X448" s="137">
        <f t="shared" si="60"/>
        <v>46153.968362268512</v>
      </c>
    </row>
    <row r="449" spans="1:24" s="179" customFormat="1" hidden="1" x14ac:dyDescent="0.35">
      <c r="A449" s="123">
        <f t="shared" si="66"/>
        <v>46153.968362268512</v>
      </c>
      <c r="B449" s="123">
        <v>46084</v>
      </c>
      <c r="C449" s="183">
        <f t="shared" si="62"/>
        <v>-69.968362268511555</v>
      </c>
      <c r="D449" s="123" t="s">
        <v>864</v>
      </c>
      <c r="E449" s="158" t="s">
        <v>454</v>
      </c>
      <c r="F449" s="159" t="s">
        <v>865</v>
      </c>
      <c r="G449" s="159" t="s">
        <v>398</v>
      </c>
      <c r="H449" s="126" t="s">
        <v>866</v>
      </c>
      <c r="I449" s="187" t="s">
        <v>97</v>
      </c>
      <c r="J449" s="128" t="s">
        <v>140</v>
      </c>
      <c r="K449" s="163">
        <v>0</v>
      </c>
      <c r="L449" s="163">
        <v>0</v>
      </c>
      <c r="M449" s="164">
        <v>100</v>
      </c>
      <c r="N449" s="165">
        <v>3500</v>
      </c>
      <c r="O449" s="166">
        <v>1</v>
      </c>
      <c r="P449" s="165">
        <f t="shared" si="59"/>
        <v>3500</v>
      </c>
      <c r="Q449" s="185">
        <v>0.8</v>
      </c>
      <c r="R449" s="164">
        <v>3500</v>
      </c>
      <c r="S449" s="164">
        <f t="shared" si="51"/>
        <v>0</v>
      </c>
      <c r="T449" s="168">
        <f t="shared" si="63"/>
        <v>691.2</v>
      </c>
      <c r="U449" s="163">
        <f t="shared" si="64"/>
        <v>0</v>
      </c>
      <c r="V449" s="163">
        <f t="shared" si="65"/>
        <v>0</v>
      </c>
      <c r="W449" s="163">
        <v>0</v>
      </c>
      <c r="X449" s="137">
        <f t="shared" si="60"/>
        <v>46153.968362268512</v>
      </c>
    </row>
    <row r="450" spans="1:24" s="179" customFormat="1" ht="26.5" hidden="1" x14ac:dyDescent="0.35">
      <c r="A450" s="161">
        <f t="shared" si="66"/>
        <v>46153.968362268512</v>
      </c>
      <c r="B450" s="161">
        <v>46090</v>
      </c>
      <c r="C450" s="190">
        <f t="shared" si="62"/>
        <v>-63.968362268511555</v>
      </c>
      <c r="D450" s="190" t="s">
        <v>864</v>
      </c>
      <c r="E450" s="124" t="s">
        <v>454</v>
      </c>
      <c r="F450" s="159" t="s">
        <v>867</v>
      </c>
      <c r="G450" s="159" t="s">
        <v>398</v>
      </c>
      <c r="H450" s="126" t="s">
        <v>868</v>
      </c>
      <c r="I450" s="159" t="s">
        <v>869</v>
      </c>
      <c r="J450" s="128" t="s">
        <v>140</v>
      </c>
      <c r="K450" s="129">
        <v>0</v>
      </c>
      <c r="L450" s="129">
        <v>0</v>
      </c>
      <c r="M450" s="130">
        <v>76</v>
      </c>
      <c r="N450" s="131">
        <v>1000</v>
      </c>
      <c r="O450" s="189">
        <v>1</v>
      </c>
      <c r="P450" s="131">
        <f t="shared" si="59"/>
        <v>1000</v>
      </c>
      <c r="Q450" s="185">
        <v>0.8</v>
      </c>
      <c r="R450" s="176">
        <v>1000</v>
      </c>
      <c r="S450" s="164">
        <f t="shared" si="51"/>
        <v>0</v>
      </c>
      <c r="T450" s="168">
        <f t="shared" si="63"/>
        <v>909.47368421052636</v>
      </c>
      <c r="U450" s="163">
        <f t="shared" si="64"/>
        <v>0</v>
      </c>
      <c r="V450" s="163">
        <f t="shared" si="65"/>
        <v>0</v>
      </c>
      <c r="W450" s="163">
        <v>0</v>
      </c>
      <c r="X450" s="169">
        <f t="shared" si="60"/>
        <v>46153.968362268512</v>
      </c>
    </row>
    <row r="451" spans="1:24" s="179" customFormat="1" ht="26.5" hidden="1" x14ac:dyDescent="0.35">
      <c r="A451" s="161">
        <f t="shared" si="66"/>
        <v>46153.968362268512</v>
      </c>
      <c r="B451" s="161">
        <v>46100</v>
      </c>
      <c r="C451" s="190">
        <f t="shared" si="62"/>
        <v>-53.968362268511555</v>
      </c>
      <c r="D451" s="190" t="s">
        <v>864</v>
      </c>
      <c r="E451" s="124" t="s">
        <v>454</v>
      </c>
      <c r="F451" s="159" t="s">
        <v>867</v>
      </c>
      <c r="G451" s="159" t="s">
        <v>398</v>
      </c>
      <c r="H451" s="126" t="s">
        <v>870</v>
      </c>
      <c r="I451" s="159" t="s">
        <v>869</v>
      </c>
      <c r="J451" s="128" t="s">
        <v>140</v>
      </c>
      <c r="K451" s="129">
        <v>0</v>
      </c>
      <c r="L451" s="129">
        <v>0</v>
      </c>
      <c r="M451" s="130">
        <v>76</v>
      </c>
      <c r="N451" s="131">
        <v>2700</v>
      </c>
      <c r="O451" s="189">
        <v>1</v>
      </c>
      <c r="P451" s="131">
        <f t="shared" si="59"/>
        <v>2700</v>
      </c>
      <c r="Q451" s="185">
        <v>0.8</v>
      </c>
      <c r="R451" s="176">
        <v>2700</v>
      </c>
      <c r="S451" s="164">
        <f t="shared" si="51"/>
        <v>0</v>
      </c>
      <c r="T451" s="168">
        <f t="shared" si="63"/>
        <v>909.47368421052636</v>
      </c>
      <c r="U451" s="163">
        <f t="shared" si="64"/>
        <v>0</v>
      </c>
      <c r="V451" s="163">
        <f t="shared" si="65"/>
        <v>0</v>
      </c>
      <c r="W451" s="163">
        <v>0</v>
      </c>
      <c r="X451" s="169">
        <f t="shared" si="60"/>
        <v>46153.968362268512</v>
      </c>
    </row>
    <row r="452" spans="1:24" s="179" customFormat="1" ht="26.5" hidden="1" x14ac:dyDescent="0.35">
      <c r="A452" s="161">
        <f t="shared" si="66"/>
        <v>46153.968362268512</v>
      </c>
      <c r="B452" s="123">
        <v>46122</v>
      </c>
      <c r="C452" s="183">
        <f t="shared" si="62"/>
        <v>-31.968362268511555</v>
      </c>
      <c r="D452" s="183"/>
      <c r="E452" s="124" t="s">
        <v>454</v>
      </c>
      <c r="F452" s="159" t="s">
        <v>871</v>
      </c>
      <c r="G452" s="159" t="s">
        <v>398</v>
      </c>
      <c r="H452" s="126" t="s">
        <v>872</v>
      </c>
      <c r="I452" s="125" t="s">
        <v>4208</v>
      </c>
      <c r="J452" s="128" t="s">
        <v>140</v>
      </c>
      <c r="K452" s="129">
        <v>0</v>
      </c>
      <c r="L452" s="129">
        <v>0</v>
      </c>
      <c r="M452" s="130">
        <v>100</v>
      </c>
      <c r="N452" s="131">
        <v>500</v>
      </c>
      <c r="O452" s="189">
        <v>1</v>
      </c>
      <c r="P452" s="131">
        <f t="shared" si="59"/>
        <v>500</v>
      </c>
      <c r="Q452" s="185">
        <v>0.8</v>
      </c>
      <c r="R452" s="130">
        <v>500</v>
      </c>
      <c r="S452" s="130">
        <f t="shared" si="51"/>
        <v>0</v>
      </c>
      <c r="T452" s="168">
        <f t="shared" si="63"/>
        <v>691.2</v>
      </c>
      <c r="U452" s="163">
        <f t="shared" si="64"/>
        <v>0</v>
      </c>
      <c r="V452" s="163">
        <f t="shared" si="65"/>
        <v>0</v>
      </c>
      <c r="W452" s="129">
        <v>0</v>
      </c>
      <c r="X452" s="137">
        <f t="shared" si="60"/>
        <v>46153.968362268512</v>
      </c>
    </row>
    <row r="453" spans="1:24" s="179" customFormat="1" ht="26.5" hidden="1" x14ac:dyDescent="0.35">
      <c r="A453" s="161">
        <f t="shared" si="66"/>
        <v>46153.968362268512</v>
      </c>
      <c r="B453" s="123">
        <v>46122</v>
      </c>
      <c r="C453" s="183">
        <f t="shared" si="62"/>
        <v>-31.968362268511555</v>
      </c>
      <c r="D453" s="183"/>
      <c r="E453" s="124" t="s">
        <v>454</v>
      </c>
      <c r="F453" s="159" t="s">
        <v>871</v>
      </c>
      <c r="G453" s="159" t="s">
        <v>398</v>
      </c>
      <c r="H453" s="126" t="s">
        <v>873</v>
      </c>
      <c r="I453" s="125" t="s">
        <v>4209</v>
      </c>
      <c r="J453" s="128" t="s">
        <v>140</v>
      </c>
      <c r="K453" s="129">
        <v>0</v>
      </c>
      <c r="L453" s="129">
        <v>0</v>
      </c>
      <c r="M453" s="130">
        <v>100</v>
      </c>
      <c r="N453" s="131">
        <v>250</v>
      </c>
      <c r="O453" s="189">
        <v>1</v>
      </c>
      <c r="P453" s="131">
        <f t="shared" si="59"/>
        <v>250</v>
      </c>
      <c r="Q453" s="185">
        <v>0.8</v>
      </c>
      <c r="R453" s="130">
        <v>250</v>
      </c>
      <c r="S453" s="130">
        <f t="shared" si="51"/>
        <v>0</v>
      </c>
      <c r="T453" s="168">
        <f t="shared" si="63"/>
        <v>691.2</v>
      </c>
      <c r="U453" s="163">
        <f t="shared" si="64"/>
        <v>0</v>
      </c>
      <c r="V453" s="163">
        <f t="shared" si="65"/>
        <v>0</v>
      </c>
      <c r="W453" s="129">
        <v>0</v>
      </c>
      <c r="X453" s="137">
        <f t="shared" si="60"/>
        <v>46153.968362268512</v>
      </c>
    </row>
    <row r="454" spans="1:24" s="179" customFormat="1" ht="39.5" hidden="1" x14ac:dyDescent="0.35">
      <c r="A454" s="161">
        <f t="shared" si="66"/>
        <v>46153.968362268512</v>
      </c>
      <c r="B454" s="123">
        <v>46124</v>
      </c>
      <c r="C454" s="183">
        <f t="shared" si="62"/>
        <v>-29.968362268511555</v>
      </c>
      <c r="D454" s="183"/>
      <c r="E454" s="124" t="s">
        <v>454</v>
      </c>
      <c r="F454" s="159" t="s">
        <v>871</v>
      </c>
      <c r="G454" s="159" t="s">
        <v>398</v>
      </c>
      <c r="H454" s="126" t="s">
        <v>874</v>
      </c>
      <c r="I454" s="125" t="s">
        <v>4210</v>
      </c>
      <c r="J454" s="128" t="s">
        <v>140</v>
      </c>
      <c r="K454" s="129">
        <v>0</v>
      </c>
      <c r="L454" s="129">
        <v>0</v>
      </c>
      <c r="M454" s="130">
        <v>100</v>
      </c>
      <c r="N454" s="131">
        <v>500</v>
      </c>
      <c r="O454" s="189">
        <v>1</v>
      </c>
      <c r="P454" s="131">
        <f t="shared" si="59"/>
        <v>500</v>
      </c>
      <c r="Q454" s="185">
        <v>0.8</v>
      </c>
      <c r="R454" s="130">
        <v>500</v>
      </c>
      <c r="S454" s="130">
        <f t="shared" ref="S454:S474" si="67">P454-R454</f>
        <v>0</v>
      </c>
      <c r="T454" s="168">
        <f t="shared" si="63"/>
        <v>691.2</v>
      </c>
      <c r="U454" s="163">
        <f t="shared" si="64"/>
        <v>0</v>
      </c>
      <c r="V454" s="163">
        <f t="shared" si="65"/>
        <v>0</v>
      </c>
      <c r="W454" s="129">
        <v>0</v>
      </c>
      <c r="X454" s="137">
        <f t="shared" si="60"/>
        <v>46153.968362268512</v>
      </c>
    </row>
    <row r="455" spans="1:24" s="186" customFormat="1" ht="26.5" hidden="1" x14ac:dyDescent="0.35">
      <c r="A455" s="161">
        <f t="shared" si="66"/>
        <v>46153.968362268512</v>
      </c>
      <c r="B455" s="161">
        <v>46106</v>
      </c>
      <c r="C455" s="190">
        <f t="shared" si="62"/>
        <v>-47.968362268511555</v>
      </c>
      <c r="D455" s="123"/>
      <c r="E455" s="158" t="s">
        <v>134</v>
      </c>
      <c r="F455" s="159" t="s">
        <v>871</v>
      </c>
      <c r="G455" s="125" t="s">
        <v>398</v>
      </c>
      <c r="H455" s="126" t="s">
        <v>875</v>
      </c>
      <c r="I455" s="125" t="s">
        <v>4211</v>
      </c>
      <c r="J455" s="128" t="s">
        <v>140</v>
      </c>
      <c r="K455" s="129">
        <v>0</v>
      </c>
      <c r="L455" s="129">
        <v>0</v>
      </c>
      <c r="M455" s="130">
        <v>100</v>
      </c>
      <c r="N455" s="131">
        <v>250</v>
      </c>
      <c r="O455" s="189">
        <v>1</v>
      </c>
      <c r="P455" s="131">
        <f t="shared" si="59"/>
        <v>250</v>
      </c>
      <c r="Q455" s="185">
        <v>0.8</v>
      </c>
      <c r="R455" s="130">
        <v>250</v>
      </c>
      <c r="S455" s="164">
        <f t="shared" si="67"/>
        <v>0</v>
      </c>
      <c r="T455" s="168">
        <f t="shared" si="63"/>
        <v>691.2</v>
      </c>
      <c r="U455" s="163">
        <f t="shared" si="64"/>
        <v>0</v>
      </c>
      <c r="V455" s="163">
        <f t="shared" si="65"/>
        <v>0</v>
      </c>
      <c r="W455" s="163">
        <v>0</v>
      </c>
      <c r="X455" s="137">
        <f t="shared" si="60"/>
        <v>46153.968362268512</v>
      </c>
    </row>
    <row r="456" spans="1:24" s="179" customFormat="1" hidden="1" x14ac:dyDescent="0.35">
      <c r="A456" s="161">
        <f t="shared" si="66"/>
        <v>46153.968362268512</v>
      </c>
      <c r="B456" s="123">
        <v>46104</v>
      </c>
      <c r="C456" s="190">
        <f t="shared" si="62"/>
        <v>-49.968362268511555</v>
      </c>
      <c r="D456" s="190"/>
      <c r="E456" s="158" t="s">
        <v>134</v>
      </c>
      <c r="F456" s="159" t="s">
        <v>876</v>
      </c>
      <c r="G456" s="159" t="s">
        <v>398</v>
      </c>
      <c r="H456" s="126" t="s">
        <v>877</v>
      </c>
      <c r="I456" s="161" t="s">
        <v>853</v>
      </c>
      <c r="J456" s="175" t="s">
        <v>140</v>
      </c>
      <c r="K456" s="163">
        <v>0</v>
      </c>
      <c r="L456" s="163">
        <v>0</v>
      </c>
      <c r="M456" s="164">
        <v>65</v>
      </c>
      <c r="N456" s="165">
        <v>50</v>
      </c>
      <c r="O456" s="166">
        <v>1</v>
      </c>
      <c r="P456" s="165">
        <f t="shared" si="59"/>
        <v>50</v>
      </c>
      <c r="Q456" s="185">
        <v>0.8</v>
      </c>
      <c r="R456" s="164">
        <v>50</v>
      </c>
      <c r="S456" s="164">
        <f t="shared" si="67"/>
        <v>0</v>
      </c>
      <c r="T456" s="168">
        <f>((3600/M456)*O456)*23*Q456</f>
        <v>1019.0769230769231</v>
      </c>
      <c r="U456" s="163">
        <f t="shared" si="64"/>
        <v>0</v>
      </c>
      <c r="V456" s="163">
        <f t="shared" si="65"/>
        <v>0</v>
      </c>
      <c r="W456" s="163">
        <v>0</v>
      </c>
      <c r="X456" s="169">
        <f t="shared" si="60"/>
        <v>46153.968362268512</v>
      </c>
    </row>
    <row r="457" spans="1:24" s="179" customFormat="1" hidden="1" x14ac:dyDescent="0.35">
      <c r="A457" s="161">
        <f t="shared" si="66"/>
        <v>46153.968362268512</v>
      </c>
      <c r="B457" s="123">
        <v>46105</v>
      </c>
      <c r="C457" s="190">
        <f t="shared" si="62"/>
        <v>-48.968362268511555</v>
      </c>
      <c r="D457" s="190"/>
      <c r="E457" s="158" t="s">
        <v>134</v>
      </c>
      <c r="F457" s="159" t="s">
        <v>876</v>
      </c>
      <c r="G457" s="159" t="s">
        <v>398</v>
      </c>
      <c r="H457" s="126" t="s">
        <v>878</v>
      </c>
      <c r="I457" s="161" t="s">
        <v>339</v>
      </c>
      <c r="J457" s="175" t="s">
        <v>140</v>
      </c>
      <c r="K457" s="163">
        <v>0</v>
      </c>
      <c r="L457" s="163">
        <v>0</v>
      </c>
      <c r="M457" s="164">
        <v>65</v>
      </c>
      <c r="N457" s="165">
        <f>175+200</f>
        <v>375</v>
      </c>
      <c r="O457" s="166">
        <v>1</v>
      </c>
      <c r="P457" s="165">
        <f t="shared" si="59"/>
        <v>375</v>
      </c>
      <c r="Q457" s="185">
        <v>0.8</v>
      </c>
      <c r="R457" s="164">
        <v>375</v>
      </c>
      <c r="S457" s="164">
        <f t="shared" si="67"/>
        <v>0</v>
      </c>
      <c r="T457" s="168">
        <f>((3600/M457)*O457)*24*Q457</f>
        <v>1063.3846153846155</v>
      </c>
      <c r="U457" s="163">
        <f t="shared" si="64"/>
        <v>0</v>
      </c>
      <c r="V457" s="163">
        <f t="shared" si="65"/>
        <v>0</v>
      </c>
      <c r="W457" s="163">
        <v>0</v>
      </c>
      <c r="X457" s="169">
        <f t="shared" si="60"/>
        <v>46153.968362268512</v>
      </c>
    </row>
    <row r="458" spans="1:24" s="186" customFormat="1" hidden="1" x14ac:dyDescent="0.35">
      <c r="A458" s="161">
        <f t="shared" si="66"/>
        <v>46153.968362268512</v>
      </c>
      <c r="B458" s="123">
        <v>46129</v>
      </c>
      <c r="C458" s="190">
        <f t="shared" si="62"/>
        <v>-24.968362268511555</v>
      </c>
      <c r="D458" s="190"/>
      <c r="E458" s="158" t="s">
        <v>134</v>
      </c>
      <c r="F458" s="159" t="s">
        <v>879</v>
      </c>
      <c r="G458" s="159" t="s">
        <v>411</v>
      </c>
      <c r="H458" s="126" t="s">
        <v>880</v>
      </c>
      <c r="I458" s="161" t="s">
        <v>339</v>
      </c>
      <c r="J458" s="175" t="s">
        <v>140</v>
      </c>
      <c r="K458" s="163">
        <v>0</v>
      </c>
      <c r="L458" s="163">
        <v>0</v>
      </c>
      <c r="M458" s="164">
        <v>65</v>
      </c>
      <c r="N458" s="165">
        <v>300</v>
      </c>
      <c r="O458" s="166">
        <v>1</v>
      </c>
      <c r="P458" s="165">
        <f t="shared" si="59"/>
        <v>300</v>
      </c>
      <c r="Q458" s="185">
        <v>0.8</v>
      </c>
      <c r="R458" s="164">
        <v>300</v>
      </c>
      <c r="S458" s="164">
        <f t="shared" si="67"/>
        <v>0</v>
      </c>
      <c r="T458" s="168">
        <f>((3600/M458)*O458)*24*Q458</f>
        <v>1063.3846153846155</v>
      </c>
      <c r="U458" s="163">
        <f t="shared" si="64"/>
        <v>0</v>
      </c>
      <c r="V458" s="163">
        <f t="shared" si="65"/>
        <v>0</v>
      </c>
      <c r="W458" s="163">
        <v>0</v>
      </c>
      <c r="X458" s="169">
        <f t="shared" si="60"/>
        <v>46153.968362268512</v>
      </c>
    </row>
    <row r="459" spans="1:24" s="179" customFormat="1" hidden="1" x14ac:dyDescent="0.35">
      <c r="A459" s="161">
        <f t="shared" si="66"/>
        <v>46153.968362268512</v>
      </c>
      <c r="B459" s="123">
        <v>46105</v>
      </c>
      <c r="C459" s="190">
        <f t="shared" si="62"/>
        <v>-48.968362268511555</v>
      </c>
      <c r="D459" s="190"/>
      <c r="E459" s="158" t="s">
        <v>134</v>
      </c>
      <c r="F459" s="159" t="s">
        <v>876</v>
      </c>
      <c r="G459" s="159" t="s">
        <v>398</v>
      </c>
      <c r="H459" s="126" t="s">
        <v>881</v>
      </c>
      <c r="I459" s="161" t="s">
        <v>816</v>
      </c>
      <c r="J459" s="162" t="s">
        <v>140</v>
      </c>
      <c r="K459" s="163">
        <v>0</v>
      </c>
      <c r="L459" s="163">
        <v>0</v>
      </c>
      <c r="M459" s="164">
        <v>65</v>
      </c>
      <c r="N459" s="165">
        <v>500</v>
      </c>
      <c r="O459" s="166">
        <v>1</v>
      </c>
      <c r="P459" s="165">
        <f t="shared" si="59"/>
        <v>500</v>
      </c>
      <c r="Q459" s="185">
        <v>0.8</v>
      </c>
      <c r="R459" s="164">
        <v>500</v>
      </c>
      <c r="S459" s="164">
        <f t="shared" si="67"/>
        <v>0</v>
      </c>
      <c r="T459" s="168">
        <f>((3600/M459)*O459)*23*Q459</f>
        <v>1019.0769230769231</v>
      </c>
      <c r="U459" s="163">
        <f t="shared" si="64"/>
        <v>0</v>
      </c>
      <c r="V459" s="163">
        <f t="shared" si="65"/>
        <v>0</v>
      </c>
      <c r="W459" s="163">
        <v>0</v>
      </c>
      <c r="X459" s="169">
        <f t="shared" si="60"/>
        <v>46153.968362268512</v>
      </c>
    </row>
    <row r="460" spans="1:24" s="186" customFormat="1" hidden="1" x14ac:dyDescent="0.35">
      <c r="A460" s="161">
        <f t="shared" si="66"/>
        <v>46153.968362268512</v>
      </c>
      <c r="B460" s="123">
        <v>46130</v>
      </c>
      <c r="C460" s="190">
        <f t="shared" si="62"/>
        <v>-23.968362268511555</v>
      </c>
      <c r="D460" s="190"/>
      <c r="E460" s="158" t="s">
        <v>134</v>
      </c>
      <c r="F460" s="159" t="s">
        <v>882</v>
      </c>
      <c r="G460" s="159" t="s">
        <v>411</v>
      </c>
      <c r="H460" s="126" t="s">
        <v>883</v>
      </c>
      <c r="I460" s="161" t="s">
        <v>345</v>
      </c>
      <c r="J460" s="175" t="s">
        <v>140</v>
      </c>
      <c r="K460" s="163">
        <v>0</v>
      </c>
      <c r="L460" s="163">
        <v>0</v>
      </c>
      <c r="M460" s="164">
        <v>65</v>
      </c>
      <c r="N460" s="165">
        <v>300</v>
      </c>
      <c r="O460" s="166">
        <v>1</v>
      </c>
      <c r="P460" s="165">
        <f t="shared" si="59"/>
        <v>300</v>
      </c>
      <c r="Q460" s="185">
        <v>0.8</v>
      </c>
      <c r="R460" s="164">
        <v>300</v>
      </c>
      <c r="S460" s="164">
        <f t="shared" si="67"/>
        <v>0</v>
      </c>
      <c r="T460" s="168">
        <f t="shared" ref="T460:T465" si="68">((3600/M460)*O460)*24*Q460</f>
        <v>1063.3846153846155</v>
      </c>
      <c r="U460" s="163">
        <f t="shared" si="64"/>
        <v>0</v>
      </c>
      <c r="V460" s="163">
        <f t="shared" si="65"/>
        <v>0</v>
      </c>
      <c r="W460" s="163">
        <v>0</v>
      </c>
      <c r="X460" s="169">
        <f t="shared" si="60"/>
        <v>46153.968362268512</v>
      </c>
    </row>
    <row r="461" spans="1:24" s="179" customFormat="1" hidden="1" x14ac:dyDescent="0.35">
      <c r="A461" s="161">
        <f t="shared" si="66"/>
        <v>46153.968362268512</v>
      </c>
      <c r="B461" s="123">
        <v>46129</v>
      </c>
      <c r="C461" s="190">
        <f t="shared" si="62"/>
        <v>-24.968362268511555</v>
      </c>
      <c r="D461" s="190"/>
      <c r="E461" s="158" t="s">
        <v>134</v>
      </c>
      <c r="F461" s="159" t="s">
        <v>884</v>
      </c>
      <c r="G461" s="159" t="s">
        <v>411</v>
      </c>
      <c r="H461" s="126" t="s">
        <v>885</v>
      </c>
      <c r="I461" s="161" t="s">
        <v>342</v>
      </c>
      <c r="J461" s="162" t="s">
        <v>140</v>
      </c>
      <c r="K461" s="163">
        <v>0</v>
      </c>
      <c r="L461" s="163">
        <v>0</v>
      </c>
      <c r="M461" s="164">
        <v>65</v>
      </c>
      <c r="N461" s="165">
        <v>200</v>
      </c>
      <c r="O461" s="166">
        <v>1</v>
      </c>
      <c r="P461" s="165">
        <f t="shared" si="59"/>
        <v>200</v>
      </c>
      <c r="Q461" s="185">
        <v>0.8</v>
      </c>
      <c r="R461" s="164">
        <v>200</v>
      </c>
      <c r="S461" s="164">
        <f t="shared" si="67"/>
        <v>0</v>
      </c>
      <c r="T461" s="168">
        <f t="shared" si="68"/>
        <v>1063.3846153846155</v>
      </c>
      <c r="U461" s="163">
        <f t="shared" si="64"/>
        <v>0</v>
      </c>
      <c r="V461" s="163">
        <f t="shared" si="65"/>
        <v>0</v>
      </c>
      <c r="W461" s="163">
        <v>0</v>
      </c>
      <c r="X461" s="169">
        <f t="shared" si="60"/>
        <v>46153.968362268512</v>
      </c>
    </row>
    <row r="462" spans="1:24" s="186" customFormat="1" hidden="1" x14ac:dyDescent="0.35">
      <c r="A462" s="161">
        <f t="shared" si="66"/>
        <v>46153.968362268512</v>
      </c>
      <c r="B462" s="123">
        <v>46129</v>
      </c>
      <c r="C462" s="190">
        <f t="shared" si="62"/>
        <v>-24.968362268511555</v>
      </c>
      <c r="D462" s="190"/>
      <c r="E462" s="158" t="s">
        <v>134</v>
      </c>
      <c r="F462" s="159" t="s">
        <v>886</v>
      </c>
      <c r="G462" s="159" t="s">
        <v>411</v>
      </c>
      <c r="H462" s="126" t="s">
        <v>887</v>
      </c>
      <c r="I462" s="161" t="s">
        <v>348</v>
      </c>
      <c r="J462" s="175" t="s">
        <v>140</v>
      </c>
      <c r="K462" s="163">
        <v>0</v>
      </c>
      <c r="L462" s="163">
        <v>0</v>
      </c>
      <c r="M462" s="164">
        <v>65</v>
      </c>
      <c r="N462" s="165">
        <v>100</v>
      </c>
      <c r="O462" s="166">
        <v>1</v>
      </c>
      <c r="P462" s="165">
        <f t="shared" si="59"/>
        <v>100</v>
      </c>
      <c r="Q462" s="185">
        <v>0.8</v>
      </c>
      <c r="R462" s="164">
        <v>100</v>
      </c>
      <c r="S462" s="164">
        <f t="shared" si="67"/>
        <v>0</v>
      </c>
      <c r="T462" s="168">
        <f t="shared" si="68"/>
        <v>1063.3846153846155</v>
      </c>
      <c r="U462" s="163">
        <f t="shared" si="64"/>
        <v>0</v>
      </c>
      <c r="V462" s="163">
        <f t="shared" si="65"/>
        <v>0</v>
      </c>
      <c r="W462" s="163">
        <v>0</v>
      </c>
      <c r="X462" s="169">
        <f t="shared" si="60"/>
        <v>46153.968362268512</v>
      </c>
    </row>
    <row r="463" spans="1:24" s="186" customFormat="1" hidden="1" x14ac:dyDescent="0.35">
      <c r="A463" s="161">
        <f t="shared" si="66"/>
        <v>46153.968362268512</v>
      </c>
      <c r="B463" s="123">
        <v>46129</v>
      </c>
      <c r="C463" s="190">
        <f t="shared" si="62"/>
        <v>-24.968362268511555</v>
      </c>
      <c r="D463" s="190"/>
      <c r="E463" s="158" t="s">
        <v>134</v>
      </c>
      <c r="F463" s="159" t="s">
        <v>888</v>
      </c>
      <c r="G463" s="159" t="s">
        <v>411</v>
      </c>
      <c r="H463" s="261" t="s">
        <v>889</v>
      </c>
      <c r="I463" s="161" t="s">
        <v>351</v>
      </c>
      <c r="J463" s="162" t="s">
        <v>140</v>
      </c>
      <c r="K463" s="163">
        <v>0</v>
      </c>
      <c r="L463" s="163">
        <v>0</v>
      </c>
      <c r="M463" s="164">
        <v>65</v>
      </c>
      <c r="N463" s="165">
        <v>350</v>
      </c>
      <c r="O463" s="166">
        <v>1</v>
      </c>
      <c r="P463" s="165">
        <f t="shared" si="59"/>
        <v>350</v>
      </c>
      <c r="Q463" s="185">
        <v>0.8</v>
      </c>
      <c r="R463" s="164">
        <v>350</v>
      </c>
      <c r="S463" s="164">
        <f t="shared" si="67"/>
        <v>0</v>
      </c>
      <c r="T463" s="168">
        <f t="shared" si="68"/>
        <v>1063.3846153846155</v>
      </c>
      <c r="U463" s="163">
        <f t="shared" si="64"/>
        <v>0</v>
      </c>
      <c r="V463" s="163">
        <f t="shared" si="65"/>
        <v>0</v>
      </c>
      <c r="W463" s="163">
        <v>0</v>
      </c>
      <c r="X463" s="169">
        <f t="shared" si="60"/>
        <v>46153.968362268512</v>
      </c>
    </row>
    <row r="464" spans="1:24" s="179" customFormat="1" hidden="1" x14ac:dyDescent="0.35">
      <c r="A464" s="161">
        <f t="shared" si="66"/>
        <v>46153.968362268512</v>
      </c>
      <c r="B464" s="123">
        <v>46129</v>
      </c>
      <c r="C464" s="190">
        <f t="shared" si="62"/>
        <v>-24.968362268511555</v>
      </c>
      <c r="D464" s="190"/>
      <c r="E464" s="158" t="s">
        <v>134</v>
      </c>
      <c r="F464" s="159" t="s">
        <v>876</v>
      </c>
      <c r="G464" s="159" t="s">
        <v>411</v>
      </c>
      <c r="H464" s="261" t="s">
        <v>890</v>
      </c>
      <c r="I464" s="161" t="s">
        <v>891</v>
      </c>
      <c r="J464" s="162" t="s">
        <v>140</v>
      </c>
      <c r="K464" s="163">
        <v>0</v>
      </c>
      <c r="L464" s="163">
        <v>0</v>
      </c>
      <c r="M464" s="164">
        <v>65</v>
      </c>
      <c r="N464" s="165">
        <v>500</v>
      </c>
      <c r="O464" s="166">
        <v>1</v>
      </c>
      <c r="P464" s="165">
        <f t="shared" si="59"/>
        <v>500</v>
      </c>
      <c r="Q464" s="185">
        <v>0.8</v>
      </c>
      <c r="R464" s="164">
        <v>500</v>
      </c>
      <c r="S464" s="164">
        <f t="shared" si="67"/>
        <v>0</v>
      </c>
      <c r="T464" s="168">
        <f t="shared" si="68"/>
        <v>1063.3846153846155</v>
      </c>
      <c r="U464" s="163">
        <f t="shared" si="64"/>
        <v>0</v>
      </c>
      <c r="V464" s="163">
        <f t="shared" si="65"/>
        <v>0</v>
      </c>
      <c r="W464" s="163">
        <v>0</v>
      </c>
      <c r="X464" s="169">
        <f t="shared" si="60"/>
        <v>46153.968362268512</v>
      </c>
    </row>
    <row r="465" spans="1:24" s="186" customFormat="1" hidden="1" x14ac:dyDescent="0.35">
      <c r="A465" s="161">
        <f t="shared" si="66"/>
        <v>46153.968362268512</v>
      </c>
      <c r="B465" s="123">
        <f>X464</f>
        <v>46153.968362268512</v>
      </c>
      <c r="C465" s="190">
        <f t="shared" si="62"/>
        <v>0</v>
      </c>
      <c r="D465" s="190"/>
      <c r="E465" s="158" t="s">
        <v>134</v>
      </c>
      <c r="F465" s="123" t="s">
        <v>892</v>
      </c>
      <c r="G465" s="159" t="s">
        <v>411</v>
      </c>
      <c r="H465" s="123" t="s">
        <v>893</v>
      </c>
      <c r="I465" s="123" t="s">
        <v>818</v>
      </c>
      <c r="J465" s="123" t="s">
        <v>140</v>
      </c>
      <c r="K465" s="163">
        <v>0</v>
      </c>
      <c r="L465" s="163">
        <v>0</v>
      </c>
      <c r="M465" s="164">
        <v>65</v>
      </c>
      <c r="N465" s="165">
        <v>450</v>
      </c>
      <c r="O465" s="166">
        <v>1</v>
      </c>
      <c r="P465" s="165">
        <f t="shared" si="59"/>
        <v>450</v>
      </c>
      <c r="Q465" s="185">
        <v>0.8</v>
      </c>
      <c r="R465" s="164">
        <v>450</v>
      </c>
      <c r="S465" s="164">
        <f t="shared" si="67"/>
        <v>0</v>
      </c>
      <c r="T465" s="168">
        <f t="shared" si="68"/>
        <v>1063.3846153846155</v>
      </c>
      <c r="U465" s="163">
        <f t="shared" si="64"/>
        <v>0</v>
      </c>
      <c r="V465" s="163">
        <f t="shared" si="65"/>
        <v>0</v>
      </c>
      <c r="W465" s="163">
        <v>0</v>
      </c>
      <c r="X465" s="169">
        <f t="shared" si="60"/>
        <v>46153.968362268512</v>
      </c>
    </row>
    <row r="466" spans="1:24" s="186" customFormat="1" hidden="1" x14ac:dyDescent="0.35">
      <c r="A466" s="161">
        <f t="shared" si="66"/>
        <v>46153.968362268512</v>
      </c>
      <c r="B466" s="123">
        <v>46105</v>
      </c>
      <c r="C466" s="190">
        <f t="shared" si="62"/>
        <v>-48.968362268511555</v>
      </c>
      <c r="D466" s="190"/>
      <c r="E466" s="158" t="s">
        <v>134</v>
      </c>
      <c r="F466" s="159" t="s">
        <v>894</v>
      </c>
      <c r="G466" s="159" t="s">
        <v>411</v>
      </c>
      <c r="H466" s="126" t="s">
        <v>895</v>
      </c>
      <c r="I466" s="161" t="s">
        <v>816</v>
      </c>
      <c r="J466" s="162" t="s">
        <v>140</v>
      </c>
      <c r="K466" s="163">
        <v>0</v>
      </c>
      <c r="L466" s="163">
        <v>0</v>
      </c>
      <c r="M466" s="164">
        <v>65</v>
      </c>
      <c r="N466" s="165">
        <v>400</v>
      </c>
      <c r="O466" s="166">
        <v>1</v>
      </c>
      <c r="P466" s="165">
        <f t="shared" si="59"/>
        <v>400</v>
      </c>
      <c r="Q466" s="185">
        <v>0.8</v>
      </c>
      <c r="R466" s="164">
        <v>400</v>
      </c>
      <c r="S466" s="164">
        <f t="shared" si="67"/>
        <v>0</v>
      </c>
      <c r="T466" s="168">
        <f>((3600/M466)*O466)*23*Q466</f>
        <v>1019.0769230769231</v>
      </c>
      <c r="U466" s="163">
        <f t="shared" si="64"/>
        <v>0</v>
      </c>
      <c r="V466" s="163">
        <f t="shared" si="65"/>
        <v>0</v>
      </c>
      <c r="W466" s="163">
        <v>0</v>
      </c>
      <c r="X466" s="169">
        <f t="shared" si="60"/>
        <v>46153.968362268512</v>
      </c>
    </row>
    <row r="467" spans="1:24" s="186" customFormat="1" hidden="1" x14ac:dyDescent="0.35">
      <c r="A467" s="161">
        <f t="shared" si="66"/>
        <v>46153.968362268512</v>
      </c>
      <c r="B467" s="123">
        <f>X465</f>
        <v>46153.968362268512</v>
      </c>
      <c r="C467" s="190">
        <f t="shared" si="62"/>
        <v>0</v>
      </c>
      <c r="D467" s="190"/>
      <c r="E467" s="158" t="s">
        <v>134</v>
      </c>
      <c r="F467" s="159" t="s">
        <v>896</v>
      </c>
      <c r="G467" s="159" t="s">
        <v>411</v>
      </c>
      <c r="H467" s="126" t="s">
        <v>897</v>
      </c>
      <c r="I467" s="161" t="s">
        <v>336</v>
      </c>
      <c r="J467" s="175" t="s">
        <v>140</v>
      </c>
      <c r="K467" s="163">
        <v>0</v>
      </c>
      <c r="L467" s="163">
        <v>0</v>
      </c>
      <c r="M467" s="164">
        <v>65</v>
      </c>
      <c r="N467" s="165">
        <v>100</v>
      </c>
      <c r="O467" s="166">
        <v>1</v>
      </c>
      <c r="P467" s="165">
        <f t="shared" si="59"/>
        <v>100</v>
      </c>
      <c r="Q467" s="185">
        <v>0.8</v>
      </c>
      <c r="R467" s="164">
        <v>100</v>
      </c>
      <c r="S467" s="164">
        <f t="shared" si="67"/>
        <v>0</v>
      </c>
      <c r="T467" s="168">
        <f t="shared" ref="T467:T474" si="69">((3600/M467)*O467)*24*Q467</f>
        <v>1063.3846153846155</v>
      </c>
      <c r="U467" s="163">
        <f t="shared" si="64"/>
        <v>0</v>
      </c>
      <c r="V467" s="163">
        <f t="shared" si="65"/>
        <v>0</v>
      </c>
      <c r="W467" s="163">
        <v>0</v>
      </c>
      <c r="X467" s="169">
        <f t="shared" si="60"/>
        <v>46153.968362268512</v>
      </c>
    </row>
    <row r="468" spans="1:24" s="186" customFormat="1" ht="26.5" hidden="1" x14ac:dyDescent="0.35">
      <c r="A468" s="161">
        <f t="shared" si="66"/>
        <v>46153.968362268512</v>
      </c>
      <c r="B468" s="123">
        <v>46127</v>
      </c>
      <c r="C468" s="183">
        <f t="shared" si="62"/>
        <v>-26.968362268511555</v>
      </c>
      <c r="D468" s="123"/>
      <c r="E468" s="124" t="s">
        <v>467</v>
      </c>
      <c r="F468" s="159" t="s">
        <v>898</v>
      </c>
      <c r="G468" s="159" t="s">
        <v>411</v>
      </c>
      <c r="H468" s="262" t="s">
        <v>899</v>
      </c>
      <c r="I468" s="256" t="s">
        <v>562</v>
      </c>
      <c r="J468" s="128" t="s">
        <v>140</v>
      </c>
      <c r="K468" s="129">
        <v>0</v>
      </c>
      <c r="L468" s="129">
        <v>0</v>
      </c>
      <c r="M468" s="263">
        <v>140</v>
      </c>
      <c r="N468" s="264">
        <v>2000</v>
      </c>
      <c r="O468" s="263">
        <v>1</v>
      </c>
      <c r="P468" s="165">
        <f t="shared" si="59"/>
        <v>2000</v>
      </c>
      <c r="Q468" s="185">
        <v>0.8</v>
      </c>
      <c r="R468" s="164">
        <v>2000</v>
      </c>
      <c r="S468" s="164">
        <f t="shared" si="67"/>
        <v>0</v>
      </c>
      <c r="T468" s="168">
        <f t="shared" si="69"/>
        <v>493.71428571428572</v>
      </c>
      <c r="U468" s="163">
        <f t="shared" si="64"/>
        <v>0</v>
      </c>
      <c r="V468" s="163">
        <f t="shared" si="65"/>
        <v>0</v>
      </c>
      <c r="W468" s="163">
        <v>0</v>
      </c>
      <c r="X468" s="137">
        <f t="shared" si="60"/>
        <v>46153.968362268512</v>
      </c>
    </row>
    <row r="469" spans="1:24" s="265" customFormat="1" ht="13" hidden="1" x14ac:dyDescent="0.3">
      <c r="A469" s="71">
        <f>X468</f>
        <v>46153.968362268512</v>
      </c>
      <c r="B469" s="71">
        <v>46140</v>
      </c>
      <c r="C469" s="180">
        <f t="shared" si="62"/>
        <v>-13.968362268511555</v>
      </c>
      <c r="D469" s="71"/>
      <c r="E469" s="119" t="s">
        <v>134</v>
      </c>
      <c r="F469" s="97" t="s">
        <v>900</v>
      </c>
      <c r="G469" s="97" t="s">
        <v>411</v>
      </c>
      <c r="H469" s="98" t="s">
        <v>901</v>
      </c>
      <c r="I469" s="106" t="s">
        <v>710</v>
      </c>
      <c r="J469" s="100" t="s">
        <v>140</v>
      </c>
      <c r="K469" s="101">
        <v>0</v>
      </c>
      <c r="L469" s="101">
        <v>0</v>
      </c>
      <c r="M469" s="102">
        <v>105</v>
      </c>
      <c r="N469" s="103">
        <v>750</v>
      </c>
      <c r="O469" s="102">
        <v>1</v>
      </c>
      <c r="P469" s="103">
        <f>N469/O469</f>
        <v>750</v>
      </c>
      <c r="Q469" s="181">
        <v>0.8</v>
      </c>
      <c r="R469" s="92">
        <v>750</v>
      </c>
      <c r="S469" s="102">
        <f t="shared" si="67"/>
        <v>0</v>
      </c>
      <c r="T469" s="102">
        <f t="shared" si="69"/>
        <v>658.28571428571433</v>
      </c>
      <c r="U469" s="101">
        <f t="shared" si="64"/>
        <v>0</v>
      </c>
      <c r="V469" s="101">
        <f t="shared" si="65"/>
        <v>0</v>
      </c>
      <c r="W469" s="101">
        <v>0</v>
      </c>
      <c r="X469" s="255">
        <f>A469+K469+V469+W469+L469</f>
        <v>46153.968362268512</v>
      </c>
    </row>
    <row r="470" spans="1:24" s="265" customFormat="1" ht="13" hidden="1" x14ac:dyDescent="0.3">
      <c r="A470" s="71">
        <f t="shared" ref="A470:A474" si="70">X469</f>
        <v>46153.968362268512</v>
      </c>
      <c r="B470" s="71">
        <v>46140</v>
      </c>
      <c r="C470" s="180">
        <f t="shared" si="62"/>
        <v>-13.968362268511555</v>
      </c>
      <c r="D470" s="71"/>
      <c r="E470" s="119" t="s">
        <v>134</v>
      </c>
      <c r="F470" s="97" t="s">
        <v>900</v>
      </c>
      <c r="G470" s="97" t="s">
        <v>411</v>
      </c>
      <c r="H470" s="98" t="s">
        <v>902</v>
      </c>
      <c r="I470" s="106" t="s">
        <v>903</v>
      </c>
      <c r="J470" s="100" t="s">
        <v>140</v>
      </c>
      <c r="K470" s="101">
        <v>0</v>
      </c>
      <c r="L470" s="101">
        <v>0</v>
      </c>
      <c r="M470" s="102">
        <v>105</v>
      </c>
      <c r="N470" s="103">
        <v>300</v>
      </c>
      <c r="O470" s="102">
        <v>1</v>
      </c>
      <c r="P470" s="103">
        <f>N470/O470</f>
        <v>300</v>
      </c>
      <c r="Q470" s="181">
        <v>0.8</v>
      </c>
      <c r="R470" s="92">
        <v>300</v>
      </c>
      <c r="S470" s="102">
        <f t="shared" si="67"/>
        <v>0</v>
      </c>
      <c r="T470" s="102">
        <f t="shared" si="69"/>
        <v>658.28571428571433</v>
      </c>
      <c r="U470" s="101">
        <f t="shared" si="64"/>
        <v>0</v>
      </c>
      <c r="V470" s="101">
        <f t="shared" si="65"/>
        <v>0</v>
      </c>
      <c r="W470" s="101">
        <v>0</v>
      </c>
      <c r="X470" s="255">
        <f>A470+K470+V470+W470+L470</f>
        <v>46153.968362268512</v>
      </c>
    </row>
    <row r="471" spans="1:24" s="265" customFormat="1" ht="13" hidden="1" x14ac:dyDescent="0.3">
      <c r="A471" s="71">
        <f t="shared" si="70"/>
        <v>46153.968362268512</v>
      </c>
      <c r="B471" s="71">
        <v>46140</v>
      </c>
      <c r="C471" s="180">
        <f t="shared" si="62"/>
        <v>-13.968362268511555</v>
      </c>
      <c r="D471" s="71"/>
      <c r="E471" s="119" t="s">
        <v>134</v>
      </c>
      <c r="F471" s="97" t="s">
        <v>900</v>
      </c>
      <c r="G471" s="97" t="s">
        <v>411</v>
      </c>
      <c r="H471" s="98" t="s">
        <v>904</v>
      </c>
      <c r="I471" s="106" t="s">
        <v>848</v>
      </c>
      <c r="J471" s="100" t="s">
        <v>140</v>
      </c>
      <c r="K471" s="101">
        <v>0</v>
      </c>
      <c r="L471" s="101">
        <v>0</v>
      </c>
      <c r="M471" s="102">
        <v>105</v>
      </c>
      <c r="N471" s="103">
        <v>300</v>
      </c>
      <c r="O471" s="102">
        <v>1</v>
      </c>
      <c r="P471" s="103">
        <f>N471/O471</f>
        <v>300</v>
      </c>
      <c r="Q471" s="181">
        <v>0.8</v>
      </c>
      <c r="R471" s="92">
        <v>300</v>
      </c>
      <c r="S471" s="102">
        <f t="shared" si="67"/>
        <v>0</v>
      </c>
      <c r="T471" s="102">
        <f t="shared" si="69"/>
        <v>658.28571428571433</v>
      </c>
      <c r="U471" s="101">
        <f t="shared" si="64"/>
        <v>0</v>
      </c>
      <c r="V471" s="101">
        <f t="shared" si="65"/>
        <v>0</v>
      </c>
      <c r="W471" s="101">
        <v>0</v>
      </c>
      <c r="X471" s="255">
        <f>A471+K471+V471+W471+L471</f>
        <v>46153.968362268512</v>
      </c>
    </row>
    <row r="472" spans="1:24" s="265" customFormat="1" ht="13" hidden="1" x14ac:dyDescent="0.3">
      <c r="A472" s="71">
        <f t="shared" si="70"/>
        <v>46153.968362268512</v>
      </c>
      <c r="B472" s="71">
        <v>46140</v>
      </c>
      <c r="C472" s="180">
        <f t="shared" si="62"/>
        <v>-13.968362268511555</v>
      </c>
      <c r="D472" s="71"/>
      <c r="E472" s="119" t="s">
        <v>134</v>
      </c>
      <c r="F472" s="97" t="s">
        <v>900</v>
      </c>
      <c r="G472" s="97" t="s">
        <v>411</v>
      </c>
      <c r="H472" s="98" t="s">
        <v>905</v>
      </c>
      <c r="I472" s="106" t="s">
        <v>846</v>
      </c>
      <c r="J472" s="100" t="s">
        <v>140</v>
      </c>
      <c r="K472" s="101">
        <v>0</v>
      </c>
      <c r="L472" s="101">
        <v>0</v>
      </c>
      <c r="M472" s="102">
        <v>105</v>
      </c>
      <c r="N472" s="103">
        <v>300</v>
      </c>
      <c r="O472" s="102">
        <v>1</v>
      </c>
      <c r="P472" s="103">
        <f>N472/O472</f>
        <v>300</v>
      </c>
      <c r="Q472" s="181">
        <v>0.8</v>
      </c>
      <c r="R472" s="92">
        <v>300</v>
      </c>
      <c r="S472" s="102">
        <f t="shared" si="67"/>
        <v>0</v>
      </c>
      <c r="T472" s="102">
        <f t="shared" si="69"/>
        <v>658.28571428571433</v>
      </c>
      <c r="U472" s="101">
        <f t="shared" si="64"/>
        <v>0</v>
      </c>
      <c r="V472" s="101">
        <f t="shared" si="65"/>
        <v>0</v>
      </c>
      <c r="W472" s="101">
        <v>0</v>
      </c>
      <c r="X472" s="255">
        <f>A472+K472+V472+W472+L472</f>
        <v>46153.968362268512</v>
      </c>
    </row>
    <row r="473" spans="1:24" s="179" customFormat="1" ht="25" hidden="1" customHeight="1" x14ac:dyDescent="0.35">
      <c r="A473" s="161">
        <f t="shared" si="70"/>
        <v>46153.968362268512</v>
      </c>
      <c r="B473" s="161">
        <v>46143</v>
      </c>
      <c r="C473" s="183">
        <f t="shared" si="62"/>
        <v>-10.968362268511555</v>
      </c>
      <c r="D473" s="161"/>
      <c r="E473" s="158" t="s">
        <v>134</v>
      </c>
      <c r="F473" s="125" t="s">
        <v>900</v>
      </c>
      <c r="G473" s="125" t="s">
        <v>411</v>
      </c>
      <c r="H473" s="126" t="s">
        <v>906</v>
      </c>
      <c r="I473" s="259" t="s">
        <v>907</v>
      </c>
      <c r="J473" s="175" t="s">
        <v>140</v>
      </c>
      <c r="K473" s="163">
        <v>0</v>
      </c>
      <c r="L473" s="163">
        <v>0</v>
      </c>
      <c r="M473" s="164">
        <v>105</v>
      </c>
      <c r="N473" s="165">
        <v>300</v>
      </c>
      <c r="O473" s="164">
        <v>1</v>
      </c>
      <c r="P473" s="165">
        <f>N473/O473</f>
        <v>300</v>
      </c>
      <c r="Q473" s="185">
        <v>0.8</v>
      </c>
      <c r="R473" s="130">
        <v>300</v>
      </c>
      <c r="S473" s="164">
        <f t="shared" si="67"/>
        <v>0</v>
      </c>
      <c r="T473" s="164">
        <f t="shared" si="69"/>
        <v>658.28571428571433</v>
      </c>
      <c r="U473" s="163">
        <f t="shared" si="64"/>
        <v>0</v>
      </c>
      <c r="V473" s="163">
        <f t="shared" si="65"/>
        <v>0</v>
      </c>
      <c r="W473" s="163">
        <v>0</v>
      </c>
      <c r="X473" s="169">
        <f>A473+K473+V473+W473+L473</f>
        <v>46153.968362268512</v>
      </c>
    </row>
    <row r="474" spans="1:24" s="266" customFormat="1" ht="25" hidden="1" customHeight="1" x14ac:dyDescent="0.3">
      <c r="A474" s="123">
        <f t="shared" si="70"/>
        <v>46153.968362268512</v>
      </c>
      <c r="B474" s="123">
        <v>46147</v>
      </c>
      <c r="C474" s="183">
        <f t="shared" si="62"/>
        <v>-6.9683622685115552</v>
      </c>
      <c r="D474" s="123"/>
      <c r="E474" s="158" t="s">
        <v>134</v>
      </c>
      <c r="F474" s="159" t="s">
        <v>908</v>
      </c>
      <c r="G474" s="159" t="s">
        <v>414</v>
      </c>
      <c r="H474" s="126" t="s">
        <v>909</v>
      </c>
      <c r="I474" s="159" t="s">
        <v>164</v>
      </c>
      <c r="J474" s="128" t="s">
        <v>140</v>
      </c>
      <c r="K474" s="129">
        <v>0</v>
      </c>
      <c r="L474" s="129">
        <v>0</v>
      </c>
      <c r="M474" s="130">
        <v>120</v>
      </c>
      <c r="N474" s="131">
        <v>3000</v>
      </c>
      <c r="O474" s="130">
        <v>1</v>
      </c>
      <c r="P474" s="131">
        <f t="shared" ref="P474" si="71">N474/O474</f>
        <v>3000</v>
      </c>
      <c r="Q474" s="185">
        <v>0.8</v>
      </c>
      <c r="R474" s="130">
        <v>3000</v>
      </c>
      <c r="S474" s="164">
        <f t="shared" si="67"/>
        <v>0</v>
      </c>
      <c r="T474" s="164">
        <f t="shared" si="69"/>
        <v>576</v>
      </c>
      <c r="U474" s="163">
        <f t="shared" si="64"/>
        <v>0</v>
      </c>
      <c r="V474" s="163">
        <f t="shared" si="65"/>
        <v>0</v>
      </c>
      <c r="W474" s="163">
        <v>0</v>
      </c>
      <c r="X474" s="137">
        <f t="shared" ref="X474" si="72">A474+K474+V474+W474+L474</f>
        <v>46153.968362268512</v>
      </c>
    </row>
    <row r="475" spans="1:24" s="243" customFormat="1" ht="25" customHeight="1" x14ac:dyDescent="0.35">
      <c r="A475" s="192">
        <f>X474</f>
        <v>46153.968362268512</v>
      </c>
      <c r="B475" s="192">
        <v>46155</v>
      </c>
      <c r="C475" s="267">
        <f>B475-A475</f>
        <v>1.0316377314884448</v>
      </c>
      <c r="D475" s="267"/>
      <c r="E475" s="195" t="s">
        <v>43</v>
      </c>
      <c r="F475" s="196" t="s">
        <v>910</v>
      </c>
      <c r="G475" s="268" t="s">
        <v>411</v>
      </c>
      <c r="H475" s="113" t="s">
        <v>911</v>
      </c>
      <c r="I475" s="196" t="s">
        <v>274</v>
      </c>
      <c r="J475" s="114" t="s">
        <v>140</v>
      </c>
      <c r="K475" s="115">
        <v>0</v>
      </c>
      <c r="L475" s="115">
        <v>0.2</v>
      </c>
      <c r="M475" s="116">
        <v>70</v>
      </c>
      <c r="N475" s="117">
        <v>1098</v>
      </c>
      <c r="O475" s="269">
        <v>1</v>
      </c>
      <c r="P475" s="117">
        <f>N475/O475</f>
        <v>1098</v>
      </c>
      <c r="Q475" s="198">
        <v>0.8</v>
      </c>
      <c r="R475" s="270"/>
      <c r="S475" s="116">
        <f>P475-R475</f>
        <v>1098</v>
      </c>
      <c r="T475" s="200">
        <f>((3600/M475)*O475)*24*Q475</f>
        <v>987.42857142857144</v>
      </c>
      <c r="U475" s="115">
        <f>(P475-R475)*M475/3600/Q475</f>
        <v>26.6875</v>
      </c>
      <c r="V475" s="115">
        <f t="shared" ref="V475:V481" si="73">U475/24</f>
        <v>1.1119791666666667</v>
      </c>
      <c r="W475" s="115">
        <v>0</v>
      </c>
      <c r="X475" s="201">
        <f>A475+K475+V475+W475+L475</f>
        <v>46155.280341435173</v>
      </c>
    </row>
    <row r="476" spans="1:24" s="118" customFormat="1" ht="25" customHeight="1" x14ac:dyDescent="0.35">
      <c r="A476" s="271">
        <f t="shared" ref="A476:A480" si="74">X475</f>
        <v>46155.280341435173</v>
      </c>
      <c r="B476" s="271">
        <v>46156</v>
      </c>
      <c r="C476" s="272">
        <f>B476-A476</f>
        <v>0.71965856482711388</v>
      </c>
      <c r="D476" s="272"/>
      <c r="E476" s="273" t="s">
        <v>43</v>
      </c>
      <c r="F476" s="274" t="s">
        <v>397</v>
      </c>
      <c r="G476" s="275" t="s">
        <v>411</v>
      </c>
      <c r="H476" s="276" t="s">
        <v>912</v>
      </c>
      <c r="I476" s="274" t="s">
        <v>277</v>
      </c>
      <c r="J476" s="277" t="s">
        <v>140</v>
      </c>
      <c r="K476" s="278">
        <v>0</v>
      </c>
      <c r="L476" s="278">
        <v>0.2</v>
      </c>
      <c r="M476" s="279">
        <v>70</v>
      </c>
      <c r="N476" s="280">
        <v>1503</v>
      </c>
      <c r="O476" s="281">
        <v>1</v>
      </c>
      <c r="P476" s="280">
        <f>N476/O476</f>
        <v>1503</v>
      </c>
      <c r="Q476" s="282">
        <v>0.8</v>
      </c>
      <c r="R476" s="283"/>
      <c r="S476" s="279">
        <f>P476-R476</f>
        <v>1503</v>
      </c>
      <c r="T476" s="284">
        <f>((3600/M476)*O476)*24*Q476</f>
        <v>987.42857142857144</v>
      </c>
      <c r="U476" s="278">
        <f>(P476-R476)*M476/3600/Q476</f>
        <v>36.53125</v>
      </c>
      <c r="V476" s="278">
        <f t="shared" si="73"/>
        <v>1.5221354166666667</v>
      </c>
      <c r="W476" s="278">
        <v>0</v>
      </c>
      <c r="X476" s="285">
        <f>A476+K476+V476+W476+L476</f>
        <v>46157.002476851834</v>
      </c>
    </row>
    <row r="477" spans="1:24" s="118" customFormat="1" ht="25" customHeight="1" x14ac:dyDescent="0.35">
      <c r="A477" s="271">
        <f t="shared" si="74"/>
        <v>46157.002476851834</v>
      </c>
      <c r="B477" s="271">
        <v>46158</v>
      </c>
      <c r="C477" s="272">
        <f>B477-A477</f>
        <v>0.99752314816578291</v>
      </c>
      <c r="D477" s="272"/>
      <c r="E477" s="273" t="s">
        <v>43</v>
      </c>
      <c r="F477" s="274" t="s">
        <v>910</v>
      </c>
      <c r="G477" s="275" t="s">
        <v>411</v>
      </c>
      <c r="H477" s="276" t="s">
        <v>913</v>
      </c>
      <c r="I477" s="274" t="s">
        <v>380</v>
      </c>
      <c r="J477" s="277" t="s">
        <v>140</v>
      </c>
      <c r="K477" s="278">
        <v>0</v>
      </c>
      <c r="L477" s="278">
        <v>0.2</v>
      </c>
      <c r="M477" s="279">
        <v>70</v>
      </c>
      <c r="N477" s="280">
        <v>280</v>
      </c>
      <c r="O477" s="281">
        <v>1</v>
      </c>
      <c r="P477" s="280">
        <f>N477/O477</f>
        <v>280</v>
      </c>
      <c r="Q477" s="282">
        <v>0.8</v>
      </c>
      <c r="R477" s="283"/>
      <c r="S477" s="279">
        <f>P477-R477</f>
        <v>280</v>
      </c>
      <c r="T477" s="284">
        <f>((3600/M477)*O477)*24*Q477</f>
        <v>987.42857142857144</v>
      </c>
      <c r="U477" s="278">
        <f>(P477-R477)*M477/3600/Q477</f>
        <v>6.8055555555555554</v>
      </c>
      <c r="V477" s="278">
        <f t="shared" si="73"/>
        <v>0.28356481481481483</v>
      </c>
      <c r="W477" s="278">
        <v>0</v>
      </c>
      <c r="X477" s="285">
        <f>A477+K477+V477+W477+L477</f>
        <v>46157.486041666649</v>
      </c>
    </row>
    <row r="478" spans="1:24" s="118" customFormat="1" ht="25" customHeight="1" x14ac:dyDescent="0.35">
      <c r="A478" s="271">
        <f t="shared" si="74"/>
        <v>46157.486041666649</v>
      </c>
      <c r="B478" s="271">
        <v>46160</v>
      </c>
      <c r="C478" s="272">
        <f>B478-A478</f>
        <v>2.5139583333511837</v>
      </c>
      <c r="D478" s="272"/>
      <c r="E478" s="273" t="s">
        <v>43</v>
      </c>
      <c r="F478" s="274" t="s">
        <v>910</v>
      </c>
      <c r="G478" s="275" t="s">
        <v>411</v>
      </c>
      <c r="H478" s="276" t="s">
        <v>914</v>
      </c>
      <c r="I478" s="274" t="s">
        <v>191</v>
      </c>
      <c r="J478" s="277" t="s">
        <v>140</v>
      </c>
      <c r="K478" s="278">
        <v>0</v>
      </c>
      <c r="L478" s="278">
        <v>0.2</v>
      </c>
      <c r="M478" s="279">
        <v>70</v>
      </c>
      <c r="N478" s="280">
        <v>10284</v>
      </c>
      <c r="O478" s="281">
        <v>1</v>
      </c>
      <c r="P478" s="280">
        <f>N478/O478</f>
        <v>10284</v>
      </c>
      <c r="Q478" s="282">
        <v>0.8</v>
      </c>
      <c r="R478" s="283"/>
      <c r="S478" s="279">
        <f>P478-R478</f>
        <v>10284</v>
      </c>
      <c r="T478" s="284">
        <f>((3600/M478)*O478)*24*Q478</f>
        <v>987.42857142857144</v>
      </c>
      <c r="U478" s="278">
        <f>(P478-R478)*M478/3600/Q478</f>
        <v>249.95833333333331</v>
      </c>
      <c r="V478" s="278">
        <f t="shared" si="73"/>
        <v>10.414930555555555</v>
      </c>
      <c r="W478" s="278">
        <v>0</v>
      </c>
      <c r="X478" s="285">
        <f>A478+K478+V478+W478+L478</f>
        <v>46168.100972222201</v>
      </c>
    </row>
    <row r="479" spans="1:24" s="178" customFormat="1" ht="25" customHeight="1" x14ac:dyDescent="0.35">
      <c r="A479" s="271">
        <f t="shared" si="74"/>
        <v>46168.100972222201</v>
      </c>
      <c r="B479" s="203">
        <v>46170</v>
      </c>
      <c r="C479" s="286">
        <f t="shared" ref="C479:C480" si="75">B479-A479</f>
        <v>1.8990277777993469</v>
      </c>
      <c r="D479" s="286"/>
      <c r="E479" s="204" t="s">
        <v>43</v>
      </c>
      <c r="F479" s="287" t="s">
        <v>915</v>
      </c>
      <c r="G479" s="288" t="s">
        <v>414</v>
      </c>
      <c r="H479" s="206" t="s">
        <v>916</v>
      </c>
      <c r="I479" s="205" t="s">
        <v>396</v>
      </c>
      <c r="J479" s="207" t="s">
        <v>283</v>
      </c>
      <c r="K479" s="289">
        <v>0</v>
      </c>
      <c r="L479" s="289">
        <v>0.2</v>
      </c>
      <c r="M479" s="290">
        <v>70</v>
      </c>
      <c r="N479" s="291">
        <v>360</v>
      </c>
      <c r="O479" s="292">
        <v>1</v>
      </c>
      <c r="P479" s="291">
        <f t="shared" ref="P479:P480" si="76">N479/O479</f>
        <v>360</v>
      </c>
      <c r="Q479" s="293">
        <v>0.8</v>
      </c>
      <c r="R479" s="211"/>
      <c r="S479" s="290">
        <f t="shared" ref="S479:S480" si="77">P479-R479</f>
        <v>360</v>
      </c>
      <c r="T479" s="294">
        <f t="shared" ref="T479:T480" si="78">((3600/M479)*O479)*24*Q479</f>
        <v>987.42857142857144</v>
      </c>
      <c r="U479" s="289">
        <f t="shared" ref="U479:U480" si="79">(P479-R479)*M479/3600/Q479</f>
        <v>8.75</v>
      </c>
      <c r="V479" s="289">
        <f t="shared" si="73"/>
        <v>0.36458333333333331</v>
      </c>
      <c r="W479" s="289">
        <v>0</v>
      </c>
      <c r="X479" s="212">
        <f t="shared" ref="X479:X480" si="80">A479+K479+V479+W479+L479</f>
        <v>46168.665555555534</v>
      </c>
    </row>
    <row r="480" spans="1:24" s="178" customFormat="1" ht="25" customHeight="1" x14ac:dyDescent="0.35">
      <c r="A480" s="271">
        <f t="shared" si="74"/>
        <v>46168.665555555534</v>
      </c>
      <c r="B480" s="203">
        <v>46171</v>
      </c>
      <c r="C480" s="286">
        <f t="shared" si="75"/>
        <v>2.3344444444664987</v>
      </c>
      <c r="D480" s="203"/>
      <c r="E480" s="204" t="s">
        <v>64</v>
      </c>
      <c r="F480" s="287" t="s">
        <v>915</v>
      </c>
      <c r="G480" s="205" t="s">
        <v>414</v>
      </c>
      <c r="H480" s="206" t="s">
        <v>917</v>
      </c>
      <c r="I480" s="205" t="s">
        <v>369</v>
      </c>
      <c r="J480" s="207" t="s">
        <v>283</v>
      </c>
      <c r="K480" s="208">
        <v>0</v>
      </c>
      <c r="L480" s="208">
        <v>0.2</v>
      </c>
      <c r="M480" s="209">
        <v>70</v>
      </c>
      <c r="N480" s="210">
        <v>720</v>
      </c>
      <c r="O480" s="209">
        <v>1</v>
      </c>
      <c r="P480" s="210">
        <f t="shared" si="76"/>
        <v>720</v>
      </c>
      <c r="Q480" s="293">
        <v>0.8</v>
      </c>
      <c r="R480" s="211"/>
      <c r="S480" s="290">
        <f t="shared" si="77"/>
        <v>720</v>
      </c>
      <c r="T480" s="294">
        <f t="shared" si="78"/>
        <v>987.42857142857144</v>
      </c>
      <c r="U480" s="289">
        <f t="shared" si="79"/>
        <v>17.5</v>
      </c>
      <c r="V480" s="289">
        <f t="shared" si="73"/>
        <v>0.72916666666666663</v>
      </c>
      <c r="W480" s="289">
        <v>0</v>
      </c>
      <c r="X480" s="212">
        <f t="shared" si="80"/>
        <v>46169.594722222195</v>
      </c>
    </row>
    <row r="481" spans="1:24" s="178" customFormat="1" ht="25" customHeight="1" x14ac:dyDescent="0.35">
      <c r="A481" s="295">
        <f>X474</f>
        <v>46153.968362268512</v>
      </c>
      <c r="B481" s="295"/>
      <c r="C481" s="295"/>
      <c r="D481" s="295"/>
      <c r="E481" s="296" t="s">
        <v>134</v>
      </c>
      <c r="F481" s="297" t="s">
        <v>918</v>
      </c>
      <c r="G481" s="297"/>
      <c r="H481" s="298"/>
      <c r="I481" s="299" t="s">
        <v>919</v>
      </c>
      <c r="J481" s="300" t="s">
        <v>140</v>
      </c>
      <c r="K481" s="301">
        <v>0</v>
      </c>
      <c r="L481" s="301">
        <v>0</v>
      </c>
      <c r="M481" s="302">
        <v>85</v>
      </c>
      <c r="N481" s="303">
        <v>50</v>
      </c>
      <c r="O481" s="304">
        <v>1</v>
      </c>
      <c r="P481" s="303">
        <f>N481/O481</f>
        <v>50</v>
      </c>
      <c r="Q481" s="305">
        <v>0.8</v>
      </c>
      <c r="R481" s="306"/>
      <c r="S481" s="302">
        <f>P481-R481</f>
        <v>50</v>
      </c>
      <c r="T481" s="307">
        <f>((3600/M481)*O481)*24*Q481</f>
        <v>813.17647058823536</v>
      </c>
      <c r="U481" s="301">
        <f>(P481-R481)*M481/3600/Q481</f>
        <v>1.4756944444444444</v>
      </c>
      <c r="V481" s="301">
        <f t="shared" si="73"/>
        <v>6.1487268518518517E-2</v>
      </c>
      <c r="W481" s="301">
        <v>0</v>
      </c>
      <c r="X481" s="308">
        <f>A481+K481+V481+W481+L481</f>
        <v>46154.02984953703</v>
      </c>
    </row>
    <row r="482" spans="1:24" s="178" customFormat="1" ht="25" customHeight="1" x14ac:dyDescent="0.35">
      <c r="A482" s="203"/>
      <c r="B482" s="203"/>
      <c r="C482" s="203"/>
      <c r="D482" s="203"/>
      <c r="E482" s="204"/>
      <c r="F482" s="205"/>
      <c r="G482" s="205"/>
      <c r="H482" s="206"/>
      <c r="I482" s="309"/>
      <c r="J482" s="310"/>
      <c r="K482" s="289"/>
      <c r="L482" s="289"/>
      <c r="M482" s="290"/>
      <c r="N482" s="291"/>
      <c r="O482" s="292"/>
      <c r="P482" s="291"/>
      <c r="Q482" s="293"/>
      <c r="R482" s="211"/>
      <c r="S482" s="290"/>
      <c r="T482" s="294"/>
      <c r="U482" s="289"/>
      <c r="V482" s="289"/>
      <c r="W482" s="289"/>
      <c r="X482" s="212"/>
    </row>
    <row r="483" spans="1:24" ht="34.5" x14ac:dyDescent="0.8">
      <c r="A483" s="35" t="s">
        <v>454</v>
      </c>
      <c r="B483" s="35"/>
      <c r="C483" s="35"/>
      <c r="D483" s="35"/>
      <c r="E483" s="36"/>
      <c r="F483" s="213"/>
      <c r="G483" s="213"/>
      <c r="H483" s="311"/>
      <c r="I483" s="214"/>
      <c r="J483" s="40"/>
      <c r="K483" s="41"/>
      <c r="L483" s="41"/>
      <c r="M483" s="42"/>
      <c r="N483" s="43"/>
      <c r="O483" s="312"/>
      <c r="P483" s="44"/>
      <c r="Q483" s="44"/>
      <c r="R483" s="44"/>
      <c r="S483" s="44"/>
      <c r="T483" s="313"/>
      <c r="U483" s="44"/>
      <c r="V483" s="44"/>
      <c r="W483" s="44"/>
      <c r="X483" s="45"/>
    </row>
    <row r="484" spans="1:24" s="118" customFormat="1" hidden="1" x14ac:dyDescent="0.35">
      <c r="A484" s="71">
        <f>S7</f>
        <v>46153</v>
      </c>
      <c r="B484" s="71"/>
      <c r="C484" s="71"/>
      <c r="D484" s="71"/>
      <c r="E484" s="119" t="s">
        <v>134</v>
      </c>
      <c r="F484" s="48" t="s">
        <v>920</v>
      </c>
      <c r="G484" s="48"/>
      <c r="H484" s="49">
        <v>7290</v>
      </c>
      <c r="I484" s="82" t="s">
        <v>921</v>
      </c>
      <c r="J484" s="100"/>
      <c r="K484" s="84">
        <v>0</v>
      </c>
      <c r="L484" s="84">
        <v>0</v>
      </c>
      <c r="M484" s="83">
        <v>270</v>
      </c>
      <c r="N484" s="223">
        <v>2000</v>
      </c>
      <c r="O484" s="314">
        <v>1</v>
      </c>
      <c r="P484" s="223">
        <v>2276</v>
      </c>
      <c r="Q484" s="223"/>
      <c r="R484" s="83">
        <v>2276</v>
      </c>
      <c r="S484" s="83">
        <f t="shared" ref="S484:S538" si="81">P484-R484</f>
        <v>0</v>
      </c>
      <c r="T484" s="315">
        <f t="shared" ref="T484:T547" si="82">((3600/M484)*O484)*24</f>
        <v>320</v>
      </c>
      <c r="U484" s="84">
        <f t="shared" ref="U484:U547" si="83">(P484-R484)*M484/3600</f>
        <v>0</v>
      </c>
      <c r="V484" s="84">
        <f t="shared" ref="V484:V547" si="84">(P484-R484)*M484/3600/24</f>
        <v>0</v>
      </c>
      <c r="W484" s="84">
        <v>0</v>
      </c>
      <c r="X484" s="255">
        <f t="shared" ref="X484:X547" si="85">A484+K484+V484+W484+L484</f>
        <v>46153</v>
      </c>
    </row>
    <row r="485" spans="1:24" s="118" customFormat="1" ht="29" hidden="1" x14ac:dyDescent="0.35">
      <c r="A485" s="71">
        <f t="shared" ref="A485:A548" si="86">X484</f>
        <v>46153</v>
      </c>
      <c r="B485" s="71"/>
      <c r="C485" s="71"/>
      <c r="D485" s="71"/>
      <c r="E485" s="119" t="s">
        <v>134</v>
      </c>
      <c r="F485" s="48" t="s">
        <v>55</v>
      </c>
      <c r="G485" s="48"/>
      <c r="H485" s="49">
        <v>7571</v>
      </c>
      <c r="I485" s="106" t="s">
        <v>922</v>
      </c>
      <c r="J485" s="100"/>
      <c r="K485" s="84">
        <v>0</v>
      </c>
      <c r="L485" s="84">
        <v>0</v>
      </c>
      <c r="M485" s="83">
        <v>105</v>
      </c>
      <c r="N485" s="223">
        <v>450</v>
      </c>
      <c r="O485" s="314">
        <v>1</v>
      </c>
      <c r="P485" s="223">
        <f>N485/O485</f>
        <v>450</v>
      </c>
      <c r="Q485" s="223"/>
      <c r="R485" s="83">
        <v>450</v>
      </c>
      <c r="S485" s="83">
        <f t="shared" si="81"/>
        <v>0</v>
      </c>
      <c r="T485" s="315">
        <f t="shared" si="82"/>
        <v>822.85714285714289</v>
      </c>
      <c r="U485" s="84">
        <f t="shared" si="83"/>
        <v>0</v>
      </c>
      <c r="V485" s="84">
        <f t="shared" si="84"/>
        <v>0</v>
      </c>
      <c r="W485" s="84">
        <v>0</v>
      </c>
      <c r="X485" s="255">
        <f t="shared" si="85"/>
        <v>46153</v>
      </c>
    </row>
    <row r="486" spans="1:24" s="118" customFormat="1" ht="29" hidden="1" x14ac:dyDescent="0.35">
      <c r="A486" s="71">
        <f t="shared" si="86"/>
        <v>46153</v>
      </c>
      <c r="B486" s="71"/>
      <c r="C486" s="71"/>
      <c r="D486" s="71"/>
      <c r="E486" s="119" t="s">
        <v>134</v>
      </c>
      <c r="F486" s="48" t="s">
        <v>55</v>
      </c>
      <c r="G486" s="48"/>
      <c r="H486" s="49">
        <v>7572</v>
      </c>
      <c r="I486" s="106" t="s">
        <v>923</v>
      </c>
      <c r="J486" s="100"/>
      <c r="K486" s="84">
        <v>0</v>
      </c>
      <c r="L486" s="84">
        <v>0</v>
      </c>
      <c r="M486" s="83">
        <v>105</v>
      </c>
      <c r="N486" s="223">
        <v>72</v>
      </c>
      <c r="O486" s="314">
        <v>1</v>
      </c>
      <c r="P486" s="223">
        <f>N486/O486</f>
        <v>72</v>
      </c>
      <c r="Q486" s="223"/>
      <c r="R486" s="83">
        <v>72</v>
      </c>
      <c r="S486" s="83">
        <f t="shared" si="81"/>
        <v>0</v>
      </c>
      <c r="T486" s="315">
        <f t="shared" si="82"/>
        <v>822.85714285714289</v>
      </c>
      <c r="U486" s="84">
        <f t="shared" si="83"/>
        <v>0</v>
      </c>
      <c r="V486" s="84">
        <f t="shared" si="84"/>
        <v>0</v>
      </c>
      <c r="W486" s="84">
        <v>0</v>
      </c>
      <c r="X486" s="255">
        <f t="shared" si="85"/>
        <v>46153</v>
      </c>
    </row>
    <row r="487" spans="1:24" s="118" customFormat="1" ht="29" hidden="1" x14ac:dyDescent="0.35">
      <c r="A487" s="71">
        <f t="shared" si="86"/>
        <v>46153</v>
      </c>
      <c r="B487" s="71"/>
      <c r="C487" s="71"/>
      <c r="D487" s="71"/>
      <c r="E487" s="119" t="s">
        <v>134</v>
      </c>
      <c r="F487" s="48" t="s">
        <v>55</v>
      </c>
      <c r="G487" s="48"/>
      <c r="H487" s="49">
        <v>7573</v>
      </c>
      <c r="I487" s="106" t="s">
        <v>924</v>
      </c>
      <c r="J487" s="100"/>
      <c r="K487" s="84">
        <v>0</v>
      </c>
      <c r="L487" s="84">
        <v>0</v>
      </c>
      <c r="M487" s="83">
        <v>105</v>
      </c>
      <c r="N487" s="223">
        <v>420</v>
      </c>
      <c r="O487" s="314">
        <v>1</v>
      </c>
      <c r="P487" s="223">
        <f>N487/O487</f>
        <v>420</v>
      </c>
      <c r="Q487" s="223"/>
      <c r="R487" s="83">
        <v>420</v>
      </c>
      <c r="S487" s="83">
        <f t="shared" si="81"/>
        <v>0</v>
      </c>
      <c r="T487" s="315">
        <f t="shared" si="82"/>
        <v>822.85714285714289</v>
      </c>
      <c r="U487" s="84">
        <f t="shared" si="83"/>
        <v>0</v>
      </c>
      <c r="V487" s="84">
        <f t="shared" si="84"/>
        <v>0</v>
      </c>
      <c r="W487" s="84">
        <v>0</v>
      </c>
      <c r="X487" s="255">
        <f t="shared" si="85"/>
        <v>46153</v>
      </c>
    </row>
    <row r="488" spans="1:24" s="118" customFormat="1" ht="29" hidden="1" x14ac:dyDescent="0.35">
      <c r="A488" s="71">
        <f t="shared" si="86"/>
        <v>46153</v>
      </c>
      <c r="B488" s="71"/>
      <c r="C488" s="71"/>
      <c r="D488" s="71"/>
      <c r="E488" s="119" t="s">
        <v>134</v>
      </c>
      <c r="F488" s="48" t="s">
        <v>55</v>
      </c>
      <c r="G488" s="48"/>
      <c r="H488" s="49">
        <v>7574</v>
      </c>
      <c r="I488" s="106" t="s">
        <v>925</v>
      </c>
      <c r="J488" s="100"/>
      <c r="K488" s="84">
        <v>0</v>
      </c>
      <c r="L488" s="84">
        <v>0</v>
      </c>
      <c r="M488" s="83">
        <v>105</v>
      </c>
      <c r="N488" s="223">
        <v>420</v>
      </c>
      <c r="O488" s="314">
        <v>1</v>
      </c>
      <c r="P488" s="223">
        <f>N488/O488</f>
        <v>420</v>
      </c>
      <c r="Q488" s="223"/>
      <c r="R488" s="83">
        <v>420</v>
      </c>
      <c r="S488" s="83">
        <f t="shared" si="81"/>
        <v>0</v>
      </c>
      <c r="T488" s="315">
        <f t="shared" si="82"/>
        <v>822.85714285714289</v>
      </c>
      <c r="U488" s="84">
        <f t="shared" si="83"/>
        <v>0</v>
      </c>
      <c r="V488" s="84">
        <f t="shared" si="84"/>
        <v>0</v>
      </c>
      <c r="W488" s="84">
        <v>0</v>
      </c>
      <c r="X488" s="255">
        <f t="shared" si="85"/>
        <v>46153</v>
      </c>
    </row>
    <row r="489" spans="1:24" s="118" customFormat="1" hidden="1" x14ac:dyDescent="0.35">
      <c r="A489" s="71">
        <f t="shared" si="86"/>
        <v>46153</v>
      </c>
      <c r="B489" s="71"/>
      <c r="C489" s="71"/>
      <c r="D489" s="71"/>
      <c r="E489" s="119" t="s">
        <v>134</v>
      </c>
      <c r="F489" s="48" t="s">
        <v>926</v>
      </c>
      <c r="G489" s="48"/>
      <c r="H489" s="49">
        <v>7415</v>
      </c>
      <c r="I489" s="82" t="s">
        <v>419</v>
      </c>
      <c r="J489" s="100"/>
      <c r="K489" s="84">
        <v>0</v>
      </c>
      <c r="L489" s="84">
        <v>0</v>
      </c>
      <c r="M489" s="83">
        <v>106</v>
      </c>
      <c r="N489" s="223">
        <v>4200</v>
      </c>
      <c r="O489" s="314">
        <v>1</v>
      </c>
      <c r="P489" s="223">
        <v>2000</v>
      </c>
      <c r="Q489" s="223"/>
      <c r="R489" s="83">
        <v>2000</v>
      </c>
      <c r="S489" s="83">
        <f t="shared" si="81"/>
        <v>0</v>
      </c>
      <c r="T489" s="315">
        <f t="shared" si="82"/>
        <v>815.09433962264154</v>
      </c>
      <c r="U489" s="84">
        <f t="shared" si="83"/>
        <v>0</v>
      </c>
      <c r="V489" s="84">
        <f t="shared" si="84"/>
        <v>0</v>
      </c>
      <c r="W489" s="84">
        <v>0</v>
      </c>
      <c r="X489" s="255">
        <f t="shared" si="85"/>
        <v>46153</v>
      </c>
    </row>
    <row r="490" spans="1:24" s="118" customFormat="1" hidden="1" x14ac:dyDescent="0.35">
      <c r="A490" s="71">
        <f t="shared" si="86"/>
        <v>46153</v>
      </c>
      <c r="B490" s="71"/>
      <c r="C490" s="71"/>
      <c r="D490" s="71"/>
      <c r="E490" s="119" t="s">
        <v>134</v>
      </c>
      <c r="F490" s="48" t="s">
        <v>927</v>
      </c>
      <c r="G490" s="48"/>
      <c r="H490" s="49">
        <v>7602</v>
      </c>
      <c r="I490" s="82" t="s">
        <v>921</v>
      </c>
      <c r="J490" s="100"/>
      <c r="K490" s="84">
        <v>0</v>
      </c>
      <c r="L490" s="84">
        <v>0</v>
      </c>
      <c r="M490" s="83">
        <v>270</v>
      </c>
      <c r="N490" s="223">
        <v>2000</v>
      </c>
      <c r="O490" s="314">
        <v>1</v>
      </c>
      <c r="P490" s="223">
        <v>100</v>
      </c>
      <c r="Q490" s="223"/>
      <c r="R490" s="83">
        <v>100</v>
      </c>
      <c r="S490" s="83">
        <f t="shared" si="81"/>
        <v>0</v>
      </c>
      <c r="T490" s="315">
        <f t="shared" si="82"/>
        <v>320</v>
      </c>
      <c r="U490" s="84">
        <f t="shared" si="83"/>
        <v>0</v>
      </c>
      <c r="V490" s="84">
        <f t="shared" si="84"/>
        <v>0</v>
      </c>
      <c r="W490" s="84">
        <v>0</v>
      </c>
      <c r="X490" s="255">
        <f t="shared" si="85"/>
        <v>46153</v>
      </c>
    </row>
    <row r="491" spans="1:24" s="118" customFormat="1" hidden="1" x14ac:dyDescent="0.35">
      <c r="A491" s="71">
        <f t="shared" si="86"/>
        <v>46153</v>
      </c>
      <c r="B491" s="71"/>
      <c r="C491" s="71"/>
      <c r="D491" s="71"/>
      <c r="E491" s="119" t="s">
        <v>134</v>
      </c>
      <c r="F491" s="48" t="s">
        <v>928</v>
      </c>
      <c r="G491" s="48"/>
      <c r="H491" s="49"/>
      <c r="I491" s="106" t="s">
        <v>929</v>
      </c>
      <c r="J491" s="100"/>
      <c r="K491" s="84">
        <v>0</v>
      </c>
      <c r="L491" s="84">
        <v>0</v>
      </c>
      <c r="M491" s="83">
        <v>100</v>
      </c>
      <c r="N491" s="223">
        <v>400</v>
      </c>
      <c r="O491" s="314">
        <v>1</v>
      </c>
      <c r="P491" s="223">
        <v>410</v>
      </c>
      <c r="Q491" s="223"/>
      <c r="R491" s="83">
        <v>410</v>
      </c>
      <c r="S491" s="83">
        <f t="shared" si="81"/>
        <v>0</v>
      </c>
      <c r="T491" s="315">
        <f t="shared" si="82"/>
        <v>864</v>
      </c>
      <c r="U491" s="84">
        <f t="shared" si="83"/>
        <v>0</v>
      </c>
      <c r="V491" s="84">
        <f t="shared" si="84"/>
        <v>0</v>
      </c>
      <c r="W491" s="84">
        <v>0</v>
      </c>
      <c r="X491" s="255">
        <f t="shared" si="85"/>
        <v>46153</v>
      </c>
    </row>
    <row r="492" spans="1:24" s="118" customFormat="1" hidden="1" x14ac:dyDescent="0.35">
      <c r="A492" s="71">
        <f t="shared" si="86"/>
        <v>46153</v>
      </c>
      <c r="B492" s="71"/>
      <c r="C492" s="71"/>
      <c r="D492" s="71"/>
      <c r="E492" s="119" t="s">
        <v>134</v>
      </c>
      <c r="F492" s="48" t="s">
        <v>65</v>
      </c>
      <c r="G492" s="48"/>
      <c r="H492" s="49" t="s">
        <v>930</v>
      </c>
      <c r="I492" s="99" t="s">
        <v>931</v>
      </c>
      <c r="J492" s="100"/>
      <c r="K492" s="84">
        <v>0</v>
      </c>
      <c r="L492" s="84">
        <v>0</v>
      </c>
      <c r="M492" s="83">
        <v>90</v>
      </c>
      <c r="N492" s="223">
        <v>500</v>
      </c>
      <c r="O492" s="314">
        <v>1</v>
      </c>
      <c r="P492" s="223">
        <v>509</v>
      </c>
      <c r="Q492" s="223"/>
      <c r="R492" s="83">
        <v>509</v>
      </c>
      <c r="S492" s="83">
        <f t="shared" si="81"/>
        <v>0</v>
      </c>
      <c r="T492" s="315">
        <f t="shared" si="82"/>
        <v>960</v>
      </c>
      <c r="U492" s="84">
        <f t="shared" si="83"/>
        <v>0</v>
      </c>
      <c r="V492" s="84">
        <f t="shared" si="84"/>
        <v>0</v>
      </c>
      <c r="W492" s="84">
        <v>0</v>
      </c>
      <c r="X492" s="255">
        <f t="shared" si="85"/>
        <v>46153</v>
      </c>
    </row>
    <row r="493" spans="1:24" s="118" customFormat="1" hidden="1" x14ac:dyDescent="0.35">
      <c r="A493" s="71">
        <f t="shared" si="86"/>
        <v>46153</v>
      </c>
      <c r="B493" s="71"/>
      <c r="C493" s="71"/>
      <c r="D493" s="71"/>
      <c r="E493" s="119" t="s">
        <v>134</v>
      </c>
      <c r="F493" s="48" t="s">
        <v>65</v>
      </c>
      <c r="G493" s="48"/>
      <c r="H493" s="49" t="s">
        <v>932</v>
      </c>
      <c r="I493" s="82" t="s">
        <v>933</v>
      </c>
      <c r="J493" s="100"/>
      <c r="K493" s="84">
        <v>0</v>
      </c>
      <c r="L493" s="84">
        <v>0</v>
      </c>
      <c r="M493" s="83">
        <v>90</v>
      </c>
      <c r="N493" s="223">
        <v>200</v>
      </c>
      <c r="O493" s="314">
        <v>1</v>
      </c>
      <c r="P493" s="223">
        <f>N493/O493</f>
        <v>200</v>
      </c>
      <c r="Q493" s="223"/>
      <c r="R493" s="83">
        <v>200</v>
      </c>
      <c r="S493" s="83">
        <f t="shared" si="81"/>
        <v>0</v>
      </c>
      <c r="T493" s="315">
        <f t="shared" si="82"/>
        <v>960</v>
      </c>
      <c r="U493" s="84">
        <f t="shared" si="83"/>
        <v>0</v>
      </c>
      <c r="V493" s="84">
        <f t="shared" si="84"/>
        <v>0</v>
      </c>
      <c r="W493" s="84">
        <v>0</v>
      </c>
      <c r="X493" s="255">
        <f t="shared" si="85"/>
        <v>46153</v>
      </c>
    </row>
    <row r="494" spans="1:24" s="118" customFormat="1" hidden="1" x14ac:dyDescent="0.35">
      <c r="A494" s="71">
        <f t="shared" si="86"/>
        <v>46153</v>
      </c>
      <c r="B494" s="71"/>
      <c r="C494" s="71"/>
      <c r="D494" s="71"/>
      <c r="E494" s="119" t="s">
        <v>134</v>
      </c>
      <c r="F494" s="48" t="s">
        <v>70</v>
      </c>
      <c r="G494" s="48"/>
      <c r="H494" s="49"/>
      <c r="I494" s="82" t="s">
        <v>934</v>
      </c>
      <c r="J494" s="100"/>
      <c r="K494" s="84">
        <v>0</v>
      </c>
      <c r="L494" s="84">
        <v>0</v>
      </c>
      <c r="M494" s="83">
        <v>90</v>
      </c>
      <c r="N494" s="223">
        <v>20</v>
      </c>
      <c r="O494" s="314">
        <v>1</v>
      </c>
      <c r="P494" s="223">
        <f>N494/O494</f>
        <v>20</v>
      </c>
      <c r="Q494" s="223"/>
      <c r="R494" s="83">
        <v>20</v>
      </c>
      <c r="S494" s="83">
        <f t="shared" si="81"/>
        <v>0</v>
      </c>
      <c r="T494" s="315">
        <f t="shared" si="82"/>
        <v>960</v>
      </c>
      <c r="U494" s="84">
        <f t="shared" si="83"/>
        <v>0</v>
      </c>
      <c r="V494" s="84">
        <f t="shared" si="84"/>
        <v>0</v>
      </c>
      <c r="W494" s="84">
        <v>0</v>
      </c>
      <c r="X494" s="255">
        <f t="shared" si="85"/>
        <v>46153</v>
      </c>
    </row>
    <row r="495" spans="1:24" s="118" customFormat="1" hidden="1" x14ac:dyDescent="0.35">
      <c r="A495" s="71">
        <f t="shared" si="86"/>
        <v>46153</v>
      </c>
      <c r="B495" s="71"/>
      <c r="C495" s="71"/>
      <c r="D495" s="71"/>
      <c r="E495" s="119" t="s">
        <v>134</v>
      </c>
      <c r="F495" s="48" t="s">
        <v>927</v>
      </c>
      <c r="G495" s="48"/>
      <c r="H495" s="49">
        <v>7602</v>
      </c>
      <c r="I495" s="82" t="s">
        <v>921</v>
      </c>
      <c r="J495" s="100"/>
      <c r="K495" s="84">
        <v>0</v>
      </c>
      <c r="L495" s="84">
        <v>0</v>
      </c>
      <c r="M495" s="83">
        <v>270</v>
      </c>
      <c r="N495" s="223">
        <v>2000</v>
      </c>
      <c r="O495" s="314">
        <v>1</v>
      </c>
      <c r="P495" s="223">
        <f>N495/O495</f>
        <v>2000</v>
      </c>
      <c r="Q495" s="223"/>
      <c r="R495" s="83">
        <v>2000</v>
      </c>
      <c r="S495" s="83">
        <f t="shared" si="81"/>
        <v>0</v>
      </c>
      <c r="T495" s="315">
        <f t="shared" si="82"/>
        <v>320</v>
      </c>
      <c r="U495" s="84">
        <f t="shared" si="83"/>
        <v>0</v>
      </c>
      <c r="V495" s="84">
        <f t="shared" si="84"/>
        <v>0</v>
      </c>
      <c r="W495" s="84">
        <v>0</v>
      </c>
      <c r="X495" s="255">
        <f t="shared" si="85"/>
        <v>46153</v>
      </c>
    </row>
    <row r="496" spans="1:24" s="118" customFormat="1" hidden="1" x14ac:dyDescent="0.35">
      <c r="A496" s="71">
        <f t="shared" si="86"/>
        <v>46153</v>
      </c>
      <c r="B496" s="71"/>
      <c r="C496" s="71"/>
      <c r="D496" s="71"/>
      <c r="E496" s="119" t="s">
        <v>134</v>
      </c>
      <c r="F496" s="48" t="s">
        <v>935</v>
      </c>
      <c r="G496" s="48"/>
      <c r="H496" s="49">
        <v>7833</v>
      </c>
      <c r="I496" s="82" t="s">
        <v>921</v>
      </c>
      <c r="J496" s="100"/>
      <c r="K496" s="84">
        <v>0</v>
      </c>
      <c r="L496" s="84">
        <v>0</v>
      </c>
      <c r="M496" s="83">
        <v>220</v>
      </c>
      <c r="N496" s="223">
        <v>2000</v>
      </c>
      <c r="O496" s="314">
        <v>1</v>
      </c>
      <c r="P496" s="223">
        <v>2396</v>
      </c>
      <c r="Q496" s="223"/>
      <c r="R496" s="83">
        <v>2396</v>
      </c>
      <c r="S496" s="83">
        <f t="shared" si="81"/>
        <v>0</v>
      </c>
      <c r="T496" s="315">
        <f t="shared" si="82"/>
        <v>392.72727272727275</v>
      </c>
      <c r="U496" s="84">
        <f t="shared" si="83"/>
        <v>0</v>
      </c>
      <c r="V496" s="84">
        <f t="shared" si="84"/>
        <v>0</v>
      </c>
      <c r="W496" s="84">
        <v>0</v>
      </c>
      <c r="X496" s="255">
        <f t="shared" si="85"/>
        <v>46153</v>
      </c>
    </row>
    <row r="497" spans="1:24" s="118" customFormat="1" hidden="1" x14ac:dyDescent="0.35">
      <c r="A497" s="71">
        <f t="shared" si="86"/>
        <v>46153</v>
      </c>
      <c r="B497" s="71"/>
      <c r="C497" s="71"/>
      <c r="D497" s="71"/>
      <c r="E497" s="119" t="s">
        <v>134</v>
      </c>
      <c r="F497" s="56" t="s">
        <v>936</v>
      </c>
      <c r="G497" s="56"/>
      <c r="H497" s="49">
        <v>7643</v>
      </c>
      <c r="I497" s="99" t="s">
        <v>97</v>
      </c>
      <c r="J497" s="100"/>
      <c r="K497" s="84">
        <v>0</v>
      </c>
      <c r="L497" s="84">
        <v>0</v>
      </c>
      <c r="M497" s="83">
        <v>110</v>
      </c>
      <c r="N497" s="223">
        <v>3000</v>
      </c>
      <c r="O497" s="314">
        <v>1</v>
      </c>
      <c r="P497" s="223">
        <v>3596</v>
      </c>
      <c r="Q497" s="223"/>
      <c r="R497" s="83">
        <v>3596</v>
      </c>
      <c r="S497" s="83">
        <f t="shared" si="81"/>
        <v>0</v>
      </c>
      <c r="T497" s="315">
        <f t="shared" si="82"/>
        <v>785.4545454545455</v>
      </c>
      <c r="U497" s="84">
        <f t="shared" si="83"/>
        <v>0</v>
      </c>
      <c r="V497" s="84">
        <f t="shared" si="84"/>
        <v>0</v>
      </c>
      <c r="W497" s="84">
        <v>0</v>
      </c>
      <c r="X497" s="255">
        <f t="shared" si="85"/>
        <v>46153</v>
      </c>
    </row>
    <row r="498" spans="1:24" s="118" customFormat="1" ht="29" hidden="1" x14ac:dyDescent="0.35">
      <c r="A498" s="71">
        <f t="shared" si="86"/>
        <v>46153</v>
      </c>
      <c r="B498" s="71"/>
      <c r="C498" s="71"/>
      <c r="D498" s="71"/>
      <c r="E498" s="119" t="s">
        <v>134</v>
      </c>
      <c r="F498" s="48" t="s">
        <v>937</v>
      </c>
      <c r="G498" s="48"/>
      <c r="H498" s="49" t="s">
        <v>938</v>
      </c>
      <c r="I498" s="82" t="s">
        <v>939</v>
      </c>
      <c r="J498" s="100"/>
      <c r="K498" s="84">
        <v>0</v>
      </c>
      <c r="L498" s="84">
        <v>0</v>
      </c>
      <c r="M498" s="83">
        <v>120</v>
      </c>
      <c r="N498" s="223">
        <v>2000</v>
      </c>
      <c r="O498" s="314">
        <v>2</v>
      </c>
      <c r="P498" s="223">
        <v>1019</v>
      </c>
      <c r="Q498" s="223"/>
      <c r="R498" s="83">
        <v>1019</v>
      </c>
      <c r="S498" s="83">
        <f t="shared" si="81"/>
        <v>0</v>
      </c>
      <c r="T498" s="315">
        <f t="shared" si="82"/>
        <v>1440</v>
      </c>
      <c r="U498" s="84">
        <f t="shared" si="83"/>
        <v>0</v>
      </c>
      <c r="V498" s="84">
        <f t="shared" si="84"/>
        <v>0</v>
      </c>
      <c r="W498" s="84">
        <v>0</v>
      </c>
      <c r="X498" s="255">
        <f t="shared" si="85"/>
        <v>46153</v>
      </c>
    </row>
    <row r="499" spans="1:24" s="118" customFormat="1" hidden="1" x14ac:dyDescent="0.35">
      <c r="A499" s="71">
        <f t="shared" si="86"/>
        <v>46153</v>
      </c>
      <c r="B499" s="71"/>
      <c r="C499" s="71"/>
      <c r="D499" s="71"/>
      <c r="E499" s="119" t="s">
        <v>134</v>
      </c>
      <c r="F499" s="48" t="s">
        <v>940</v>
      </c>
      <c r="G499" s="48"/>
      <c r="H499" s="49" t="s">
        <v>941</v>
      </c>
      <c r="I499" s="82" t="s">
        <v>942</v>
      </c>
      <c r="J499" s="100"/>
      <c r="K499" s="84">
        <v>0</v>
      </c>
      <c r="L499" s="84">
        <v>0</v>
      </c>
      <c r="M499" s="83">
        <v>125</v>
      </c>
      <c r="N499" s="223">
        <v>500</v>
      </c>
      <c r="O499" s="314">
        <v>1</v>
      </c>
      <c r="P499" s="223">
        <f>N499/O499</f>
        <v>500</v>
      </c>
      <c r="Q499" s="223"/>
      <c r="R499" s="83">
        <v>500</v>
      </c>
      <c r="S499" s="83">
        <f t="shared" si="81"/>
        <v>0</v>
      </c>
      <c r="T499" s="315">
        <f t="shared" si="82"/>
        <v>691.2</v>
      </c>
      <c r="U499" s="84">
        <f t="shared" si="83"/>
        <v>0</v>
      </c>
      <c r="V499" s="84">
        <f t="shared" si="84"/>
        <v>0</v>
      </c>
      <c r="W499" s="84">
        <v>0</v>
      </c>
      <c r="X499" s="255">
        <f t="shared" si="85"/>
        <v>46153</v>
      </c>
    </row>
    <row r="500" spans="1:24" s="118" customFormat="1" hidden="1" x14ac:dyDescent="0.35">
      <c r="A500" s="71">
        <f t="shared" si="86"/>
        <v>46153</v>
      </c>
      <c r="B500" s="71"/>
      <c r="C500" s="71"/>
      <c r="D500" s="71"/>
      <c r="E500" s="119" t="s">
        <v>134</v>
      </c>
      <c r="F500" s="48" t="s">
        <v>940</v>
      </c>
      <c r="G500" s="48"/>
      <c r="H500" s="49" t="s">
        <v>943</v>
      </c>
      <c r="I500" s="82" t="s">
        <v>944</v>
      </c>
      <c r="J500" s="100"/>
      <c r="K500" s="84">
        <v>0</v>
      </c>
      <c r="L500" s="84">
        <v>0</v>
      </c>
      <c r="M500" s="83">
        <v>100</v>
      </c>
      <c r="N500" s="223">
        <v>500</v>
      </c>
      <c r="O500" s="314">
        <v>1</v>
      </c>
      <c r="P500" s="223">
        <f>N500/O500</f>
        <v>500</v>
      </c>
      <c r="Q500" s="223"/>
      <c r="R500" s="83">
        <v>500</v>
      </c>
      <c r="S500" s="83">
        <f t="shared" si="81"/>
        <v>0</v>
      </c>
      <c r="T500" s="315">
        <f t="shared" si="82"/>
        <v>864</v>
      </c>
      <c r="U500" s="84">
        <f t="shared" si="83"/>
        <v>0</v>
      </c>
      <c r="V500" s="84">
        <f t="shared" si="84"/>
        <v>0</v>
      </c>
      <c r="W500" s="84">
        <v>0</v>
      </c>
      <c r="X500" s="255">
        <f t="shared" si="85"/>
        <v>46153</v>
      </c>
    </row>
    <row r="501" spans="1:24" s="118" customFormat="1" hidden="1" x14ac:dyDescent="0.35">
      <c r="A501" s="71">
        <f t="shared" si="86"/>
        <v>46153</v>
      </c>
      <c r="B501" s="71"/>
      <c r="C501" s="71"/>
      <c r="D501" s="71"/>
      <c r="E501" s="119" t="s">
        <v>134</v>
      </c>
      <c r="F501" s="48" t="s">
        <v>945</v>
      </c>
      <c r="G501" s="48"/>
      <c r="H501" s="49" t="s">
        <v>946</v>
      </c>
      <c r="I501" s="82" t="s">
        <v>947</v>
      </c>
      <c r="J501" s="100"/>
      <c r="K501" s="84">
        <v>0</v>
      </c>
      <c r="L501" s="84">
        <v>0</v>
      </c>
      <c r="M501" s="83">
        <v>90</v>
      </c>
      <c r="N501" s="223">
        <v>5000</v>
      </c>
      <c r="O501" s="314">
        <v>1</v>
      </c>
      <c r="P501" s="223">
        <v>5312</v>
      </c>
      <c r="Q501" s="223"/>
      <c r="R501" s="83">
        <v>5312</v>
      </c>
      <c r="S501" s="83">
        <f t="shared" si="81"/>
        <v>0</v>
      </c>
      <c r="T501" s="315">
        <f t="shared" si="82"/>
        <v>960</v>
      </c>
      <c r="U501" s="84">
        <f t="shared" si="83"/>
        <v>0</v>
      </c>
      <c r="V501" s="84">
        <f t="shared" si="84"/>
        <v>0</v>
      </c>
      <c r="W501" s="84">
        <v>0</v>
      </c>
      <c r="X501" s="255">
        <f t="shared" si="85"/>
        <v>46153</v>
      </c>
    </row>
    <row r="502" spans="1:24" s="118" customFormat="1" ht="29" hidden="1" x14ac:dyDescent="0.35">
      <c r="A502" s="71">
        <f t="shared" si="86"/>
        <v>46153</v>
      </c>
      <c r="B502" s="71"/>
      <c r="C502" s="71"/>
      <c r="D502" s="71"/>
      <c r="E502" s="119" t="s">
        <v>134</v>
      </c>
      <c r="F502" s="57" t="s">
        <v>948</v>
      </c>
      <c r="G502" s="57"/>
      <c r="H502" s="49" t="s">
        <v>949</v>
      </c>
      <c r="I502" s="99" t="s">
        <v>950</v>
      </c>
      <c r="J502" s="100"/>
      <c r="K502" s="84">
        <v>0</v>
      </c>
      <c r="L502" s="84">
        <v>0</v>
      </c>
      <c r="M502" s="83">
        <v>100</v>
      </c>
      <c r="N502" s="223">
        <v>4850</v>
      </c>
      <c r="O502" s="314">
        <v>1</v>
      </c>
      <c r="P502" s="223">
        <v>5509</v>
      </c>
      <c r="Q502" s="223"/>
      <c r="R502" s="83">
        <v>5509</v>
      </c>
      <c r="S502" s="83">
        <f t="shared" si="81"/>
        <v>0</v>
      </c>
      <c r="T502" s="315">
        <f t="shared" si="82"/>
        <v>864</v>
      </c>
      <c r="U502" s="84">
        <f t="shared" si="83"/>
        <v>0</v>
      </c>
      <c r="V502" s="84">
        <f t="shared" si="84"/>
        <v>0</v>
      </c>
      <c r="W502" s="84">
        <v>0</v>
      </c>
      <c r="X502" s="255">
        <f t="shared" si="85"/>
        <v>46153</v>
      </c>
    </row>
    <row r="503" spans="1:24" s="118" customFormat="1" ht="29" hidden="1" x14ac:dyDescent="0.35">
      <c r="A503" s="71">
        <f t="shared" si="86"/>
        <v>46153</v>
      </c>
      <c r="B503" s="71"/>
      <c r="C503" s="71"/>
      <c r="D503" s="71"/>
      <c r="E503" s="119" t="s">
        <v>134</v>
      </c>
      <c r="F503" s="57" t="s">
        <v>951</v>
      </c>
      <c r="G503" s="57"/>
      <c r="H503" s="49" t="s">
        <v>952</v>
      </c>
      <c r="I503" s="99" t="s">
        <v>953</v>
      </c>
      <c r="J503" s="100"/>
      <c r="K503" s="84">
        <v>0</v>
      </c>
      <c r="L503" s="84">
        <v>0</v>
      </c>
      <c r="M503" s="83">
        <v>100</v>
      </c>
      <c r="N503" s="223">
        <v>5850</v>
      </c>
      <c r="O503" s="314">
        <v>1</v>
      </c>
      <c r="P503" s="223">
        <v>720</v>
      </c>
      <c r="Q503" s="223"/>
      <c r="R503" s="83">
        <v>720</v>
      </c>
      <c r="S503" s="83">
        <f t="shared" si="81"/>
        <v>0</v>
      </c>
      <c r="T503" s="315">
        <f t="shared" si="82"/>
        <v>864</v>
      </c>
      <c r="U503" s="84">
        <f t="shared" si="83"/>
        <v>0</v>
      </c>
      <c r="V503" s="84">
        <f t="shared" si="84"/>
        <v>0</v>
      </c>
      <c r="W503" s="84">
        <v>0</v>
      </c>
      <c r="X503" s="255">
        <f t="shared" si="85"/>
        <v>46153</v>
      </c>
    </row>
    <row r="504" spans="1:24" s="118" customFormat="1" hidden="1" x14ac:dyDescent="0.35">
      <c r="A504" s="71">
        <f t="shared" si="86"/>
        <v>46153</v>
      </c>
      <c r="B504" s="71"/>
      <c r="C504" s="71"/>
      <c r="D504" s="71"/>
      <c r="E504" s="119" t="s">
        <v>134</v>
      </c>
      <c r="F504" s="48" t="s">
        <v>104</v>
      </c>
      <c r="G504" s="48"/>
      <c r="H504" s="49" t="s">
        <v>954</v>
      </c>
      <c r="I504" s="82" t="s">
        <v>921</v>
      </c>
      <c r="J504" s="100"/>
      <c r="K504" s="84">
        <v>0</v>
      </c>
      <c r="L504" s="84">
        <v>0</v>
      </c>
      <c r="M504" s="83">
        <v>220</v>
      </c>
      <c r="N504" s="223">
        <v>1500</v>
      </c>
      <c r="O504" s="314">
        <v>1</v>
      </c>
      <c r="P504" s="223">
        <v>1553</v>
      </c>
      <c r="Q504" s="223"/>
      <c r="R504" s="83">
        <v>1553</v>
      </c>
      <c r="S504" s="83">
        <f t="shared" si="81"/>
        <v>0</v>
      </c>
      <c r="T504" s="315">
        <f t="shared" si="82"/>
        <v>392.72727272727275</v>
      </c>
      <c r="U504" s="84">
        <f t="shared" si="83"/>
        <v>0</v>
      </c>
      <c r="V504" s="84">
        <f t="shared" si="84"/>
        <v>0</v>
      </c>
      <c r="W504" s="84">
        <v>0</v>
      </c>
      <c r="X504" s="255">
        <f t="shared" si="85"/>
        <v>46153</v>
      </c>
    </row>
    <row r="505" spans="1:24" s="118" customFormat="1" hidden="1" x14ac:dyDescent="0.35">
      <c r="A505" s="71">
        <f t="shared" si="86"/>
        <v>46153</v>
      </c>
      <c r="B505" s="71"/>
      <c r="C505" s="71"/>
      <c r="D505" s="71"/>
      <c r="E505" s="119" t="s">
        <v>134</v>
      </c>
      <c r="F505" s="57" t="s">
        <v>955</v>
      </c>
      <c r="G505" s="57"/>
      <c r="H505" s="49" t="s">
        <v>952</v>
      </c>
      <c r="I505" s="99" t="s">
        <v>953</v>
      </c>
      <c r="J505" s="100"/>
      <c r="K505" s="84">
        <v>0</v>
      </c>
      <c r="L505" s="84">
        <v>0</v>
      </c>
      <c r="M505" s="83">
        <v>100</v>
      </c>
      <c r="N505" s="223">
        <v>5150</v>
      </c>
      <c r="O505" s="314">
        <v>1</v>
      </c>
      <c r="P505" s="223">
        <f t="shared" ref="P505:P541" si="87">N505/O505</f>
        <v>5150</v>
      </c>
      <c r="Q505" s="223"/>
      <c r="R505" s="83">
        <v>5150</v>
      </c>
      <c r="S505" s="83">
        <f t="shared" si="81"/>
        <v>0</v>
      </c>
      <c r="T505" s="315">
        <f t="shared" si="82"/>
        <v>864</v>
      </c>
      <c r="U505" s="84">
        <f t="shared" si="83"/>
        <v>0</v>
      </c>
      <c r="V505" s="84">
        <f t="shared" si="84"/>
        <v>0</v>
      </c>
      <c r="W505" s="84">
        <v>0</v>
      </c>
      <c r="X505" s="255">
        <f t="shared" si="85"/>
        <v>46153</v>
      </c>
    </row>
    <row r="506" spans="1:24" s="118" customFormat="1" hidden="1" x14ac:dyDescent="0.35">
      <c r="A506" s="71">
        <f t="shared" si="86"/>
        <v>46153</v>
      </c>
      <c r="B506" s="71"/>
      <c r="C506" s="71"/>
      <c r="D506" s="71"/>
      <c r="E506" s="119" t="s">
        <v>134</v>
      </c>
      <c r="F506" s="48" t="s">
        <v>414</v>
      </c>
      <c r="G506" s="48"/>
      <c r="H506" s="49" t="s">
        <v>956</v>
      </c>
      <c r="I506" s="82" t="s">
        <v>921</v>
      </c>
      <c r="J506" s="100"/>
      <c r="K506" s="84">
        <v>0</v>
      </c>
      <c r="L506" s="84">
        <v>0</v>
      </c>
      <c r="M506" s="83">
        <v>220</v>
      </c>
      <c r="N506" s="223">
        <v>1500</v>
      </c>
      <c r="O506" s="314">
        <v>1</v>
      </c>
      <c r="P506" s="223">
        <f t="shared" si="87"/>
        <v>1500</v>
      </c>
      <c r="Q506" s="223"/>
      <c r="R506" s="83">
        <v>1500</v>
      </c>
      <c r="S506" s="83">
        <f t="shared" si="81"/>
        <v>0</v>
      </c>
      <c r="T506" s="315">
        <f t="shared" si="82"/>
        <v>392.72727272727275</v>
      </c>
      <c r="U506" s="84">
        <f t="shared" si="83"/>
        <v>0</v>
      </c>
      <c r="V506" s="84">
        <f t="shared" si="84"/>
        <v>0</v>
      </c>
      <c r="W506" s="84">
        <v>0</v>
      </c>
      <c r="X506" s="255">
        <f t="shared" si="85"/>
        <v>46153</v>
      </c>
    </row>
    <row r="507" spans="1:24" s="118" customFormat="1" hidden="1" x14ac:dyDescent="0.35">
      <c r="A507" s="71">
        <f t="shared" si="86"/>
        <v>46153</v>
      </c>
      <c r="B507" s="71"/>
      <c r="C507" s="71"/>
      <c r="D507" s="71"/>
      <c r="E507" s="119" t="s">
        <v>134</v>
      </c>
      <c r="F507" s="48" t="s">
        <v>104</v>
      </c>
      <c r="G507" s="48"/>
      <c r="H507" s="49" t="s">
        <v>957</v>
      </c>
      <c r="I507" s="99" t="s">
        <v>495</v>
      </c>
      <c r="J507" s="100"/>
      <c r="K507" s="84">
        <v>0</v>
      </c>
      <c r="L507" s="84">
        <v>0</v>
      </c>
      <c r="M507" s="83">
        <v>65</v>
      </c>
      <c r="N507" s="223">
        <v>200</v>
      </c>
      <c r="O507" s="314">
        <v>1</v>
      </c>
      <c r="P507" s="223">
        <f t="shared" si="87"/>
        <v>200</v>
      </c>
      <c r="Q507" s="223"/>
      <c r="R507" s="83">
        <v>200</v>
      </c>
      <c r="S507" s="83">
        <f t="shared" si="81"/>
        <v>0</v>
      </c>
      <c r="T507" s="315">
        <f t="shared" si="82"/>
        <v>1329.2307692307693</v>
      </c>
      <c r="U507" s="84">
        <f t="shared" si="83"/>
        <v>0</v>
      </c>
      <c r="V507" s="84">
        <f t="shared" si="84"/>
        <v>0</v>
      </c>
      <c r="W507" s="84">
        <v>0</v>
      </c>
      <c r="X507" s="255">
        <f t="shared" si="85"/>
        <v>46153</v>
      </c>
    </row>
    <row r="508" spans="1:24" s="118" customFormat="1" hidden="1" x14ac:dyDescent="0.35">
      <c r="A508" s="71">
        <f t="shared" si="86"/>
        <v>46153</v>
      </c>
      <c r="B508" s="71"/>
      <c r="C508" s="71"/>
      <c r="D508" s="71"/>
      <c r="E508" s="119" t="s">
        <v>134</v>
      </c>
      <c r="F508" s="48" t="s">
        <v>104</v>
      </c>
      <c r="G508" s="48"/>
      <c r="H508" s="49" t="s">
        <v>958</v>
      </c>
      <c r="I508" s="316" t="s">
        <v>486</v>
      </c>
      <c r="J508" s="100"/>
      <c r="K508" s="84">
        <v>0</v>
      </c>
      <c r="L508" s="84">
        <v>0</v>
      </c>
      <c r="M508" s="83">
        <v>65</v>
      </c>
      <c r="N508" s="223">
        <v>700</v>
      </c>
      <c r="O508" s="314">
        <v>1</v>
      </c>
      <c r="P508" s="223">
        <f t="shared" si="87"/>
        <v>700</v>
      </c>
      <c r="Q508" s="223"/>
      <c r="R508" s="83">
        <v>700</v>
      </c>
      <c r="S508" s="83">
        <f t="shared" si="81"/>
        <v>0</v>
      </c>
      <c r="T508" s="315">
        <f t="shared" si="82"/>
        <v>1329.2307692307693</v>
      </c>
      <c r="U508" s="84">
        <f t="shared" si="83"/>
        <v>0</v>
      </c>
      <c r="V508" s="84">
        <f t="shared" si="84"/>
        <v>0</v>
      </c>
      <c r="W508" s="84">
        <v>0</v>
      </c>
      <c r="X508" s="255">
        <f t="shared" si="85"/>
        <v>46153</v>
      </c>
    </row>
    <row r="509" spans="1:24" s="118" customFormat="1" hidden="1" x14ac:dyDescent="0.35">
      <c r="A509" s="71">
        <f t="shared" si="86"/>
        <v>46153</v>
      </c>
      <c r="B509" s="71"/>
      <c r="C509" s="71"/>
      <c r="D509" s="71"/>
      <c r="E509" s="119" t="s">
        <v>134</v>
      </c>
      <c r="F509" s="48" t="s">
        <v>959</v>
      </c>
      <c r="G509" s="48"/>
      <c r="H509" s="49" t="s">
        <v>960</v>
      </c>
      <c r="I509" s="82" t="s">
        <v>961</v>
      </c>
      <c r="J509" s="100"/>
      <c r="K509" s="84">
        <v>0</v>
      </c>
      <c r="L509" s="84">
        <v>0</v>
      </c>
      <c r="M509" s="83">
        <v>90</v>
      </c>
      <c r="N509" s="223">
        <v>500</v>
      </c>
      <c r="O509" s="314">
        <v>1</v>
      </c>
      <c r="P509" s="223">
        <f t="shared" si="87"/>
        <v>500</v>
      </c>
      <c r="Q509" s="223"/>
      <c r="R509" s="83">
        <v>500</v>
      </c>
      <c r="S509" s="83">
        <f t="shared" si="81"/>
        <v>0</v>
      </c>
      <c r="T509" s="315">
        <f t="shared" si="82"/>
        <v>960</v>
      </c>
      <c r="U509" s="84">
        <f t="shared" si="83"/>
        <v>0</v>
      </c>
      <c r="V509" s="84">
        <f t="shared" si="84"/>
        <v>0</v>
      </c>
      <c r="W509" s="84">
        <v>0</v>
      </c>
      <c r="X509" s="255">
        <f t="shared" si="85"/>
        <v>46153</v>
      </c>
    </row>
    <row r="510" spans="1:24" s="118" customFormat="1" hidden="1" x14ac:dyDescent="0.35">
      <c r="A510" s="71">
        <f t="shared" si="86"/>
        <v>46153</v>
      </c>
      <c r="B510" s="71"/>
      <c r="C510" s="71"/>
      <c r="D510" s="71"/>
      <c r="E510" s="119" t="s">
        <v>134</v>
      </c>
      <c r="F510" s="48" t="s">
        <v>962</v>
      </c>
      <c r="G510" s="48"/>
      <c r="H510" s="49" t="s">
        <v>963</v>
      </c>
      <c r="I510" s="82" t="s">
        <v>964</v>
      </c>
      <c r="J510" s="100"/>
      <c r="K510" s="84">
        <v>0</v>
      </c>
      <c r="L510" s="84">
        <v>0</v>
      </c>
      <c r="M510" s="83">
        <v>90</v>
      </c>
      <c r="N510" s="223">
        <v>500</v>
      </c>
      <c r="O510" s="314">
        <v>1</v>
      </c>
      <c r="P510" s="223">
        <f t="shared" si="87"/>
        <v>500</v>
      </c>
      <c r="Q510" s="223"/>
      <c r="R510" s="83">
        <v>500</v>
      </c>
      <c r="S510" s="83">
        <f t="shared" si="81"/>
        <v>0</v>
      </c>
      <c r="T510" s="315">
        <f t="shared" si="82"/>
        <v>960</v>
      </c>
      <c r="U510" s="84">
        <f t="shared" si="83"/>
        <v>0</v>
      </c>
      <c r="V510" s="84">
        <f t="shared" si="84"/>
        <v>0</v>
      </c>
      <c r="W510" s="84">
        <v>0</v>
      </c>
      <c r="X510" s="255">
        <f t="shared" si="85"/>
        <v>46153</v>
      </c>
    </row>
    <row r="511" spans="1:24" s="118" customFormat="1" hidden="1" x14ac:dyDescent="0.35">
      <c r="A511" s="71">
        <f t="shared" si="86"/>
        <v>46153</v>
      </c>
      <c r="B511" s="71"/>
      <c r="C511" s="71"/>
      <c r="D511" s="71"/>
      <c r="E511" s="119" t="s">
        <v>134</v>
      </c>
      <c r="F511" s="48" t="s">
        <v>113</v>
      </c>
      <c r="G511" s="48"/>
      <c r="H511" s="49" t="s">
        <v>965</v>
      </c>
      <c r="I511" s="82" t="s">
        <v>966</v>
      </c>
      <c r="J511" s="100"/>
      <c r="K511" s="84">
        <v>0</v>
      </c>
      <c r="L511" s="84">
        <v>0</v>
      </c>
      <c r="M511" s="83">
        <v>95</v>
      </c>
      <c r="N511" s="223">
        <v>4274</v>
      </c>
      <c r="O511" s="314">
        <v>1</v>
      </c>
      <c r="P511" s="223">
        <f t="shared" si="87"/>
        <v>4274</v>
      </c>
      <c r="Q511" s="223"/>
      <c r="R511" s="83">
        <v>4274</v>
      </c>
      <c r="S511" s="83">
        <f t="shared" si="81"/>
        <v>0</v>
      </c>
      <c r="T511" s="315">
        <f t="shared" si="82"/>
        <v>909.47368421052624</v>
      </c>
      <c r="U511" s="84">
        <f t="shared" si="83"/>
        <v>0</v>
      </c>
      <c r="V511" s="84">
        <f t="shared" si="84"/>
        <v>0</v>
      </c>
      <c r="W511" s="84">
        <v>0</v>
      </c>
      <c r="X511" s="255">
        <f t="shared" si="85"/>
        <v>46153</v>
      </c>
    </row>
    <row r="512" spans="1:24" s="118" customFormat="1" hidden="1" x14ac:dyDescent="0.35">
      <c r="A512" s="71">
        <f t="shared" si="86"/>
        <v>46153</v>
      </c>
      <c r="B512" s="71"/>
      <c r="C512" s="71"/>
      <c r="D512" s="71"/>
      <c r="E512" s="119" t="s">
        <v>134</v>
      </c>
      <c r="F512" s="62" t="s">
        <v>135</v>
      </c>
      <c r="G512" s="62"/>
      <c r="H512" s="63" t="s">
        <v>967</v>
      </c>
      <c r="I512" s="69" t="s">
        <v>968</v>
      </c>
      <c r="J512" s="77"/>
      <c r="K512" s="84">
        <v>0</v>
      </c>
      <c r="L512" s="84">
        <v>0</v>
      </c>
      <c r="M512" s="83">
        <v>90</v>
      </c>
      <c r="N512" s="317">
        <v>200</v>
      </c>
      <c r="O512" s="314">
        <v>1</v>
      </c>
      <c r="P512" s="223">
        <f t="shared" si="87"/>
        <v>200</v>
      </c>
      <c r="Q512" s="223"/>
      <c r="R512" s="318">
        <v>200</v>
      </c>
      <c r="S512" s="83">
        <f t="shared" si="81"/>
        <v>0</v>
      </c>
      <c r="T512" s="315">
        <f t="shared" si="82"/>
        <v>960</v>
      </c>
      <c r="U512" s="84">
        <f t="shared" si="83"/>
        <v>0</v>
      </c>
      <c r="V512" s="84">
        <f t="shared" si="84"/>
        <v>0</v>
      </c>
      <c r="W512" s="84">
        <v>0</v>
      </c>
      <c r="X512" s="255">
        <f t="shared" si="85"/>
        <v>46153</v>
      </c>
    </row>
    <row r="513" spans="1:24" s="118" customFormat="1" hidden="1" x14ac:dyDescent="0.35">
      <c r="A513" s="71">
        <f t="shared" si="86"/>
        <v>46153</v>
      </c>
      <c r="B513" s="71"/>
      <c r="C513" s="71"/>
      <c r="D513" s="71"/>
      <c r="E513" s="119" t="s">
        <v>134</v>
      </c>
      <c r="F513" s="62" t="s">
        <v>135</v>
      </c>
      <c r="G513" s="62"/>
      <c r="H513" s="63" t="s">
        <v>969</v>
      </c>
      <c r="I513" s="69" t="s">
        <v>970</v>
      </c>
      <c r="J513" s="77"/>
      <c r="K513" s="84">
        <v>0</v>
      </c>
      <c r="L513" s="84">
        <v>0</v>
      </c>
      <c r="M513" s="83">
        <v>90</v>
      </c>
      <c r="N513" s="317">
        <v>200</v>
      </c>
      <c r="O513" s="314">
        <v>1</v>
      </c>
      <c r="P513" s="223">
        <f t="shared" si="87"/>
        <v>200</v>
      </c>
      <c r="Q513" s="223"/>
      <c r="R513" s="318">
        <v>200</v>
      </c>
      <c r="S513" s="83">
        <f t="shared" si="81"/>
        <v>0</v>
      </c>
      <c r="T513" s="315">
        <f t="shared" si="82"/>
        <v>960</v>
      </c>
      <c r="U513" s="84">
        <f t="shared" si="83"/>
        <v>0</v>
      </c>
      <c r="V513" s="84">
        <f t="shared" si="84"/>
        <v>0</v>
      </c>
      <c r="W513" s="84"/>
      <c r="X513" s="255">
        <f t="shared" si="85"/>
        <v>46153</v>
      </c>
    </row>
    <row r="514" spans="1:24" s="118" customFormat="1" hidden="1" x14ac:dyDescent="0.35">
      <c r="A514" s="71">
        <f t="shared" si="86"/>
        <v>46153</v>
      </c>
      <c r="B514" s="71"/>
      <c r="C514" s="71"/>
      <c r="D514" s="71"/>
      <c r="E514" s="119" t="s">
        <v>134</v>
      </c>
      <c r="F514" s="62" t="s">
        <v>135</v>
      </c>
      <c r="G514" s="62"/>
      <c r="H514" s="63" t="s">
        <v>971</v>
      </c>
      <c r="I514" s="69" t="s">
        <v>972</v>
      </c>
      <c r="J514" s="77"/>
      <c r="K514" s="84">
        <v>0</v>
      </c>
      <c r="L514" s="84">
        <v>0</v>
      </c>
      <c r="M514" s="83">
        <v>90</v>
      </c>
      <c r="N514" s="317">
        <v>200</v>
      </c>
      <c r="O514" s="314">
        <v>1</v>
      </c>
      <c r="P514" s="223">
        <f t="shared" si="87"/>
        <v>200</v>
      </c>
      <c r="Q514" s="223"/>
      <c r="R514" s="318">
        <v>200</v>
      </c>
      <c r="S514" s="83">
        <f t="shared" si="81"/>
        <v>0</v>
      </c>
      <c r="T514" s="315">
        <f t="shared" si="82"/>
        <v>960</v>
      </c>
      <c r="U514" s="84">
        <f t="shared" si="83"/>
        <v>0</v>
      </c>
      <c r="V514" s="84">
        <f t="shared" si="84"/>
        <v>0</v>
      </c>
      <c r="W514" s="84"/>
      <c r="X514" s="255">
        <f t="shared" si="85"/>
        <v>46153</v>
      </c>
    </row>
    <row r="515" spans="1:24" s="118" customFormat="1" hidden="1" x14ac:dyDescent="0.35">
      <c r="A515" s="71">
        <f t="shared" si="86"/>
        <v>46153</v>
      </c>
      <c r="B515" s="71"/>
      <c r="C515" s="71"/>
      <c r="D515" s="71"/>
      <c r="E515" s="119" t="s">
        <v>134</v>
      </c>
      <c r="F515" s="62" t="s">
        <v>135</v>
      </c>
      <c r="G515" s="62"/>
      <c r="H515" s="63" t="s">
        <v>973</v>
      </c>
      <c r="I515" s="69" t="s">
        <v>974</v>
      </c>
      <c r="J515" s="77"/>
      <c r="K515" s="84">
        <v>0</v>
      </c>
      <c r="L515" s="84">
        <v>0</v>
      </c>
      <c r="M515" s="83">
        <v>90</v>
      </c>
      <c r="N515" s="317">
        <v>500</v>
      </c>
      <c r="O515" s="314">
        <v>1</v>
      </c>
      <c r="P515" s="223">
        <f t="shared" si="87"/>
        <v>500</v>
      </c>
      <c r="Q515" s="223"/>
      <c r="R515" s="318">
        <v>500</v>
      </c>
      <c r="S515" s="83">
        <f t="shared" si="81"/>
        <v>0</v>
      </c>
      <c r="T515" s="315">
        <f t="shared" si="82"/>
        <v>960</v>
      </c>
      <c r="U515" s="84">
        <f t="shared" si="83"/>
        <v>0</v>
      </c>
      <c r="V515" s="84">
        <f t="shared" si="84"/>
        <v>0</v>
      </c>
      <c r="W515" s="84"/>
      <c r="X515" s="255">
        <f t="shared" si="85"/>
        <v>46153</v>
      </c>
    </row>
    <row r="516" spans="1:24" s="118" customFormat="1" hidden="1" x14ac:dyDescent="0.35">
      <c r="A516" s="71">
        <f t="shared" si="86"/>
        <v>46153</v>
      </c>
      <c r="B516" s="71"/>
      <c r="C516" s="71"/>
      <c r="D516" s="71"/>
      <c r="E516" s="119" t="s">
        <v>134</v>
      </c>
      <c r="F516" s="62" t="s">
        <v>135</v>
      </c>
      <c r="G516" s="62"/>
      <c r="H516" s="63" t="s">
        <v>975</v>
      </c>
      <c r="I516" s="69" t="s">
        <v>137</v>
      </c>
      <c r="J516" s="77"/>
      <c r="K516" s="84">
        <v>0</v>
      </c>
      <c r="L516" s="84">
        <v>0</v>
      </c>
      <c r="M516" s="83">
        <v>90</v>
      </c>
      <c r="N516" s="317">
        <v>2000</v>
      </c>
      <c r="O516" s="314">
        <v>1</v>
      </c>
      <c r="P516" s="223">
        <f t="shared" si="87"/>
        <v>2000</v>
      </c>
      <c r="Q516" s="223"/>
      <c r="R516" s="318">
        <v>2000</v>
      </c>
      <c r="S516" s="83">
        <f t="shared" si="81"/>
        <v>0</v>
      </c>
      <c r="T516" s="315">
        <f t="shared" si="82"/>
        <v>960</v>
      </c>
      <c r="U516" s="84">
        <f t="shared" si="83"/>
        <v>0</v>
      </c>
      <c r="V516" s="84">
        <f t="shared" si="84"/>
        <v>0</v>
      </c>
      <c r="W516" s="84"/>
      <c r="X516" s="255">
        <f t="shared" si="85"/>
        <v>46153</v>
      </c>
    </row>
    <row r="517" spans="1:24" s="118" customFormat="1" ht="26.5" hidden="1" x14ac:dyDescent="0.35">
      <c r="A517" s="71">
        <f t="shared" si="86"/>
        <v>46153</v>
      </c>
      <c r="B517" s="71"/>
      <c r="C517" s="71"/>
      <c r="D517" s="71"/>
      <c r="E517" s="119" t="s">
        <v>134</v>
      </c>
      <c r="F517" s="62" t="s">
        <v>976</v>
      </c>
      <c r="G517" s="62"/>
      <c r="H517" s="319" t="s">
        <v>977</v>
      </c>
      <c r="I517" s="71" t="s">
        <v>978</v>
      </c>
      <c r="J517" s="100"/>
      <c r="K517" s="84">
        <v>0</v>
      </c>
      <c r="L517" s="84">
        <v>0</v>
      </c>
      <c r="M517" s="83">
        <v>270</v>
      </c>
      <c r="N517" s="317">
        <v>1500</v>
      </c>
      <c r="O517" s="314">
        <v>1</v>
      </c>
      <c r="P517" s="223">
        <f t="shared" si="87"/>
        <v>1500</v>
      </c>
      <c r="Q517" s="223"/>
      <c r="R517" s="318">
        <v>1500</v>
      </c>
      <c r="S517" s="83">
        <f t="shared" si="81"/>
        <v>0</v>
      </c>
      <c r="T517" s="315">
        <f t="shared" si="82"/>
        <v>320</v>
      </c>
      <c r="U517" s="84">
        <f t="shared" si="83"/>
        <v>0</v>
      </c>
      <c r="V517" s="84">
        <f t="shared" si="84"/>
        <v>0</v>
      </c>
      <c r="W517" s="84">
        <v>0</v>
      </c>
      <c r="X517" s="255">
        <f t="shared" si="85"/>
        <v>46153</v>
      </c>
    </row>
    <row r="518" spans="1:24" s="118" customFormat="1" hidden="1" x14ac:dyDescent="0.35">
      <c r="A518" s="71">
        <f t="shared" si="86"/>
        <v>46153</v>
      </c>
      <c r="B518" s="71"/>
      <c r="C518" s="71"/>
      <c r="D518" s="71"/>
      <c r="E518" s="119" t="s">
        <v>134</v>
      </c>
      <c r="F518" s="48" t="s">
        <v>284</v>
      </c>
      <c r="G518" s="48"/>
      <c r="H518" s="49" t="s">
        <v>979</v>
      </c>
      <c r="I518" s="82" t="s">
        <v>457</v>
      </c>
      <c r="J518" s="100"/>
      <c r="K518" s="84">
        <v>0</v>
      </c>
      <c r="L518" s="84">
        <v>0</v>
      </c>
      <c r="M518" s="83">
        <v>90</v>
      </c>
      <c r="N518" s="317">
        <v>1000</v>
      </c>
      <c r="O518" s="314">
        <v>1</v>
      </c>
      <c r="P518" s="223">
        <f t="shared" si="87"/>
        <v>1000</v>
      </c>
      <c r="Q518" s="223"/>
      <c r="R518" s="318">
        <v>1000</v>
      </c>
      <c r="S518" s="83">
        <f t="shared" si="81"/>
        <v>0</v>
      </c>
      <c r="T518" s="315">
        <f t="shared" si="82"/>
        <v>960</v>
      </c>
      <c r="U518" s="84">
        <f t="shared" si="83"/>
        <v>0</v>
      </c>
      <c r="V518" s="84">
        <f t="shared" si="84"/>
        <v>0</v>
      </c>
      <c r="W518" s="84">
        <v>0</v>
      </c>
      <c r="X518" s="255">
        <f t="shared" si="85"/>
        <v>46153</v>
      </c>
    </row>
    <row r="519" spans="1:24" s="118" customFormat="1" hidden="1" x14ac:dyDescent="0.35">
      <c r="A519" s="71">
        <f t="shared" si="86"/>
        <v>46153</v>
      </c>
      <c r="B519" s="71"/>
      <c r="C519" s="71"/>
      <c r="D519" s="71"/>
      <c r="E519" s="119" t="s">
        <v>134</v>
      </c>
      <c r="F519" s="57" t="s">
        <v>131</v>
      </c>
      <c r="G519" s="57"/>
      <c r="H519" s="216" t="s">
        <v>980</v>
      </c>
      <c r="I519" s="82" t="s">
        <v>470</v>
      </c>
      <c r="J519" s="100" t="s">
        <v>140</v>
      </c>
      <c r="K519" s="84">
        <v>0</v>
      </c>
      <c r="L519" s="84">
        <v>0</v>
      </c>
      <c r="M519" s="83">
        <v>187</v>
      </c>
      <c r="N519" s="317">
        <v>4320</v>
      </c>
      <c r="O519" s="314">
        <v>2</v>
      </c>
      <c r="P519" s="223">
        <f t="shared" si="87"/>
        <v>2160</v>
      </c>
      <c r="Q519" s="223"/>
      <c r="R519" s="318">
        <v>2160</v>
      </c>
      <c r="S519" s="83">
        <f t="shared" si="81"/>
        <v>0</v>
      </c>
      <c r="T519" s="315">
        <f t="shared" si="82"/>
        <v>924.06417112299459</v>
      </c>
      <c r="U519" s="84">
        <f t="shared" si="83"/>
        <v>0</v>
      </c>
      <c r="V519" s="84">
        <f t="shared" si="84"/>
        <v>0</v>
      </c>
      <c r="W519" s="84">
        <v>0</v>
      </c>
      <c r="X519" s="255">
        <f t="shared" si="85"/>
        <v>46153</v>
      </c>
    </row>
    <row r="520" spans="1:24" s="118" customFormat="1" hidden="1" x14ac:dyDescent="0.35">
      <c r="A520" s="71">
        <f t="shared" si="86"/>
        <v>46153</v>
      </c>
      <c r="B520" s="71"/>
      <c r="C520" s="71"/>
      <c r="D520" s="71"/>
      <c r="E520" s="119" t="s">
        <v>134</v>
      </c>
      <c r="F520" s="48" t="s">
        <v>981</v>
      </c>
      <c r="G520" s="48"/>
      <c r="H520" s="49" t="s">
        <v>982</v>
      </c>
      <c r="I520" s="82" t="s">
        <v>983</v>
      </c>
      <c r="J520" s="100" t="s">
        <v>140</v>
      </c>
      <c r="K520" s="84">
        <v>0</v>
      </c>
      <c r="L520" s="84">
        <v>0</v>
      </c>
      <c r="M520" s="83">
        <v>90</v>
      </c>
      <c r="N520" s="317">
        <v>1000</v>
      </c>
      <c r="O520" s="314">
        <v>1</v>
      </c>
      <c r="P520" s="223">
        <f t="shared" si="87"/>
        <v>1000</v>
      </c>
      <c r="Q520" s="223"/>
      <c r="R520" s="318">
        <v>1000</v>
      </c>
      <c r="S520" s="83">
        <f t="shared" si="81"/>
        <v>0</v>
      </c>
      <c r="T520" s="315">
        <f t="shared" si="82"/>
        <v>960</v>
      </c>
      <c r="U520" s="84">
        <f t="shared" si="83"/>
        <v>0</v>
      </c>
      <c r="V520" s="84">
        <f t="shared" si="84"/>
        <v>0</v>
      </c>
      <c r="W520" s="84">
        <v>0</v>
      </c>
      <c r="X520" s="255">
        <f t="shared" si="85"/>
        <v>46153</v>
      </c>
    </row>
    <row r="521" spans="1:24" s="118" customFormat="1" hidden="1" x14ac:dyDescent="0.35">
      <c r="A521" s="71">
        <f t="shared" si="86"/>
        <v>46153</v>
      </c>
      <c r="B521" s="71"/>
      <c r="C521" s="71"/>
      <c r="D521" s="71"/>
      <c r="E521" s="119" t="s">
        <v>134</v>
      </c>
      <c r="F521" s="48" t="s">
        <v>984</v>
      </c>
      <c r="G521" s="48"/>
      <c r="H521" s="49" t="s">
        <v>985</v>
      </c>
      <c r="I521" s="99" t="s">
        <v>486</v>
      </c>
      <c r="J521" s="100" t="s">
        <v>140</v>
      </c>
      <c r="K521" s="84">
        <v>0</v>
      </c>
      <c r="L521" s="84">
        <v>0</v>
      </c>
      <c r="M521" s="83">
        <v>65</v>
      </c>
      <c r="N521" s="317">
        <v>1957</v>
      </c>
      <c r="O521" s="314">
        <v>1</v>
      </c>
      <c r="P521" s="223">
        <f t="shared" si="87"/>
        <v>1957</v>
      </c>
      <c r="Q521" s="223"/>
      <c r="R521" s="318">
        <v>1957</v>
      </c>
      <c r="S521" s="83">
        <f t="shared" si="81"/>
        <v>0</v>
      </c>
      <c r="T521" s="315">
        <f t="shared" si="82"/>
        <v>1329.2307692307693</v>
      </c>
      <c r="U521" s="84">
        <f t="shared" si="83"/>
        <v>0</v>
      </c>
      <c r="V521" s="84">
        <f t="shared" si="84"/>
        <v>0</v>
      </c>
      <c r="W521" s="84">
        <v>0</v>
      </c>
      <c r="X521" s="255">
        <f t="shared" si="85"/>
        <v>46153</v>
      </c>
    </row>
    <row r="522" spans="1:24" s="118" customFormat="1" hidden="1" x14ac:dyDescent="0.35">
      <c r="A522" s="71">
        <f t="shared" si="86"/>
        <v>46153</v>
      </c>
      <c r="B522" s="71"/>
      <c r="C522" s="71"/>
      <c r="D522" s="71"/>
      <c r="E522" s="119" t="s">
        <v>134</v>
      </c>
      <c r="F522" s="48" t="s">
        <v>986</v>
      </c>
      <c r="G522" s="48"/>
      <c r="H522" s="49" t="s">
        <v>987</v>
      </c>
      <c r="I522" s="99" t="s">
        <v>488</v>
      </c>
      <c r="J522" s="100" t="s">
        <v>140</v>
      </c>
      <c r="K522" s="84">
        <v>0</v>
      </c>
      <c r="L522" s="84">
        <v>0</v>
      </c>
      <c r="M522" s="83">
        <v>65</v>
      </c>
      <c r="N522" s="317">
        <v>575</v>
      </c>
      <c r="O522" s="314">
        <v>1</v>
      </c>
      <c r="P522" s="223">
        <f t="shared" si="87"/>
        <v>575</v>
      </c>
      <c r="Q522" s="223"/>
      <c r="R522" s="83">
        <v>575</v>
      </c>
      <c r="S522" s="83">
        <f t="shared" si="81"/>
        <v>0</v>
      </c>
      <c r="T522" s="315">
        <f t="shared" si="82"/>
        <v>1329.2307692307693</v>
      </c>
      <c r="U522" s="84">
        <f t="shared" si="83"/>
        <v>0</v>
      </c>
      <c r="V522" s="84">
        <f t="shared" si="84"/>
        <v>0</v>
      </c>
      <c r="W522" s="84">
        <v>0</v>
      </c>
      <c r="X522" s="255">
        <f t="shared" si="85"/>
        <v>46153</v>
      </c>
    </row>
    <row r="523" spans="1:24" s="118" customFormat="1" hidden="1" x14ac:dyDescent="0.35">
      <c r="A523" s="71">
        <f t="shared" si="86"/>
        <v>46153</v>
      </c>
      <c r="B523" s="71"/>
      <c r="C523" s="71"/>
      <c r="D523" s="71"/>
      <c r="E523" s="119" t="s">
        <v>134</v>
      </c>
      <c r="F523" s="48" t="s">
        <v>988</v>
      </c>
      <c r="G523" s="48"/>
      <c r="H523" s="59" t="s">
        <v>989</v>
      </c>
      <c r="I523" s="99" t="s">
        <v>488</v>
      </c>
      <c r="J523" s="100" t="s">
        <v>140</v>
      </c>
      <c r="K523" s="84">
        <v>0</v>
      </c>
      <c r="L523" s="84">
        <v>0</v>
      </c>
      <c r="M523" s="83">
        <v>65</v>
      </c>
      <c r="N523" s="223">
        <v>300</v>
      </c>
      <c r="O523" s="314">
        <v>1</v>
      </c>
      <c r="P523" s="223">
        <f t="shared" si="87"/>
        <v>300</v>
      </c>
      <c r="Q523" s="223"/>
      <c r="R523" s="83">
        <v>300</v>
      </c>
      <c r="S523" s="83">
        <f t="shared" si="81"/>
        <v>0</v>
      </c>
      <c r="T523" s="315">
        <f t="shared" si="82"/>
        <v>1329.2307692307693</v>
      </c>
      <c r="U523" s="84">
        <f t="shared" si="83"/>
        <v>0</v>
      </c>
      <c r="V523" s="84">
        <f t="shared" si="84"/>
        <v>0</v>
      </c>
      <c r="W523" s="84">
        <v>0</v>
      </c>
      <c r="X523" s="255">
        <f t="shared" si="85"/>
        <v>46153</v>
      </c>
    </row>
    <row r="524" spans="1:24" s="118" customFormat="1" ht="43.5" hidden="1" x14ac:dyDescent="0.35">
      <c r="A524" s="71">
        <f t="shared" si="86"/>
        <v>46153</v>
      </c>
      <c r="B524" s="71"/>
      <c r="C524" s="71"/>
      <c r="D524" s="71"/>
      <c r="E524" s="119" t="s">
        <v>134</v>
      </c>
      <c r="F524" s="48" t="s">
        <v>990</v>
      </c>
      <c r="G524" s="48"/>
      <c r="H524" s="49" t="s">
        <v>991</v>
      </c>
      <c r="I524" s="99" t="s">
        <v>480</v>
      </c>
      <c r="J524" s="100" t="s">
        <v>140</v>
      </c>
      <c r="K524" s="84">
        <v>0</v>
      </c>
      <c r="L524" s="84">
        <v>0</v>
      </c>
      <c r="M524" s="83">
        <v>65</v>
      </c>
      <c r="N524" s="223">
        <v>120</v>
      </c>
      <c r="O524" s="314">
        <v>1</v>
      </c>
      <c r="P524" s="223">
        <f t="shared" si="87"/>
        <v>120</v>
      </c>
      <c r="Q524" s="223"/>
      <c r="R524" s="83">
        <v>120</v>
      </c>
      <c r="S524" s="83">
        <f t="shared" si="81"/>
        <v>0</v>
      </c>
      <c r="T524" s="315">
        <f t="shared" si="82"/>
        <v>1329.2307692307693</v>
      </c>
      <c r="U524" s="84">
        <f t="shared" si="83"/>
        <v>0</v>
      </c>
      <c r="V524" s="84">
        <f t="shared" si="84"/>
        <v>0</v>
      </c>
      <c r="W524" s="84">
        <v>0</v>
      </c>
      <c r="X524" s="255">
        <f t="shared" si="85"/>
        <v>46153</v>
      </c>
    </row>
    <row r="525" spans="1:24" s="118" customFormat="1" hidden="1" x14ac:dyDescent="0.35">
      <c r="A525" s="71">
        <f t="shared" si="86"/>
        <v>46153</v>
      </c>
      <c r="B525" s="71"/>
      <c r="C525" s="71"/>
      <c r="D525" s="71"/>
      <c r="E525" s="119" t="s">
        <v>134</v>
      </c>
      <c r="F525" s="48" t="s">
        <v>992</v>
      </c>
      <c r="G525" s="48"/>
      <c r="H525" s="49" t="s">
        <v>993</v>
      </c>
      <c r="I525" s="99" t="s">
        <v>493</v>
      </c>
      <c r="J525" s="100" t="s">
        <v>140</v>
      </c>
      <c r="K525" s="84">
        <v>0</v>
      </c>
      <c r="L525" s="84">
        <v>0</v>
      </c>
      <c r="M525" s="83">
        <v>65</v>
      </c>
      <c r="N525" s="223">
        <v>400</v>
      </c>
      <c r="O525" s="314">
        <v>1</v>
      </c>
      <c r="P525" s="223">
        <f t="shared" si="87"/>
        <v>400</v>
      </c>
      <c r="Q525" s="223"/>
      <c r="R525" s="83">
        <v>400</v>
      </c>
      <c r="S525" s="83">
        <f t="shared" si="81"/>
        <v>0</v>
      </c>
      <c r="T525" s="315">
        <f t="shared" si="82"/>
        <v>1329.2307692307693</v>
      </c>
      <c r="U525" s="84">
        <f t="shared" si="83"/>
        <v>0</v>
      </c>
      <c r="V525" s="84">
        <f t="shared" si="84"/>
        <v>0</v>
      </c>
      <c r="W525" s="84">
        <v>0</v>
      </c>
      <c r="X525" s="255">
        <f t="shared" si="85"/>
        <v>46153</v>
      </c>
    </row>
    <row r="526" spans="1:24" s="118" customFormat="1" hidden="1" x14ac:dyDescent="0.35">
      <c r="A526" s="71">
        <f t="shared" si="86"/>
        <v>46153</v>
      </c>
      <c r="B526" s="71"/>
      <c r="C526" s="71"/>
      <c r="D526" s="71"/>
      <c r="E526" s="119" t="s">
        <v>134</v>
      </c>
      <c r="F526" s="48" t="s">
        <v>984</v>
      </c>
      <c r="G526" s="48"/>
      <c r="H526" s="49" t="s">
        <v>994</v>
      </c>
      <c r="I526" s="99" t="s">
        <v>483</v>
      </c>
      <c r="J526" s="100" t="s">
        <v>140</v>
      </c>
      <c r="K526" s="84">
        <v>0</v>
      </c>
      <c r="L526" s="84">
        <v>0</v>
      </c>
      <c r="M526" s="83">
        <v>65</v>
      </c>
      <c r="N526" s="223">
        <v>325</v>
      </c>
      <c r="O526" s="314">
        <v>1</v>
      </c>
      <c r="P526" s="223">
        <f t="shared" si="87"/>
        <v>325</v>
      </c>
      <c r="Q526" s="223"/>
      <c r="R526" s="83">
        <v>325</v>
      </c>
      <c r="S526" s="83">
        <f t="shared" si="81"/>
        <v>0</v>
      </c>
      <c r="T526" s="315">
        <f t="shared" si="82"/>
        <v>1329.2307692307693</v>
      </c>
      <c r="U526" s="84">
        <f t="shared" si="83"/>
        <v>0</v>
      </c>
      <c r="V526" s="84">
        <f t="shared" si="84"/>
        <v>0</v>
      </c>
      <c r="W526" s="84">
        <v>0</v>
      </c>
      <c r="X526" s="255">
        <f t="shared" si="85"/>
        <v>46153</v>
      </c>
    </row>
    <row r="527" spans="1:24" s="118" customFormat="1" hidden="1" x14ac:dyDescent="0.35">
      <c r="A527" s="71">
        <f t="shared" si="86"/>
        <v>46153</v>
      </c>
      <c r="B527" s="71"/>
      <c r="C527" s="71"/>
      <c r="D527" s="71"/>
      <c r="E527" s="119" t="s">
        <v>134</v>
      </c>
      <c r="F527" s="48" t="s">
        <v>995</v>
      </c>
      <c r="G527" s="48"/>
      <c r="H527" s="49" t="s">
        <v>996</v>
      </c>
      <c r="I527" s="99" t="s">
        <v>495</v>
      </c>
      <c r="J527" s="100" t="s">
        <v>140</v>
      </c>
      <c r="K527" s="84">
        <v>0</v>
      </c>
      <c r="L527" s="84">
        <v>0</v>
      </c>
      <c r="M527" s="83">
        <v>65</v>
      </c>
      <c r="N527" s="223">
        <v>600</v>
      </c>
      <c r="O527" s="314">
        <v>1</v>
      </c>
      <c r="P527" s="223">
        <f t="shared" si="87"/>
        <v>600</v>
      </c>
      <c r="Q527" s="223"/>
      <c r="R527" s="83">
        <v>600</v>
      </c>
      <c r="S527" s="83">
        <f t="shared" si="81"/>
        <v>0</v>
      </c>
      <c r="T527" s="315">
        <f t="shared" si="82"/>
        <v>1329.2307692307693</v>
      </c>
      <c r="U527" s="84">
        <f t="shared" si="83"/>
        <v>0</v>
      </c>
      <c r="V527" s="84">
        <f t="shared" si="84"/>
        <v>0</v>
      </c>
      <c r="W527" s="84">
        <v>0</v>
      </c>
      <c r="X527" s="255">
        <f t="shared" si="85"/>
        <v>46153</v>
      </c>
    </row>
    <row r="528" spans="1:24" s="118" customFormat="1" ht="26.5" hidden="1" x14ac:dyDescent="0.35">
      <c r="A528" s="71">
        <f t="shared" si="86"/>
        <v>46153</v>
      </c>
      <c r="B528" s="71"/>
      <c r="C528" s="71"/>
      <c r="D528" s="71"/>
      <c r="E528" s="119" t="s">
        <v>134</v>
      </c>
      <c r="F528" s="62" t="s">
        <v>997</v>
      </c>
      <c r="G528" s="62"/>
      <c r="H528" s="319" t="s">
        <v>998</v>
      </c>
      <c r="I528" s="71" t="s">
        <v>999</v>
      </c>
      <c r="J528" s="100" t="s">
        <v>140</v>
      </c>
      <c r="K528" s="84">
        <v>0</v>
      </c>
      <c r="L528" s="84">
        <v>0</v>
      </c>
      <c r="M528" s="83">
        <v>270</v>
      </c>
      <c r="N528" s="317">
        <v>1500</v>
      </c>
      <c r="O528" s="314">
        <v>1</v>
      </c>
      <c r="P528" s="223">
        <f t="shared" si="87"/>
        <v>1500</v>
      </c>
      <c r="Q528" s="223"/>
      <c r="R528" s="318">
        <v>1500</v>
      </c>
      <c r="S528" s="83">
        <f t="shared" si="81"/>
        <v>0</v>
      </c>
      <c r="T528" s="315">
        <f t="shared" si="82"/>
        <v>320</v>
      </c>
      <c r="U528" s="84">
        <f t="shared" si="83"/>
        <v>0</v>
      </c>
      <c r="V528" s="84">
        <f t="shared" si="84"/>
        <v>0</v>
      </c>
      <c r="W528" s="84">
        <v>0</v>
      </c>
      <c r="X528" s="255">
        <f t="shared" si="85"/>
        <v>46153</v>
      </c>
    </row>
    <row r="529" spans="1:24" s="118" customFormat="1" hidden="1" x14ac:dyDescent="0.35">
      <c r="A529" s="71">
        <f t="shared" si="86"/>
        <v>46153</v>
      </c>
      <c r="B529" s="71"/>
      <c r="C529" s="71"/>
      <c r="D529" s="71"/>
      <c r="E529" s="119" t="s">
        <v>134</v>
      </c>
      <c r="F529" s="48" t="s">
        <v>1000</v>
      </c>
      <c r="G529" s="48"/>
      <c r="H529" s="63" t="s">
        <v>1001</v>
      </c>
      <c r="I529" s="69" t="s">
        <v>1002</v>
      </c>
      <c r="J529" s="100" t="s">
        <v>140</v>
      </c>
      <c r="K529" s="84">
        <v>0</v>
      </c>
      <c r="L529" s="84">
        <v>0</v>
      </c>
      <c r="M529" s="83">
        <v>100</v>
      </c>
      <c r="N529" s="320">
        <v>216</v>
      </c>
      <c r="O529" s="314">
        <v>1</v>
      </c>
      <c r="P529" s="223">
        <f t="shared" si="87"/>
        <v>216</v>
      </c>
      <c r="Q529" s="223"/>
      <c r="R529" s="84">
        <v>216</v>
      </c>
      <c r="S529" s="83">
        <f t="shared" si="81"/>
        <v>0</v>
      </c>
      <c r="T529" s="315">
        <f t="shared" si="82"/>
        <v>864</v>
      </c>
      <c r="U529" s="84">
        <f t="shared" si="83"/>
        <v>0</v>
      </c>
      <c r="V529" s="84">
        <f t="shared" si="84"/>
        <v>0</v>
      </c>
      <c r="W529" s="84">
        <v>0</v>
      </c>
      <c r="X529" s="255">
        <f t="shared" si="85"/>
        <v>46153</v>
      </c>
    </row>
    <row r="530" spans="1:24" s="118" customFormat="1" ht="26.5" hidden="1" x14ac:dyDescent="0.35">
      <c r="A530" s="71">
        <f t="shared" si="86"/>
        <v>46153</v>
      </c>
      <c r="B530" s="71"/>
      <c r="C530" s="71"/>
      <c r="D530" s="71"/>
      <c r="E530" s="119" t="s">
        <v>134</v>
      </c>
      <c r="F530" s="48" t="s">
        <v>1000</v>
      </c>
      <c r="G530" s="48"/>
      <c r="H530" s="63" t="s">
        <v>1003</v>
      </c>
      <c r="I530" s="69" t="s">
        <v>1004</v>
      </c>
      <c r="J530" s="100" t="s">
        <v>140</v>
      </c>
      <c r="K530" s="84">
        <v>0</v>
      </c>
      <c r="L530" s="84">
        <v>0</v>
      </c>
      <c r="M530" s="83">
        <v>100</v>
      </c>
      <c r="N530" s="320">
        <v>216</v>
      </c>
      <c r="O530" s="314">
        <v>1</v>
      </c>
      <c r="P530" s="223">
        <f t="shared" si="87"/>
        <v>216</v>
      </c>
      <c r="Q530" s="223"/>
      <c r="R530" s="84">
        <v>216</v>
      </c>
      <c r="S530" s="83">
        <f t="shared" si="81"/>
        <v>0</v>
      </c>
      <c r="T530" s="315">
        <f t="shared" si="82"/>
        <v>864</v>
      </c>
      <c r="U530" s="84">
        <f t="shared" si="83"/>
        <v>0</v>
      </c>
      <c r="V530" s="84">
        <f t="shared" si="84"/>
        <v>0</v>
      </c>
      <c r="W530" s="84">
        <v>0</v>
      </c>
      <c r="X530" s="255">
        <f t="shared" si="85"/>
        <v>46153</v>
      </c>
    </row>
    <row r="531" spans="1:24" s="118" customFormat="1" hidden="1" x14ac:dyDescent="0.35">
      <c r="A531" s="71">
        <f t="shared" si="86"/>
        <v>46153</v>
      </c>
      <c r="B531" s="71"/>
      <c r="C531" s="71"/>
      <c r="D531" s="71"/>
      <c r="E531" s="119" t="s">
        <v>134</v>
      </c>
      <c r="F531" s="48" t="s">
        <v>460</v>
      </c>
      <c r="G531" s="48"/>
      <c r="H531" s="49" t="s">
        <v>461</v>
      </c>
      <c r="I531" s="82" t="s">
        <v>191</v>
      </c>
      <c r="J531" s="100" t="s">
        <v>140</v>
      </c>
      <c r="K531" s="84">
        <v>0</v>
      </c>
      <c r="L531" s="84">
        <v>0</v>
      </c>
      <c r="M531" s="83">
        <v>67</v>
      </c>
      <c r="N531" s="223">
        <v>410</v>
      </c>
      <c r="O531" s="314">
        <v>1</v>
      </c>
      <c r="P531" s="223">
        <f t="shared" si="87"/>
        <v>410</v>
      </c>
      <c r="Q531" s="223"/>
      <c r="R531" s="83">
        <v>410</v>
      </c>
      <c r="S531" s="83">
        <f t="shared" si="81"/>
        <v>0</v>
      </c>
      <c r="T531" s="315">
        <f t="shared" si="82"/>
        <v>1289.5522388059703</v>
      </c>
      <c r="U531" s="84">
        <f t="shared" si="83"/>
        <v>0</v>
      </c>
      <c r="V531" s="84">
        <f t="shared" si="84"/>
        <v>0</v>
      </c>
      <c r="W531" s="84">
        <v>0</v>
      </c>
      <c r="X531" s="255">
        <f t="shared" si="85"/>
        <v>46153</v>
      </c>
    </row>
    <row r="532" spans="1:24" s="118" customFormat="1" hidden="1" x14ac:dyDescent="0.35">
      <c r="A532" s="71">
        <f t="shared" si="86"/>
        <v>46153</v>
      </c>
      <c r="B532" s="71"/>
      <c r="C532" s="71"/>
      <c r="D532" s="71"/>
      <c r="E532" s="119" t="s">
        <v>134</v>
      </c>
      <c r="F532" s="48" t="s">
        <v>460</v>
      </c>
      <c r="G532" s="48"/>
      <c r="H532" s="49" t="s">
        <v>461</v>
      </c>
      <c r="I532" s="82" t="s">
        <v>191</v>
      </c>
      <c r="J532" s="100" t="s">
        <v>140</v>
      </c>
      <c r="K532" s="84">
        <v>0</v>
      </c>
      <c r="L532" s="84">
        <v>0</v>
      </c>
      <c r="M532" s="83">
        <v>67</v>
      </c>
      <c r="N532" s="223">
        <v>1685</v>
      </c>
      <c r="O532" s="314">
        <v>1</v>
      </c>
      <c r="P532" s="223">
        <f t="shared" si="87"/>
        <v>1685</v>
      </c>
      <c r="Q532" s="223"/>
      <c r="R532" s="83">
        <v>1685</v>
      </c>
      <c r="S532" s="83">
        <f t="shared" si="81"/>
        <v>0</v>
      </c>
      <c r="T532" s="315">
        <f t="shared" si="82"/>
        <v>1289.5522388059703</v>
      </c>
      <c r="U532" s="84">
        <f t="shared" si="83"/>
        <v>0</v>
      </c>
      <c r="V532" s="84">
        <f t="shared" si="84"/>
        <v>0</v>
      </c>
      <c r="W532" s="84">
        <v>0</v>
      </c>
      <c r="X532" s="255">
        <f t="shared" si="85"/>
        <v>46153</v>
      </c>
    </row>
    <row r="533" spans="1:24" s="118" customFormat="1" hidden="1" x14ac:dyDescent="0.35">
      <c r="A533" s="71">
        <f t="shared" si="86"/>
        <v>46153</v>
      </c>
      <c r="B533" s="71"/>
      <c r="C533" s="71"/>
      <c r="D533" s="71"/>
      <c r="E533" s="119" t="s">
        <v>134</v>
      </c>
      <c r="F533" s="48" t="s">
        <v>460</v>
      </c>
      <c r="G533" s="48"/>
      <c r="H533" s="49" t="s">
        <v>466</v>
      </c>
      <c r="I533" s="82" t="s">
        <v>277</v>
      </c>
      <c r="J533" s="100" t="s">
        <v>140</v>
      </c>
      <c r="K533" s="84">
        <v>0</v>
      </c>
      <c r="L533" s="84">
        <v>0</v>
      </c>
      <c r="M533" s="83">
        <v>67</v>
      </c>
      <c r="N533" s="223">
        <v>1050</v>
      </c>
      <c r="O533" s="314">
        <v>1</v>
      </c>
      <c r="P533" s="223">
        <f t="shared" si="87"/>
        <v>1050</v>
      </c>
      <c r="Q533" s="223"/>
      <c r="R533" s="83">
        <v>1050</v>
      </c>
      <c r="S533" s="83">
        <f t="shared" si="81"/>
        <v>0</v>
      </c>
      <c r="T533" s="315">
        <f t="shared" si="82"/>
        <v>1289.5522388059703</v>
      </c>
      <c r="U533" s="84">
        <f t="shared" si="83"/>
        <v>0</v>
      </c>
      <c r="V533" s="84">
        <f t="shared" si="84"/>
        <v>0</v>
      </c>
      <c r="W533" s="84">
        <v>0</v>
      </c>
      <c r="X533" s="255">
        <f t="shared" si="85"/>
        <v>46153</v>
      </c>
    </row>
    <row r="534" spans="1:24" s="118" customFormat="1" hidden="1" x14ac:dyDescent="0.35">
      <c r="A534" s="71">
        <f t="shared" si="86"/>
        <v>46153</v>
      </c>
      <c r="B534" s="71"/>
      <c r="C534" s="71"/>
      <c r="D534" s="71"/>
      <c r="E534" s="119" t="s">
        <v>134</v>
      </c>
      <c r="F534" s="48" t="s">
        <v>460</v>
      </c>
      <c r="G534" s="48"/>
      <c r="H534" s="49" t="s">
        <v>464</v>
      </c>
      <c r="I534" s="82" t="s">
        <v>191</v>
      </c>
      <c r="J534" s="100" t="s">
        <v>140</v>
      </c>
      <c r="K534" s="84">
        <v>0</v>
      </c>
      <c r="L534" s="84">
        <v>0</v>
      </c>
      <c r="M534" s="83">
        <v>67</v>
      </c>
      <c r="N534" s="223">
        <v>1050</v>
      </c>
      <c r="O534" s="314">
        <v>1</v>
      </c>
      <c r="P534" s="223">
        <f t="shared" si="87"/>
        <v>1050</v>
      </c>
      <c r="Q534" s="223"/>
      <c r="R534" s="83">
        <v>1050</v>
      </c>
      <c r="S534" s="83">
        <f t="shared" si="81"/>
        <v>0</v>
      </c>
      <c r="T534" s="315">
        <f t="shared" si="82"/>
        <v>1289.5522388059703</v>
      </c>
      <c r="U534" s="84">
        <f t="shared" si="83"/>
        <v>0</v>
      </c>
      <c r="V534" s="84">
        <f t="shared" si="84"/>
        <v>0</v>
      </c>
      <c r="W534" s="84">
        <v>0</v>
      </c>
      <c r="X534" s="255">
        <f t="shared" si="85"/>
        <v>46153</v>
      </c>
    </row>
    <row r="535" spans="1:24" s="118" customFormat="1" hidden="1" x14ac:dyDescent="0.35">
      <c r="A535" s="71">
        <f t="shared" si="86"/>
        <v>46153</v>
      </c>
      <c r="B535" s="71"/>
      <c r="C535" s="71"/>
      <c r="D535" s="71"/>
      <c r="E535" s="119" t="s">
        <v>134</v>
      </c>
      <c r="F535" s="48" t="s">
        <v>1005</v>
      </c>
      <c r="G535" s="48"/>
      <c r="H535" s="49" t="s">
        <v>1006</v>
      </c>
      <c r="I535" s="82" t="s">
        <v>191</v>
      </c>
      <c r="J535" s="100" t="s">
        <v>140</v>
      </c>
      <c r="K535" s="84">
        <v>0</v>
      </c>
      <c r="L535" s="84">
        <v>0</v>
      </c>
      <c r="M535" s="83">
        <v>67</v>
      </c>
      <c r="N535" s="223">
        <v>3780</v>
      </c>
      <c r="O535" s="314">
        <v>1</v>
      </c>
      <c r="P535" s="223">
        <f t="shared" si="87"/>
        <v>3780</v>
      </c>
      <c r="Q535" s="223"/>
      <c r="R535" s="83">
        <v>3780</v>
      </c>
      <c r="S535" s="83">
        <f t="shared" si="81"/>
        <v>0</v>
      </c>
      <c r="T535" s="315">
        <f t="shared" si="82"/>
        <v>1289.5522388059703</v>
      </c>
      <c r="U535" s="84">
        <f t="shared" si="83"/>
        <v>0</v>
      </c>
      <c r="V535" s="84">
        <f t="shared" si="84"/>
        <v>0</v>
      </c>
      <c r="W535" s="84">
        <v>0</v>
      </c>
      <c r="X535" s="255">
        <f t="shared" si="85"/>
        <v>46153</v>
      </c>
    </row>
    <row r="536" spans="1:24" s="118" customFormat="1" hidden="1" x14ac:dyDescent="0.35">
      <c r="A536" s="71">
        <f t="shared" si="86"/>
        <v>46153</v>
      </c>
      <c r="B536" s="71"/>
      <c r="C536" s="71"/>
      <c r="D536" s="71"/>
      <c r="E536" s="119" t="s">
        <v>134</v>
      </c>
      <c r="F536" s="48" t="s">
        <v>1005</v>
      </c>
      <c r="G536" s="48"/>
      <c r="H536" s="49" t="s">
        <v>1007</v>
      </c>
      <c r="I536" s="82" t="s">
        <v>274</v>
      </c>
      <c r="J536" s="100" t="s">
        <v>140</v>
      </c>
      <c r="K536" s="84">
        <v>0</v>
      </c>
      <c r="L536" s="84">
        <v>0</v>
      </c>
      <c r="M536" s="83">
        <v>67</v>
      </c>
      <c r="N536" s="223">
        <v>1680</v>
      </c>
      <c r="O536" s="314">
        <v>1</v>
      </c>
      <c r="P536" s="223">
        <f t="shared" si="87"/>
        <v>1680</v>
      </c>
      <c r="Q536" s="223"/>
      <c r="R536" s="83">
        <v>1680</v>
      </c>
      <c r="S536" s="83">
        <f t="shared" si="81"/>
        <v>0</v>
      </c>
      <c r="T536" s="315">
        <f t="shared" si="82"/>
        <v>1289.5522388059703</v>
      </c>
      <c r="U536" s="84">
        <f t="shared" si="83"/>
        <v>0</v>
      </c>
      <c r="V536" s="84">
        <f t="shared" si="84"/>
        <v>0</v>
      </c>
      <c r="W536" s="84">
        <v>0</v>
      </c>
      <c r="X536" s="255">
        <f t="shared" si="85"/>
        <v>46153</v>
      </c>
    </row>
    <row r="537" spans="1:24" s="118" customFormat="1" hidden="1" x14ac:dyDescent="0.35">
      <c r="A537" s="71">
        <f t="shared" si="86"/>
        <v>46153</v>
      </c>
      <c r="B537" s="71"/>
      <c r="C537" s="71"/>
      <c r="D537" s="71"/>
      <c r="E537" s="119" t="s">
        <v>134</v>
      </c>
      <c r="F537" s="48" t="s">
        <v>1005</v>
      </c>
      <c r="G537" s="48"/>
      <c r="H537" s="49" t="s">
        <v>1008</v>
      </c>
      <c r="I537" s="82" t="s">
        <v>380</v>
      </c>
      <c r="J537" s="100" t="s">
        <v>140</v>
      </c>
      <c r="K537" s="84">
        <v>0</v>
      </c>
      <c r="L537" s="84">
        <v>0</v>
      </c>
      <c r="M537" s="83">
        <v>67</v>
      </c>
      <c r="N537" s="223">
        <v>210</v>
      </c>
      <c r="O537" s="314">
        <v>1</v>
      </c>
      <c r="P537" s="223">
        <f t="shared" si="87"/>
        <v>210</v>
      </c>
      <c r="Q537" s="223"/>
      <c r="R537" s="83">
        <v>210</v>
      </c>
      <c r="S537" s="83">
        <f t="shared" si="81"/>
        <v>0</v>
      </c>
      <c r="T537" s="315">
        <f t="shared" si="82"/>
        <v>1289.5522388059703</v>
      </c>
      <c r="U537" s="84">
        <f t="shared" si="83"/>
        <v>0</v>
      </c>
      <c r="V537" s="84">
        <f t="shared" si="84"/>
        <v>0</v>
      </c>
      <c r="W537" s="84">
        <v>0</v>
      </c>
      <c r="X537" s="255">
        <f t="shared" si="85"/>
        <v>46153</v>
      </c>
    </row>
    <row r="538" spans="1:24" s="118" customFormat="1" hidden="1" x14ac:dyDescent="0.35">
      <c r="A538" s="71">
        <f t="shared" si="86"/>
        <v>46153</v>
      </c>
      <c r="B538" s="71"/>
      <c r="C538" s="71"/>
      <c r="D538" s="71"/>
      <c r="E538" s="119" t="s">
        <v>134</v>
      </c>
      <c r="F538" s="48" t="s">
        <v>1005</v>
      </c>
      <c r="G538" s="48"/>
      <c r="H538" s="49" t="s">
        <v>1009</v>
      </c>
      <c r="I538" s="82" t="s">
        <v>409</v>
      </c>
      <c r="J538" s="100" t="s">
        <v>140</v>
      </c>
      <c r="K538" s="84">
        <v>0</v>
      </c>
      <c r="L538" s="84">
        <v>0</v>
      </c>
      <c r="M538" s="83">
        <v>67</v>
      </c>
      <c r="N538" s="321">
        <v>210</v>
      </c>
      <c r="O538" s="314">
        <v>1</v>
      </c>
      <c r="P538" s="223">
        <f t="shared" si="87"/>
        <v>210</v>
      </c>
      <c r="Q538" s="223"/>
      <c r="R538" s="68">
        <v>210</v>
      </c>
      <c r="S538" s="83">
        <f t="shared" si="81"/>
        <v>0</v>
      </c>
      <c r="T538" s="315">
        <f t="shared" si="82"/>
        <v>1289.5522388059703</v>
      </c>
      <c r="U538" s="84">
        <f t="shared" si="83"/>
        <v>0</v>
      </c>
      <c r="V538" s="84">
        <f t="shared" si="84"/>
        <v>0</v>
      </c>
      <c r="W538" s="84">
        <v>0</v>
      </c>
      <c r="X538" s="255">
        <f t="shared" si="85"/>
        <v>46153</v>
      </c>
    </row>
    <row r="539" spans="1:24" s="118" customFormat="1" hidden="1" x14ac:dyDescent="0.35">
      <c r="A539" s="71">
        <f t="shared" si="86"/>
        <v>46153</v>
      </c>
      <c r="B539" s="71"/>
      <c r="C539" s="71"/>
      <c r="D539" s="71"/>
      <c r="E539" s="119" t="s">
        <v>134</v>
      </c>
      <c r="F539" s="48" t="s">
        <v>1005</v>
      </c>
      <c r="G539" s="48"/>
      <c r="H539" s="49" t="s">
        <v>1010</v>
      </c>
      <c r="I539" s="82" t="s">
        <v>277</v>
      </c>
      <c r="J539" s="100" t="s">
        <v>140</v>
      </c>
      <c r="K539" s="84">
        <v>0</v>
      </c>
      <c r="L539" s="84">
        <v>0</v>
      </c>
      <c r="M539" s="83">
        <v>67</v>
      </c>
      <c r="N539" s="321">
        <v>420</v>
      </c>
      <c r="O539" s="314">
        <v>1</v>
      </c>
      <c r="P539" s="223">
        <f t="shared" si="87"/>
        <v>420</v>
      </c>
      <c r="Q539" s="223"/>
      <c r="R539" s="68">
        <v>420</v>
      </c>
      <c r="S539" s="83">
        <v>0</v>
      </c>
      <c r="T539" s="315">
        <f t="shared" si="82"/>
        <v>1289.5522388059703</v>
      </c>
      <c r="U539" s="84">
        <f t="shared" si="83"/>
        <v>0</v>
      </c>
      <c r="V539" s="84">
        <f t="shared" si="84"/>
        <v>0</v>
      </c>
      <c r="W539" s="84">
        <v>0</v>
      </c>
      <c r="X539" s="255">
        <f t="shared" si="85"/>
        <v>46153</v>
      </c>
    </row>
    <row r="540" spans="1:24" s="118" customFormat="1" hidden="1" x14ac:dyDescent="0.35">
      <c r="A540" s="71">
        <f t="shared" si="86"/>
        <v>46153</v>
      </c>
      <c r="B540" s="71"/>
      <c r="C540" s="71"/>
      <c r="D540" s="71"/>
      <c r="E540" s="119" t="s">
        <v>134</v>
      </c>
      <c r="F540" s="48" t="s">
        <v>1005</v>
      </c>
      <c r="G540" s="48"/>
      <c r="H540" s="49" t="s">
        <v>1011</v>
      </c>
      <c r="I540" s="71" t="s">
        <v>1012</v>
      </c>
      <c r="J540" s="100" t="s">
        <v>140</v>
      </c>
      <c r="K540" s="84">
        <v>0</v>
      </c>
      <c r="L540" s="84">
        <v>0</v>
      </c>
      <c r="M540" s="83">
        <v>67</v>
      </c>
      <c r="N540" s="317">
        <v>420</v>
      </c>
      <c r="O540" s="314">
        <v>1</v>
      </c>
      <c r="P540" s="223">
        <f t="shared" si="87"/>
        <v>420</v>
      </c>
      <c r="Q540" s="223"/>
      <c r="R540" s="318">
        <v>420</v>
      </c>
      <c r="S540" s="83">
        <f t="shared" ref="S540:S603" si="88">P540-R540</f>
        <v>0</v>
      </c>
      <c r="T540" s="315">
        <f t="shared" si="82"/>
        <v>1289.5522388059703</v>
      </c>
      <c r="U540" s="84">
        <f t="shared" si="83"/>
        <v>0</v>
      </c>
      <c r="V540" s="84">
        <f t="shared" si="84"/>
        <v>0</v>
      </c>
      <c r="W540" s="84">
        <v>0</v>
      </c>
      <c r="X540" s="255">
        <f t="shared" si="85"/>
        <v>46153</v>
      </c>
    </row>
    <row r="541" spans="1:24" s="118" customFormat="1" hidden="1" x14ac:dyDescent="0.35">
      <c r="A541" s="71">
        <f t="shared" si="86"/>
        <v>46153</v>
      </c>
      <c r="B541" s="71"/>
      <c r="C541" s="71"/>
      <c r="D541" s="71"/>
      <c r="E541" s="119" t="s">
        <v>134</v>
      </c>
      <c r="F541" s="48" t="s">
        <v>1005</v>
      </c>
      <c r="G541" s="48"/>
      <c r="H541" s="49" t="s">
        <v>1013</v>
      </c>
      <c r="I541" s="71" t="s">
        <v>1014</v>
      </c>
      <c r="J541" s="100" t="s">
        <v>140</v>
      </c>
      <c r="K541" s="84">
        <v>0</v>
      </c>
      <c r="L541" s="84">
        <v>0</v>
      </c>
      <c r="M541" s="83">
        <v>67</v>
      </c>
      <c r="N541" s="317">
        <v>3150</v>
      </c>
      <c r="O541" s="314">
        <v>1</v>
      </c>
      <c r="P541" s="223">
        <f t="shared" si="87"/>
        <v>3150</v>
      </c>
      <c r="Q541" s="223"/>
      <c r="R541" s="318">
        <v>3150</v>
      </c>
      <c r="S541" s="83">
        <f t="shared" si="88"/>
        <v>0</v>
      </c>
      <c r="T541" s="315">
        <f t="shared" si="82"/>
        <v>1289.5522388059703</v>
      </c>
      <c r="U541" s="84">
        <f t="shared" si="83"/>
        <v>0</v>
      </c>
      <c r="V541" s="84">
        <f t="shared" si="84"/>
        <v>0</v>
      </c>
      <c r="W541" s="84">
        <v>0</v>
      </c>
      <c r="X541" s="255">
        <f t="shared" si="85"/>
        <v>46153</v>
      </c>
    </row>
    <row r="542" spans="1:24" s="118" customFormat="1" ht="26.5" hidden="1" x14ac:dyDescent="0.35">
      <c r="A542" s="71">
        <f t="shared" si="86"/>
        <v>46153</v>
      </c>
      <c r="B542" s="71"/>
      <c r="C542" s="71"/>
      <c r="D542" s="71"/>
      <c r="E542" s="119" t="s">
        <v>134</v>
      </c>
      <c r="F542" s="48" t="s">
        <v>1015</v>
      </c>
      <c r="G542" s="48"/>
      <c r="H542" s="59" t="s">
        <v>1016</v>
      </c>
      <c r="I542" s="71" t="s">
        <v>999</v>
      </c>
      <c r="J542" s="100" t="s">
        <v>140</v>
      </c>
      <c r="K542" s="84">
        <v>0</v>
      </c>
      <c r="L542" s="84">
        <v>0</v>
      </c>
      <c r="M542" s="83">
        <v>270</v>
      </c>
      <c r="N542" s="317">
        <v>2000</v>
      </c>
      <c r="O542" s="314">
        <v>1</v>
      </c>
      <c r="P542" s="223">
        <v>2000</v>
      </c>
      <c r="Q542" s="223"/>
      <c r="R542" s="318">
        <v>2000</v>
      </c>
      <c r="S542" s="83">
        <f t="shared" si="88"/>
        <v>0</v>
      </c>
      <c r="T542" s="315">
        <f t="shared" si="82"/>
        <v>320</v>
      </c>
      <c r="U542" s="84">
        <f t="shared" si="83"/>
        <v>0</v>
      </c>
      <c r="V542" s="84">
        <f t="shared" si="84"/>
        <v>0</v>
      </c>
      <c r="W542" s="84">
        <v>0</v>
      </c>
      <c r="X542" s="255">
        <f t="shared" si="85"/>
        <v>46153</v>
      </c>
    </row>
    <row r="543" spans="1:24" s="118" customFormat="1" ht="29" hidden="1" x14ac:dyDescent="0.35">
      <c r="A543" s="71">
        <f t="shared" si="86"/>
        <v>46153</v>
      </c>
      <c r="B543" s="71"/>
      <c r="C543" s="71"/>
      <c r="D543" s="71"/>
      <c r="E543" s="119" t="s">
        <v>134</v>
      </c>
      <c r="F543" s="48" t="s">
        <v>177</v>
      </c>
      <c r="G543" s="48"/>
      <c r="H543" s="59" t="s">
        <v>1017</v>
      </c>
      <c r="I543" s="71" t="s">
        <v>999</v>
      </c>
      <c r="J543" s="100" t="s">
        <v>140</v>
      </c>
      <c r="K543" s="84">
        <v>0</v>
      </c>
      <c r="L543" s="84">
        <v>0</v>
      </c>
      <c r="M543" s="83">
        <v>270</v>
      </c>
      <c r="N543" s="317">
        <v>2000</v>
      </c>
      <c r="O543" s="314">
        <v>1</v>
      </c>
      <c r="P543" s="223">
        <v>2000</v>
      </c>
      <c r="Q543" s="223"/>
      <c r="R543" s="318">
        <v>2000</v>
      </c>
      <c r="S543" s="83">
        <f t="shared" si="88"/>
        <v>0</v>
      </c>
      <c r="T543" s="315">
        <f t="shared" si="82"/>
        <v>320</v>
      </c>
      <c r="U543" s="84">
        <f t="shared" si="83"/>
        <v>0</v>
      </c>
      <c r="V543" s="84">
        <f t="shared" si="84"/>
        <v>0</v>
      </c>
      <c r="W543" s="84">
        <v>0</v>
      </c>
      <c r="X543" s="255">
        <f t="shared" si="85"/>
        <v>46153</v>
      </c>
    </row>
    <row r="544" spans="1:24" s="118" customFormat="1" ht="29" hidden="1" x14ac:dyDescent="0.35">
      <c r="A544" s="71">
        <f t="shared" si="86"/>
        <v>46153</v>
      </c>
      <c r="B544" s="71"/>
      <c r="C544" s="71"/>
      <c r="D544" s="71"/>
      <c r="E544" s="119" t="s">
        <v>134</v>
      </c>
      <c r="F544" s="48" t="s">
        <v>177</v>
      </c>
      <c r="G544" s="48"/>
      <c r="H544" s="49" t="s">
        <v>500</v>
      </c>
      <c r="I544" s="82" t="s">
        <v>191</v>
      </c>
      <c r="J544" s="100" t="s">
        <v>140</v>
      </c>
      <c r="K544" s="84">
        <v>0</v>
      </c>
      <c r="L544" s="84">
        <v>0</v>
      </c>
      <c r="M544" s="83">
        <v>67</v>
      </c>
      <c r="N544" s="223">
        <v>2520</v>
      </c>
      <c r="O544" s="314">
        <v>1</v>
      </c>
      <c r="P544" s="223">
        <f t="shared" ref="P544:P565" si="89">N544/O544</f>
        <v>2520</v>
      </c>
      <c r="Q544" s="223"/>
      <c r="R544" s="83">
        <v>2520</v>
      </c>
      <c r="S544" s="83">
        <f t="shared" si="88"/>
        <v>0</v>
      </c>
      <c r="T544" s="315">
        <f t="shared" si="82"/>
        <v>1289.5522388059703</v>
      </c>
      <c r="U544" s="84">
        <f t="shared" si="83"/>
        <v>0</v>
      </c>
      <c r="V544" s="84">
        <f t="shared" si="84"/>
        <v>0</v>
      </c>
      <c r="W544" s="84">
        <v>0</v>
      </c>
      <c r="X544" s="255">
        <f t="shared" si="85"/>
        <v>46153</v>
      </c>
    </row>
    <row r="545" spans="1:24" s="118" customFormat="1" ht="29" hidden="1" x14ac:dyDescent="0.35">
      <c r="A545" s="71">
        <f t="shared" si="86"/>
        <v>46153</v>
      </c>
      <c r="B545" s="71"/>
      <c r="C545" s="71"/>
      <c r="D545" s="71"/>
      <c r="E545" s="119" t="s">
        <v>134</v>
      </c>
      <c r="F545" s="48" t="s">
        <v>177</v>
      </c>
      <c r="G545" s="48"/>
      <c r="H545" s="49" t="s">
        <v>1018</v>
      </c>
      <c r="I545" s="82" t="s">
        <v>274</v>
      </c>
      <c r="J545" s="100" t="s">
        <v>140</v>
      </c>
      <c r="K545" s="84">
        <v>0</v>
      </c>
      <c r="L545" s="84">
        <v>0</v>
      </c>
      <c r="M545" s="83">
        <v>67</v>
      </c>
      <c r="N545" s="223">
        <v>2100</v>
      </c>
      <c r="O545" s="314">
        <v>1</v>
      </c>
      <c r="P545" s="223">
        <f t="shared" si="89"/>
        <v>2100</v>
      </c>
      <c r="Q545" s="223"/>
      <c r="R545" s="83">
        <v>2100</v>
      </c>
      <c r="S545" s="83">
        <f t="shared" si="88"/>
        <v>0</v>
      </c>
      <c r="T545" s="315">
        <f t="shared" si="82"/>
        <v>1289.5522388059703</v>
      </c>
      <c r="U545" s="84">
        <f t="shared" si="83"/>
        <v>0</v>
      </c>
      <c r="V545" s="84">
        <f t="shared" si="84"/>
        <v>0</v>
      </c>
      <c r="W545" s="84">
        <v>0</v>
      </c>
      <c r="X545" s="255">
        <f t="shared" si="85"/>
        <v>46153</v>
      </c>
    </row>
    <row r="546" spans="1:24" s="118" customFormat="1" ht="29" hidden="1" x14ac:dyDescent="0.35">
      <c r="A546" s="71">
        <f t="shared" si="86"/>
        <v>46153</v>
      </c>
      <c r="B546" s="71"/>
      <c r="C546" s="71"/>
      <c r="D546" s="71"/>
      <c r="E546" s="119" t="s">
        <v>134</v>
      </c>
      <c r="F546" s="48" t="s">
        <v>177</v>
      </c>
      <c r="G546" s="48"/>
      <c r="H546" s="49"/>
      <c r="I546" s="82" t="s">
        <v>380</v>
      </c>
      <c r="J546" s="100" t="s">
        <v>140</v>
      </c>
      <c r="K546" s="84">
        <v>0</v>
      </c>
      <c r="L546" s="84">
        <v>0</v>
      </c>
      <c r="M546" s="83">
        <v>67</v>
      </c>
      <c r="N546" s="223">
        <v>420</v>
      </c>
      <c r="O546" s="314">
        <v>1</v>
      </c>
      <c r="P546" s="223">
        <f t="shared" si="89"/>
        <v>420</v>
      </c>
      <c r="Q546" s="223"/>
      <c r="R546" s="83">
        <v>420</v>
      </c>
      <c r="S546" s="83">
        <f t="shared" si="88"/>
        <v>0</v>
      </c>
      <c r="T546" s="315">
        <f t="shared" si="82"/>
        <v>1289.5522388059703</v>
      </c>
      <c r="U546" s="84">
        <f t="shared" si="83"/>
        <v>0</v>
      </c>
      <c r="V546" s="84">
        <f t="shared" si="84"/>
        <v>0</v>
      </c>
      <c r="W546" s="84">
        <v>0</v>
      </c>
      <c r="X546" s="255">
        <f t="shared" si="85"/>
        <v>46153</v>
      </c>
    </row>
    <row r="547" spans="1:24" s="118" customFormat="1" ht="43.5" hidden="1" x14ac:dyDescent="0.35">
      <c r="A547" s="71">
        <f t="shared" si="86"/>
        <v>46153</v>
      </c>
      <c r="B547" s="71"/>
      <c r="C547" s="71"/>
      <c r="D547" s="71"/>
      <c r="E547" s="119" t="s">
        <v>134</v>
      </c>
      <c r="F547" s="48" t="s">
        <v>1019</v>
      </c>
      <c r="G547" s="48"/>
      <c r="H547" s="49" t="s">
        <v>1020</v>
      </c>
      <c r="I547" s="82" t="s">
        <v>194</v>
      </c>
      <c r="J547" s="100" t="s">
        <v>283</v>
      </c>
      <c r="K547" s="84">
        <v>0</v>
      </c>
      <c r="L547" s="84">
        <v>0</v>
      </c>
      <c r="M547" s="83">
        <v>67</v>
      </c>
      <c r="N547" s="223">
        <v>1080</v>
      </c>
      <c r="O547" s="314">
        <v>1</v>
      </c>
      <c r="P547" s="223">
        <f t="shared" si="89"/>
        <v>1080</v>
      </c>
      <c r="Q547" s="223"/>
      <c r="R547" s="83">
        <v>1080</v>
      </c>
      <c r="S547" s="83">
        <f t="shared" si="88"/>
        <v>0</v>
      </c>
      <c r="T547" s="315">
        <f t="shared" si="82"/>
        <v>1289.5522388059703</v>
      </c>
      <c r="U547" s="84">
        <f t="shared" si="83"/>
        <v>0</v>
      </c>
      <c r="V547" s="84">
        <f t="shared" si="84"/>
        <v>0</v>
      </c>
      <c r="W547" s="84">
        <v>0</v>
      </c>
      <c r="X547" s="255">
        <f t="shared" si="85"/>
        <v>46153</v>
      </c>
    </row>
    <row r="548" spans="1:24" s="118" customFormat="1" hidden="1" x14ac:dyDescent="0.35">
      <c r="A548" s="71">
        <f t="shared" si="86"/>
        <v>46153</v>
      </c>
      <c r="B548" s="71"/>
      <c r="C548" s="71"/>
      <c r="D548" s="71"/>
      <c r="E548" s="119" t="s">
        <v>134</v>
      </c>
      <c r="F548" s="62" t="s">
        <v>1021</v>
      </c>
      <c r="G548" s="62"/>
      <c r="H548" s="49" t="s">
        <v>1022</v>
      </c>
      <c r="I548" s="99" t="s">
        <v>1023</v>
      </c>
      <c r="J548" s="100" t="s">
        <v>140</v>
      </c>
      <c r="K548" s="84">
        <v>0</v>
      </c>
      <c r="L548" s="84">
        <v>0</v>
      </c>
      <c r="M548" s="83">
        <v>90</v>
      </c>
      <c r="N548" s="223">
        <v>5000</v>
      </c>
      <c r="O548" s="314">
        <v>1</v>
      </c>
      <c r="P548" s="223">
        <f t="shared" si="89"/>
        <v>5000</v>
      </c>
      <c r="Q548" s="223"/>
      <c r="R548" s="83">
        <v>5000</v>
      </c>
      <c r="S548" s="83">
        <f t="shared" si="88"/>
        <v>0</v>
      </c>
      <c r="T548" s="315">
        <f t="shared" ref="T548:T611" si="90">((3600/M548)*O548)*24</f>
        <v>960</v>
      </c>
      <c r="U548" s="84">
        <f t="shared" ref="U548:U611" si="91">(P548-R548)*M548/3600</f>
        <v>0</v>
      </c>
      <c r="V548" s="84">
        <f t="shared" ref="V548:V611" si="92">(P548-R548)*M548/3600/24</f>
        <v>0</v>
      </c>
      <c r="W548" s="84">
        <v>0</v>
      </c>
      <c r="X548" s="255">
        <f t="shared" ref="X548:X611" si="93">A548+K548+V548+W548+L548</f>
        <v>46153</v>
      </c>
    </row>
    <row r="549" spans="1:24" s="118" customFormat="1" hidden="1" x14ac:dyDescent="0.35">
      <c r="A549" s="71">
        <f t="shared" ref="A549:A612" si="94">X548</f>
        <v>46153</v>
      </c>
      <c r="B549" s="71"/>
      <c r="C549" s="71"/>
      <c r="D549" s="71"/>
      <c r="E549" s="119" t="s">
        <v>134</v>
      </c>
      <c r="F549" s="48" t="s">
        <v>1024</v>
      </c>
      <c r="G549" s="48"/>
      <c r="H549" s="49" t="s">
        <v>1025</v>
      </c>
      <c r="I549" s="82" t="s">
        <v>108</v>
      </c>
      <c r="J549" s="100" t="s">
        <v>140</v>
      </c>
      <c r="K549" s="84">
        <v>0</v>
      </c>
      <c r="L549" s="84">
        <v>0</v>
      </c>
      <c r="M549" s="83">
        <v>800</v>
      </c>
      <c r="N549" s="223">
        <v>50</v>
      </c>
      <c r="O549" s="314">
        <v>1</v>
      </c>
      <c r="P549" s="223">
        <f t="shared" si="89"/>
        <v>50</v>
      </c>
      <c r="Q549" s="223"/>
      <c r="R549" s="83">
        <v>50</v>
      </c>
      <c r="S549" s="83">
        <f t="shared" si="88"/>
        <v>0</v>
      </c>
      <c r="T549" s="315">
        <f t="shared" si="90"/>
        <v>108</v>
      </c>
      <c r="U549" s="84">
        <f t="shared" si="91"/>
        <v>0</v>
      </c>
      <c r="V549" s="84">
        <f t="shared" si="92"/>
        <v>0</v>
      </c>
      <c r="W549" s="84">
        <v>0</v>
      </c>
      <c r="X549" s="255">
        <f t="shared" si="93"/>
        <v>46153</v>
      </c>
    </row>
    <row r="550" spans="1:24" s="118" customFormat="1" hidden="1" x14ac:dyDescent="0.35">
      <c r="A550" s="71">
        <f t="shared" si="94"/>
        <v>46153</v>
      </c>
      <c r="B550" s="71"/>
      <c r="C550" s="71"/>
      <c r="D550" s="71"/>
      <c r="E550" s="119" t="s">
        <v>134</v>
      </c>
      <c r="F550" s="56" t="s">
        <v>1026</v>
      </c>
      <c r="G550" s="56"/>
      <c r="H550" s="59" t="s">
        <v>1027</v>
      </c>
      <c r="I550" s="82" t="s">
        <v>1028</v>
      </c>
      <c r="J550" s="100" t="s">
        <v>140</v>
      </c>
      <c r="K550" s="84">
        <v>0</v>
      </c>
      <c r="L550" s="84">
        <v>0</v>
      </c>
      <c r="M550" s="83">
        <v>120</v>
      </c>
      <c r="N550" s="223">
        <v>1000</v>
      </c>
      <c r="O550" s="314">
        <v>1</v>
      </c>
      <c r="P550" s="223">
        <f t="shared" si="89"/>
        <v>1000</v>
      </c>
      <c r="Q550" s="223"/>
      <c r="R550" s="83">
        <v>1000</v>
      </c>
      <c r="S550" s="83">
        <f t="shared" si="88"/>
        <v>0</v>
      </c>
      <c r="T550" s="315">
        <f t="shared" si="90"/>
        <v>720</v>
      </c>
      <c r="U550" s="84">
        <f t="shared" si="91"/>
        <v>0</v>
      </c>
      <c r="V550" s="84">
        <f t="shared" si="92"/>
        <v>0</v>
      </c>
      <c r="W550" s="84">
        <v>0</v>
      </c>
      <c r="X550" s="255">
        <f t="shared" si="93"/>
        <v>46153</v>
      </c>
    </row>
    <row r="551" spans="1:24" s="118" customFormat="1" hidden="1" x14ac:dyDescent="0.35">
      <c r="A551" s="71">
        <f t="shared" si="94"/>
        <v>46153</v>
      </c>
      <c r="B551" s="71"/>
      <c r="C551" s="71"/>
      <c r="D551" s="71"/>
      <c r="E551" s="119" t="s">
        <v>134</v>
      </c>
      <c r="F551" s="56" t="s">
        <v>1026</v>
      </c>
      <c r="G551" s="56"/>
      <c r="H551" s="76" t="s">
        <v>1029</v>
      </c>
      <c r="I551" s="77" t="s">
        <v>1030</v>
      </c>
      <c r="J551" s="100" t="s">
        <v>140</v>
      </c>
      <c r="K551" s="84">
        <v>0</v>
      </c>
      <c r="L551" s="84">
        <v>0</v>
      </c>
      <c r="M551" s="322">
        <v>120</v>
      </c>
      <c r="N551" s="323">
        <v>1000</v>
      </c>
      <c r="O551" s="324">
        <v>1</v>
      </c>
      <c r="P551" s="223">
        <f t="shared" si="89"/>
        <v>1000</v>
      </c>
      <c r="Q551" s="223"/>
      <c r="R551" s="322">
        <v>1000</v>
      </c>
      <c r="S551" s="83">
        <f t="shared" si="88"/>
        <v>0</v>
      </c>
      <c r="T551" s="315">
        <f t="shared" si="90"/>
        <v>720</v>
      </c>
      <c r="U551" s="84">
        <f t="shared" si="91"/>
        <v>0</v>
      </c>
      <c r="V551" s="84">
        <f t="shared" si="92"/>
        <v>0</v>
      </c>
      <c r="W551" s="84">
        <v>0</v>
      </c>
      <c r="X551" s="255">
        <f t="shared" si="93"/>
        <v>46153</v>
      </c>
    </row>
    <row r="552" spans="1:24" s="118" customFormat="1" hidden="1" x14ac:dyDescent="0.35">
      <c r="A552" s="71">
        <f t="shared" si="94"/>
        <v>46153</v>
      </c>
      <c r="B552" s="71"/>
      <c r="C552" s="71"/>
      <c r="D552" s="71"/>
      <c r="E552" s="119" t="s">
        <v>134</v>
      </c>
      <c r="F552" s="48" t="s">
        <v>1031</v>
      </c>
      <c r="G552" s="48"/>
      <c r="H552" s="49" t="s">
        <v>1032</v>
      </c>
      <c r="I552" s="82" t="s">
        <v>536</v>
      </c>
      <c r="J552" s="100" t="s">
        <v>140</v>
      </c>
      <c r="K552" s="84">
        <v>0</v>
      </c>
      <c r="L552" s="84">
        <v>0</v>
      </c>
      <c r="M552" s="83">
        <v>120</v>
      </c>
      <c r="N552" s="223">
        <v>2000</v>
      </c>
      <c r="O552" s="314">
        <v>1</v>
      </c>
      <c r="P552" s="223">
        <f t="shared" si="89"/>
        <v>2000</v>
      </c>
      <c r="Q552" s="223"/>
      <c r="R552" s="83">
        <v>2000</v>
      </c>
      <c r="S552" s="83">
        <f t="shared" si="88"/>
        <v>0</v>
      </c>
      <c r="T552" s="315">
        <f t="shared" si="90"/>
        <v>720</v>
      </c>
      <c r="U552" s="84">
        <f t="shared" si="91"/>
        <v>0</v>
      </c>
      <c r="V552" s="84">
        <f t="shared" si="92"/>
        <v>0</v>
      </c>
      <c r="W552" s="84">
        <v>0</v>
      </c>
      <c r="X552" s="255">
        <f t="shared" si="93"/>
        <v>46153</v>
      </c>
    </row>
    <row r="553" spans="1:24" s="118" customFormat="1" ht="29" hidden="1" x14ac:dyDescent="0.35">
      <c r="A553" s="71">
        <f t="shared" si="94"/>
        <v>46153</v>
      </c>
      <c r="B553" s="71"/>
      <c r="C553" s="71"/>
      <c r="D553" s="71"/>
      <c r="E553" s="119" t="s">
        <v>134</v>
      </c>
      <c r="F553" s="48" t="s">
        <v>501</v>
      </c>
      <c r="G553" s="48"/>
      <c r="H553" s="59" t="s">
        <v>1033</v>
      </c>
      <c r="I553" s="71" t="s">
        <v>999</v>
      </c>
      <c r="J553" s="100" t="s">
        <v>140</v>
      </c>
      <c r="K553" s="84">
        <v>0</v>
      </c>
      <c r="L553" s="84">
        <v>0</v>
      </c>
      <c r="M553" s="83">
        <v>270</v>
      </c>
      <c r="N553" s="317">
        <v>1700</v>
      </c>
      <c r="O553" s="314">
        <v>1</v>
      </c>
      <c r="P553" s="223">
        <f t="shared" si="89"/>
        <v>1700</v>
      </c>
      <c r="Q553" s="223"/>
      <c r="R553" s="318">
        <v>1700</v>
      </c>
      <c r="S553" s="83">
        <f t="shared" si="88"/>
        <v>0</v>
      </c>
      <c r="T553" s="315">
        <f t="shared" si="90"/>
        <v>320</v>
      </c>
      <c r="U553" s="84">
        <f t="shared" si="91"/>
        <v>0</v>
      </c>
      <c r="V553" s="84">
        <f t="shared" si="92"/>
        <v>0</v>
      </c>
      <c r="W553" s="84">
        <v>0</v>
      </c>
      <c r="X553" s="255">
        <f t="shared" si="93"/>
        <v>46153</v>
      </c>
    </row>
    <row r="554" spans="1:24" s="118" customFormat="1" ht="29" hidden="1" x14ac:dyDescent="0.35">
      <c r="A554" s="71">
        <f t="shared" si="94"/>
        <v>46153</v>
      </c>
      <c r="B554" s="71"/>
      <c r="C554" s="71"/>
      <c r="D554" s="71"/>
      <c r="E554" s="96" t="s">
        <v>134</v>
      </c>
      <c r="F554" s="325" t="s">
        <v>1034</v>
      </c>
      <c r="G554" s="325"/>
      <c r="H554" s="326" t="s">
        <v>1035</v>
      </c>
      <c r="I554" s="327" t="s">
        <v>488</v>
      </c>
      <c r="J554" s="170" t="s">
        <v>140</v>
      </c>
      <c r="K554" s="328">
        <v>0</v>
      </c>
      <c r="L554" s="328">
        <v>0</v>
      </c>
      <c r="M554" s="329">
        <v>65</v>
      </c>
      <c r="N554" s="330">
        <v>800</v>
      </c>
      <c r="O554" s="331">
        <v>1</v>
      </c>
      <c r="P554" s="330">
        <f t="shared" si="89"/>
        <v>800</v>
      </c>
      <c r="Q554" s="330"/>
      <c r="R554" s="83">
        <v>800</v>
      </c>
      <c r="S554" s="329">
        <f t="shared" si="88"/>
        <v>0</v>
      </c>
      <c r="T554" s="332">
        <f t="shared" si="90"/>
        <v>1329.2307692307693</v>
      </c>
      <c r="U554" s="328">
        <f t="shared" si="91"/>
        <v>0</v>
      </c>
      <c r="V554" s="328">
        <f t="shared" si="92"/>
        <v>0</v>
      </c>
      <c r="W554" s="328">
        <v>0</v>
      </c>
      <c r="X554" s="255">
        <f t="shared" si="93"/>
        <v>46153</v>
      </c>
    </row>
    <row r="555" spans="1:24" s="118" customFormat="1" ht="29" hidden="1" x14ac:dyDescent="0.35">
      <c r="A555" s="71">
        <f t="shared" si="94"/>
        <v>46153</v>
      </c>
      <c r="B555" s="71"/>
      <c r="C555" s="71"/>
      <c r="D555" s="71"/>
      <c r="E555" s="96" t="s">
        <v>134</v>
      </c>
      <c r="F555" s="325" t="s">
        <v>1034</v>
      </c>
      <c r="G555" s="325"/>
      <c r="H555" s="326" t="s">
        <v>1036</v>
      </c>
      <c r="I555" s="327" t="s">
        <v>493</v>
      </c>
      <c r="J555" s="170" t="s">
        <v>140</v>
      </c>
      <c r="K555" s="328">
        <v>0</v>
      </c>
      <c r="L555" s="328">
        <v>0</v>
      </c>
      <c r="M555" s="329">
        <v>65</v>
      </c>
      <c r="N555" s="330">
        <v>1800</v>
      </c>
      <c r="O555" s="331">
        <v>1</v>
      </c>
      <c r="P555" s="330">
        <f t="shared" si="89"/>
        <v>1800</v>
      </c>
      <c r="Q555" s="330"/>
      <c r="R555" s="83">
        <v>1800</v>
      </c>
      <c r="S555" s="329">
        <f t="shared" si="88"/>
        <v>0</v>
      </c>
      <c r="T555" s="332">
        <f t="shared" si="90"/>
        <v>1329.2307692307693</v>
      </c>
      <c r="U555" s="328">
        <f t="shared" si="91"/>
        <v>0</v>
      </c>
      <c r="V555" s="328">
        <f t="shared" si="92"/>
        <v>0</v>
      </c>
      <c r="W555" s="328">
        <v>0</v>
      </c>
      <c r="X555" s="255">
        <f t="shared" si="93"/>
        <v>46153</v>
      </c>
    </row>
    <row r="556" spans="1:24" s="118" customFormat="1" ht="29" hidden="1" x14ac:dyDescent="0.35">
      <c r="A556" s="71">
        <f t="shared" si="94"/>
        <v>46153</v>
      </c>
      <c r="B556" s="71"/>
      <c r="C556" s="71"/>
      <c r="D556" s="71"/>
      <c r="E556" s="119" t="s">
        <v>134</v>
      </c>
      <c r="F556" s="48" t="s">
        <v>1034</v>
      </c>
      <c r="G556" s="48"/>
      <c r="H556" s="49" t="s">
        <v>1037</v>
      </c>
      <c r="I556" s="99" t="s">
        <v>483</v>
      </c>
      <c r="J556" s="100" t="s">
        <v>140</v>
      </c>
      <c r="K556" s="84">
        <v>0</v>
      </c>
      <c r="L556" s="84">
        <v>0</v>
      </c>
      <c r="M556" s="83">
        <v>65</v>
      </c>
      <c r="N556" s="223">
        <v>325</v>
      </c>
      <c r="O556" s="314">
        <v>1</v>
      </c>
      <c r="P556" s="330">
        <f t="shared" si="89"/>
        <v>325</v>
      </c>
      <c r="Q556" s="330"/>
      <c r="R556" s="83">
        <v>325</v>
      </c>
      <c r="S556" s="83">
        <f t="shared" si="88"/>
        <v>0</v>
      </c>
      <c r="T556" s="315">
        <f t="shared" si="90"/>
        <v>1329.2307692307693</v>
      </c>
      <c r="U556" s="84">
        <f t="shared" si="91"/>
        <v>0</v>
      </c>
      <c r="V556" s="84">
        <f t="shared" si="92"/>
        <v>0</v>
      </c>
      <c r="W556" s="84">
        <v>0</v>
      </c>
      <c r="X556" s="255">
        <f t="shared" si="93"/>
        <v>46153</v>
      </c>
    </row>
    <row r="557" spans="1:24" s="118" customFormat="1" ht="72.5" hidden="1" x14ac:dyDescent="0.35">
      <c r="A557" s="71">
        <f t="shared" si="94"/>
        <v>46153</v>
      </c>
      <c r="B557" s="71"/>
      <c r="C557" s="71"/>
      <c r="D557" s="71"/>
      <c r="E557" s="119" t="s">
        <v>134</v>
      </c>
      <c r="F557" s="57" t="s">
        <v>4200</v>
      </c>
      <c r="G557" s="57"/>
      <c r="H557" s="216" t="s">
        <v>1038</v>
      </c>
      <c r="I557" s="82" t="s">
        <v>470</v>
      </c>
      <c r="J557" s="100" t="s">
        <v>140</v>
      </c>
      <c r="K557" s="84">
        <v>0</v>
      </c>
      <c r="L557" s="84">
        <v>0</v>
      </c>
      <c r="M557" s="83">
        <v>187</v>
      </c>
      <c r="N557" s="223">
        <v>6710</v>
      </c>
      <c r="O557" s="314">
        <v>2</v>
      </c>
      <c r="P557" s="223">
        <f t="shared" si="89"/>
        <v>3355</v>
      </c>
      <c r="Q557" s="223"/>
      <c r="R557" s="83">
        <v>3355</v>
      </c>
      <c r="S557" s="83">
        <f t="shared" si="88"/>
        <v>0</v>
      </c>
      <c r="T557" s="315">
        <f t="shared" si="90"/>
        <v>924.06417112299459</v>
      </c>
      <c r="U557" s="84">
        <f t="shared" si="91"/>
        <v>0</v>
      </c>
      <c r="V557" s="84">
        <f t="shared" si="92"/>
        <v>0</v>
      </c>
      <c r="W557" s="84">
        <v>0</v>
      </c>
      <c r="X557" s="255">
        <f t="shared" si="93"/>
        <v>46153</v>
      </c>
    </row>
    <row r="558" spans="1:24" s="118" customFormat="1" ht="29" hidden="1" x14ac:dyDescent="0.35">
      <c r="A558" s="71">
        <f t="shared" si="94"/>
        <v>46153</v>
      </c>
      <c r="B558" s="71"/>
      <c r="C558" s="71"/>
      <c r="D558" s="71"/>
      <c r="E558" s="119" t="s">
        <v>134</v>
      </c>
      <c r="F558" s="48" t="s">
        <v>1034</v>
      </c>
      <c r="G558" s="48"/>
      <c r="H558" s="49" t="s">
        <v>1039</v>
      </c>
      <c r="I558" s="99" t="s">
        <v>486</v>
      </c>
      <c r="J558" s="100" t="s">
        <v>140</v>
      </c>
      <c r="K558" s="84">
        <v>0</v>
      </c>
      <c r="L558" s="84">
        <v>0</v>
      </c>
      <c r="M558" s="83">
        <v>65</v>
      </c>
      <c r="N558" s="223">
        <v>1957</v>
      </c>
      <c r="O558" s="314">
        <v>1</v>
      </c>
      <c r="P558" s="223">
        <f t="shared" si="89"/>
        <v>1957</v>
      </c>
      <c r="Q558" s="223"/>
      <c r="R558" s="83">
        <v>1957</v>
      </c>
      <c r="S558" s="83">
        <f t="shared" si="88"/>
        <v>0</v>
      </c>
      <c r="T558" s="315">
        <f t="shared" si="90"/>
        <v>1329.2307692307693</v>
      </c>
      <c r="U558" s="84">
        <f t="shared" si="91"/>
        <v>0</v>
      </c>
      <c r="V558" s="84">
        <f t="shared" si="92"/>
        <v>0</v>
      </c>
      <c r="W558" s="84">
        <v>0</v>
      </c>
      <c r="X558" s="255">
        <f t="shared" si="93"/>
        <v>46153</v>
      </c>
    </row>
    <row r="559" spans="1:24" s="118" customFormat="1" ht="29" hidden="1" x14ac:dyDescent="0.35">
      <c r="A559" s="71">
        <f t="shared" si="94"/>
        <v>46153</v>
      </c>
      <c r="B559" s="71"/>
      <c r="C559" s="71"/>
      <c r="D559" s="71"/>
      <c r="E559" s="119" t="s">
        <v>134</v>
      </c>
      <c r="F559" s="48" t="s">
        <v>1034</v>
      </c>
      <c r="G559" s="48"/>
      <c r="H559" s="49" t="s">
        <v>1040</v>
      </c>
      <c r="I559" s="99" t="s">
        <v>495</v>
      </c>
      <c r="J559" s="100" t="s">
        <v>140</v>
      </c>
      <c r="K559" s="84">
        <v>0</v>
      </c>
      <c r="L559" s="84">
        <v>0</v>
      </c>
      <c r="M559" s="83">
        <v>65</v>
      </c>
      <c r="N559" s="223">
        <v>600</v>
      </c>
      <c r="O559" s="314">
        <v>1</v>
      </c>
      <c r="P559" s="223">
        <f t="shared" si="89"/>
        <v>600</v>
      </c>
      <c r="Q559" s="223"/>
      <c r="R559" s="83">
        <v>600</v>
      </c>
      <c r="S559" s="83">
        <f t="shared" si="88"/>
        <v>0</v>
      </c>
      <c r="T559" s="315">
        <f t="shared" si="90"/>
        <v>1329.2307692307693</v>
      </c>
      <c r="U559" s="84">
        <f t="shared" si="91"/>
        <v>0</v>
      </c>
      <c r="V559" s="84">
        <f t="shared" si="92"/>
        <v>0</v>
      </c>
      <c r="W559" s="84">
        <v>0</v>
      </c>
      <c r="X559" s="255">
        <f t="shared" si="93"/>
        <v>46153</v>
      </c>
    </row>
    <row r="560" spans="1:24" s="118" customFormat="1" hidden="1" x14ac:dyDescent="0.35">
      <c r="A560" s="71">
        <f t="shared" si="94"/>
        <v>46153</v>
      </c>
      <c r="B560" s="71"/>
      <c r="C560" s="71"/>
      <c r="D560" s="71"/>
      <c r="E560" s="119" t="s">
        <v>134</v>
      </c>
      <c r="F560" s="48" t="s">
        <v>1041</v>
      </c>
      <c r="G560" s="48"/>
      <c r="H560" s="49" t="s">
        <v>1042</v>
      </c>
      <c r="I560" s="82" t="s">
        <v>108</v>
      </c>
      <c r="J560" s="100" t="s">
        <v>140</v>
      </c>
      <c r="K560" s="84">
        <v>0</v>
      </c>
      <c r="L560" s="84">
        <v>0</v>
      </c>
      <c r="M560" s="83">
        <v>800</v>
      </c>
      <c r="N560" s="223">
        <v>25</v>
      </c>
      <c r="O560" s="314">
        <v>1</v>
      </c>
      <c r="P560" s="223">
        <f t="shared" si="89"/>
        <v>25</v>
      </c>
      <c r="Q560" s="223"/>
      <c r="R560" s="83">
        <v>25</v>
      </c>
      <c r="S560" s="83">
        <f t="shared" si="88"/>
        <v>0</v>
      </c>
      <c r="T560" s="315">
        <f t="shared" si="90"/>
        <v>108</v>
      </c>
      <c r="U560" s="84">
        <f t="shared" si="91"/>
        <v>0</v>
      </c>
      <c r="V560" s="84">
        <f t="shared" si="92"/>
        <v>0</v>
      </c>
      <c r="W560" s="84">
        <v>0</v>
      </c>
      <c r="X560" s="255">
        <f t="shared" si="93"/>
        <v>46153</v>
      </c>
    </row>
    <row r="561" spans="1:24" s="118" customFormat="1" ht="29" hidden="1" x14ac:dyDescent="0.35">
      <c r="A561" s="71">
        <f t="shared" si="94"/>
        <v>46153</v>
      </c>
      <c r="B561" s="71"/>
      <c r="C561" s="71"/>
      <c r="D561" s="71"/>
      <c r="E561" s="119" t="s">
        <v>134</v>
      </c>
      <c r="F561" s="48" t="s">
        <v>652</v>
      </c>
      <c r="G561" s="48"/>
      <c r="H561" s="49" t="s">
        <v>1043</v>
      </c>
      <c r="I561" s="82" t="s">
        <v>108</v>
      </c>
      <c r="J561" s="100" t="s">
        <v>140</v>
      </c>
      <c r="K561" s="84">
        <v>0</v>
      </c>
      <c r="L561" s="84">
        <v>0</v>
      </c>
      <c r="M561" s="83">
        <v>800</v>
      </c>
      <c r="N561" s="223">
        <v>50</v>
      </c>
      <c r="O561" s="314">
        <v>1</v>
      </c>
      <c r="P561" s="223">
        <f t="shared" si="89"/>
        <v>50</v>
      </c>
      <c r="Q561" s="223"/>
      <c r="R561" s="83">
        <v>50</v>
      </c>
      <c r="S561" s="83">
        <f t="shared" si="88"/>
        <v>0</v>
      </c>
      <c r="T561" s="315">
        <f t="shared" si="90"/>
        <v>108</v>
      </c>
      <c r="U561" s="84">
        <f t="shared" si="91"/>
        <v>0</v>
      </c>
      <c r="V561" s="84">
        <f t="shared" si="92"/>
        <v>0</v>
      </c>
      <c r="W561" s="84">
        <v>0</v>
      </c>
      <c r="X561" s="255">
        <f t="shared" si="93"/>
        <v>46153</v>
      </c>
    </row>
    <row r="562" spans="1:24" s="118" customFormat="1" ht="29" hidden="1" x14ac:dyDescent="0.35">
      <c r="A562" s="71">
        <f t="shared" si="94"/>
        <v>46153</v>
      </c>
      <c r="B562" s="71"/>
      <c r="C562" s="71"/>
      <c r="D562" s="71"/>
      <c r="E562" s="119" t="s">
        <v>134</v>
      </c>
      <c r="F562" s="48" t="s">
        <v>652</v>
      </c>
      <c r="G562" s="48"/>
      <c r="H562" s="59" t="s">
        <v>1044</v>
      </c>
      <c r="I562" s="71" t="s">
        <v>999</v>
      </c>
      <c r="J562" s="100" t="s">
        <v>140</v>
      </c>
      <c r="K562" s="84">
        <v>0</v>
      </c>
      <c r="L562" s="84">
        <v>0</v>
      </c>
      <c r="M562" s="83">
        <v>270</v>
      </c>
      <c r="N562" s="317">
        <v>706</v>
      </c>
      <c r="O562" s="314">
        <v>1</v>
      </c>
      <c r="P562" s="223">
        <f t="shared" si="89"/>
        <v>706</v>
      </c>
      <c r="Q562" s="223"/>
      <c r="R562" s="318">
        <v>706</v>
      </c>
      <c r="S562" s="83">
        <f t="shared" si="88"/>
        <v>0</v>
      </c>
      <c r="T562" s="315">
        <f t="shared" si="90"/>
        <v>320</v>
      </c>
      <c r="U562" s="84">
        <f t="shared" si="91"/>
        <v>0</v>
      </c>
      <c r="V562" s="84">
        <f t="shared" si="92"/>
        <v>0</v>
      </c>
      <c r="W562" s="84">
        <v>0</v>
      </c>
      <c r="X562" s="255">
        <f t="shared" si="93"/>
        <v>46153</v>
      </c>
    </row>
    <row r="563" spans="1:24" s="118" customFormat="1" ht="26.5" hidden="1" x14ac:dyDescent="0.35">
      <c r="A563" s="71">
        <f t="shared" si="94"/>
        <v>46153</v>
      </c>
      <c r="B563" s="71"/>
      <c r="C563" s="71"/>
      <c r="D563" s="71"/>
      <c r="E563" s="119" t="s">
        <v>134</v>
      </c>
      <c r="F563" s="48" t="s">
        <v>1045</v>
      </c>
      <c r="G563" s="48"/>
      <c r="H563" s="59" t="s">
        <v>1046</v>
      </c>
      <c r="I563" s="106" t="s">
        <v>1047</v>
      </c>
      <c r="J563" s="100" t="s">
        <v>140</v>
      </c>
      <c r="K563" s="84">
        <v>0</v>
      </c>
      <c r="L563" s="84">
        <v>0</v>
      </c>
      <c r="M563" s="83">
        <v>100</v>
      </c>
      <c r="N563" s="223">
        <v>1050</v>
      </c>
      <c r="O563" s="314">
        <v>1</v>
      </c>
      <c r="P563" s="223">
        <f t="shared" si="89"/>
        <v>1050</v>
      </c>
      <c r="Q563" s="223"/>
      <c r="R563" s="83">
        <v>1050</v>
      </c>
      <c r="S563" s="83">
        <f t="shared" si="88"/>
        <v>0</v>
      </c>
      <c r="T563" s="315">
        <f t="shared" si="90"/>
        <v>864</v>
      </c>
      <c r="U563" s="84">
        <f t="shared" si="91"/>
        <v>0</v>
      </c>
      <c r="V563" s="84">
        <f t="shared" si="92"/>
        <v>0</v>
      </c>
      <c r="W563" s="84">
        <v>0</v>
      </c>
      <c r="X563" s="255">
        <f t="shared" si="93"/>
        <v>46153</v>
      </c>
    </row>
    <row r="564" spans="1:24" s="118" customFormat="1" ht="29" hidden="1" x14ac:dyDescent="0.35">
      <c r="A564" s="71">
        <f t="shared" si="94"/>
        <v>46153</v>
      </c>
      <c r="B564" s="71"/>
      <c r="C564" s="71"/>
      <c r="D564" s="71"/>
      <c r="E564" s="119" t="s">
        <v>134</v>
      </c>
      <c r="F564" s="48" t="s">
        <v>652</v>
      </c>
      <c r="G564" s="48"/>
      <c r="H564" s="49" t="s">
        <v>1048</v>
      </c>
      <c r="I564" s="333" t="s">
        <v>1049</v>
      </c>
      <c r="J564" s="100" t="s">
        <v>140</v>
      </c>
      <c r="K564" s="84">
        <v>0</v>
      </c>
      <c r="L564" s="84">
        <v>0</v>
      </c>
      <c r="M564" s="83">
        <v>95</v>
      </c>
      <c r="N564" s="223">
        <v>250</v>
      </c>
      <c r="O564" s="314">
        <v>1</v>
      </c>
      <c r="P564" s="223">
        <f t="shared" si="89"/>
        <v>250</v>
      </c>
      <c r="Q564" s="223"/>
      <c r="R564" s="83">
        <v>250</v>
      </c>
      <c r="S564" s="83">
        <f t="shared" si="88"/>
        <v>0</v>
      </c>
      <c r="T564" s="315">
        <f t="shared" si="90"/>
        <v>909.47368421052624</v>
      </c>
      <c r="U564" s="84">
        <f t="shared" si="91"/>
        <v>0</v>
      </c>
      <c r="V564" s="84">
        <f t="shared" si="92"/>
        <v>0</v>
      </c>
      <c r="W564" s="84">
        <v>0</v>
      </c>
      <c r="X564" s="255">
        <f t="shared" si="93"/>
        <v>46153</v>
      </c>
    </row>
    <row r="565" spans="1:24" s="118" customFormat="1" ht="29" hidden="1" x14ac:dyDescent="0.35">
      <c r="A565" s="71">
        <f t="shared" si="94"/>
        <v>46153</v>
      </c>
      <c r="B565" s="71"/>
      <c r="C565" s="71"/>
      <c r="D565" s="71"/>
      <c r="E565" s="119" t="s">
        <v>134</v>
      </c>
      <c r="F565" s="48" t="s">
        <v>652</v>
      </c>
      <c r="G565" s="48"/>
      <c r="H565" s="49" t="s">
        <v>1050</v>
      </c>
      <c r="I565" s="333" t="s">
        <v>1051</v>
      </c>
      <c r="J565" s="100" t="s">
        <v>140</v>
      </c>
      <c r="K565" s="84">
        <v>0</v>
      </c>
      <c r="L565" s="84">
        <v>0</v>
      </c>
      <c r="M565" s="83">
        <v>95</v>
      </c>
      <c r="N565" s="223">
        <v>1000</v>
      </c>
      <c r="O565" s="314">
        <v>1</v>
      </c>
      <c r="P565" s="223">
        <f t="shared" si="89"/>
        <v>1000</v>
      </c>
      <c r="Q565" s="223"/>
      <c r="R565" s="83">
        <v>1000</v>
      </c>
      <c r="S565" s="83">
        <f t="shared" si="88"/>
        <v>0</v>
      </c>
      <c r="T565" s="315">
        <f t="shared" si="90"/>
        <v>909.47368421052624</v>
      </c>
      <c r="U565" s="84">
        <f t="shared" si="91"/>
        <v>0</v>
      </c>
      <c r="V565" s="84">
        <f t="shared" si="92"/>
        <v>0</v>
      </c>
      <c r="W565" s="84">
        <v>0</v>
      </c>
      <c r="X565" s="255">
        <f t="shared" si="93"/>
        <v>46153</v>
      </c>
    </row>
    <row r="566" spans="1:24" s="118" customFormat="1" ht="29" hidden="1" x14ac:dyDescent="0.35">
      <c r="A566" s="71">
        <f t="shared" si="94"/>
        <v>46153</v>
      </c>
      <c r="B566" s="71"/>
      <c r="C566" s="71"/>
      <c r="D566" s="71"/>
      <c r="E566" s="119" t="s">
        <v>134</v>
      </c>
      <c r="F566" s="62" t="s">
        <v>652</v>
      </c>
      <c r="G566" s="62"/>
      <c r="H566" s="49" t="s">
        <v>1052</v>
      </c>
      <c r="I566" s="82" t="s">
        <v>222</v>
      </c>
      <c r="J566" s="100" t="s">
        <v>140</v>
      </c>
      <c r="K566" s="84">
        <v>0</v>
      </c>
      <c r="L566" s="84">
        <v>0</v>
      </c>
      <c r="M566" s="83">
        <v>100</v>
      </c>
      <c r="N566" s="223">
        <v>1000</v>
      </c>
      <c r="O566" s="314">
        <v>1</v>
      </c>
      <c r="P566" s="223">
        <v>1000</v>
      </c>
      <c r="Q566" s="223"/>
      <c r="R566" s="83">
        <v>1000</v>
      </c>
      <c r="S566" s="83">
        <f t="shared" si="88"/>
        <v>0</v>
      </c>
      <c r="T566" s="315">
        <f t="shared" si="90"/>
        <v>864</v>
      </c>
      <c r="U566" s="84">
        <f t="shared" si="91"/>
        <v>0</v>
      </c>
      <c r="V566" s="84">
        <f t="shared" si="92"/>
        <v>0</v>
      </c>
      <c r="W566" s="84">
        <v>0</v>
      </c>
      <c r="X566" s="255">
        <f t="shared" si="93"/>
        <v>46153</v>
      </c>
    </row>
    <row r="567" spans="1:24" s="118" customFormat="1" hidden="1" x14ac:dyDescent="0.35">
      <c r="A567" s="71">
        <f t="shared" si="94"/>
        <v>46153</v>
      </c>
      <c r="B567" s="71"/>
      <c r="C567" s="71"/>
      <c r="D567" s="71"/>
      <c r="E567" s="119" t="s">
        <v>134</v>
      </c>
      <c r="F567" s="48" t="s">
        <v>1053</v>
      </c>
      <c r="G567" s="48"/>
      <c r="H567" s="49" t="s">
        <v>1054</v>
      </c>
      <c r="I567" s="82" t="s">
        <v>1055</v>
      </c>
      <c r="J567" s="100" t="s">
        <v>140</v>
      </c>
      <c r="K567" s="84">
        <v>0</v>
      </c>
      <c r="L567" s="84">
        <v>0</v>
      </c>
      <c r="M567" s="83">
        <v>60</v>
      </c>
      <c r="N567" s="223">
        <v>4700</v>
      </c>
      <c r="O567" s="314">
        <v>1</v>
      </c>
      <c r="P567" s="223">
        <f t="shared" ref="P567:P629" si="95">N567/O567</f>
        <v>4700</v>
      </c>
      <c r="Q567" s="223"/>
      <c r="R567" s="83">
        <v>4700</v>
      </c>
      <c r="S567" s="83">
        <f t="shared" si="88"/>
        <v>0</v>
      </c>
      <c r="T567" s="315">
        <f t="shared" si="90"/>
        <v>1440</v>
      </c>
      <c r="U567" s="84">
        <f t="shared" si="91"/>
        <v>0</v>
      </c>
      <c r="V567" s="84">
        <f t="shared" si="92"/>
        <v>0</v>
      </c>
      <c r="W567" s="84">
        <v>0</v>
      </c>
      <c r="X567" s="255">
        <f t="shared" si="93"/>
        <v>46153</v>
      </c>
    </row>
    <row r="568" spans="1:24" s="118" customFormat="1" hidden="1" x14ac:dyDescent="0.35">
      <c r="A568" s="71">
        <f t="shared" si="94"/>
        <v>46153</v>
      </c>
      <c r="B568" s="71"/>
      <c r="C568" s="71"/>
      <c r="D568" s="71"/>
      <c r="E568" s="119" t="s">
        <v>134</v>
      </c>
      <c r="F568" s="48" t="s">
        <v>1053</v>
      </c>
      <c r="G568" s="48"/>
      <c r="H568" s="49" t="s">
        <v>1056</v>
      </c>
      <c r="I568" s="82" t="s">
        <v>1057</v>
      </c>
      <c r="J568" s="100" t="s">
        <v>140</v>
      </c>
      <c r="K568" s="84">
        <v>0</v>
      </c>
      <c r="L568" s="84">
        <v>0</v>
      </c>
      <c r="M568" s="83">
        <v>60</v>
      </c>
      <c r="N568" s="223">
        <v>300</v>
      </c>
      <c r="O568" s="314">
        <v>1</v>
      </c>
      <c r="P568" s="223">
        <f t="shared" si="95"/>
        <v>300</v>
      </c>
      <c r="Q568" s="223"/>
      <c r="R568" s="83">
        <v>300</v>
      </c>
      <c r="S568" s="83">
        <f t="shared" si="88"/>
        <v>0</v>
      </c>
      <c r="T568" s="315">
        <f t="shared" si="90"/>
        <v>1440</v>
      </c>
      <c r="U568" s="84">
        <f t="shared" si="91"/>
        <v>0</v>
      </c>
      <c r="V568" s="84">
        <f t="shared" si="92"/>
        <v>0</v>
      </c>
      <c r="W568" s="84">
        <v>0</v>
      </c>
      <c r="X568" s="255">
        <f t="shared" si="93"/>
        <v>46153</v>
      </c>
    </row>
    <row r="569" spans="1:24" s="118" customFormat="1" ht="72.5" hidden="1" x14ac:dyDescent="0.35">
      <c r="A569" s="71">
        <f t="shared" si="94"/>
        <v>46153</v>
      </c>
      <c r="B569" s="71"/>
      <c r="C569" s="71"/>
      <c r="D569" s="71"/>
      <c r="E569" s="119" t="s">
        <v>134</v>
      </c>
      <c r="F569" s="57" t="s">
        <v>4200</v>
      </c>
      <c r="G569" s="57"/>
      <c r="H569" s="216" t="s">
        <v>518</v>
      </c>
      <c r="I569" s="82" t="s">
        <v>470</v>
      </c>
      <c r="J569" s="100" t="s">
        <v>140</v>
      </c>
      <c r="K569" s="84">
        <v>0</v>
      </c>
      <c r="L569" s="84">
        <v>0</v>
      </c>
      <c r="M569" s="83">
        <v>187</v>
      </c>
      <c r="N569" s="223">
        <v>5518</v>
      </c>
      <c r="O569" s="314">
        <v>2</v>
      </c>
      <c r="P569" s="223">
        <f t="shared" si="95"/>
        <v>2759</v>
      </c>
      <c r="Q569" s="223"/>
      <c r="R569" s="83">
        <v>2759</v>
      </c>
      <c r="S569" s="83">
        <f t="shared" si="88"/>
        <v>0</v>
      </c>
      <c r="T569" s="315">
        <f t="shared" si="90"/>
        <v>924.06417112299459</v>
      </c>
      <c r="U569" s="84">
        <f t="shared" si="91"/>
        <v>0</v>
      </c>
      <c r="V569" s="84">
        <f t="shared" si="92"/>
        <v>0</v>
      </c>
      <c r="W569" s="84">
        <v>0</v>
      </c>
      <c r="X569" s="255">
        <f t="shared" si="93"/>
        <v>46153</v>
      </c>
    </row>
    <row r="570" spans="1:24" s="118" customFormat="1" ht="29" hidden="1" x14ac:dyDescent="0.35">
      <c r="A570" s="71">
        <f t="shared" si="94"/>
        <v>46153</v>
      </c>
      <c r="B570" s="71"/>
      <c r="C570" s="71"/>
      <c r="D570" s="71"/>
      <c r="E570" s="119" t="s">
        <v>134</v>
      </c>
      <c r="F570" s="57" t="s">
        <v>1058</v>
      </c>
      <c r="G570" s="57"/>
      <c r="H570" s="49" t="s">
        <v>1059</v>
      </c>
      <c r="I570" s="71" t="s">
        <v>1060</v>
      </c>
      <c r="J570" s="100" t="s">
        <v>140</v>
      </c>
      <c r="K570" s="84">
        <v>0</v>
      </c>
      <c r="L570" s="84">
        <v>0</v>
      </c>
      <c r="M570" s="83">
        <v>187</v>
      </c>
      <c r="N570" s="223">
        <v>2304</v>
      </c>
      <c r="O570" s="314">
        <v>2</v>
      </c>
      <c r="P570" s="223">
        <f t="shared" si="95"/>
        <v>1152</v>
      </c>
      <c r="Q570" s="223"/>
      <c r="R570" s="83">
        <v>1152</v>
      </c>
      <c r="S570" s="83">
        <f t="shared" si="88"/>
        <v>0</v>
      </c>
      <c r="T570" s="315">
        <f t="shared" si="90"/>
        <v>924.06417112299459</v>
      </c>
      <c r="U570" s="84">
        <f t="shared" si="91"/>
        <v>0</v>
      </c>
      <c r="V570" s="84">
        <f t="shared" si="92"/>
        <v>0</v>
      </c>
      <c r="W570" s="84">
        <v>0</v>
      </c>
      <c r="X570" s="255">
        <f t="shared" si="93"/>
        <v>46153</v>
      </c>
    </row>
    <row r="571" spans="1:24" s="118" customFormat="1" hidden="1" x14ac:dyDescent="0.35">
      <c r="A571" s="71">
        <f t="shared" si="94"/>
        <v>46153</v>
      </c>
      <c r="B571" s="71"/>
      <c r="C571" s="71"/>
      <c r="D571" s="71"/>
      <c r="E571" s="96" t="s">
        <v>134</v>
      </c>
      <c r="F571" s="48" t="s">
        <v>534</v>
      </c>
      <c r="G571" s="48"/>
      <c r="H571" s="49" t="s">
        <v>1061</v>
      </c>
      <c r="I571" s="82" t="s">
        <v>457</v>
      </c>
      <c r="J571" s="100" t="s">
        <v>140</v>
      </c>
      <c r="K571" s="84">
        <v>0</v>
      </c>
      <c r="L571" s="84">
        <v>0</v>
      </c>
      <c r="M571" s="83">
        <v>120</v>
      </c>
      <c r="N571" s="223">
        <v>1000</v>
      </c>
      <c r="O571" s="314">
        <v>1</v>
      </c>
      <c r="P571" s="223">
        <f t="shared" si="95"/>
        <v>1000</v>
      </c>
      <c r="Q571" s="223"/>
      <c r="R571" s="83">
        <v>1000</v>
      </c>
      <c r="S571" s="83">
        <f t="shared" si="88"/>
        <v>0</v>
      </c>
      <c r="T571" s="315">
        <f t="shared" si="90"/>
        <v>720</v>
      </c>
      <c r="U571" s="84">
        <f t="shared" si="91"/>
        <v>0</v>
      </c>
      <c r="V571" s="84">
        <f t="shared" si="92"/>
        <v>0</v>
      </c>
      <c r="W571" s="84">
        <v>0</v>
      </c>
      <c r="X571" s="255">
        <f t="shared" si="93"/>
        <v>46153</v>
      </c>
    </row>
    <row r="572" spans="1:24" s="118" customFormat="1" hidden="1" x14ac:dyDescent="0.35">
      <c r="A572" s="71">
        <f t="shared" si="94"/>
        <v>46153</v>
      </c>
      <c r="B572" s="71"/>
      <c r="C572" s="71"/>
      <c r="D572" s="71"/>
      <c r="E572" s="96" t="s">
        <v>134</v>
      </c>
      <c r="F572" s="57" t="s">
        <v>1062</v>
      </c>
      <c r="G572" s="57"/>
      <c r="H572" s="49" t="s">
        <v>1063</v>
      </c>
      <c r="I572" s="99" t="s">
        <v>160</v>
      </c>
      <c r="J572" s="100" t="s">
        <v>283</v>
      </c>
      <c r="K572" s="84">
        <v>0.25</v>
      </c>
      <c r="L572" s="84">
        <v>0.2</v>
      </c>
      <c r="M572" s="83">
        <v>50</v>
      </c>
      <c r="N572" s="223">
        <v>12000</v>
      </c>
      <c r="O572" s="314">
        <v>1</v>
      </c>
      <c r="P572" s="223">
        <f t="shared" si="95"/>
        <v>12000</v>
      </c>
      <c r="Q572" s="223"/>
      <c r="R572" s="83">
        <v>12000</v>
      </c>
      <c r="S572" s="83">
        <f t="shared" si="88"/>
        <v>0</v>
      </c>
      <c r="T572" s="315">
        <f t="shared" si="90"/>
        <v>1728</v>
      </c>
      <c r="U572" s="84">
        <f t="shared" si="91"/>
        <v>0</v>
      </c>
      <c r="V572" s="84">
        <f t="shared" si="92"/>
        <v>0</v>
      </c>
      <c r="W572" s="84">
        <v>0</v>
      </c>
      <c r="X572" s="255">
        <f t="shared" si="93"/>
        <v>46153.45</v>
      </c>
    </row>
    <row r="573" spans="1:24" s="118" customFormat="1" ht="29" hidden="1" x14ac:dyDescent="0.35">
      <c r="A573" s="71">
        <f t="shared" si="94"/>
        <v>46153.45</v>
      </c>
      <c r="B573" s="71"/>
      <c r="C573" s="71"/>
      <c r="D573" s="71"/>
      <c r="E573" s="119" t="s">
        <v>134</v>
      </c>
      <c r="F573" s="48" t="s">
        <v>1064</v>
      </c>
      <c r="G573" s="48"/>
      <c r="H573" s="49" t="s">
        <v>1065</v>
      </c>
      <c r="I573" s="71" t="s">
        <v>1066</v>
      </c>
      <c r="J573" s="100" t="s">
        <v>140</v>
      </c>
      <c r="K573" s="84">
        <v>0</v>
      </c>
      <c r="L573" s="84">
        <v>0</v>
      </c>
      <c r="M573" s="83">
        <v>65</v>
      </c>
      <c r="N573" s="223">
        <v>525</v>
      </c>
      <c r="O573" s="314">
        <v>1</v>
      </c>
      <c r="P573" s="223">
        <f t="shared" si="95"/>
        <v>525</v>
      </c>
      <c r="Q573" s="223"/>
      <c r="R573" s="83">
        <v>525</v>
      </c>
      <c r="S573" s="83">
        <f t="shared" si="88"/>
        <v>0</v>
      </c>
      <c r="T573" s="315">
        <f t="shared" si="90"/>
        <v>1329.2307692307693</v>
      </c>
      <c r="U573" s="84">
        <f t="shared" si="91"/>
        <v>0</v>
      </c>
      <c r="V573" s="84">
        <f t="shared" si="92"/>
        <v>0</v>
      </c>
      <c r="W573" s="84">
        <v>0</v>
      </c>
      <c r="X573" s="255">
        <f t="shared" si="93"/>
        <v>46153.45</v>
      </c>
    </row>
    <row r="574" spans="1:24" s="118" customFormat="1" hidden="1" x14ac:dyDescent="0.35">
      <c r="A574" s="71">
        <f t="shared" si="94"/>
        <v>46153.45</v>
      </c>
      <c r="B574" s="71"/>
      <c r="C574" s="71"/>
      <c r="D574" s="71"/>
      <c r="E574" s="119" t="s">
        <v>134</v>
      </c>
      <c r="F574" s="48" t="s">
        <v>1067</v>
      </c>
      <c r="G574" s="48"/>
      <c r="H574" s="49" t="s">
        <v>1068</v>
      </c>
      <c r="I574" s="71" t="s">
        <v>351</v>
      </c>
      <c r="J574" s="100" t="s">
        <v>140</v>
      </c>
      <c r="K574" s="84">
        <v>0</v>
      </c>
      <c r="L574" s="84">
        <v>0</v>
      </c>
      <c r="M574" s="83">
        <v>65</v>
      </c>
      <c r="N574" s="223">
        <v>125</v>
      </c>
      <c r="O574" s="314">
        <v>1</v>
      </c>
      <c r="P574" s="223">
        <f t="shared" si="95"/>
        <v>125</v>
      </c>
      <c r="Q574" s="223"/>
      <c r="R574" s="83">
        <v>125</v>
      </c>
      <c r="S574" s="83">
        <f t="shared" si="88"/>
        <v>0</v>
      </c>
      <c r="T574" s="315">
        <f t="shared" si="90"/>
        <v>1329.2307692307693</v>
      </c>
      <c r="U574" s="84">
        <f t="shared" si="91"/>
        <v>0</v>
      </c>
      <c r="V574" s="84">
        <f t="shared" si="92"/>
        <v>0</v>
      </c>
      <c r="W574" s="84">
        <v>0</v>
      </c>
      <c r="X574" s="255">
        <f t="shared" si="93"/>
        <v>46153.45</v>
      </c>
    </row>
    <row r="575" spans="1:24" s="118" customFormat="1" hidden="1" x14ac:dyDescent="0.35">
      <c r="A575" s="71">
        <f t="shared" si="94"/>
        <v>46153.45</v>
      </c>
      <c r="B575" s="71"/>
      <c r="C575" s="71"/>
      <c r="D575" s="71"/>
      <c r="E575" s="96" t="s">
        <v>134</v>
      </c>
      <c r="F575" s="48" t="s">
        <v>1069</v>
      </c>
      <c r="G575" s="48"/>
      <c r="H575" s="326" t="s">
        <v>1070</v>
      </c>
      <c r="I575" s="71" t="s">
        <v>339</v>
      </c>
      <c r="J575" s="170" t="s">
        <v>140</v>
      </c>
      <c r="K575" s="84">
        <v>0</v>
      </c>
      <c r="L575" s="84">
        <v>0</v>
      </c>
      <c r="M575" s="83">
        <v>65</v>
      </c>
      <c r="N575" s="223">
        <v>200</v>
      </c>
      <c r="O575" s="331">
        <v>1</v>
      </c>
      <c r="P575" s="330">
        <f t="shared" si="95"/>
        <v>200</v>
      </c>
      <c r="Q575" s="330"/>
      <c r="R575" s="83">
        <v>200</v>
      </c>
      <c r="S575" s="329">
        <f t="shared" si="88"/>
        <v>0</v>
      </c>
      <c r="T575" s="332">
        <f t="shared" si="90"/>
        <v>1329.2307692307693</v>
      </c>
      <c r="U575" s="328">
        <f t="shared" si="91"/>
        <v>0</v>
      </c>
      <c r="V575" s="328">
        <f t="shared" si="92"/>
        <v>0</v>
      </c>
      <c r="W575" s="328">
        <v>0</v>
      </c>
      <c r="X575" s="255">
        <f t="shared" si="93"/>
        <v>46153.45</v>
      </c>
    </row>
    <row r="576" spans="1:24" s="118" customFormat="1" ht="26.5" hidden="1" x14ac:dyDescent="0.35">
      <c r="A576" s="71">
        <f t="shared" si="94"/>
        <v>46153.45</v>
      </c>
      <c r="B576" s="71"/>
      <c r="C576" s="71"/>
      <c r="D576" s="71"/>
      <c r="E576" s="96" t="s">
        <v>134</v>
      </c>
      <c r="F576" s="82" t="s">
        <v>1064</v>
      </c>
      <c r="G576" s="82"/>
      <c r="H576" s="334" t="s">
        <v>1071</v>
      </c>
      <c r="I576" s="71" t="s">
        <v>339</v>
      </c>
      <c r="J576" s="170" t="s">
        <v>140</v>
      </c>
      <c r="K576" s="101">
        <v>0</v>
      </c>
      <c r="L576" s="101">
        <v>0</v>
      </c>
      <c r="M576" s="102">
        <v>65</v>
      </c>
      <c r="N576" s="103">
        <v>700</v>
      </c>
      <c r="O576" s="335">
        <v>1</v>
      </c>
      <c r="P576" s="336">
        <f t="shared" si="95"/>
        <v>700</v>
      </c>
      <c r="Q576" s="336"/>
      <c r="R576" s="102">
        <v>700</v>
      </c>
      <c r="S576" s="337">
        <f t="shared" si="88"/>
        <v>0</v>
      </c>
      <c r="T576" s="338">
        <f t="shared" si="90"/>
        <v>1329.2307692307693</v>
      </c>
      <c r="U576" s="339">
        <f t="shared" si="91"/>
        <v>0</v>
      </c>
      <c r="V576" s="339">
        <f t="shared" si="92"/>
        <v>0</v>
      </c>
      <c r="W576" s="339">
        <v>0</v>
      </c>
      <c r="X576" s="255">
        <f t="shared" si="93"/>
        <v>46153.45</v>
      </c>
    </row>
    <row r="577" spans="1:24" s="118" customFormat="1" ht="26.5" hidden="1" x14ac:dyDescent="0.35">
      <c r="A577" s="71">
        <f t="shared" si="94"/>
        <v>46153.45</v>
      </c>
      <c r="B577" s="71"/>
      <c r="C577" s="71"/>
      <c r="D577" s="71"/>
      <c r="E577" s="96" t="s">
        <v>134</v>
      </c>
      <c r="F577" s="82" t="s">
        <v>1064</v>
      </c>
      <c r="G577" s="82"/>
      <c r="H577" s="334" t="s">
        <v>1072</v>
      </c>
      <c r="I577" s="73" t="s">
        <v>1073</v>
      </c>
      <c r="J577" s="170" t="s">
        <v>140</v>
      </c>
      <c r="K577" s="339">
        <v>0</v>
      </c>
      <c r="L577" s="339">
        <v>0</v>
      </c>
      <c r="M577" s="337">
        <v>65</v>
      </c>
      <c r="N577" s="336">
        <v>500</v>
      </c>
      <c r="O577" s="335">
        <v>1</v>
      </c>
      <c r="P577" s="336">
        <f t="shared" si="95"/>
        <v>500</v>
      </c>
      <c r="Q577" s="336"/>
      <c r="R577" s="102">
        <v>500</v>
      </c>
      <c r="S577" s="337">
        <f t="shared" si="88"/>
        <v>0</v>
      </c>
      <c r="T577" s="338">
        <f t="shared" si="90"/>
        <v>1329.2307692307693</v>
      </c>
      <c r="U577" s="339">
        <f t="shared" si="91"/>
        <v>0</v>
      </c>
      <c r="V577" s="339">
        <f t="shared" si="92"/>
        <v>0</v>
      </c>
      <c r="W577" s="339">
        <v>0</v>
      </c>
      <c r="X577" s="255">
        <f t="shared" si="93"/>
        <v>46153.45</v>
      </c>
    </row>
    <row r="578" spans="1:24" s="118" customFormat="1" ht="26.5" hidden="1" x14ac:dyDescent="0.35">
      <c r="A578" s="71">
        <f t="shared" si="94"/>
        <v>46153.45</v>
      </c>
      <c r="B578" s="71"/>
      <c r="C578" s="71"/>
      <c r="D578" s="71"/>
      <c r="E578" s="96" t="s">
        <v>134</v>
      </c>
      <c r="F578" s="82" t="s">
        <v>1064</v>
      </c>
      <c r="G578" s="82"/>
      <c r="H578" s="334" t="s">
        <v>1074</v>
      </c>
      <c r="I578" s="71" t="s">
        <v>348</v>
      </c>
      <c r="J578" s="170" t="s">
        <v>140</v>
      </c>
      <c r="K578" s="339">
        <v>0</v>
      </c>
      <c r="L578" s="339">
        <v>0</v>
      </c>
      <c r="M578" s="337">
        <v>65</v>
      </c>
      <c r="N578" s="336">
        <v>200</v>
      </c>
      <c r="O578" s="335">
        <v>1</v>
      </c>
      <c r="P578" s="336">
        <f t="shared" si="95"/>
        <v>200</v>
      </c>
      <c r="Q578" s="336"/>
      <c r="R578" s="102">
        <v>200</v>
      </c>
      <c r="S578" s="337">
        <f t="shared" si="88"/>
        <v>0</v>
      </c>
      <c r="T578" s="338">
        <f t="shared" si="90"/>
        <v>1329.2307692307693</v>
      </c>
      <c r="U578" s="339">
        <f t="shared" si="91"/>
        <v>0</v>
      </c>
      <c r="V578" s="339">
        <f t="shared" si="92"/>
        <v>0</v>
      </c>
      <c r="W578" s="339">
        <v>0</v>
      </c>
      <c r="X578" s="255">
        <f t="shared" si="93"/>
        <v>46153.45</v>
      </c>
    </row>
    <row r="579" spans="1:24" s="118" customFormat="1" ht="26.5" hidden="1" x14ac:dyDescent="0.35">
      <c r="A579" s="71">
        <f t="shared" si="94"/>
        <v>46153.45</v>
      </c>
      <c r="B579" s="71"/>
      <c r="C579" s="71"/>
      <c r="D579" s="71"/>
      <c r="E579" s="96" t="s">
        <v>134</v>
      </c>
      <c r="F579" s="82" t="s">
        <v>1064</v>
      </c>
      <c r="G579" s="82"/>
      <c r="H579" s="334" t="s">
        <v>1075</v>
      </c>
      <c r="I579" s="71" t="s">
        <v>345</v>
      </c>
      <c r="J579" s="170" t="s">
        <v>140</v>
      </c>
      <c r="K579" s="339">
        <v>0</v>
      </c>
      <c r="L579" s="339">
        <v>0</v>
      </c>
      <c r="M579" s="337">
        <v>65</v>
      </c>
      <c r="N579" s="336">
        <v>200</v>
      </c>
      <c r="O579" s="335">
        <v>1</v>
      </c>
      <c r="P579" s="336">
        <f t="shared" si="95"/>
        <v>200</v>
      </c>
      <c r="Q579" s="336"/>
      <c r="R579" s="102">
        <v>200</v>
      </c>
      <c r="S579" s="337">
        <f t="shared" si="88"/>
        <v>0</v>
      </c>
      <c r="T579" s="338">
        <f t="shared" si="90"/>
        <v>1329.2307692307693</v>
      </c>
      <c r="U579" s="339">
        <f t="shared" si="91"/>
        <v>0</v>
      </c>
      <c r="V579" s="339">
        <f t="shared" si="92"/>
        <v>0</v>
      </c>
      <c r="W579" s="339">
        <v>0</v>
      </c>
      <c r="X579" s="255">
        <f t="shared" si="93"/>
        <v>46153.45</v>
      </c>
    </row>
    <row r="580" spans="1:24" s="118" customFormat="1" ht="26.5" hidden="1" x14ac:dyDescent="0.35">
      <c r="A580" s="71">
        <f t="shared" si="94"/>
        <v>46153.45</v>
      </c>
      <c r="B580" s="71"/>
      <c r="C580" s="71"/>
      <c r="D580" s="71"/>
      <c r="E580" s="119" t="s">
        <v>134</v>
      </c>
      <c r="F580" s="82" t="s">
        <v>1064</v>
      </c>
      <c r="G580" s="82"/>
      <c r="H580" s="98" t="s">
        <v>1065</v>
      </c>
      <c r="I580" s="71" t="s">
        <v>1066</v>
      </c>
      <c r="J580" s="100" t="s">
        <v>140</v>
      </c>
      <c r="K580" s="101">
        <v>0</v>
      </c>
      <c r="L580" s="101">
        <v>0</v>
      </c>
      <c r="M580" s="102">
        <v>65</v>
      </c>
      <c r="N580" s="103">
        <v>525</v>
      </c>
      <c r="O580" s="171">
        <v>1</v>
      </c>
      <c r="P580" s="103">
        <f t="shared" si="95"/>
        <v>525</v>
      </c>
      <c r="Q580" s="103"/>
      <c r="R580" s="102">
        <v>525</v>
      </c>
      <c r="S580" s="102">
        <f t="shared" si="88"/>
        <v>0</v>
      </c>
      <c r="T580" s="173">
        <f t="shared" si="90"/>
        <v>1329.2307692307693</v>
      </c>
      <c r="U580" s="101">
        <f t="shared" si="91"/>
        <v>0</v>
      </c>
      <c r="V580" s="101">
        <f t="shared" si="92"/>
        <v>0</v>
      </c>
      <c r="W580" s="101">
        <v>0</v>
      </c>
      <c r="X580" s="255">
        <f t="shared" si="93"/>
        <v>46153.45</v>
      </c>
    </row>
    <row r="581" spans="1:24" s="118" customFormat="1" ht="29" hidden="1" x14ac:dyDescent="0.35">
      <c r="A581" s="71">
        <f t="shared" si="94"/>
        <v>46153.45</v>
      </c>
      <c r="B581" s="71"/>
      <c r="C581" s="71"/>
      <c r="D581" s="71"/>
      <c r="E581" s="119" t="s">
        <v>134</v>
      </c>
      <c r="F581" s="57" t="s">
        <v>1076</v>
      </c>
      <c r="G581" s="57"/>
      <c r="H581" s="49" t="s">
        <v>1077</v>
      </c>
      <c r="I581" s="82" t="s">
        <v>81</v>
      </c>
      <c r="J581" s="100" t="s">
        <v>140</v>
      </c>
      <c r="K581" s="84">
        <v>0</v>
      </c>
      <c r="L581" s="84">
        <v>0</v>
      </c>
      <c r="M581" s="83">
        <v>95</v>
      </c>
      <c r="N581" s="223">
        <v>2000</v>
      </c>
      <c r="O581" s="314">
        <v>1</v>
      </c>
      <c r="P581" s="223">
        <f t="shared" si="95"/>
        <v>2000</v>
      </c>
      <c r="Q581" s="223"/>
      <c r="R581" s="83">
        <v>2000</v>
      </c>
      <c r="S581" s="83">
        <f t="shared" si="88"/>
        <v>0</v>
      </c>
      <c r="T581" s="315">
        <f t="shared" si="90"/>
        <v>909.47368421052624</v>
      </c>
      <c r="U581" s="84">
        <f t="shared" si="91"/>
        <v>0</v>
      </c>
      <c r="V581" s="84">
        <f t="shared" si="92"/>
        <v>0</v>
      </c>
      <c r="W581" s="84">
        <v>0</v>
      </c>
      <c r="X581" s="255">
        <f t="shared" si="93"/>
        <v>46153.45</v>
      </c>
    </row>
    <row r="582" spans="1:24" s="118" customFormat="1" ht="39.5" hidden="1" x14ac:dyDescent="0.35">
      <c r="A582" s="71">
        <f t="shared" si="94"/>
        <v>46153.45</v>
      </c>
      <c r="B582" s="71"/>
      <c r="C582" s="71"/>
      <c r="D582" s="71"/>
      <c r="E582" s="96" t="s">
        <v>134</v>
      </c>
      <c r="F582" s="97" t="s">
        <v>4212</v>
      </c>
      <c r="G582" s="97"/>
      <c r="H582" s="340" t="s">
        <v>1078</v>
      </c>
      <c r="I582" s="82" t="s">
        <v>470</v>
      </c>
      <c r="J582" s="100" t="s">
        <v>140</v>
      </c>
      <c r="K582" s="101">
        <v>0</v>
      </c>
      <c r="L582" s="101">
        <v>0</v>
      </c>
      <c r="M582" s="102">
        <v>187</v>
      </c>
      <c r="N582" s="103">
        <v>3000</v>
      </c>
      <c r="O582" s="171">
        <v>2</v>
      </c>
      <c r="P582" s="103">
        <f t="shared" si="95"/>
        <v>1500</v>
      </c>
      <c r="Q582" s="103"/>
      <c r="R582" s="102">
        <v>1500</v>
      </c>
      <c r="S582" s="102">
        <f t="shared" si="88"/>
        <v>0</v>
      </c>
      <c r="T582" s="173">
        <f t="shared" si="90"/>
        <v>924.06417112299459</v>
      </c>
      <c r="U582" s="101">
        <f t="shared" si="91"/>
        <v>0</v>
      </c>
      <c r="V582" s="101">
        <f t="shared" si="92"/>
        <v>0</v>
      </c>
      <c r="W582" s="101">
        <v>0</v>
      </c>
      <c r="X582" s="255">
        <f t="shared" si="93"/>
        <v>46153.45</v>
      </c>
    </row>
    <row r="583" spans="1:24" s="118" customFormat="1" ht="26.5" hidden="1" x14ac:dyDescent="0.35">
      <c r="A583" s="71">
        <f t="shared" si="94"/>
        <v>46153.45</v>
      </c>
      <c r="B583" s="71"/>
      <c r="C583" s="71"/>
      <c r="D583" s="71"/>
      <c r="E583" s="119" t="s">
        <v>134</v>
      </c>
      <c r="F583" s="82" t="s">
        <v>1079</v>
      </c>
      <c r="G583" s="82"/>
      <c r="H583" s="319" t="s">
        <v>1080</v>
      </c>
      <c r="I583" s="71" t="s">
        <v>978</v>
      </c>
      <c r="J583" s="100" t="s">
        <v>140</v>
      </c>
      <c r="K583" s="101">
        <v>0</v>
      </c>
      <c r="L583" s="101">
        <v>0</v>
      </c>
      <c r="M583" s="83">
        <v>270</v>
      </c>
      <c r="N583" s="317">
        <v>533</v>
      </c>
      <c r="O583" s="314">
        <v>1</v>
      </c>
      <c r="P583" s="223">
        <f t="shared" si="95"/>
        <v>533</v>
      </c>
      <c r="Q583" s="223"/>
      <c r="R583" s="318">
        <v>533</v>
      </c>
      <c r="S583" s="83">
        <f t="shared" si="88"/>
        <v>0</v>
      </c>
      <c r="T583" s="315">
        <f t="shared" si="90"/>
        <v>320</v>
      </c>
      <c r="U583" s="84">
        <f t="shared" si="91"/>
        <v>0</v>
      </c>
      <c r="V583" s="84">
        <f t="shared" si="92"/>
        <v>0</v>
      </c>
      <c r="W583" s="84">
        <v>0</v>
      </c>
      <c r="X583" s="255">
        <f t="shared" si="93"/>
        <v>46153.45</v>
      </c>
    </row>
    <row r="584" spans="1:24" s="118" customFormat="1" ht="29" hidden="1" x14ac:dyDescent="0.35">
      <c r="A584" s="71">
        <f t="shared" si="94"/>
        <v>46153.45</v>
      </c>
      <c r="B584" s="71"/>
      <c r="C584" s="71"/>
      <c r="D584" s="71"/>
      <c r="E584" s="119" t="s">
        <v>134</v>
      </c>
      <c r="F584" s="57" t="s">
        <v>1076</v>
      </c>
      <c r="G584" s="57"/>
      <c r="H584" s="340" t="s">
        <v>1081</v>
      </c>
      <c r="I584" s="82" t="s">
        <v>470</v>
      </c>
      <c r="J584" s="100" t="s">
        <v>140</v>
      </c>
      <c r="K584" s="101">
        <v>0</v>
      </c>
      <c r="L584" s="84">
        <v>0</v>
      </c>
      <c r="M584" s="102">
        <v>187</v>
      </c>
      <c r="N584" s="103">
        <v>5760</v>
      </c>
      <c r="O584" s="171">
        <v>2</v>
      </c>
      <c r="P584" s="103">
        <f t="shared" si="95"/>
        <v>2880</v>
      </c>
      <c r="Q584" s="103"/>
      <c r="R584" s="102">
        <v>2880</v>
      </c>
      <c r="S584" s="102">
        <f t="shared" si="88"/>
        <v>0</v>
      </c>
      <c r="T584" s="173">
        <f t="shared" si="90"/>
        <v>924.06417112299459</v>
      </c>
      <c r="U584" s="101">
        <f t="shared" si="91"/>
        <v>0</v>
      </c>
      <c r="V584" s="101">
        <f t="shared" si="92"/>
        <v>0</v>
      </c>
      <c r="W584" s="101">
        <v>0</v>
      </c>
      <c r="X584" s="255">
        <f t="shared" si="93"/>
        <v>46153.45</v>
      </c>
    </row>
    <row r="585" spans="1:24" s="118" customFormat="1" hidden="1" x14ac:dyDescent="0.35">
      <c r="A585" s="71">
        <f t="shared" si="94"/>
        <v>46153.45</v>
      </c>
      <c r="B585" s="71"/>
      <c r="C585" s="71"/>
      <c r="D585" s="71"/>
      <c r="E585" s="119" t="s">
        <v>134</v>
      </c>
      <c r="F585" s="57" t="s">
        <v>1082</v>
      </c>
      <c r="G585" s="57"/>
      <c r="H585" s="98" t="s">
        <v>1083</v>
      </c>
      <c r="I585" s="82" t="s">
        <v>470</v>
      </c>
      <c r="J585" s="100" t="s">
        <v>140</v>
      </c>
      <c r="K585" s="84">
        <v>0</v>
      </c>
      <c r="L585" s="84">
        <v>0</v>
      </c>
      <c r="M585" s="102">
        <v>187</v>
      </c>
      <c r="N585" s="103">
        <v>4310</v>
      </c>
      <c r="O585" s="171">
        <v>2</v>
      </c>
      <c r="P585" s="103">
        <f t="shared" si="95"/>
        <v>2155</v>
      </c>
      <c r="Q585" s="103"/>
      <c r="R585" s="102">
        <v>2155</v>
      </c>
      <c r="S585" s="102">
        <f t="shared" si="88"/>
        <v>0</v>
      </c>
      <c r="T585" s="173">
        <f t="shared" si="90"/>
        <v>924.06417112299459</v>
      </c>
      <c r="U585" s="101">
        <f t="shared" si="91"/>
        <v>0</v>
      </c>
      <c r="V585" s="101">
        <f t="shared" si="92"/>
        <v>0</v>
      </c>
      <c r="W585" s="101">
        <v>0</v>
      </c>
      <c r="X585" s="255">
        <f t="shared" si="93"/>
        <v>46153.45</v>
      </c>
    </row>
    <row r="586" spans="1:24" s="118" customFormat="1" ht="26.5" hidden="1" x14ac:dyDescent="0.35">
      <c r="A586" s="71">
        <f t="shared" si="94"/>
        <v>46153.45</v>
      </c>
      <c r="B586" s="71"/>
      <c r="C586" s="71"/>
      <c r="D586" s="71"/>
      <c r="E586" s="119" t="s">
        <v>134</v>
      </c>
      <c r="F586" s="97" t="s">
        <v>1084</v>
      </c>
      <c r="G586" s="97"/>
      <c r="H586" s="98" t="s">
        <v>1085</v>
      </c>
      <c r="I586" s="82" t="s">
        <v>470</v>
      </c>
      <c r="J586" s="100" t="s">
        <v>140</v>
      </c>
      <c r="K586" s="84">
        <v>0</v>
      </c>
      <c r="L586" s="84">
        <v>0</v>
      </c>
      <c r="M586" s="102">
        <v>187</v>
      </c>
      <c r="N586" s="103">
        <v>960</v>
      </c>
      <c r="O586" s="171">
        <v>2</v>
      </c>
      <c r="P586" s="103">
        <f t="shared" si="95"/>
        <v>480</v>
      </c>
      <c r="Q586" s="103"/>
      <c r="R586" s="102">
        <v>480</v>
      </c>
      <c r="S586" s="102">
        <f t="shared" si="88"/>
        <v>0</v>
      </c>
      <c r="T586" s="173">
        <f t="shared" si="90"/>
        <v>924.06417112299459</v>
      </c>
      <c r="U586" s="101">
        <f t="shared" si="91"/>
        <v>0</v>
      </c>
      <c r="V586" s="101">
        <f t="shared" si="92"/>
        <v>0</v>
      </c>
      <c r="W586" s="101">
        <v>0</v>
      </c>
      <c r="X586" s="255">
        <f t="shared" si="93"/>
        <v>46153.45</v>
      </c>
    </row>
    <row r="587" spans="1:24" s="118" customFormat="1" ht="26.5" hidden="1" x14ac:dyDescent="0.35">
      <c r="A587" s="71">
        <f t="shared" si="94"/>
        <v>46153.45</v>
      </c>
      <c r="B587" s="71"/>
      <c r="C587" s="71"/>
      <c r="D587" s="71"/>
      <c r="E587" s="119" t="s">
        <v>134</v>
      </c>
      <c r="F587" s="97" t="s">
        <v>1084</v>
      </c>
      <c r="G587" s="97"/>
      <c r="H587" s="49" t="s">
        <v>1086</v>
      </c>
      <c r="I587" s="106" t="s">
        <v>710</v>
      </c>
      <c r="J587" s="100" t="s">
        <v>140</v>
      </c>
      <c r="K587" s="84">
        <v>0</v>
      </c>
      <c r="L587" s="84">
        <v>0</v>
      </c>
      <c r="M587" s="83">
        <v>105</v>
      </c>
      <c r="N587" s="223">
        <v>400</v>
      </c>
      <c r="O587" s="314">
        <v>1</v>
      </c>
      <c r="P587" s="223">
        <f t="shared" si="95"/>
        <v>400</v>
      </c>
      <c r="Q587" s="223"/>
      <c r="R587" s="83">
        <v>400</v>
      </c>
      <c r="S587" s="83">
        <f t="shared" si="88"/>
        <v>0</v>
      </c>
      <c r="T587" s="315">
        <f t="shared" si="90"/>
        <v>822.85714285714289</v>
      </c>
      <c r="U587" s="84">
        <f t="shared" si="91"/>
        <v>0</v>
      </c>
      <c r="V587" s="84">
        <f t="shared" si="92"/>
        <v>0</v>
      </c>
      <c r="W587" s="84">
        <v>0</v>
      </c>
      <c r="X587" s="255">
        <f t="shared" si="93"/>
        <v>46153.45</v>
      </c>
    </row>
    <row r="588" spans="1:24" s="118" customFormat="1" ht="26.5" hidden="1" x14ac:dyDescent="0.35">
      <c r="A588" s="71">
        <f t="shared" si="94"/>
        <v>46153.45</v>
      </c>
      <c r="B588" s="71"/>
      <c r="C588" s="71"/>
      <c r="D588" s="71"/>
      <c r="E588" s="119" t="s">
        <v>134</v>
      </c>
      <c r="F588" s="97" t="s">
        <v>1084</v>
      </c>
      <c r="G588" s="97"/>
      <c r="H588" s="49" t="s">
        <v>1087</v>
      </c>
      <c r="I588" s="106" t="s">
        <v>848</v>
      </c>
      <c r="J588" s="100" t="s">
        <v>140</v>
      </c>
      <c r="K588" s="84">
        <v>0</v>
      </c>
      <c r="L588" s="84">
        <v>0</v>
      </c>
      <c r="M588" s="83">
        <v>105</v>
      </c>
      <c r="N588" s="223">
        <v>78</v>
      </c>
      <c r="O588" s="314">
        <v>1</v>
      </c>
      <c r="P588" s="223">
        <f t="shared" si="95"/>
        <v>78</v>
      </c>
      <c r="Q588" s="223"/>
      <c r="R588" s="83">
        <v>78</v>
      </c>
      <c r="S588" s="83">
        <f t="shared" si="88"/>
        <v>0</v>
      </c>
      <c r="T588" s="315">
        <f t="shared" si="90"/>
        <v>822.85714285714289</v>
      </c>
      <c r="U588" s="84">
        <f t="shared" si="91"/>
        <v>0</v>
      </c>
      <c r="V588" s="84">
        <f t="shared" si="92"/>
        <v>0</v>
      </c>
      <c r="W588" s="84">
        <v>0</v>
      </c>
      <c r="X588" s="255">
        <f t="shared" si="93"/>
        <v>46153.45</v>
      </c>
    </row>
    <row r="589" spans="1:24" s="118" customFormat="1" ht="26.5" hidden="1" x14ac:dyDescent="0.35">
      <c r="A589" s="71">
        <f t="shared" si="94"/>
        <v>46153.45</v>
      </c>
      <c r="B589" s="71"/>
      <c r="C589" s="71"/>
      <c r="D589" s="71"/>
      <c r="E589" s="96" t="s">
        <v>134</v>
      </c>
      <c r="F589" s="97" t="s">
        <v>1084</v>
      </c>
      <c r="G589" s="97"/>
      <c r="H589" s="49" t="s">
        <v>1088</v>
      </c>
      <c r="I589" s="106" t="s">
        <v>846</v>
      </c>
      <c r="J589" s="100" t="s">
        <v>140</v>
      </c>
      <c r="K589" s="84">
        <v>0</v>
      </c>
      <c r="L589" s="84">
        <v>0</v>
      </c>
      <c r="M589" s="83">
        <v>105</v>
      </c>
      <c r="N589" s="223">
        <v>78</v>
      </c>
      <c r="O589" s="314">
        <v>1</v>
      </c>
      <c r="P589" s="223">
        <f t="shared" si="95"/>
        <v>78</v>
      </c>
      <c r="Q589" s="223"/>
      <c r="R589" s="83">
        <v>78</v>
      </c>
      <c r="S589" s="83">
        <f t="shared" si="88"/>
        <v>0</v>
      </c>
      <c r="T589" s="315">
        <f t="shared" si="90"/>
        <v>822.85714285714289</v>
      </c>
      <c r="U589" s="84">
        <f t="shared" si="91"/>
        <v>0</v>
      </c>
      <c r="V589" s="84">
        <f t="shared" si="92"/>
        <v>0</v>
      </c>
      <c r="W589" s="84">
        <v>0</v>
      </c>
      <c r="X589" s="255">
        <f t="shared" si="93"/>
        <v>46153.45</v>
      </c>
    </row>
    <row r="590" spans="1:24" s="118" customFormat="1" hidden="1" x14ac:dyDescent="0.35">
      <c r="A590" s="71">
        <f t="shared" si="94"/>
        <v>46153.45</v>
      </c>
      <c r="B590" s="71"/>
      <c r="C590" s="71"/>
      <c r="D590" s="71"/>
      <c r="E590" s="119" t="s">
        <v>134</v>
      </c>
      <c r="F590" s="82" t="s">
        <v>1089</v>
      </c>
      <c r="G590" s="82"/>
      <c r="H590" s="49" t="s">
        <v>1090</v>
      </c>
      <c r="I590" s="71" t="s">
        <v>1066</v>
      </c>
      <c r="J590" s="100" t="s">
        <v>140</v>
      </c>
      <c r="K590" s="84">
        <v>0</v>
      </c>
      <c r="L590" s="328">
        <v>0</v>
      </c>
      <c r="M590" s="329">
        <v>65</v>
      </c>
      <c r="N590" s="330">
        <v>560</v>
      </c>
      <c r="O590" s="331">
        <v>1</v>
      </c>
      <c r="P590" s="330">
        <f t="shared" si="95"/>
        <v>560</v>
      </c>
      <c r="Q590" s="330"/>
      <c r="R590" s="83">
        <v>560</v>
      </c>
      <c r="S590" s="329">
        <f t="shared" si="88"/>
        <v>0</v>
      </c>
      <c r="T590" s="332">
        <f t="shared" si="90"/>
        <v>1329.2307692307693</v>
      </c>
      <c r="U590" s="328">
        <f t="shared" si="91"/>
        <v>0</v>
      </c>
      <c r="V590" s="328">
        <f t="shared" si="92"/>
        <v>0</v>
      </c>
      <c r="W590" s="328">
        <v>0</v>
      </c>
      <c r="X590" s="255">
        <f t="shared" si="93"/>
        <v>46153.45</v>
      </c>
    </row>
    <row r="591" spans="1:24" s="118" customFormat="1" hidden="1" x14ac:dyDescent="0.35">
      <c r="A591" s="71">
        <f t="shared" si="94"/>
        <v>46153.45</v>
      </c>
      <c r="B591" s="71"/>
      <c r="C591" s="71"/>
      <c r="D591" s="71"/>
      <c r="E591" s="119" t="s">
        <v>134</v>
      </c>
      <c r="F591" s="82" t="s">
        <v>1091</v>
      </c>
      <c r="G591" s="82"/>
      <c r="H591" s="49" t="s">
        <v>1092</v>
      </c>
      <c r="I591" s="71" t="s">
        <v>351</v>
      </c>
      <c r="J591" s="100" t="s">
        <v>140</v>
      </c>
      <c r="K591" s="84">
        <v>0</v>
      </c>
      <c r="L591" s="328">
        <v>0</v>
      </c>
      <c r="M591" s="329">
        <v>65</v>
      </c>
      <c r="N591" s="330">
        <v>267</v>
      </c>
      <c r="O591" s="331">
        <v>1</v>
      </c>
      <c r="P591" s="330">
        <f t="shared" si="95"/>
        <v>267</v>
      </c>
      <c r="Q591" s="330"/>
      <c r="R591" s="83">
        <v>267</v>
      </c>
      <c r="S591" s="329">
        <f t="shared" si="88"/>
        <v>0</v>
      </c>
      <c r="T591" s="332">
        <f t="shared" si="90"/>
        <v>1329.2307692307693</v>
      </c>
      <c r="U591" s="328">
        <f t="shared" si="91"/>
        <v>0</v>
      </c>
      <c r="V591" s="328">
        <f t="shared" si="92"/>
        <v>0</v>
      </c>
      <c r="W591" s="328">
        <v>0</v>
      </c>
      <c r="X591" s="255">
        <f t="shared" si="93"/>
        <v>46153.45</v>
      </c>
    </row>
    <row r="592" spans="1:24" s="118" customFormat="1" hidden="1" x14ac:dyDescent="0.35">
      <c r="A592" s="71">
        <f t="shared" si="94"/>
        <v>46153.45</v>
      </c>
      <c r="B592" s="71"/>
      <c r="C592" s="71"/>
      <c r="D592" s="71"/>
      <c r="E592" s="96" t="s">
        <v>134</v>
      </c>
      <c r="F592" s="82" t="s">
        <v>1093</v>
      </c>
      <c r="G592" s="82"/>
      <c r="H592" s="334" t="s">
        <v>1094</v>
      </c>
      <c r="I592" s="73" t="s">
        <v>1073</v>
      </c>
      <c r="J592" s="170" t="s">
        <v>140</v>
      </c>
      <c r="K592" s="84">
        <v>0</v>
      </c>
      <c r="L592" s="328">
        <v>0</v>
      </c>
      <c r="M592" s="337">
        <v>65</v>
      </c>
      <c r="N592" s="336">
        <v>870</v>
      </c>
      <c r="O592" s="335">
        <v>1</v>
      </c>
      <c r="P592" s="336">
        <f t="shared" si="95"/>
        <v>870</v>
      </c>
      <c r="Q592" s="336"/>
      <c r="R592" s="102">
        <v>870</v>
      </c>
      <c r="S592" s="337">
        <f t="shared" si="88"/>
        <v>0</v>
      </c>
      <c r="T592" s="338">
        <f t="shared" si="90"/>
        <v>1329.2307692307693</v>
      </c>
      <c r="U592" s="339">
        <f t="shared" si="91"/>
        <v>0</v>
      </c>
      <c r="V592" s="339">
        <f t="shared" si="92"/>
        <v>0</v>
      </c>
      <c r="W592" s="339">
        <v>0</v>
      </c>
      <c r="X592" s="255">
        <f t="shared" si="93"/>
        <v>46153.45</v>
      </c>
    </row>
    <row r="593" spans="1:24" s="118" customFormat="1" hidden="1" x14ac:dyDescent="0.35">
      <c r="A593" s="71">
        <f t="shared" si="94"/>
        <v>46153.45</v>
      </c>
      <c r="B593" s="71"/>
      <c r="C593" s="71"/>
      <c r="D593" s="71"/>
      <c r="E593" s="96" t="s">
        <v>134</v>
      </c>
      <c r="F593" s="82" t="s">
        <v>1095</v>
      </c>
      <c r="G593" s="82"/>
      <c r="H593" s="334" t="s">
        <v>1096</v>
      </c>
      <c r="I593" s="71" t="s">
        <v>348</v>
      </c>
      <c r="J593" s="170" t="s">
        <v>140</v>
      </c>
      <c r="K593" s="84">
        <v>0</v>
      </c>
      <c r="L593" s="328">
        <v>0</v>
      </c>
      <c r="M593" s="337">
        <v>65</v>
      </c>
      <c r="N593" s="336">
        <v>380</v>
      </c>
      <c r="O593" s="335">
        <v>1</v>
      </c>
      <c r="P593" s="336">
        <f t="shared" si="95"/>
        <v>380</v>
      </c>
      <c r="Q593" s="336"/>
      <c r="R593" s="102">
        <v>380</v>
      </c>
      <c r="S593" s="337">
        <f t="shared" si="88"/>
        <v>0</v>
      </c>
      <c r="T593" s="338">
        <f t="shared" si="90"/>
        <v>1329.2307692307693</v>
      </c>
      <c r="U593" s="339">
        <f t="shared" si="91"/>
        <v>0</v>
      </c>
      <c r="V593" s="339">
        <f t="shared" si="92"/>
        <v>0</v>
      </c>
      <c r="W593" s="339">
        <v>0</v>
      </c>
      <c r="X593" s="255">
        <f t="shared" si="93"/>
        <v>46153.45</v>
      </c>
    </row>
    <row r="594" spans="1:24" s="118" customFormat="1" hidden="1" x14ac:dyDescent="0.35">
      <c r="A594" s="71">
        <f t="shared" si="94"/>
        <v>46153.45</v>
      </c>
      <c r="B594" s="71"/>
      <c r="C594" s="71"/>
      <c r="D594" s="71"/>
      <c r="E594" s="96" t="s">
        <v>134</v>
      </c>
      <c r="F594" s="82" t="s">
        <v>1097</v>
      </c>
      <c r="G594" s="82"/>
      <c r="H594" s="326" t="s">
        <v>1098</v>
      </c>
      <c r="I594" s="71" t="s">
        <v>339</v>
      </c>
      <c r="J594" s="170" t="s">
        <v>140</v>
      </c>
      <c r="K594" s="84">
        <v>0</v>
      </c>
      <c r="L594" s="328">
        <v>0</v>
      </c>
      <c r="M594" s="329">
        <v>65</v>
      </c>
      <c r="N594" s="330">
        <v>1390</v>
      </c>
      <c r="O594" s="331">
        <v>1</v>
      </c>
      <c r="P594" s="330">
        <f t="shared" si="95"/>
        <v>1390</v>
      </c>
      <c r="Q594" s="330"/>
      <c r="R594" s="83">
        <v>1390</v>
      </c>
      <c r="S594" s="329">
        <f t="shared" si="88"/>
        <v>0</v>
      </c>
      <c r="T594" s="332">
        <f t="shared" si="90"/>
        <v>1329.2307692307693</v>
      </c>
      <c r="U594" s="328">
        <f t="shared" si="91"/>
        <v>0</v>
      </c>
      <c r="V594" s="328">
        <f t="shared" si="92"/>
        <v>0</v>
      </c>
      <c r="W594" s="328">
        <v>0</v>
      </c>
      <c r="X594" s="255">
        <f t="shared" si="93"/>
        <v>46153.45</v>
      </c>
    </row>
    <row r="595" spans="1:24" s="118" customFormat="1" hidden="1" x14ac:dyDescent="0.35">
      <c r="A595" s="71">
        <f t="shared" si="94"/>
        <v>46153.45</v>
      </c>
      <c r="B595" s="71"/>
      <c r="C595" s="71"/>
      <c r="D595" s="71"/>
      <c r="E595" s="96" t="s">
        <v>134</v>
      </c>
      <c r="F595" s="82" t="s">
        <v>1099</v>
      </c>
      <c r="G595" s="82"/>
      <c r="H595" s="334" t="s">
        <v>1100</v>
      </c>
      <c r="I595" s="71" t="s">
        <v>345</v>
      </c>
      <c r="J595" s="170" t="s">
        <v>140</v>
      </c>
      <c r="K595" s="84">
        <v>0</v>
      </c>
      <c r="L595" s="84">
        <v>0</v>
      </c>
      <c r="M595" s="102">
        <v>65</v>
      </c>
      <c r="N595" s="103">
        <v>200</v>
      </c>
      <c r="O595" s="171">
        <v>1</v>
      </c>
      <c r="P595" s="103">
        <f t="shared" si="95"/>
        <v>200</v>
      </c>
      <c r="Q595" s="103"/>
      <c r="R595" s="102">
        <v>200</v>
      </c>
      <c r="S595" s="102">
        <f t="shared" si="88"/>
        <v>0</v>
      </c>
      <c r="T595" s="173">
        <f t="shared" si="90"/>
        <v>1329.2307692307693</v>
      </c>
      <c r="U595" s="101">
        <f t="shared" si="91"/>
        <v>0</v>
      </c>
      <c r="V595" s="101">
        <f t="shared" si="92"/>
        <v>0</v>
      </c>
      <c r="W595" s="101">
        <v>0</v>
      </c>
      <c r="X595" s="255">
        <f t="shared" si="93"/>
        <v>46153.45</v>
      </c>
    </row>
    <row r="596" spans="1:24" s="118" customFormat="1" ht="26.5" hidden="1" x14ac:dyDescent="0.35">
      <c r="A596" s="71">
        <f t="shared" si="94"/>
        <v>46153.45</v>
      </c>
      <c r="B596" s="71"/>
      <c r="C596" s="71"/>
      <c r="D596" s="71"/>
      <c r="E596" s="119" t="s">
        <v>134</v>
      </c>
      <c r="F596" s="82" t="s">
        <v>1084</v>
      </c>
      <c r="G596" s="82"/>
      <c r="H596" s="49" t="s">
        <v>1101</v>
      </c>
      <c r="I596" s="82" t="s">
        <v>108</v>
      </c>
      <c r="J596" s="100" t="s">
        <v>140</v>
      </c>
      <c r="K596" s="84">
        <v>0</v>
      </c>
      <c r="L596" s="84">
        <v>0</v>
      </c>
      <c r="M596" s="83">
        <v>800</v>
      </c>
      <c r="N596" s="223">
        <v>50</v>
      </c>
      <c r="O596" s="314">
        <v>1</v>
      </c>
      <c r="P596" s="103">
        <f t="shared" si="95"/>
        <v>50</v>
      </c>
      <c r="Q596" s="103"/>
      <c r="R596" s="83">
        <v>50</v>
      </c>
      <c r="S596" s="83">
        <f t="shared" si="88"/>
        <v>0</v>
      </c>
      <c r="T596" s="315">
        <f t="shared" si="90"/>
        <v>108</v>
      </c>
      <c r="U596" s="84">
        <f t="shared" si="91"/>
        <v>0</v>
      </c>
      <c r="V596" s="84">
        <f t="shared" si="92"/>
        <v>0</v>
      </c>
      <c r="W596" s="84">
        <v>0</v>
      </c>
      <c r="X596" s="255">
        <f t="shared" si="93"/>
        <v>46153.45</v>
      </c>
    </row>
    <row r="597" spans="1:24" s="118" customFormat="1" ht="26.5" hidden="1" x14ac:dyDescent="0.35">
      <c r="A597" s="71">
        <f t="shared" si="94"/>
        <v>46153.45</v>
      </c>
      <c r="B597" s="71"/>
      <c r="C597" s="71"/>
      <c r="D597" s="71"/>
      <c r="E597" s="119" t="s">
        <v>134</v>
      </c>
      <c r="F597" s="82" t="s">
        <v>1084</v>
      </c>
      <c r="G597" s="82"/>
      <c r="H597" s="98" t="s">
        <v>1085</v>
      </c>
      <c r="I597" s="82" t="s">
        <v>470</v>
      </c>
      <c r="J597" s="100" t="s">
        <v>140</v>
      </c>
      <c r="K597" s="84">
        <v>0</v>
      </c>
      <c r="L597" s="84">
        <v>0</v>
      </c>
      <c r="M597" s="102">
        <v>187</v>
      </c>
      <c r="N597" s="103">
        <v>5280</v>
      </c>
      <c r="O597" s="171">
        <v>2</v>
      </c>
      <c r="P597" s="103">
        <f t="shared" si="95"/>
        <v>2640</v>
      </c>
      <c r="Q597" s="103"/>
      <c r="R597" s="102">
        <v>2640</v>
      </c>
      <c r="S597" s="102">
        <f t="shared" si="88"/>
        <v>0</v>
      </c>
      <c r="T597" s="173">
        <f t="shared" si="90"/>
        <v>924.06417112299459</v>
      </c>
      <c r="U597" s="101">
        <f t="shared" si="91"/>
        <v>0</v>
      </c>
      <c r="V597" s="101">
        <f t="shared" si="92"/>
        <v>0</v>
      </c>
      <c r="W597" s="101">
        <v>0</v>
      </c>
      <c r="X597" s="255">
        <f t="shared" si="93"/>
        <v>46153.45</v>
      </c>
    </row>
    <row r="598" spans="1:24" s="118" customFormat="1" ht="26.5" hidden="1" x14ac:dyDescent="0.35">
      <c r="A598" s="71">
        <f t="shared" si="94"/>
        <v>46153.45</v>
      </c>
      <c r="B598" s="71"/>
      <c r="C598" s="71"/>
      <c r="D598" s="71"/>
      <c r="E598" s="119" t="s">
        <v>134</v>
      </c>
      <c r="F598" s="48" t="s">
        <v>1102</v>
      </c>
      <c r="G598" s="48"/>
      <c r="H598" s="59" t="s">
        <v>1103</v>
      </c>
      <c r="I598" s="71" t="s">
        <v>999</v>
      </c>
      <c r="J598" s="100" t="s">
        <v>140</v>
      </c>
      <c r="K598" s="84">
        <v>0</v>
      </c>
      <c r="L598" s="84">
        <v>0</v>
      </c>
      <c r="M598" s="83">
        <v>270</v>
      </c>
      <c r="N598" s="317">
        <v>1500</v>
      </c>
      <c r="O598" s="314">
        <v>1</v>
      </c>
      <c r="P598" s="223">
        <f t="shared" si="95"/>
        <v>1500</v>
      </c>
      <c r="Q598" s="223"/>
      <c r="R598" s="318">
        <v>1500</v>
      </c>
      <c r="S598" s="83">
        <f t="shared" si="88"/>
        <v>0</v>
      </c>
      <c r="T598" s="315">
        <f t="shared" si="90"/>
        <v>320</v>
      </c>
      <c r="U598" s="84">
        <f t="shared" si="91"/>
        <v>0</v>
      </c>
      <c r="V598" s="84">
        <f t="shared" si="92"/>
        <v>0</v>
      </c>
      <c r="W598" s="84">
        <v>0</v>
      </c>
      <c r="X598" s="255">
        <f t="shared" si="93"/>
        <v>46153.45</v>
      </c>
    </row>
    <row r="599" spans="1:24" s="118" customFormat="1" ht="26.5" hidden="1" x14ac:dyDescent="0.35">
      <c r="A599" s="71">
        <f t="shared" si="94"/>
        <v>46153.45</v>
      </c>
      <c r="B599" s="71"/>
      <c r="C599" s="71"/>
      <c r="D599" s="71"/>
      <c r="E599" s="119" t="s">
        <v>134</v>
      </c>
      <c r="F599" s="48" t="s">
        <v>1104</v>
      </c>
      <c r="G599" s="48"/>
      <c r="H599" s="59" t="s">
        <v>1105</v>
      </c>
      <c r="I599" s="71" t="s">
        <v>999</v>
      </c>
      <c r="J599" s="100" t="s">
        <v>140</v>
      </c>
      <c r="K599" s="84">
        <v>0</v>
      </c>
      <c r="L599" s="84">
        <v>0</v>
      </c>
      <c r="M599" s="83">
        <v>270</v>
      </c>
      <c r="N599" s="317">
        <v>1500</v>
      </c>
      <c r="O599" s="314">
        <v>1</v>
      </c>
      <c r="P599" s="223">
        <f t="shared" si="95"/>
        <v>1500</v>
      </c>
      <c r="Q599" s="223"/>
      <c r="R599" s="318">
        <v>1500</v>
      </c>
      <c r="S599" s="83">
        <f t="shared" si="88"/>
        <v>0</v>
      </c>
      <c r="T599" s="315">
        <f t="shared" si="90"/>
        <v>320</v>
      </c>
      <c r="U599" s="84">
        <f t="shared" si="91"/>
        <v>0</v>
      </c>
      <c r="V599" s="84">
        <f t="shared" si="92"/>
        <v>0</v>
      </c>
      <c r="W599" s="84">
        <v>0</v>
      </c>
      <c r="X599" s="255">
        <f t="shared" si="93"/>
        <v>46153.45</v>
      </c>
    </row>
    <row r="600" spans="1:24" s="118" customFormat="1" hidden="1" x14ac:dyDescent="0.35">
      <c r="A600" s="71">
        <f t="shared" si="94"/>
        <v>46153.45</v>
      </c>
      <c r="B600" s="71"/>
      <c r="C600" s="71"/>
      <c r="D600" s="71"/>
      <c r="E600" s="119" t="s">
        <v>134</v>
      </c>
      <c r="F600" s="82" t="s">
        <v>1106</v>
      </c>
      <c r="G600" s="82"/>
      <c r="H600" s="49" t="s">
        <v>1107</v>
      </c>
      <c r="I600" s="82" t="s">
        <v>108</v>
      </c>
      <c r="J600" s="100" t="s">
        <v>140</v>
      </c>
      <c r="K600" s="84">
        <v>0</v>
      </c>
      <c r="L600" s="84">
        <v>0</v>
      </c>
      <c r="M600" s="83">
        <v>800</v>
      </c>
      <c r="N600" s="223">
        <v>55</v>
      </c>
      <c r="O600" s="314">
        <v>1</v>
      </c>
      <c r="P600" s="103">
        <f t="shared" si="95"/>
        <v>55</v>
      </c>
      <c r="Q600" s="103"/>
      <c r="R600" s="83">
        <v>55</v>
      </c>
      <c r="S600" s="83">
        <f t="shared" si="88"/>
        <v>0</v>
      </c>
      <c r="T600" s="315">
        <f t="shared" si="90"/>
        <v>108</v>
      </c>
      <c r="U600" s="84">
        <f t="shared" si="91"/>
        <v>0</v>
      </c>
      <c r="V600" s="84">
        <f t="shared" si="92"/>
        <v>0</v>
      </c>
      <c r="W600" s="84">
        <v>0</v>
      </c>
      <c r="X600" s="255">
        <f t="shared" si="93"/>
        <v>46153.45</v>
      </c>
    </row>
    <row r="601" spans="1:24" hidden="1" x14ac:dyDescent="0.35">
      <c r="A601" s="71">
        <f t="shared" si="94"/>
        <v>46153.45</v>
      </c>
      <c r="B601" s="71"/>
      <c r="C601" s="71"/>
      <c r="D601" s="71"/>
      <c r="E601" s="47" t="s">
        <v>134</v>
      </c>
      <c r="F601" s="48" t="s">
        <v>1108</v>
      </c>
      <c r="G601" s="48"/>
      <c r="H601" s="49"/>
      <c r="I601" s="77" t="s">
        <v>1109</v>
      </c>
      <c r="J601" s="100" t="s">
        <v>140</v>
      </c>
      <c r="K601" s="52">
        <v>0</v>
      </c>
      <c r="L601" s="52">
        <v>0</v>
      </c>
      <c r="M601" s="53">
        <v>95</v>
      </c>
      <c r="N601" s="218">
        <v>1000</v>
      </c>
      <c r="O601" s="341">
        <v>1</v>
      </c>
      <c r="P601" s="54">
        <f t="shared" si="95"/>
        <v>1000</v>
      </c>
      <c r="Q601" s="54"/>
      <c r="R601" s="172">
        <v>1000</v>
      </c>
      <c r="S601" s="53">
        <f t="shared" si="88"/>
        <v>0</v>
      </c>
      <c r="T601" s="315">
        <f t="shared" si="90"/>
        <v>909.47368421052624</v>
      </c>
      <c r="U601" s="84">
        <f t="shared" si="91"/>
        <v>0</v>
      </c>
      <c r="V601" s="84">
        <f t="shared" si="92"/>
        <v>0</v>
      </c>
      <c r="W601" s="84">
        <v>0</v>
      </c>
      <c r="X601" s="255">
        <f t="shared" si="93"/>
        <v>46153.45</v>
      </c>
    </row>
    <row r="602" spans="1:24" s="221" customFormat="1" ht="26.5" hidden="1" x14ac:dyDescent="0.35">
      <c r="A602" s="71">
        <f t="shared" si="94"/>
        <v>46153.45</v>
      </c>
      <c r="B602" s="71"/>
      <c r="C602" s="71"/>
      <c r="D602" s="71"/>
      <c r="E602" s="47" t="s">
        <v>134</v>
      </c>
      <c r="F602" s="82" t="s">
        <v>1110</v>
      </c>
      <c r="G602" s="82"/>
      <c r="H602" s="59" t="s">
        <v>1111</v>
      </c>
      <c r="I602" s="71" t="s">
        <v>999</v>
      </c>
      <c r="J602" s="51" t="s">
        <v>140</v>
      </c>
      <c r="K602" s="52">
        <v>0</v>
      </c>
      <c r="L602" s="52">
        <v>0</v>
      </c>
      <c r="M602" s="53">
        <v>270</v>
      </c>
      <c r="N602" s="70">
        <v>1500</v>
      </c>
      <c r="O602" s="341">
        <v>1</v>
      </c>
      <c r="P602" s="54">
        <f t="shared" si="95"/>
        <v>1500</v>
      </c>
      <c r="Q602" s="54"/>
      <c r="R602" s="342">
        <v>1500</v>
      </c>
      <c r="S602" s="53">
        <f t="shared" si="88"/>
        <v>0</v>
      </c>
      <c r="T602" s="343">
        <f t="shared" si="90"/>
        <v>320</v>
      </c>
      <c r="U602" s="52">
        <f t="shared" si="91"/>
        <v>0</v>
      </c>
      <c r="V602" s="52">
        <f t="shared" si="92"/>
        <v>0</v>
      </c>
      <c r="W602" s="52">
        <v>0</v>
      </c>
      <c r="X602" s="255">
        <f t="shared" si="93"/>
        <v>46153.45</v>
      </c>
    </row>
    <row r="603" spans="1:24" s="221" customFormat="1" ht="26.5" hidden="1" x14ac:dyDescent="0.35">
      <c r="A603" s="71">
        <f t="shared" si="94"/>
        <v>46153.45</v>
      </c>
      <c r="B603" s="71"/>
      <c r="C603" s="71"/>
      <c r="D603" s="71"/>
      <c r="E603" s="47" t="s">
        <v>134</v>
      </c>
      <c r="F603" s="82" t="s">
        <v>1112</v>
      </c>
      <c r="G603" s="82"/>
      <c r="H603" s="59" t="s">
        <v>1113</v>
      </c>
      <c r="I603" s="71" t="s">
        <v>999</v>
      </c>
      <c r="J603" s="51" t="s">
        <v>140</v>
      </c>
      <c r="K603" s="52">
        <v>0</v>
      </c>
      <c r="L603" s="52">
        <v>0</v>
      </c>
      <c r="M603" s="53">
        <v>270</v>
      </c>
      <c r="N603" s="70">
        <v>1500</v>
      </c>
      <c r="O603" s="341">
        <v>1</v>
      </c>
      <c r="P603" s="54">
        <f t="shared" si="95"/>
        <v>1500</v>
      </c>
      <c r="Q603" s="54"/>
      <c r="R603" s="342">
        <v>1500</v>
      </c>
      <c r="S603" s="53">
        <f t="shared" si="88"/>
        <v>0</v>
      </c>
      <c r="T603" s="343">
        <f t="shared" si="90"/>
        <v>320</v>
      </c>
      <c r="U603" s="52">
        <f t="shared" si="91"/>
        <v>0</v>
      </c>
      <c r="V603" s="52">
        <f t="shared" si="92"/>
        <v>0</v>
      </c>
      <c r="W603" s="52">
        <v>0</v>
      </c>
      <c r="X603" s="255">
        <f t="shared" si="93"/>
        <v>46153.45</v>
      </c>
    </row>
    <row r="604" spans="1:24" ht="26.5" hidden="1" x14ac:dyDescent="0.35">
      <c r="A604" s="71">
        <f t="shared" si="94"/>
        <v>46153.45</v>
      </c>
      <c r="B604" s="71"/>
      <c r="C604" s="71"/>
      <c r="D604" s="71"/>
      <c r="E604" s="47" t="s">
        <v>134</v>
      </c>
      <c r="F604" s="82" t="s">
        <v>1114</v>
      </c>
      <c r="G604" s="82"/>
      <c r="H604" s="107" t="s">
        <v>1115</v>
      </c>
      <c r="I604" s="71" t="s">
        <v>999</v>
      </c>
      <c r="J604" s="51" t="s">
        <v>140</v>
      </c>
      <c r="K604" s="91">
        <v>0</v>
      </c>
      <c r="L604" s="91">
        <v>0</v>
      </c>
      <c r="M604" s="92">
        <v>270</v>
      </c>
      <c r="N604" s="344">
        <v>1500</v>
      </c>
      <c r="O604" s="253">
        <v>1</v>
      </c>
      <c r="P604" s="94">
        <f t="shared" si="95"/>
        <v>1500</v>
      </c>
      <c r="Q604" s="94"/>
      <c r="R604" s="345">
        <v>1500</v>
      </c>
      <c r="S604" s="92">
        <f t="shared" ref="S604:S667" si="96">P604-R604</f>
        <v>0</v>
      </c>
      <c r="T604" s="254">
        <f t="shared" si="90"/>
        <v>320</v>
      </c>
      <c r="U604" s="91">
        <f t="shared" si="91"/>
        <v>0</v>
      </c>
      <c r="V604" s="91">
        <f t="shared" si="92"/>
        <v>0</v>
      </c>
      <c r="W604" s="91">
        <v>0</v>
      </c>
      <c r="X604" s="255">
        <f t="shared" si="93"/>
        <v>46153.45</v>
      </c>
    </row>
    <row r="605" spans="1:24" hidden="1" x14ac:dyDescent="0.35">
      <c r="A605" s="71">
        <f t="shared" si="94"/>
        <v>46153.45</v>
      </c>
      <c r="B605" s="71"/>
      <c r="C605" s="71"/>
      <c r="D605" s="71"/>
      <c r="E605" s="119" t="s">
        <v>134</v>
      </c>
      <c r="F605" s="82" t="s">
        <v>513</v>
      </c>
      <c r="G605" s="82"/>
      <c r="H605" s="98" t="s">
        <v>1116</v>
      </c>
      <c r="I605" s="72" t="s">
        <v>191</v>
      </c>
      <c r="J605" s="51" t="s">
        <v>140</v>
      </c>
      <c r="K605" s="91">
        <v>0</v>
      </c>
      <c r="L605" s="91">
        <v>0</v>
      </c>
      <c r="M605" s="92">
        <v>67</v>
      </c>
      <c r="N605" s="94">
        <v>5940</v>
      </c>
      <c r="O605" s="253">
        <v>1</v>
      </c>
      <c r="P605" s="94">
        <f t="shared" si="95"/>
        <v>5940</v>
      </c>
      <c r="Q605" s="94"/>
      <c r="R605" s="92">
        <v>5940</v>
      </c>
      <c r="S605" s="92">
        <f t="shared" si="96"/>
        <v>0</v>
      </c>
      <c r="T605" s="254">
        <f t="shared" si="90"/>
        <v>1289.5522388059703</v>
      </c>
      <c r="U605" s="91">
        <f t="shared" si="91"/>
        <v>0</v>
      </c>
      <c r="V605" s="91">
        <f t="shared" si="92"/>
        <v>0</v>
      </c>
      <c r="W605" s="91">
        <v>0</v>
      </c>
      <c r="X605" s="255">
        <f t="shared" si="93"/>
        <v>46153.45</v>
      </c>
    </row>
    <row r="606" spans="1:24" hidden="1" x14ac:dyDescent="0.35">
      <c r="A606" s="71">
        <f t="shared" si="94"/>
        <v>46153.45</v>
      </c>
      <c r="B606" s="71"/>
      <c r="C606" s="71"/>
      <c r="D606" s="71"/>
      <c r="E606" s="119" t="s">
        <v>134</v>
      </c>
      <c r="F606" s="82" t="s">
        <v>513</v>
      </c>
      <c r="G606" s="82"/>
      <c r="H606" s="98" t="s">
        <v>1117</v>
      </c>
      <c r="I606" s="72" t="s">
        <v>380</v>
      </c>
      <c r="J606" s="51" t="s">
        <v>140</v>
      </c>
      <c r="K606" s="91">
        <v>0</v>
      </c>
      <c r="L606" s="91">
        <v>0</v>
      </c>
      <c r="M606" s="92">
        <v>67</v>
      </c>
      <c r="N606" s="94">
        <v>210</v>
      </c>
      <c r="O606" s="253">
        <v>1</v>
      </c>
      <c r="P606" s="94">
        <f t="shared" si="95"/>
        <v>210</v>
      </c>
      <c r="Q606" s="94"/>
      <c r="R606" s="92">
        <v>210</v>
      </c>
      <c r="S606" s="92">
        <f t="shared" si="96"/>
        <v>0</v>
      </c>
      <c r="T606" s="254">
        <f t="shared" si="90"/>
        <v>1289.5522388059703</v>
      </c>
      <c r="U606" s="91">
        <f t="shared" si="91"/>
        <v>0</v>
      </c>
      <c r="V606" s="91">
        <f t="shared" si="92"/>
        <v>0</v>
      </c>
      <c r="W606" s="225">
        <v>0</v>
      </c>
      <c r="X606" s="255">
        <f t="shared" si="93"/>
        <v>46153.45</v>
      </c>
    </row>
    <row r="607" spans="1:24" hidden="1" x14ac:dyDescent="0.35">
      <c r="A607" s="71">
        <f t="shared" si="94"/>
        <v>46153.45</v>
      </c>
      <c r="B607" s="71"/>
      <c r="C607" s="71"/>
      <c r="D607" s="71"/>
      <c r="E607" s="119" t="s">
        <v>134</v>
      </c>
      <c r="F607" s="82" t="s">
        <v>513</v>
      </c>
      <c r="G607" s="82"/>
      <c r="H607" s="98" t="s">
        <v>1118</v>
      </c>
      <c r="I607" s="72" t="s">
        <v>277</v>
      </c>
      <c r="J607" s="51" t="s">
        <v>140</v>
      </c>
      <c r="K607" s="91">
        <v>0</v>
      </c>
      <c r="L607" s="91">
        <v>0</v>
      </c>
      <c r="M607" s="92">
        <v>67</v>
      </c>
      <c r="N607" s="94">
        <v>630</v>
      </c>
      <c r="O607" s="253">
        <v>1</v>
      </c>
      <c r="P607" s="94">
        <f t="shared" si="95"/>
        <v>630</v>
      </c>
      <c r="Q607" s="94"/>
      <c r="R607" s="92">
        <v>630</v>
      </c>
      <c r="S607" s="92">
        <f t="shared" si="96"/>
        <v>0</v>
      </c>
      <c r="T607" s="254">
        <f t="shared" si="90"/>
        <v>1289.5522388059703</v>
      </c>
      <c r="U607" s="91">
        <f t="shared" si="91"/>
        <v>0</v>
      </c>
      <c r="V607" s="91">
        <f t="shared" si="92"/>
        <v>0</v>
      </c>
      <c r="W607" s="91">
        <v>0</v>
      </c>
      <c r="X607" s="255">
        <f t="shared" si="93"/>
        <v>46153.45</v>
      </c>
    </row>
    <row r="608" spans="1:24" hidden="1" x14ac:dyDescent="0.35">
      <c r="A608" s="71">
        <f t="shared" si="94"/>
        <v>46153.45</v>
      </c>
      <c r="B608" s="71"/>
      <c r="C608" s="71"/>
      <c r="D608" s="71"/>
      <c r="E608" s="119" t="s">
        <v>134</v>
      </c>
      <c r="F608" s="82" t="s">
        <v>513</v>
      </c>
      <c r="G608" s="82"/>
      <c r="H608" s="98" t="s">
        <v>1119</v>
      </c>
      <c r="I608" s="73" t="s">
        <v>274</v>
      </c>
      <c r="J608" s="51" t="s">
        <v>140</v>
      </c>
      <c r="K608" s="91">
        <v>0</v>
      </c>
      <c r="L608" s="91">
        <v>0</v>
      </c>
      <c r="M608" s="92">
        <v>67</v>
      </c>
      <c r="N608" s="94">
        <v>1260</v>
      </c>
      <c r="O608" s="253">
        <v>1</v>
      </c>
      <c r="P608" s="94">
        <f t="shared" si="95"/>
        <v>1260</v>
      </c>
      <c r="Q608" s="94"/>
      <c r="R608" s="92">
        <v>1260</v>
      </c>
      <c r="S608" s="92">
        <f t="shared" si="96"/>
        <v>0</v>
      </c>
      <c r="T608" s="254">
        <f t="shared" si="90"/>
        <v>1289.5522388059703</v>
      </c>
      <c r="U608" s="91">
        <f t="shared" si="91"/>
        <v>0</v>
      </c>
      <c r="V608" s="91">
        <f t="shared" si="92"/>
        <v>0</v>
      </c>
      <c r="W608" s="91">
        <v>0</v>
      </c>
      <c r="X608" s="255">
        <f t="shared" si="93"/>
        <v>46153.45</v>
      </c>
    </row>
    <row r="609" spans="1:24" hidden="1" x14ac:dyDescent="0.35">
      <c r="A609" s="71">
        <f t="shared" si="94"/>
        <v>46153.45</v>
      </c>
      <c r="B609" s="71"/>
      <c r="C609" s="71"/>
      <c r="D609" s="71"/>
      <c r="E609" s="119" t="s">
        <v>134</v>
      </c>
      <c r="F609" s="82" t="s">
        <v>513</v>
      </c>
      <c r="G609" s="82"/>
      <c r="H609" s="98" t="s">
        <v>1120</v>
      </c>
      <c r="I609" s="73" t="s">
        <v>274</v>
      </c>
      <c r="J609" s="51" t="s">
        <v>140</v>
      </c>
      <c r="K609" s="91">
        <v>0</v>
      </c>
      <c r="L609" s="91">
        <v>0</v>
      </c>
      <c r="M609" s="92">
        <v>67</v>
      </c>
      <c r="N609" s="94">
        <v>840</v>
      </c>
      <c r="O609" s="253">
        <v>1</v>
      </c>
      <c r="P609" s="94">
        <f t="shared" si="95"/>
        <v>840</v>
      </c>
      <c r="Q609" s="94"/>
      <c r="R609" s="92">
        <v>840</v>
      </c>
      <c r="S609" s="92">
        <f t="shared" si="96"/>
        <v>0</v>
      </c>
      <c r="T609" s="254">
        <f t="shared" si="90"/>
        <v>1289.5522388059703</v>
      </c>
      <c r="U609" s="91">
        <f t="shared" si="91"/>
        <v>0</v>
      </c>
      <c r="V609" s="91">
        <f t="shared" si="92"/>
        <v>0</v>
      </c>
      <c r="W609" s="91">
        <v>0</v>
      </c>
      <c r="X609" s="255">
        <f t="shared" si="93"/>
        <v>46153.45</v>
      </c>
    </row>
    <row r="610" spans="1:24" hidden="1" x14ac:dyDescent="0.35">
      <c r="A610" s="71">
        <f t="shared" si="94"/>
        <v>46153.45</v>
      </c>
      <c r="B610" s="71"/>
      <c r="C610" s="71"/>
      <c r="D610" s="71"/>
      <c r="E610" s="119" t="s">
        <v>134</v>
      </c>
      <c r="F610" s="82" t="s">
        <v>513</v>
      </c>
      <c r="G610" s="82"/>
      <c r="H610" s="98" t="s">
        <v>1121</v>
      </c>
      <c r="I610" s="72" t="s">
        <v>191</v>
      </c>
      <c r="J610" s="51" t="s">
        <v>140</v>
      </c>
      <c r="K610" s="91">
        <v>0</v>
      </c>
      <c r="L610" s="91">
        <v>0</v>
      </c>
      <c r="M610" s="92">
        <v>67</v>
      </c>
      <c r="N610" s="94">
        <v>5880</v>
      </c>
      <c r="O610" s="253">
        <v>1</v>
      </c>
      <c r="P610" s="94">
        <f t="shared" si="95"/>
        <v>5880</v>
      </c>
      <c r="Q610" s="94"/>
      <c r="R610" s="92">
        <v>5880</v>
      </c>
      <c r="S610" s="92">
        <f t="shared" si="96"/>
        <v>0</v>
      </c>
      <c r="T610" s="254">
        <f t="shared" si="90"/>
        <v>1289.5522388059703</v>
      </c>
      <c r="U610" s="91">
        <f t="shared" si="91"/>
        <v>0</v>
      </c>
      <c r="V610" s="91">
        <f t="shared" si="92"/>
        <v>0</v>
      </c>
      <c r="W610" s="91">
        <v>0</v>
      </c>
      <c r="X610" s="255">
        <f t="shared" si="93"/>
        <v>46153.45</v>
      </c>
    </row>
    <row r="611" spans="1:24" hidden="1" x14ac:dyDescent="0.35">
      <c r="A611" s="71">
        <f t="shared" si="94"/>
        <v>46153.45</v>
      </c>
      <c r="B611" s="71"/>
      <c r="C611" s="71"/>
      <c r="D611" s="71"/>
      <c r="E611" s="119" t="s">
        <v>134</v>
      </c>
      <c r="F611" s="82" t="s">
        <v>513</v>
      </c>
      <c r="G611" s="82"/>
      <c r="H611" s="98" t="s">
        <v>1122</v>
      </c>
      <c r="I611" s="72" t="s">
        <v>274</v>
      </c>
      <c r="J611" s="51" t="s">
        <v>140</v>
      </c>
      <c r="K611" s="91">
        <v>0</v>
      </c>
      <c r="L611" s="91">
        <v>0</v>
      </c>
      <c r="M611" s="92">
        <v>67</v>
      </c>
      <c r="N611" s="94">
        <v>840</v>
      </c>
      <c r="O611" s="253">
        <v>1</v>
      </c>
      <c r="P611" s="94">
        <f t="shared" si="95"/>
        <v>840</v>
      </c>
      <c r="Q611" s="94"/>
      <c r="R611" s="92">
        <v>840</v>
      </c>
      <c r="S611" s="92">
        <f t="shared" si="96"/>
        <v>0</v>
      </c>
      <c r="T611" s="254">
        <f t="shared" si="90"/>
        <v>1289.5522388059703</v>
      </c>
      <c r="U611" s="91">
        <f t="shared" si="91"/>
        <v>0</v>
      </c>
      <c r="V611" s="91">
        <f t="shared" si="92"/>
        <v>0</v>
      </c>
      <c r="W611" s="91">
        <v>0</v>
      </c>
      <c r="X611" s="255">
        <f t="shared" si="93"/>
        <v>46153.45</v>
      </c>
    </row>
    <row r="612" spans="1:24" ht="26.5" hidden="1" x14ac:dyDescent="0.35">
      <c r="A612" s="71">
        <f t="shared" si="94"/>
        <v>46153.45</v>
      </c>
      <c r="B612" s="71"/>
      <c r="C612" s="71"/>
      <c r="D612" s="71"/>
      <c r="E612" s="47" t="s">
        <v>134</v>
      </c>
      <c r="F612" s="82" t="s">
        <v>1123</v>
      </c>
      <c r="G612" s="82"/>
      <c r="H612" s="59" t="s">
        <v>1124</v>
      </c>
      <c r="I612" s="71" t="s">
        <v>999</v>
      </c>
      <c r="J612" s="51" t="s">
        <v>140</v>
      </c>
      <c r="K612" s="52">
        <v>0</v>
      </c>
      <c r="L612" s="52">
        <v>0</v>
      </c>
      <c r="M612" s="53">
        <v>270</v>
      </c>
      <c r="N612" s="70">
        <v>1500</v>
      </c>
      <c r="O612" s="341">
        <v>1</v>
      </c>
      <c r="P612" s="54">
        <f t="shared" si="95"/>
        <v>1500</v>
      </c>
      <c r="Q612" s="54"/>
      <c r="R612" s="342">
        <v>1500</v>
      </c>
      <c r="S612" s="53">
        <f t="shared" si="96"/>
        <v>0</v>
      </c>
      <c r="T612" s="343">
        <f t="shared" ref="T612:T675" si="97">((3600/M612)*O612)*24</f>
        <v>320</v>
      </c>
      <c r="U612" s="52">
        <f t="shared" ref="U612:U675" si="98">(P612-R612)*M612/3600</f>
        <v>0</v>
      </c>
      <c r="V612" s="52">
        <f t="shared" ref="V612:V675" si="99">(P612-R612)*M612/3600/24</f>
        <v>0</v>
      </c>
      <c r="W612" s="52">
        <v>0</v>
      </c>
      <c r="X612" s="255">
        <f t="shared" ref="X612:X675" si="100">A612+K612+V612+W612+L612</f>
        <v>46153.45</v>
      </c>
    </row>
    <row r="613" spans="1:24" hidden="1" x14ac:dyDescent="0.35">
      <c r="A613" s="71">
        <f t="shared" ref="A613:A676" si="101">X612</f>
        <v>46153.45</v>
      </c>
      <c r="B613" s="71"/>
      <c r="C613" s="71"/>
      <c r="D613" s="71"/>
      <c r="E613" s="119" t="s">
        <v>134</v>
      </c>
      <c r="F613" s="97" t="s">
        <v>271</v>
      </c>
      <c r="G613" s="97"/>
      <c r="H613" s="98" t="s">
        <v>1125</v>
      </c>
      <c r="I613" s="82" t="s">
        <v>470</v>
      </c>
      <c r="J613" s="100" t="s">
        <v>140</v>
      </c>
      <c r="K613" s="101">
        <v>0</v>
      </c>
      <c r="L613" s="101">
        <v>0</v>
      </c>
      <c r="M613" s="102">
        <v>187</v>
      </c>
      <c r="N613" s="103">
        <v>1680</v>
      </c>
      <c r="O613" s="171">
        <v>2</v>
      </c>
      <c r="P613" s="103">
        <f t="shared" si="95"/>
        <v>840</v>
      </c>
      <c r="Q613" s="103"/>
      <c r="R613" s="102">
        <v>840</v>
      </c>
      <c r="S613" s="102">
        <f t="shared" si="96"/>
        <v>0</v>
      </c>
      <c r="T613" s="173">
        <f t="shared" si="97"/>
        <v>924.06417112299459</v>
      </c>
      <c r="U613" s="101">
        <f t="shared" si="98"/>
        <v>0</v>
      </c>
      <c r="V613" s="101">
        <f t="shared" si="99"/>
        <v>0</v>
      </c>
      <c r="W613" s="52">
        <v>0</v>
      </c>
      <c r="X613" s="255">
        <f t="shared" si="100"/>
        <v>46153.45</v>
      </c>
    </row>
    <row r="614" spans="1:24" hidden="1" x14ac:dyDescent="0.35">
      <c r="A614" s="71">
        <f t="shared" si="101"/>
        <v>46153.45</v>
      </c>
      <c r="B614" s="71"/>
      <c r="C614" s="71"/>
      <c r="D614" s="71"/>
      <c r="E614" s="119" t="s">
        <v>134</v>
      </c>
      <c r="F614" s="97" t="s">
        <v>271</v>
      </c>
      <c r="G614" s="97"/>
      <c r="H614" s="98" t="s">
        <v>1126</v>
      </c>
      <c r="I614" s="82" t="s">
        <v>470</v>
      </c>
      <c r="J614" s="100" t="s">
        <v>140</v>
      </c>
      <c r="K614" s="101">
        <v>0</v>
      </c>
      <c r="L614" s="101">
        <v>0</v>
      </c>
      <c r="M614" s="102">
        <v>187</v>
      </c>
      <c r="N614" s="103">
        <v>5040</v>
      </c>
      <c r="O614" s="171">
        <v>2</v>
      </c>
      <c r="P614" s="103">
        <f t="shared" si="95"/>
        <v>2520</v>
      </c>
      <c r="Q614" s="103"/>
      <c r="R614" s="102">
        <v>2520</v>
      </c>
      <c r="S614" s="102">
        <f t="shared" si="96"/>
        <v>0</v>
      </c>
      <c r="T614" s="173">
        <f t="shared" si="97"/>
        <v>924.06417112299459</v>
      </c>
      <c r="U614" s="101">
        <f t="shared" si="98"/>
        <v>0</v>
      </c>
      <c r="V614" s="101">
        <f t="shared" si="99"/>
        <v>0</v>
      </c>
      <c r="W614" s="52">
        <v>0</v>
      </c>
      <c r="X614" s="255">
        <f t="shared" si="100"/>
        <v>46153.45</v>
      </c>
    </row>
    <row r="615" spans="1:24" hidden="1" x14ac:dyDescent="0.35">
      <c r="A615" s="71">
        <f t="shared" si="101"/>
        <v>46153.45</v>
      </c>
      <c r="B615" s="71"/>
      <c r="C615" s="71"/>
      <c r="D615" s="71"/>
      <c r="E615" s="119" t="s">
        <v>134</v>
      </c>
      <c r="F615" s="97" t="s">
        <v>271</v>
      </c>
      <c r="G615" s="97"/>
      <c r="H615" s="98" t="s">
        <v>1127</v>
      </c>
      <c r="I615" s="82" t="s">
        <v>470</v>
      </c>
      <c r="J615" s="100" t="s">
        <v>140</v>
      </c>
      <c r="K615" s="101">
        <v>0</v>
      </c>
      <c r="L615" s="101">
        <v>0</v>
      </c>
      <c r="M615" s="102">
        <v>187</v>
      </c>
      <c r="N615" s="103">
        <v>480</v>
      </c>
      <c r="O615" s="171">
        <v>2</v>
      </c>
      <c r="P615" s="103">
        <f t="shared" si="95"/>
        <v>240</v>
      </c>
      <c r="Q615" s="103"/>
      <c r="R615" s="102">
        <v>240</v>
      </c>
      <c r="S615" s="102">
        <f t="shared" si="96"/>
        <v>0</v>
      </c>
      <c r="T615" s="173">
        <f t="shared" si="97"/>
        <v>924.06417112299459</v>
      </c>
      <c r="U615" s="101">
        <f t="shared" si="98"/>
        <v>0</v>
      </c>
      <c r="V615" s="101">
        <f t="shared" si="99"/>
        <v>0</v>
      </c>
      <c r="W615" s="52">
        <v>0</v>
      </c>
      <c r="X615" s="255">
        <f t="shared" si="100"/>
        <v>46153.45</v>
      </c>
    </row>
    <row r="616" spans="1:24" hidden="1" x14ac:dyDescent="0.35">
      <c r="A616" s="71">
        <f t="shared" si="101"/>
        <v>46153.45</v>
      </c>
      <c r="B616" s="71"/>
      <c r="C616" s="71"/>
      <c r="D616" s="71"/>
      <c r="E616" s="119" t="s">
        <v>134</v>
      </c>
      <c r="F616" s="82" t="s">
        <v>1128</v>
      </c>
      <c r="G616" s="82"/>
      <c r="H616" s="49" t="s">
        <v>1129</v>
      </c>
      <c r="I616" s="71" t="s">
        <v>523</v>
      </c>
      <c r="J616" s="100" t="s">
        <v>140</v>
      </c>
      <c r="K616" s="84">
        <v>0</v>
      </c>
      <c r="L616" s="84">
        <v>0</v>
      </c>
      <c r="M616" s="83">
        <v>67</v>
      </c>
      <c r="N616" s="317">
        <v>420</v>
      </c>
      <c r="O616" s="314">
        <v>1</v>
      </c>
      <c r="P616" s="223">
        <f t="shared" si="95"/>
        <v>420</v>
      </c>
      <c r="Q616" s="223"/>
      <c r="R616" s="318">
        <v>420</v>
      </c>
      <c r="S616" s="83">
        <f t="shared" si="96"/>
        <v>0</v>
      </c>
      <c r="T616" s="315">
        <f t="shared" si="97"/>
        <v>1289.5522388059703</v>
      </c>
      <c r="U616" s="84">
        <f t="shared" si="98"/>
        <v>0</v>
      </c>
      <c r="V616" s="84">
        <f t="shared" si="99"/>
        <v>0</v>
      </c>
      <c r="W616" s="84">
        <v>0</v>
      </c>
      <c r="X616" s="255">
        <f t="shared" si="100"/>
        <v>46153.45</v>
      </c>
    </row>
    <row r="617" spans="1:24" s="118" customFormat="1" hidden="1" x14ac:dyDescent="0.35">
      <c r="A617" s="71">
        <f t="shared" si="101"/>
        <v>46153.45</v>
      </c>
      <c r="B617" s="71"/>
      <c r="C617" s="71"/>
      <c r="D617" s="71"/>
      <c r="E617" s="119" t="s">
        <v>134</v>
      </c>
      <c r="F617" s="82" t="s">
        <v>1130</v>
      </c>
      <c r="G617" s="82"/>
      <c r="H617" s="49" t="s">
        <v>1131</v>
      </c>
      <c r="I617" s="82" t="s">
        <v>274</v>
      </c>
      <c r="J617" s="100" t="s">
        <v>140</v>
      </c>
      <c r="K617" s="84">
        <v>0</v>
      </c>
      <c r="L617" s="84">
        <v>0</v>
      </c>
      <c r="M617" s="83">
        <v>67</v>
      </c>
      <c r="N617" s="223">
        <v>630</v>
      </c>
      <c r="O617" s="314">
        <v>1</v>
      </c>
      <c r="P617" s="223">
        <f t="shared" si="95"/>
        <v>630</v>
      </c>
      <c r="Q617" s="223"/>
      <c r="R617" s="83">
        <v>630</v>
      </c>
      <c r="S617" s="83">
        <f t="shared" si="96"/>
        <v>0</v>
      </c>
      <c r="T617" s="315">
        <f t="shared" si="97"/>
        <v>1289.5522388059703</v>
      </c>
      <c r="U617" s="84">
        <f t="shared" si="98"/>
        <v>0</v>
      </c>
      <c r="V617" s="84">
        <f t="shared" si="99"/>
        <v>0</v>
      </c>
      <c r="W617" s="84">
        <v>0</v>
      </c>
      <c r="X617" s="255">
        <f t="shared" si="100"/>
        <v>46153.45</v>
      </c>
    </row>
    <row r="618" spans="1:24" s="118" customFormat="1" hidden="1" x14ac:dyDescent="0.35">
      <c r="A618" s="71">
        <f t="shared" si="101"/>
        <v>46153.45</v>
      </c>
      <c r="B618" s="71"/>
      <c r="C618" s="71"/>
      <c r="D618" s="71"/>
      <c r="E618" s="119" t="s">
        <v>134</v>
      </c>
      <c r="F618" s="82" t="s">
        <v>1130</v>
      </c>
      <c r="G618" s="82"/>
      <c r="H618" s="49" t="s">
        <v>1132</v>
      </c>
      <c r="I618" s="82" t="s">
        <v>191</v>
      </c>
      <c r="J618" s="100" t="s">
        <v>140</v>
      </c>
      <c r="K618" s="84">
        <v>0</v>
      </c>
      <c r="L618" s="84">
        <v>0</v>
      </c>
      <c r="M618" s="83">
        <v>67</v>
      </c>
      <c r="N618" s="223">
        <v>4620</v>
      </c>
      <c r="O618" s="314">
        <v>1</v>
      </c>
      <c r="P618" s="223">
        <f t="shared" si="95"/>
        <v>4620</v>
      </c>
      <c r="Q618" s="223"/>
      <c r="R618" s="83">
        <v>4620</v>
      </c>
      <c r="S618" s="83">
        <f t="shared" si="96"/>
        <v>0</v>
      </c>
      <c r="T618" s="315">
        <f t="shared" si="97"/>
        <v>1289.5522388059703</v>
      </c>
      <c r="U618" s="84">
        <f t="shared" si="98"/>
        <v>0</v>
      </c>
      <c r="V618" s="84">
        <f t="shared" si="99"/>
        <v>0</v>
      </c>
      <c r="W618" s="84">
        <v>0</v>
      </c>
      <c r="X618" s="255">
        <f t="shared" si="100"/>
        <v>46153.45</v>
      </c>
    </row>
    <row r="619" spans="1:24" s="118" customFormat="1" hidden="1" x14ac:dyDescent="0.35">
      <c r="A619" s="71">
        <f t="shared" si="101"/>
        <v>46153.45</v>
      </c>
      <c r="B619" s="71"/>
      <c r="C619" s="71"/>
      <c r="D619" s="71"/>
      <c r="E619" s="119" t="s">
        <v>134</v>
      </c>
      <c r="F619" s="82" t="s">
        <v>1130</v>
      </c>
      <c r="G619" s="82"/>
      <c r="H619" s="98" t="s">
        <v>1133</v>
      </c>
      <c r="I619" s="71" t="s">
        <v>1012</v>
      </c>
      <c r="J619" s="100" t="s">
        <v>140</v>
      </c>
      <c r="K619" s="101">
        <v>0</v>
      </c>
      <c r="L619" s="101">
        <v>0</v>
      </c>
      <c r="M619" s="102">
        <v>67</v>
      </c>
      <c r="N619" s="227">
        <v>210</v>
      </c>
      <c r="O619" s="171">
        <v>1</v>
      </c>
      <c r="P619" s="103">
        <f t="shared" si="95"/>
        <v>210</v>
      </c>
      <c r="Q619" s="103"/>
      <c r="R619" s="346">
        <v>210</v>
      </c>
      <c r="S619" s="102">
        <f t="shared" si="96"/>
        <v>0</v>
      </c>
      <c r="T619" s="173">
        <f t="shared" si="97"/>
        <v>1289.5522388059703</v>
      </c>
      <c r="U619" s="101">
        <f t="shared" si="98"/>
        <v>0</v>
      </c>
      <c r="V619" s="101">
        <f t="shared" si="99"/>
        <v>0</v>
      </c>
      <c r="W619" s="101">
        <v>0</v>
      </c>
      <c r="X619" s="255">
        <f t="shared" si="100"/>
        <v>46153.45</v>
      </c>
    </row>
    <row r="620" spans="1:24" s="118" customFormat="1" hidden="1" x14ac:dyDescent="0.35">
      <c r="A620" s="71">
        <f t="shared" si="101"/>
        <v>46153.45</v>
      </c>
      <c r="B620" s="71"/>
      <c r="C620" s="71"/>
      <c r="D620" s="71"/>
      <c r="E620" s="119" t="s">
        <v>134</v>
      </c>
      <c r="F620" s="82" t="s">
        <v>1130</v>
      </c>
      <c r="G620" s="82"/>
      <c r="H620" s="98" t="s">
        <v>1134</v>
      </c>
      <c r="I620" s="82" t="s">
        <v>380</v>
      </c>
      <c r="J620" s="100" t="s">
        <v>140</v>
      </c>
      <c r="K620" s="101">
        <v>0</v>
      </c>
      <c r="L620" s="101">
        <v>0</v>
      </c>
      <c r="M620" s="102">
        <v>67</v>
      </c>
      <c r="N620" s="103">
        <v>210</v>
      </c>
      <c r="O620" s="171">
        <v>1</v>
      </c>
      <c r="P620" s="103">
        <f t="shared" si="95"/>
        <v>210</v>
      </c>
      <c r="Q620" s="103"/>
      <c r="R620" s="102">
        <v>210</v>
      </c>
      <c r="S620" s="102">
        <f t="shared" si="96"/>
        <v>0</v>
      </c>
      <c r="T620" s="173">
        <f t="shared" si="97"/>
        <v>1289.5522388059703</v>
      </c>
      <c r="U620" s="101">
        <f t="shared" si="98"/>
        <v>0</v>
      </c>
      <c r="V620" s="101">
        <f t="shared" si="99"/>
        <v>0</v>
      </c>
      <c r="W620" s="101">
        <v>0</v>
      </c>
      <c r="X620" s="255">
        <f t="shared" si="100"/>
        <v>46153.45</v>
      </c>
    </row>
    <row r="621" spans="1:24" s="118" customFormat="1" hidden="1" x14ac:dyDescent="0.35">
      <c r="A621" s="71">
        <f t="shared" si="101"/>
        <v>46153.45</v>
      </c>
      <c r="B621" s="71"/>
      <c r="C621" s="71"/>
      <c r="D621" s="71"/>
      <c r="E621" s="119" t="s">
        <v>134</v>
      </c>
      <c r="F621" s="82" t="s">
        <v>1130</v>
      </c>
      <c r="G621" s="82"/>
      <c r="H621" s="98" t="s">
        <v>1135</v>
      </c>
      <c r="I621" s="82" t="s">
        <v>409</v>
      </c>
      <c r="J621" s="100" t="s">
        <v>140</v>
      </c>
      <c r="K621" s="101">
        <v>0</v>
      </c>
      <c r="L621" s="101">
        <v>0</v>
      </c>
      <c r="M621" s="102">
        <v>67</v>
      </c>
      <c r="N621" s="347">
        <v>210</v>
      </c>
      <c r="O621" s="171">
        <v>1</v>
      </c>
      <c r="P621" s="103">
        <f t="shared" si="95"/>
        <v>210</v>
      </c>
      <c r="Q621" s="103"/>
      <c r="R621" s="108">
        <v>210</v>
      </c>
      <c r="S621" s="102">
        <f t="shared" si="96"/>
        <v>0</v>
      </c>
      <c r="T621" s="173">
        <f t="shared" si="97"/>
        <v>1289.5522388059703</v>
      </c>
      <c r="U621" s="101">
        <f t="shared" si="98"/>
        <v>0</v>
      </c>
      <c r="V621" s="101">
        <f t="shared" si="99"/>
        <v>0</v>
      </c>
      <c r="W621" s="101">
        <v>0</v>
      </c>
      <c r="X621" s="255">
        <f t="shared" si="100"/>
        <v>46153.45</v>
      </c>
    </row>
    <row r="622" spans="1:24" s="118" customFormat="1" ht="26.5" hidden="1" x14ac:dyDescent="0.35">
      <c r="A622" s="71">
        <f t="shared" si="101"/>
        <v>46153.45</v>
      </c>
      <c r="B622" s="71"/>
      <c r="C622" s="71"/>
      <c r="D622" s="71"/>
      <c r="E622" s="119" t="s">
        <v>454</v>
      </c>
      <c r="F622" s="82" t="s">
        <v>177</v>
      </c>
      <c r="G622" s="82"/>
      <c r="H622" s="98" t="s">
        <v>1136</v>
      </c>
      <c r="I622" s="82" t="s">
        <v>191</v>
      </c>
      <c r="J622" s="100" t="s">
        <v>140</v>
      </c>
      <c r="K622" s="101">
        <v>0</v>
      </c>
      <c r="L622" s="101">
        <v>0</v>
      </c>
      <c r="M622" s="102">
        <v>67</v>
      </c>
      <c r="N622" s="103">
        <v>2380</v>
      </c>
      <c r="O622" s="171">
        <v>1</v>
      </c>
      <c r="P622" s="103">
        <f t="shared" si="95"/>
        <v>2380</v>
      </c>
      <c r="Q622" s="103"/>
      <c r="R622" s="102">
        <v>2380</v>
      </c>
      <c r="S622" s="102">
        <f t="shared" si="96"/>
        <v>0</v>
      </c>
      <c r="T622" s="173">
        <f t="shared" si="97"/>
        <v>1289.5522388059703</v>
      </c>
      <c r="U622" s="101">
        <f t="shared" si="98"/>
        <v>0</v>
      </c>
      <c r="V622" s="101">
        <f t="shared" si="99"/>
        <v>0</v>
      </c>
      <c r="W622" s="101">
        <v>0</v>
      </c>
      <c r="X622" s="255">
        <f t="shared" si="100"/>
        <v>46153.45</v>
      </c>
    </row>
    <row r="623" spans="1:24" ht="26.5" hidden="1" x14ac:dyDescent="0.35">
      <c r="A623" s="71">
        <f t="shared" si="101"/>
        <v>46153.45</v>
      </c>
      <c r="B623" s="71"/>
      <c r="C623" s="71"/>
      <c r="D623" s="71"/>
      <c r="E623" s="47" t="s">
        <v>134</v>
      </c>
      <c r="F623" s="82" t="s">
        <v>1137</v>
      </c>
      <c r="G623" s="82"/>
      <c r="H623" s="107" t="s">
        <v>1138</v>
      </c>
      <c r="I623" s="71" t="s">
        <v>999</v>
      </c>
      <c r="J623" s="51" t="s">
        <v>140</v>
      </c>
      <c r="K623" s="91">
        <v>0</v>
      </c>
      <c r="L623" s="91">
        <v>0</v>
      </c>
      <c r="M623" s="92">
        <v>270</v>
      </c>
      <c r="N623" s="344">
        <v>1500</v>
      </c>
      <c r="O623" s="253">
        <v>1</v>
      </c>
      <c r="P623" s="94">
        <f t="shared" si="95"/>
        <v>1500</v>
      </c>
      <c r="Q623" s="94"/>
      <c r="R623" s="345">
        <v>1500</v>
      </c>
      <c r="S623" s="92">
        <f t="shared" si="96"/>
        <v>0</v>
      </c>
      <c r="T623" s="254">
        <f t="shared" si="97"/>
        <v>320</v>
      </c>
      <c r="U623" s="91">
        <f t="shared" si="98"/>
        <v>0</v>
      </c>
      <c r="V623" s="91">
        <f t="shared" si="99"/>
        <v>0</v>
      </c>
      <c r="W623" s="91">
        <v>0</v>
      </c>
      <c r="X623" s="255">
        <f t="shared" si="100"/>
        <v>46153.45</v>
      </c>
    </row>
    <row r="624" spans="1:24" ht="26.5" hidden="1" x14ac:dyDescent="0.35">
      <c r="A624" s="71">
        <f t="shared" si="101"/>
        <v>46153.45</v>
      </c>
      <c r="B624" s="71"/>
      <c r="C624" s="71"/>
      <c r="D624" s="71"/>
      <c r="E624" s="47" t="s">
        <v>134</v>
      </c>
      <c r="F624" s="82" t="s">
        <v>1139</v>
      </c>
      <c r="G624" s="82"/>
      <c r="H624" s="107" t="s">
        <v>1140</v>
      </c>
      <c r="I624" s="71" t="s">
        <v>999</v>
      </c>
      <c r="J624" s="51" t="s">
        <v>140</v>
      </c>
      <c r="K624" s="91">
        <v>0</v>
      </c>
      <c r="L624" s="91">
        <v>0</v>
      </c>
      <c r="M624" s="92">
        <v>270</v>
      </c>
      <c r="N624" s="344">
        <v>1500</v>
      </c>
      <c r="O624" s="253">
        <v>1</v>
      </c>
      <c r="P624" s="94">
        <f t="shared" si="95"/>
        <v>1500</v>
      </c>
      <c r="Q624" s="94"/>
      <c r="R624" s="345">
        <v>1500</v>
      </c>
      <c r="S624" s="92">
        <f t="shared" si="96"/>
        <v>0</v>
      </c>
      <c r="T624" s="254">
        <f t="shared" si="97"/>
        <v>320</v>
      </c>
      <c r="U624" s="91">
        <f t="shared" si="98"/>
        <v>0</v>
      </c>
      <c r="V624" s="91">
        <f t="shared" si="99"/>
        <v>0</v>
      </c>
      <c r="W624" s="91">
        <v>0</v>
      </c>
      <c r="X624" s="255">
        <f t="shared" si="100"/>
        <v>46153.45</v>
      </c>
    </row>
    <row r="625" spans="1:24" hidden="1" x14ac:dyDescent="0.35">
      <c r="A625" s="71">
        <f t="shared" si="101"/>
        <v>46153.45</v>
      </c>
      <c r="B625" s="71"/>
      <c r="C625" s="71"/>
      <c r="D625" s="71"/>
      <c r="E625" s="47" t="s">
        <v>134</v>
      </c>
      <c r="F625" s="82" t="s">
        <v>1141</v>
      </c>
      <c r="G625" s="82"/>
      <c r="H625" s="334" t="s">
        <v>1142</v>
      </c>
      <c r="I625" s="73" t="s">
        <v>1073</v>
      </c>
      <c r="J625" s="170" t="s">
        <v>140</v>
      </c>
      <c r="K625" s="84">
        <v>0</v>
      </c>
      <c r="L625" s="84">
        <v>0</v>
      </c>
      <c r="M625" s="102">
        <v>65</v>
      </c>
      <c r="N625" s="103">
        <v>460</v>
      </c>
      <c r="O625" s="171">
        <v>1</v>
      </c>
      <c r="P625" s="103">
        <f t="shared" si="95"/>
        <v>460</v>
      </c>
      <c r="Q625" s="103"/>
      <c r="R625" s="102">
        <v>460</v>
      </c>
      <c r="S625" s="102">
        <f t="shared" si="96"/>
        <v>0</v>
      </c>
      <c r="T625" s="173">
        <f t="shared" si="97"/>
        <v>1329.2307692307693</v>
      </c>
      <c r="U625" s="101">
        <f t="shared" si="98"/>
        <v>0</v>
      </c>
      <c r="V625" s="101">
        <f t="shared" si="99"/>
        <v>0</v>
      </c>
      <c r="W625" s="101">
        <v>0</v>
      </c>
      <c r="X625" s="255">
        <f t="shared" si="100"/>
        <v>46153.45</v>
      </c>
    </row>
    <row r="626" spans="1:24" hidden="1" x14ac:dyDescent="0.35">
      <c r="A626" s="71">
        <f t="shared" si="101"/>
        <v>46153.45</v>
      </c>
      <c r="B626" s="71"/>
      <c r="C626" s="71"/>
      <c r="D626" s="71"/>
      <c r="E626" s="47" t="s">
        <v>134</v>
      </c>
      <c r="F626" s="82" t="s">
        <v>1141</v>
      </c>
      <c r="G626" s="82"/>
      <c r="H626" s="334" t="s">
        <v>1143</v>
      </c>
      <c r="I626" s="73" t="s">
        <v>345</v>
      </c>
      <c r="J626" s="170" t="s">
        <v>140</v>
      </c>
      <c r="K626" s="84">
        <v>0</v>
      </c>
      <c r="L626" s="84">
        <v>0</v>
      </c>
      <c r="M626" s="102">
        <v>65</v>
      </c>
      <c r="N626" s="103">
        <v>210</v>
      </c>
      <c r="O626" s="171">
        <v>1</v>
      </c>
      <c r="P626" s="103">
        <f t="shared" si="95"/>
        <v>210</v>
      </c>
      <c r="Q626" s="103"/>
      <c r="R626" s="102">
        <v>210</v>
      </c>
      <c r="S626" s="102">
        <f t="shared" si="96"/>
        <v>0</v>
      </c>
      <c r="T626" s="173">
        <f t="shared" si="97"/>
        <v>1329.2307692307693</v>
      </c>
      <c r="U626" s="101">
        <f t="shared" si="98"/>
        <v>0</v>
      </c>
      <c r="V626" s="101">
        <f t="shared" si="99"/>
        <v>0</v>
      </c>
      <c r="W626" s="101">
        <v>0</v>
      </c>
      <c r="X626" s="255">
        <f t="shared" si="100"/>
        <v>46153.45</v>
      </c>
    </row>
    <row r="627" spans="1:24" hidden="1" x14ac:dyDescent="0.35">
      <c r="A627" s="71">
        <f t="shared" si="101"/>
        <v>46153.45</v>
      </c>
      <c r="B627" s="71"/>
      <c r="C627" s="71"/>
      <c r="D627" s="71"/>
      <c r="E627" s="47" t="s">
        <v>134</v>
      </c>
      <c r="F627" s="82" t="s">
        <v>1144</v>
      </c>
      <c r="G627" s="82"/>
      <c r="H627" s="334" t="s">
        <v>1145</v>
      </c>
      <c r="I627" s="73" t="s">
        <v>1073</v>
      </c>
      <c r="J627" s="170" t="s">
        <v>140</v>
      </c>
      <c r="K627" s="84">
        <v>0</v>
      </c>
      <c r="L627" s="84">
        <v>0</v>
      </c>
      <c r="M627" s="102">
        <v>65</v>
      </c>
      <c r="N627" s="103">
        <v>300</v>
      </c>
      <c r="O627" s="171">
        <v>1</v>
      </c>
      <c r="P627" s="103">
        <f t="shared" si="95"/>
        <v>300</v>
      </c>
      <c r="Q627" s="103"/>
      <c r="R627" s="102">
        <v>300</v>
      </c>
      <c r="S627" s="102">
        <f t="shared" si="96"/>
        <v>0</v>
      </c>
      <c r="T627" s="173">
        <f t="shared" si="97"/>
        <v>1329.2307692307693</v>
      </c>
      <c r="U627" s="101">
        <f t="shared" si="98"/>
        <v>0</v>
      </c>
      <c r="V627" s="101">
        <f t="shared" si="99"/>
        <v>0</v>
      </c>
      <c r="W627" s="101">
        <v>0</v>
      </c>
      <c r="X627" s="255">
        <f t="shared" si="100"/>
        <v>46153.45</v>
      </c>
    </row>
    <row r="628" spans="1:24" hidden="1" x14ac:dyDescent="0.35">
      <c r="A628" s="71">
        <f t="shared" si="101"/>
        <v>46153.45</v>
      </c>
      <c r="B628" s="71"/>
      <c r="C628" s="71"/>
      <c r="D628" s="71"/>
      <c r="E628" s="47" t="s">
        <v>134</v>
      </c>
      <c r="F628" s="82" t="s">
        <v>220</v>
      </c>
      <c r="G628" s="82"/>
      <c r="H628" s="98" t="s">
        <v>1146</v>
      </c>
      <c r="I628" s="104" t="s">
        <v>222</v>
      </c>
      <c r="J628" s="104" t="s">
        <v>140</v>
      </c>
      <c r="K628" s="91">
        <v>0</v>
      </c>
      <c r="L628" s="91">
        <v>0</v>
      </c>
      <c r="M628" s="92">
        <v>100</v>
      </c>
      <c r="N628" s="94">
        <v>2000</v>
      </c>
      <c r="O628" s="253">
        <v>1</v>
      </c>
      <c r="P628" s="94">
        <f t="shared" si="95"/>
        <v>2000</v>
      </c>
      <c r="Q628" s="94"/>
      <c r="R628" s="92">
        <v>2000</v>
      </c>
      <c r="S628" s="92">
        <f t="shared" si="96"/>
        <v>0</v>
      </c>
      <c r="T628" s="254">
        <f t="shared" si="97"/>
        <v>864</v>
      </c>
      <c r="U628" s="91">
        <f t="shared" si="98"/>
        <v>0</v>
      </c>
      <c r="V628" s="91">
        <f t="shared" si="99"/>
        <v>0</v>
      </c>
      <c r="W628" s="91">
        <v>0</v>
      </c>
      <c r="X628" s="255">
        <f t="shared" si="100"/>
        <v>46153.45</v>
      </c>
    </row>
    <row r="629" spans="1:24" hidden="1" x14ac:dyDescent="0.35">
      <c r="A629" s="71">
        <f t="shared" si="101"/>
        <v>46153.45</v>
      </c>
      <c r="B629" s="71"/>
      <c r="C629" s="71"/>
      <c r="D629" s="71"/>
      <c r="E629" s="47" t="s">
        <v>134</v>
      </c>
      <c r="F629" s="82" t="s">
        <v>220</v>
      </c>
      <c r="G629" s="82"/>
      <c r="H629" s="348">
        <v>11055</v>
      </c>
      <c r="I629" s="69" t="s">
        <v>556</v>
      </c>
      <c r="J629" s="64" t="s">
        <v>140</v>
      </c>
      <c r="K629" s="91">
        <v>0</v>
      </c>
      <c r="L629" s="91">
        <v>0</v>
      </c>
      <c r="M629" s="92">
        <v>95</v>
      </c>
      <c r="N629" s="344">
        <v>1000</v>
      </c>
      <c r="O629" s="253">
        <v>1</v>
      </c>
      <c r="P629" s="94">
        <f t="shared" si="95"/>
        <v>1000</v>
      </c>
      <c r="Q629" s="94"/>
      <c r="R629" s="345">
        <v>1000</v>
      </c>
      <c r="S629" s="92">
        <f t="shared" si="96"/>
        <v>0</v>
      </c>
      <c r="T629" s="254">
        <f t="shared" si="97"/>
        <v>909.47368421052624</v>
      </c>
      <c r="U629" s="91">
        <f t="shared" si="98"/>
        <v>0</v>
      </c>
      <c r="V629" s="91">
        <f t="shared" si="99"/>
        <v>0</v>
      </c>
      <c r="W629" s="91">
        <v>0</v>
      </c>
      <c r="X629" s="255">
        <f t="shared" si="100"/>
        <v>46153.45</v>
      </c>
    </row>
    <row r="630" spans="1:24" hidden="1" x14ac:dyDescent="0.35">
      <c r="A630" s="71">
        <f t="shared" si="101"/>
        <v>46153.45</v>
      </c>
      <c r="B630" s="71"/>
      <c r="C630" s="71"/>
      <c r="D630" s="71"/>
      <c r="E630" s="119" t="s">
        <v>134</v>
      </c>
      <c r="F630" s="97" t="s">
        <v>1147</v>
      </c>
      <c r="G630" s="97"/>
      <c r="H630" s="98" t="s">
        <v>1148</v>
      </c>
      <c r="I630" s="99" t="s">
        <v>950</v>
      </c>
      <c r="J630" s="100" t="s">
        <v>140</v>
      </c>
      <c r="K630" s="101">
        <v>0</v>
      </c>
      <c r="L630" s="101">
        <v>0</v>
      </c>
      <c r="M630" s="102">
        <v>100</v>
      </c>
      <c r="N630" s="103">
        <v>5100</v>
      </c>
      <c r="O630" s="171">
        <v>1</v>
      </c>
      <c r="P630" s="103">
        <v>5509</v>
      </c>
      <c r="Q630" s="103"/>
      <c r="R630" s="102">
        <v>5509</v>
      </c>
      <c r="S630" s="102">
        <f t="shared" si="96"/>
        <v>0</v>
      </c>
      <c r="T630" s="173">
        <f t="shared" si="97"/>
        <v>864</v>
      </c>
      <c r="U630" s="101">
        <f t="shared" si="98"/>
        <v>0</v>
      </c>
      <c r="V630" s="101">
        <f t="shared" si="99"/>
        <v>0</v>
      </c>
      <c r="W630" s="101">
        <v>0</v>
      </c>
      <c r="X630" s="255">
        <f t="shared" si="100"/>
        <v>46153.45</v>
      </c>
    </row>
    <row r="631" spans="1:24" s="221" customFormat="1" hidden="1" x14ac:dyDescent="0.35">
      <c r="A631" s="71">
        <f t="shared" si="101"/>
        <v>46153.45</v>
      </c>
      <c r="B631" s="71"/>
      <c r="C631" s="71"/>
      <c r="D631" s="71"/>
      <c r="E631" s="47" t="s">
        <v>134</v>
      </c>
      <c r="F631" s="82" t="s">
        <v>220</v>
      </c>
      <c r="G631" s="82"/>
      <c r="H631" s="98" t="s">
        <v>1149</v>
      </c>
      <c r="I631" s="219" t="s">
        <v>562</v>
      </c>
      <c r="J631" s="51" t="s">
        <v>140</v>
      </c>
      <c r="K631" s="91">
        <v>0</v>
      </c>
      <c r="L631" s="91">
        <v>0</v>
      </c>
      <c r="M631" s="92">
        <v>140</v>
      </c>
      <c r="N631" s="226">
        <v>600</v>
      </c>
      <c r="O631" s="253">
        <v>1</v>
      </c>
      <c r="P631" s="94">
        <f t="shared" ref="P631:P694" si="102">N631/O631</f>
        <v>600</v>
      </c>
      <c r="Q631" s="94"/>
      <c r="R631" s="182">
        <v>600</v>
      </c>
      <c r="S631" s="92">
        <f t="shared" si="96"/>
        <v>0</v>
      </c>
      <c r="T631" s="254">
        <f t="shared" si="97"/>
        <v>617.14285714285711</v>
      </c>
      <c r="U631" s="91">
        <f t="shared" si="98"/>
        <v>0</v>
      </c>
      <c r="V631" s="91">
        <f t="shared" si="99"/>
        <v>0</v>
      </c>
      <c r="W631" s="91">
        <v>0</v>
      </c>
      <c r="X631" s="255">
        <f t="shared" si="100"/>
        <v>46153.45</v>
      </c>
    </row>
    <row r="632" spans="1:24" hidden="1" x14ac:dyDescent="0.35">
      <c r="A632" s="71">
        <f t="shared" si="101"/>
        <v>46153.45</v>
      </c>
      <c r="B632" s="71"/>
      <c r="C632" s="71"/>
      <c r="D632" s="71"/>
      <c r="E632" s="47" t="s">
        <v>134</v>
      </c>
      <c r="F632" s="82" t="s">
        <v>1150</v>
      </c>
      <c r="G632" s="82"/>
      <c r="H632" s="334" t="s">
        <v>1151</v>
      </c>
      <c r="I632" s="71" t="s">
        <v>339</v>
      </c>
      <c r="J632" s="170" t="s">
        <v>140</v>
      </c>
      <c r="K632" s="101">
        <v>0</v>
      </c>
      <c r="L632" s="101">
        <v>0</v>
      </c>
      <c r="M632" s="102">
        <v>65</v>
      </c>
      <c r="N632" s="103">
        <v>900</v>
      </c>
      <c r="O632" s="171">
        <v>1</v>
      </c>
      <c r="P632" s="103">
        <f t="shared" si="102"/>
        <v>900</v>
      </c>
      <c r="Q632" s="103"/>
      <c r="R632" s="102">
        <v>900</v>
      </c>
      <c r="S632" s="102">
        <f t="shared" si="96"/>
        <v>0</v>
      </c>
      <c r="T632" s="173">
        <f t="shared" si="97"/>
        <v>1329.2307692307693</v>
      </c>
      <c r="U632" s="101">
        <f t="shared" si="98"/>
        <v>0</v>
      </c>
      <c r="V632" s="101">
        <f t="shared" si="99"/>
        <v>0</v>
      </c>
      <c r="W632" s="101">
        <v>0</v>
      </c>
      <c r="X632" s="255">
        <f t="shared" si="100"/>
        <v>46153.45</v>
      </c>
    </row>
    <row r="633" spans="1:24" hidden="1" x14ac:dyDescent="0.35">
      <c r="A633" s="71">
        <f t="shared" si="101"/>
        <v>46153.45</v>
      </c>
      <c r="B633" s="71"/>
      <c r="C633" s="71"/>
      <c r="D633" s="71"/>
      <c r="E633" s="47" t="s">
        <v>134</v>
      </c>
      <c r="F633" s="82" t="s">
        <v>1152</v>
      </c>
      <c r="G633" s="82"/>
      <c r="H633" s="334" t="s">
        <v>1153</v>
      </c>
      <c r="I633" s="73" t="s">
        <v>1073</v>
      </c>
      <c r="J633" s="170" t="s">
        <v>140</v>
      </c>
      <c r="K633" s="101">
        <v>0</v>
      </c>
      <c r="L633" s="101">
        <v>0</v>
      </c>
      <c r="M633" s="102">
        <v>65</v>
      </c>
      <c r="N633" s="103">
        <v>700</v>
      </c>
      <c r="O633" s="171">
        <v>1</v>
      </c>
      <c r="P633" s="103">
        <f t="shared" si="102"/>
        <v>700</v>
      </c>
      <c r="Q633" s="103"/>
      <c r="R633" s="102">
        <v>700</v>
      </c>
      <c r="S633" s="102">
        <f t="shared" si="96"/>
        <v>0</v>
      </c>
      <c r="T633" s="173">
        <f t="shared" si="97"/>
        <v>1329.2307692307693</v>
      </c>
      <c r="U633" s="101">
        <f t="shared" si="98"/>
        <v>0</v>
      </c>
      <c r="V633" s="101">
        <f t="shared" si="99"/>
        <v>0</v>
      </c>
      <c r="W633" s="101">
        <v>0</v>
      </c>
      <c r="X633" s="255">
        <f t="shared" si="100"/>
        <v>46153.45</v>
      </c>
    </row>
    <row r="634" spans="1:24" hidden="1" x14ac:dyDescent="0.35">
      <c r="A634" s="71">
        <f t="shared" si="101"/>
        <v>46153.45</v>
      </c>
      <c r="B634" s="71"/>
      <c r="C634" s="71"/>
      <c r="D634" s="71"/>
      <c r="E634" s="47" t="s">
        <v>134</v>
      </c>
      <c r="F634" s="82" t="s">
        <v>1154</v>
      </c>
      <c r="G634" s="82"/>
      <c r="H634" s="334" t="s">
        <v>1155</v>
      </c>
      <c r="I634" s="71" t="s">
        <v>351</v>
      </c>
      <c r="J634" s="170" t="s">
        <v>140</v>
      </c>
      <c r="K634" s="101">
        <v>0</v>
      </c>
      <c r="L634" s="101">
        <v>0</v>
      </c>
      <c r="M634" s="102">
        <v>65</v>
      </c>
      <c r="N634" s="103">
        <v>1600</v>
      </c>
      <c r="O634" s="171">
        <v>1</v>
      </c>
      <c r="P634" s="103">
        <f t="shared" si="102"/>
        <v>1600</v>
      </c>
      <c r="Q634" s="103"/>
      <c r="R634" s="102">
        <v>1600</v>
      </c>
      <c r="S634" s="102">
        <f t="shared" si="96"/>
        <v>0</v>
      </c>
      <c r="T634" s="173">
        <f t="shared" si="97"/>
        <v>1329.2307692307693</v>
      </c>
      <c r="U634" s="101">
        <f t="shared" si="98"/>
        <v>0</v>
      </c>
      <c r="V634" s="101">
        <f t="shared" si="99"/>
        <v>0</v>
      </c>
      <c r="W634" s="101">
        <v>0</v>
      </c>
      <c r="X634" s="255">
        <f t="shared" si="100"/>
        <v>46153.45</v>
      </c>
    </row>
    <row r="635" spans="1:24" hidden="1" x14ac:dyDescent="0.35">
      <c r="A635" s="71">
        <f t="shared" si="101"/>
        <v>46153.45</v>
      </c>
      <c r="B635" s="71"/>
      <c r="C635" s="71"/>
      <c r="D635" s="71"/>
      <c r="E635" s="47" t="s">
        <v>134</v>
      </c>
      <c r="F635" s="82" t="s">
        <v>284</v>
      </c>
      <c r="G635" s="82"/>
      <c r="H635" s="334" t="s">
        <v>1156</v>
      </c>
      <c r="I635" s="73" t="s">
        <v>1157</v>
      </c>
      <c r="J635" s="170" t="s">
        <v>140</v>
      </c>
      <c r="K635" s="101">
        <v>0</v>
      </c>
      <c r="L635" s="101">
        <v>0</v>
      </c>
      <c r="M635" s="102">
        <v>65</v>
      </c>
      <c r="N635" s="103">
        <v>1000</v>
      </c>
      <c r="O635" s="171">
        <v>1</v>
      </c>
      <c r="P635" s="103">
        <f t="shared" si="102"/>
        <v>1000</v>
      </c>
      <c r="Q635" s="103"/>
      <c r="R635" s="102">
        <v>1000</v>
      </c>
      <c r="S635" s="102">
        <f t="shared" si="96"/>
        <v>0</v>
      </c>
      <c r="T635" s="173">
        <f t="shared" si="97"/>
        <v>1329.2307692307693</v>
      </c>
      <c r="U635" s="101">
        <f t="shared" si="98"/>
        <v>0</v>
      </c>
      <c r="V635" s="101">
        <f t="shared" si="99"/>
        <v>0</v>
      </c>
      <c r="W635" s="101">
        <v>0</v>
      </c>
      <c r="X635" s="255">
        <f t="shared" si="100"/>
        <v>46153.45</v>
      </c>
    </row>
    <row r="636" spans="1:24" ht="26.5" hidden="1" x14ac:dyDescent="0.35">
      <c r="A636" s="71">
        <f t="shared" si="101"/>
        <v>46153.45</v>
      </c>
      <c r="B636" s="71"/>
      <c r="C636" s="71"/>
      <c r="D636" s="71"/>
      <c r="E636" s="47" t="s">
        <v>134</v>
      </c>
      <c r="F636" s="48" t="s">
        <v>1158</v>
      </c>
      <c r="G636" s="48"/>
      <c r="H636" s="49" t="s">
        <v>1159</v>
      </c>
      <c r="I636" s="82" t="s">
        <v>164</v>
      </c>
      <c r="J636" s="51" t="s">
        <v>140</v>
      </c>
      <c r="K636" s="52">
        <v>0</v>
      </c>
      <c r="L636" s="52">
        <v>0</v>
      </c>
      <c r="M636" s="53">
        <v>120</v>
      </c>
      <c r="N636" s="54">
        <v>1000</v>
      </c>
      <c r="O636" s="341">
        <v>1</v>
      </c>
      <c r="P636" s="54">
        <f t="shared" si="102"/>
        <v>1000</v>
      </c>
      <c r="Q636" s="54"/>
      <c r="R636" s="53">
        <v>1000</v>
      </c>
      <c r="S636" s="53">
        <f t="shared" si="96"/>
        <v>0</v>
      </c>
      <c r="T636" s="343">
        <f t="shared" si="97"/>
        <v>720</v>
      </c>
      <c r="U636" s="52">
        <f t="shared" si="98"/>
        <v>0</v>
      </c>
      <c r="V636" s="52">
        <f t="shared" si="99"/>
        <v>0</v>
      </c>
      <c r="W636" s="52">
        <v>0</v>
      </c>
      <c r="X636" s="255">
        <f t="shared" si="100"/>
        <v>46153.45</v>
      </c>
    </row>
    <row r="637" spans="1:24" ht="26.5" hidden="1" x14ac:dyDescent="0.35">
      <c r="A637" s="71">
        <f t="shared" si="101"/>
        <v>46153.45</v>
      </c>
      <c r="B637" s="71"/>
      <c r="C637" s="71"/>
      <c r="D637" s="71"/>
      <c r="E637" s="47" t="s">
        <v>134</v>
      </c>
      <c r="F637" s="48" t="s">
        <v>1160</v>
      </c>
      <c r="G637" s="48"/>
      <c r="H637" s="49" t="s">
        <v>1161</v>
      </c>
      <c r="I637" s="82" t="s">
        <v>164</v>
      </c>
      <c r="J637" s="51" t="s">
        <v>283</v>
      </c>
      <c r="K637" s="52">
        <v>0</v>
      </c>
      <c r="L637" s="52">
        <v>0</v>
      </c>
      <c r="M637" s="53">
        <v>120</v>
      </c>
      <c r="N637" s="54">
        <v>2016</v>
      </c>
      <c r="O637" s="341">
        <v>1</v>
      </c>
      <c r="P637" s="54">
        <f t="shared" si="102"/>
        <v>2016</v>
      </c>
      <c r="Q637" s="54"/>
      <c r="R637" s="53">
        <v>2016</v>
      </c>
      <c r="S637" s="53">
        <f t="shared" si="96"/>
        <v>0</v>
      </c>
      <c r="T637" s="343">
        <f t="shared" si="97"/>
        <v>720</v>
      </c>
      <c r="U637" s="52">
        <f t="shared" si="98"/>
        <v>0</v>
      </c>
      <c r="V637" s="52">
        <f t="shared" si="99"/>
        <v>0</v>
      </c>
      <c r="W637" s="52">
        <v>0</v>
      </c>
      <c r="X637" s="255">
        <f t="shared" si="100"/>
        <v>46153.45</v>
      </c>
    </row>
    <row r="638" spans="1:24" ht="26.5" hidden="1" x14ac:dyDescent="0.35">
      <c r="A638" s="71">
        <f t="shared" si="101"/>
        <v>46153.45</v>
      </c>
      <c r="B638" s="71"/>
      <c r="C638" s="71"/>
      <c r="D638" s="71"/>
      <c r="E638" s="47" t="s">
        <v>134</v>
      </c>
      <c r="F638" s="82" t="s">
        <v>1162</v>
      </c>
      <c r="G638" s="82"/>
      <c r="H638" s="107" t="s">
        <v>1163</v>
      </c>
      <c r="I638" s="71" t="s">
        <v>999</v>
      </c>
      <c r="J638" s="51" t="s">
        <v>140</v>
      </c>
      <c r="K638" s="91">
        <v>0</v>
      </c>
      <c r="L638" s="91">
        <v>0</v>
      </c>
      <c r="M638" s="92">
        <v>270</v>
      </c>
      <c r="N638" s="344">
        <v>1626</v>
      </c>
      <c r="O638" s="253">
        <v>1</v>
      </c>
      <c r="P638" s="94">
        <f t="shared" si="102"/>
        <v>1626</v>
      </c>
      <c r="Q638" s="94"/>
      <c r="R638" s="345">
        <v>1626</v>
      </c>
      <c r="S638" s="92">
        <f t="shared" si="96"/>
        <v>0</v>
      </c>
      <c r="T638" s="254">
        <f t="shared" si="97"/>
        <v>320</v>
      </c>
      <c r="U638" s="91">
        <f t="shared" si="98"/>
        <v>0</v>
      </c>
      <c r="V638" s="91">
        <f t="shared" si="99"/>
        <v>0</v>
      </c>
      <c r="W638" s="91">
        <v>0</v>
      </c>
      <c r="X638" s="255">
        <f t="shared" si="100"/>
        <v>46153.45</v>
      </c>
    </row>
    <row r="639" spans="1:24" ht="26.5" hidden="1" x14ac:dyDescent="0.35">
      <c r="A639" s="71">
        <f t="shared" si="101"/>
        <v>46153.45</v>
      </c>
      <c r="B639" s="71"/>
      <c r="C639" s="71"/>
      <c r="D639" s="71"/>
      <c r="E639" s="119" t="s">
        <v>134</v>
      </c>
      <c r="F639" s="82" t="s">
        <v>1164</v>
      </c>
      <c r="G639" s="82"/>
      <c r="H639" s="107" t="s">
        <v>1165</v>
      </c>
      <c r="I639" s="106" t="s">
        <v>1047</v>
      </c>
      <c r="J639" s="100" t="s">
        <v>140</v>
      </c>
      <c r="K639" s="101">
        <v>0</v>
      </c>
      <c r="L639" s="101">
        <v>0</v>
      </c>
      <c r="M639" s="102">
        <v>100</v>
      </c>
      <c r="N639" s="103">
        <v>750</v>
      </c>
      <c r="O639" s="171">
        <v>1</v>
      </c>
      <c r="P639" s="103">
        <f t="shared" si="102"/>
        <v>750</v>
      </c>
      <c r="Q639" s="103"/>
      <c r="R639" s="102">
        <v>750</v>
      </c>
      <c r="S639" s="102">
        <f t="shared" si="96"/>
        <v>0</v>
      </c>
      <c r="T639" s="173">
        <f t="shared" si="97"/>
        <v>864</v>
      </c>
      <c r="U639" s="101">
        <f t="shared" si="98"/>
        <v>0</v>
      </c>
      <c r="V639" s="101">
        <f t="shared" si="99"/>
        <v>0</v>
      </c>
      <c r="W639" s="101">
        <v>0</v>
      </c>
      <c r="X639" s="255">
        <f t="shared" si="100"/>
        <v>46153.45</v>
      </c>
    </row>
    <row r="640" spans="1:24" hidden="1" x14ac:dyDescent="0.35">
      <c r="A640" s="71">
        <f t="shared" si="101"/>
        <v>46153.45</v>
      </c>
      <c r="B640" s="71"/>
      <c r="C640" s="71"/>
      <c r="D640" s="71"/>
      <c r="E640" s="47" t="s">
        <v>134</v>
      </c>
      <c r="F640" s="82" t="s">
        <v>1166</v>
      </c>
      <c r="G640" s="82"/>
      <c r="H640" s="98" t="s">
        <v>1167</v>
      </c>
      <c r="I640" s="82" t="s">
        <v>388</v>
      </c>
      <c r="J640" s="51" t="s">
        <v>140</v>
      </c>
      <c r="K640" s="91">
        <v>0</v>
      </c>
      <c r="L640" s="91">
        <v>0</v>
      </c>
      <c r="M640" s="92">
        <v>125</v>
      </c>
      <c r="N640" s="94">
        <v>500</v>
      </c>
      <c r="O640" s="253">
        <v>1</v>
      </c>
      <c r="P640" s="94">
        <f t="shared" si="102"/>
        <v>500</v>
      </c>
      <c r="Q640" s="94"/>
      <c r="R640" s="92">
        <v>500</v>
      </c>
      <c r="S640" s="92">
        <f t="shared" si="96"/>
        <v>0</v>
      </c>
      <c r="T640" s="254">
        <f t="shared" si="97"/>
        <v>691.2</v>
      </c>
      <c r="U640" s="91">
        <f t="shared" si="98"/>
        <v>0</v>
      </c>
      <c r="V640" s="91">
        <f t="shared" si="99"/>
        <v>0</v>
      </c>
      <c r="W640" s="91">
        <v>0</v>
      </c>
      <c r="X640" s="255">
        <f t="shared" si="100"/>
        <v>46153.45</v>
      </c>
    </row>
    <row r="641" spans="1:24" hidden="1" x14ac:dyDescent="0.35">
      <c r="A641" s="71">
        <f t="shared" si="101"/>
        <v>46153.45</v>
      </c>
      <c r="B641" s="71"/>
      <c r="C641" s="71"/>
      <c r="D641" s="71"/>
      <c r="E641" s="47" t="s">
        <v>134</v>
      </c>
      <c r="F641" s="56" t="s">
        <v>1168</v>
      </c>
      <c r="G641" s="56"/>
      <c r="H641" s="49" t="s">
        <v>1169</v>
      </c>
      <c r="I641" s="99" t="s">
        <v>1170</v>
      </c>
      <c r="J641" s="51" t="s">
        <v>283</v>
      </c>
      <c r="K641" s="52">
        <v>0</v>
      </c>
      <c r="L641" s="52">
        <v>0</v>
      </c>
      <c r="M641" s="53">
        <v>50</v>
      </c>
      <c r="N641" s="54">
        <v>9840</v>
      </c>
      <c r="O641" s="341">
        <v>1</v>
      </c>
      <c r="P641" s="103">
        <f t="shared" si="102"/>
        <v>9840</v>
      </c>
      <c r="Q641" s="103"/>
      <c r="R641" s="53">
        <v>9840</v>
      </c>
      <c r="S641" s="53">
        <f t="shared" si="96"/>
        <v>0</v>
      </c>
      <c r="T641" s="343">
        <f t="shared" si="97"/>
        <v>1728</v>
      </c>
      <c r="U641" s="52">
        <f t="shared" si="98"/>
        <v>0</v>
      </c>
      <c r="V641" s="52">
        <f t="shared" si="99"/>
        <v>0</v>
      </c>
      <c r="W641" s="52">
        <v>0</v>
      </c>
      <c r="X641" s="255">
        <f t="shared" si="100"/>
        <v>46153.45</v>
      </c>
    </row>
    <row r="642" spans="1:24" ht="26.5" hidden="1" x14ac:dyDescent="0.35">
      <c r="A642" s="71">
        <f t="shared" si="101"/>
        <v>46153.45</v>
      </c>
      <c r="B642" s="71"/>
      <c r="C642" s="71"/>
      <c r="D642" s="71"/>
      <c r="E642" s="119" t="s">
        <v>134</v>
      </c>
      <c r="F642" s="82" t="s">
        <v>1164</v>
      </c>
      <c r="G642" s="82"/>
      <c r="H642" s="107" t="s">
        <v>1165</v>
      </c>
      <c r="I642" s="106" t="s">
        <v>1047</v>
      </c>
      <c r="J642" s="100" t="s">
        <v>140</v>
      </c>
      <c r="K642" s="101">
        <v>0</v>
      </c>
      <c r="L642" s="101">
        <v>0</v>
      </c>
      <c r="M642" s="102">
        <v>100</v>
      </c>
      <c r="N642" s="103">
        <v>850</v>
      </c>
      <c r="O642" s="171">
        <v>1</v>
      </c>
      <c r="P642" s="103">
        <f t="shared" si="102"/>
        <v>850</v>
      </c>
      <c r="Q642" s="103"/>
      <c r="R642" s="102">
        <v>850</v>
      </c>
      <c r="S642" s="102">
        <f t="shared" si="96"/>
        <v>0</v>
      </c>
      <c r="T642" s="173">
        <f t="shared" si="97"/>
        <v>864</v>
      </c>
      <c r="U642" s="101">
        <f t="shared" si="98"/>
        <v>0</v>
      </c>
      <c r="V642" s="101">
        <f t="shared" si="99"/>
        <v>0</v>
      </c>
      <c r="W642" s="101">
        <v>0</v>
      </c>
      <c r="X642" s="255">
        <f t="shared" si="100"/>
        <v>46153.45</v>
      </c>
    </row>
    <row r="643" spans="1:24" ht="26.5" hidden="1" x14ac:dyDescent="0.35">
      <c r="A643" s="71">
        <f t="shared" si="101"/>
        <v>46153.45</v>
      </c>
      <c r="B643" s="71"/>
      <c r="C643" s="71"/>
      <c r="D643" s="71"/>
      <c r="E643" s="119" t="s">
        <v>134</v>
      </c>
      <c r="F643" s="82" t="s">
        <v>1171</v>
      </c>
      <c r="G643" s="82"/>
      <c r="H643" s="107" t="s">
        <v>1172</v>
      </c>
      <c r="I643" s="106" t="s">
        <v>1047</v>
      </c>
      <c r="J643" s="100" t="s">
        <v>140</v>
      </c>
      <c r="K643" s="101">
        <v>0</v>
      </c>
      <c r="L643" s="101">
        <v>0</v>
      </c>
      <c r="M643" s="102">
        <v>100</v>
      </c>
      <c r="N643" s="103">
        <v>1000</v>
      </c>
      <c r="O643" s="171">
        <v>1</v>
      </c>
      <c r="P643" s="103">
        <f t="shared" si="102"/>
        <v>1000</v>
      </c>
      <c r="Q643" s="103"/>
      <c r="R643" s="102">
        <v>1000</v>
      </c>
      <c r="S643" s="102">
        <f t="shared" si="96"/>
        <v>0</v>
      </c>
      <c r="T643" s="173">
        <f t="shared" si="97"/>
        <v>864</v>
      </c>
      <c r="U643" s="101">
        <f t="shared" si="98"/>
        <v>0</v>
      </c>
      <c r="V643" s="101">
        <f t="shared" si="99"/>
        <v>0</v>
      </c>
      <c r="W643" s="101">
        <v>0</v>
      </c>
      <c r="X643" s="255">
        <f t="shared" si="100"/>
        <v>46153.45</v>
      </c>
    </row>
    <row r="644" spans="1:24" hidden="1" x14ac:dyDescent="0.35">
      <c r="A644" s="71">
        <f t="shared" si="101"/>
        <v>46153.45</v>
      </c>
      <c r="B644" s="71"/>
      <c r="C644" s="71"/>
      <c r="D644" s="71"/>
      <c r="E644" s="47" t="s">
        <v>134</v>
      </c>
      <c r="F644" s="82" t="s">
        <v>1173</v>
      </c>
      <c r="G644" s="82"/>
      <c r="H644" s="334" t="s">
        <v>1174</v>
      </c>
      <c r="I644" s="73" t="s">
        <v>1157</v>
      </c>
      <c r="J644" s="170" t="s">
        <v>140</v>
      </c>
      <c r="K644" s="101">
        <v>0</v>
      </c>
      <c r="L644" s="101">
        <v>0</v>
      </c>
      <c r="M644" s="102">
        <v>65</v>
      </c>
      <c r="N644" s="103">
        <v>200</v>
      </c>
      <c r="O644" s="171">
        <v>1</v>
      </c>
      <c r="P644" s="103">
        <f t="shared" si="102"/>
        <v>200</v>
      </c>
      <c r="Q644" s="103"/>
      <c r="R644" s="102">
        <v>200</v>
      </c>
      <c r="S644" s="102">
        <f t="shared" si="96"/>
        <v>0</v>
      </c>
      <c r="T644" s="173">
        <f t="shared" si="97"/>
        <v>1329.2307692307693</v>
      </c>
      <c r="U644" s="101">
        <f t="shared" si="98"/>
        <v>0</v>
      </c>
      <c r="V644" s="101">
        <f t="shared" si="99"/>
        <v>0</v>
      </c>
      <c r="W644" s="101">
        <v>0</v>
      </c>
      <c r="X644" s="255">
        <f t="shared" si="100"/>
        <v>46153.45</v>
      </c>
    </row>
    <row r="645" spans="1:24" hidden="1" x14ac:dyDescent="0.35">
      <c r="A645" s="71">
        <f t="shared" si="101"/>
        <v>46153.45</v>
      </c>
      <c r="B645" s="71"/>
      <c r="C645" s="71"/>
      <c r="D645" s="71"/>
      <c r="E645" s="47" t="s">
        <v>134</v>
      </c>
      <c r="F645" s="82" t="s">
        <v>1175</v>
      </c>
      <c r="G645" s="82"/>
      <c r="H645" s="334" t="s">
        <v>1176</v>
      </c>
      <c r="I645" s="71" t="s">
        <v>351</v>
      </c>
      <c r="J645" s="170" t="s">
        <v>140</v>
      </c>
      <c r="K645" s="101">
        <v>0</v>
      </c>
      <c r="L645" s="101">
        <v>0</v>
      </c>
      <c r="M645" s="102">
        <v>65</v>
      </c>
      <c r="N645" s="103">
        <v>800</v>
      </c>
      <c r="O645" s="171">
        <v>1</v>
      </c>
      <c r="P645" s="103">
        <f t="shared" si="102"/>
        <v>800</v>
      </c>
      <c r="Q645" s="103"/>
      <c r="R645" s="102">
        <v>800</v>
      </c>
      <c r="S645" s="102">
        <f t="shared" si="96"/>
        <v>0</v>
      </c>
      <c r="T645" s="173">
        <f t="shared" si="97"/>
        <v>1329.2307692307693</v>
      </c>
      <c r="U645" s="101">
        <f t="shared" si="98"/>
        <v>0</v>
      </c>
      <c r="V645" s="101">
        <f t="shared" si="99"/>
        <v>0</v>
      </c>
      <c r="W645" s="101">
        <v>0</v>
      </c>
      <c r="X645" s="255">
        <f t="shared" si="100"/>
        <v>46153.45</v>
      </c>
    </row>
    <row r="646" spans="1:24" s="221" customFormat="1" hidden="1" x14ac:dyDescent="0.35">
      <c r="A646" s="71">
        <f t="shared" si="101"/>
        <v>46153.45</v>
      </c>
      <c r="B646" s="71"/>
      <c r="C646" s="71"/>
      <c r="D646" s="71"/>
      <c r="E646" s="47" t="s">
        <v>454</v>
      </c>
      <c r="F646" s="82"/>
      <c r="G646" s="82"/>
      <c r="H646" s="334" t="s">
        <v>1177</v>
      </c>
      <c r="I646" s="71" t="s">
        <v>345</v>
      </c>
      <c r="J646" s="170" t="s">
        <v>140</v>
      </c>
      <c r="K646" s="101">
        <v>0</v>
      </c>
      <c r="L646" s="101">
        <v>0</v>
      </c>
      <c r="M646" s="102">
        <v>65</v>
      </c>
      <c r="N646" s="103">
        <v>200</v>
      </c>
      <c r="O646" s="171">
        <v>1</v>
      </c>
      <c r="P646" s="103">
        <f t="shared" si="102"/>
        <v>200</v>
      </c>
      <c r="Q646" s="103"/>
      <c r="R646" s="102">
        <v>200</v>
      </c>
      <c r="S646" s="102">
        <f t="shared" si="96"/>
        <v>0</v>
      </c>
      <c r="T646" s="173">
        <f t="shared" si="97"/>
        <v>1329.2307692307693</v>
      </c>
      <c r="U646" s="101">
        <f t="shared" si="98"/>
        <v>0</v>
      </c>
      <c r="V646" s="101">
        <f t="shared" si="99"/>
        <v>0</v>
      </c>
      <c r="W646" s="101">
        <v>0</v>
      </c>
      <c r="X646" s="255">
        <f t="shared" si="100"/>
        <v>46153.45</v>
      </c>
    </row>
    <row r="647" spans="1:24" s="221" customFormat="1" hidden="1" x14ac:dyDescent="0.35">
      <c r="A647" s="71">
        <f t="shared" si="101"/>
        <v>46153.45</v>
      </c>
      <c r="B647" s="71"/>
      <c r="C647" s="71"/>
      <c r="D647" s="71"/>
      <c r="E647" s="47" t="s">
        <v>454</v>
      </c>
      <c r="F647" s="82" t="s">
        <v>1178</v>
      </c>
      <c r="G647" s="82"/>
      <c r="H647" s="334" t="s">
        <v>1177</v>
      </c>
      <c r="I647" s="71" t="s">
        <v>345</v>
      </c>
      <c r="J647" s="170" t="s">
        <v>140</v>
      </c>
      <c r="K647" s="101">
        <v>0</v>
      </c>
      <c r="L647" s="101">
        <v>0</v>
      </c>
      <c r="M647" s="102">
        <v>65</v>
      </c>
      <c r="N647" s="103">
        <v>200</v>
      </c>
      <c r="O647" s="171">
        <v>1</v>
      </c>
      <c r="P647" s="103">
        <f t="shared" si="102"/>
        <v>200</v>
      </c>
      <c r="Q647" s="103"/>
      <c r="R647" s="102">
        <v>200</v>
      </c>
      <c r="S647" s="102">
        <f t="shared" si="96"/>
        <v>0</v>
      </c>
      <c r="T647" s="173">
        <f t="shared" si="97"/>
        <v>1329.2307692307693</v>
      </c>
      <c r="U647" s="101">
        <f t="shared" si="98"/>
        <v>0</v>
      </c>
      <c r="V647" s="101">
        <f t="shared" si="99"/>
        <v>0</v>
      </c>
      <c r="W647" s="101">
        <v>0</v>
      </c>
      <c r="X647" s="255">
        <f t="shared" si="100"/>
        <v>46153.45</v>
      </c>
    </row>
    <row r="648" spans="1:24" hidden="1" x14ac:dyDescent="0.35">
      <c r="A648" s="71">
        <f t="shared" si="101"/>
        <v>46153.45</v>
      </c>
      <c r="B648" s="71"/>
      <c r="C648" s="71"/>
      <c r="D648" s="71"/>
      <c r="E648" s="47" t="s">
        <v>134</v>
      </c>
      <c r="F648" s="82" t="s">
        <v>1179</v>
      </c>
      <c r="G648" s="82"/>
      <c r="H648" s="334" t="s">
        <v>1180</v>
      </c>
      <c r="I648" s="71" t="s">
        <v>339</v>
      </c>
      <c r="J648" s="170" t="s">
        <v>140</v>
      </c>
      <c r="K648" s="101">
        <v>0</v>
      </c>
      <c r="L648" s="101">
        <v>0</v>
      </c>
      <c r="M648" s="102">
        <v>65</v>
      </c>
      <c r="N648" s="103">
        <v>100</v>
      </c>
      <c r="O648" s="171">
        <v>1</v>
      </c>
      <c r="P648" s="103">
        <f t="shared" si="102"/>
        <v>100</v>
      </c>
      <c r="Q648" s="103"/>
      <c r="R648" s="102">
        <v>100</v>
      </c>
      <c r="S648" s="102">
        <f t="shared" si="96"/>
        <v>0</v>
      </c>
      <c r="T648" s="173">
        <f t="shared" si="97"/>
        <v>1329.2307692307693</v>
      </c>
      <c r="U648" s="101">
        <f t="shared" si="98"/>
        <v>0</v>
      </c>
      <c r="V648" s="101">
        <f t="shared" si="99"/>
        <v>0</v>
      </c>
      <c r="W648" s="101">
        <v>0</v>
      </c>
      <c r="X648" s="255">
        <f t="shared" si="100"/>
        <v>46153.45</v>
      </c>
    </row>
    <row r="649" spans="1:24" s="221" customFormat="1" hidden="1" x14ac:dyDescent="0.35">
      <c r="A649" s="71">
        <f t="shared" si="101"/>
        <v>46153.45</v>
      </c>
      <c r="B649" s="71"/>
      <c r="C649" s="71"/>
      <c r="D649" s="71"/>
      <c r="E649" s="47" t="s">
        <v>134</v>
      </c>
      <c r="F649" s="82" t="s">
        <v>1181</v>
      </c>
      <c r="G649" s="82"/>
      <c r="H649" s="334" t="s">
        <v>1182</v>
      </c>
      <c r="I649" s="73" t="s">
        <v>1073</v>
      </c>
      <c r="J649" s="170" t="s">
        <v>140</v>
      </c>
      <c r="K649" s="101">
        <v>0</v>
      </c>
      <c r="L649" s="101">
        <v>0</v>
      </c>
      <c r="M649" s="102">
        <v>65</v>
      </c>
      <c r="N649" s="103">
        <v>200</v>
      </c>
      <c r="O649" s="171">
        <v>1</v>
      </c>
      <c r="P649" s="103">
        <f t="shared" si="102"/>
        <v>200</v>
      </c>
      <c r="Q649" s="103"/>
      <c r="R649" s="102">
        <v>200</v>
      </c>
      <c r="S649" s="102">
        <f t="shared" si="96"/>
        <v>0</v>
      </c>
      <c r="T649" s="173">
        <f t="shared" si="97"/>
        <v>1329.2307692307693</v>
      </c>
      <c r="U649" s="101">
        <f t="shared" si="98"/>
        <v>0</v>
      </c>
      <c r="V649" s="101">
        <f t="shared" si="99"/>
        <v>0</v>
      </c>
      <c r="W649" s="101">
        <v>0</v>
      </c>
      <c r="X649" s="255">
        <f t="shared" si="100"/>
        <v>46153.45</v>
      </c>
    </row>
    <row r="650" spans="1:24" hidden="1" x14ac:dyDescent="0.35">
      <c r="A650" s="71">
        <f t="shared" si="101"/>
        <v>46153.45</v>
      </c>
      <c r="B650" s="71"/>
      <c r="C650" s="71"/>
      <c r="D650" s="71"/>
      <c r="E650" s="47" t="s">
        <v>134</v>
      </c>
      <c r="F650" s="82" t="s">
        <v>1183</v>
      </c>
      <c r="G650" s="82"/>
      <c r="H650" s="334" t="s">
        <v>1182</v>
      </c>
      <c r="I650" s="73" t="s">
        <v>1073</v>
      </c>
      <c r="J650" s="170" t="s">
        <v>140</v>
      </c>
      <c r="K650" s="101">
        <v>0</v>
      </c>
      <c r="L650" s="101">
        <v>0</v>
      </c>
      <c r="M650" s="102">
        <v>65</v>
      </c>
      <c r="N650" s="103">
        <v>100</v>
      </c>
      <c r="O650" s="171">
        <v>1</v>
      </c>
      <c r="P650" s="103">
        <f t="shared" si="102"/>
        <v>100</v>
      </c>
      <c r="Q650" s="103"/>
      <c r="R650" s="102">
        <v>100</v>
      </c>
      <c r="S650" s="102">
        <f t="shared" si="96"/>
        <v>0</v>
      </c>
      <c r="T650" s="173">
        <f t="shared" si="97"/>
        <v>1329.2307692307693</v>
      </c>
      <c r="U650" s="101">
        <f t="shared" si="98"/>
        <v>0</v>
      </c>
      <c r="V650" s="101">
        <f t="shared" si="99"/>
        <v>0</v>
      </c>
      <c r="W650" s="101">
        <v>0</v>
      </c>
      <c r="X650" s="255">
        <f t="shared" si="100"/>
        <v>46153.45</v>
      </c>
    </row>
    <row r="651" spans="1:24" hidden="1" x14ac:dyDescent="0.35">
      <c r="A651" s="71">
        <f t="shared" si="101"/>
        <v>46153.45</v>
      </c>
      <c r="B651" s="71"/>
      <c r="C651" s="71"/>
      <c r="D651" s="71"/>
      <c r="E651" s="47" t="s">
        <v>134</v>
      </c>
      <c r="F651" s="82" t="s">
        <v>1184</v>
      </c>
      <c r="G651" s="82"/>
      <c r="H651" s="334" t="s">
        <v>1185</v>
      </c>
      <c r="I651" s="71" t="s">
        <v>818</v>
      </c>
      <c r="J651" s="170" t="s">
        <v>140</v>
      </c>
      <c r="K651" s="101">
        <v>0</v>
      </c>
      <c r="L651" s="101">
        <v>0</v>
      </c>
      <c r="M651" s="102">
        <v>65</v>
      </c>
      <c r="N651" s="103">
        <v>250</v>
      </c>
      <c r="O651" s="171">
        <v>1</v>
      </c>
      <c r="P651" s="103">
        <f t="shared" si="102"/>
        <v>250</v>
      </c>
      <c r="Q651" s="103"/>
      <c r="R651" s="102">
        <v>250</v>
      </c>
      <c r="S651" s="102">
        <f t="shared" si="96"/>
        <v>0</v>
      </c>
      <c r="T651" s="173">
        <f t="shared" si="97"/>
        <v>1329.2307692307693</v>
      </c>
      <c r="U651" s="101">
        <f t="shared" si="98"/>
        <v>0</v>
      </c>
      <c r="V651" s="101">
        <f t="shared" si="99"/>
        <v>0</v>
      </c>
      <c r="W651" s="101">
        <v>0</v>
      </c>
      <c r="X651" s="255">
        <f t="shared" si="100"/>
        <v>46153.45</v>
      </c>
    </row>
    <row r="652" spans="1:24" s="109" customFormat="1" ht="13" hidden="1" x14ac:dyDescent="0.3">
      <c r="A652" s="71">
        <f t="shared" si="101"/>
        <v>46153.45</v>
      </c>
      <c r="B652" s="71"/>
      <c r="C652" s="71"/>
      <c r="D652" s="71"/>
      <c r="E652" s="47" t="s">
        <v>134</v>
      </c>
      <c r="F652" s="82" t="s">
        <v>513</v>
      </c>
      <c r="G652" s="82"/>
      <c r="H652" s="98" t="s">
        <v>1186</v>
      </c>
      <c r="I652" s="82" t="s">
        <v>1187</v>
      </c>
      <c r="J652" s="51" t="s">
        <v>140</v>
      </c>
      <c r="K652" s="91">
        <v>0</v>
      </c>
      <c r="L652" s="91">
        <v>0</v>
      </c>
      <c r="M652" s="92">
        <v>120</v>
      </c>
      <c r="N652" s="94">
        <v>5600</v>
      </c>
      <c r="O652" s="253">
        <v>4</v>
      </c>
      <c r="P652" s="94">
        <f t="shared" si="102"/>
        <v>1400</v>
      </c>
      <c r="Q652" s="94"/>
      <c r="R652" s="92">
        <v>1400</v>
      </c>
      <c r="S652" s="92">
        <f t="shared" si="96"/>
        <v>0</v>
      </c>
      <c r="T652" s="254">
        <f t="shared" si="97"/>
        <v>2880</v>
      </c>
      <c r="U652" s="91">
        <f t="shared" si="98"/>
        <v>0</v>
      </c>
      <c r="V652" s="91">
        <f t="shared" si="99"/>
        <v>0</v>
      </c>
      <c r="W652" s="91">
        <v>0</v>
      </c>
      <c r="X652" s="255">
        <f t="shared" si="100"/>
        <v>46153.45</v>
      </c>
    </row>
    <row r="653" spans="1:24" s="109" customFormat="1" ht="26" hidden="1" x14ac:dyDescent="0.3">
      <c r="A653" s="71">
        <f t="shared" si="101"/>
        <v>46153.45</v>
      </c>
      <c r="B653" s="71"/>
      <c r="C653" s="71"/>
      <c r="D653" s="71"/>
      <c r="E653" s="119" t="s">
        <v>134</v>
      </c>
      <c r="F653" s="97" t="s">
        <v>1084</v>
      </c>
      <c r="G653" s="97"/>
      <c r="H653" s="98" t="s">
        <v>1188</v>
      </c>
      <c r="I653" s="106" t="s">
        <v>710</v>
      </c>
      <c r="J653" s="100" t="s">
        <v>140</v>
      </c>
      <c r="K653" s="101">
        <v>0</v>
      </c>
      <c r="L653" s="101">
        <v>0</v>
      </c>
      <c r="M653" s="102">
        <v>105</v>
      </c>
      <c r="N653" s="103">
        <v>400</v>
      </c>
      <c r="O653" s="171">
        <v>1</v>
      </c>
      <c r="P653" s="103">
        <f t="shared" si="102"/>
        <v>400</v>
      </c>
      <c r="Q653" s="103"/>
      <c r="R653" s="102">
        <v>400</v>
      </c>
      <c r="S653" s="102">
        <f t="shared" si="96"/>
        <v>0</v>
      </c>
      <c r="T653" s="173">
        <f t="shared" si="97"/>
        <v>822.85714285714289</v>
      </c>
      <c r="U653" s="101">
        <f t="shared" si="98"/>
        <v>0</v>
      </c>
      <c r="V653" s="101">
        <f t="shared" si="99"/>
        <v>0</v>
      </c>
      <c r="W653" s="101">
        <v>0</v>
      </c>
      <c r="X653" s="255">
        <f t="shared" si="100"/>
        <v>46153.45</v>
      </c>
    </row>
    <row r="654" spans="1:24" s="109" customFormat="1" ht="26" hidden="1" x14ac:dyDescent="0.3">
      <c r="A654" s="71">
        <f t="shared" si="101"/>
        <v>46153.45</v>
      </c>
      <c r="B654" s="71"/>
      <c r="C654" s="71"/>
      <c r="D654" s="71"/>
      <c r="E654" s="119" t="s">
        <v>134</v>
      </c>
      <c r="F654" s="97" t="s">
        <v>1084</v>
      </c>
      <c r="G654" s="97"/>
      <c r="H654" s="98" t="s">
        <v>1189</v>
      </c>
      <c r="I654" s="106" t="s">
        <v>848</v>
      </c>
      <c r="J654" s="100" t="s">
        <v>140</v>
      </c>
      <c r="K654" s="101">
        <v>0</v>
      </c>
      <c r="L654" s="101">
        <v>0</v>
      </c>
      <c r="M654" s="102">
        <v>105</v>
      </c>
      <c r="N654" s="103">
        <v>200</v>
      </c>
      <c r="O654" s="171">
        <v>1</v>
      </c>
      <c r="P654" s="103">
        <f t="shared" si="102"/>
        <v>200</v>
      </c>
      <c r="Q654" s="103"/>
      <c r="R654" s="102">
        <v>200</v>
      </c>
      <c r="S654" s="102">
        <f t="shared" si="96"/>
        <v>0</v>
      </c>
      <c r="T654" s="173">
        <f t="shared" si="97"/>
        <v>822.85714285714289</v>
      </c>
      <c r="U654" s="101">
        <f t="shared" si="98"/>
        <v>0</v>
      </c>
      <c r="V654" s="101">
        <f t="shared" si="99"/>
        <v>0</v>
      </c>
      <c r="W654" s="101">
        <v>0</v>
      </c>
      <c r="X654" s="255">
        <f t="shared" si="100"/>
        <v>46153.45</v>
      </c>
    </row>
    <row r="655" spans="1:24" ht="26.5" hidden="1" x14ac:dyDescent="0.35">
      <c r="A655" s="71">
        <f t="shared" si="101"/>
        <v>46153.45</v>
      </c>
      <c r="B655" s="71"/>
      <c r="C655" s="71"/>
      <c r="D655" s="71"/>
      <c r="E655" s="96" t="s">
        <v>134</v>
      </c>
      <c r="F655" s="69" t="s">
        <v>1190</v>
      </c>
      <c r="G655" s="69"/>
      <c r="H655" s="98" t="s">
        <v>1191</v>
      </c>
      <c r="I655" s="71" t="s">
        <v>1192</v>
      </c>
      <c r="J655" s="51" t="s">
        <v>140</v>
      </c>
      <c r="K655" s="91">
        <v>0</v>
      </c>
      <c r="L655" s="91">
        <v>0</v>
      </c>
      <c r="M655" s="92">
        <v>90</v>
      </c>
      <c r="N655" s="94">
        <v>100</v>
      </c>
      <c r="O655" s="253">
        <v>1</v>
      </c>
      <c r="P655" s="94">
        <f t="shared" si="102"/>
        <v>100</v>
      </c>
      <c r="Q655" s="94"/>
      <c r="R655" s="92">
        <v>100</v>
      </c>
      <c r="S655" s="92">
        <f t="shared" si="96"/>
        <v>0</v>
      </c>
      <c r="T655" s="254">
        <f t="shared" si="97"/>
        <v>960</v>
      </c>
      <c r="U655" s="91">
        <f t="shared" si="98"/>
        <v>0</v>
      </c>
      <c r="V655" s="91">
        <f t="shared" si="99"/>
        <v>0</v>
      </c>
      <c r="W655" s="101">
        <v>0</v>
      </c>
      <c r="X655" s="255">
        <f t="shared" si="100"/>
        <v>46153.45</v>
      </c>
    </row>
    <row r="656" spans="1:24" ht="26.5" hidden="1" x14ac:dyDescent="0.35">
      <c r="A656" s="71">
        <f t="shared" si="101"/>
        <v>46153.45</v>
      </c>
      <c r="B656" s="71"/>
      <c r="C656" s="71"/>
      <c r="D656" s="71"/>
      <c r="E656" s="96" t="s">
        <v>134</v>
      </c>
      <c r="F656" s="69" t="s">
        <v>1190</v>
      </c>
      <c r="G656" s="69"/>
      <c r="H656" s="98" t="s">
        <v>1193</v>
      </c>
      <c r="I656" s="71" t="s">
        <v>1194</v>
      </c>
      <c r="J656" s="51" t="s">
        <v>140</v>
      </c>
      <c r="K656" s="91">
        <v>0</v>
      </c>
      <c r="L656" s="91">
        <v>0</v>
      </c>
      <c r="M656" s="92">
        <v>90</v>
      </c>
      <c r="N656" s="94">
        <v>100</v>
      </c>
      <c r="O656" s="253">
        <v>1</v>
      </c>
      <c r="P656" s="94">
        <f t="shared" si="102"/>
        <v>100</v>
      </c>
      <c r="Q656" s="94"/>
      <c r="R656" s="92">
        <v>100</v>
      </c>
      <c r="S656" s="92">
        <f t="shared" si="96"/>
        <v>0</v>
      </c>
      <c r="T656" s="254">
        <f t="shared" si="97"/>
        <v>960</v>
      </c>
      <c r="U656" s="91">
        <f t="shared" si="98"/>
        <v>0</v>
      </c>
      <c r="V656" s="91">
        <f t="shared" si="99"/>
        <v>0</v>
      </c>
      <c r="W656" s="101">
        <v>0</v>
      </c>
      <c r="X656" s="255">
        <f t="shared" si="100"/>
        <v>46153.45</v>
      </c>
    </row>
    <row r="657" spans="1:24" ht="26.5" hidden="1" x14ac:dyDescent="0.35">
      <c r="A657" s="71">
        <f t="shared" si="101"/>
        <v>46153.45</v>
      </c>
      <c r="B657" s="71"/>
      <c r="C657" s="71"/>
      <c r="D657" s="71"/>
      <c r="E657" s="96" t="s">
        <v>134</v>
      </c>
      <c r="F657" s="69" t="s">
        <v>1190</v>
      </c>
      <c r="G657" s="69"/>
      <c r="H657" s="98" t="s">
        <v>1195</v>
      </c>
      <c r="I657" s="71" t="s">
        <v>1196</v>
      </c>
      <c r="J657" s="51" t="s">
        <v>140</v>
      </c>
      <c r="K657" s="91">
        <v>0</v>
      </c>
      <c r="L657" s="91">
        <v>0</v>
      </c>
      <c r="M657" s="92">
        <v>90</v>
      </c>
      <c r="N657" s="94">
        <v>150</v>
      </c>
      <c r="O657" s="253">
        <v>1</v>
      </c>
      <c r="P657" s="94">
        <f t="shared" si="102"/>
        <v>150</v>
      </c>
      <c r="Q657" s="94"/>
      <c r="R657" s="92">
        <v>150</v>
      </c>
      <c r="S657" s="92">
        <f t="shared" si="96"/>
        <v>0</v>
      </c>
      <c r="T657" s="254">
        <f t="shared" si="97"/>
        <v>960</v>
      </c>
      <c r="U657" s="91">
        <f t="shared" si="98"/>
        <v>0</v>
      </c>
      <c r="V657" s="91">
        <f t="shared" si="99"/>
        <v>0</v>
      </c>
      <c r="W657" s="101">
        <v>0</v>
      </c>
      <c r="X657" s="255">
        <f t="shared" si="100"/>
        <v>46153.45</v>
      </c>
    </row>
    <row r="658" spans="1:24" ht="26.5" hidden="1" x14ac:dyDescent="0.35">
      <c r="A658" s="71">
        <f t="shared" si="101"/>
        <v>46153.45</v>
      </c>
      <c r="B658" s="71"/>
      <c r="C658" s="71"/>
      <c r="D658" s="71"/>
      <c r="E658" s="96" t="s">
        <v>134</v>
      </c>
      <c r="F658" s="69" t="s">
        <v>1190</v>
      </c>
      <c r="G658" s="69"/>
      <c r="H658" s="98" t="s">
        <v>1197</v>
      </c>
      <c r="I658" s="71" t="s">
        <v>1198</v>
      </c>
      <c r="J658" s="51" t="s">
        <v>140</v>
      </c>
      <c r="K658" s="91">
        <v>0</v>
      </c>
      <c r="L658" s="91">
        <v>0</v>
      </c>
      <c r="M658" s="92">
        <v>90</v>
      </c>
      <c r="N658" s="94">
        <v>500</v>
      </c>
      <c r="O658" s="253">
        <v>1</v>
      </c>
      <c r="P658" s="94">
        <f t="shared" si="102"/>
        <v>500</v>
      </c>
      <c r="Q658" s="94"/>
      <c r="R658" s="92">
        <v>500</v>
      </c>
      <c r="S658" s="92">
        <f t="shared" si="96"/>
        <v>0</v>
      </c>
      <c r="T658" s="254">
        <f t="shared" si="97"/>
        <v>960</v>
      </c>
      <c r="U658" s="91">
        <f t="shared" si="98"/>
        <v>0</v>
      </c>
      <c r="V658" s="91">
        <f t="shared" si="99"/>
        <v>0</v>
      </c>
      <c r="W658" s="101">
        <v>0</v>
      </c>
      <c r="X658" s="255">
        <f t="shared" si="100"/>
        <v>46153.45</v>
      </c>
    </row>
    <row r="659" spans="1:24" s="109" customFormat="1" ht="13" hidden="1" x14ac:dyDescent="0.3">
      <c r="A659" s="71">
        <f t="shared" si="101"/>
        <v>46153.45</v>
      </c>
      <c r="B659" s="71"/>
      <c r="C659" s="71"/>
      <c r="D659" s="71"/>
      <c r="E659" s="47" t="s">
        <v>134</v>
      </c>
      <c r="F659" s="82" t="s">
        <v>1199</v>
      </c>
      <c r="G659" s="82"/>
      <c r="H659" s="334" t="s">
        <v>1200</v>
      </c>
      <c r="I659" s="71" t="s">
        <v>818</v>
      </c>
      <c r="J659" s="170" t="s">
        <v>140</v>
      </c>
      <c r="K659" s="101">
        <v>0</v>
      </c>
      <c r="L659" s="101">
        <v>0</v>
      </c>
      <c r="M659" s="102">
        <v>65</v>
      </c>
      <c r="N659" s="103">
        <v>400</v>
      </c>
      <c r="O659" s="171">
        <v>1</v>
      </c>
      <c r="P659" s="103">
        <f t="shared" si="102"/>
        <v>400</v>
      </c>
      <c r="Q659" s="103"/>
      <c r="R659" s="102">
        <v>400</v>
      </c>
      <c r="S659" s="102">
        <f t="shared" si="96"/>
        <v>0</v>
      </c>
      <c r="T659" s="173">
        <f t="shared" si="97"/>
        <v>1329.2307692307693</v>
      </c>
      <c r="U659" s="101">
        <f t="shared" si="98"/>
        <v>0</v>
      </c>
      <c r="V659" s="101">
        <f t="shared" si="99"/>
        <v>0</v>
      </c>
      <c r="W659" s="101">
        <v>0</v>
      </c>
      <c r="X659" s="255">
        <f t="shared" si="100"/>
        <v>46153.45</v>
      </c>
    </row>
    <row r="660" spans="1:24" s="109" customFormat="1" ht="13" hidden="1" x14ac:dyDescent="0.3">
      <c r="A660" s="71">
        <f t="shared" si="101"/>
        <v>46153.45</v>
      </c>
      <c r="B660" s="71"/>
      <c r="C660" s="71"/>
      <c r="D660" s="71"/>
      <c r="E660" s="47" t="s">
        <v>454</v>
      </c>
      <c r="F660" s="82" t="s">
        <v>1201</v>
      </c>
      <c r="G660" s="82"/>
      <c r="H660" s="334" t="s">
        <v>1202</v>
      </c>
      <c r="I660" s="71" t="s">
        <v>1203</v>
      </c>
      <c r="J660" s="170" t="s">
        <v>140</v>
      </c>
      <c r="K660" s="101">
        <v>0</v>
      </c>
      <c r="L660" s="101">
        <v>0</v>
      </c>
      <c r="M660" s="102">
        <v>65</v>
      </c>
      <c r="N660" s="103">
        <v>550</v>
      </c>
      <c r="O660" s="171">
        <v>1</v>
      </c>
      <c r="P660" s="103">
        <f t="shared" si="102"/>
        <v>550</v>
      </c>
      <c r="Q660" s="103"/>
      <c r="R660" s="102">
        <v>550</v>
      </c>
      <c r="S660" s="102">
        <f t="shared" si="96"/>
        <v>0</v>
      </c>
      <c r="T660" s="173">
        <f t="shared" si="97"/>
        <v>1329.2307692307693</v>
      </c>
      <c r="U660" s="101">
        <f t="shared" si="98"/>
        <v>0</v>
      </c>
      <c r="V660" s="101">
        <f t="shared" si="99"/>
        <v>0</v>
      </c>
      <c r="W660" s="101">
        <v>0</v>
      </c>
      <c r="X660" s="255">
        <f t="shared" si="100"/>
        <v>46153.45</v>
      </c>
    </row>
    <row r="661" spans="1:24" s="109" customFormat="1" ht="13" hidden="1" x14ac:dyDescent="0.3">
      <c r="A661" s="71">
        <f t="shared" si="101"/>
        <v>46153.45</v>
      </c>
      <c r="B661" s="71"/>
      <c r="C661" s="71"/>
      <c r="D661" s="71"/>
      <c r="E661" s="47" t="s">
        <v>454</v>
      </c>
      <c r="F661" s="82" t="s">
        <v>1204</v>
      </c>
      <c r="G661" s="82"/>
      <c r="H661" s="334" t="s">
        <v>1205</v>
      </c>
      <c r="I661" s="71" t="s">
        <v>345</v>
      </c>
      <c r="J661" s="170" t="s">
        <v>140</v>
      </c>
      <c r="K661" s="101">
        <v>0</v>
      </c>
      <c r="L661" s="101">
        <v>0</v>
      </c>
      <c r="M661" s="102">
        <v>65</v>
      </c>
      <c r="N661" s="103">
        <v>200</v>
      </c>
      <c r="O661" s="171">
        <v>1</v>
      </c>
      <c r="P661" s="103">
        <f t="shared" si="102"/>
        <v>200</v>
      </c>
      <c r="Q661" s="103"/>
      <c r="R661" s="102">
        <v>200</v>
      </c>
      <c r="S661" s="102">
        <f t="shared" si="96"/>
        <v>0</v>
      </c>
      <c r="T661" s="173">
        <f t="shared" si="97"/>
        <v>1329.2307692307693</v>
      </c>
      <c r="U661" s="101">
        <f t="shared" si="98"/>
        <v>0</v>
      </c>
      <c r="V661" s="101">
        <f t="shared" si="99"/>
        <v>0</v>
      </c>
      <c r="W661" s="101">
        <v>0</v>
      </c>
      <c r="X661" s="255">
        <f t="shared" si="100"/>
        <v>46153.45</v>
      </c>
    </row>
    <row r="662" spans="1:24" s="109" customFormat="1" ht="13" hidden="1" x14ac:dyDescent="0.3">
      <c r="A662" s="71">
        <f t="shared" si="101"/>
        <v>46153.45</v>
      </c>
      <c r="B662" s="71"/>
      <c r="C662" s="71"/>
      <c r="D662" s="71"/>
      <c r="E662" s="47" t="s">
        <v>454</v>
      </c>
      <c r="F662" s="82" t="s">
        <v>1201</v>
      </c>
      <c r="G662" s="82"/>
      <c r="H662" s="334" t="s">
        <v>1206</v>
      </c>
      <c r="I662" s="71" t="s">
        <v>1207</v>
      </c>
      <c r="J662" s="170" t="s">
        <v>140</v>
      </c>
      <c r="K662" s="101">
        <v>0</v>
      </c>
      <c r="L662" s="101">
        <v>0</v>
      </c>
      <c r="M662" s="102">
        <v>65</v>
      </c>
      <c r="N662" s="103">
        <v>275</v>
      </c>
      <c r="O662" s="171">
        <v>1</v>
      </c>
      <c r="P662" s="103">
        <f t="shared" si="102"/>
        <v>275</v>
      </c>
      <c r="Q662" s="103"/>
      <c r="R662" s="102">
        <v>275</v>
      </c>
      <c r="S662" s="102">
        <f t="shared" si="96"/>
        <v>0</v>
      </c>
      <c r="T662" s="173">
        <f t="shared" si="97"/>
        <v>1329.2307692307693</v>
      </c>
      <c r="U662" s="101">
        <f t="shared" si="98"/>
        <v>0</v>
      </c>
      <c r="V662" s="101">
        <f t="shared" si="99"/>
        <v>0</v>
      </c>
      <c r="W662" s="101">
        <v>0</v>
      </c>
      <c r="X662" s="255">
        <f t="shared" si="100"/>
        <v>46153.45</v>
      </c>
    </row>
    <row r="663" spans="1:24" hidden="1" x14ac:dyDescent="0.35">
      <c r="A663" s="71">
        <f t="shared" si="101"/>
        <v>46153.45</v>
      </c>
      <c r="B663" s="71"/>
      <c r="C663" s="71"/>
      <c r="D663" s="71"/>
      <c r="E663" s="47" t="s">
        <v>454</v>
      </c>
      <c r="F663" s="82" t="s">
        <v>1204</v>
      </c>
      <c r="G663" s="82"/>
      <c r="H663" s="334" t="s">
        <v>1208</v>
      </c>
      <c r="I663" s="71" t="s">
        <v>1073</v>
      </c>
      <c r="J663" s="170" t="s">
        <v>140</v>
      </c>
      <c r="K663" s="101">
        <v>0</v>
      </c>
      <c r="L663" s="101">
        <v>0</v>
      </c>
      <c r="M663" s="102">
        <v>65</v>
      </c>
      <c r="N663" s="103">
        <v>200</v>
      </c>
      <c r="O663" s="171">
        <v>1</v>
      </c>
      <c r="P663" s="103">
        <f t="shared" si="102"/>
        <v>200</v>
      </c>
      <c r="Q663" s="103"/>
      <c r="R663" s="102">
        <v>200</v>
      </c>
      <c r="S663" s="102">
        <f t="shared" si="96"/>
        <v>0</v>
      </c>
      <c r="T663" s="173">
        <f t="shared" si="97"/>
        <v>1329.2307692307693</v>
      </c>
      <c r="U663" s="101">
        <f t="shared" si="98"/>
        <v>0</v>
      </c>
      <c r="V663" s="101">
        <f t="shared" si="99"/>
        <v>0</v>
      </c>
      <c r="W663" s="101">
        <v>0</v>
      </c>
      <c r="X663" s="255">
        <f t="shared" si="100"/>
        <v>46153.45</v>
      </c>
    </row>
    <row r="664" spans="1:24" s="109" customFormat="1" ht="13" hidden="1" x14ac:dyDescent="0.3">
      <c r="A664" s="71">
        <f t="shared" si="101"/>
        <v>46153.45</v>
      </c>
      <c r="B664" s="71"/>
      <c r="C664" s="71"/>
      <c r="D664" s="71"/>
      <c r="E664" s="47" t="s">
        <v>454</v>
      </c>
      <c r="F664" s="82" t="s">
        <v>1201</v>
      </c>
      <c r="G664" s="82"/>
      <c r="H664" s="334" t="s">
        <v>1209</v>
      </c>
      <c r="I664" s="71" t="s">
        <v>351</v>
      </c>
      <c r="J664" s="170" t="s">
        <v>140</v>
      </c>
      <c r="K664" s="101">
        <v>0</v>
      </c>
      <c r="L664" s="101">
        <v>0</v>
      </c>
      <c r="M664" s="102">
        <v>65</v>
      </c>
      <c r="N664" s="103">
        <v>400</v>
      </c>
      <c r="O664" s="171">
        <v>1</v>
      </c>
      <c r="P664" s="103">
        <f t="shared" si="102"/>
        <v>400</v>
      </c>
      <c r="Q664" s="103"/>
      <c r="R664" s="102">
        <v>400</v>
      </c>
      <c r="S664" s="102">
        <f t="shared" si="96"/>
        <v>0</v>
      </c>
      <c r="T664" s="173">
        <f t="shared" si="97"/>
        <v>1329.2307692307693</v>
      </c>
      <c r="U664" s="101">
        <f t="shared" si="98"/>
        <v>0</v>
      </c>
      <c r="V664" s="101">
        <f t="shared" si="99"/>
        <v>0</v>
      </c>
      <c r="W664" s="101">
        <v>0</v>
      </c>
      <c r="X664" s="255">
        <f t="shared" si="100"/>
        <v>46153.45</v>
      </c>
    </row>
    <row r="665" spans="1:24" s="109" customFormat="1" ht="13" hidden="1" x14ac:dyDescent="0.3">
      <c r="A665" s="71">
        <f t="shared" si="101"/>
        <v>46153.45</v>
      </c>
      <c r="B665" s="71"/>
      <c r="C665" s="71"/>
      <c r="D665" s="71"/>
      <c r="E665" s="47" t="s">
        <v>454</v>
      </c>
      <c r="F665" s="82" t="s">
        <v>1201</v>
      </c>
      <c r="G665" s="82"/>
      <c r="H665" s="334" t="s">
        <v>1210</v>
      </c>
      <c r="I665" s="71" t="s">
        <v>891</v>
      </c>
      <c r="J665" s="170" t="s">
        <v>140</v>
      </c>
      <c r="K665" s="101">
        <v>0</v>
      </c>
      <c r="L665" s="101">
        <v>0</v>
      </c>
      <c r="M665" s="102">
        <v>65</v>
      </c>
      <c r="N665" s="103">
        <v>550</v>
      </c>
      <c r="O665" s="171">
        <v>1</v>
      </c>
      <c r="P665" s="103">
        <f t="shared" si="102"/>
        <v>550</v>
      </c>
      <c r="Q665" s="103"/>
      <c r="R665" s="102">
        <v>550</v>
      </c>
      <c r="S665" s="102">
        <f t="shared" si="96"/>
        <v>0</v>
      </c>
      <c r="T665" s="173">
        <f t="shared" si="97"/>
        <v>1329.2307692307693</v>
      </c>
      <c r="U665" s="101">
        <f t="shared" si="98"/>
        <v>0</v>
      </c>
      <c r="V665" s="101">
        <f t="shared" si="99"/>
        <v>0</v>
      </c>
      <c r="W665" s="101">
        <v>0</v>
      </c>
      <c r="X665" s="255">
        <f t="shared" si="100"/>
        <v>46153.45</v>
      </c>
    </row>
    <row r="666" spans="1:24" hidden="1" x14ac:dyDescent="0.35">
      <c r="A666" s="71">
        <f t="shared" si="101"/>
        <v>46153.45</v>
      </c>
      <c r="B666" s="71"/>
      <c r="C666" s="71"/>
      <c r="D666" s="71"/>
      <c r="E666" s="119" t="s">
        <v>134</v>
      </c>
      <c r="F666" s="99" t="s">
        <v>1211</v>
      </c>
      <c r="G666" s="99"/>
      <c r="H666" s="98" t="s">
        <v>1212</v>
      </c>
      <c r="I666" s="99" t="s">
        <v>97</v>
      </c>
      <c r="J666" s="104" t="s">
        <v>140</v>
      </c>
      <c r="K666" s="91">
        <v>0</v>
      </c>
      <c r="L666" s="91">
        <v>0</v>
      </c>
      <c r="M666" s="92">
        <v>110</v>
      </c>
      <c r="N666" s="94">
        <v>1600</v>
      </c>
      <c r="O666" s="253">
        <v>1</v>
      </c>
      <c r="P666" s="94">
        <f t="shared" si="102"/>
        <v>1600</v>
      </c>
      <c r="Q666" s="94"/>
      <c r="R666" s="92">
        <v>1600</v>
      </c>
      <c r="S666" s="92">
        <f t="shared" si="96"/>
        <v>0</v>
      </c>
      <c r="T666" s="173">
        <f t="shared" si="97"/>
        <v>785.4545454545455</v>
      </c>
      <c r="U666" s="101">
        <f t="shared" si="98"/>
        <v>0</v>
      </c>
      <c r="V666" s="101">
        <f t="shared" si="99"/>
        <v>0</v>
      </c>
      <c r="W666" s="101">
        <v>0</v>
      </c>
      <c r="X666" s="255">
        <f t="shared" si="100"/>
        <v>46153.45</v>
      </c>
    </row>
    <row r="667" spans="1:24" hidden="1" x14ac:dyDescent="0.35">
      <c r="A667" s="71">
        <f t="shared" si="101"/>
        <v>46153.45</v>
      </c>
      <c r="B667" s="71"/>
      <c r="C667" s="71"/>
      <c r="D667" s="71"/>
      <c r="E667" s="296" t="s">
        <v>134</v>
      </c>
      <c r="F667" s="349" t="s">
        <v>1213</v>
      </c>
      <c r="G667" s="349"/>
      <c r="H667" s="349" t="s">
        <v>14</v>
      </c>
      <c r="I667" s="350" t="s">
        <v>1214</v>
      </c>
      <c r="J667" s="351" t="s">
        <v>140</v>
      </c>
      <c r="K667" s="352">
        <v>0.25</v>
      </c>
      <c r="L667" s="352">
        <v>0.2</v>
      </c>
      <c r="M667" s="353">
        <v>60</v>
      </c>
      <c r="N667" s="354">
        <v>100</v>
      </c>
      <c r="O667" s="355">
        <v>1</v>
      </c>
      <c r="P667" s="354">
        <f t="shared" si="102"/>
        <v>100</v>
      </c>
      <c r="Q667" s="354"/>
      <c r="R667" s="353">
        <v>100</v>
      </c>
      <c r="S667" s="353">
        <f t="shared" si="96"/>
        <v>0</v>
      </c>
      <c r="T667" s="356">
        <f t="shared" si="97"/>
        <v>1440</v>
      </c>
      <c r="U667" s="352">
        <f t="shared" si="98"/>
        <v>0</v>
      </c>
      <c r="V667" s="352">
        <f t="shared" si="99"/>
        <v>0</v>
      </c>
      <c r="W667" s="352">
        <v>0</v>
      </c>
      <c r="X667" s="255">
        <f t="shared" si="100"/>
        <v>46153.899999999994</v>
      </c>
    </row>
    <row r="668" spans="1:24" ht="26.5" hidden="1" x14ac:dyDescent="0.35">
      <c r="A668" s="71">
        <f t="shared" si="101"/>
        <v>46153.899999999994</v>
      </c>
      <c r="B668" s="71"/>
      <c r="C668" s="71"/>
      <c r="D668" s="71"/>
      <c r="E668" s="47" t="s">
        <v>134</v>
      </c>
      <c r="F668" s="82" t="s">
        <v>633</v>
      </c>
      <c r="G668" s="82"/>
      <c r="H668" s="107" t="s">
        <v>1215</v>
      </c>
      <c r="I668" s="71" t="s">
        <v>1216</v>
      </c>
      <c r="J668" s="51" t="s">
        <v>140</v>
      </c>
      <c r="K668" s="91">
        <v>0</v>
      </c>
      <c r="L668" s="91">
        <v>0</v>
      </c>
      <c r="M668" s="92">
        <v>270</v>
      </c>
      <c r="N668" s="344">
        <v>500</v>
      </c>
      <c r="O668" s="253">
        <v>1</v>
      </c>
      <c r="P668" s="94">
        <f t="shared" si="102"/>
        <v>500</v>
      </c>
      <c r="Q668" s="94"/>
      <c r="R668" s="345">
        <v>500</v>
      </c>
      <c r="S668" s="92">
        <f t="shared" ref="S668:S730" si="103">P668-R668</f>
        <v>0</v>
      </c>
      <c r="T668" s="254">
        <f t="shared" si="97"/>
        <v>320</v>
      </c>
      <c r="U668" s="91">
        <f t="shared" si="98"/>
        <v>0</v>
      </c>
      <c r="V668" s="91">
        <f t="shared" si="99"/>
        <v>0</v>
      </c>
      <c r="W668" s="91">
        <v>0</v>
      </c>
      <c r="X668" s="255">
        <f t="shared" si="100"/>
        <v>46153.899999999994</v>
      </c>
    </row>
    <row r="669" spans="1:24" hidden="1" x14ac:dyDescent="0.35">
      <c r="A669" s="71">
        <f t="shared" si="101"/>
        <v>46153.899999999994</v>
      </c>
      <c r="B669" s="71"/>
      <c r="C669" s="71"/>
      <c r="D669" s="71"/>
      <c r="E669" s="47" t="s">
        <v>134</v>
      </c>
      <c r="F669" s="82" t="s">
        <v>1217</v>
      </c>
      <c r="G669" s="82"/>
      <c r="H669" s="107" t="s">
        <v>1218</v>
      </c>
      <c r="I669" s="97" t="s">
        <v>143</v>
      </c>
      <c r="J669" s="51" t="s">
        <v>283</v>
      </c>
      <c r="K669" s="91">
        <v>0</v>
      </c>
      <c r="L669" s="91">
        <v>0</v>
      </c>
      <c r="M669" s="92">
        <v>100</v>
      </c>
      <c r="N669" s="94">
        <v>7560</v>
      </c>
      <c r="O669" s="253">
        <v>1</v>
      </c>
      <c r="P669" s="103">
        <f t="shared" si="102"/>
        <v>7560</v>
      </c>
      <c r="Q669" s="103"/>
      <c r="R669" s="92">
        <v>7560</v>
      </c>
      <c r="S669" s="92">
        <f t="shared" si="103"/>
        <v>0</v>
      </c>
      <c r="T669" s="254">
        <f t="shared" si="97"/>
        <v>864</v>
      </c>
      <c r="U669" s="91">
        <f t="shared" si="98"/>
        <v>0</v>
      </c>
      <c r="V669" s="91">
        <f t="shared" si="99"/>
        <v>0</v>
      </c>
      <c r="W669" s="91">
        <v>0</v>
      </c>
      <c r="X669" s="255">
        <f t="shared" si="100"/>
        <v>46153.899999999994</v>
      </c>
    </row>
    <row r="670" spans="1:24" ht="26.5" hidden="1" x14ac:dyDescent="0.35">
      <c r="A670" s="71">
        <f t="shared" si="101"/>
        <v>46153.899999999994</v>
      </c>
      <c r="B670" s="71"/>
      <c r="C670" s="71"/>
      <c r="D670" s="71"/>
      <c r="E670" s="96" t="s">
        <v>134</v>
      </c>
      <c r="F670" s="97" t="s">
        <v>1219</v>
      </c>
      <c r="G670" s="97"/>
      <c r="H670" s="98" t="s">
        <v>1220</v>
      </c>
      <c r="I670" s="100" t="s">
        <v>4213</v>
      </c>
      <c r="J670" s="100" t="s">
        <v>826</v>
      </c>
      <c r="K670" s="101">
        <v>0</v>
      </c>
      <c r="L670" s="101">
        <v>0</v>
      </c>
      <c r="M670" s="102">
        <v>50</v>
      </c>
      <c r="N670" s="103">
        <v>8436</v>
      </c>
      <c r="O670" s="171">
        <v>1</v>
      </c>
      <c r="P670" s="103">
        <f t="shared" si="102"/>
        <v>8436</v>
      </c>
      <c r="Q670" s="103"/>
      <c r="R670" s="102">
        <v>8436</v>
      </c>
      <c r="S670" s="102">
        <f t="shared" si="103"/>
        <v>0</v>
      </c>
      <c r="T670" s="173">
        <f t="shared" si="97"/>
        <v>1728</v>
      </c>
      <c r="U670" s="101">
        <f t="shared" si="98"/>
        <v>0</v>
      </c>
      <c r="V670" s="101">
        <f t="shared" si="99"/>
        <v>0</v>
      </c>
      <c r="W670" s="101">
        <v>0</v>
      </c>
      <c r="X670" s="255">
        <f t="shared" si="100"/>
        <v>46153.899999999994</v>
      </c>
    </row>
    <row r="671" spans="1:24" hidden="1" x14ac:dyDescent="0.35">
      <c r="A671" s="71">
        <f t="shared" si="101"/>
        <v>46153.899999999994</v>
      </c>
      <c r="B671" s="71"/>
      <c r="C671" s="71"/>
      <c r="D671" s="71"/>
      <c r="E671" s="96" t="s">
        <v>134</v>
      </c>
      <c r="F671" s="97" t="s">
        <v>244</v>
      </c>
      <c r="G671" s="97"/>
      <c r="H671" s="98" t="s">
        <v>1221</v>
      </c>
      <c r="I671" s="100" t="s">
        <v>4214</v>
      </c>
      <c r="J671" s="100" t="s">
        <v>140</v>
      </c>
      <c r="K671" s="101">
        <v>0</v>
      </c>
      <c r="L671" s="101">
        <v>0</v>
      </c>
      <c r="M671" s="102">
        <v>50</v>
      </c>
      <c r="N671" s="103">
        <v>3000</v>
      </c>
      <c r="O671" s="171">
        <v>1</v>
      </c>
      <c r="P671" s="103">
        <f t="shared" si="102"/>
        <v>3000</v>
      </c>
      <c r="Q671" s="103"/>
      <c r="R671" s="102">
        <v>3000</v>
      </c>
      <c r="S671" s="102">
        <f t="shared" si="103"/>
        <v>0</v>
      </c>
      <c r="T671" s="173">
        <f t="shared" si="97"/>
        <v>1728</v>
      </c>
      <c r="U671" s="101">
        <f t="shared" si="98"/>
        <v>0</v>
      </c>
      <c r="V671" s="101">
        <f t="shared" si="99"/>
        <v>0</v>
      </c>
      <c r="W671" s="101">
        <v>0</v>
      </c>
      <c r="X671" s="255">
        <f t="shared" si="100"/>
        <v>46153.899999999994</v>
      </c>
    </row>
    <row r="672" spans="1:24" s="118" customFormat="1" hidden="1" x14ac:dyDescent="0.35">
      <c r="A672" s="71">
        <f t="shared" si="101"/>
        <v>46153.899999999994</v>
      </c>
      <c r="B672" s="71"/>
      <c r="C672" s="71"/>
      <c r="D672" s="71"/>
      <c r="E672" s="47" t="s">
        <v>134</v>
      </c>
      <c r="F672" s="82" t="s">
        <v>1217</v>
      </c>
      <c r="G672" s="82"/>
      <c r="H672" s="107" t="s">
        <v>1218</v>
      </c>
      <c r="I672" s="97" t="s">
        <v>143</v>
      </c>
      <c r="J672" s="51" t="s">
        <v>283</v>
      </c>
      <c r="K672" s="91">
        <v>0</v>
      </c>
      <c r="L672" s="91">
        <v>0</v>
      </c>
      <c r="M672" s="92">
        <v>100</v>
      </c>
      <c r="N672" s="94">
        <v>2520</v>
      </c>
      <c r="O672" s="253">
        <v>1</v>
      </c>
      <c r="P672" s="103">
        <f t="shared" si="102"/>
        <v>2520</v>
      </c>
      <c r="Q672" s="103"/>
      <c r="R672" s="92">
        <v>2520</v>
      </c>
      <c r="S672" s="92">
        <f t="shared" si="103"/>
        <v>0</v>
      </c>
      <c r="T672" s="254">
        <f t="shared" si="97"/>
        <v>864</v>
      </c>
      <c r="U672" s="91">
        <f t="shared" si="98"/>
        <v>0</v>
      </c>
      <c r="V672" s="91">
        <f t="shared" si="99"/>
        <v>0</v>
      </c>
      <c r="W672" s="91">
        <v>0</v>
      </c>
      <c r="X672" s="255">
        <f t="shared" si="100"/>
        <v>46153.899999999994</v>
      </c>
    </row>
    <row r="673" spans="1:24" hidden="1" x14ac:dyDescent="0.35">
      <c r="A673" s="71">
        <f t="shared" si="101"/>
        <v>46153.899999999994</v>
      </c>
      <c r="B673" s="71"/>
      <c r="C673" s="71"/>
      <c r="D673" s="71"/>
      <c r="E673" s="47" t="s">
        <v>134</v>
      </c>
      <c r="F673" s="82" t="s">
        <v>714</v>
      </c>
      <c r="G673" s="82"/>
      <c r="H673" s="98" t="s">
        <v>1222</v>
      </c>
      <c r="I673" s="99" t="s">
        <v>97</v>
      </c>
      <c r="J673" s="51" t="s">
        <v>140</v>
      </c>
      <c r="K673" s="91">
        <v>0</v>
      </c>
      <c r="L673" s="91">
        <v>0</v>
      </c>
      <c r="M673" s="92">
        <v>110</v>
      </c>
      <c r="N673" s="94">
        <v>3000</v>
      </c>
      <c r="O673" s="253">
        <v>1</v>
      </c>
      <c r="P673" s="94">
        <f t="shared" si="102"/>
        <v>3000</v>
      </c>
      <c r="Q673" s="94"/>
      <c r="R673" s="92">
        <v>3000</v>
      </c>
      <c r="S673" s="92">
        <f t="shared" si="103"/>
        <v>0</v>
      </c>
      <c r="T673" s="254">
        <f t="shared" si="97"/>
        <v>785.4545454545455</v>
      </c>
      <c r="U673" s="91">
        <f t="shared" si="98"/>
        <v>0</v>
      </c>
      <c r="V673" s="91">
        <f t="shared" si="99"/>
        <v>0</v>
      </c>
      <c r="W673" s="91">
        <v>0</v>
      </c>
      <c r="X673" s="255">
        <f t="shared" si="100"/>
        <v>46153.899999999994</v>
      </c>
    </row>
    <row r="674" spans="1:24" hidden="1" x14ac:dyDescent="0.35">
      <c r="A674" s="71">
        <f t="shared" si="101"/>
        <v>46153.899999999994</v>
      </c>
      <c r="B674" s="71"/>
      <c r="C674" s="71"/>
      <c r="D674" s="71"/>
      <c r="E674" s="47" t="s">
        <v>134</v>
      </c>
      <c r="F674" s="82" t="s">
        <v>1223</v>
      </c>
      <c r="G674" s="82"/>
      <c r="H674" s="98" t="s">
        <v>1224</v>
      </c>
      <c r="I674" s="99" t="s">
        <v>97</v>
      </c>
      <c r="J674" s="51" t="s">
        <v>140</v>
      </c>
      <c r="K674" s="91">
        <v>0</v>
      </c>
      <c r="L674" s="91">
        <v>0</v>
      </c>
      <c r="M674" s="92">
        <v>110</v>
      </c>
      <c r="N674" s="94">
        <v>3500</v>
      </c>
      <c r="O674" s="253">
        <v>1</v>
      </c>
      <c r="P674" s="94">
        <f t="shared" si="102"/>
        <v>3500</v>
      </c>
      <c r="Q674" s="94"/>
      <c r="R674" s="92">
        <v>3500</v>
      </c>
      <c r="S674" s="92">
        <f t="shared" si="103"/>
        <v>0</v>
      </c>
      <c r="T674" s="254">
        <f t="shared" si="97"/>
        <v>785.4545454545455</v>
      </c>
      <c r="U674" s="91">
        <f t="shared" si="98"/>
        <v>0</v>
      </c>
      <c r="V674" s="91">
        <f t="shared" si="99"/>
        <v>0</v>
      </c>
      <c r="W674" s="91">
        <v>0</v>
      </c>
      <c r="X674" s="255">
        <f t="shared" si="100"/>
        <v>46153.899999999994</v>
      </c>
    </row>
    <row r="675" spans="1:24" hidden="1" x14ac:dyDescent="0.35">
      <c r="A675" s="71">
        <f t="shared" si="101"/>
        <v>46153.899999999994</v>
      </c>
      <c r="B675" s="71"/>
      <c r="C675" s="71"/>
      <c r="D675" s="71"/>
      <c r="E675" s="357" t="s">
        <v>134</v>
      </c>
      <c r="F675" s="358" t="s">
        <v>1225</v>
      </c>
      <c r="G675" s="358"/>
      <c r="H675" s="358" t="s">
        <v>1225</v>
      </c>
      <c r="I675" s="359" t="s">
        <v>1226</v>
      </c>
      <c r="J675" s="360" t="s">
        <v>140</v>
      </c>
      <c r="K675" s="361">
        <v>0</v>
      </c>
      <c r="L675" s="361">
        <v>0</v>
      </c>
      <c r="M675" s="362">
        <v>60</v>
      </c>
      <c r="N675" s="363">
        <v>20</v>
      </c>
      <c r="O675" s="364">
        <v>1</v>
      </c>
      <c r="P675" s="363">
        <f t="shared" si="102"/>
        <v>20</v>
      </c>
      <c r="Q675" s="363"/>
      <c r="R675" s="362">
        <v>20</v>
      </c>
      <c r="S675" s="362">
        <f t="shared" si="103"/>
        <v>0</v>
      </c>
      <c r="T675" s="365">
        <f t="shared" si="97"/>
        <v>1440</v>
      </c>
      <c r="U675" s="361">
        <f t="shared" si="98"/>
        <v>0</v>
      </c>
      <c r="V675" s="361">
        <f t="shared" si="99"/>
        <v>0</v>
      </c>
      <c r="W675" s="361">
        <v>0</v>
      </c>
      <c r="X675" s="255">
        <f t="shared" si="100"/>
        <v>46153.899999999994</v>
      </c>
    </row>
    <row r="676" spans="1:24" hidden="1" x14ac:dyDescent="0.35">
      <c r="A676" s="71">
        <f t="shared" si="101"/>
        <v>46153.899999999994</v>
      </c>
      <c r="B676" s="71"/>
      <c r="C676" s="71"/>
      <c r="D676" s="71"/>
      <c r="E676" s="357" t="s">
        <v>134</v>
      </c>
      <c r="F676" s="358" t="s">
        <v>1227</v>
      </c>
      <c r="G676" s="358"/>
      <c r="H676" s="358" t="s">
        <v>1227</v>
      </c>
      <c r="I676" s="359" t="s">
        <v>1226</v>
      </c>
      <c r="J676" s="360" t="s">
        <v>140</v>
      </c>
      <c r="K676" s="361">
        <v>0</v>
      </c>
      <c r="L676" s="361">
        <v>0</v>
      </c>
      <c r="M676" s="362">
        <v>60</v>
      </c>
      <c r="N676" s="363">
        <v>20</v>
      </c>
      <c r="O676" s="364">
        <v>1</v>
      </c>
      <c r="P676" s="363">
        <f t="shared" si="102"/>
        <v>20</v>
      </c>
      <c r="Q676" s="363"/>
      <c r="R676" s="362">
        <v>20</v>
      </c>
      <c r="S676" s="362">
        <f t="shared" si="103"/>
        <v>0</v>
      </c>
      <c r="T676" s="365">
        <f t="shared" ref="T676:T725" si="104">((3600/M676)*O676)*24</f>
        <v>1440</v>
      </c>
      <c r="U676" s="361">
        <f t="shared" ref="U676:U725" si="105">(P676-R676)*M676/3600</f>
        <v>0</v>
      </c>
      <c r="V676" s="361">
        <f t="shared" ref="V676:V725" si="106">(P676-R676)*M676/3600/24</f>
        <v>0</v>
      </c>
      <c r="W676" s="361">
        <v>0</v>
      </c>
      <c r="X676" s="255">
        <f t="shared" ref="X676:X711" si="107">A676+K676+V676+W676+L676</f>
        <v>46153.899999999994</v>
      </c>
    </row>
    <row r="677" spans="1:24" hidden="1" x14ac:dyDescent="0.35">
      <c r="A677" s="71">
        <f t="shared" ref="A677:A722" si="108">X676</f>
        <v>46153.899999999994</v>
      </c>
      <c r="B677" s="71"/>
      <c r="C677" s="71"/>
      <c r="D677" s="71"/>
      <c r="E677" s="357" t="s">
        <v>134</v>
      </c>
      <c r="F677" s="358" t="s">
        <v>1228</v>
      </c>
      <c r="G677" s="358"/>
      <c r="H677" s="358" t="s">
        <v>1228</v>
      </c>
      <c r="I677" s="359" t="s">
        <v>1226</v>
      </c>
      <c r="J677" s="360" t="s">
        <v>140</v>
      </c>
      <c r="K677" s="361">
        <v>0</v>
      </c>
      <c r="L677" s="361">
        <v>0</v>
      </c>
      <c r="M677" s="362">
        <v>60</v>
      </c>
      <c r="N677" s="363">
        <v>20</v>
      </c>
      <c r="O677" s="364">
        <v>1</v>
      </c>
      <c r="P677" s="363">
        <f t="shared" si="102"/>
        <v>20</v>
      </c>
      <c r="Q677" s="363"/>
      <c r="R677" s="362">
        <v>20</v>
      </c>
      <c r="S677" s="362">
        <f t="shared" si="103"/>
        <v>0</v>
      </c>
      <c r="T677" s="365">
        <f t="shared" si="104"/>
        <v>1440</v>
      </c>
      <c r="U677" s="361">
        <f t="shared" si="105"/>
        <v>0</v>
      </c>
      <c r="V677" s="361">
        <f t="shared" si="106"/>
        <v>0</v>
      </c>
      <c r="W677" s="361">
        <v>0</v>
      </c>
      <c r="X677" s="255">
        <f t="shared" si="107"/>
        <v>46153.899999999994</v>
      </c>
    </row>
    <row r="678" spans="1:24" hidden="1" x14ac:dyDescent="0.35">
      <c r="A678" s="71">
        <f t="shared" si="108"/>
        <v>46153.899999999994</v>
      </c>
      <c r="B678" s="71"/>
      <c r="C678" s="71"/>
      <c r="D678" s="71"/>
      <c r="E678" s="357" t="s">
        <v>134</v>
      </c>
      <c r="F678" s="358" t="s">
        <v>1229</v>
      </c>
      <c r="G678" s="358"/>
      <c r="H678" s="358" t="s">
        <v>1229</v>
      </c>
      <c r="I678" s="359" t="s">
        <v>1226</v>
      </c>
      <c r="J678" s="360" t="s">
        <v>140</v>
      </c>
      <c r="K678" s="361">
        <v>0</v>
      </c>
      <c r="L678" s="361">
        <v>0</v>
      </c>
      <c r="M678" s="362">
        <v>60</v>
      </c>
      <c r="N678" s="363">
        <v>20</v>
      </c>
      <c r="O678" s="364">
        <v>1</v>
      </c>
      <c r="P678" s="363">
        <f t="shared" si="102"/>
        <v>20</v>
      </c>
      <c r="Q678" s="363"/>
      <c r="R678" s="362">
        <v>20</v>
      </c>
      <c r="S678" s="362">
        <f t="shared" si="103"/>
        <v>0</v>
      </c>
      <c r="T678" s="365">
        <f t="shared" si="104"/>
        <v>1440</v>
      </c>
      <c r="U678" s="361">
        <f t="shared" si="105"/>
        <v>0</v>
      </c>
      <c r="V678" s="361">
        <f t="shared" si="106"/>
        <v>0</v>
      </c>
      <c r="W678" s="361">
        <v>0</v>
      </c>
      <c r="X678" s="255">
        <f t="shared" si="107"/>
        <v>46153.899999999994</v>
      </c>
    </row>
    <row r="679" spans="1:24" s="118" customFormat="1" ht="26.5" hidden="1" x14ac:dyDescent="0.35">
      <c r="A679" s="71">
        <f t="shared" si="108"/>
        <v>46153.899999999994</v>
      </c>
      <c r="B679" s="71"/>
      <c r="C679" s="71"/>
      <c r="D679" s="71"/>
      <c r="E679" s="119" t="s">
        <v>134</v>
      </c>
      <c r="F679" s="82" t="s">
        <v>1230</v>
      </c>
      <c r="G679" s="82"/>
      <c r="H679" s="107" t="s">
        <v>1231</v>
      </c>
      <c r="I679" s="106" t="s">
        <v>1047</v>
      </c>
      <c r="J679" s="100" t="s">
        <v>140</v>
      </c>
      <c r="K679" s="101">
        <v>0</v>
      </c>
      <c r="L679" s="101">
        <v>0</v>
      </c>
      <c r="M679" s="102">
        <v>100</v>
      </c>
      <c r="N679" s="103">
        <v>1100</v>
      </c>
      <c r="O679" s="171">
        <v>1</v>
      </c>
      <c r="P679" s="103">
        <f t="shared" si="102"/>
        <v>1100</v>
      </c>
      <c r="Q679" s="103"/>
      <c r="R679" s="102">
        <v>1100</v>
      </c>
      <c r="S679" s="102">
        <f t="shared" si="103"/>
        <v>0</v>
      </c>
      <c r="T679" s="173">
        <f t="shared" si="104"/>
        <v>864</v>
      </c>
      <c r="U679" s="101">
        <f t="shared" si="105"/>
        <v>0</v>
      </c>
      <c r="V679" s="101">
        <f t="shared" si="106"/>
        <v>0</v>
      </c>
      <c r="W679" s="101">
        <v>0</v>
      </c>
      <c r="X679" s="255">
        <f t="shared" si="107"/>
        <v>46153.899999999994</v>
      </c>
    </row>
    <row r="680" spans="1:24" ht="26.5" hidden="1" x14ac:dyDescent="0.35">
      <c r="A680" s="71">
        <f t="shared" si="108"/>
        <v>46153.899999999994</v>
      </c>
      <c r="B680" s="71"/>
      <c r="C680" s="71"/>
      <c r="D680" s="71"/>
      <c r="E680" s="47" t="s">
        <v>134</v>
      </c>
      <c r="F680" s="69" t="s">
        <v>257</v>
      </c>
      <c r="G680" s="69"/>
      <c r="H680" s="98" t="s">
        <v>1232</v>
      </c>
      <c r="I680" s="71" t="s">
        <v>4215</v>
      </c>
      <c r="J680" s="51" t="s">
        <v>140</v>
      </c>
      <c r="K680" s="91">
        <v>0</v>
      </c>
      <c r="L680" s="91">
        <v>0</v>
      </c>
      <c r="M680" s="92">
        <v>90</v>
      </c>
      <c r="N680" s="94">
        <v>250</v>
      </c>
      <c r="O680" s="253">
        <v>1</v>
      </c>
      <c r="P680" s="94">
        <f t="shared" si="102"/>
        <v>250</v>
      </c>
      <c r="Q680" s="94"/>
      <c r="R680" s="92">
        <v>250</v>
      </c>
      <c r="S680" s="92">
        <f t="shared" si="103"/>
        <v>0</v>
      </c>
      <c r="T680" s="254">
        <f t="shared" si="104"/>
        <v>960</v>
      </c>
      <c r="U680" s="91">
        <f t="shared" si="105"/>
        <v>0</v>
      </c>
      <c r="V680" s="91">
        <f t="shared" si="106"/>
        <v>0</v>
      </c>
      <c r="W680" s="101">
        <v>0</v>
      </c>
      <c r="X680" s="255">
        <f t="shared" si="107"/>
        <v>46153.899999999994</v>
      </c>
    </row>
    <row r="681" spans="1:24" ht="26.5" hidden="1" x14ac:dyDescent="0.35">
      <c r="A681" s="71">
        <f t="shared" si="108"/>
        <v>46153.899999999994</v>
      </c>
      <c r="B681" s="71"/>
      <c r="C681" s="71"/>
      <c r="D681" s="71"/>
      <c r="E681" s="47" t="s">
        <v>134</v>
      </c>
      <c r="F681" s="69" t="s">
        <v>1233</v>
      </c>
      <c r="G681" s="69"/>
      <c r="H681" s="98" t="s">
        <v>1234</v>
      </c>
      <c r="I681" s="97" t="s">
        <v>4216</v>
      </c>
      <c r="J681" s="51" t="s">
        <v>140</v>
      </c>
      <c r="K681" s="91">
        <v>0</v>
      </c>
      <c r="L681" s="91">
        <v>0</v>
      </c>
      <c r="M681" s="92">
        <v>95</v>
      </c>
      <c r="N681" s="94">
        <v>11500</v>
      </c>
      <c r="O681" s="253">
        <v>1</v>
      </c>
      <c r="P681" s="94">
        <f t="shared" si="102"/>
        <v>11500</v>
      </c>
      <c r="Q681" s="94"/>
      <c r="R681" s="92">
        <v>11500</v>
      </c>
      <c r="S681" s="92">
        <f t="shared" si="103"/>
        <v>0</v>
      </c>
      <c r="T681" s="254">
        <f t="shared" si="104"/>
        <v>909.47368421052624</v>
      </c>
      <c r="U681" s="91">
        <f t="shared" si="105"/>
        <v>0</v>
      </c>
      <c r="V681" s="91">
        <f t="shared" si="106"/>
        <v>0</v>
      </c>
      <c r="W681" s="91">
        <v>0</v>
      </c>
      <c r="X681" s="255">
        <f t="shared" si="107"/>
        <v>46153.899999999994</v>
      </c>
    </row>
    <row r="682" spans="1:24" s="118" customFormat="1" ht="26.5" hidden="1" x14ac:dyDescent="0.35">
      <c r="A682" s="71">
        <f t="shared" si="108"/>
        <v>46153.899999999994</v>
      </c>
      <c r="B682" s="71"/>
      <c r="C682" s="71"/>
      <c r="D682" s="71"/>
      <c r="E682" s="47" t="s">
        <v>134</v>
      </c>
      <c r="F682" s="69" t="s">
        <v>1235</v>
      </c>
      <c r="G682" s="69"/>
      <c r="H682" s="98" t="s">
        <v>1236</v>
      </c>
      <c r="I682" s="97" t="s">
        <v>618</v>
      </c>
      <c r="J682" s="51" t="s">
        <v>140</v>
      </c>
      <c r="K682" s="91">
        <v>0</v>
      </c>
      <c r="L682" s="91">
        <v>0</v>
      </c>
      <c r="M682" s="92">
        <v>100</v>
      </c>
      <c r="N682" s="94">
        <v>500</v>
      </c>
      <c r="O682" s="253">
        <v>1</v>
      </c>
      <c r="P682" s="94">
        <f t="shared" si="102"/>
        <v>500</v>
      </c>
      <c r="Q682" s="94"/>
      <c r="R682" s="92">
        <v>500</v>
      </c>
      <c r="S682" s="92">
        <f t="shared" si="103"/>
        <v>0</v>
      </c>
      <c r="T682" s="254">
        <f t="shared" si="104"/>
        <v>864</v>
      </c>
      <c r="U682" s="91">
        <f t="shared" si="105"/>
        <v>0</v>
      </c>
      <c r="V682" s="91">
        <f t="shared" si="106"/>
        <v>0</v>
      </c>
      <c r="W682" s="91">
        <v>0</v>
      </c>
      <c r="X682" s="255">
        <f t="shared" si="107"/>
        <v>46153.899999999994</v>
      </c>
    </row>
    <row r="683" spans="1:24" s="118" customFormat="1" ht="26.5" hidden="1" x14ac:dyDescent="0.35">
      <c r="A683" s="71">
        <f t="shared" si="108"/>
        <v>46153.899999999994</v>
      </c>
      <c r="B683" s="71"/>
      <c r="C683" s="71"/>
      <c r="D683" s="71"/>
      <c r="E683" s="47" t="s">
        <v>134</v>
      </c>
      <c r="F683" s="69" t="s">
        <v>1237</v>
      </c>
      <c r="G683" s="69"/>
      <c r="H683" s="98" t="s">
        <v>1238</v>
      </c>
      <c r="I683" s="97" t="s">
        <v>1239</v>
      </c>
      <c r="J683" s="51" t="s">
        <v>140</v>
      </c>
      <c r="K683" s="91">
        <v>0</v>
      </c>
      <c r="L683" s="91">
        <v>0</v>
      </c>
      <c r="M683" s="92">
        <v>100</v>
      </c>
      <c r="N683" s="94">
        <v>250</v>
      </c>
      <c r="O683" s="253">
        <v>1</v>
      </c>
      <c r="P683" s="94">
        <f t="shared" si="102"/>
        <v>250</v>
      </c>
      <c r="Q683" s="94"/>
      <c r="R683" s="92">
        <v>250</v>
      </c>
      <c r="S683" s="92">
        <f t="shared" si="103"/>
        <v>0</v>
      </c>
      <c r="T683" s="254">
        <f t="shared" si="104"/>
        <v>864</v>
      </c>
      <c r="U683" s="91">
        <f t="shared" si="105"/>
        <v>0</v>
      </c>
      <c r="V683" s="91">
        <f t="shared" si="106"/>
        <v>0</v>
      </c>
      <c r="W683" s="91">
        <v>0</v>
      </c>
      <c r="X683" s="255">
        <f t="shared" si="107"/>
        <v>46153.899999999994</v>
      </c>
    </row>
    <row r="684" spans="1:24" s="118" customFormat="1" ht="39.5" hidden="1" x14ac:dyDescent="0.35">
      <c r="A684" s="71">
        <f t="shared" si="108"/>
        <v>46153.899999999994</v>
      </c>
      <c r="B684" s="71"/>
      <c r="C684" s="71"/>
      <c r="D684" s="71"/>
      <c r="E684" s="47" t="s">
        <v>134</v>
      </c>
      <c r="F684" s="69" t="s">
        <v>329</v>
      </c>
      <c r="G684" s="69"/>
      <c r="H684" s="98" t="s">
        <v>1240</v>
      </c>
      <c r="I684" s="97" t="s">
        <v>1241</v>
      </c>
      <c r="J684" s="51" t="s">
        <v>140</v>
      </c>
      <c r="K684" s="91">
        <v>0</v>
      </c>
      <c r="L684" s="91">
        <v>0</v>
      </c>
      <c r="M684" s="92">
        <v>100</v>
      </c>
      <c r="N684" s="94">
        <v>700</v>
      </c>
      <c r="O684" s="253">
        <v>1</v>
      </c>
      <c r="P684" s="94">
        <f t="shared" si="102"/>
        <v>700</v>
      </c>
      <c r="Q684" s="94"/>
      <c r="R684" s="92">
        <v>700</v>
      </c>
      <c r="S684" s="92">
        <f t="shared" si="103"/>
        <v>0</v>
      </c>
      <c r="T684" s="254">
        <f t="shared" si="104"/>
        <v>864</v>
      </c>
      <c r="U684" s="91">
        <f t="shared" si="105"/>
        <v>0</v>
      </c>
      <c r="V684" s="91">
        <f t="shared" si="106"/>
        <v>0</v>
      </c>
      <c r="W684" s="91">
        <v>0</v>
      </c>
      <c r="X684" s="255">
        <f t="shared" si="107"/>
        <v>46153.899999999994</v>
      </c>
    </row>
    <row r="685" spans="1:24" s="118" customFormat="1" ht="26.5" hidden="1" x14ac:dyDescent="0.35">
      <c r="A685" s="71">
        <f t="shared" si="108"/>
        <v>46153.899999999994</v>
      </c>
      <c r="B685" s="71"/>
      <c r="C685" s="71"/>
      <c r="D685" s="71"/>
      <c r="E685" s="47" t="s">
        <v>134</v>
      </c>
      <c r="F685" s="82" t="s">
        <v>329</v>
      </c>
      <c r="G685" s="82"/>
      <c r="H685" s="107" t="s">
        <v>1242</v>
      </c>
      <c r="I685" s="71" t="s">
        <v>999</v>
      </c>
      <c r="J685" s="51" t="s">
        <v>140</v>
      </c>
      <c r="K685" s="91">
        <v>0</v>
      </c>
      <c r="L685" s="91">
        <v>0</v>
      </c>
      <c r="M685" s="92">
        <v>270</v>
      </c>
      <c r="N685" s="344">
        <v>300</v>
      </c>
      <c r="O685" s="253">
        <v>1</v>
      </c>
      <c r="P685" s="94">
        <f t="shared" si="102"/>
        <v>300</v>
      </c>
      <c r="Q685" s="94"/>
      <c r="R685" s="345">
        <v>300</v>
      </c>
      <c r="S685" s="92">
        <f t="shared" si="103"/>
        <v>0</v>
      </c>
      <c r="T685" s="254">
        <f t="shared" si="104"/>
        <v>320</v>
      </c>
      <c r="U685" s="91">
        <f t="shared" si="105"/>
        <v>0</v>
      </c>
      <c r="V685" s="91">
        <f t="shared" si="106"/>
        <v>0</v>
      </c>
      <c r="W685" s="91">
        <v>0</v>
      </c>
      <c r="X685" s="255">
        <f t="shared" si="107"/>
        <v>46153.899999999994</v>
      </c>
    </row>
    <row r="686" spans="1:24" s="118" customFormat="1" hidden="1" x14ac:dyDescent="0.35">
      <c r="A686" s="71">
        <f t="shared" si="108"/>
        <v>46153.899999999994</v>
      </c>
      <c r="B686" s="71"/>
      <c r="C686" s="71"/>
      <c r="D686" s="71"/>
      <c r="E686" s="296" t="s">
        <v>1243</v>
      </c>
      <c r="F686" s="366" t="s">
        <v>14</v>
      </c>
      <c r="G686" s="366"/>
      <c r="H686" s="298" t="s">
        <v>14</v>
      </c>
      <c r="I686" s="297" t="s">
        <v>1244</v>
      </c>
      <c r="J686" s="351" t="s">
        <v>140</v>
      </c>
      <c r="K686" s="352">
        <v>0</v>
      </c>
      <c r="L686" s="352">
        <v>0</v>
      </c>
      <c r="M686" s="353">
        <v>60</v>
      </c>
      <c r="N686" s="354">
        <v>50</v>
      </c>
      <c r="O686" s="355">
        <v>2</v>
      </c>
      <c r="P686" s="354">
        <f t="shared" si="102"/>
        <v>25</v>
      </c>
      <c r="Q686" s="354"/>
      <c r="R686" s="353">
        <v>50</v>
      </c>
      <c r="S686" s="353">
        <f t="shared" si="103"/>
        <v>-25</v>
      </c>
      <c r="T686" s="356">
        <f t="shared" si="104"/>
        <v>2880</v>
      </c>
      <c r="U686" s="352">
        <f t="shared" si="105"/>
        <v>-0.41666666666666669</v>
      </c>
      <c r="V686" s="352">
        <f t="shared" si="106"/>
        <v>-1.7361111111111112E-2</v>
      </c>
      <c r="W686" s="352">
        <v>0</v>
      </c>
      <c r="X686" s="255">
        <f t="shared" si="107"/>
        <v>46153.882638888885</v>
      </c>
    </row>
    <row r="687" spans="1:24" s="118" customFormat="1" hidden="1" x14ac:dyDescent="0.35">
      <c r="A687" s="71">
        <f t="shared" si="108"/>
        <v>46153.882638888885</v>
      </c>
      <c r="B687" s="71"/>
      <c r="C687" s="71"/>
      <c r="D687" s="71"/>
      <c r="E687" s="47" t="s">
        <v>43</v>
      </c>
      <c r="F687" s="82" t="s">
        <v>220</v>
      </c>
      <c r="G687" s="82"/>
      <c r="H687" s="98" t="s">
        <v>1245</v>
      </c>
      <c r="I687" s="104" t="s">
        <v>222</v>
      </c>
      <c r="J687" s="104" t="s">
        <v>140</v>
      </c>
      <c r="K687" s="91">
        <v>0</v>
      </c>
      <c r="L687" s="91">
        <v>0</v>
      </c>
      <c r="M687" s="92">
        <v>100</v>
      </c>
      <c r="N687" s="94">
        <v>2000</v>
      </c>
      <c r="O687" s="253">
        <v>1</v>
      </c>
      <c r="P687" s="94">
        <f t="shared" si="102"/>
        <v>2000</v>
      </c>
      <c r="Q687" s="94"/>
      <c r="R687" s="92">
        <v>2000</v>
      </c>
      <c r="S687" s="92">
        <f t="shared" si="103"/>
        <v>0</v>
      </c>
      <c r="T687" s="254">
        <f t="shared" si="104"/>
        <v>864</v>
      </c>
      <c r="U687" s="91">
        <f t="shared" si="105"/>
        <v>0</v>
      </c>
      <c r="V687" s="91">
        <f t="shared" si="106"/>
        <v>0</v>
      </c>
      <c r="W687" s="91">
        <v>0</v>
      </c>
      <c r="X687" s="255">
        <f t="shared" si="107"/>
        <v>46153.882638888885</v>
      </c>
    </row>
    <row r="688" spans="1:24" s="118" customFormat="1" hidden="1" x14ac:dyDescent="0.35">
      <c r="A688" s="71">
        <f t="shared" si="108"/>
        <v>46153.882638888885</v>
      </c>
      <c r="B688" s="71"/>
      <c r="C688" s="71"/>
      <c r="D688" s="71"/>
      <c r="E688" s="296" t="s">
        <v>134</v>
      </c>
      <c r="F688" s="366" t="s">
        <v>14</v>
      </c>
      <c r="G688" s="366"/>
      <c r="H688" s="298" t="s">
        <v>14</v>
      </c>
      <c r="I688" s="297" t="s">
        <v>1246</v>
      </c>
      <c r="J688" s="351" t="s">
        <v>140</v>
      </c>
      <c r="K688" s="352">
        <v>0</v>
      </c>
      <c r="L688" s="352">
        <v>0</v>
      </c>
      <c r="M688" s="353">
        <v>60</v>
      </c>
      <c r="N688" s="354">
        <v>50</v>
      </c>
      <c r="O688" s="355">
        <v>2</v>
      </c>
      <c r="P688" s="354">
        <f t="shared" si="102"/>
        <v>25</v>
      </c>
      <c r="Q688" s="354"/>
      <c r="R688" s="353">
        <v>50</v>
      </c>
      <c r="S688" s="353">
        <f t="shared" si="103"/>
        <v>-25</v>
      </c>
      <c r="T688" s="356">
        <f t="shared" si="104"/>
        <v>2880</v>
      </c>
      <c r="U688" s="352">
        <f t="shared" si="105"/>
        <v>-0.41666666666666669</v>
      </c>
      <c r="V688" s="352">
        <f t="shared" si="106"/>
        <v>-1.7361111111111112E-2</v>
      </c>
      <c r="W688" s="352">
        <v>0</v>
      </c>
      <c r="X688" s="255">
        <f t="shared" si="107"/>
        <v>46153.865277777775</v>
      </c>
    </row>
    <row r="689" spans="1:24" s="118" customFormat="1" ht="26.5" hidden="1" x14ac:dyDescent="0.35">
      <c r="A689" s="71">
        <f t="shared" si="108"/>
        <v>46153.865277777775</v>
      </c>
      <c r="B689" s="71"/>
      <c r="C689" s="71"/>
      <c r="D689" s="71"/>
      <c r="E689" s="47" t="s">
        <v>134</v>
      </c>
      <c r="F689" s="82" t="s">
        <v>1247</v>
      </c>
      <c r="G689" s="82"/>
      <c r="H689" s="98" t="s">
        <v>1248</v>
      </c>
      <c r="I689" s="82" t="s">
        <v>164</v>
      </c>
      <c r="J689" s="51" t="s">
        <v>140</v>
      </c>
      <c r="K689" s="91">
        <v>0</v>
      </c>
      <c r="L689" s="91">
        <v>0</v>
      </c>
      <c r="M689" s="92">
        <v>120</v>
      </c>
      <c r="N689" s="94">
        <v>2000</v>
      </c>
      <c r="O689" s="253">
        <v>1</v>
      </c>
      <c r="P689" s="94">
        <f t="shared" si="102"/>
        <v>2000</v>
      </c>
      <c r="Q689" s="94"/>
      <c r="R689" s="92">
        <v>2000</v>
      </c>
      <c r="S689" s="92">
        <f t="shared" si="103"/>
        <v>0</v>
      </c>
      <c r="T689" s="254">
        <f t="shared" si="104"/>
        <v>720</v>
      </c>
      <c r="U689" s="91">
        <f t="shared" si="105"/>
        <v>0</v>
      </c>
      <c r="V689" s="91">
        <f t="shared" si="106"/>
        <v>0</v>
      </c>
      <c r="W689" s="91">
        <v>0</v>
      </c>
      <c r="X689" s="255">
        <f t="shared" si="107"/>
        <v>46153.865277777775</v>
      </c>
    </row>
    <row r="690" spans="1:24" s="118" customFormat="1" ht="26.5" hidden="1" x14ac:dyDescent="0.35">
      <c r="A690" s="71">
        <f t="shared" si="108"/>
        <v>46153.865277777775</v>
      </c>
      <c r="B690" s="71"/>
      <c r="C690" s="71"/>
      <c r="D690" s="71"/>
      <c r="E690" s="47" t="s">
        <v>134</v>
      </c>
      <c r="F690" s="82" t="s">
        <v>1249</v>
      </c>
      <c r="G690" s="82"/>
      <c r="H690" s="98" t="s">
        <v>1250</v>
      </c>
      <c r="I690" s="82" t="s">
        <v>164</v>
      </c>
      <c r="J690" s="51" t="s">
        <v>283</v>
      </c>
      <c r="K690" s="91">
        <v>0</v>
      </c>
      <c r="L690" s="91">
        <v>0</v>
      </c>
      <c r="M690" s="92">
        <v>120</v>
      </c>
      <c r="N690" s="94">
        <v>2772</v>
      </c>
      <c r="O690" s="253">
        <v>1</v>
      </c>
      <c r="P690" s="94">
        <f t="shared" si="102"/>
        <v>2772</v>
      </c>
      <c r="Q690" s="94"/>
      <c r="R690" s="92">
        <v>2772</v>
      </c>
      <c r="S690" s="92">
        <f t="shared" si="103"/>
        <v>0</v>
      </c>
      <c r="T690" s="254">
        <f t="shared" si="104"/>
        <v>720</v>
      </c>
      <c r="U690" s="91">
        <f t="shared" si="105"/>
        <v>0</v>
      </c>
      <c r="V690" s="91">
        <f t="shared" si="106"/>
        <v>0</v>
      </c>
      <c r="W690" s="91">
        <v>0</v>
      </c>
      <c r="X690" s="255">
        <f t="shared" si="107"/>
        <v>46153.865277777775</v>
      </c>
    </row>
    <row r="691" spans="1:24" s="118" customFormat="1" hidden="1" x14ac:dyDescent="0.35">
      <c r="A691" s="71">
        <f t="shared" si="108"/>
        <v>46153.865277777775</v>
      </c>
      <c r="B691" s="71"/>
      <c r="C691" s="71"/>
      <c r="D691" s="71"/>
      <c r="E691" s="119" t="s">
        <v>134</v>
      </c>
      <c r="F691" s="97" t="s">
        <v>1251</v>
      </c>
      <c r="G691" s="97"/>
      <c r="H691" s="98" t="s">
        <v>1252</v>
      </c>
      <c r="I691" s="106" t="s">
        <v>710</v>
      </c>
      <c r="J691" s="100" t="s">
        <v>140</v>
      </c>
      <c r="K691" s="101">
        <v>0</v>
      </c>
      <c r="L691" s="101">
        <v>0</v>
      </c>
      <c r="M691" s="102">
        <v>105</v>
      </c>
      <c r="N691" s="103">
        <v>200</v>
      </c>
      <c r="O691" s="171">
        <v>1</v>
      </c>
      <c r="P691" s="103">
        <f t="shared" si="102"/>
        <v>200</v>
      </c>
      <c r="Q691" s="103"/>
      <c r="R691" s="102">
        <v>200</v>
      </c>
      <c r="S691" s="102">
        <f t="shared" si="103"/>
        <v>0</v>
      </c>
      <c r="T691" s="173">
        <f t="shared" si="104"/>
        <v>822.85714285714289</v>
      </c>
      <c r="U691" s="101">
        <f t="shared" si="105"/>
        <v>0</v>
      </c>
      <c r="V691" s="101">
        <f t="shared" si="106"/>
        <v>0</v>
      </c>
      <c r="W691" s="101">
        <v>0</v>
      </c>
      <c r="X691" s="255">
        <f t="shared" si="107"/>
        <v>46153.865277777775</v>
      </c>
    </row>
    <row r="692" spans="1:24" s="118" customFormat="1" hidden="1" x14ac:dyDescent="0.35">
      <c r="A692" s="71">
        <f t="shared" si="108"/>
        <v>46153.865277777775</v>
      </c>
      <c r="B692" s="71"/>
      <c r="C692" s="71"/>
      <c r="D692" s="71"/>
      <c r="E692" s="119" t="s">
        <v>134</v>
      </c>
      <c r="F692" s="97" t="s">
        <v>1251</v>
      </c>
      <c r="G692" s="97"/>
      <c r="H692" s="98" t="s">
        <v>1253</v>
      </c>
      <c r="I692" s="106" t="s">
        <v>848</v>
      </c>
      <c r="J692" s="100" t="s">
        <v>140</v>
      </c>
      <c r="K692" s="101">
        <v>0</v>
      </c>
      <c r="L692" s="101">
        <v>0</v>
      </c>
      <c r="M692" s="102">
        <v>105</v>
      </c>
      <c r="N692" s="103">
        <v>200</v>
      </c>
      <c r="O692" s="171">
        <v>1</v>
      </c>
      <c r="P692" s="103">
        <f t="shared" si="102"/>
        <v>200</v>
      </c>
      <c r="Q692" s="103"/>
      <c r="R692" s="102">
        <v>200</v>
      </c>
      <c r="S692" s="102">
        <f t="shared" si="103"/>
        <v>0</v>
      </c>
      <c r="T692" s="173">
        <f t="shared" si="104"/>
        <v>822.85714285714289</v>
      </c>
      <c r="U692" s="101">
        <f t="shared" si="105"/>
        <v>0</v>
      </c>
      <c r="V692" s="101">
        <f t="shared" si="106"/>
        <v>0</v>
      </c>
      <c r="W692" s="101">
        <v>0</v>
      </c>
      <c r="X692" s="255">
        <f t="shared" si="107"/>
        <v>46153.865277777775</v>
      </c>
    </row>
    <row r="693" spans="1:24" s="118" customFormat="1" hidden="1" x14ac:dyDescent="0.35">
      <c r="A693" s="71">
        <f t="shared" si="108"/>
        <v>46153.865277777775</v>
      </c>
      <c r="B693" s="71"/>
      <c r="C693" s="71"/>
      <c r="D693" s="71"/>
      <c r="E693" s="119" t="s">
        <v>134</v>
      </c>
      <c r="F693" s="97" t="s">
        <v>1251</v>
      </c>
      <c r="G693" s="97"/>
      <c r="H693" s="98" t="s">
        <v>1254</v>
      </c>
      <c r="I693" s="106" t="s">
        <v>846</v>
      </c>
      <c r="J693" s="100" t="s">
        <v>140</v>
      </c>
      <c r="K693" s="101">
        <v>0</v>
      </c>
      <c r="L693" s="101">
        <v>0</v>
      </c>
      <c r="M693" s="102">
        <v>105</v>
      </c>
      <c r="N693" s="103">
        <v>200</v>
      </c>
      <c r="O693" s="171">
        <v>1</v>
      </c>
      <c r="P693" s="103">
        <f t="shared" si="102"/>
        <v>200</v>
      </c>
      <c r="Q693" s="103"/>
      <c r="R693" s="102">
        <v>200</v>
      </c>
      <c r="S693" s="102">
        <f t="shared" si="103"/>
        <v>0</v>
      </c>
      <c r="T693" s="173">
        <f t="shared" si="104"/>
        <v>822.85714285714289</v>
      </c>
      <c r="U693" s="101">
        <f t="shared" si="105"/>
        <v>0</v>
      </c>
      <c r="V693" s="101">
        <f t="shared" si="106"/>
        <v>0</v>
      </c>
      <c r="W693" s="101">
        <v>0</v>
      </c>
      <c r="X693" s="255">
        <f t="shared" si="107"/>
        <v>46153.865277777775</v>
      </c>
    </row>
    <row r="694" spans="1:24" s="118" customFormat="1" ht="26.5" hidden="1" x14ac:dyDescent="0.35">
      <c r="A694" s="71">
        <f t="shared" si="108"/>
        <v>46153.865277777775</v>
      </c>
      <c r="B694" s="71"/>
      <c r="C694" s="71"/>
      <c r="D694" s="71"/>
      <c r="E694" s="47" t="s">
        <v>134</v>
      </c>
      <c r="F694" s="69" t="s">
        <v>753</v>
      </c>
      <c r="G694" s="69"/>
      <c r="H694" s="98" t="s">
        <v>1255</v>
      </c>
      <c r="I694" s="97" t="s">
        <v>4217</v>
      </c>
      <c r="J694" s="51" t="s">
        <v>140</v>
      </c>
      <c r="K694" s="91">
        <v>0</v>
      </c>
      <c r="L694" s="91">
        <v>0</v>
      </c>
      <c r="M694" s="92">
        <v>100</v>
      </c>
      <c r="N694" s="94">
        <v>250</v>
      </c>
      <c r="O694" s="253">
        <v>1</v>
      </c>
      <c r="P694" s="94">
        <f t="shared" si="102"/>
        <v>250</v>
      </c>
      <c r="Q694" s="94"/>
      <c r="R694" s="92">
        <v>250</v>
      </c>
      <c r="S694" s="92">
        <f t="shared" si="103"/>
        <v>0</v>
      </c>
      <c r="T694" s="254">
        <f t="shared" si="104"/>
        <v>864</v>
      </c>
      <c r="U694" s="91">
        <f t="shared" si="105"/>
        <v>0</v>
      </c>
      <c r="V694" s="91">
        <f t="shared" si="106"/>
        <v>0</v>
      </c>
      <c r="W694" s="91">
        <v>0</v>
      </c>
      <c r="X694" s="255">
        <f t="shared" si="107"/>
        <v>46153.865277777775</v>
      </c>
    </row>
    <row r="695" spans="1:24" s="118" customFormat="1" ht="26.5" hidden="1" x14ac:dyDescent="0.35">
      <c r="A695" s="71">
        <f t="shared" si="108"/>
        <v>46153.865277777775</v>
      </c>
      <c r="B695" s="71"/>
      <c r="C695" s="71"/>
      <c r="D695" s="71"/>
      <c r="E695" s="47" t="s">
        <v>134</v>
      </c>
      <c r="F695" s="69" t="s">
        <v>753</v>
      </c>
      <c r="G695" s="69"/>
      <c r="H695" s="98" t="s">
        <v>1256</v>
      </c>
      <c r="I695" s="97" t="s">
        <v>4218</v>
      </c>
      <c r="J695" s="51" t="s">
        <v>140</v>
      </c>
      <c r="K695" s="91">
        <v>0</v>
      </c>
      <c r="L695" s="91">
        <v>0</v>
      </c>
      <c r="M695" s="92">
        <v>100</v>
      </c>
      <c r="N695" s="94">
        <v>2300</v>
      </c>
      <c r="O695" s="253">
        <v>1</v>
      </c>
      <c r="P695" s="94">
        <f t="shared" ref="P695:P730" si="109">N695/O695</f>
        <v>2300</v>
      </c>
      <c r="Q695" s="94"/>
      <c r="R695" s="92">
        <v>2300</v>
      </c>
      <c r="S695" s="92">
        <f t="shared" si="103"/>
        <v>0</v>
      </c>
      <c r="T695" s="254">
        <f t="shared" si="104"/>
        <v>864</v>
      </c>
      <c r="U695" s="91">
        <f t="shared" si="105"/>
        <v>0</v>
      </c>
      <c r="V695" s="91">
        <f t="shared" si="106"/>
        <v>0</v>
      </c>
      <c r="W695" s="91">
        <v>0</v>
      </c>
      <c r="X695" s="255">
        <f t="shared" si="107"/>
        <v>46153.865277777775</v>
      </c>
    </row>
    <row r="696" spans="1:24" s="118" customFormat="1" ht="26.5" hidden="1" x14ac:dyDescent="0.35">
      <c r="A696" s="71">
        <f t="shared" si="108"/>
        <v>46153.865277777775</v>
      </c>
      <c r="B696" s="71"/>
      <c r="C696" s="71"/>
      <c r="D696" s="71"/>
      <c r="E696" s="47" t="s">
        <v>134</v>
      </c>
      <c r="F696" s="82" t="s">
        <v>1257</v>
      </c>
      <c r="G696" s="82"/>
      <c r="H696" s="98" t="s">
        <v>1258</v>
      </c>
      <c r="I696" s="82" t="s">
        <v>164</v>
      </c>
      <c r="J696" s="51" t="s">
        <v>140</v>
      </c>
      <c r="K696" s="91">
        <v>0</v>
      </c>
      <c r="L696" s="91">
        <v>0</v>
      </c>
      <c r="M696" s="92">
        <v>120</v>
      </c>
      <c r="N696" s="94">
        <v>1500</v>
      </c>
      <c r="O696" s="253">
        <v>1</v>
      </c>
      <c r="P696" s="94">
        <f t="shared" si="109"/>
        <v>1500</v>
      </c>
      <c r="Q696" s="94"/>
      <c r="R696" s="92">
        <v>1500</v>
      </c>
      <c r="S696" s="92">
        <f t="shared" si="103"/>
        <v>0</v>
      </c>
      <c r="T696" s="254">
        <f t="shared" si="104"/>
        <v>720</v>
      </c>
      <c r="U696" s="91">
        <f t="shared" si="105"/>
        <v>0</v>
      </c>
      <c r="V696" s="91">
        <f t="shared" si="106"/>
        <v>0</v>
      </c>
      <c r="W696" s="91">
        <v>0</v>
      </c>
      <c r="X696" s="255">
        <f t="shared" si="107"/>
        <v>46153.865277777775</v>
      </c>
    </row>
    <row r="697" spans="1:24" s="118" customFormat="1" hidden="1" x14ac:dyDescent="0.35">
      <c r="A697" s="71">
        <f t="shared" si="108"/>
        <v>46153.865277777775</v>
      </c>
      <c r="B697" s="71"/>
      <c r="C697" s="71"/>
      <c r="D697" s="71"/>
      <c r="E697" s="47" t="s">
        <v>134</v>
      </c>
      <c r="F697" s="82" t="s">
        <v>1257</v>
      </c>
      <c r="G697" s="82"/>
      <c r="H697" s="98" t="s">
        <v>1259</v>
      </c>
      <c r="I697" s="82" t="s">
        <v>1260</v>
      </c>
      <c r="J697" s="51" t="s">
        <v>140</v>
      </c>
      <c r="K697" s="91">
        <v>0</v>
      </c>
      <c r="L697" s="91">
        <v>0</v>
      </c>
      <c r="M697" s="92">
        <v>120</v>
      </c>
      <c r="N697" s="94">
        <v>1000</v>
      </c>
      <c r="O697" s="253">
        <v>1</v>
      </c>
      <c r="P697" s="94">
        <f t="shared" si="109"/>
        <v>1000</v>
      </c>
      <c r="Q697" s="94"/>
      <c r="R697" s="92">
        <v>1000</v>
      </c>
      <c r="S697" s="92">
        <f t="shared" si="103"/>
        <v>0</v>
      </c>
      <c r="T697" s="254">
        <f t="shared" si="104"/>
        <v>720</v>
      </c>
      <c r="U697" s="91">
        <f t="shared" si="105"/>
        <v>0</v>
      </c>
      <c r="V697" s="91">
        <f t="shared" si="106"/>
        <v>0</v>
      </c>
      <c r="W697" s="91">
        <v>0</v>
      </c>
      <c r="X697" s="255">
        <f t="shared" si="107"/>
        <v>46153.865277777775</v>
      </c>
    </row>
    <row r="698" spans="1:24" s="118" customFormat="1" hidden="1" x14ac:dyDescent="0.35">
      <c r="A698" s="71">
        <f t="shared" si="108"/>
        <v>46153.865277777775</v>
      </c>
      <c r="B698" s="71"/>
      <c r="C698" s="71"/>
      <c r="D698" s="71"/>
      <c r="E698" s="47" t="s">
        <v>134</v>
      </c>
      <c r="F698" s="82" t="s">
        <v>290</v>
      </c>
      <c r="G698" s="82"/>
      <c r="H698" s="98" t="s">
        <v>1261</v>
      </c>
      <c r="I698" s="82" t="s">
        <v>1260</v>
      </c>
      <c r="J698" s="51" t="s">
        <v>140</v>
      </c>
      <c r="K698" s="91">
        <v>0</v>
      </c>
      <c r="L698" s="91">
        <v>0</v>
      </c>
      <c r="M698" s="92">
        <v>120</v>
      </c>
      <c r="N698" s="94">
        <v>2500</v>
      </c>
      <c r="O698" s="253">
        <v>1</v>
      </c>
      <c r="P698" s="94">
        <f t="shared" si="109"/>
        <v>2500</v>
      </c>
      <c r="Q698" s="94"/>
      <c r="R698" s="92">
        <v>2500</v>
      </c>
      <c r="S698" s="92">
        <f t="shared" si="103"/>
        <v>0</v>
      </c>
      <c r="T698" s="254">
        <f t="shared" si="104"/>
        <v>720</v>
      </c>
      <c r="U698" s="91">
        <f t="shared" si="105"/>
        <v>0</v>
      </c>
      <c r="V698" s="91">
        <f t="shared" si="106"/>
        <v>0</v>
      </c>
      <c r="W698" s="91">
        <v>0</v>
      </c>
      <c r="X698" s="255">
        <f t="shared" si="107"/>
        <v>46153.865277777775</v>
      </c>
    </row>
    <row r="699" spans="1:24" s="118" customFormat="1" hidden="1" x14ac:dyDescent="0.35">
      <c r="A699" s="71">
        <f t="shared" si="108"/>
        <v>46153.865277777775</v>
      </c>
      <c r="B699" s="71"/>
      <c r="C699" s="71"/>
      <c r="D699" s="71"/>
      <c r="E699" s="296" t="s">
        <v>134</v>
      </c>
      <c r="F699" s="367" t="s">
        <v>1225</v>
      </c>
      <c r="G699" s="367"/>
      <c r="H699" s="367" t="s">
        <v>1225</v>
      </c>
      <c r="I699" s="350" t="s">
        <v>1226</v>
      </c>
      <c r="J699" s="351" t="s">
        <v>140</v>
      </c>
      <c r="K699" s="352">
        <v>0</v>
      </c>
      <c r="L699" s="352">
        <v>0</v>
      </c>
      <c r="M699" s="353">
        <v>60</v>
      </c>
      <c r="N699" s="354">
        <v>20</v>
      </c>
      <c r="O699" s="355">
        <v>1</v>
      </c>
      <c r="P699" s="354">
        <f t="shared" si="109"/>
        <v>20</v>
      </c>
      <c r="Q699" s="354"/>
      <c r="R699" s="353">
        <v>20</v>
      </c>
      <c r="S699" s="353">
        <f t="shared" si="103"/>
        <v>0</v>
      </c>
      <c r="T699" s="356">
        <f t="shared" si="104"/>
        <v>1440</v>
      </c>
      <c r="U699" s="352">
        <f t="shared" si="105"/>
        <v>0</v>
      </c>
      <c r="V699" s="352">
        <f t="shared" si="106"/>
        <v>0</v>
      </c>
      <c r="W699" s="352">
        <v>0</v>
      </c>
      <c r="X699" s="255">
        <f t="shared" si="107"/>
        <v>46153.865277777775</v>
      </c>
    </row>
    <row r="700" spans="1:24" s="118" customFormat="1" hidden="1" x14ac:dyDescent="0.35">
      <c r="A700" s="71">
        <f t="shared" si="108"/>
        <v>46153.865277777775</v>
      </c>
      <c r="B700" s="71"/>
      <c r="C700" s="71"/>
      <c r="D700" s="71"/>
      <c r="E700" s="47" t="s">
        <v>134</v>
      </c>
      <c r="F700" s="82" t="s">
        <v>314</v>
      </c>
      <c r="G700" s="82" t="s">
        <v>315</v>
      </c>
      <c r="H700" s="98" t="s">
        <v>1262</v>
      </c>
      <c r="I700" s="82" t="s">
        <v>1260</v>
      </c>
      <c r="J700" s="51" t="s">
        <v>140</v>
      </c>
      <c r="K700" s="91">
        <v>0</v>
      </c>
      <c r="L700" s="91">
        <v>0</v>
      </c>
      <c r="M700" s="92">
        <v>76</v>
      </c>
      <c r="N700" s="94">
        <v>14000</v>
      </c>
      <c r="O700" s="253">
        <v>1</v>
      </c>
      <c r="P700" s="94">
        <f t="shared" si="109"/>
        <v>14000</v>
      </c>
      <c r="Q700" s="94"/>
      <c r="R700" s="92">
        <v>14000</v>
      </c>
      <c r="S700" s="92">
        <f t="shared" si="103"/>
        <v>0</v>
      </c>
      <c r="T700" s="254">
        <f t="shared" si="104"/>
        <v>1136.8421052631579</v>
      </c>
      <c r="U700" s="91">
        <f t="shared" si="105"/>
        <v>0</v>
      </c>
      <c r="V700" s="91">
        <f t="shared" si="106"/>
        <v>0</v>
      </c>
      <c r="W700" s="91">
        <v>0</v>
      </c>
      <c r="X700" s="255">
        <f t="shared" si="107"/>
        <v>46153.865277777775</v>
      </c>
    </row>
    <row r="701" spans="1:24" s="118" customFormat="1" hidden="1" x14ac:dyDescent="0.35">
      <c r="A701" s="71">
        <f t="shared" si="108"/>
        <v>46153.865277777775</v>
      </c>
      <c r="B701" s="71"/>
      <c r="C701" s="71"/>
      <c r="D701" s="71"/>
      <c r="E701" s="47" t="s">
        <v>134</v>
      </c>
      <c r="F701" s="82" t="s">
        <v>314</v>
      </c>
      <c r="G701" s="82" t="s">
        <v>315</v>
      </c>
      <c r="H701" s="98" t="s">
        <v>1263</v>
      </c>
      <c r="I701" s="82" t="s">
        <v>1260</v>
      </c>
      <c r="J701" s="51" t="s">
        <v>140</v>
      </c>
      <c r="K701" s="91">
        <v>0</v>
      </c>
      <c r="L701" s="91">
        <v>0</v>
      </c>
      <c r="M701" s="92">
        <v>70</v>
      </c>
      <c r="N701" s="94">
        <v>5460</v>
      </c>
      <c r="O701" s="253">
        <v>1</v>
      </c>
      <c r="P701" s="94">
        <f t="shared" si="109"/>
        <v>5460</v>
      </c>
      <c r="Q701" s="94"/>
      <c r="R701" s="92">
        <v>5460</v>
      </c>
      <c r="S701" s="92">
        <f t="shared" si="103"/>
        <v>0</v>
      </c>
      <c r="T701" s="254">
        <f t="shared" si="104"/>
        <v>1234.2857142857142</v>
      </c>
      <c r="U701" s="91">
        <f t="shared" si="105"/>
        <v>0</v>
      </c>
      <c r="V701" s="91">
        <f t="shared" si="106"/>
        <v>0</v>
      </c>
      <c r="W701" s="91">
        <v>0</v>
      </c>
      <c r="X701" s="255">
        <f t="shared" si="107"/>
        <v>46153.865277777775</v>
      </c>
    </row>
    <row r="702" spans="1:24" s="118" customFormat="1" hidden="1" x14ac:dyDescent="0.35">
      <c r="A702" s="161">
        <f t="shared" si="108"/>
        <v>46153.865277777775</v>
      </c>
      <c r="B702" s="161"/>
      <c r="C702" s="161"/>
      <c r="D702" s="161"/>
      <c r="E702" s="124" t="s">
        <v>134</v>
      </c>
      <c r="F702" s="159" t="s">
        <v>1264</v>
      </c>
      <c r="G702" s="159" t="s">
        <v>327</v>
      </c>
      <c r="H702" s="126" t="s">
        <v>1265</v>
      </c>
      <c r="I702" s="159" t="s">
        <v>1260</v>
      </c>
      <c r="J702" s="128" t="s">
        <v>140</v>
      </c>
      <c r="K702" s="129">
        <v>0</v>
      </c>
      <c r="L702" s="129">
        <v>0</v>
      </c>
      <c r="M702" s="130">
        <v>76</v>
      </c>
      <c r="N702" s="131">
        <v>20916</v>
      </c>
      <c r="O702" s="189">
        <v>1</v>
      </c>
      <c r="P702" s="131">
        <f t="shared" si="109"/>
        <v>20916</v>
      </c>
      <c r="Q702" s="131"/>
      <c r="R702" s="176">
        <v>20916</v>
      </c>
      <c r="S702" s="130">
        <f t="shared" si="103"/>
        <v>0</v>
      </c>
      <c r="T702" s="242">
        <f t="shared" si="104"/>
        <v>1136.8421052631579</v>
      </c>
      <c r="U702" s="129">
        <f t="shared" si="105"/>
        <v>0</v>
      </c>
      <c r="V702" s="129">
        <f t="shared" si="106"/>
        <v>0</v>
      </c>
      <c r="W702" s="129">
        <v>0</v>
      </c>
      <c r="X702" s="169">
        <f t="shared" si="107"/>
        <v>46153.865277777775</v>
      </c>
    </row>
    <row r="703" spans="1:24" s="118" customFormat="1" ht="26.5" hidden="1" x14ac:dyDescent="0.35">
      <c r="A703" s="161">
        <f t="shared" si="108"/>
        <v>46153.865277777775</v>
      </c>
      <c r="B703" s="161"/>
      <c r="C703" s="161"/>
      <c r="D703" s="161"/>
      <c r="E703" s="124" t="s">
        <v>134</v>
      </c>
      <c r="F703" s="159" t="s">
        <v>1266</v>
      </c>
      <c r="G703" s="159" t="s">
        <v>327</v>
      </c>
      <c r="H703" s="126" t="s">
        <v>1267</v>
      </c>
      <c r="I703" s="159" t="s">
        <v>1260</v>
      </c>
      <c r="J703" s="128" t="s">
        <v>140</v>
      </c>
      <c r="K703" s="129">
        <v>0</v>
      </c>
      <c r="L703" s="129">
        <v>0</v>
      </c>
      <c r="M703" s="130">
        <v>76</v>
      </c>
      <c r="N703" s="131">
        <f>2100+3600+1300+2000</f>
        <v>9000</v>
      </c>
      <c r="O703" s="189">
        <v>1</v>
      </c>
      <c r="P703" s="131">
        <f t="shared" si="109"/>
        <v>9000</v>
      </c>
      <c r="Q703" s="131"/>
      <c r="R703" s="176">
        <v>9000</v>
      </c>
      <c r="S703" s="130">
        <f t="shared" si="103"/>
        <v>0</v>
      </c>
      <c r="T703" s="242">
        <f t="shared" si="104"/>
        <v>1136.8421052631579</v>
      </c>
      <c r="U703" s="129">
        <f t="shared" si="105"/>
        <v>0</v>
      </c>
      <c r="V703" s="129">
        <f t="shared" si="106"/>
        <v>0</v>
      </c>
      <c r="W703" s="129">
        <v>0</v>
      </c>
      <c r="X703" s="169">
        <f t="shared" si="107"/>
        <v>46153.865277777775</v>
      </c>
    </row>
    <row r="704" spans="1:24" s="118" customFormat="1" ht="26.5" hidden="1" x14ac:dyDescent="0.35">
      <c r="A704" s="161">
        <f t="shared" si="108"/>
        <v>46153.865277777775</v>
      </c>
      <c r="B704" s="161"/>
      <c r="C704" s="161"/>
      <c r="D704" s="161"/>
      <c r="E704" s="124" t="s">
        <v>134</v>
      </c>
      <c r="F704" s="159" t="s">
        <v>1268</v>
      </c>
      <c r="G704" s="159" t="s">
        <v>327</v>
      </c>
      <c r="H704" s="126" t="s">
        <v>1269</v>
      </c>
      <c r="I704" s="159" t="s">
        <v>1260</v>
      </c>
      <c r="J704" s="128" t="s">
        <v>140</v>
      </c>
      <c r="K704" s="129">
        <v>0</v>
      </c>
      <c r="L704" s="129">
        <v>0</v>
      </c>
      <c r="M704" s="130">
        <v>76</v>
      </c>
      <c r="N704" s="131">
        <v>3300</v>
      </c>
      <c r="O704" s="189">
        <v>1</v>
      </c>
      <c r="P704" s="131">
        <f t="shared" si="109"/>
        <v>3300</v>
      </c>
      <c r="Q704" s="131"/>
      <c r="R704" s="176">
        <v>3300</v>
      </c>
      <c r="S704" s="130">
        <f t="shared" si="103"/>
        <v>0</v>
      </c>
      <c r="T704" s="242">
        <f t="shared" si="104"/>
        <v>1136.8421052631579</v>
      </c>
      <c r="U704" s="129">
        <f t="shared" si="105"/>
        <v>0</v>
      </c>
      <c r="V704" s="129">
        <f t="shared" si="106"/>
        <v>0</v>
      </c>
      <c r="W704" s="129">
        <v>0</v>
      </c>
      <c r="X704" s="169">
        <f t="shared" si="107"/>
        <v>46153.865277777775</v>
      </c>
    </row>
    <row r="705" spans="1:24" s="118" customFormat="1" ht="39.5" hidden="1" x14ac:dyDescent="0.35">
      <c r="A705" s="123">
        <f t="shared" si="108"/>
        <v>46153.865277777775</v>
      </c>
      <c r="B705" s="123"/>
      <c r="C705" s="123"/>
      <c r="D705" s="123"/>
      <c r="E705" s="124" t="s">
        <v>134</v>
      </c>
      <c r="F705" s="160" t="s">
        <v>1270</v>
      </c>
      <c r="G705" s="160" t="s">
        <v>356</v>
      </c>
      <c r="H705" s="126" t="s">
        <v>1271</v>
      </c>
      <c r="I705" s="125" t="s">
        <v>4219</v>
      </c>
      <c r="J705" s="128" t="s">
        <v>140</v>
      </c>
      <c r="K705" s="129">
        <v>0</v>
      </c>
      <c r="L705" s="129">
        <v>0</v>
      </c>
      <c r="M705" s="130">
        <v>100</v>
      </c>
      <c r="N705" s="131">
        <v>500</v>
      </c>
      <c r="O705" s="130">
        <v>1</v>
      </c>
      <c r="P705" s="131">
        <f t="shared" si="109"/>
        <v>500</v>
      </c>
      <c r="Q705" s="131"/>
      <c r="R705" s="130">
        <v>500</v>
      </c>
      <c r="S705" s="130">
        <f t="shared" si="103"/>
        <v>0</v>
      </c>
      <c r="T705" s="130">
        <f t="shared" si="104"/>
        <v>864</v>
      </c>
      <c r="U705" s="129">
        <f t="shared" si="105"/>
        <v>0</v>
      </c>
      <c r="V705" s="129">
        <f t="shared" si="106"/>
        <v>0</v>
      </c>
      <c r="W705" s="129">
        <v>0</v>
      </c>
      <c r="X705" s="137">
        <f t="shared" si="107"/>
        <v>46153.865277777775</v>
      </c>
    </row>
    <row r="706" spans="1:24" s="178" customFormat="1" ht="26.5" hidden="1" x14ac:dyDescent="0.35">
      <c r="A706" s="123">
        <f t="shared" si="108"/>
        <v>46153.865277777775</v>
      </c>
      <c r="B706" s="123"/>
      <c r="C706" s="123"/>
      <c r="D706" s="123"/>
      <c r="E706" s="124" t="s">
        <v>134</v>
      </c>
      <c r="F706" s="159" t="s">
        <v>1272</v>
      </c>
      <c r="G706" s="160" t="s">
        <v>356</v>
      </c>
      <c r="H706" s="126" t="s">
        <v>1273</v>
      </c>
      <c r="I706" s="160" t="s">
        <v>1274</v>
      </c>
      <c r="J706" s="128" t="s">
        <v>140</v>
      </c>
      <c r="K706" s="129">
        <v>0</v>
      </c>
      <c r="L706" s="129">
        <v>0</v>
      </c>
      <c r="M706" s="130">
        <v>100</v>
      </c>
      <c r="N706" s="131">
        <v>1000</v>
      </c>
      <c r="O706" s="189">
        <v>1</v>
      </c>
      <c r="P706" s="131">
        <f t="shared" si="109"/>
        <v>1000</v>
      </c>
      <c r="Q706" s="131"/>
      <c r="R706" s="130">
        <v>1000</v>
      </c>
      <c r="S706" s="130">
        <f t="shared" si="103"/>
        <v>0</v>
      </c>
      <c r="T706" s="242">
        <f t="shared" si="104"/>
        <v>864</v>
      </c>
      <c r="U706" s="129">
        <f t="shared" si="105"/>
        <v>0</v>
      </c>
      <c r="V706" s="129">
        <f t="shared" si="106"/>
        <v>0</v>
      </c>
      <c r="W706" s="129">
        <v>0</v>
      </c>
      <c r="X706" s="137">
        <f t="shared" si="107"/>
        <v>46153.865277777775</v>
      </c>
    </row>
    <row r="707" spans="1:24" s="118" customFormat="1" hidden="1" x14ac:dyDescent="0.35">
      <c r="A707" s="161">
        <f t="shared" si="108"/>
        <v>46153.865277777775</v>
      </c>
      <c r="B707" s="161"/>
      <c r="C707" s="161"/>
      <c r="D707" s="161"/>
      <c r="E707" s="124" t="s">
        <v>134</v>
      </c>
      <c r="F707" s="159" t="s">
        <v>1275</v>
      </c>
      <c r="G707" s="159" t="s">
        <v>356</v>
      </c>
      <c r="H707" s="126" t="s">
        <v>1276</v>
      </c>
      <c r="I707" s="161" t="s">
        <v>351</v>
      </c>
      <c r="J707" s="162" t="s">
        <v>140</v>
      </c>
      <c r="K707" s="163">
        <v>0</v>
      </c>
      <c r="L707" s="163">
        <v>0</v>
      </c>
      <c r="M707" s="164">
        <v>65</v>
      </c>
      <c r="N707" s="165">
        <v>1050</v>
      </c>
      <c r="O707" s="166">
        <v>1</v>
      </c>
      <c r="P707" s="165">
        <f t="shared" si="109"/>
        <v>1050</v>
      </c>
      <c r="Q707" s="165"/>
      <c r="R707" s="164">
        <v>1050</v>
      </c>
      <c r="S707" s="164">
        <f t="shared" si="103"/>
        <v>0</v>
      </c>
      <c r="T707" s="168">
        <f t="shared" si="104"/>
        <v>1329.2307692307693</v>
      </c>
      <c r="U707" s="163">
        <f t="shared" si="105"/>
        <v>0</v>
      </c>
      <c r="V707" s="163">
        <f t="shared" si="106"/>
        <v>0</v>
      </c>
      <c r="W707" s="163">
        <v>0</v>
      </c>
      <c r="X707" s="169">
        <f t="shared" si="107"/>
        <v>46153.865277777775</v>
      </c>
    </row>
    <row r="708" spans="1:24" s="118" customFormat="1" hidden="1" x14ac:dyDescent="0.35">
      <c r="A708" s="71">
        <f t="shared" si="108"/>
        <v>46153.865277777775</v>
      </c>
      <c r="B708" s="71"/>
      <c r="C708" s="71"/>
      <c r="D708" s="71"/>
      <c r="E708" s="119" t="s">
        <v>134</v>
      </c>
      <c r="F708" s="82" t="s">
        <v>810</v>
      </c>
      <c r="G708" s="82" t="s">
        <v>359</v>
      </c>
      <c r="H708" s="98" t="s">
        <v>1277</v>
      </c>
      <c r="I708" s="71" t="s">
        <v>348</v>
      </c>
      <c r="J708" s="100" t="s">
        <v>140</v>
      </c>
      <c r="K708" s="101">
        <v>0</v>
      </c>
      <c r="L708" s="101">
        <v>0</v>
      </c>
      <c r="M708" s="102">
        <v>65</v>
      </c>
      <c r="N708" s="103">
        <v>75</v>
      </c>
      <c r="O708" s="171">
        <v>1</v>
      </c>
      <c r="P708" s="103">
        <f t="shared" si="109"/>
        <v>75</v>
      </c>
      <c r="Q708" s="103"/>
      <c r="R708" s="102">
        <v>75</v>
      </c>
      <c r="S708" s="102">
        <f t="shared" si="103"/>
        <v>0</v>
      </c>
      <c r="T708" s="173">
        <f t="shared" si="104"/>
        <v>1329.2307692307693</v>
      </c>
      <c r="U708" s="101">
        <f t="shared" si="105"/>
        <v>0</v>
      </c>
      <c r="V708" s="101">
        <f t="shared" si="106"/>
        <v>0</v>
      </c>
      <c r="W708" s="101">
        <v>0</v>
      </c>
      <c r="X708" s="255">
        <f t="shared" si="107"/>
        <v>46153.865277777775</v>
      </c>
    </row>
    <row r="709" spans="1:24" s="118" customFormat="1" hidden="1" x14ac:dyDescent="0.35">
      <c r="A709" s="192">
        <f t="shared" si="108"/>
        <v>46153.865277777775</v>
      </c>
      <c r="B709" s="192"/>
      <c r="C709" s="192"/>
      <c r="D709" s="192"/>
      <c r="E709" s="158" t="s">
        <v>134</v>
      </c>
      <c r="F709" s="159" t="s">
        <v>812</v>
      </c>
      <c r="G709" s="159" t="s">
        <v>359</v>
      </c>
      <c r="H709" s="126" t="s">
        <v>1278</v>
      </c>
      <c r="I709" s="161" t="s">
        <v>345</v>
      </c>
      <c r="J709" s="175" t="s">
        <v>140</v>
      </c>
      <c r="K709" s="163">
        <v>0</v>
      </c>
      <c r="L709" s="163">
        <v>0</v>
      </c>
      <c r="M709" s="164">
        <v>65</v>
      </c>
      <c r="N709" s="165">
        <v>100</v>
      </c>
      <c r="O709" s="166">
        <v>1</v>
      </c>
      <c r="P709" s="165">
        <f t="shared" si="109"/>
        <v>100</v>
      </c>
      <c r="Q709" s="165"/>
      <c r="R709" s="164">
        <v>100</v>
      </c>
      <c r="S709" s="164">
        <f t="shared" si="103"/>
        <v>0</v>
      </c>
      <c r="T709" s="168">
        <f t="shared" si="104"/>
        <v>1329.2307692307693</v>
      </c>
      <c r="U709" s="163">
        <f t="shared" si="105"/>
        <v>0</v>
      </c>
      <c r="V709" s="163">
        <f t="shared" si="106"/>
        <v>0</v>
      </c>
      <c r="W709" s="163">
        <v>0</v>
      </c>
      <c r="X709" s="169">
        <f t="shared" si="107"/>
        <v>46153.865277777775</v>
      </c>
    </row>
    <row r="710" spans="1:24" s="118" customFormat="1" hidden="1" x14ac:dyDescent="0.35">
      <c r="A710" s="161">
        <f t="shared" si="108"/>
        <v>46153.865277777775</v>
      </c>
      <c r="B710" s="161"/>
      <c r="C710" s="161"/>
      <c r="D710" s="161"/>
      <c r="E710" s="124" t="s">
        <v>134</v>
      </c>
      <c r="F710" s="159" t="s">
        <v>1279</v>
      </c>
      <c r="G710" s="159" t="s">
        <v>359</v>
      </c>
      <c r="H710" s="126" t="s">
        <v>1280</v>
      </c>
      <c r="I710" s="161" t="s">
        <v>351</v>
      </c>
      <c r="J710" s="162" t="s">
        <v>140</v>
      </c>
      <c r="K710" s="163">
        <v>0</v>
      </c>
      <c r="L710" s="163">
        <v>0</v>
      </c>
      <c r="M710" s="164">
        <v>65</v>
      </c>
      <c r="N710" s="165">
        <v>300</v>
      </c>
      <c r="O710" s="166">
        <v>1</v>
      </c>
      <c r="P710" s="165">
        <f t="shared" si="109"/>
        <v>300</v>
      </c>
      <c r="Q710" s="165"/>
      <c r="R710" s="164">
        <v>300</v>
      </c>
      <c r="S710" s="164">
        <f t="shared" si="103"/>
        <v>0</v>
      </c>
      <c r="T710" s="168">
        <f t="shared" si="104"/>
        <v>1329.2307692307693</v>
      </c>
      <c r="U710" s="163">
        <f t="shared" si="105"/>
        <v>0</v>
      </c>
      <c r="V710" s="163">
        <f t="shared" si="106"/>
        <v>0</v>
      </c>
      <c r="W710" s="163">
        <v>0</v>
      </c>
      <c r="X710" s="169">
        <f t="shared" si="107"/>
        <v>46153.865277777775</v>
      </c>
    </row>
    <row r="711" spans="1:24" s="118" customFormat="1" hidden="1" x14ac:dyDescent="0.35">
      <c r="A711" s="161">
        <f t="shared" si="108"/>
        <v>46153.865277777775</v>
      </c>
      <c r="B711" s="161"/>
      <c r="C711" s="161"/>
      <c r="D711" s="161"/>
      <c r="E711" s="124" t="s">
        <v>134</v>
      </c>
      <c r="F711" s="159" t="s">
        <v>814</v>
      </c>
      <c r="G711" s="159" t="s">
        <v>359</v>
      </c>
      <c r="H711" s="126" t="s">
        <v>1281</v>
      </c>
      <c r="I711" s="161" t="s">
        <v>818</v>
      </c>
      <c r="J711" s="162" t="s">
        <v>140</v>
      </c>
      <c r="K711" s="163">
        <v>0</v>
      </c>
      <c r="L711" s="163">
        <v>0</v>
      </c>
      <c r="M711" s="164">
        <v>65</v>
      </c>
      <c r="N711" s="165">
        <v>350</v>
      </c>
      <c r="O711" s="166">
        <v>1</v>
      </c>
      <c r="P711" s="165">
        <f t="shared" si="109"/>
        <v>350</v>
      </c>
      <c r="Q711" s="165"/>
      <c r="R711" s="164">
        <v>350</v>
      </c>
      <c r="S711" s="164">
        <f t="shared" si="103"/>
        <v>0</v>
      </c>
      <c r="T711" s="168">
        <f t="shared" si="104"/>
        <v>1329.2307692307693</v>
      </c>
      <c r="U711" s="163">
        <f t="shared" si="105"/>
        <v>0</v>
      </c>
      <c r="V711" s="163">
        <f t="shared" si="106"/>
        <v>0</v>
      </c>
      <c r="W711" s="163">
        <v>0</v>
      </c>
      <c r="X711" s="169">
        <f t="shared" si="107"/>
        <v>46153.865277777775</v>
      </c>
    </row>
    <row r="712" spans="1:24" s="118" customFormat="1" hidden="1" x14ac:dyDescent="0.35">
      <c r="A712" s="123">
        <f t="shared" si="108"/>
        <v>46153.865277777775</v>
      </c>
      <c r="B712" s="123"/>
      <c r="C712" s="123"/>
      <c r="D712" s="123"/>
      <c r="E712" s="158" t="s">
        <v>43</v>
      </c>
      <c r="F712" s="159" t="s">
        <v>1282</v>
      </c>
      <c r="G712" s="160" t="s">
        <v>359</v>
      </c>
      <c r="H712" s="126" t="s">
        <v>1283</v>
      </c>
      <c r="I712" s="161" t="s">
        <v>342</v>
      </c>
      <c r="J712" s="162" t="s">
        <v>140</v>
      </c>
      <c r="K712" s="163">
        <v>0</v>
      </c>
      <c r="L712" s="163">
        <v>0</v>
      </c>
      <c r="M712" s="164">
        <v>65</v>
      </c>
      <c r="N712" s="165">
        <v>220</v>
      </c>
      <c r="O712" s="166">
        <v>1</v>
      </c>
      <c r="P712" s="165">
        <f t="shared" si="109"/>
        <v>220</v>
      </c>
      <c r="Q712" s="165"/>
      <c r="R712" s="167">
        <v>220</v>
      </c>
      <c r="S712" s="164">
        <f t="shared" si="103"/>
        <v>0</v>
      </c>
      <c r="T712" s="168">
        <f t="shared" si="104"/>
        <v>1329.2307692307693</v>
      </c>
      <c r="U712" s="163">
        <f t="shared" si="105"/>
        <v>0</v>
      </c>
      <c r="V712" s="163">
        <f t="shared" si="106"/>
        <v>0</v>
      </c>
      <c r="W712" s="163">
        <v>0</v>
      </c>
      <c r="X712" s="137">
        <f>A712+K712+L712+V712+W712</f>
        <v>46153.865277777775</v>
      </c>
    </row>
    <row r="713" spans="1:24" ht="26.5" hidden="1" x14ac:dyDescent="0.35">
      <c r="A713" s="123">
        <f t="shared" si="108"/>
        <v>46153.865277777775</v>
      </c>
      <c r="B713" s="123"/>
      <c r="C713" s="123"/>
      <c r="D713" s="123"/>
      <c r="E713" s="124" t="s">
        <v>134</v>
      </c>
      <c r="F713" s="159" t="s">
        <v>1284</v>
      </c>
      <c r="G713" s="159" t="s">
        <v>359</v>
      </c>
      <c r="H713" s="188" t="s">
        <v>1285</v>
      </c>
      <c r="I713" s="160" t="s">
        <v>1286</v>
      </c>
      <c r="J713" s="175" t="s">
        <v>140</v>
      </c>
      <c r="K713" s="129">
        <v>0</v>
      </c>
      <c r="L713" s="129">
        <v>0</v>
      </c>
      <c r="M713" s="130">
        <v>180</v>
      </c>
      <c r="N713" s="131">
        <f>80*4</f>
        <v>320</v>
      </c>
      <c r="O713" s="130">
        <v>1</v>
      </c>
      <c r="P713" s="131">
        <f t="shared" si="109"/>
        <v>320</v>
      </c>
      <c r="Q713" s="131"/>
      <c r="R713" s="130">
        <v>320</v>
      </c>
      <c r="S713" s="130">
        <f t="shared" si="103"/>
        <v>0</v>
      </c>
      <c r="T713" s="164">
        <f t="shared" si="104"/>
        <v>480</v>
      </c>
      <c r="U713" s="163">
        <f t="shared" si="105"/>
        <v>0</v>
      </c>
      <c r="V713" s="163">
        <f t="shared" si="106"/>
        <v>0</v>
      </c>
      <c r="W713" s="163">
        <v>0</v>
      </c>
      <c r="X713" s="137">
        <f>A713+K713+L713+V713+W713</f>
        <v>46153.865277777775</v>
      </c>
    </row>
    <row r="714" spans="1:24" s="118" customFormat="1" hidden="1" x14ac:dyDescent="0.35">
      <c r="A714" s="161">
        <f t="shared" si="108"/>
        <v>46153.865277777775</v>
      </c>
      <c r="B714" s="161"/>
      <c r="C714" s="161"/>
      <c r="D714" s="161"/>
      <c r="E714" s="124" t="s">
        <v>134</v>
      </c>
      <c r="F714" s="159" t="s">
        <v>1287</v>
      </c>
      <c r="G714" s="159" t="s">
        <v>359</v>
      </c>
      <c r="H714" s="126" t="s">
        <v>1288</v>
      </c>
      <c r="I714" s="159" t="s">
        <v>1187</v>
      </c>
      <c r="J714" s="175" t="s">
        <v>140</v>
      </c>
      <c r="K714" s="129">
        <v>0</v>
      </c>
      <c r="L714" s="129">
        <v>0</v>
      </c>
      <c r="M714" s="130">
        <v>120</v>
      </c>
      <c r="N714" s="131">
        <v>5000</v>
      </c>
      <c r="O714" s="189">
        <v>4</v>
      </c>
      <c r="P714" s="131">
        <f t="shared" si="109"/>
        <v>1250</v>
      </c>
      <c r="Q714" s="131"/>
      <c r="R714" s="130">
        <v>1250</v>
      </c>
      <c r="S714" s="130">
        <f t="shared" si="103"/>
        <v>0</v>
      </c>
      <c r="T714" s="168">
        <f t="shared" si="104"/>
        <v>2880</v>
      </c>
      <c r="U714" s="163">
        <f t="shared" si="105"/>
        <v>0</v>
      </c>
      <c r="V714" s="163">
        <f t="shared" si="106"/>
        <v>0</v>
      </c>
      <c r="W714" s="163">
        <v>0</v>
      </c>
      <c r="X714" s="137">
        <f t="shared" ref="X714:X730" si="110">A714+K714+V714+W714+L714</f>
        <v>46153.865277777775</v>
      </c>
    </row>
    <row r="715" spans="1:24" s="178" customFormat="1" ht="26.5" hidden="1" x14ac:dyDescent="0.35">
      <c r="A715" s="161">
        <f t="shared" si="108"/>
        <v>46153.865277777775</v>
      </c>
      <c r="B715" s="161"/>
      <c r="C715" s="161"/>
      <c r="D715" s="161"/>
      <c r="E715" s="124" t="s">
        <v>134</v>
      </c>
      <c r="F715" s="159" t="s">
        <v>1289</v>
      </c>
      <c r="G715" s="159" t="s">
        <v>359</v>
      </c>
      <c r="H715" s="126" t="s">
        <v>1290</v>
      </c>
      <c r="I715" s="159" t="s">
        <v>869</v>
      </c>
      <c r="J715" s="128" t="s">
        <v>140</v>
      </c>
      <c r="K715" s="129">
        <v>0</v>
      </c>
      <c r="L715" s="129">
        <v>0</v>
      </c>
      <c r="M715" s="130">
        <v>76</v>
      </c>
      <c r="N715" s="131">
        <v>2500</v>
      </c>
      <c r="O715" s="189">
        <v>1</v>
      </c>
      <c r="P715" s="131">
        <f t="shared" si="109"/>
        <v>2500</v>
      </c>
      <c r="Q715" s="131"/>
      <c r="R715" s="176">
        <v>2500</v>
      </c>
      <c r="S715" s="130">
        <f t="shared" si="103"/>
        <v>0</v>
      </c>
      <c r="T715" s="242">
        <f t="shared" si="104"/>
        <v>1136.8421052631579</v>
      </c>
      <c r="U715" s="129">
        <f t="shared" si="105"/>
        <v>0</v>
      </c>
      <c r="V715" s="129">
        <f t="shared" si="106"/>
        <v>0</v>
      </c>
      <c r="W715" s="129">
        <v>0</v>
      </c>
      <c r="X715" s="169">
        <f t="shared" si="110"/>
        <v>46153.865277777775</v>
      </c>
    </row>
    <row r="716" spans="1:24" s="118" customFormat="1" ht="26.5" hidden="1" x14ac:dyDescent="0.35">
      <c r="A716" s="71">
        <f t="shared" si="108"/>
        <v>46153.865277777775</v>
      </c>
      <c r="B716" s="71"/>
      <c r="C716" s="71"/>
      <c r="D716" s="71"/>
      <c r="E716" s="47" t="s">
        <v>134</v>
      </c>
      <c r="F716" s="82" t="s">
        <v>1291</v>
      </c>
      <c r="G716" s="82" t="s">
        <v>359</v>
      </c>
      <c r="H716" s="98" t="s">
        <v>1292</v>
      </c>
      <c r="I716" s="82" t="s">
        <v>869</v>
      </c>
      <c r="J716" s="51" t="s">
        <v>283</v>
      </c>
      <c r="K716" s="91">
        <v>0</v>
      </c>
      <c r="L716" s="91">
        <v>0</v>
      </c>
      <c r="M716" s="92">
        <v>76</v>
      </c>
      <c r="N716" s="94">
        <v>4662</v>
      </c>
      <c r="O716" s="253">
        <v>1</v>
      </c>
      <c r="P716" s="94">
        <f t="shared" si="109"/>
        <v>4662</v>
      </c>
      <c r="Q716" s="94"/>
      <c r="R716" s="182">
        <v>4662</v>
      </c>
      <c r="S716" s="92">
        <f t="shared" si="103"/>
        <v>0</v>
      </c>
      <c r="T716" s="254">
        <f t="shared" si="104"/>
        <v>1136.8421052631579</v>
      </c>
      <c r="U716" s="91">
        <f t="shared" si="105"/>
        <v>0</v>
      </c>
      <c r="V716" s="91">
        <f t="shared" si="106"/>
        <v>0</v>
      </c>
      <c r="W716" s="91">
        <v>0</v>
      </c>
      <c r="X716" s="255">
        <f t="shared" si="110"/>
        <v>46153.865277777775</v>
      </c>
    </row>
    <row r="717" spans="1:24" s="118" customFormat="1" ht="26.5" hidden="1" x14ac:dyDescent="0.35">
      <c r="A717" s="161">
        <f t="shared" si="108"/>
        <v>46153.865277777775</v>
      </c>
      <c r="B717" s="161"/>
      <c r="C717" s="161"/>
      <c r="D717" s="161"/>
      <c r="E717" s="124" t="s">
        <v>134</v>
      </c>
      <c r="F717" s="159" t="s">
        <v>1293</v>
      </c>
      <c r="G717" s="159" t="s">
        <v>830</v>
      </c>
      <c r="H717" s="126" t="s">
        <v>1294</v>
      </c>
      <c r="I717" s="159" t="s">
        <v>869</v>
      </c>
      <c r="J717" s="128" t="s">
        <v>283</v>
      </c>
      <c r="K717" s="129">
        <v>0</v>
      </c>
      <c r="L717" s="129">
        <v>0</v>
      </c>
      <c r="M717" s="130">
        <v>76</v>
      </c>
      <c r="N717" s="131">
        <v>5073</v>
      </c>
      <c r="O717" s="189">
        <v>1</v>
      </c>
      <c r="P717" s="131">
        <f t="shared" si="109"/>
        <v>5073</v>
      </c>
      <c r="Q717" s="131"/>
      <c r="R717" s="176">
        <v>5073</v>
      </c>
      <c r="S717" s="130">
        <f t="shared" si="103"/>
        <v>0</v>
      </c>
      <c r="T717" s="242">
        <f t="shared" si="104"/>
        <v>1136.8421052631579</v>
      </c>
      <c r="U717" s="129">
        <f t="shared" si="105"/>
        <v>0</v>
      </c>
      <c r="V717" s="129">
        <f t="shared" si="106"/>
        <v>0</v>
      </c>
      <c r="W717" s="129">
        <v>0</v>
      </c>
      <c r="X717" s="169">
        <f t="shared" si="110"/>
        <v>46153.865277777775</v>
      </c>
    </row>
    <row r="718" spans="1:24" s="118" customFormat="1" ht="26.5" hidden="1" x14ac:dyDescent="0.35">
      <c r="A718" s="161">
        <f t="shared" si="108"/>
        <v>46153.865277777775</v>
      </c>
      <c r="B718" s="161"/>
      <c r="C718" s="161"/>
      <c r="D718" s="161"/>
      <c r="E718" s="124" t="s">
        <v>134</v>
      </c>
      <c r="F718" s="159" t="s">
        <v>1295</v>
      </c>
      <c r="G718" s="159" t="s">
        <v>830</v>
      </c>
      <c r="H718" s="126" t="s">
        <v>1296</v>
      </c>
      <c r="I718" s="159" t="s">
        <v>869</v>
      </c>
      <c r="J718" s="128" t="s">
        <v>140</v>
      </c>
      <c r="K718" s="129">
        <v>0</v>
      </c>
      <c r="L718" s="129">
        <v>0</v>
      </c>
      <c r="M718" s="130">
        <v>76</v>
      </c>
      <c r="N718" s="131">
        <v>1000</v>
      </c>
      <c r="O718" s="189">
        <v>1</v>
      </c>
      <c r="P718" s="131">
        <f t="shared" si="109"/>
        <v>1000</v>
      </c>
      <c r="Q718" s="131"/>
      <c r="R718" s="176">
        <v>1000</v>
      </c>
      <c r="S718" s="130">
        <f t="shared" si="103"/>
        <v>0</v>
      </c>
      <c r="T718" s="242">
        <f t="shared" si="104"/>
        <v>1136.8421052631579</v>
      </c>
      <c r="U718" s="129">
        <f t="shared" si="105"/>
        <v>0</v>
      </c>
      <c r="V718" s="129">
        <f t="shared" si="106"/>
        <v>0</v>
      </c>
      <c r="W718" s="129">
        <v>0</v>
      </c>
      <c r="X718" s="169">
        <f t="shared" si="110"/>
        <v>46153.865277777775</v>
      </c>
    </row>
    <row r="719" spans="1:24" s="118" customFormat="1" hidden="1" x14ac:dyDescent="0.35">
      <c r="A719" s="123">
        <f t="shared" si="108"/>
        <v>46153.865277777775</v>
      </c>
      <c r="B719" s="123"/>
      <c r="C719" s="123"/>
      <c r="D719" s="123"/>
      <c r="E719" s="158" t="s">
        <v>454</v>
      </c>
      <c r="F719" s="125" t="s">
        <v>1297</v>
      </c>
      <c r="G719" s="125" t="s">
        <v>830</v>
      </c>
      <c r="H719" s="126" t="s">
        <v>1298</v>
      </c>
      <c r="I719" s="177" t="s">
        <v>282</v>
      </c>
      <c r="J719" s="175" t="s">
        <v>140</v>
      </c>
      <c r="K719" s="129">
        <v>0</v>
      </c>
      <c r="L719" s="129">
        <v>0</v>
      </c>
      <c r="M719" s="130">
        <v>78</v>
      </c>
      <c r="N719" s="131">
        <v>540</v>
      </c>
      <c r="O719" s="130">
        <v>2</v>
      </c>
      <c r="P719" s="131">
        <f t="shared" si="109"/>
        <v>270</v>
      </c>
      <c r="Q719" s="131"/>
      <c r="R719" s="176">
        <v>270</v>
      </c>
      <c r="S719" s="130">
        <f t="shared" si="103"/>
        <v>0</v>
      </c>
      <c r="T719" s="164">
        <f t="shared" si="104"/>
        <v>2215.3846153846152</v>
      </c>
      <c r="U719" s="163">
        <f t="shared" si="105"/>
        <v>0</v>
      </c>
      <c r="V719" s="163">
        <f t="shared" si="106"/>
        <v>0</v>
      </c>
      <c r="W719" s="163">
        <v>0</v>
      </c>
      <c r="X719" s="137">
        <f t="shared" si="110"/>
        <v>46153.865277777775</v>
      </c>
    </row>
    <row r="720" spans="1:24" s="118" customFormat="1" hidden="1" x14ac:dyDescent="0.35">
      <c r="A720" s="123">
        <f t="shared" si="108"/>
        <v>46153.865277777775</v>
      </c>
      <c r="B720" s="123"/>
      <c r="C720" s="123"/>
      <c r="D720" s="123"/>
      <c r="E720" s="124" t="s">
        <v>454</v>
      </c>
      <c r="F720" s="125" t="s">
        <v>1299</v>
      </c>
      <c r="G720" s="125" t="s">
        <v>830</v>
      </c>
      <c r="H720" s="368" t="s">
        <v>1300</v>
      </c>
      <c r="I720" s="125" t="s">
        <v>1301</v>
      </c>
      <c r="J720" s="175" t="s">
        <v>140</v>
      </c>
      <c r="K720" s="129">
        <v>0</v>
      </c>
      <c r="L720" s="129">
        <v>0</v>
      </c>
      <c r="M720" s="130">
        <v>70</v>
      </c>
      <c r="N720" s="131">
        <v>50</v>
      </c>
      <c r="O720" s="189">
        <v>1</v>
      </c>
      <c r="P720" s="131">
        <f t="shared" si="109"/>
        <v>50</v>
      </c>
      <c r="Q720" s="131"/>
      <c r="R720" s="130">
        <v>50</v>
      </c>
      <c r="S720" s="130">
        <f t="shared" si="103"/>
        <v>0</v>
      </c>
      <c r="T720" s="242">
        <f t="shared" si="104"/>
        <v>1234.2857142857142</v>
      </c>
      <c r="U720" s="129">
        <f t="shared" si="105"/>
        <v>0</v>
      </c>
      <c r="V720" s="129">
        <f t="shared" si="106"/>
        <v>0</v>
      </c>
      <c r="W720" s="129">
        <v>0</v>
      </c>
      <c r="X720" s="137">
        <f t="shared" si="110"/>
        <v>46153.865277777775</v>
      </c>
    </row>
    <row r="721" spans="1:24" s="118" customFormat="1" ht="39.5" hidden="1" x14ac:dyDescent="0.35">
      <c r="A721" s="123">
        <f t="shared" si="108"/>
        <v>46153.865277777775</v>
      </c>
      <c r="B721" s="123"/>
      <c r="C721" s="123"/>
      <c r="D721" s="123"/>
      <c r="E721" s="124" t="s">
        <v>454</v>
      </c>
      <c r="F721" s="125" t="s">
        <v>1299</v>
      </c>
      <c r="G721" s="125" t="s">
        <v>830</v>
      </c>
      <c r="H721" s="368" t="s">
        <v>1302</v>
      </c>
      <c r="I721" s="125" t="s">
        <v>1303</v>
      </c>
      <c r="J721" s="175" t="s">
        <v>140</v>
      </c>
      <c r="K721" s="129">
        <v>0</v>
      </c>
      <c r="L721" s="129">
        <v>0</v>
      </c>
      <c r="M721" s="130">
        <v>70</v>
      </c>
      <c r="N721" s="131">
        <v>200</v>
      </c>
      <c r="O721" s="189">
        <v>1</v>
      </c>
      <c r="P721" s="131">
        <f t="shared" si="109"/>
        <v>200</v>
      </c>
      <c r="Q721" s="131"/>
      <c r="R721" s="130">
        <v>200</v>
      </c>
      <c r="S721" s="130">
        <f t="shared" si="103"/>
        <v>0</v>
      </c>
      <c r="T721" s="242">
        <f t="shared" si="104"/>
        <v>1234.2857142857142</v>
      </c>
      <c r="U721" s="129">
        <f t="shared" si="105"/>
        <v>0</v>
      </c>
      <c r="V721" s="129">
        <f t="shared" si="106"/>
        <v>0</v>
      </c>
      <c r="W721" s="129">
        <v>0</v>
      </c>
      <c r="X721" s="137">
        <f t="shared" si="110"/>
        <v>46153.865277777775</v>
      </c>
    </row>
    <row r="722" spans="1:24" s="118" customFormat="1" ht="26.5" hidden="1" x14ac:dyDescent="0.35">
      <c r="A722" s="123">
        <f t="shared" si="108"/>
        <v>46153.865277777775</v>
      </c>
      <c r="B722" s="123"/>
      <c r="C722" s="123"/>
      <c r="D722" s="123"/>
      <c r="E722" s="124" t="s">
        <v>454</v>
      </c>
      <c r="F722" s="125" t="s">
        <v>1299</v>
      </c>
      <c r="G722" s="125" t="s">
        <v>830</v>
      </c>
      <c r="H722" s="368" t="s">
        <v>1300</v>
      </c>
      <c r="I722" s="125" t="s">
        <v>1304</v>
      </c>
      <c r="J722" s="175" t="s">
        <v>140</v>
      </c>
      <c r="K722" s="129">
        <v>0</v>
      </c>
      <c r="L722" s="129">
        <v>0</v>
      </c>
      <c r="M722" s="130">
        <v>70</v>
      </c>
      <c r="N722" s="131">
        <v>200</v>
      </c>
      <c r="O722" s="189">
        <v>1</v>
      </c>
      <c r="P722" s="131">
        <f t="shared" si="109"/>
        <v>200</v>
      </c>
      <c r="Q722" s="131"/>
      <c r="R722" s="130">
        <v>200</v>
      </c>
      <c r="S722" s="130">
        <f t="shared" si="103"/>
        <v>0</v>
      </c>
      <c r="T722" s="242">
        <f t="shared" si="104"/>
        <v>1234.2857142857142</v>
      </c>
      <c r="U722" s="129">
        <f t="shared" si="105"/>
        <v>0</v>
      </c>
      <c r="V722" s="129">
        <f t="shared" si="106"/>
        <v>0</v>
      </c>
      <c r="W722" s="129">
        <v>0</v>
      </c>
      <c r="X722" s="137">
        <f t="shared" si="110"/>
        <v>46153.865277777775</v>
      </c>
    </row>
    <row r="723" spans="1:24" s="118" customFormat="1" ht="26.5" hidden="1" x14ac:dyDescent="0.35">
      <c r="A723" s="123">
        <f>X721</f>
        <v>46153.865277777775</v>
      </c>
      <c r="B723" s="123"/>
      <c r="C723" s="123"/>
      <c r="D723" s="123"/>
      <c r="E723" s="124" t="s">
        <v>454</v>
      </c>
      <c r="F723" s="159" t="s">
        <v>1293</v>
      </c>
      <c r="G723" s="159" t="s">
        <v>830</v>
      </c>
      <c r="H723" s="126" t="s">
        <v>1305</v>
      </c>
      <c r="I723" s="159" t="s">
        <v>869</v>
      </c>
      <c r="J723" s="128" t="s">
        <v>283</v>
      </c>
      <c r="K723" s="129">
        <v>0</v>
      </c>
      <c r="L723" s="129">
        <v>0</v>
      </c>
      <c r="M723" s="130">
        <v>76</v>
      </c>
      <c r="N723" s="131">
        <f>126*33</f>
        <v>4158</v>
      </c>
      <c r="O723" s="189">
        <v>1</v>
      </c>
      <c r="P723" s="131">
        <f t="shared" si="109"/>
        <v>4158</v>
      </c>
      <c r="Q723" s="131"/>
      <c r="R723" s="176">
        <v>4158</v>
      </c>
      <c r="S723" s="130">
        <f t="shared" si="103"/>
        <v>0</v>
      </c>
      <c r="T723" s="242">
        <f t="shared" si="104"/>
        <v>1136.8421052631579</v>
      </c>
      <c r="U723" s="129">
        <f t="shared" si="105"/>
        <v>0</v>
      </c>
      <c r="V723" s="129">
        <f t="shared" si="106"/>
        <v>0</v>
      </c>
      <c r="W723" s="129">
        <v>0</v>
      </c>
      <c r="X723" s="169">
        <f t="shared" si="110"/>
        <v>46153.865277777775</v>
      </c>
    </row>
    <row r="724" spans="1:24" s="118" customFormat="1" ht="26.5" hidden="1" x14ac:dyDescent="0.35">
      <c r="A724" s="123">
        <f>X722</f>
        <v>46153.865277777775</v>
      </c>
      <c r="B724" s="123"/>
      <c r="C724" s="123"/>
      <c r="D724" s="123"/>
      <c r="E724" s="124" t="s">
        <v>454</v>
      </c>
      <c r="F724" s="159" t="s">
        <v>1293</v>
      </c>
      <c r="G724" s="159" t="s">
        <v>830</v>
      </c>
      <c r="H724" s="126" t="s">
        <v>1305</v>
      </c>
      <c r="I724" s="159" t="s">
        <v>869</v>
      </c>
      <c r="J724" s="128" t="s">
        <v>283</v>
      </c>
      <c r="K724" s="129">
        <v>0</v>
      </c>
      <c r="L724" s="129">
        <v>0</v>
      </c>
      <c r="M724" s="130">
        <v>76</v>
      </c>
      <c r="N724" s="131">
        <f>20*126</f>
        <v>2520</v>
      </c>
      <c r="O724" s="189">
        <v>1</v>
      </c>
      <c r="P724" s="131">
        <f t="shared" si="109"/>
        <v>2520</v>
      </c>
      <c r="Q724" s="131"/>
      <c r="R724" s="176">
        <v>2520</v>
      </c>
      <c r="S724" s="130">
        <f t="shared" si="103"/>
        <v>0</v>
      </c>
      <c r="T724" s="242">
        <f t="shared" si="104"/>
        <v>1136.8421052631579</v>
      </c>
      <c r="U724" s="129">
        <f t="shared" si="105"/>
        <v>0</v>
      </c>
      <c r="V724" s="129">
        <f t="shared" si="106"/>
        <v>0</v>
      </c>
      <c r="W724" s="129">
        <v>0</v>
      </c>
      <c r="X724" s="169">
        <f t="shared" si="110"/>
        <v>46153.865277777775</v>
      </c>
    </row>
    <row r="725" spans="1:24" s="179" customFormat="1" ht="26.5" hidden="1" x14ac:dyDescent="0.35">
      <c r="A725" s="161">
        <f t="shared" ref="A725:A733" si="111">X724</f>
        <v>46153.865277777775</v>
      </c>
      <c r="B725" s="161"/>
      <c r="C725" s="161"/>
      <c r="D725" s="161"/>
      <c r="E725" s="124" t="s">
        <v>454</v>
      </c>
      <c r="F725" s="159" t="s">
        <v>1293</v>
      </c>
      <c r="G725" s="159" t="s">
        <v>830</v>
      </c>
      <c r="H725" s="126" t="s">
        <v>1306</v>
      </c>
      <c r="I725" s="159" t="s">
        <v>869</v>
      </c>
      <c r="J725" s="128" t="s">
        <v>140</v>
      </c>
      <c r="K725" s="129">
        <v>0</v>
      </c>
      <c r="L725" s="129">
        <v>0</v>
      </c>
      <c r="M725" s="130">
        <v>76</v>
      </c>
      <c r="N725" s="131">
        <v>3500</v>
      </c>
      <c r="O725" s="189">
        <v>1</v>
      </c>
      <c r="P725" s="131">
        <f t="shared" si="109"/>
        <v>3500</v>
      </c>
      <c r="Q725" s="131"/>
      <c r="R725" s="176">
        <v>3500</v>
      </c>
      <c r="S725" s="130">
        <f t="shared" si="103"/>
        <v>0</v>
      </c>
      <c r="T725" s="242">
        <f t="shared" si="104"/>
        <v>1136.8421052631579</v>
      </c>
      <c r="U725" s="129">
        <f t="shared" si="105"/>
        <v>0</v>
      </c>
      <c r="V725" s="129">
        <f t="shared" si="106"/>
        <v>0</v>
      </c>
      <c r="W725" s="129">
        <v>0</v>
      </c>
      <c r="X725" s="169">
        <f t="shared" si="110"/>
        <v>46153.865277777775</v>
      </c>
    </row>
    <row r="726" spans="1:24" s="121" customFormat="1" ht="26.5" hidden="1" x14ac:dyDescent="0.35">
      <c r="A726" s="71">
        <f t="shared" si="111"/>
        <v>46153.865277777775</v>
      </c>
      <c r="B726" s="71">
        <v>46059</v>
      </c>
      <c r="C726" s="260">
        <f t="shared" ref="C726:C732" si="112">B726-A726</f>
        <v>-94.865277777775191</v>
      </c>
      <c r="D726" s="260"/>
      <c r="E726" s="47" t="s">
        <v>454</v>
      </c>
      <c r="F726" s="82" t="s">
        <v>1293</v>
      </c>
      <c r="G726" s="82" t="s">
        <v>839</v>
      </c>
      <c r="H726" s="98" t="s">
        <v>1307</v>
      </c>
      <c r="I726" s="82" t="s">
        <v>869</v>
      </c>
      <c r="J726" s="51" t="s">
        <v>140</v>
      </c>
      <c r="K726" s="91">
        <v>0</v>
      </c>
      <c r="L726" s="91">
        <v>0</v>
      </c>
      <c r="M726" s="92">
        <v>76</v>
      </c>
      <c r="N726" s="94">
        <v>11088</v>
      </c>
      <c r="O726" s="253">
        <v>1</v>
      </c>
      <c r="P726" s="94">
        <f t="shared" si="109"/>
        <v>11088</v>
      </c>
      <c r="Q726" s="181">
        <v>0.8</v>
      </c>
      <c r="R726" s="182">
        <v>11088</v>
      </c>
      <c r="S726" s="102">
        <f t="shared" si="103"/>
        <v>0</v>
      </c>
      <c r="T726" s="173">
        <f t="shared" ref="T726:T730" si="113">((3600/M726)*O726)*24*Q726</f>
        <v>909.47368421052636</v>
      </c>
      <c r="U726" s="101">
        <f t="shared" ref="U726:U730" si="114">(P726-R726)*M726/3600/Q726</f>
        <v>0</v>
      </c>
      <c r="V726" s="101">
        <f t="shared" ref="V726:V730" si="115">U726/24</f>
        <v>0</v>
      </c>
      <c r="W726" s="101">
        <v>0</v>
      </c>
      <c r="X726" s="255">
        <f t="shared" si="110"/>
        <v>46153.865277777775</v>
      </c>
    </row>
    <row r="727" spans="1:24" s="179" customFormat="1" ht="26.5" hidden="1" x14ac:dyDescent="0.35">
      <c r="A727" s="161">
        <f t="shared" si="111"/>
        <v>46153.865277777775</v>
      </c>
      <c r="B727" s="161">
        <f>X726</f>
        <v>46153.865277777775</v>
      </c>
      <c r="C727" s="183">
        <f t="shared" si="112"/>
        <v>0</v>
      </c>
      <c r="D727" s="183"/>
      <c r="E727" s="124" t="s">
        <v>454</v>
      </c>
      <c r="F727" s="159" t="s">
        <v>1293</v>
      </c>
      <c r="G727" s="159" t="s">
        <v>839</v>
      </c>
      <c r="H727" s="126" t="s">
        <v>1307</v>
      </c>
      <c r="I727" s="159" t="s">
        <v>869</v>
      </c>
      <c r="J727" s="128" t="s">
        <v>140</v>
      </c>
      <c r="K727" s="129">
        <v>0</v>
      </c>
      <c r="L727" s="129">
        <v>0</v>
      </c>
      <c r="M727" s="130">
        <v>76</v>
      </c>
      <c r="N727" s="131">
        <v>2000</v>
      </c>
      <c r="O727" s="189">
        <v>1</v>
      </c>
      <c r="P727" s="131">
        <f t="shared" si="109"/>
        <v>2000</v>
      </c>
      <c r="Q727" s="185">
        <v>0.8</v>
      </c>
      <c r="R727" s="176">
        <v>2000</v>
      </c>
      <c r="S727" s="164">
        <f t="shared" si="103"/>
        <v>0</v>
      </c>
      <c r="T727" s="168">
        <f t="shared" si="113"/>
        <v>909.47368421052636</v>
      </c>
      <c r="U727" s="163">
        <f t="shared" si="114"/>
        <v>0</v>
      </c>
      <c r="V727" s="163">
        <f t="shared" si="115"/>
        <v>0</v>
      </c>
      <c r="W727" s="163">
        <v>0</v>
      </c>
      <c r="X727" s="169">
        <f t="shared" si="110"/>
        <v>46153.865277777775</v>
      </c>
    </row>
    <row r="728" spans="1:24" s="121" customFormat="1" hidden="1" x14ac:dyDescent="0.35">
      <c r="A728" s="71">
        <f t="shared" si="111"/>
        <v>46153.865277777775</v>
      </c>
      <c r="B728" s="71">
        <v>46062</v>
      </c>
      <c r="C728" s="180">
        <f t="shared" si="112"/>
        <v>-91.865277777775191</v>
      </c>
      <c r="D728" s="180"/>
      <c r="E728" s="47" t="s">
        <v>454</v>
      </c>
      <c r="F728" s="82" t="s">
        <v>385</v>
      </c>
      <c r="G728" s="82" t="s">
        <v>386</v>
      </c>
      <c r="H728" s="98" t="s">
        <v>1308</v>
      </c>
      <c r="I728" s="99" t="s">
        <v>97</v>
      </c>
      <c r="J728" s="51" t="s">
        <v>140</v>
      </c>
      <c r="K728" s="91">
        <v>0</v>
      </c>
      <c r="L728" s="91">
        <v>0</v>
      </c>
      <c r="M728" s="92">
        <v>110</v>
      </c>
      <c r="N728" s="94">
        <v>3500</v>
      </c>
      <c r="O728" s="92">
        <v>1</v>
      </c>
      <c r="P728" s="94">
        <f t="shared" si="109"/>
        <v>3500</v>
      </c>
      <c r="Q728" s="181">
        <v>0.8</v>
      </c>
      <c r="R728" s="94">
        <v>3500</v>
      </c>
      <c r="S728" s="102">
        <f t="shared" si="103"/>
        <v>0</v>
      </c>
      <c r="T728" s="173">
        <f t="shared" si="113"/>
        <v>628.36363636363649</v>
      </c>
      <c r="U728" s="101">
        <f t="shared" si="114"/>
        <v>0</v>
      </c>
      <c r="V728" s="101">
        <f t="shared" si="115"/>
        <v>0</v>
      </c>
      <c r="W728" s="101">
        <v>0</v>
      </c>
      <c r="X728" s="55">
        <f t="shared" si="110"/>
        <v>46153.865277777775</v>
      </c>
    </row>
    <row r="729" spans="1:24" s="179" customFormat="1" ht="39.5" hidden="1" x14ac:dyDescent="0.35">
      <c r="A729" s="123">
        <f t="shared" si="111"/>
        <v>46153.865277777775</v>
      </c>
      <c r="B729" s="123">
        <v>46066</v>
      </c>
      <c r="C729" s="183">
        <f t="shared" si="112"/>
        <v>-87.865277777775191</v>
      </c>
      <c r="D729" s="183"/>
      <c r="E729" s="124" t="s">
        <v>454</v>
      </c>
      <c r="F729" s="159" t="s">
        <v>389</v>
      </c>
      <c r="G729" s="125" t="s">
        <v>386</v>
      </c>
      <c r="H729" s="126" t="s">
        <v>1309</v>
      </c>
      <c r="I729" s="125" t="s">
        <v>4220</v>
      </c>
      <c r="J729" s="128" t="s">
        <v>140</v>
      </c>
      <c r="K729" s="129">
        <v>0</v>
      </c>
      <c r="L729" s="129">
        <v>0</v>
      </c>
      <c r="M729" s="130">
        <v>100</v>
      </c>
      <c r="N729" s="131">
        <v>600</v>
      </c>
      <c r="O729" s="189">
        <v>1</v>
      </c>
      <c r="P729" s="131">
        <f t="shared" si="109"/>
        <v>600</v>
      </c>
      <c r="Q729" s="185">
        <v>0.8</v>
      </c>
      <c r="R729" s="130">
        <v>600</v>
      </c>
      <c r="S729" s="130">
        <f t="shared" si="103"/>
        <v>0</v>
      </c>
      <c r="T729" s="168">
        <f t="shared" si="113"/>
        <v>691.2</v>
      </c>
      <c r="U729" s="163">
        <f t="shared" si="114"/>
        <v>0</v>
      </c>
      <c r="V729" s="163">
        <f t="shared" si="115"/>
        <v>0</v>
      </c>
      <c r="W729" s="129">
        <v>0</v>
      </c>
      <c r="X729" s="137">
        <f t="shared" si="110"/>
        <v>46153.865277777775</v>
      </c>
    </row>
    <row r="730" spans="1:24" s="382" customFormat="1" ht="26.5" hidden="1" x14ac:dyDescent="0.35">
      <c r="A730" s="369">
        <f t="shared" si="111"/>
        <v>46153.865277777775</v>
      </c>
      <c r="B730" s="369">
        <v>46084</v>
      </c>
      <c r="C730" s="370">
        <f t="shared" si="112"/>
        <v>-69.865277777775191</v>
      </c>
      <c r="D730" s="370"/>
      <c r="E730" s="371" t="s">
        <v>454</v>
      </c>
      <c r="F730" s="372" t="s">
        <v>392</v>
      </c>
      <c r="G730" s="373" t="s">
        <v>386</v>
      </c>
      <c r="H730" s="374" t="s">
        <v>1310</v>
      </c>
      <c r="I730" s="373" t="s">
        <v>4221</v>
      </c>
      <c r="J730" s="375" t="s">
        <v>140</v>
      </c>
      <c r="K730" s="136">
        <v>0</v>
      </c>
      <c r="L730" s="136">
        <v>0</v>
      </c>
      <c r="M730" s="132">
        <v>100</v>
      </c>
      <c r="N730" s="376">
        <v>10000</v>
      </c>
      <c r="O730" s="377">
        <v>1</v>
      </c>
      <c r="P730" s="376">
        <f t="shared" si="109"/>
        <v>10000</v>
      </c>
      <c r="Q730" s="378">
        <v>0.8</v>
      </c>
      <c r="R730" s="132">
        <v>10000</v>
      </c>
      <c r="S730" s="132">
        <f t="shared" si="103"/>
        <v>0</v>
      </c>
      <c r="T730" s="379">
        <f t="shared" si="113"/>
        <v>691.2</v>
      </c>
      <c r="U730" s="380">
        <f t="shared" si="114"/>
        <v>0</v>
      </c>
      <c r="V730" s="380">
        <f t="shared" si="115"/>
        <v>0</v>
      </c>
      <c r="W730" s="136">
        <v>0</v>
      </c>
      <c r="X730" s="381">
        <f t="shared" si="110"/>
        <v>46153.865277777775</v>
      </c>
    </row>
    <row r="731" spans="1:24" s="186" customFormat="1" ht="25" hidden="1" customHeight="1" x14ac:dyDescent="0.35">
      <c r="A731" s="369">
        <f t="shared" si="111"/>
        <v>46153.865277777775</v>
      </c>
      <c r="B731" s="123">
        <v>46135</v>
      </c>
      <c r="C731" s="370">
        <f t="shared" si="112"/>
        <v>-18.865277777775191</v>
      </c>
      <c r="D731" s="123"/>
      <c r="E731" s="158" t="s">
        <v>134</v>
      </c>
      <c r="F731" s="159" t="s">
        <v>1311</v>
      </c>
      <c r="G731" s="159" t="s">
        <v>411</v>
      </c>
      <c r="H731" s="188" t="s">
        <v>1312</v>
      </c>
      <c r="I731" s="125" t="s">
        <v>729</v>
      </c>
      <c r="J731" s="175" t="s">
        <v>140</v>
      </c>
      <c r="K731" s="129">
        <v>0</v>
      </c>
      <c r="L731" s="129">
        <v>0</v>
      </c>
      <c r="M731" s="130">
        <v>100</v>
      </c>
      <c r="N731" s="131">
        <v>2000</v>
      </c>
      <c r="O731" s="130">
        <v>1</v>
      </c>
      <c r="P731" s="131">
        <f>N731/O731</f>
        <v>2000</v>
      </c>
      <c r="Q731" s="185">
        <v>0.8</v>
      </c>
      <c r="R731" s="130">
        <v>2000</v>
      </c>
      <c r="S731" s="164">
        <f>P731-R731</f>
        <v>0</v>
      </c>
      <c r="T731" s="168">
        <f>((3600/M731)*O731)*24*Q731</f>
        <v>691.2</v>
      </c>
      <c r="U731" s="163">
        <f>(P731-R731)*M731/3600/Q731</f>
        <v>0</v>
      </c>
      <c r="V731" s="163">
        <f>U731/24</f>
        <v>0</v>
      </c>
      <c r="W731" s="163">
        <v>0</v>
      </c>
      <c r="X731" s="137">
        <f>A731+K731+V731+W731+L731</f>
        <v>46153.865277777775</v>
      </c>
    </row>
    <row r="732" spans="1:24" s="186" customFormat="1" hidden="1" x14ac:dyDescent="0.35">
      <c r="A732" s="369">
        <f t="shared" si="111"/>
        <v>46153.865277777775</v>
      </c>
      <c r="B732" s="123">
        <v>46137</v>
      </c>
      <c r="C732" s="370">
        <f t="shared" si="112"/>
        <v>-16.865277777775191</v>
      </c>
      <c r="D732" s="123"/>
      <c r="E732" s="158" t="s">
        <v>134</v>
      </c>
      <c r="F732" s="159" t="s">
        <v>1311</v>
      </c>
      <c r="G732" s="159" t="s">
        <v>411</v>
      </c>
      <c r="H732" s="188" t="s">
        <v>1313</v>
      </c>
      <c r="I732" s="125" t="s">
        <v>729</v>
      </c>
      <c r="J732" s="175" t="s">
        <v>140</v>
      </c>
      <c r="K732" s="129">
        <v>0</v>
      </c>
      <c r="L732" s="129">
        <v>0</v>
      </c>
      <c r="M732" s="130">
        <v>100</v>
      </c>
      <c r="N732" s="131">
        <v>1000</v>
      </c>
      <c r="O732" s="130">
        <v>1</v>
      </c>
      <c r="P732" s="131">
        <f>N732/O732</f>
        <v>1000</v>
      </c>
      <c r="Q732" s="185">
        <v>0.8</v>
      </c>
      <c r="R732" s="130">
        <v>1000</v>
      </c>
      <c r="S732" s="164">
        <f>P732-R732</f>
        <v>0</v>
      </c>
      <c r="T732" s="168">
        <f>((3600/M732)*O732)*24*Q732</f>
        <v>691.2</v>
      </c>
      <c r="U732" s="163">
        <f>(P732-R732)*M732/3600/Q732</f>
        <v>0</v>
      </c>
      <c r="V732" s="163">
        <f>U732/24</f>
        <v>0</v>
      </c>
      <c r="W732" s="163">
        <v>0</v>
      </c>
      <c r="X732" s="137">
        <f>A732+K732+V732+W732+L732</f>
        <v>46153.865277777775</v>
      </c>
    </row>
    <row r="733" spans="1:24" s="186" customFormat="1" ht="25" hidden="1" customHeight="1" x14ac:dyDescent="0.35">
      <c r="A733" s="369">
        <f t="shared" si="111"/>
        <v>46153.865277777775</v>
      </c>
      <c r="B733" s="161">
        <v>46161</v>
      </c>
      <c r="C733" s="190">
        <f>B733-A733</f>
        <v>7.1347222222248092</v>
      </c>
      <c r="D733" s="123"/>
      <c r="E733" s="158" t="s">
        <v>134</v>
      </c>
      <c r="F733" s="159" t="s">
        <v>1314</v>
      </c>
      <c r="G733" s="159" t="s">
        <v>414</v>
      </c>
      <c r="H733" s="188" t="s">
        <v>1315</v>
      </c>
      <c r="I733" s="125" t="s">
        <v>729</v>
      </c>
      <c r="J733" s="175" t="s">
        <v>140</v>
      </c>
      <c r="K733" s="129">
        <v>0</v>
      </c>
      <c r="L733" s="129">
        <v>0</v>
      </c>
      <c r="M733" s="130">
        <v>100</v>
      </c>
      <c r="N733" s="131">
        <v>2000</v>
      </c>
      <c r="O733" s="130">
        <v>1</v>
      </c>
      <c r="P733" s="131">
        <f t="shared" ref="P733" si="116">N733/O733</f>
        <v>2000</v>
      </c>
      <c r="Q733" s="185">
        <v>0.8</v>
      </c>
      <c r="R733" s="130">
        <v>2000</v>
      </c>
      <c r="S733" s="164">
        <f>P733-R733</f>
        <v>0</v>
      </c>
      <c r="T733" s="168">
        <f>((3600/M733)*O733)*24*Q733</f>
        <v>691.2</v>
      </c>
      <c r="U733" s="163">
        <f>(P733-R733)*M733/3600/Q733</f>
        <v>0</v>
      </c>
      <c r="V733" s="163">
        <f>U733/24</f>
        <v>0</v>
      </c>
      <c r="W733" s="163">
        <v>0</v>
      </c>
      <c r="X733" s="137">
        <f>A733+K733+V733+W733+L733</f>
        <v>46153.865277777775</v>
      </c>
    </row>
    <row r="734" spans="1:24" s="243" customFormat="1" ht="25" customHeight="1" x14ac:dyDescent="0.35">
      <c r="A734" s="193">
        <f>X733</f>
        <v>46153.865277777775</v>
      </c>
      <c r="B734" s="193">
        <v>46153</v>
      </c>
      <c r="C734" s="267">
        <f>B734-A734</f>
        <v>-0.86527777777519077</v>
      </c>
      <c r="D734" s="193"/>
      <c r="E734" s="111" t="s">
        <v>134</v>
      </c>
      <c r="F734" s="196" t="s">
        <v>1316</v>
      </c>
      <c r="G734" s="196" t="s">
        <v>414</v>
      </c>
      <c r="H734" s="113" t="s">
        <v>1317</v>
      </c>
      <c r="I734" s="197" t="s">
        <v>97</v>
      </c>
      <c r="J734" s="383" t="s">
        <v>140</v>
      </c>
      <c r="K734" s="115">
        <v>0.25</v>
      </c>
      <c r="L734" s="115">
        <v>0.2</v>
      </c>
      <c r="M734" s="116">
        <v>100</v>
      </c>
      <c r="N734" s="117">
        <v>3000</v>
      </c>
      <c r="O734" s="269">
        <v>1</v>
      </c>
      <c r="P734" s="117">
        <f>N734/O734</f>
        <v>3000</v>
      </c>
      <c r="Q734" s="198">
        <v>0.8</v>
      </c>
      <c r="R734" s="116"/>
      <c r="S734" s="116">
        <f>P734-R734</f>
        <v>3000</v>
      </c>
      <c r="T734" s="200">
        <f>((3600/M734)*O734)*24*Q734</f>
        <v>691.2</v>
      </c>
      <c r="U734" s="115">
        <f>(P734-R734)*M734/3600/Q734</f>
        <v>104.16666666666666</v>
      </c>
      <c r="V734" s="115">
        <f>U734/24</f>
        <v>4.3402777777777777</v>
      </c>
      <c r="W734" s="115">
        <v>0</v>
      </c>
      <c r="X734" s="201">
        <f>A734+K734+V734+W734+L734</f>
        <v>46158.655555555553</v>
      </c>
    </row>
    <row r="735" spans="1:24" s="118" customFormat="1" x14ac:dyDescent="0.35">
      <c r="A735" s="384"/>
      <c r="B735" s="384"/>
      <c r="C735" s="385"/>
      <c r="D735" s="384"/>
      <c r="E735" s="386"/>
      <c r="F735" s="287"/>
      <c r="G735" s="287"/>
      <c r="H735" s="206"/>
      <c r="I735" s="387"/>
      <c r="J735" s="310"/>
      <c r="K735" s="289"/>
      <c r="L735" s="289"/>
      <c r="M735" s="290"/>
      <c r="N735" s="291"/>
      <c r="O735" s="292"/>
      <c r="P735" s="291"/>
      <c r="Q735" s="293"/>
      <c r="R735" s="209"/>
      <c r="S735" s="290"/>
      <c r="T735" s="294"/>
      <c r="U735" s="289"/>
      <c r="V735" s="289"/>
      <c r="W735" s="289"/>
      <c r="X735" s="388"/>
    </row>
    <row r="736" spans="1:24" ht="34.5" x14ac:dyDescent="0.8">
      <c r="A736" s="35" t="s">
        <v>249</v>
      </c>
      <c r="B736" s="35"/>
      <c r="C736" s="35"/>
      <c r="D736" s="35"/>
      <c r="E736" s="36"/>
      <c r="F736" s="389"/>
      <c r="G736" s="389"/>
      <c r="H736" s="311"/>
      <c r="I736" s="214"/>
      <c r="J736" s="40"/>
      <c r="K736" s="41"/>
      <c r="L736" s="41"/>
      <c r="M736" s="42"/>
      <c r="N736" s="43"/>
      <c r="O736" s="312"/>
      <c r="P736" s="44"/>
      <c r="Q736" s="44"/>
      <c r="R736" s="44"/>
      <c r="S736" s="44"/>
      <c r="T736" s="313"/>
      <c r="U736" s="44"/>
      <c r="V736" s="44"/>
      <c r="W736" s="44"/>
      <c r="X736" s="45"/>
    </row>
    <row r="737" spans="1:24" hidden="1" x14ac:dyDescent="0.35">
      <c r="A737" s="46">
        <f>S7</f>
        <v>46153</v>
      </c>
      <c r="B737" s="46"/>
      <c r="C737" s="46"/>
      <c r="D737" s="46"/>
      <c r="E737" s="47" t="s">
        <v>1243</v>
      </c>
      <c r="F737" s="48" t="s">
        <v>1318</v>
      </c>
      <c r="G737" s="48"/>
      <c r="H737" s="59" t="s">
        <v>1319</v>
      </c>
      <c r="I737" s="82" t="s">
        <v>1320</v>
      </c>
      <c r="J737" s="51"/>
      <c r="K737" s="52">
        <v>0</v>
      </c>
      <c r="L737" s="52">
        <v>0</v>
      </c>
      <c r="M737" s="53">
        <v>120</v>
      </c>
      <c r="N737" s="54">
        <v>4200</v>
      </c>
      <c r="O737" s="341">
        <v>1</v>
      </c>
      <c r="P737" s="54">
        <f t="shared" ref="P737:P750" si="117">N737/O737</f>
        <v>4200</v>
      </c>
      <c r="Q737" s="54"/>
      <c r="R737" s="53">
        <v>4200</v>
      </c>
      <c r="S737" s="53">
        <f t="shared" ref="S737:S750" si="118">P737-R737</f>
        <v>0</v>
      </c>
      <c r="T737" s="343">
        <f t="shared" ref="T737:T750" si="119">((3600/M737)*O737)*24</f>
        <v>720</v>
      </c>
      <c r="U737" s="52">
        <f t="shared" ref="U737:U750" si="120">(P737-R737)*M737/3600</f>
        <v>0</v>
      </c>
      <c r="V737" s="52">
        <f t="shared" ref="V737:V750" si="121">(P737-R737)*M737/3600/24</f>
        <v>0</v>
      </c>
      <c r="W737" s="52">
        <v>0</v>
      </c>
      <c r="X737" s="55">
        <f t="shared" ref="X737:X750" si="122">A737+K737+V737+W737+L737</f>
        <v>46153</v>
      </c>
    </row>
    <row r="738" spans="1:24" hidden="1" x14ac:dyDescent="0.35">
      <c r="A738" s="46">
        <f t="shared" ref="A738:A750" si="123">X737</f>
        <v>46153</v>
      </c>
      <c r="B738" s="46"/>
      <c r="C738" s="46"/>
      <c r="D738" s="46"/>
      <c r="E738" s="47" t="s">
        <v>1243</v>
      </c>
      <c r="F738" s="48" t="s">
        <v>1321</v>
      </c>
      <c r="G738" s="48"/>
      <c r="H738" s="59" t="s">
        <v>1321</v>
      </c>
      <c r="I738" s="390" t="s">
        <v>1322</v>
      </c>
      <c r="J738" s="51"/>
      <c r="K738" s="52">
        <v>0</v>
      </c>
      <c r="L738" s="52">
        <v>0</v>
      </c>
      <c r="M738" s="53">
        <v>25</v>
      </c>
      <c r="N738" s="54">
        <v>50</v>
      </c>
      <c r="O738" s="341">
        <v>1</v>
      </c>
      <c r="P738" s="54">
        <f t="shared" si="117"/>
        <v>50</v>
      </c>
      <c r="Q738" s="54"/>
      <c r="R738" s="53">
        <v>50</v>
      </c>
      <c r="S738" s="53">
        <f t="shared" si="118"/>
        <v>0</v>
      </c>
      <c r="T738" s="343">
        <f t="shared" si="119"/>
        <v>3456</v>
      </c>
      <c r="U738" s="52">
        <f t="shared" si="120"/>
        <v>0</v>
      </c>
      <c r="V738" s="52">
        <f t="shared" si="121"/>
        <v>0</v>
      </c>
      <c r="W738" s="52">
        <v>0</v>
      </c>
      <c r="X738" s="55">
        <f t="shared" si="122"/>
        <v>46153</v>
      </c>
    </row>
    <row r="739" spans="1:24" hidden="1" x14ac:dyDescent="0.35">
      <c r="A739" s="46">
        <f t="shared" si="123"/>
        <v>46153</v>
      </c>
      <c r="B739" s="46"/>
      <c r="C739" s="46"/>
      <c r="D739" s="46"/>
      <c r="E739" s="47" t="s">
        <v>1243</v>
      </c>
      <c r="F739" s="48" t="s">
        <v>1318</v>
      </c>
      <c r="G739" s="48"/>
      <c r="H739" s="59" t="s">
        <v>1323</v>
      </c>
      <c r="I739" s="82" t="s">
        <v>1324</v>
      </c>
      <c r="J739" s="51"/>
      <c r="K739" s="52">
        <v>0</v>
      </c>
      <c r="L739" s="52">
        <v>0</v>
      </c>
      <c r="M739" s="53">
        <v>140</v>
      </c>
      <c r="N739" s="54">
        <v>4200</v>
      </c>
      <c r="O739" s="341">
        <v>1</v>
      </c>
      <c r="P739" s="54">
        <f t="shared" si="117"/>
        <v>4200</v>
      </c>
      <c r="Q739" s="54"/>
      <c r="R739" s="53">
        <v>4200</v>
      </c>
      <c r="S739" s="53">
        <f t="shared" si="118"/>
        <v>0</v>
      </c>
      <c r="T739" s="343">
        <f t="shared" si="119"/>
        <v>617.14285714285711</v>
      </c>
      <c r="U739" s="52">
        <f t="shared" si="120"/>
        <v>0</v>
      </c>
      <c r="V739" s="52">
        <f t="shared" si="121"/>
        <v>0</v>
      </c>
      <c r="W739" s="52">
        <v>0</v>
      </c>
      <c r="X739" s="55">
        <f t="shared" si="122"/>
        <v>46153</v>
      </c>
    </row>
    <row r="740" spans="1:24" hidden="1" x14ac:dyDescent="0.35">
      <c r="A740" s="46">
        <f t="shared" si="123"/>
        <v>46153</v>
      </c>
      <c r="B740" s="46"/>
      <c r="C740" s="46"/>
      <c r="D740" s="46"/>
      <c r="E740" s="47" t="s">
        <v>1243</v>
      </c>
      <c r="F740" s="48" t="s">
        <v>104</v>
      </c>
      <c r="G740" s="48"/>
      <c r="H740" s="59" t="s">
        <v>1325</v>
      </c>
      <c r="I740" s="82" t="s">
        <v>1326</v>
      </c>
      <c r="J740" s="51"/>
      <c r="K740" s="52">
        <v>0</v>
      </c>
      <c r="L740" s="52">
        <v>0</v>
      </c>
      <c r="M740" s="53">
        <v>110</v>
      </c>
      <c r="N740" s="54">
        <v>1000</v>
      </c>
      <c r="O740" s="341">
        <v>1</v>
      </c>
      <c r="P740" s="54">
        <f t="shared" si="117"/>
        <v>1000</v>
      </c>
      <c r="Q740" s="54"/>
      <c r="R740" s="53">
        <v>1000</v>
      </c>
      <c r="S740" s="53">
        <f t="shared" si="118"/>
        <v>0</v>
      </c>
      <c r="T740" s="343">
        <f t="shared" si="119"/>
        <v>785.4545454545455</v>
      </c>
      <c r="U740" s="52">
        <f t="shared" si="120"/>
        <v>0</v>
      </c>
      <c r="V740" s="52">
        <f t="shared" si="121"/>
        <v>0</v>
      </c>
      <c r="W740" s="52">
        <v>0</v>
      </c>
      <c r="X740" s="55">
        <f t="shared" si="122"/>
        <v>46153</v>
      </c>
    </row>
    <row r="741" spans="1:24" hidden="1" x14ac:dyDescent="0.35">
      <c r="A741" s="46">
        <f t="shared" si="123"/>
        <v>46153</v>
      </c>
      <c r="B741" s="46"/>
      <c r="C741" s="46"/>
      <c r="D741" s="46"/>
      <c r="E741" s="47" t="s">
        <v>1243</v>
      </c>
      <c r="F741" s="48" t="s">
        <v>414</v>
      </c>
      <c r="G741" s="48"/>
      <c r="H741" s="59" t="s">
        <v>1327</v>
      </c>
      <c r="I741" s="99" t="s">
        <v>1328</v>
      </c>
      <c r="J741" s="51"/>
      <c r="K741" s="52">
        <v>0</v>
      </c>
      <c r="L741" s="52">
        <v>0</v>
      </c>
      <c r="M741" s="53">
        <v>90</v>
      </c>
      <c r="N741" s="54">
        <v>1050</v>
      </c>
      <c r="O741" s="341">
        <v>1</v>
      </c>
      <c r="P741" s="54">
        <f t="shared" si="117"/>
        <v>1050</v>
      </c>
      <c r="Q741" s="54"/>
      <c r="R741" s="53">
        <v>1050</v>
      </c>
      <c r="S741" s="53">
        <f t="shared" si="118"/>
        <v>0</v>
      </c>
      <c r="T741" s="343">
        <f t="shared" si="119"/>
        <v>960</v>
      </c>
      <c r="U741" s="52">
        <f t="shared" si="120"/>
        <v>0</v>
      </c>
      <c r="V741" s="52">
        <f t="shared" si="121"/>
        <v>0</v>
      </c>
      <c r="W741" s="52">
        <v>0</v>
      </c>
      <c r="X741" s="55">
        <f t="shared" si="122"/>
        <v>46153</v>
      </c>
    </row>
    <row r="742" spans="1:24" hidden="1" x14ac:dyDescent="0.35">
      <c r="A742" s="46">
        <f t="shared" si="123"/>
        <v>46153</v>
      </c>
      <c r="B742" s="46"/>
      <c r="C742" s="46"/>
      <c r="D742" s="46"/>
      <c r="E742" s="47" t="s">
        <v>1243</v>
      </c>
      <c r="F742" s="48" t="s">
        <v>414</v>
      </c>
      <c r="G742" s="48"/>
      <c r="H742" s="49" t="s">
        <v>1329</v>
      </c>
      <c r="I742" s="82" t="s">
        <v>1330</v>
      </c>
      <c r="J742" s="51"/>
      <c r="K742" s="52">
        <v>0</v>
      </c>
      <c r="L742" s="52">
        <v>0</v>
      </c>
      <c r="M742" s="53">
        <v>120</v>
      </c>
      <c r="N742" s="54">
        <v>200</v>
      </c>
      <c r="O742" s="341">
        <v>1</v>
      </c>
      <c r="P742" s="54">
        <f t="shared" si="117"/>
        <v>200</v>
      </c>
      <c r="Q742" s="54"/>
      <c r="R742" s="53">
        <v>200</v>
      </c>
      <c r="S742" s="53">
        <f t="shared" si="118"/>
        <v>0</v>
      </c>
      <c r="T742" s="343">
        <f t="shared" si="119"/>
        <v>720</v>
      </c>
      <c r="U742" s="52">
        <f t="shared" si="120"/>
        <v>0</v>
      </c>
      <c r="V742" s="52">
        <f t="shared" si="121"/>
        <v>0</v>
      </c>
      <c r="W742" s="52">
        <v>0</v>
      </c>
      <c r="X742" s="55">
        <f t="shared" si="122"/>
        <v>46153</v>
      </c>
    </row>
    <row r="743" spans="1:24" hidden="1" x14ac:dyDescent="0.35">
      <c r="A743" s="46">
        <f t="shared" si="123"/>
        <v>46153</v>
      </c>
      <c r="B743" s="46"/>
      <c r="C743" s="46"/>
      <c r="D743" s="46"/>
      <c r="E743" s="47" t="s">
        <v>1243</v>
      </c>
      <c r="F743" s="48" t="s">
        <v>414</v>
      </c>
      <c r="G743" s="48"/>
      <c r="H743" s="49" t="s">
        <v>1331</v>
      </c>
      <c r="I743" s="82" t="s">
        <v>1332</v>
      </c>
      <c r="J743" s="51"/>
      <c r="K743" s="52">
        <v>0</v>
      </c>
      <c r="L743" s="52">
        <v>0</v>
      </c>
      <c r="M743" s="53">
        <v>120</v>
      </c>
      <c r="N743" s="54">
        <v>800</v>
      </c>
      <c r="O743" s="341">
        <v>1</v>
      </c>
      <c r="P743" s="54">
        <f t="shared" si="117"/>
        <v>800</v>
      </c>
      <c r="Q743" s="54"/>
      <c r="R743" s="53">
        <v>800</v>
      </c>
      <c r="S743" s="53">
        <f t="shared" si="118"/>
        <v>0</v>
      </c>
      <c r="T743" s="343">
        <f t="shared" si="119"/>
        <v>720</v>
      </c>
      <c r="U743" s="52">
        <f t="shared" si="120"/>
        <v>0</v>
      </c>
      <c r="V743" s="52">
        <f t="shared" si="121"/>
        <v>0</v>
      </c>
      <c r="W743" s="52">
        <v>0</v>
      </c>
      <c r="X743" s="55">
        <f t="shared" si="122"/>
        <v>46153</v>
      </c>
    </row>
    <row r="744" spans="1:24" hidden="1" x14ac:dyDescent="0.35">
      <c r="A744" s="46">
        <f t="shared" si="123"/>
        <v>46153</v>
      </c>
      <c r="B744" s="46"/>
      <c r="C744" s="46"/>
      <c r="D744" s="46"/>
      <c r="E744" s="47" t="s">
        <v>1243</v>
      </c>
      <c r="F744" s="48" t="s">
        <v>414</v>
      </c>
      <c r="G744" s="48"/>
      <c r="H744" s="49" t="s">
        <v>1333</v>
      </c>
      <c r="I744" s="82" t="s">
        <v>801</v>
      </c>
      <c r="J744" s="51"/>
      <c r="K744" s="52">
        <v>0</v>
      </c>
      <c r="L744" s="52">
        <v>0</v>
      </c>
      <c r="M744" s="53">
        <v>120</v>
      </c>
      <c r="N744" s="54">
        <v>800</v>
      </c>
      <c r="O744" s="341">
        <v>1</v>
      </c>
      <c r="P744" s="54">
        <f t="shared" si="117"/>
        <v>800</v>
      </c>
      <c r="Q744" s="54"/>
      <c r="R744" s="53">
        <v>800</v>
      </c>
      <c r="S744" s="53">
        <f t="shared" si="118"/>
        <v>0</v>
      </c>
      <c r="T744" s="343">
        <f t="shared" si="119"/>
        <v>720</v>
      </c>
      <c r="U744" s="52">
        <f t="shared" si="120"/>
        <v>0</v>
      </c>
      <c r="V744" s="52">
        <f t="shared" si="121"/>
        <v>0</v>
      </c>
      <c r="W744" s="52">
        <v>0</v>
      </c>
      <c r="X744" s="55">
        <f t="shared" si="122"/>
        <v>46153</v>
      </c>
    </row>
    <row r="745" spans="1:24" hidden="1" x14ac:dyDescent="0.35">
      <c r="A745" s="46">
        <f t="shared" si="123"/>
        <v>46153</v>
      </c>
      <c r="B745" s="46"/>
      <c r="C745" s="46"/>
      <c r="D745" s="46"/>
      <c r="E745" s="47" t="s">
        <v>1243</v>
      </c>
      <c r="F745" s="48" t="s">
        <v>414</v>
      </c>
      <c r="G745" s="48"/>
      <c r="H745" s="49" t="s">
        <v>1334</v>
      </c>
      <c r="I745" s="82" t="s">
        <v>1335</v>
      </c>
      <c r="J745" s="51"/>
      <c r="K745" s="52">
        <v>0</v>
      </c>
      <c r="L745" s="52">
        <v>0</v>
      </c>
      <c r="M745" s="53">
        <v>120</v>
      </c>
      <c r="N745" s="54">
        <v>200</v>
      </c>
      <c r="O745" s="341">
        <v>1</v>
      </c>
      <c r="P745" s="54">
        <f t="shared" si="117"/>
        <v>200</v>
      </c>
      <c r="Q745" s="54"/>
      <c r="R745" s="53">
        <v>200</v>
      </c>
      <c r="S745" s="53">
        <f t="shared" si="118"/>
        <v>0</v>
      </c>
      <c r="T745" s="343">
        <f t="shared" si="119"/>
        <v>720</v>
      </c>
      <c r="U745" s="52">
        <f t="shared" si="120"/>
        <v>0</v>
      </c>
      <c r="V745" s="52">
        <f t="shared" si="121"/>
        <v>0</v>
      </c>
      <c r="W745" s="52">
        <v>0</v>
      </c>
      <c r="X745" s="55">
        <f t="shared" si="122"/>
        <v>46153</v>
      </c>
    </row>
    <row r="746" spans="1:24" hidden="1" x14ac:dyDescent="0.35">
      <c r="A746" s="46">
        <f t="shared" si="123"/>
        <v>46153</v>
      </c>
      <c r="B746" s="46"/>
      <c r="C746" s="46"/>
      <c r="D746" s="46"/>
      <c r="E746" s="47" t="s">
        <v>1243</v>
      </c>
      <c r="F746" s="48" t="s">
        <v>1336</v>
      </c>
      <c r="G746" s="48"/>
      <c r="H746" s="49" t="s">
        <v>1337</v>
      </c>
      <c r="I746" s="82" t="s">
        <v>1338</v>
      </c>
      <c r="J746" s="51"/>
      <c r="K746" s="52">
        <v>0</v>
      </c>
      <c r="L746" s="52">
        <v>0</v>
      </c>
      <c r="M746" s="53">
        <v>120</v>
      </c>
      <c r="N746" s="54">
        <v>2000</v>
      </c>
      <c r="O746" s="341">
        <v>1</v>
      </c>
      <c r="P746" s="54">
        <f t="shared" si="117"/>
        <v>2000</v>
      </c>
      <c r="Q746" s="54"/>
      <c r="R746" s="53">
        <v>2000</v>
      </c>
      <c r="S746" s="53">
        <f t="shared" si="118"/>
        <v>0</v>
      </c>
      <c r="T746" s="343">
        <f t="shared" si="119"/>
        <v>720</v>
      </c>
      <c r="U746" s="52">
        <f t="shared" si="120"/>
        <v>0</v>
      </c>
      <c r="V746" s="52">
        <f t="shared" si="121"/>
        <v>0</v>
      </c>
      <c r="W746" s="52">
        <v>0</v>
      </c>
      <c r="X746" s="55">
        <f t="shared" si="122"/>
        <v>46153</v>
      </c>
    </row>
    <row r="747" spans="1:24" hidden="1" x14ac:dyDescent="0.35">
      <c r="A747" s="46">
        <f t="shared" si="123"/>
        <v>46153</v>
      </c>
      <c r="B747" s="46"/>
      <c r="C747" s="46"/>
      <c r="D747" s="46"/>
      <c r="E747" s="47" t="s">
        <v>1243</v>
      </c>
      <c r="F747" s="48" t="s">
        <v>1339</v>
      </c>
      <c r="G747" s="48"/>
      <c r="H747" s="49" t="s">
        <v>1340</v>
      </c>
      <c r="I747" s="82" t="s">
        <v>1341</v>
      </c>
      <c r="J747" s="51"/>
      <c r="K747" s="52">
        <v>0</v>
      </c>
      <c r="L747" s="52">
        <v>0</v>
      </c>
      <c r="M747" s="53">
        <v>80</v>
      </c>
      <c r="N747" s="54">
        <v>500</v>
      </c>
      <c r="O747" s="341">
        <v>1</v>
      </c>
      <c r="P747" s="54">
        <f t="shared" si="117"/>
        <v>500</v>
      </c>
      <c r="Q747" s="54"/>
      <c r="R747" s="53">
        <v>500</v>
      </c>
      <c r="S747" s="53">
        <f t="shared" si="118"/>
        <v>0</v>
      </c>
      <c r="T747" s="343">
        <f t="shared" si="119"/>
        <v>1080</v>
      </c>
      <c r="U747" s="52">
        <f t="shared" si="120"/>
        <v>0</v>
      </c>
      <c r="V747" s="52">
        <f t="shared" si="121"/>
        <v>0</v>
      </c>
      <c r="W747" s="52">
        <v>0</v>
      </c>
      <c r="X747" s="55">
        <f t="shared" si="122"/>
        <v>46153</v>
      </c>
    </row>
    <row r="748" spans="1:24" hidden="1" x14ac:dyDescent="0.35">
      <c r="A748" s="46">
        <f t="shared" si="123"/>
        <v>46153</v>
      </c>
      <c r="B748" s="46"/>
      <c r="C748" s="46"/>
      <c r="D748" s="46"/>
      <c r="E748" s="47" t="s">
        <v>1243</v>
      </c>
      <c r="F748" s="48" t="s">
        <v>1342</v>
      </c>
      <c r="G748" s="48"/>
      <c r="H748" s="49" t="s">
        <v>960</v>
      </c>
      <c r="I748" s="82" t="s">
        <v>1343</v>
      </c>
      <c r="J748" s="51"/>
      <c r="K748" s="52">
        <v>0</v>
      </c>
      <c r="L748" s="52">
        <v>0</v>
      </c>
      <c r="M748" s="53">
        <v>80</v>
      </c>
      <c r="N748" s="54">
        <v>500</v>
      </c>
      <c r="O748" s="341">
        <v>1</v>
      </c>
      <c r="P748" s="54">
        <f t="shared" si="117"/>
        <v>500</v>
      </c>
      <c r="Q748" s="54"/>
      <c r="R748" s="53">
        <v>500</v>
      </c>
      <c r="S748" s="53">
        <f t="shared" si="118"/>
        <v>0</v>
      </c>
      <c r="T748" s="343">
        <f t="shared" si="119"/>
        <v>1080</v>
      </c>
      <c r="U748" s="52">
        <f t="shared" si="120"/>
        <v>0</v>
      </c>
      <c r="V748" s="52">
        <f t="shared" si="121"/>
        <v>0</v>
      </c>
      <c r="W748" s="52">
        <v>0</v>
      </c>
      <c r="X748" s="55">
        <f t="shared" si="122"/>
        <v>46153</v>
      </c>
    </row>
    <row r="749" spans="1:24" hidden="1" x14ac:dyDescent="0.35">
      <c r="A749" s="46">
        <f t="shared" si="123"/>
        <v>46153</v>
      </c>
      <c r="B749" s="46"/>
      <c r="C749" s="46"/>
      <c r="D749" s="46"/>
      <c r="E749" s="47" t="s">
        <v>1243</v>
      </c>
      <c r="F749" s="57" t="s">
        <v>135</v>
      </c>
      <c r="G749" s="57"/>
      <c r="H749" s="67" t="s">
        <v>1344</v>
      </c>
      <c r="I749" s="97" t="s">
        <v>1345</v>
      </c>
      <c r="J749" s="64"/>
      <c r="K749" s="52">
        <v>0</v>
      </c>
      <c r="L749" s="52">
        <v>0</v>
      </c>
      <c r="M749" s="53">
        <v>70</v>
      </c>
      <c r="N749" s="65">
        <v>1000</v>
      </c>
      <c r="O749" s="341">
        <v>1</v>
      </c>
      <c r="P749" s="54">
        <f t="shared" si="117"/>
        <v>1000</v>
      </c>
      <c r="Q749" s="54"/>
      <c r="R749" s="342">
        <v>1000</v>
      </c>
      <c r="S749" s="53">
        <f t="shared" si="118"/>
        <v>0</v>
      </c>
      <c r="T749" s="343">
        <f t="shared" si="119"/>
        <v>1234.2857142857142</v>
      </c>
      <c r="U749" s="52">
        <f t="shared" si="120"/>
        <v>0</v>
      </c>
      <c r="V749" s="52">
        <f t="shared" si="121"/>
        <v>0</v>
      </c>
      <c r="W749" s="52">
        <v>0</v>
      </c>
      <c r="X749" s="55">
        <f t="shared" si="122"/>
        <v>46153</v>
      </c>
    </row>
    <row r="750" spans="1:24" hidden="1" x14ac:dyDescent="0.35">
      <c r="A750" s="46">
        <f t="shared" si="123"/>
        <v>46153</v>
      </c>
      <c r="B750" s="46"/>
      <c r="C750" s="46"/>
      <c r="D750" s="46"/>
      <c r="E750" s="47" t="s">
        <v>1243</v>
      </c>
      <c r="F750" s="57" t="s">
        <v>135</v>
      </c>
      <c r="G750" s="57"/>
      <c r="H750" s="67" t="s">
        <v>1346</v>
      </c>
      <c r="I750" s="97" t="s">
        <v>1347</v>
      </c>
      <c r="J750" s="64"/>
      <c r="K750" s="52">
        <v>0</v>
      </c>
      <c r="L750" s="52">
        <v>0</v>
      </c>
      <c r="M750" s="53">
        <v>70</v>
      </c>
      <c r="N750" s="65">
        <v>300</v>
      </c>
      <c r="O750" s="341">
        <v>1</v>
      </c>
      <c r="P750" s="54">
        <f t="shared" si="117"/>
        <v>300</v>
      </c>
      <c r="Q750" s="54"/>
      <c r="R750" s="52">
        <v>300</v>
      </c>
      <c r="S750" s="53">
        <f t="shared" si="118"/>
        <v>0</v>
      </c>
      <c r="T750" s="343">
        <f t="shared" si="119"/>
        <v>1234.2857142857142</v>
      </c>
      <c r="U750" s="52">
        <f t="shared" si="120"/>
        <v>0</v>
      </c>
      <c r="V750" s="52">
        <f t="shared" si="121"/>
        <v>0</v>
      </c>
      <c r="W750" s="52">
        <v>0</v>
      </c>
      <c r="X750" s="55">
        <f t="shared" si="122"/>
        <v>46153</v>
      </c>
    </row>
    <row r="751" spans="1:24" hidden="1" x14ac:dyDescent="0.35">
      <c r="N751"/>
      <c r="P751"/>
      <c r="Q751"/>
    </row>
    <row r="752" spans="1:24" hidden="1" x14ac:dyDescent="0.35">
      <c r="A752" s="46">
        <f>'[3]Factory A'!X722</f>
        <v>46153.865277777775</v>
      </c>
      <c r="B752" s="46"/>
      <c r="C752" s="46"/>
      <c r="D752" s="46"/>
      <c r="E752" s="47" t="s">
        <v>1243</v>
      </c>
      <c r="F752" s="57" t="s">
        <v>135</v>
      </c>
      <c r="G752" s="57"/>
      <c r="H752" s="67" t="s">
        <v>1348</v>
      </c>
      <c r="I752" s="97" t="s">
        <v>1349</v>
      </c>
      <c r="J752" s="64"/>
      <c r="K752" s="52">
        <v>0</v>
      </c>
      <c r="L752" s="52">
        <v>0</v>
      </c>
      <c r="M752" s="53">
        <v>70</v>
      </c>
      <c r="N752" s="54">
        <v>300</v>
      </c>
      <c r="O752" s="341">
        <v>1</v>
      </c>
      <c r="P752" s="54">
        <f t="shared" ref="P752:P794" si="124">N752/O752</f>
        <v>300</v>
      </c>
      <c r="Q752" s="54"/>
      <c r="R752" s="53">
        <v>300</v>
      </c>
      <c r="S752" s="53">
        <f t="shared" ref="S752:S815" si="125">P752-R752</f>
        <v>0</v>
      </c>
      <c r="T752" s="343">
        <f t="shared" ref="T752:T815" si="126">((3600/M752)*O752)*24</f>
        <v>1234.2857142857142</v>
      </c>
      <c r="U752" s="52">
        <f t="shared" ref="U752:U815" si="127">(P752-R752)*M752/3600</f>
        <v>0</v>
      </c>
      <c r="V752" s="52">
        <f t="shared" ref="V752:V815" si="128">(P752-R752)*M752/3600/24</f>
        <v>0</v>
      </c>
      <c r="W752" s="52">
        <v>0</v>
      </c>
      <c r="X752" s="55">
        <f t="shared" ref="X752:X815" si="129">A752+K752+V752+W752+L752</f>
        <v>46153.865277777775</v>
      </c>
    </row>
    <row r="753" spans="1:24" hidden="1" x14ac:dyDescent="0.35">
      <c r="A753" s="46">
        <f t="shared" ref="A753:A816" si="130">X752</f>
        <v>46153.865277777775</v>
      </c>
      <c r="B753" s="46"/>
      <c r="C753" s="46"/>
      <c r="D753" s="46"/>
      <c r="E753" s="47" t="s">
        <v>1243</v>
      </c>
      <c r="F753" s="391" t="s">
        <v>14</v>
      </c>
      <c r="G753" s="391"/>
      <c r="H753" s="319" t="s">
        <v>14</v>
      </c>
      <c r="I753" s="71" t="s">
        <v>1350</v>
      </c>
      <c r="J753" s="46"/>
      <c r="K753" s="52">
        <v>0</v>
      </c>
      <c r="L753" s="52">
        <v>0</v>
      </c>
      <c r="M753" s="53">
        <v>110</v>
      </c>
      <c r="N753" s="54">
        <v>20</v>
      </c>
      <c r="O753" s="341">
        <v>1</v>
      </c>
      <c r="P753" s="54">
        <f t="shared" si="124"/>
        <v>20</v>
      </c>
      <c r="Q753" s="54"/>
      <c r="R753" s="53">
        <v>20</v>
      </c>
      <c r="S753" s="53">
        <f t="shared" si="125"/>
        <v>0</v>
      </c>
      <c r="T753" s="343">
        <f t="shared" si="126"/>
        <v>785.4545454545455</v>
      </c>
      <c r="U753" s="52">
        <f t="shared" si="127"/>
        <v>0</v>
      </c>
      <c r="V753" s="52">
        <f t="shared" si="128"/>
        <v>0</v>
      </c>
      <c r="W753" s="52">
        <v>0</v>
      </c>
      <c r="X753" s="55">
        <f t="shared" si="129"/>
        <v>46153.865277777775</v>
      </c>
    </row>
    <row r="754" spans="1:24" hidden="1" x14ac:dyDescent="0.35">
      <c r="A754" s="46">
        <f t="shared" si="130"/>
        <v>46153.865277777775</v>
      </c>
      <c r="B754" s="46"/>
      <c r="C754" s="46"/>
      <c r="D754" s="46"/>
      <c r="E754" s="47" t="s">
        <v>1243</v>
      </c>
      <c r="F754" s="57" t="s">
        <v>11</v>
      </c>
      <c r="G754" s="57"/>
      <c r="H754" s="66" t="s">
        <v>11</v>
      </c>
      <c r="I754" s="71" t="s">
        <v>1350</v>
      </c>
      <c r="J754" s="51"/>
      <c r="K754" s="52">
        <v>0</v>
      </c>
      <c r="L754" s="52">
        <v>0</v>
      </c>
      <c r="M754" s="53">
        <v>100</v>
      </c>
      <c r="N754" s="54">
        <v>0</v>
      </c>
      <c r="O754" s="341">
        <v>1</v>
      </c>
      <c r="P754" s="54">
        <f t="shared" si="124"/>
        <v>0</v>
      </c>
      <c r="Q754" s="54"/>
      <c r="R754" s="53">
        <v>0</v>
      </c>
      <c r="S754" s="53">
        <f t="shared" si="125"/>
        <v>0</v>
      </c>
      <c r="T754" s="343">
        <f t="shared" si="126"/>
        <v>864</v>
      </c>
      <c r="U754" s="52">
        <f t="shared" si="127"/>
        <v>0</v>
      </c>
      <c r="V754" s="52">
        <f t="shared" si="128"/>
        <v>0</v>
      </c>
      <c r="W754" s="52">
        <v>0</v>
      </c>
      <c r="X754" s="55">
        <f t="shared" si="129"/>
        <v>46153.865277777775</v>
      </c>
    </row>
    <row r="755" spans="1:24" hidden="1" x14ac:dyDescent="0.35">
      <c r="A755" s="46">
        <f t="shared" si="130"/>
        <v>46153.865277777775</v>
      </c>
      <c r="B755" s="46"/>
      <c r="C755" s="46"/>
      <c r="D755" s="46"/>
      <c r="E755" s="47" t="s">
        <v>1243</v>
      </c>
      <c r="F755" s="61" t="s">
        <v>414</v>
      </c>
      <c r="G755" s="61"/>
      <c r="H755" s="76" t="s">
        <v>1351</v>
      </c>
      <c r="I755" s="77" t="s">
        <v>1030</v>
      </c>
      <c r="J755" s="60"/>
      <c r="K755" s="78">
        <v>0</v>
      </c>
      <c r="L755" s="52">
        <v>0</v>
      </c>
      <c r="M755" s="79">
        <v>120</v>
      </c>
      <c r="N755" s="80">
        <v>1100</v>
      </c>
      <c r="O755" s="392">
        <v>1</v>
      </c>
      <c r="P755" s="54">
        <f t="shared" si="124"/>
        <v>1100</v>
      </c>
      <c r="Q755" s="54"/>
      <c r="R755" s="79">
        <v>1100</v>
      </c>
      <c r="S755" s="53">
        <f t="shared" si="125"/>
        <v>0</v>
      </c>
      <c r="T755" s="343">
        <f t="shared" si="126"/>
        <v>720</v>
      </c>
      <c r="U755" s="52">
        <f t="shared" si="127"/>
        <v>0</v>
      </c>
      <c r="V755" s="52">
        <f t="shared" si="128"/>
        <v>0</v>
      </c>
      <c r="W755" s="52">
        <v>0</v>
      </c>
      <c r="X755" s="55">
        <f t="shared" si="129"/>
        <v>46153.865277777775</v>
      </c>
    </row>
    <row r="756" spans="1:24" hidden="1" x14ac:dyDescent="0.35">
      <c r="A756" s="46">
        <f t="shared" si="130"/>
        <v>46153.865277777775</v>
      </c>
      <c r="B756" s="46"/>
      <c r="C756" s="46"/>
      <c r="D756" s="46"/>
      <c r="E756" s="47" t="s">
        <v>1243</v>
      </c>
      <c r="F756" s="48" t="s">
        <v>14</v>
      </c>
      <c r="G756" s="48"/>
      <c r="H756" s="49" t="s">
        <v>1352</v>
      </c>
      <c r="I756" s="393" t="s">
        <v>1353</v>
      </c>
      <c r="J756" s="51"/>
      <c r="K756" s="52">
        <v>0</v>
      </c>
      <c r="L756" s="52">
        <v>0</v>
      </c>
      <c r="M756" s="53">
        <v>100</v>
      </c>
      <c r="N756" s="54">
        <v>20</v>
      </c>
      <c r="O756" s="341">
        <v>1</v>
      </c>
      <c r="P756" s="54">
        <f t="shared" si="124"/>
        <v>20</v>
      </c>
      <c r="Q756" s="54"/>
      <c r="R756" s="53">
        <v>20</v>
      </c>
      <c r="S756" s="53">
        <f t="shared" si="125"/>
        <v>0</v>
      </c>
      <c r="T756" s="343">
        <f t="shared" si="126"/>
        <v>864</v>
      </c>
      <c r="U756" s="52">
        <f t="shared" si="127"/>
        <v>0</v>
      </c>
      <c r="V756" s="52">
        <f t="shared" si="128"/>
        <v>0</v>
      </c>
      <c r="W756" s="52">
        <v>0</v>
      </c>
      <c r="X756" s="55">
        <f t="shared" si="129"/>
        <v>46153.865277777775</v>
      </c>
    </row>
    <row r="757" spans="1:24" ht="29" hidden="1" x14ac:dyDescent="0.35">
      <c r="A757" s="46">
        <f t="shared" si="130"/>
        <v>46153.865277777775</v>
      </c>
      <c r="B757" s="46"/>
      <c r="C757" s="46"/>
      <c r="D757" s="46"/>
      <c r="E757" s="47" t="s">
        <v>1243</v>
      </c>
      <c r="F757" s="48" t="s">
        <v>1354</v>
      </c>
      <c r="G757" s="48"/>
      <c r="H757" s="49" t="s">
        <v>1355</v>
      </c>
      <c r="I757" s="82" t="s">
        <v>1356</v>
      </c>
      <c r="J757" s="51"/>
      <c r="K757" s="52">
        <v>0</v>
      </c>
      <c r="L757" s="52">
        <v>0</v>
      </c>
      <c r="M757" s="53">
        <v>80</v>
      </c>
      <c r="N757" s="54">
        <v>1500</v>
      </c>
      <c r="O757" s="341">
        <v>1</v>
      </c>
      <c r="P757" s="54">
        <f t="shared" si="124"/>
        <v>1500</v>
      </c>
      <c r="Q757" s="54"/>
      <c r="R757" s="53">
        <v>1500</v>
      </c>
      <c r="S757" s="53">
        <f t="shared" si="125"/>
        <v>0</v>
      </c>
      <c r="T757" s="343">
        <f t="shared" si="126"/>
        <v>1080</v>
      </c>
      <c r="U757" s="52">
        <f t="shared" si="127"/>
        <v>0</v>
      </c>
      <c r="V757" s="52">
        <f t="shared" si="128"/>
        <v>0</v>
      </c>
      <c r="W757" s="52">
        <v>0</v>
      </c>
      <c r="X757" s="55">
        <f t="shared" si="129"/>
        <v>46153.865277777775</v>
      </c>
    </row>
    <row r="758" spans="1:24" ht="29" hidden="1" x14ac:dyDescent="0.35">
      <c r="A758" s="46">
        <f t="shared" si="130"/>
        <v>46153.865277777775</v>
      </c>
      <c r="B758" s="46"/>
      <c r="C758" s="46"/>
      <c r="D758" s="46"/>
      <c r="E758" s="47" t="s">
        <v>1243</v>
      </c>
      <c r="F758" s="48" t="s">
        <v>1354</v>
      </c>
      <c r="G758" s="48"/>
      <c r="H758" s="49" t="s">
        <v>1357</v>
      </c>
      <c r="I758" s="82" t="s">
        <v>1358</v>
      </c>
      <c r="J758" s="51"/>
      <c r="K758" s="52">
        <v>0</v>
      </c>
      <c r="L758" s="52">
        <v>0</v>
      </c>
      <c r="M758" s="53">
        <v>80</v>
      </c>
      <c r="N758" s="54">
        <v>3000</v>
      </c>
      <c r="O758" s="341">
        <v>1</v>
      </c>
      <c r="P758" s="54">
        <f t="shared" si="124"/>
        <v>3000</v>
      </c>
      <c r="Q758" s="54"/>
      <c r="R758" s="53">
        <v>3000</v>
      </c>
      <c r="S758" s="53">
        <f t="shared" si="125"/>
        <v>0</v>
      </c>
      <c r="T758" s="343">
        <f t="shared" si="126"/>
        <v>1080</v>
      </c>
      <c r="U758" s="52">
        <f t="shared" si="127"/>
        <v>0</v>
      </c>
      <c r="V758" s="52">
        <f t="shared" si="128"/>
        <v>0</v>
      </c>
      <c r="W758" s="52">
        <v>0</v>
      </c>
      <c r="X758" s="55">
        <f t="shared" si="129"/>
        <v>46153.865277777775</v>
      </c>
    </row>
    <row r="759" spans="1:24" hidden="1" x14ac:dyDescent="0.35">
      <c r="A759" s="46">
        <f t="shared" si="130"/>
        <v>46153.865277777775</v>
      </c>
      <c r="B759" s="46"/>
      <c r="C759" s="46"/>
      <c r="D759" s="46"/>
      <c r="E759" s="47" t="s">
        <v>1243</v>
      </c>
      <c r="F759" s="48" t="s">
        <v>1359</v>
      </c>
      <c r="G759" s="48"/>
      <c r="H759" s="216" t="s">
        <v>1360</v>
      </c>
      <c r="I759" s="82" t="s">
        <v>1361</v>
      </c>
      <c r="J759" s="51"/>
      <c r="K759" s="52">
        <v>0</v>
      </c>
      <c r="L759" s="52">
        <v>0</v>
      </c>
      <c r="M759" s="53">
        <v>60</v>
      </c>
      <c r="N759" s="54">
        <v>500</v>
      </c>
      <c r="O759" s="341">
        <v>1</v>
      </c>
      <c r="P759" s="54">
        <f t="shared" si="124"/>
        <v>500</v>
      </c>
      <c r="Q759" s="54"/>
      <c r="R759" s="53">
        <v>500</v>
      </c>
      <c r="S759" s="53">
        <f t="shared" si="125"/>
        <v>0</v>
      </c>
      <c r="T759" s="343">
        <f t="shared" si="126"/>
        <v>1440</v>
      </c>
      <c r="U759" s="52">
        <f t="shared" si="127"/>
        <v>0</v>
      </c>
      <c r="V759" s="52">
        <f t="shared" si="128"/>
        <v>0</v>
      </c>
      <c r="W759" s="52">
        <v>0</v>
      </c>
      <c r="X759" s="55">
        <f t="shared" si="129"/>
        <v>46153.865277777775</v>
      </c>
    </row>
    <row r="760" spans="1:24" hidden="1" x14ac:dyDescent="0.35">
      <c r="A760" s="46">
        <f t="shared" si="130"/>
        <v>46153.865277777775</v>
      </c>
      <c r="B760" s="46"/>
      <c r="C760" s="46"/>
      <c r="D760" s="46"/>
      <c r="E760" s="47" t="s">
        <v>1243</v>
      </c>
      <c r="F760" s="48" t="s">
        <v>1362</v>
      </c>
      <c r="G760" s="48"/>
      <c r="H760" s="216" t="s">
        <v>1362</v>
      </c>
      <c r="I760" s="82" t="s">
        <v>1363</v>
      </c>
      <c r="J760" s="51"/>
      <c r="K760" s="52">
        <v>0</v>
      </c>
      <c r="L760" s="52">
        <v>0</v>
      </c>
      <c r="M760" s="53">
        <v>60</v>
      </c>
      <c r="N760" s="54">
        <v>20</v>
      </c>
      <c r="O760" s="341">
        <v>1</v>
      </c>
      <c r="P760" s="54">
        <f t="shared" si="124"/>
        <v>20</v>
      </c>
      <c r="Q760" s="54"/>
      <c r="R760" s="53">
        <v>20</v>
      </c>
      <c r="S760" s="53">
        <f t="shared" si="125"/>
        <v>0</v>
      </c>
      <c r="T760" s="343">
        <f t="shared" si="126"/>
        <v>1440</v>
      </c>
      <c r="U760" s="52">
        <f t="shared" si="127"/>
        <v>0</v>
      </c>
      <c r="V760" s="52">
        <f t="shared" si="128"/>
        <v>0</v>
      </c>
      <c r="W760" s="52">
        <v>0</v>
      </c>
      <c r="X760" s="55">
        <f t="shared" si="129"/>
        <v>46153.865277777775</v>
      </c>
    </row>
    <row r="761" spans="1:24" hidden="1" x14ac:dyDescent="0.35">
      <c r="A761" s="46">
        <f t="shared" si="130"/>
        <v>46153.865277777775</v>
      </c>
      <c r="B761" s="46"/>
      <c r="C761" s="46"/>
      <c r="D761" s="46"/>
      <c r="E761" s="47" t="s">
        <v>1243</v>
      </c>
      <c r="F761" s="48" t="s">
        <v>1359</v>
      </c>
      <c r="G761" s="48"/>
      <c r="H761" s="216" t="s">
        <v>1364</v>
      </c>
      <c r="I761" s="82" t="s">
        <v>1363</v>
      </c>
      <c r="J761" s="51"/>
      <c r="K761" s="52">
        <v>0</v>
      </c>
      <c r="L761" s="52">
        <v>0</v>
      </c>
      <c r="M761" s="53">
        <v>60</v>
      </c>
      <c r="N761" s="54">
        <v>450</v>
      </c>
      <c r="O761" s="341">
        <v>1</v>
      </c>
      <c r="P761" s="54">
        <f t="shared" si="124"/>
        <v>450</v>
      </c>
      <c r="Q761" s="54"/>
      <c r="R761" s="53">
        <v>450</v>
      </c>
      <c r="S761" s="53">
        <f t="shared" si="125"/>
        <v>0</v>
      </c>
      <c r="T761" s="343">
        <f t="shared" si="126"/>
        <v>1440</v>
      </c>
      <c r="U761" s="52">
        <f t="shared" si="127"/>
        <v>0</v>
      </c>
      <c r="V761" s="52">
        <f t="shared" si="128"/>
        <v>0</v>
      </c>
      <c r="W761" s="52">
        <v>0</v>
      </c>
      <c r="X761" s="55">
        <f t="shared" si="129"/>
        <v>46153.865277777775</v>
      </c>
    </row>
    <row r="762" spans="1:24" hidden="1" x14ac:dyDescent="0.35">
      <c r="A762" s="46">
        <f t="shared" si="130"/>
        <v>46153.865277777775</v>
      </c>
      <c r="B762" s="46"/>
      <c r="C762" s="46"/>
      <c r="D762" s="46"/>
      <c r="E762" s="47" t="s">
        <v>1243</v>
      </c>
      <c r="F762" s="48" t="s">
        <v>1362</v>
      </c>
      <c r="G762" s="48"/>
      <c r="H762" s="216" t="s">
        <v>1362</v>
      </c>
      <c r="I762" s="82" t="s">
        <v>1365</v>
      </c>
      <c r="J762" s="51"/>
      <c r="K762" s="52">
        <v>0</v>
      </c>
      <c r="L762" s="52">
        <v>0</v>
      </c>
      <c r="M762" s="53">
        <v>60</v>
      </c>
      <c r="N762" s="54">
        <v>20</v>
      </c>
      <c r="O762" s="341">
        <v>1</v>
      </c>
      <c r="P762" s="54">
        <f t="shared" si="124"/>
        <v>20</v>
      </c>
      <c r="Q762" s="54"/>
      <c r="R762" s="53">
        <v>20</v>
      </c>
      <c r="S762" s="53">
        <f t="shared" si="125"/>
        <v>0</v>
      </c>
      <c r="T762" s="343">
        <f t="shared" si="126"/>
        <v>1440</v>
      </c>
      <c r="U762" s="52">
        <f t="shared" si="127"/>
        <v>0</v>
      </c>
      <c r="V762" s="52">
        <f t="shared" si="128"/>
        <v>0</v>
      </c>
      <c r="W762" s="52">
        <v>0</v>
      </c>
      <c r="X762" s="55">
        <f t="shared" si="129"/>
        <v>46153.865277777775</v>
      </c>
    </row>
    <row r="763" spans="1:24" hidden="1" x14ac:dyDescent="0.35">
      <c r="A763" s="46">
        <f t="shared" si="130"/>
        <v>46153.865277777775</v>
      </c>
      <c r="B763" s="46"/>
      <c r="C763" s="46"/>
      <c r="D763" s="46"/>
      <c r="E763" s="47" t="s">
        <v>1243</v>
      </c>
      <c r="F763" s="48" t="s">
        <v>1359</v>
      </c>
      <c r="G763" s="48"/>
      <c r="H763" s="216" t="s">
        <v>1366</v>
      </c>
      <c r="I763" s="82" t="s">
        <v>1365</v>
      </c>
      <c r="J763" s="51"/>
      <c r="K763" s="52">
        <v>0</v>
      </c>
      <c r="L763" s="52">
        <v>0</v>
      </c>
      <c r="M763" s="53">
        <v>60</v>
      </c>
      <c r="N763" s="54">
        <v>50</v>
      </c>
      <c r="O763" s="341">
        <v>1</v>
      </c>
      <c r="P763" s="54">
        <f t="shared" si="124"/>
        <v>50</v>
      </c>
      <c r="Q763" s="54"/>
      <c r="R763" s="53">
        <v>50</v>
      </c>
      <c r="S763" s="53">
        <f t="shared" si="125"/>
        <v>0</v>
      </c>
      <c r="T763" s="343">
        <f t="shared" si="126"/>
        <v>1440</v>
      </c>
      <c r="U763" s="52">
        <f t="shared" si="127"/>
        <v>0</v>
      </c>
      <c r="V763" s="52">
        <f t="shared" si="128"/>
        <v>0</v>
      </c>
      <c r="W763" s="52">
        <v>0</v>
      </c>
      <c r="X763" s="55">
        <f t="shared" si="129"/>
        <v>46153.865277777775</v>
      </c>
    </row>
    <row r="764" spans="1:24" hidden="1" x14ac:dyDescent="0.35">
      <c r="A764" s="46">
        <f t="shared" si="130"/>
        <v>46153.865277777775</v>
      </c>
      <c r="B764" s="46"/>
      <c r="C764" s="46"/>
      <c r="D764" s="46"/>
      <c r="E764" s="47" t="s">
        <v>1243</v>
      </c>
      <c r="F764" s="57" t="s">
        <v>14</v>
      </c>
      <c r="G764" s="57"/>
      <c r="H764" s="49" t="s">
        <v>14</v>
      </c>
      <c r="I764" s="82" t="s">
        <v>1367</v>
      </c>
      <c r="J764" s="51"/>
      <c r="K764" s="52">
        <v>0</v>
      </c>
      <c r="L764" s="52">
        <v>0</v>
      </c>
      <c r="M764" s="53">
        <v>45</v>
      </c>
      <c r="N764" s="54">
        <v>20</v>
      </c>
      <c r="O764" s="341">
        <v>1</v>
      </c>
      <c r="P764" s="54">
        <f t="shared" si="124"/>
        <v>20</v>
      </c>
      <c r="Q764" s="54"/>
      <c r="R764" s="53">
        <v>20</v>
      </c>
      <c r="S764" s="53">
        <f t="shared" si="125"/>
        <v>0</v>
      </c>
      <c r="T764" s="343">
        <f t="shared" si="126"/>
        <v>1920</v>
      </c>
      <c r="U764" s="52">
        <f t="shared" si="127"/>
        <v>0</v>
      </c>
      <c r="V764" s="52">
        <f t="shared" si="128"/>
        <v>0</v>
      </c>
      <c r="W764" s="52">
        <v>0</v>
      </c>
      <c r="X764" s="55">
        <f t="shared" si="129"/>
        <v>46153.865277777775</v>
      </c>
    </row>
    <row r="765" spans="1:24" hidden="1" x14ac:dyDescent="0.35">
      <c r="A765" s="46">
        <f t="shared" si="130"/>
        <v>46153.865277777775</v>
      </c>
      <c r="B765" s="46"/>
      <c r="C765" s="46"/>
      <c r="D765" s="46"/>
      <c r="E765" s="47" t="s">
        <v>1243</v>
      </c>
      <c r="F765" s="48" t="s">
        <v>1321</v>
      </c>
      <c r="G765" s="48"/>
      <c r="H765" s="49" t="s">
        <v>1321</v>
      </c>
      <c r="I765" s="99" t="s">
        <v>1368</v>
      </c>
      <c r="J765" s="394" t="s">
        <v>140</v>
      </c>
      <c r="K765" s="52">
        <v>0</v>
      </c>
      <c r="L765" s="52">
        <v>0</v>
      </c>
      <c r="M765" s="53">
        <v>65</v>
      </c>
      <c r="N765" s="54">
        <v>20</v>
      </c>
      <c r="O765" s="341">
        <v>2</v>
      </c>
      <c r="P765" s="54">
        <f t="shared" si="124"/>
        <v>10</v>
      </c>
      <c r="Q765" s="54"/>
      <c r="R765" s="53">
        <v>10</v>
      </c>
      <c r="S765" s="53">
        <f t="shared" si="125"/>
        <v>0</v>
      </c>
      <c r="T765" s="343">
        <f t="shared" si="126"/>
        <v>2658.4615384615386</v>
      </c>
      <c r="U765" s="52">
        <f t="shared" si="127"/>
        <v>0</v>
      </c>
      <c r="V765" s="52">
        <f t="shared" si="128"/>
        <v>0</v>
      </c>
      <c r="W765" s="52">
        <v>0</v>
      </c>
      <c r="X765" s="55">
        <f t="shared" si="129"/>
        <v>46153.865277777775</v>
      </c>
    </row>
    <row r="766" spans="1:24" hidden="1" x14ac:dyDescent="0.35">
      <c r="A766" s="46">
        <f t="shared" si="130"/>
        <v>46153.865277777775</v>
      </c>
      <c r="B766" s="46"/>
      <c r="C766" s="46"/>
      <c r="D766" s="46"/>
      <c r="E766" s="47" t="s">
        <v>1243</v>
      </c>
      <c r="F766" s="48" t="s">
        <v>104</v>
      </c>
      <c r="G766" s="48"/>
      <c r="H766" s="49" t="s">
        <v>1369</v>
      </c>
      <c r="I766" s="99" t="s">
        <v>1368</v>
      </c>
      <c r="J766" s="51" t="s">
        <v>140</v>
      </c>
      <c r="K766" s="52">
        <v>0</v>
      </c>
      <c r="L766" s="52">
        <v>0</v>
      </c>
      <c r="M766" s="53">
        <v>65</v>
      </c>
      <c r="N766" s="54">
        <v>3600</v>
      </c>
      <c r="O766" s="341">
        <v>2</v>
      </c>
      <c r="P766" s="54">
        <f t="shared" si="124"/>
        <v>1800</v>
      </c>
      <c r="Q766" s="54"/>
      <c r="R766" s="53">
        <v>1800</v>
      </c>
      <c r="S766" s="53">
        <f t="shared" si="125"/>
        <v>0</v>
      </c>
      <c r="T766" s="343">
        <f t="shared" si="126"/>
        <v>2658.4615384615386</v>
      </c>
      <c r="U766" s="52">
        <f t="shared" si="127"/>
        <v>0</v>
      </c>
      <c r="V766" s="52">
        <f t="shared" si="128"/>
        <v>0</v>
      </c>
      <c r="W766" s="52">
        <v>0</v>
      </c>
      <c r="X766" s="55">
        <f t="shared" si="129"/>
        <v>46153.865277777775</v>
      </c>
    </row>
    <row r="767" spans="1:24" ht="29" hidden="1" x14ac:dyDescent="0.35">
      <c r="A767" s="46">
        <f t="shared" si="130"/>
        <v>46153.865277777775</v>
      </c>
      <c r="B767" s="46"/>
      <c r="C767" s="46"/>
      <c r="D767" s="46"/>
      <c r="E767" s="47" t="s">
        <v>1370</v>
      </c>
      <c r="F767" s="48" t="s">
        <v>1354</v>
      </c>
      <c r="G767" s="48"/>
      <c r="H767" s="49" t="s">
        <v>1371</v>
      </c>
      <c r="I767" s="82" t="s">
        <v>1187</v>
      </c>
      <c r="J767" s="51" t="s">
        <v>140</v>
      </c>
      <c r="K767" s="52">
        <v>0</v>
      </c>
      <c r="L767" s="52">
        <v>0</v>
      </c>
      <c r="M767" s="53">
        <v>120</v>
      </c>
      <c r="N767" s="54">
        <v>2880</v>
      </c>
      <c r="O767" s="341">
        <v>4</v>
      </c>
      <c r="P767" s="54">
        <f t="shared" si="124"/>
        <v>720</v>
      </c>
      <c r="Q767" s="54"/>
      <c r="R767" s="53">
        <v>720</v>
      </c>
      <c r="S767" s="53">
        <f t="shared" si="125"/>
        <v>0</v>
      </c>
      <c r="T767" s="343">
        <f t="shared" si="126"/>
        <v>2880</v>
      </c>
      <c r="U767" s="52">
        <f t="shared" si="127"/>
        <v>0</v>
      </c>
      <c r="V767" s="52">
        <f t="shared" si="128"/>
        <v>0</v>
      </c>
      <c r="W767" s="52">
        <v>0</v>
      </c>
      <c r="X767" s="55">
        <f t="shared" si="129"/>
        <v>46153.865277777775</v>
      </c>
    </row>
    <row r="768" spans="1:24" ht="29" hidden="1" x14ac:dyDescent="0.35">
      <c r="A768" s="46">
        <f t="shared" si="130"/>
        <v>46153.865277777775</v>
      </c>
      <c r="B768" s="46"/>
      <c r="C768" s="46"/>
      <c r="D768" s="46"/>
      <c r="E768" s="47" t="s">
        <v>1243</v>
      </c>
      <c r="F768" s="48" t="s">
        <v>1372</v>
      </c>
      <c r="G768" s="48"/>
      <c r="H768" s="49" t="s">
        <v>1373</v>
      </c>
      <c r="I768" s="393" t="s">
        <v>1353</v>
      </c>
      <c r="J768" s="51" t="s">
        <v>140</v>
      </c>
      <c r="K768" s="52">
        <v>0</v>
      </c>
      <c r="L768" s="52">
        <v>0</v>
      </c>
      <c r="M768" s="53">
        <v>100</v>
      </c>
      <c r="N768" s="54">
        <v>2021</v>
      </c>
      <c r="O768" s="341">
        <v>1</v>
      </c>
      <c r="P768" s="54">
        <f t="shared" si="124"/>
        <v>2021</v>
      </c>
      <c r="Q768" s="54"/>
      <c r="R768" s="53">
        <v>2021</v>
      </c>
      <c r="S768" s="53">
        <f t="shared" si="125"/>
        <v>0</v>
      </c>
      <c r="T768" s="343">
        <f t="shared" si="126"/>
        <v>864</v>
      </c>
      <c r="U768" s="52">
        <f t="shared" si="127"/>
        <v>0</v>
      </c>
      <c r="V768" s="52">
        <f t="shared" si="128"/>
        <v>0</v>
      </c>
      <c r="W768" s="52">
        <v>0</v>
      </c>
      <c r="X768" s="55">
        <f t="shared" si="129"/>
        <v>46153.865277777775</v>
      </c>
    </row>
    <row r="769" spans="1:24" hidden="1" x14ac:dyDescent="0.35">
      <c r="A769" s="46">
        <f t="shared" si="130"/>
        <v>46153.865277777775</v>
      </c>
      <c r="B769" s="46"/>
      <c r="C769" s="46"/>
      <c r="D769" s="46"/>
      <c r="E769" s="47" t="s">
        <v>195</v>
      </c>
      <c r="F769" s="57" t="s">
        <v>1362</v>
      </c>
      <c r="G769" s="57"/>
      <c r="H769" s="49" t="s">
        <v>1362</v>
      </c>
      <c r="I769" s="82" t="s">
        <v>1374</v>
      </c>
      <c r="J769" s="51" t="s">
        <v>140</v>
      </c>
      <c r="K769" s="52">
        <v>0</v>
      </c>
      <c r="L769" s="52">
        <v>0</v>
      </c>
      <c r="M769" s="53">
        <v>60</v>
      </c>
      <c r="N769" s="54">
        <v>50</v>
      </c>
      <c r="O769" s="341">
        <v>1</v>
      </c>
      <c r="P769" s="54">
        <f t="shared" si="124"/>
        <v>50</v>
      </c>
      <c r="Q769" s="54"/>
      <c r="R769" s="53">
        <v>50</v>
      </c>
      <c r="S769" s="53">
        <f t="shared" si="125"/>
        <v>0</v>
      </c>
      <c r="T769" s="343">
        <f t="shared" si="126"/>
        <v>1440</v>
      </c>
      <c r="U769" s="52">
        <f t="shared" si="127"/>
        <v>0</v>
      </c>
      <c r="V769" s="52">
        <f t="shared" si="128"/>
        <v>0</v>
      </c>
      <c r="W769" s="52">
        <v>0</v>
      </c>
      <c r="X769" s="55">
        <f t="shared" si="129"/>
        <v>46153.865277777775</v>
      </c>
    </row>
    <row r="770" spans="1:24" ht="26.5" hidden="1" x14ac:dyDescent="0.35">
      <c r="A770" s="46">
        <f t="shared" si="130"/>
        <v>46153.865277777775</v>
      </c>
      <c r="B770" s="46"/>
      <c r="C770" s="46"/>
      <c r="D770" s="46"/>
      <c r="E770" s="47" t="s">
        <v>1243</v>
      </c>
      <c r="F770" s="48" t="s">
        <v>1375</v>
      </c>
      <c r="G770" s="48"/>
      <c r="H770" s="49" t="s">
        <v>1376</v>
      </c>
      <c r="I770" s="82" t="s">
        <v>1377</v>
      </c>
      <c r="J770" s="51" t="s">
        <v>140</v>
      </c>
      <c r="K770" s="52">
        <v>0</v>
      </c>
      <c r="L770" s="52">
        <v>0</v>
      </c>
      <c r="M770" s="53">
        <v>80</v>
      </c>
      <c r="N770" s="54">
        <v>520</v>
      </c>
      <c r="O770" s="341">
        <v>1</v>
      </c>
      <c r="P770" s="54">
        <f t="shared" si="124"/>
        <v>520</v>
      </c>
      <c r="Q770" s="54"/>
      <c r="R770" s="53">
        <v>520</v>
      </c>
      <c r="S770" s="53">
        <f t="shared" si="125"/>
        <v>0</v>
      </c>
      <c r="T770" s="343">
        <f t="shared" si="126"/>
        <v>1080</v>
      </c>
      <c r="U770" s="52">
        <f t="shared" si="127"/>
        <v>0</v>
      </c>
      <c r="V770" s="52">
        <f t="shared" si="128"/>
        <v>0</v>
      </c>
      <c r="W770" s="52">
        <v>0</v>
      </c>
      <c r="X770" s="55">
        <f t="shared" si="129"/>
        <v>46153.865277777775</v>
      </c>
    </row>
    <row r="771" spans="1:24" hidden="1" x14ac:dyDescent="0.35">
      <c r="A771" s="46">
        <f t="shared" si="130"/>
        <v>46153.865277777775</v>
      </c>
      <c r="B771" s="46"/>
      <c r="C771" s="46"/>
      <c r="D771" s="46"/>
      <c r="E771" s="47" t="s">
        <v>1243</v>
      </c>
      <c r="F771" s="48" t="s">
        <v>1375</v>
      </c>
      <c r="G771" s="48"/>
      <c r="H771" s="49" t="s">
        <v>1378</v>
      </c>
      <c r="I771" s="82" t="s">
        <v>1358</v>
      </c>
      <c r="J771" s="51" t="s">
        <v>140</v>
      </c>
      <c r="K771" s="52">
        <v>0</v>
      </c>
      <c r="L771" s="52">
        <v>0</v>
      </c>
      <c r="M771" s="53">
        <v>80</v>
      </c>
      <c r="N771" s="54">
        <v>1260</v>
      </c>
      <c r="O771" s="341">
        <v>1</v>
      </c>
      <c r="P771" s="54">
        <f t="shared" si="124"/>
        <v>1260</v>
      </c>
      <c r="Q771" s="54"/>
      <c r="R771" s="53">
        <v>1260</v>
      </c>
      <c r="S771" s="53">
        <f t="shared" si="125"/>
        <v>0</v>
      </c>
      <c r="T771" s="343">
        <f t="shared" si="126"/>
        <v>1080</v>
      </c>
      <c r="U771" s="52">
        <f t="shared" si="127"/>
        <v>0</v>
      </c>
      <c r="V771" s="52">
        <f t="shared" si="128"/>
        <v>0</v>
      </c>
      <c r="W771" s="52">
        <v>0</v>
      </c>
      <c r="X771" s="55">
        <f t="shared" si="129"/>
        <v>46153.865277777775</v>
      </c>
    </row>
    <row r="772" spans="1:24" ht="29" hidden="1" x14ac:dyDescent="0.35">
      <c r="A772" s="46">
        <f t="shared" si="130"/>
        <v>46153.865277777775</v>
      </c>
      <c r="B772" s="46"/>
      <c r="C772" s="46"/>
      <c r="D772" s="46"/>
      <c r="E772" s="47" t="s">
        <v>1243</v>
      </c>
      <c r="F772" s="48" t="s">
        <v>1372</v>
      </c>
      <c r="G772" s="48"/>
      <c r="H772" s="49" t="s">
        <v>1373</v>
      </c>
      <c r="I772" s="393" t="s">
        <v>1353</v>
      </c>
      <c r="J772" s="51" t="s">
        <v>140</v>
      </c>
      <c r="K772" s="52">
        <v>0</v>
      </c>
      <c r="L772" s="52">
        <v>0</v>
      </c>
      <c r="M772" s="53">
        <v>100</v>
      </c>
      <c r="N772" s="54">
        <v>2993</v>
      </c>
      <c r="O772" s="341">
        <v>1</v>
      </c>
      <c r="P772" s="54">
        <f t="shared" si="124"/>
        <v>2993</v>
      </c>
      <c r="Q772" s="54"/>
      <c r="R772" s="53">
        <v>2993</v>
      </c>
      <c r="S772" s="53">
        <f t="shared" si="125"/>
        <v>0</v>
      </c>
      <c r="T772" s="343">
        <f t="shared" si="126"/>
        <v>864</v>
      </c>
      <c r="U772" s="52">
        <f t="shared" si="127"/>
        <v>0</v>
      </c>
      <c r="V772" s="52">
        <f t="shared" si="128"/>
        <v>0</v>
      </c>
      <c r="W772" s="52">
        <v>0</v>
      </c>
      <c r="X772" s="55">
        <f t="shared" si="129"/>
        <v>46153.865277777775</v>
      </c>
    </row>
    <row r="773" spans="1:24" ht="29" hidden="1" x14ac:dyDescent="0.35">
      <c r="A773" s="46">
        <f t="shared" si="130"/>
        <v>46153.865277777775</v>
      </c>
      <c r="B773" s="46"/>
      <c r="C773" s="46"/>
      <c r="D773" s="46"/>
      <c r="E773" s="47" t="s">
        <v>1243</v>
      </c>
      <c r="F773" s="48" t="s">
        <v>1379</v>
      </c>
      <c r="G773" s="48"/>
      <c r="H773" s="49" t="s">
        <v>1380</v>
      </c>
      <c r="I773" s="69" t="s">
        <v>143</v>
      </c>
      <c r="J773" s="51" t="s">
        <v>140</v>
      </c>
      <c r="K773" s="52">
        <v>0</v>
      </c>
      <c r="L773" s="52">
        <v>0</v>
      </c>
      <c r="M773" s="53">
        <v>100</v>
      </c>
      <c r="N773" s="54">
        <v>4000</v>
      </c>
      <c r="O773" s="341">
        <v>1</v>
      </c>
      <c r="P773" s="54">
        <f t="shared" si="124"/>
        <v>4000</v>
      </c>
      <c r="Q773" s="54"/>
      <c r="R773" s="53">
        <v>4000</v>
      </c>
      <c r="S773" s="53">
        <f t="shared" si="125"/>
        <v>0</v>
      </c>
      <c r="T773" s="343">
        <f t="shared" si="126"/>
        <v>864</v>
      </c>
      <c r="U773" s="52">
        <f t="shared" si="127"/>
        <v>0</v>
      </c>
      <c r="V773" s="52">
        <f t="shared" si="128"/>
        <v>0</v>
      </c>
      <c r="W773" s="52">
        <v>0</v>
      </c>
      <c r="X773" s="55">
        <f t="shared" si="129"/>
        <v>46153.865277777775</v>
      </c>
    </row>
    <row r="774" spans="1:24" ht="29" hidden="1" x14ac:dyDescent="0.35">
      <c r="A774" s="46">
        <f t="shared" si="130"/>
        <v>46153.865277777775</v>
      </c>
      <c r="B774" s="46"/>
      <c r="C774" s="46"/>
      <c r="D774" s="46"/>
      <c r="E774" s="47" t="s">
        <v>1243</v>
      </c>
      <c r="F774" s="48" t="s">
        <v>1372</v>
      </c>
      <c r="G774" s="48"/>
      <c r="H774" s="49" t="s">
        <v>1373</v>
      </c>
      <c r="I774" s="393" t="s">
        <v>1353</v>
      </c>
      <c r="J774" s="51" t="s">
        <v>140</v>
      </c>
      <c r="K774" s="52">
        <v>0</v>
      </c>
      <c r="L774" s="52">
        <v>0</v>
      </c>
      <c r="M774" s="53">
        <v>100</v>
      </c>
      <c r="N774" s="54">
        <v>2549</v>
      </c>
      <c r="O774" s="341">
        <v>1</v>
      </c>
      <c r="P774" s="54">
        <f t="shared" si="124"/>
        <v>2549</v>
      </c>
      <c r="Q774" s="54"/>
      <c r="R774" s="53">
        <v>2549</v>
      </c>
      <c r="S774" s="53">
        <f t="shared" si="125"/>
        <v>0</v>
      </c>
      <c r="T774" s="343">
        <f t="shared" si="126"/>
        <v>864</v>
      </c>
      <c r="U774" s="52">
        <f t="shared" si="127"/>
        <v>0</v>
      </c>
      <c r="V774" s="52">
        <f t="shared" si="128"/>
        <v>0</v>
      </c>
      <c r="W774" s="52">
        <v>0</v>
      </c>
      <c r="X774" s="55">
        <f t="shared" si="129"/>
        <v>46153.865277777775</v>
      </c>
    </row>
    <row r="775" spans="1:24" hidden="1" x14ac:dyDescent="0.35">
      <c r="A775" s="46">
        <f t="shared" si="130"/>
        <v>46153.865277777775</v>
      </c>
      <c r="B775" s="46"/>
      <c r="C775" s="46"/>
      <c r="D775" s="46"/>
      <c r="E775" s="47" t="s">
        <v>1243</v>
      </c>
      <c r="F775" s="48" t="s">
        <v>1381</v>
      </c>
      <c r="G775" s="48"/>
      <c r="H775" s="49" t="s">
        <v>1382</v>
      </c>
      <c r="I775" s="393" t="s">
        <v>1353</v>
      </c>
      <c r="J775" s="51" t="s">
        <v>140</v>
      </c>
      <c r="K775" s="52">
        <v>0</v>
      </c>
      <c r="L775" s="52">
        <v>0</v>
      </c>
      <c r="M775" s="53">
        <v>100</v>
      </c>
      <c r="N775" s="54">
        <v>2065</v>
      </c>
      <c r="O775" s="341">
        <v>1</v>
      </c>
      <c r="P775" s="54">
        <f t="shared" si="124"/>
        <v>2065</v>
      </c>
      <c r="Q775" s="54"/>
      <c r="R775" s="53">
        <v>2065</v>
      </c>
      <c r="S775" s="53">
        <f t="shared" si="125"/>
        <v>0</v>
      </c>
      <c r="T775" s="343">
        <f t="shared" si="126"/>
        <v>864</v>
      </c>
      <c r="U775" s="52">
        <f t="shared" si="127"/>
        <v>0</v>
      </c>
      <c r="V775" s="52">
        <f t="shared" si="128"/>
        <v>0</v>
      </c>
      <c r="W775" s="52">
        <v>0</v>
      </c>
      <c r="X775" s="55">
        <f t="shared" si="129"/>
        <v>46153.865277777775</v>
      </c>
    </row>
    <row r="776" spans="1:24" ht="26.5" hidden="1" x14ac:dyDescent="0.35">
      <c r="A776" s="46">
        <f t="shared" si="130"/>
        <v>46153.865277777775</v>
      </c>
      <c r="B776" s="46"/>
      <c r="C776" s="46"/>
      <c r="D776" s="46"/>
      <c r="E776" s="47" t="s">
        <v>1243</v>
      </c>
      <c r="F776" s="48" t="s">
        <v>1383</v>
      </c>
      <c r="G776" s="48"/>
      <c r="H776" s="59" t="s">
        <v>1384</v>
      </c>
      <c r="I776" s="82" t="s">
        <v>1377</v>
      </c>
      <c r="J776" s="51" t="s">
        <v>140</v>
      </c>
      <c r="K776" s="52">
        <v>0</v>
      </c>
      <c r="L776" s="52">
        <v>0</v>
      </c>
      <c r="M776" s="53">
        <v>80</v>
      </c>
      <c r="N776" s="54">
        <v>4998</v>
      </c>
      <c r="O776" s="341">
        <v>1</v>
      </c>
      <c r="P776" s="54">
        <f t="shared" si="124"/>
        <v>4998</v>
      </c>
      <c r="Q776" s="54"/>
      <c r="R776" s="53">
        <v>4998</v>
      </c>
      <c r="S776" s="53">
        <f t="shared" si="125"/>
        <v>0</v>
      </c>
      <c r="T776" s="343">
        <f t="shared" si="126"/>
        <v>1080</v>
      </c>
      <c r="U776" s="52">
        <f t="shared" si="127"/>
        <v>0</v>
      </c>
      <c r="V776" s="52">
        <f t="shared" si="128"/>
        <v>0</v>
      </c>
      <c r="W776" s="52">
        <v>0</v>
      </c>
      <c r="X776" s="55">
        <f t="shared" si="129"/>
        <v>46153.865277777775</v>
      </c>
    </row>
    <row r="777" spans="1:24" hidden="1" x14ac:dyDescent="0.35">
      <c r="A777" s="46">
        <f t="shared" si="130"/>
        <v>46153.865277777775</v>
      </c>
      <c r="B777" s="46"/>
      <c r="C777" s="46"/>
      <c r="D777" s="46"/>
      <c r="E777" s="47" t="s">
        <v>289</v>
      </c>
      <c r="F777" s="57" t="s">
        <v>14</v>
      </c>
      <c r="G777" s="57"/>
      <c r="H777" s="66" t="s">
        <v>14</v>
      </c>
      <c r="I777" s="97" t="s">
        <v>1385</v>
      </c>
      <c r="J777" s="51" t="s">
        <v>140</v>
      </c>
      <c r="K777" s="52">
        <v>0</v>
      </c>
      <c r="L777" s="52">
        <v>0</v>
      </c>
      <c r="M777" s="53">
        <v>100</v>
      </c>
      <c r="N777" s="54">
        <v>10</v>
      </c>
      <c r="O777" s="341">
        <v>1</v>
      </c>
      <c r="P777" s="54">
        <f t="shared" si="124"/>
        <v>10</v>
      </c>
      <c r="Q777" s="54"/>
      <c r="R777" s="53">
        <v>10</v>
      </c>
      <c r="S777" s="53">
        <f t="shared" si="125"/>
        <v>0</v>
      </c>
      <c r="T777" s="343">
        <f t="shared" si="126"/>
        <v>864</v>
      </c>
      <c r="U777" s="52">
        <f t="shared" si="127"/>
        <v>0</v>
      </c>
      <c r="V777" s="52">
        <f t="shared" si="128"/>
        <v>0</v>
      </c>
      <c r="W777" s="52">
        <v>0</v>
      </c>
      <c r="X777" s="55">
        <f t="shared" si="129"/>
        <v>46153.865277777775</v>
      </c>
    </row>
    <row r="778" spans="1:24" hidden="1" x14ac:dyDescent="0.35">
      <c r="A778" s="46">
        <f t="shared" si="130"/>
        <v>46153.865277777775</v>
      </c>
      <c r="B778" s="46"/>
      <c r="C778" s="46"/>
      <c r="D778" s="46"/>
      <c r="E778" s="47" t="s">
        <v>289</v>
      </c>
      <c r="F778" s="57" t="s">
        <v>14</v>
      </c>
      <c r="G778" s="57"/>
      <c r="H778" s="66" t="s">
        <v>14</v>
      </c>
      <c r="I778" s="97" t="s">
        <v>1386</v>
      </c>
      <c r="J778" s="51" t="s">
        <v>140</v>
      </c>
      <c r="K778" s="52">
        <v>0</v>
      </c>
      <c r="L778" s="52">
        <v>0</v>
      </c>
      <c r="M778" s="53">
        <v>100</v>
      </c>
      <c r="N778" s="54">
        <v>10</v>
      </c>
      <c r="O778" s="341">
        <v>1</v>
      </c>
      <c r="P778" s="54">
        <f t="shared" si="124"/>
        <v>10</v>
      </c>
      <c r="Q778" s="54"/>
      <c r="R778" s="53">
        <v>10</v>
      </c>
      <c r="S778" s="53">
        <f t="shared" si="125"/>
        <v>0</v>
      </c>
      <c r="T778" s="343">
        <f t="shared" si="126"/>
        <v>864</v>
      </c>
      <c r="U778" s="52">
        <f t="shared" si="127"/>
        <v>0</v>
      </c>
      <c r="V778" s="52">
        <f t="shared" si="128"/>
        <v>0</v>
      </c>
      <c r="W778" s="52">
        <v>0</v>
      </c>
      <c r="X778" s="55">
        <f t="shared" si="129"/>
        <v>46153.865277777775</v>
      </c>
    </row>
    <row r="779" spans="1:24" hidden="1" x14ac:dyDescent="0.35">
      <c r="A779" s="46">
        <f t="shared" si="130"/>
        <v>46153.865277777775</v>
      </c>
      <c r="B779" s="46"/>
      <c r="C779" s="46"/>
      <c r="D779" s="46"/>
      <c r="E779" s="47" t="s">
        <v>289</v>
      </c>
      <c r="F779" s="57" t="s">
        <v>14</v>
      </c>
      <c r="G779" s="57"/>
      <c r="H779" s="66" t="s">
        <v>14</v>
      </c>
      <c r="I779" s="97" t="s">
        <v>1387</v>
      </c>
      <c r="J779" s="51" t="s">
        <v>140</v>
      </c>
      <c r="K779" s="52">
        <v>0</v>
      </c>
      <c r="L779" s="52">
        <v>0</v>
      </c>
      <c r="M779" s="53">
        <v>100</v>
      </c>
      <c r="N779" s="54">
        <v>10</v>
      </c>
      <c r="O779" s="341">
        <v>1</v>
      </c>
      <c r="P779" s="54">
        <f t="shared" si="124"/>
        <v>10</v>
      </c>
      <c r="Q779" s="54"/>
      <c r="R779" s="53">
        <v>10</v>
      </c>
      <c r="S779" s="53">
        <f t="shared" si="125"/>
        <v>0</v>
      </c>
      <c r="T779" s="343">
        <f t="shared" si="126"/>
        <v>864</v>
      </c>
      <c r="U779" s="52">
        <f t="shared" si="127"/>
        <v>0</v>
      </c>
      <c r="V779" s="52">
        <f t="shared" si="128"/>
        <v>0</v>
      </c>
      <c r="W779" s="52">
        <v>0</v>
      </c>
      <c r="X779" s="55">
        <f t="shared" si="129"/>
        <v>46153.865277777775</v>
      </c>
    </row>
    <row r="780" spans="1:24" hidden="1" x14ac:dyDescent="0.35">
      <c r="A780" s="46">
        <f t="shared" si="130"/>
        <v>46153.865277777775</v>
      </c>
      <c r="B780" s="46"/>
      <c r="C780" s="46"/>
      <c r="D780" s="46"/>
      <c r="E780" s="47" t="s">
        <v>289</v>
      </c>
      <c r="F780" s="57" t="s">
        <v>14</v>
      </c>
      <c r="G780" s="57"/>
      <c r="H780" s="66" t="s">
        <v>14</v>
      </c>
      <c r="I780" s="97" t="s">
        <v>1388</v>
      </c>
      <c r="J780" s="51" t="s">
        <v>140</v>
      </c>
      <c r="K780" s="52">
        <v>0</v>
      </c>
      <c r="L780" s="52">
        <v>0</v>
      </c>
      <c r="M780" s="53">
        <v>100</v>
      </c>
      <c r="N780" s="54">
        <v>10</v>
      </c>
      <c r="O780" s="341">
        <v>1</v>
      </c>
      <c r="P780" s="54">
        <f t="shared" si="124"/>
        <v>10</v>
      </c>
      <c r="Q780" s="54"/>
      <c r="R780" s="53">
        <v>10</v>
      </c>
      <c r="S780" s="53">
        <f t="shared" si="125"/>
        <v>0</v>
      </c>
      <c r="T780" s="343">
        <f t="shared" si="126"/>
        <v>864</v>
      </c>
      <c r="U780" s="52">
        <f t="shared" si="127"/>
        <v>0</v>
      </c>
      <c r="V780" s="52">
        <f t="shared" si="128"/>
        <v>0</v>
      </c>
      <c r="W780" s="52">
        <v>0</v>
      </c>
      <c r="X780" s="55">
        <f t="shared" si="129"/>
        <v>46153.865277777775</v>
      </c>
    </row>
    <row r="781" spans="1:24" hidden="1" x14ac:dyDescent="0.35">
      <c r="A781" s="46">
        <f t="shared" si="130"/>
        <v>46153.865277777775</v>
      </c>
      <c r="B781" s="46"/>
      <c r="C781" s="46"/>
      <c r="D781" s="46"/>
      <c r="E781" s="47" t="s">
        <v>249</v>
      </c>
      <c r="F781" s="48" t="s">
        <v>1389</v>
      </c>
      <c r="G781" s="48"/>
      <c r="H781" s="49" t="s">
        <v>1390</v>
      </c>
      <c r="I781" s="395" t="s">
        <v>1391</v>
      </c>
      <c r="J781" s="51" t="s">
        <v>140</v>
      </c>
      <c r="K781" s="52">
        <v>0</v>
      </c>
      <c r="L781" s="52">
        <v>0</v>
      </c>
      <c r="M781" s="53">
        <v>90</v>
      </c>
      <c r="N781" s="54">
        <v>3200</v>
      </c>
      <c r="O781" s="341">
        <v>1</v>
      </c>
      <c r="P781" s="54">
        <f t="shared" si="124"/>
        <v>3200</v>
      </c>
      <c r="Q781" s="54"/>
      <c r="R781" s="53">
        <v>3200</v>
      </c>
      <c r="S781" s="53">
        <f t="shared" si="125"/>
        <v>0</v>
      </c>
      <c r="T781" s="343">
        <f t="shared" si="126"/>
        <v>960</v>
      </c>
      <c r="U781" s="52">
        <f t="shared" si="127"/>
        <v>0</v>
      </c>
      <c r="V781" s="52">
        <f t="shared" si="128"/>
        <v>0</v>
      </c>
      <c r="W781" s="52">
        <v>0</v>
      </c>
      <c r="X781" s="55">
        <f t="shared" si="129"/>
        <v>46153.865277777775</v>
      </c>
    </row>
    <row r="782" spans="1:24" hidden="1" x14ac:dyDescent="0.35">
      <c r="A782" s="46">
        <f t="shared" si="130"/>
        <v>46153.865277777775</v>
      </c>
      <c r="B782" s="46"/>
      <c r="C782" s="46"/>
      <c r="D782" s="46"/>
      <c r="E782" s="47" t="s">
        <v>249</v>
      </c>
      <c r="F782" s="48" t="s">
        <v>1392</v>
      </c>
      <c r="G782" s="48"/>
      <c r="H782" s="49" t="s">
        <v>1393</v>
      </c>
      <c r="I782" s="395" t="s">
        <v>1394</v>
      </c>
      <c r="J782" s="51" t="s">
        <v>140</v>
      </c>
      <c r="K782" s="52">
        <v>0</v>
      </c>
      <c r="L782" s="52">
        <v>0</v>
      </c>
      <c r="M782" s="53">
        <v>90</v>
      </c>
      <c r="N782" s="54">
        <v>1650</v>
      </c>
      <c r="O782" s="341">
        <v>1</v>
      </c>
      <c r="P782" s="54">
        <f t="shared" si="124"/>
        <v>1650</v>
      </c>
      <c r="Q782" s="54"/>
      <c r="R782" s="53">
        <v>1650</v>
      </c>
      <c r="S782" s="53">
        <f t="shared" si="125"/>
        <v>0</v>
      </c>
      <c r="T782" s="343">
        <f t="shared" si="126"/>
        <v>960</v>
      </c>
      <c r="U782" s="52">
        <f t="shared" si="127"/>
        <v>0</v>
      </c>
      <c r="V782" s="52">
        <f t="shared" si="128"/>
        <v>0</v>
      </c>
      <c r="W782" s="52">
        <v>0</v>
      </c>
      <c r="X782" s="55">
        <f t="shared" si="129"/>
        <v>46153.865277777775</v>
      </c>
    </row>
    <row r="783" spans="1:24" hidden="1" x14ac:dyDescent="0.35">
      <c r="A783" s="46">
        <f t="shared" si="130"/>
        <v>46153.865277777775</v>
      </c>
      <c r="B783" s="46"/>
      <c r="C783" s="46"/>
      <c r="D783" s="46"/>
      <c r="E783" s="47" t="s">
        <v>64</v>
      </c>
      <c r="F783" s="48" t="s">
        <v>1395</v>
      </c>
      <c r="G783" s="48"/>
      <c r="H783" s="49" t="s">
        <v>1396</v>
      </c>
      <c r="I783" s="396" t="s">
        <v>148</v>
      </c>
      <c r="J783" s="51" t="s">
        <v>140</v>
      </c>
      <c r="K783" s="52">
        <v>0</v>
      </c>
      <c r="L783" s="52">
        <v>0</v>
      </c>
      <c r="M783" s="53">
        <v>90</v>
      </c>
      <c r="N783" s="54">
        <v>1000</v>
      </c>
      <c r="O783" s="341">
        <v>1</v>
      </c>
      <c r="P783" s="54">
        <f t="shared" si="124"/>
        <v>1000</v>
      </c>
      <c r="Q783" s="54"/>
      <c r="R783" s="53">
        <v>1000</v>
      </c>
      <c r="S783" s="53">
        <f t="shared" si="125"/>
        <v>0</v>
      </c>
      <c r="T783" s="343">
        <f t="shared" si="126"/>
        <v>960</v>
      </c>
      <c r="U783" s="52">
        <f t="shared" si="127"/>
        <v>0</v>
      </c>
      <c r="V783" s="52">
        <f t="shared" si="128"/>
        <v>0</v>
      </c>
      <c r="W783" s="52">
        <v>0</v>
      </c>
      <c r="X783" s="55">
        <f t="shared" si="129"/>
        <v>46153.865277777775</v>
      </c>
    </row>
    <row r="784" spans="1:24" hidden="1" x14ac:dyDescent="0.35">
      <c r="A784" s="46">
        <f t="shared" si="130"/>
        <v>46153.865277777775</v>
      </c>
      <c r="B784" s="46"/>
      <c r="C784" s="46"/>
      <c r="D784" s="46"/>
      <c r="E784" s="47" t="s">
        <v>249</v>
      </c>
      <c r="F784" s="57" t="s">
        <v>1397</v>
      </c>
      <c r="G784" s="57"/>
      <c r="H784" s="49" t="s">
        <v>1398</v>
      </c>
      <c r="I784" s="396" t="s">
        <v>1399</v>
      </c>
      <c r="J784" s="51" t="s">
        <v>140</v>
      </c>
      <c r="K784" s="52">
        <v>0</v>
      </c>
      <c r="L784" s="52">
        <v>0</v>
      </c>
      <c r="M784" s="53">
        <v>45</v>
      </c>
      <c r="N784" s="54">
        <v>1040</v>
      </c>
      <c r="O784" s="341">
        <v>1</v>
      </c>
      <c r="P784" s="54">
        <f t="shared" si="124"/>
        <v>1040</v>
      </c>
      <c r="Q784" s="54"/>
      <c r="R784" s="53">
        <v>1040</v>
      </c>
      <c r="S784" s="53">
        <f t="shared" si="125"/>
        <v>0</v>
      </c>
      <c r="T784" s="343">
        <f t="shared" si="126"/>
        <v>1920</v>
      </c>
      <c r="U784" s="52">
        <f t="shared" si="127"/>
        <v>0</v>
      </c>
      <c r="V784" s="52">
        <f t="shared" si="128"/>
        <v>0</v>
      </c>
      <c r="W784" s="52">
        <v>0</v>
      </c>
      <c r="X784" s="55">
        <f t="shared" si="129"/>
        <v>46153.865277777775</v>
      </c>
    </row>
    <row r="785" spans="1:24" hidden="1" x14ac:dyDescent="0.35">
      <c r="A785" s="46">
        <f t="shared" si="130"/>
        <v>46153.865277777775</v>
      </c>
      <c r="B785" s="46"/>
      <c r="C785" s="46"/>
      <c r="D785" s="46"/>
      <c r="E785" s="47" t="s">
        <v>249</v>
      </c>
      <c r="F785" s="48" t="s">
        <v>1400</v>
      </c>
      <c r="G785" s="48"/>
      <c r="H785" s="49" t="s">
        <v>1382</v>
      </c>
      <c r="I785" s="393" t="s">
        <v>1353</v>
      </c>
      <c r="J785" s="51" t="s">
        <v>140</v>
      </c>
      <c r="K785" s="52">
        <v>0</v>
      </c>
      <c r="L785" s="52">
        <v>0</v>
      </c>
      <c r="M785" s="53">
        <v>100</v>
      </c>
      <c r="N785" s="54">
        <v>810</v>
      </c>
      <c r="O785" s="341">
        <v>1</v>
      </c>
      <c r="P785" s="54">
        <f t="shared" si="124"/>
        <v>810</v>
      </c>
      <c r="Q785" s="54"/>
      <c r="R785" s="53">
        <v>810</v>
      </c>
      <c r="S785" s="53">
        <f t="shared" si="125"/>
        <v>0</v>
      </c>
      <c r="T785" s="343">
        <f t="shared" si="126"/>
        <v>864</v>
      </c>
      <c r="U785" s="52">
        <f t="shared" si="127"/>
        <v>0</v>
      </c>
      <c r="V785" s="52">
        <f t="shared" si="128"/>
        <v>0</v>
      </c>
      <c r="W785" s="52">
        <v>0</v>
      </c>
      <c r="X785" s="55">
        <f t="shared" si="129"/>
        <v>46153.865277777775</v>
      </c>
    </row>
    <row r="786" spans="1:24" hidden="1" x14ac:dyDescent="0.35">
      <c r="A786" s="46">
        <f t="shared" si="130"/>
        <v>46153.865277777775</v>
      </c>
      <c r="B786" s="46"/>
      <c r="C786" s="46"/>
      <c r="D786" s="46"/>
      <c r="E786" s="47" t="s">
        <v>249</v>
      </c>
      <c r="F786" s="48" t="s">
        <v>511</v>
      </c>
      <c r="G786" s="48"/>
      <c r="H786" s="49" t="s">
        <v>1401</v>
      </c>
      <c r="I786" s="82" t="s">
        <v>536</v>
      </c>
      <c r="J786" s="51" t="s">
        <v>140</v>
      </c>
      <c r="K786" s="52">
        <v>0</v>
      </c>
      <c r="L786" s="52">
        <v>0</v>
      </c>
      <c r="M786" s="53">
        <v>120</v>
      </c>
      <c r="N786" s="54">
        <v>675</v>
      </c>
      <c r="O786" s="341">
        <v>1</v>
      </c>
      <c r="P786" s="54">
        <f t="shared" si="124"/>
        <v>675</v>
      </c>
      <c r="Q786" s="54"/>
      <c r="R786" s="53">
        <v>675</v>
      </c>
      <c r="S786" s="53">
        <f t="shared" si="125"/>
        <v>0</v>
      </c>
      <c r="T786" s="343">
        <f t="shared" si="126"/>
        <v>720</v>
      </c>
      <c r="U786" s="52">
        <f t="shared" si="127"/>
        <v>0</v>
      </c>
      <c r="V786" s="52">
        <f t="shared" si="128"/>
        <v>0</v>
      </c>
      <c r="W786" s="52">
        <v>0</v>
      </c>
      <c r="X786" s="55">
        <f t="shared" si="129"/>
        <v>46153.865277777775</v>
      </c>
    </row>
    <row r="787" spans="1:24" hidden="1" x14ac:dyDescent="0.35">
      <c r="A787" s="46">
        <f t="shared" si="130"/>
        <v>46153.865277777775</v>
      </c>
      <c r="B787" s="46"/>
      <c r="C787" s="46"/>
      <c r="D787" s="46"/>
      <c r="E787" s="47" t="s">
        <v>249</v>
      </c>
      <c r="F787" s="48" t="s">
        <v>1400</v>
      </c>
      <c r="G787" s="48"/>
      <c r="H787" s="49" t="s">
        <v>1382</v>
      </c>
      <c r="I787" s="393" t="s">
        <v>1353</v>
      </c>
      <c r="J787" s="51" t="s">
        <v>140</v>
      </c>
      <c r="K787" s="52">
        <v>0</v>
      </c>
      <c r="L787" s="52">
        <v>0</v>
      </c>
      <c r="M787" s="53">
        <v>100</v>
      </c>
      <c r="N787" s="54">
        <v>3125</v>
      </c>
      <c r="O787" s="341">
        <v>1</v>
      </c>
      <c r="P787" s="54">
        <f t="shared" si="124"/>
        <v>3125</v>
      </c>
      <c r="Q787" s="54"/>
      <c r="R787" s="53">
        <v>3125</v>
      </c>
      <c r="S787" s="53">
        <f t="shared" si="125"/>
        <v>0</v>
      </c>
      <c r="T787" s="343">
        <f t="shared" si="126"/>
        <v>864</v>
      </c>
      <c r="U787" s="52">
        <f t="shared" si="127"/>
        <v>0</v>
      </c>
      <c r="V787" s="52">
        <f t="shared" si="128"/>
        <v>0</v>
      </c>
      <c r="W787" s="52">
        <v>0</v>
      </c>
      <c r="X787" s="55">
        <f t="shared" si="129"/>
        <v>46153.865277777775</v>
      </c>
    </row>
    <row r="788" spans="1:24" hidden="1" x14ac:dyDescent="0.35">
      <c r="A788" s="46">
        <f t="shared" si="130"/>
        <v>46153.865277777775</v>
      </c>
      <c r="B788" s="46"/>
      <c r="C788" s="46"/>
      <c r="D788" s="46"/>
      <c r="E788" s="47" t="s">
        <v>249</v>
      </c>
      <c r="F788" s="48" t="s">
        <v>1402</v>
      </c>
      <c r="G788" s="48"/>
      <c r="H788" s="49" t="s">
        <v>1403</v>
      </c>
      <c r="I788" s="393" t="s">
        <v>1353</v>
      </c>
      <c r="J788" s="51" t="s">
        <v>140</v>
      </c>
      <c r="K788" s="52">
        <v>0</v>
      </c>
      <c r="L788" s="52">
        <v>0</v>
      </c>
      <c r="M788" s="53">
        <v>100</v>
      </c>
      <c r="N788" s="54">
        <v>2306</v>
      </c>
      <c r="O788" s="341">
        <v>1</v>
      </c>
      <c r="P788" s="54">
        <f t="shared" si="124"/>
        <v>2306</v>
      </c>
      <c r="Q788" s="54"/>
      <c r="R788" s="53">
        <v>2306</v>
      </c>
      <c r="S788" s="53">
        <f t="shared" si="125"/>
        <v>0</v>
      </c>
      <c r="T788" s="343">
        <f t="shared" si="126"/>
        <v>864</v>
      </c>
      <c r="U788" s="52">
        <f t="shared" si="127"/>
        <v>0</v>
      </c>
      <c r="V788" s="52">
        <f t="shared" si="128"/>
        <v>0</v>
      </c>
      <c r="W788" s="52">
        <v>0</v>
      </c>
      <c r="X788" s="55">
        <f t="shared" si="129"/>
        <v>46153.865277777775</v>
      </c>
    </row>
    <row r="789" spans="1:24" hidden="1" x14ac:dyDescent="0.35">
      <c r="A789" s="46">
        <f t="shared" si="130"/>
        <v>46153.865277777775</v>
      </c>
      <c r="B789" s="46"/>
      <c r="C789" s="46"/>
      <c r="D789" s="46"/>
      <c r="E789" s="47" t="s">
        <v>249</v>
      </c>
      <c r="F789" s="48" t="s">
        <v>511</v>
      </c>
      <c r="G789" s="48"/>
      <c r="H789" s="49" t="s">
        <v>1401</v>
      </c>
      <c r="I789" s="82" t="s">
        <v>536</v>
      </c>
      <c r="J789" s="51" t="s">
        <v>140</v>
      </c>
      <c r="K789" s="52">
        <v>0</v>
      </c>
      <c r="L789" s="52">
        <v>0</v>
      </c>
      <c r="M789" s="53">
        <v>120</v>
      </c>
      <c r="N789" s="54">
        <v>3300</v>
      </c>
      <c r="O789" s="341">
        <v>1</v>
      </c>
      <c r="P789" s="54">
        <f t="shared" si="124"/>
        <v>3300</v>
      </c>
      <c r="Q789" s="54"/>
      <c r="R789" s="53">
        <v>3300</v>
      </c>
      <c r="S789" s="53">
        <f t="shared" si="125"/>
        <v>0</v>
      </c>
      <c r="T789" s="343">
        <f t="shared" si="126"/>
        <v>720</v>
      </c>
      <c r="U789" s="52">
        <f t="shared" si="127"/>
        <v>0</v>
      </c>
      <c r="V789" s="52">
        <f t="shared" si="128"/>
        <v>0</v>
      </c>
      <c r="W789" s="52">
        <v>0</v>
      </c>
      <c r="X789" s="55">
        <f t="shared" si="129"/>
        <v>46153.865277777775</v>
      </c>
    </row>
    <row r="790" spans="1:24" ht="29" hidden="1" x14ac:dyDescent="0.35">
      <c r="A790" s="46">
        <f t="shared" si="130"/>
        <v>46153.865277777775</v>
      </c>
      <c r="B790" s="46"/>
      <c r="C790" s="46"/>
      <c r="D790" s="46"/>
      <c r="E790" s="47" t="s">
        <v>249</v>
      </c>
      <c r="F790" s="48" t="s">
        <v>1404</v>
      </c>
      <c r="G790" s="48"/>
      <c r="H790" s="59" t="s">
        <v>1405</v>
      </c>
      <c r="I790" s="82" t="s">
        <v>1377</v>
      </c>
      <c r="J790" s="51" t="s">
        <v>140</v>
      </c>
      <c r="K790" s="52">
        <v>0</v>
      </c>
      <c r="L790" s="52">
        <v>0</v>
      </c>
      <c r="M790" s="53">
        <v>80</v>
      </c>
      <c r="N790" s="54">
        <v>8780</v>
      </c>
      <c r="O790" s="341">
        <v>1</v>
      </c>
      <c r="P790" s="54">
        <f t="shared" si="124"/>
        <v>8780</v>
      </c>
      <c r="Q790" s="54"/>
      <c r="R790" s="53">
        <v>8780</v>
      </c>
      <c r="S790" s="53">
        <f t="shared" si="125"/>
        <v>0</v>
      </c>
      <c r="T790" s="343">
        <f t="shared" si="126"/>
        <v>1080</v>
      </c>
      <c r="U790" s="52">
        <f t="shared" si="127"/>
        <v>0</v>
      </c>
      <c r="V790" s="52">
        <f t="shared" si="128"/>
        <v>0</v>
      </c>
      <c r="W790" s="52">
        <v>0</v>
      </c>
      <c r="X790" s="55">
        <f t="shared" si="129"/>
        <v>46153.865277777775</v>
      </c>
    </row>
    <row r="791" spans="1:24" ht="29" hidden="1" x14ac:dyDescent="0.35">
      <c r="A791" s="46">
        <f t="shared" si="130"/>
        <v>46153.865277777775</v>
      </c>
      <c r="B791" s="46"/>
      <c r="C791" s="46"/>
      <c r="D791" s="46"/>
      <c r="E791" s="47" t="s">
        <v>249</v>
      </c>
      <c r="F791" s="48" t="s">
        <v>652</v>
      </c>
      <c r="G791" s="48"/>
      <c r="H791" s="49" t="s">
        <v>1406</v>
      </c>
      <c r="I791" s="393" t="s">
        <v>1353</v>
      </c>
      <c r="J791" s="51" t="s">
        <v>140</v>
      </c>
      <c r="K791" s="52">
        <v>0</v>
      </c>
      <c r="L791" s="52">
        <v>0</v>
      </c>
      <c r="M791" s="53">
        <v>100</v>
      </c>
      <c r="N791" s="54">
        <v>360</v>
      </c>
      <c r="O791" s="341">
        <v>1</v>
      </c>
      <c r="P791" s="54">
        <f t="shared" si="124"/>
        <v>360</v>
      </c>
      <c r="Q791" s="54"/>
      <c r="R791" s="53">
        <v>360</v>
      </c>
      <c r="S791" s="53">
        <f t="shared" si="125"/>
        <v>0</v>
      </c>
      <c r="T791" s="343">
        <f t="shared" si="126"/>
        <v>864</v>
      </c>
      <c r="U791" s="52">
        <f t="shared" si="127"/>
        <v>0</v>
      </c>
      <c r="V791" s="52">
        <f t="shared" si="128"/>
        <v>0</v>
      </c>
      <c r="W791" s="52">
        <v>0</v>
      </c>
      <c r="X791" s="55">
        <f t="shared" si="129"/>
        <v>46153.865277777775</v>
      </c>
    </row>
    <row r="792" spans="1:24" hidden="1" x14ac:dyDescent="0.35">
      <c r="A792" s="46">
        <f t="shared" si="130"/>
        <v>46153.865277777775</v>
      </c>
      <c r="B792" s="46"/>
      <c r="C792" s="46"/>
      <c r="D792" s="46"/>
      <c r="E792" s="47" t="s">
        <v>249</v>
      </c>
      <c r="F792" s="48" t="s">
        <v>527</v>
      </c>
      <c r="G792" s="48"/>
      <c r="H792" s="49" t="s">
        <v>1407</v>
      </c>
      <c r="I792" s="69" t="s">
        <v>1408</v>
      </c>
      <c r="J792" s="51" t="s">
        <v>283</v>
      </c>
      <c r="K792" s="52">
        <v>0</v>
      </c>
      <c r="L792" s="52">
        <v>0</v>
      </c>
      <c r="M792" s="53">
        <v>67</v>
      </c>
      <c r="N792" s="54">
        <v>5940</v>
      </c>
      <c r="O792" s="341">
        <v>2</v>
      </c>
      <c r="P792" s="54">
        <f t="shared" si="124"/>
        <v>2970</v>
      </c>
      <c r="Q792" s="54"/>
      <c r="R792" s="53">
        <v>2970</v>
      </c>
      <c r="S792" s="53">
        <f t="shared" si="125"/>
        <v>0</v>
      </c>
      <c r="T792" s="343">
        <f t="shared" si="126"/>
        <v>2579.1044776119406</v>
      </c>
      <c r="U792" s="52">
        <f t="shared" si="127"/>
        <v>0</v>
      </c>
      <c r="V792" s="52">
        <f t="shared" si="128"/>
        <v>0</v>
      </c>
      <c r="W792" s="52">
        <v>0</v>
      </c>
      <c r="X792" s="55">
        <f t="shared" si="129"/>
        <v>46153.865277777775</v>
      </c>
    </row>
    <row r="793" spans="1:24" hidden="1" x14ac:dyDescent="0.35">
      <c r="A793" s="46">
        <f t="shared" si="130"/>
        <v>46153.865277777775</v>
      </c>
      <c r="B793" s="46"/>
      <c r="C793" s="46"/>
      <c r="D793" s="46"/>
      <c r="E793" s="47" t="s">
        <v>249</v>
      </c>
      <c r="F793" s="48" t="s">
        <v>1409</v>
      </c>
      <c r="G793" s="48"/>
      <c r="H793" s="49" t="s">
        <v>1410</v>
      </c>
      <c r="I793" s="97" t="s">
        <v>1408</v>
      </c>
      <c r="J793" s="51" t="s">
        <v>283</v>
      </c>
      <c r="K793" s="52">
        <v>0</v>
      </c>
      <c r="L793" s="52">
        <v>0</v>
      </c>
      <c r="M793" s="53">
        <v>67</v>
      </c>
      <c r="N793" s="54">
        <v>3240</v>
      </c>
      <c r="O793" s="341">
        <v>2</v>
      </c>
      <c r="P793" s="54">
        <f t="shared" si="124"/>
        <v>1620</v>
      </c>
      <c r="Q793" s="54"/>
      <c r="R793" s="53">
        <v>1620</v>
      </c>
      <c r="S793" s="53">
        <f t="shared" si="125"/>
        <v>0</v>
      </c>
      <c r="T793" s="343">
        <f t="shared" si="126"/>
        <v>2579.1044776119406</v>
      </c>
      <c r="U793" s="52">
        <f t="shared" si="127"/>
        <v>0</v>
      </c>
      <c r="V793" s="52">
        <f t="shared" si="128"/>
        <v>0</v>
      </c>
      <c r="W793" s="52">
        <v>0</v>
      </c>
      <c r="X793" s="55">
        <f t="shared" si="129"/>
        <v>46153.865277777775</v>
      </c>
    </row>
    <row r="794" spans="1:24" hidden="1" x14ac:dyDescent="0.35">
      <c r="A794" s="46">
        <f t="shared" si="130"/>
        <v>46153.865277777775</v>
      </c>
      <c r="B794" s="46"/>
      <c r="C794" s="46"/>
      <c r="D794" s="46"/>
      <c r="E794" s="296" t="s">
        <v>249</v>
      </c>
      <c r="F794" s="397" t="s">
        <v>1362</v>
      </c>
      <c r="G794" s="397"/>
      <c r="H794" s="398" t="s">
        <v>1362</v>
      </c>
      <c r="I794" s="297" t="s">
        <v>1374</v>
      </c>
      <c r="J794" s="351" t="s">
        <v>140</v>
      </c>
      <c r="K794" s="399">
        <v>0</v>
      </c>
      <c r="L794" s="399">
        <v>0</v>
      </c>
      <c r="M794" s="400">
        <v>60</v>
      </c>
      <c r="N794" s="401">
        <v>50</v>
      </c>
      <c r="O794" s="402">
        <v>1</v>
      </c>
      <c r="P794" s="401">
        <f t="shared" si="124"/>
        <v>50</v>
      </c>
      <c r="Q794" s="401"/>
      <c r="R794" s="400">
        <v>50</v>
      </c>
      <c r="S794" s="400">
        <f t="shared" si="125"/>
        <v>0</v>
      </c>
      <c r="T794" s="403">
        <f t="shared" si="126"/>
        <v>1440</v>
      </c>
      <c r="U794" s="399">
        <f t="shared" si="127"/>
        <v>0</v>
      </c>
      <c r="V794" s="399">
        <f t="shared" si="128"/>
        <v>0</v>
      </c>
      <c r="W794" s="399">
        <v>0</v>
      </c>
      <c r="X794" s="55">
        <f t="shared" si="129"/>
        <v>46153.865277777775</v>
      </c>
    </row>
    <row r="795" spans="1:24" hidden="1" x14ac:dyDescent="0.35">
      <c r="A795" s="46">
        <f t="shared" si="130"/>
        <v>46153.865277777775</v>
      </c>
      <c r="B795" s="46"/>
      <c r="C795" s="46"/>
      <c r="D795" s="46"/>
      <c r="E795" s="296" t="s">
        <v>249</v>
      </c>
      <c r="F795" s="404" t="s">
        <v>14</v>
      </c>
      <c r="G795" s="404"/>
      <c r="H795" s="398" t="s">
        <v>14</v>
      </c>
      <c r="I795" s="297" t="s">
        <v>1411</v>
      </c>
      <c r="J795" s="351" t="s">
        <v>140</v>
      </c>
      <c r="K795" s="399">
        <v>0</v>
      </c>
      <c r="L795" s="399">
        <v>0</v>
      </c>
      <c r="M795" s="400">
        <v>45</v>
      </c>
      <c r="N795" s="401">
        <v>50</v>
      </c>
      <c r="O795" s="402">
        <v>2</v>
      </c>
      <c r="P795" s="401">
        <v>50</v>
      </c>
      <c r="Q795" s="401"/>
      <c r="R795" s="400">
        <v>50</v>
      </c>
      <c r="S795" s="400">
        <f t="shared" si="125"/>
        <v>0</v>
      </c>
      <c r="T795" s="403">
        <f t="shared" si="126"/>
        <v>3840</v>
      </c>
      <c r="U795" s="399">
        <f t="shared" si="127"/>
        <v>0</v>
      </c>
      <c r="V795" s="399">
        <f t="shared" si="128"/>
        <v>0</v>
      </c>
      <c r="W795" s="399">
        <v>0</v>
      </c>
      <c r="X795" s="55">
        <f t="shared" si="129"/>
        <v>46153.865277777775</v>
      </c>
    </row>
    <row r="796" spans="1:24" ht="29" hidden="1" x14ac:dyDescent="0.35">
      <c r="A796" s="46">
        <f t="shared" si="130"/>
        <v>46153.865277777775</v>
      </c>
      <c r="B796" s="46"/>
      <c r="C796" s="46"/>
      <c r="D796" s="46"/>
      <c r="E796" s="47" t="s">
        <v>249</v>
      </c>
      <c r="F796" s="48" t="s">
        <v>652</v>
      </c>
      <c r="G796" s="48"/>
      <c r="H796" s="49" t="s">
        <v>1406</v>
      </c>
      <c r="I796" s="393" t="s">
        <v>1353</v>
      </c>
      <c r="J796" s="51" t="s">
        <v>140</v>
      </c>
      <c r="K796" s="52">
        <v>0</v>
      </c>
      <c r="L796" s="52">
        <v>0</v>
      </c>
      <c r="M796" s="53">
        <v>100</v>
      </c>
      <c r="N796" s="54">
        <v>2411</v>
      </c>
      <c r="O796" s="341">
        <v>1</v>
      </c>
      <c r="P796" s="54">
        <f t="shared" ref="P796:P859" si="131">N796/O796</f>
        <v>2411</v>
      </c>
      <c r="Q796" s="54"/>
      <c r="R796" s="53">
        <v>2411</v>
      </c>
      <c r="S796" s="53">
        <f t="shared" si="125"/>
        <v>0</v>
      </c>
      <c r="T796" s="343">
        <f t="shared" si="126"/>
        <v>864</v>
      </c>
      <c r="U796" s="52">
        <f t="shared" si="127"/>
        <v>0</v>
      </c>
      <c r="V796" s="52">
        <f t="shared" si="128"/>
        <v>0</v>
      </c>
      <c r="W796" s="52">
        <v>0</v>
      </c>
      <c r="X796" s="55">
        <f t="shared" si="129"/>
        <v>46153.865277777775</v>
      </c>
    </row>
    <row r="797" spans="1:24" ht="29" hidden="1" x14ac:dyDescent="0.35">
      <c r="A797" s="46">
        <f t="shared" si="130"/>
        <v>46153.865277777775</v>
      </c>
      <c r="B797" s="46"/>
      <c r="C797" s="46"/>
      <c r="D797" s="46"/>
      <c r="E797" s="47" t="s">
        <v>249</v>
      </c>
      <c r="F797" s="48" t="s">
        <v>1412</v>
      </c>
      <c r="G797" s="48"/>
      <c r="H797" s="59" t="s">
        <v>1413</v>
      </c>
      <c r="I797" s="82" t="s">
        <v>1414</v>
      </c>
      <c r="J797" s="51" t="s">
        <v>140</v>
      </c>
      <c r="K797" s="52">
        <v>0</v>
      </c>
      <c r="L797" s="52">
        <v>0</v>
      </c>
      <c r="M797" s="53">
        <v>120</v>
      </c>
      <c r="N797" s="54">
        <v>1000</v>
      </c>
      <c r="O797" s="341">
        <v>1</v>
      </c>
      <c r="P797" s="54">
        <f t="shared" si="131"/>
        <v>1000</v>
      </c>
      <c r="Q797" s="54"/>
      <c r="R797" s="53">
        <v>1000</v>
      </c>
      <c r="S797" s="53">
        <f t="shared" si="125"/>
        <v>0</v>
      </c>
      <c r="T797" s="343">
        <f t="shared" si="126"/>
        <v>720</v>
      </c>
      <c r="U797" s="52">
        <f t="shared" si="127"/>
        <v>0</v>
      </c>
      <c r="V797" s="52">
        <f t="shared" si="128"/>
        <v>0</v>
      </c>
      <c r="W797" s="52">
        <v>0</v>
      </c>
      <c r="X797" s="55">
        <f t="shared" si="129"/>
        <v>46153.865277777775</v>
      </c>
    </row>
    <row r="798" spans="1:24" hidden="1" x14ac:dyDescent="0.35">
      <c r="A798" s="46">
        <f t="shared" si="130"/>
        <v>46153.865277777775</v>
      </c>
      <c r="B798" s="46"/>
      <c r="C798" s="46"/>
      <c r="D798" s="46"/>
      <c r="E798" s="47" t="s">
        <v>249</v>
      </c>
      <c r="F798" s="48" t="s">
        <v>1415</v>
      </c>
      <c r="G798" s="48"/>
      <c r="H798" s="49" t="s">
        <v>1416</v>
      </c>
      <c r="I798" s="82" t="s">
        <v>1332</v>
      </c>
      <c r="J798" s="51" t="s">
        <v>140</v>
      </c>
      <c r="K798" s="52">
        <v>0</v>
      </c>
      <c r="L798" s="52">
        <v>0</v>
      </c>
      <c r="M798" s="53">
        <v>120</v>
      </c>
      <c r="N798" s="54">
        <v>800</v>
      </c>
      <c r="O798" s="341">
        <v>1</v>
      </c>
      <c r="P798" s="54">
        <f t="shared" si="131"/>
        <v>800</v>
      </c>
      <c r="Q798" s="54"/>
      <c r="R798" s="53">
        <v>800</v>
      </c>
      <c r="S798" s="53">
        <f t="shared" si="125"/>
        <v>0</v>
      </c>
      <c r="T798" s="343">
        <f t="shared" si="126"/>
        <v>720</v>
      </c>
      <c r="U798" s="52">
        <f t="shared" si="127"/>
        <v>0</v>
      </c>
      <c r="V798" s="52">
        <f t="shared" si="128"/>
        <v>0</v>
      </c>
      <c r="W798" s="52">
        <v>0</v>
      </c>
      <c r="X798" s="55">
        <f t="shared" si="129"/>
        <v>46153.865277777775</v>
      </c>
    </row>
    <row r="799" spans="1:24" hidden="1" x14ac:dyDescent="0.35">
      <c r="A799" s="46">
        <f t="shared" si="130"/>
        <v>46153.865277777775</v>
      </c>
      <c r="B799" s="46"/>
      <c r="C799" s="46"/>
      <c r="D799" s="46"/>
      <c r="E799" s="47" t="s">
        <v>249</v>
      </c>
      <c r="F799" s="48" t="s">
        <v>1415</v>
      </c>
      <c r="G799" s="48"/>
      <c r="H799" s="49" t="s">
        <v>1417</v>
      </c>
      <c r="I799" s="82" t="s">
        <v>1330</v>
      </c>
      <c r="J799" s="51" t="s">
        <v>140</v>
      </c>
      <c r="K799" s="52">
        <v>0</v>
      </c>
      <c r="L799" s="52">
        <v>0</v>
      </c>
      <c r="M799" s="53">
        <v>120</v>
      </c>
      <c r="N799" s="54">
        <v>120</v>
      </c>
      <c r="O799" s="341">
        <v>1</v>
      </c>
      <c r="P799" s="54">
        <f t="shared" si="131"/>
        <v>120</v>
      </c>
      <c r="Q799" s="54"/>
      <c r="R799" s="53">
        <v>120</v>
      </c>
      <c r="S799" s="53">
        <f t="shared" si="125"/>
        <v>0</v>
      </c>
      <c r="T799" s="343">
        <f t="shared" si="126"/>
        <v>720</v>
      </c>
      <c r="U799" s="52">
        <f t="shared" si="127"/>
        <v>0</v>
      </c>
      <c r="V799" s="52">
        <f t="shared" si="128"/>
        <v>0</v>
      </c>
      <c r="W799" s="52">
        <v>0</v>
      </c>
      <c r="X799" s="55">
        <f t="shared" si="129"/>
        <v>46153.865277777775</v>
      </c>
    </row>
    <row r="800" spans="1:24" ht="26.5" hidden="1" x14ac:dyDescent="0.35">
      <c r="A800" s="46">
        <f t="shared" si="130"/>
        <v>46153.865277777775</v>
      </c>
      <c r="B800" s="46"/>
      <c r="C800" s="46"/>
      <c r="D800" s="46"/>
      <c r="E800" s="47" t="s">
        <v>249</v>
      </c>
      <c r="F800" s="48" t="s">
        <v>1418</v>
      </c>
      <c r="G800" s="48"/>
      <c r="H800" s="49" t="s">
        <v>1419</v>
      </c>
      <c r="I800" s="82" t="s">
        <v>1420</v>
      </c>
      <c r="J800" s="51" t="s">
        <v>140</v>
      </c>
      <c r="K800" s="52">
        <v>0</v>
      </c>
      <c r="L800" s="52">
        <v>0</v>
      </c>
      <c r="M800" s="53">
        <v>80</v>
      </c>
      <c r="N800" s="54">
        <v>7140</v>
      </c>
      <c r="O800" s="341">
        <v>1</v>
      </c>
      <c r="P800" s="54">
        <f t="shared" si="131"/>
        <v>7140</v>
      </c>
      <c r="Q800" s="54"/>
      <c r="R800" s="53">
        <v>7140</v>
      </c>
      <c r="S800" s="53">
        <f t="shared" si="125"/>
        <v>0</v>
      </c>
      <c r="T800" s="343">
        <f t="shared" si="126"/>
        <v>1080</v>
      </c>
      <c r="U800" s="52">
        <f t="shared" si="127"/>
        <v>0</v>
      </c>
      <c r="V800" s="52">
        <f t="shared" si="128"/>
        <v>0</v>
      </c>
      <c r="W800" s="52">
        <v>0</v>
      </c>
      <c r="X800" s="55">
        <f t="shared" si="129"/>
        <v>46153.865277777775</v>
      </c>
    </row>
    <row r="801" spans="1:24" ht="26.5" hidden="1" x14ac:dyDescent="0.35">
      <c r="A801" s="46">
        <f t="shared" si="130"/>
        <v>46153.865277777775</v>
      </c>
      <c r="B801" s="46"/>
      <c r="C801" s="46"/>
      <c r="D801" s="46"/>
      <c r="E801" s="47" t="s">
        <v>249</v>
      </c>
      <c r="F801" s="97" t="s">
        <v>1084</v>
      </c>
      <c r="G801" s="97"/>
      <c r="H801" s="49" t="s">
        <v>1421</v>
      </c>
      <c r="I801" s="333" t="s">
        <v>1049</v>
      </c>
      <c r="J801" s="51" t="s">
        <v>140</v>
      </c>
      <c r="K801" s="52">
        <v>0</v>
      </c>
      <c r="L801" s="52">
        <v>0</v>
      </c>
      <c r="M801" s="53">
        <v>95</v>
      </c>
      <c r="N801" s="54">
        <v>700</v>
      </c>
      <c r="O801" s="341">
        <v>1</v>
      </c>
      <c r="P801" s="54">
        <f t="shared" si="131"/>
        <v>700</v>
      </c>
      <c r="Q801" s="54"/>
      <c r="R801" s="53">
        <v>700</v>
      </c>
      <c r="S801" s="53">
        <f t="shared" si="125"/>
        <v>0</v>
      </c>
      <c r="T801" s="343">
        <f t="shared" si="126"/>
        <v>909.47368421052624</v>
      </c>
      <c r="U801" s="52">
        <f t="shared" si="127"/>
        <v>0</v>
      </c>
      <c r="V801" s="52">
        <f t="shared" si="128"/>
        <v>0</v>
      </c>
      <c r="W801" s="52">
        <v>0</v>
      </c>
      <c r="X801" s="55">
        <f t="shared" si="129"/>
        <v>46153.865277777775</v>
      </c>
    </row>
    <row r="802" spans="1:24" ht="26.5" hidden="1" x14ac:dyDescent="0.35">
      <c r="A802" s="46">
        <f t="shared" si="130"/>
        <v>46153.865277777775</v>
      </c>
      <c r="B802" s="46"/>
      <c r="C802" s="46"/>
      <c r="D802" s="46"/>
      <c r="E802" s="47" t="s">
        <v>249</v>
      </c>
      <c r="F802" s="97" t="s">
        <v>1084</v>
      </c>
      <c r="G802" s="97"/>
      <c r="H802" s="49" t="s">
        <v>1422</v>
      </c>
      <c r="I802" s="333" t="s">
        <v>1051</v>
      </c>
      <c r="J802" s="51" t="s">
        <v>140</v>
      </c>
      <c r="K802" s="52">
        <v>0</v>
      </c>
      <c r="L802" s="52">
        <v>0</v>
      </c>
      <c r="M802" s="53">
        <v>95</v>
      </c>
      <c r="N802" s="54">
        <v>800</v>
      </c>
      <c r="O802" s="341">
        <v>1</v>
      </c>
      <c r="P802" s="54">
        <f t="shared" si="131"/>
        <v>800</v>
      </c>
      <c r="Q802" s="54"/>
      <c r="R802" s="53">
        <v>800</v>
      </c>
      <c r="S802" s="53">
        <f t="shared" si="125"/>
        <v>0</v>
      </c>
      <c r="T802" s="343">
        <f t="shared" si="126"/>
        <v>909.47368421052624</v>
      </c>
      <c r="U802" s="52">
        <f t="shared" si="127"/>
        <v>0</v>
      </c>
      <c r="V802" s="52">
        <f t="shared" si="128"/>
        <v>0</v>
      </c>
      <c r="W802" s="52">
        <v>0</v>
      </c>
      <c r="X802" s="55">
        <f t="shared" si="129"/>
        <v>46153.865277777775</v>
      </c>
    </row>
    <row r="803" spans="1:24" hidden="1" x14ac:dyDescent="0.35">
      <c r="A803" s="46">
        <f t="shared" si="130"/>
        <v>46153.865277777775</v>
      </c>
      <c r="B803" s="46"/>
      <c r="C803" s="46"/>
      <c r="D803" s="46"/>
      <c r="E803" s="47" t="s">
        <v>249</v>
      </c>
      <c r="F803" s="48" t="s">
        <v>1423</v>
      </c>
      <c r="G803" s="48"/>
      <c r="H803" s="49" t="s">
        <v>1424</v>
      </c>
      <c r="I803" s="405" t="s">
        <v>148</v>
      </c>
      <c r="J803" s="51" t="s">
        <v>140</v>
      </c>
      <c r="K803" s="52">
        <v>0</v>
      </c>
      <c r="L803" s="52">
        <v>0</v>
      </c>
      <c r="M803" s="53">
        <v>90</v>
      </c>
      <c r="N803" s="54">
        <v>2500</v>
      </c>
      <c r="O803" s="341">
        <v>1</v>
      </c>
      <c r="P803" s="54">
        <f t="shared" si="131"/>
        <v>2500</v>
      </c>
      <c r="Q803" s="54"/>
      <c r="R803" s="53">
        <v>2500</v>
      </c>
      <c r="S803" s="53">
        <f t="shared" si="125"/>
        <v>0</v>
      </c>
      <c r="T803" s="343">
        <f t="shared" si="126"/>
        <v>960</v>
      </c>
      <c r="U803" s="52">
        <f t="shared" si="127"/>
        <v>0</v>
      </c>
      <c r="V803" s="52">
        <f t="shared" si="128"/>
        <v>0</v>
      </c>
      <c r="W803" s="52">
        <v>0</v>
      </c>
      <c r="X803" s="55">
        <f t="shared" si="129"/>
        <v>46153.865277777775</v>
      </c>
    </row>
    <row r="804" spans="1:24" hidden="1" x14ac:dyDescent="0.35">
      <c r="A804" s="46">
        <f t="shared" si="130"/>
        <v>46153.865277777775</v>
      </c>
      <c r="B804" s="46"/>
      <c r="C804" s="46"/>
      <c r="D804" s="46"/>
      <c r="E804" s="47" t="s">
        <v>249</v>
      </c>
      <c r="F804" s="48" t="s">
        <v>1423</v>
      </c>
      <c r="G804" s="48"/>
      <c r="H804" s="49" t="s">
        <v>1425</v>
      </c>
      <c r="I804" s="405" t="s">
        <v>1426</v>
      </c>
      <c r="J804" s="51" t="s">
        <v>140</v>
      </c>
      <c r="K804" s="52">
        <v>0</v>
      </c>
      <c r="L804" s="52">
        <v>0</v>
      </c>
      <c r="M804" s="53">
        <v>90</v>
      </c>
      <c r="N804" s="54">
        <v>200</v>
      </c>
      <c r="O804" s="341">
        <v>1</v>
      </c>
      <c r="P804" s="54">
        <f t="shared" si="131"/>
        <v>200</v>
      </c>
      <c r="Q804" s="54"/>
      <c r="R804" s="53">
        <v>200</v>
      </c>
      <c r="S804" s="53">
        <f t="shared" si="125"/>
        <v>0</v>
      </c>
      <c r="T804" s="343">
        <f t="shared" si="126"/>
        <v>960</v>
      </c>
      <c r="U804" s="52">
        <f t="shared" si="127"/>
        <v>0</v>
      </c>
      <c r="V804" s="52">
        <f t="shared" si="128"/>
        <v>0</v>
      </c>
      <c r="W804" s="52">
        <v>0</v>
      </c>
      <c r="X804" s="55">
        <f t="shared" si="129"/>
        <v>46153.865277777775</v>
      </c>
    </row>
    <row r="805" spans="1:24" hidden="1" x14ac:dyDescent="0.35">
      <c r="A805" s="46">
        <f t="shared" si="130"/>
        <v>46153.865277777775</v>
      </c>
      <c r="B805" s="46"/>
      <c r="C805" s="46"/>
      <c r="D805" s="46"/>
      <c r="E805" s="47" t="s">
        <v>249</v>
      </c>
      <c r="F805" s="48" t="s">
        <v>1423</v>
      </c>
      <c r="G805" s="48"/>
      <c r="H805" s="49" t="s">
        <v>1427</v>
      </c>
      <c r="I805" s="405" t="s">
        <v>1341</v>
      </c>
      <c r="J805" s="51" t="s">
        <v>140</v>
      </c>
      <c r="K805" s="52">
        <v>0</v>
      </c>
      <c r="L805" s="52">
        <v>0</v>
      </c>
      <c r="M805" s="53">
        <v>90</v>
      </c>
      <c r="N805" s="54">
        <v>500</v>
      </c>
      <c r="O805" s="341">
        <v>1</v>
      </c>
      <c r="P805" s="54">
        <f t="shared" si="131"/>
        <v>500</v>
      </c>
      <c r="Q805" s="54"/>
      <c r="R805" s="53">
        <v>500</v>
      </c>
      <c r="S805" s="53">
        <f t="shared" si="125"/>
        <v>0</v>
      </c>
      <c r="T805" s="343">
        <f t="shared" si="126"/>
        <v>960</v>
      </c>
      <c r="U805" s="52">
        <f t="shared" si="127"/>
        <v>0</v>
      </c>
      <c r="V805" s="52">
        <f t="shared" si="128"/>
        <v>0</v>
      </c>
      <c r="W805" s="52">
        <v>0</v>
      </c>
      <c r="X805" s="55">
        <f t="shared" si="129"/>
        <v>46153.865277777775</v>
      </c>
    </row>
    <row r="806" spans="1:24" hidden="1" x14ac:dyDescent="0.35">
      <c r="A806" s="46">
        <f t="shared" si="130"/>
        <v>46153.865277777775</v>
      </c>
      <c r="B806" s="46"/>
      <c r="C806" s="46"/>
      <c r="D806" s="46"/>
      <c r="E806" s="47" t="s">
        <v>249</v>
      </c>
      <c r="F806" s="48" t="s">
        <v>1428</v>
      </c>
      <c r="G806" s="48"/>
      <c r="H806" s="49" t="s">
        <v>1429</v>
      </c>
      <c r="I806" s="71" t="s">
        <v>145</v>
      </c>
      <c r="J806" s="51" t="s">
        <v>140</v>
      </c>
      <c r="K806" s="52">
        <v>0</v>
      </c>
      <c r="L806" s="52">
        <v>0</v>
      </c>
      <c r="M806" s="53">
        <v>90</v>
      </c>
      <c r="N806" s="54">
        <v>500</v>
      </c>
      <c r="O806" s="341">
        <v>1</v>
      </c>
      <c r="P806" s="54">
        <f t="shared" si="131"/>
        <v>500</v>
      </c>
      <c r="Q806" s="54"/>
      <c r="R806" s="53">
        <v>500</v>
      </c>
      <c r="S806" s="53">
        <f t="shared" si="125"/>
        <v>0</v>
      </c>
      <c r="T806" s="343">
        <f t="shared" si="126"/>
        <v>960</v>
      </c>
      <c r="U806" s="52">
        <f t="shared" si="127"/>
        <v>0</v>
      </c>
      <c r="V806" s="52">
        <f t="shared" si="128"/>
        <v>0</v>
      </c>
      <c r="W806" s="52">
        <v>0</v>
      </c>
      <c r="X806" s="55">
        <f t="shared" si="129"/>
        <v>46153.865277777775</v>
      </c>
    </row>
    <row r="807" spans="1:24" hidden="1" x14ac:dyDescent="0.35">
      <c r="A807" s="46">
        <f t="shared" si="130"/>
        <v>46153.865277777775</v>
      </c>
      <c r="B807" s="46"/>
      <c r="C807" s="46"/>
      <c r="D807" s="46"/>
      <c r="E807" s="47" t="s">
        <v>249</v>
      </c>
      <c r="F807" s="48" t="s">
        <v>1430</v>
      </c>
      <c r="G807" s="48"/>
      <c r="H807" s="49" t="s">
        <v>1431</v>
      </c>
      <c r="I807" s="82" t="s">
        <v>536</v>
      </c>
      <c r="J807" s="51" t="s">
        <v>140</v>
      </c>
      <c r="K807" s="52">
        <v>0</v>
      </c>
      <c r="L807" s="52">
        <v>0</v>
      </c>
      <c r="M807" s="53">
        <v>120</v>
      </c>
      <c r="N807" s="54">
        <v>1200</v>
      </c>
      <c r="O807" s="341">
        <v>1</v>
      </c>
      <c r="P807" s="54">
        <f t="shared" si="131"/>
        <v>1200</v>
      </c>
      <c r="Q807" s="54"/>
      <c r="R807" s="53">
        <v>1200</v>
      </c>
      <c r="S807" s="53">
        <f t="shared" si="125"/>
        <v>0</v>
      </c>
      <c r="T807" s="343">
        <f t="shared" si="126"/>
        <v>720</v>
      </c>
      <c r="U807" s="52">
        <f t="shared" si="127"/>
        <v>0</v>
      </c>
      <c r="V807" s="52">
        <f t="shared" si="128"/>
        <v>0</v>
      </c>
      <c r="W807" s="52">
        <v>0</v>
      </c>
      <c r="X807" s="55">
        <f t="shared" si="129"/>
        <v>46153.865277777775</v>
      </c>
    </row>
    <row r="808" spans="1:24" hidden="1" x14ac:dyDescent="0.35">
      <c r="A808" s="46">
        <f t="shared" si="130"/>
        <v>46153.865277777775</v>
      </c>
      <c r="B808" s="46"/>
      <c r="C808" s="46"/>
      <c r="D808" s="46"/>
      <c r="E808" s="47" t="s">
        <v>249</v>
      </c>
      <c r="F808" s="62" t="s">
        <v>179</v>
      </c>
      <c r="G808" s="62"/>
      <c r="H808" s="68">
        <v>10065</v>
      </c>
      <c r="I808" s="69" t="s">
        <v>1432</v>
      </c>
      <c r="J808" s="64" t="s">
        <v>140</v>
      </c>
      <c r="K808" s="52">
        <v>0</v>
      </c>
      <c r="L808" s="52">
        <v>0</v>
      </c>
      <c r="M808" s="53">
        <v>70</v>
      </c>
      <c r="N808" s="70">
        <v>1900</v>
      </c>
      <c r="O808" s="341">
        <v>1</v>
      </c>
      <c r="P808" s="54">
        <f t="shared" si="131"/>
        <v>1900</v>
      </c>
      <c r="Q808" s="54"/>
      <c r="R808" s="342">
        <v>1900</v>
      </c>
      <c r="S808" s="53">
        <f t="shared" si="125"/>
        <v>0</v>
      </c>
      <c r="T808" s="343">
        <f t="shared" si="126"/>
        <v>1234.2857142857142</v>
      </c>
      <c r="U808" s="52">
        <f t="shared" si="127"/>
        <v>0</v>
      </c>
      <c r="V808" s="52">
        <f t="shared" si="128"/>
        <v>0</v>
      </c>
      <c r="W808" s="52">
        <v>0</v>
      </c>
      <c r="X808" s="55">
        <f t="shared" si="129"/>
        <v>46153.865277777775</v>
      </c>
    </row>
    <row r="809" spans="1:24" ht="26.5" hidden="1" x14ac:dyDescent="0.35">
      <c r="A809" s="46">
        <f t="shared" si="130"/>
        <v>46153.865277777775</v>
      </c>
      <c r="B809" s="46"/>
      <c r="C809" s="46"/>
      <c r="D809" s="46"/>
      <c r="E809" s="47" t="s">
        <v>249</v>
      </c>
      <c r="F809" s="97" t="s">
        <v>555</v>
      </c>
      <c r="G809" s="97"/>
      <c r="H809" s="49" t="s">
        <v>1433</v>
      </c>
      <c r="I809" s="97" t="s">
        <v>1051</v>
      </c>
      <c r="J809" s="51" t="s">
        <v>140</v>
      </c>
      <c r="K809" s="52">
        <v>0</v>
      </c>
      <c r="L809" s="52">
        <v>0</v>
      </c>
      <c r="M809" s="53">
        <v>95</v>
      </c>
      <c r="N809" s="54">
        <v>1500</v>
      </c>
      <c r="O809" s="341">
        <v>1</v>
      </c>
      <c r="P809" s="54">
        <f t="shared" si="131"/>
        <v>1500</v>
      </c>
      <c r="Q809" s="54"/>
      <c r="R809" s="53">
        <v>1500</v>
      </c>
      <c r="S809" s="53">
        <f t="shared" si="125"/>
        <v>0</v>
      </c>
      <c r="T809" s="343">
        <f t="shared" si="126"/>
        <v>909.47368421052624</v>
      </c>
      <c r="U809" s="52">
        <f t="shared" si="127"/>
        <v>0</v>
      </c>
      <c r="V809" s="52">
        <f t="shared" si="128"/>
        <v>0</v>
      </c>
      <c r="W809" s="52">
        <v>0</v>
      </c>
      <c r="X809" s="55">
        <f t="shared" si="129"/>
        <v>46153.865277777775</v>
      </c>
    </row>
    <row r="810" spans="1:24" ht="26.5" hidden="1" x14ac:dyDescent="0.35">
      <c r="A810" s="46">
        <f t="shared" si="130"/>
        <v>46153.865277777775</v>
      </c>
      <c r="B810" s="46"/>
      <c r="C810" s="46"/>
      <c r="D810" s="46"/>
      <c r="E810" s="47" t="s">
        <v>249</v>
      </c>
      <c r="F810" s="97" t="s">
        <v>555</v>
      </c>
      <c r="G810" s="97"/>
      <c r="H810" s="49" t="s">
        <v>1434</v>
      </c>
      <c r="I810" s="97" t="s">
        <v>1049</v>
      </c>
      <c r="J810" s="51" t="s">
        <v>140</v>
      </c>
      <c r="K810" s="52">
        <v>0</v>
      </c>
      <c r="L810" s="52">
        <v>0</v>
      </c>
      <c r="M810" s="53">
        <v>95</v>
      </c>
      <c r="N810" s="54">
        <v>1000</v>
      </c>
      <c r="O810" s="341">
        <v>1</v>
      </c>
      <c r="P810" s="54">
        <f t="shared" si="131"/>
        <v>1000</v>
      </c>
      <c r="Q810" s="54"/>
      <c r="R810" s="53">
        <v>1000</v>
      </c>
      <c r="S810" s="53">
        <f t="shared" si="125"/>
        <v>0</v>
      </c>
      <c r="T810" s="343">
        <f t="shared" si="126"/>
        <v>909.47368421052624</v>
      </c>
      <c r="U810" s="52">
        <f t="shared" si="127"/>
        <v>0</v>
      </c>
      <c r="V810" s="52">
        <f t="shared" si="128"/>
        <v>0</v>
      </c>
      <c r="W810" s="52">
        <v>0</v>
      </c>
      <c r="X810" s="55">
        <f t="shared" si="129"/>
        <v>46153.865277777775</v>
      </c>
    </row>
    <row r="811" spans="1:24" ht="26.5" hidden="1" x14ac:dyDescent="0.35">
      <c r="A811" s="46">
        <f t="shared" si="130"/>
        <v>46153.865277777775</v>
      </c>
      <c r="B811" s="46"/>
      <c r="C811" s="46"/>
      <c r="D811" s="46"/>
      <c r="E811" s="406" t="s">
        <v>249</v>
      </c>
      <c r="F811" s="407" t="s">
        <v>555</v>
      </c>
      <c r="G811" s="407"/>
      <c r="H811" s="408" t="s">
        <v>1435</v>
      </c>
      <c r="I811" s="407" t="s">
        <v>1436</v>
      </c>
      <c r="J811" s="409" t="s">
        <v>140</v>
      </c>
      <c r="K811" s="410">
        <v>0</v>
      </c>
      <c r="L811" s="410">
        <v>0</v>
      </c>
      <c r="M811" s="411">
        <v>95</v>
      </c>
      <c r="N811" s="412">
        <v>300</v>
      </c>
      <c r="O811" s="413">
        <v>1</v>
      </c>
      <c r="P811" s="412">
        <f t="shared" si="131"/>
        <v>300</v>
      </c>
      <c r="Q811" s="412"/>
      <c r="R811" s="411">
        <v>300</v>
      </c>
      <c r="S811" s="411">
        <f t="shared" si="125"/>
        <v>0</v>
      </c>
      <c r="T811" s="414">
        <f t="shared" si="126"/>
        <v>909.47368421052624</v>
      </c>
      <c r="U811" s="410">
        <f t="shared" si="127"/>
        <v>0</v>
      </c>
      <c r="V811" s="410">
        <f t="shared" si="128"/>
        <v>0</v>
      </c>
      <c r="W811" s="410">
        <v>0</v>
      </c>
      <c r="X811" s="55">
        <f t="shared" si="129"/>
        <v>46153.865277777775</v>
      </c>
    </row>
    <row r="812" spans="1:24" ht="26.5" hidden="1" x14ac:dyDescent="0.35">
      <c r="A812" s="46">
        <f t="shared" si="130"/>
        <v>46153.865277777775</v>
      </c>
      <c r="B812" s="46"/>
      <c r="C812" s="46"/>
      <c r="D812" s="46"/>
      <c r="E812" s="47" t="s">
        <v>249</v>
      </c>
      <c r="F812" s="97" t="s">
        <v>555</v>
      </c>
      <c r="G812" s="97"/>
      <c r="H812" s="49" t="s">
        <v>1437</v>
      </c>
      <c r="I812" s="415" t="s">
        <v>1353</v>
      </c>
      <c r="J812" s="51" t="s">
        <v>140</v>
      </c>
      <c r="K812" s="52">
        <v>0</v>
      </c>
      <c r="L812" s="52">
        <v>0</v>
      </c>
      <c r="M812" s="53">
        <v>100</v>
      </c>
      <c r="N812" s="54">
        <v>4000</v>
      </c>
      <c r="O812" s="341">
        <v>1</v>
      </c>
      <c r="P812" s="54">
        <f t="shared" si="131"/>
        <v>4000</v>
      </c>
      <c r="Q812" s="54"/>
      <c r="R812" s="53">
        <v>4000</v>
      </c>
      <c r="S812" s="53">
        <f t="shared" si="125"/>
        <v>0</v>
      </c>
      <c r="T812" s="343">
        <f t="shared" si="126"/>
        <v>864</v>
      </c>
      <c r="U812" s="52">
        <f t="shared" si="127"/>
        <v>0</v>
      </c>
      <c r="V812" s="52">
        <f t="shared" si="128"/>
        <v>0</v>
      </c>
      <c r="W812" s="52">
        <v>0</v>
      </c>
      <c r="X812" s="55">
        <f t="shared" si="129"/>
        <v>46153.865277777775</v>
      </c>
    </row>
    <row r="813" spans="1:24" hidden="1" x14ac:dyDescent="0.35">
      <c r="A813" s="46">
        <f t="shared" si="130"/>
        <v>46153.865277777775</v>
      </c>
      <c r="B813" s="46"/>
      <c r="C813" s="46"/>
      <c r="D813" s="46"/>
      <c r="E813" s="47" t="s">
        <v>249</v>
      </c>
      <c r="F813" s="48" t="s">
        <v>1438</v>
      </c>
      <c r="G813" s="48"/>
      <c r="H813" s="49" t="s">
        <v>1439</v>
      </c>
      <c r="I813" s="82" t="s">
        <v>457</v>
      </c>
      <c r="J813" s="51" t="s">
        <v>140</v>
      </c>
      <c r="K813" s="52">
        <v>0</v>
      </c>
      <c r="L813" s="52">
        <v>0</v>
      </c>
      <c r="M813" s="53">
        <v>90</v>
      </c>
      <c r="N813" s="54">
        <v>4320</v>
      </c>
      <c r="O813" s="341">
        <v>1</v>
      </c>
      <c r="P813" s="54">
        <f t="shared" si="131"/>
        <v>4320</v>
      </c>
      <c r="Q813" s="54"/>
      <c r="R813" s="53">
        <v>4320</v>
      </c>
      <c r="S813" s="53">
        <f t="shared" si="125"/>
        <v>0</v>
      </c>
      <c r="T813" s="343">
        <f t="shared" si="126"/>
        <v>960</v>
      </c>
      <c r="U813" s="52">
        <f t="shared" si="127"/>
        <v>0</v>
      </c>
      <c r="V813" s="52">
        <f t="shared" si="128"/>
        <v>0</v>
      </c>
      <c r="W813" s="52">
        <v>0</v>
      </c>
      <c r="X813" s="55">
        <f t="shared" si="129"/>
        <v>46153.865277777775</v>
      </c>
    </row>
    <row r="814" spans="1:24" s="81" customFormat="1" ht="29" hidden="1" x14ac:dyDescent="0.35">
      <c r="A814" s="46">
        <f t="shared" si="130"/>
        <v>46153.865277777775</v>
      </c>
      <c r="B814" s="46"/>
      <c r="C814" s="46"/>
      <c r="D814" s="46"/>
      <c r="E814" s="74" t="s">
        <v>249</v>
      </c>
      <c r="F814" s="75" t="s">
        <v>196</v>
      </c>
      <c r="G814" s="75"/>
      <c r="H814" s="76" t="s">
        <v>1440</v>
      </c>
      <c r="I814" s="77" t="s">
        <v>1414</v>
      </c>
      <c r="J814" s="60" t="s">
        <v>140</v>
      </c>
      <c r="K814" s="78">
        <v>0</v>
      </c>
      <c r="L814" s="78">
        <v>0</v>
      </c>
      <c r="M814" s="79">
        <v>120</v>
      </c>
      <c r="N814" s="80">
        <v>2000</v>
      </c>
      <c r="O814" s="392">
        <v>1</v>
      </c>
      <c r="P814" s="80">
        <f t="shared" si="131"/>
        <v>2000</v>
      </c>
      <c r="Q814" s="80"/>
      <c r="R814" s="79">
        <v>2000</v>
      </c>
      <c r="S814" s="53">
        <f t="shared" si="125"/>
        <v>0</v>
      </c>
      <c r="T814" s="416">
        <f t="shared" si="126"/>
        <v>720</v>
      </c>
      <c r="U814" s="78">
        <f t="shared" si="127"/>
        <v>0</v>
      </c>
      <c r="V814" s="78">
        <f t="shared" si="128"/>
        <v>0</v>
      </c>
      <c r="W814" s="78">
        <v>0</v>
      </c>
      <c r="X814" s="55">
        <f t="shared" si="129"/>
        <v>46153.865277777775</v>
      </c>
    </row>
    <row r="815" spans="1:24" s="221" customFormat="1" hidden="1" x14ac:dyDescent="0.35">
      <c r="A815" s="46">
        <f t="shared" si="130"/>
        <v>46153.865277777775</v>
      </c>
      <c r="B815" s="46"/>
      <c r="C815" s="46"/>
      <c r="D815" s="46"/>
      <c r="E815" s="47" t="s">
        <v>1243</v>
      </c>
      <c r="F815" s="56" t="s">
        <v>1441</v>
      </c>
      <c r="G815" s="56"/>
      <c r="H815" s="49" t="s">
        <v>1442</v>
      </c>
      <c r="I815" s="49" t="s">
        <v>1443</v>
      </c>
      <c r="J815" s="51" t="s">
        <v>140</v>
      </c>
      <c r="K815" s="52">
        <v>0</v>
      </c>
      <c r="L815" s="52">
        <v>0</v>
      </c>
      <c r="M815" s="53">
        <v>70</v>
      </c>
      <c r="N815" s="54">
        <v>250</v>
      </c>
      <c r="O815" s="341">
        <v>1</v>
      </c>
      <c r="P815" s="54">
        <f t="shared" si="131"/>
        <v>250</v>
      </c>
      <c r="Q815" s="54"/>
      <c r="R815" s="53">
        <v>250</v>
      </c>
      <c r="S815" s="53">
        <f t="shared" si="125"/>
        <v>0</v>
      </c>
      <c r="T815" s="315">
        <f t="shared" si="126"/>
        <v>1234.2857142857142</v>
      </c>
      <c r="U815" s="84">
        <f t="shared" si="127"/>
        <v>0</v>
      </c>
      <c r="V815" s="84">
        <f t="shared" si="128"/>
        <v>0</v>
      </c>
      <c r="W815" s="84">
        <v>0</v>
      </c>
      <c r="X815" s="55">
        <f t="shared" si="129"/>
        <v>46153.865277777775</v>
      </c>
    </row>
    <row r="816" spans="1:24" hidden="1" x14ac:dyDescent="0.35">
      <c r="A816" s="46">
        <f t="shared" si="130"/>
        <v>46153.865277777775</v>
      </c>
      <c r="B816" s="46"/>
      <c r="C816" s="46"/>
      <c r="D816" s="46"/>
      <c r="E816" s="47" t="s">
        <v>1243</v>
      </c>
      <c r="F816" s="56" t="s">
        <v>1441</v>
      </c>
      <c r="G816" s="56"/>
      <c r="H816" s="49" t="s">
        <v>1444</v>
      </c>
      <c r="I816" s="49" t="s">
        <v>1445</v>
      </c>
      <c r="J816" s="51" t="s">
        <v>140</v>
      </c>
      <c r="K816" s="52">
        <v>0</v>
      </c>
      <c r="L816" s="52">
        <v>0</v>
      </c>
      <c r="M816" s="53">
        <v>70</v>
      </c>
      <c r="N816" s="54">
        <v>250</v>
      </c>
      <c r="O816" s="341">
        <v>1</v>
      </c>
      <c r="P816" s="54">
        <f t="shared" si="131"/>
        <v>250</v>
      </c>
      <c r="Q816" s="54"/>
      <c r="R816" s="53">
        <v>250</v>
      </c>
      <c r="S816" s="53">
        <f t="shared" ref="S816:S879" si="132">P816-R816</f>
        <v>0</v>
      </c>
      <c r="T816" s="315">
        <f t="shared" ref="T816:T879" si="133">((3600/M816)*O816)*24</f>
        <v>1234.2857142857142</v>
      </c>
      <c r="U816" s="84">
        <f t="shared" ref="U816:U879" si="134">(P816-R816)*M816/3600</f>
        <v>0</v>
      </c>
      <c r="V816" s="84">
        <f t="shared" ref="V816:V879" si="135">(P816-R816)*M816/3600/24</f>
        <v>0</v>
      </c>
      <c r="W816" s="84">
        <v>0</v>
      </c>
      <c r="X816" s="55">
        <f t="shared" ref="X816:X879" si="136">A816+K816+V816+W816+L816</f>
        <v>46153.865277777775</v>
      </c>
    </row>
    <row r="817" spans="1:24" s="221" customFormat="1" hidden="1" x14ac:dyDescent="0.35">
      <c r="A817" s="46">
        <f t="shared" ref="A817:A880" si="137">X816</f>
        <v>46153.865277777775</v>
      </c>
      <c r="B817" s="46"/>
      <c r="C817" s="46"/>
      <c r="D817" s="46"/>
      <c r="E817" s="47" t="s">
        <v>249</v>
      </c>
      <c r="F817" s="48" t="s">
        <v>1446</v>
      </c>
      <c r="G817" s="48"/>
      <c r="H817" s="59" t="s">
        <v>1447</v>
      </c>
      <c r="I817" s="97" t="s">
        <v>143</v>
      </c>
      <c r="J817" s="51" t="s">
        <v>140</v>
      </c>
      <c r="K817" s="52">
        <v>0</v>
      </c>
      <c r="L817" s="52">
        <v>0</v>
      </c>
      <c r="M817" s="53">
        <v>100</v>
      </c>
      <c r="N817" s="54">
        <v>600</v>
      </c>
      <c r="O817" s="341">
        <v>1</v>
      </c>
      <c r="P817" s="54">
        <f t="shared" si="131"/>
        <v>600</v>
      </c>
      <c r="Q817" s="54"/>
      <c r="R817" s="53">
        <v>600</v>
      </c>
      <c r="S817" s="53">
        <f t="shared" si="132"/>
        <v>0</v>
      </c>
      <c r="T817" s="343">
        <f t="shared" si="133"/>
        <v>864</v>
      </c>
      <c r="U817" s="52">
        <f t="shared" si="134"/>
        <v>0</v>
      </c>
      <c r="V817" s="52">
        <f t="shared" si="135"/>
        <v>0</v>
      </c>
      <c r="W817" s="52">
        <v>0</v>
      </c>
      <c r="X817" s="55">
        <f t="shared" si="136"/>
        <v>46153.865277777775</v>
      </c>
    </row>
    <row r="818" spans="1:24" s="221" customFormat="1" ht="29" hidden="1" x14ac:dyDescent="0.35">
      <c r="A818" s="46">
        <f t="shared" si="137"/>
        <v>46153.865277777775</v>
      </c>
      <c r="B818" s="46"/>
      <c r="C818" s="46"/>
      <c r="D818" s="46"/>
      <c r="E818" s="47" t="s">
        <v>249</v>
      </c>
      <c r="F818" s="48" t="s">
        <v>1448</v>
      </c>
      <c r="G818" s="48"/>
      <c r="H818" s="49" t="s">
        <v>1449</v>
      </c>
      <c r="I818" s="82" t="s">
        <v>1187</v>
      </c>
      <c r="J818" s="51" t="s">
        <v>140</v>
      </c>
      <c r="K818" s="52">
        <v>0</v>
      </c>
      <c r="L818" s="52">
        <v>0</v>
      </c>
      <c r="M818" s="53">
        <v>120</v>
      </c>
      <c r="N818" s="54">
        <v>3800</v>
      </c>
      <c r="O818" s="341">
        <v>4</v>
      </c>
      <c r="P818" s="54">
        <f t="shared" si="131"/>
        <v>950</v>
      </c>
      <c r="Q818" s="54"/>
      <c r="R818" s="53">
        <v>950</v>
      </c>
      <c r="S818" s="53">
        <f t="shared" si="132"/>
        <v>0</v>
      </c>
      <c r="T818" s="343">
        <f t="shared" si="133"/>
        <v>2880</v>
      </c>
      <c r="U818" s="52">
        <f t="shared" si="134"/>
        <v>0</v>
      </c>
      <c r="V818" s="52">
        <f t="shared" si="135"/>
        <v>0</v>
      </c>
      <c r="W818" s="52">
        <v>0</v>
      </c>
      <c r="X818" s="55">
        <f t="shared" si="136"/>
        <v>46153.865277777775</v>
      </c>
    </row>
    <row r="819" spans="1:24" s="221" customFormat="1" hidden="1" x14ac:dyDescent="0.35">
      <c r="A819" s="46">
        <f t="shared" si="137"/>
        <v>46153.865277777775</v>
      </c>
      <c r="B819" s="46"/>
      <c r="C819" s="46"/>
      <c r="D819" s="46"/>
      <c r="E819" s="47" t="s">
        <v>249</v>
      </c>
      <c r="F819" s="48" t="s">
        <v>1450</v>
      </c>
      <c r="G819" s="48"/>
      <c r="H819" s="59" t="s">
        <v>1451</v>
      </c>
      <c r="I819" s="97" t="s">
        <v>143</v>
      </c>
      <c r="J819" s="51" t="s">
        <v>140</v>
      </c>
      <c r="K819" s="52">
        <v>0</v>
      </c>
      <c r="L819" s="52">
        <v>0</v>
      </c>
      <c r="M819" s="53">
        <v>100</v>
      </c>
      <c r="N819" s="54">
        <v>2300</v>
      </c>
      <c r="O819" s="341">
        <v>1</v>
      </c>
      <c r="P819" s="54">
        <f t="shared" si="131"/>
        <v>2300</v>
      </c>
      <c r="Q819" s="54"/>
      <c r="R819" s="53">
        <v>2300</v>
      </c>
      <c r="S819" s="53">
        <f t="shared" si="132"/>
        <v>0</v>
      </c>
      <c r="T819" s="343">
        <f t="shared" si="133"/>
        <v>864</v>
      </c>
      <c r="U819" s="52">
        <f t="shared" si="134"/>
        <v>0</v>
      </c>
      <c r="V819" s="52">
        <f t="shared" si="135"/>
        <v>0</v>
      </c>
      <c r="W819" s="52">
        <v>0</v>
      </c>
      <c r="X819" s="55">
        <f t="shared" si="136"/>
        <v>46153.865277777775</v>
      </c>
    </row>
    <row r="820" spans="1:24" s="221" customFormat="1" ht="29" hidden="1" x14ac:dyDescent="0.35">
      <c r="A820" s="46">
        <f t="shared" si="137"/>
        <v>46153.865277777775</v>
      </c>
      <c r="B820" s="46"/>
      <c r="C820" s="46"/>
      <c r="D820" s="46"/>
      <c r="E820" s="47" t="s">
        <v>195</v>
      </c>
      <c r="F820" s="48" t="s">
        <v>1452</v>
      </c>
      <c r="G820" s="48"/>
      <c r="H820" s="59" t="s">
        <v>1453</v>
      </c>
      <c r="I820" s="82" t="s">
        <v>198</v>
      </c>
      <c r="J820" s="100" t="s">
        <v>140</v>
      </c>
      <c r="K820" s="52">
        <v>0</v>
      </c>
      <c r="L820" s="52">
        <v>0</v>
      </c>
      <c r="M820" s="53">
        <v>190</v>
      </c>
      <c r="N820" s="54">
        <v>1000</v>
      </c>
      <c r="O820" s="341">
        <v>1</v>
      </c>
      <c r="P820" s="54">
        <f t="shared" si="131"/>
        <v>1000</v>
      </c>
      <c r="Q820" s="54"/>
      <c r="R820" s="53">
        <v>1000</v>
      </c>
      <c r="S820" s="53">
        <f t="shared" si="132"/>
        <v>0</v>
      </c>
      <c r="T820" s="315">
        <f t="shared" si="133"/>
        <v>454.73684210526312</v>
      </c>
      <c r="U820" s="84">
        <f t="shared" si="134"/>
        <v>0</v>
      </c>
      <c r="V820" s="84">
        <f t="shared" si="135"/>
        <v>0</v>
      </c>
      <c r="W820" s="84">
        <v>0</v>
      </c>
      <c r="X820" s="55">
        <f t="shared" si="136"/>
        <v>46153.865277777775</v>
      </c>
    </row>
    <row r="821" spans="1:24" s="221" customFormat="1" ht="29" hidden="1" x14ac:dyDescent="0.35">
      <c r="A821" s="46">
        <f t="shared" si="137"/>
        <v>46153.865277777775</v>
      </c>
      <c r="B821" s="46"/>
      <c r="C821" s="46"/>
      <c r="D821" s="46"/>
      <c r="E821" s="47" t="s">
        <v>195</v>
      </c>
      <c r="F821" s="48" t="s">
        <v>513</v>
      </c>
      <c r="G821" s="48"/>
      <c r="H821" s="59" t="s">
        <v>1454</v>
      </c>
      <c r="I821" s="82" t="s">
        <v>198</v>
      </c>
      <c r="J821" s="100" t="s">
        <v>140</v>
      </c>
      <c r="K821" s="52">
        <v>0</v>
      </c>
      <c r="L821" s="52">
        <v>0</v>
      </c>
      <c r="M821" s="53">
        <v>190</v>
      </c>
      <c r="N821" s="54">
        <v>1000</v>
      </c>
      <c r="O821" s="341">
        <v>1</v>
      </c>
      <c r="P821" s="54">
        <f t="shared" si="131"/>
        <v>1000</v>
      </c>
      <c r="Q821" s="54"/>
      <c r="R821" s="53">
        <v>1000</v>
      </c>
      <c r="S821" s="53">
        <f t="shared" si="132"/>
        <v>0</v>
      </c>
      <c r="T821" s="315">
        <f t="shared" si="133"/>
        <v>454.73684210526312</v>
      </c>
      <c r="U821" s="84">
        <f t="shared" si="134"/>
        <v>0</v>
      </c>
      <c r="V821" s="84">
        <f t="shared" si="135"/>
        <v>0</v>
      </c>
      <c r="W821" s="84">
        <v>0</v>
      </c>
      <c r="X821" s="55">
        <f t="shared" si="136"/>
        <v>46153.865277777775</v>
      </c>
    </row>
    <row r="822" spans="1:24" s="221" customFormat="1" hidden="1" x14ac:dyDescent="0.35">
      <c r="A822" s="46">
        <f t="shared" si="137"/>
        <v>46153.865277777775</v>
      </c>
      <c r="B822" s="46"/>
      <c r="C822" s="46"/>
      <c r="D822" s="46"/>
      <c r="E822" s="47" t="s">
        <v>249</v>
      </c>
      <c r="F822" s="97" t="s">
        <v>1455</v>
      </c>
      <c r="G822" s="97"/>
      <c r="H822" s="98" t="s">
        <v>1456</v>
      </c>
      <c r="I822" s="417" t="s">
        <v>1408</v>
      </c>
      <c r="J822" s="51" t="s">
        <v>283</v>
      </c>
      <c r="K822" s="91">
        <v>0</v>
      </c>
      <c r="L822" s="91">
        <v>0</v>
      </c>
      <c r="M822" s="92">
        <v>67</v>
      </c>
      <c r="N822" s="94">
        <v>6840</v>
      </c>
      <c r="O822" s="253">
        <v>2</v>
      </c>
      <c r="P822" s="94">
        <f t="shared" si="131"/>
        <v>3420</v>
      </c>
      <c r="Q822" s="94"/>
      <c r="R822" s="92">
        <v>3420</v>
      </c>
      <c r="S822" s="92">
        <f t="shared" si="132"/>
        <v>0</v>
      </c>
      <c r="T822" s="254">
        <f t="shared" si="133"/>
        <v>2579.1044776119406</v>
      </c>
      <c r="U822" s="91">
        <f t="shared" si="134"/>
        <v>0</v>
      </c>
      <c r="V822" s="91">
        <f t="shared" si="135"/>
        <v>0</v>
      </c>
      <c r="W822" s="91">
        <v>0</v>
      </c>
      <c r="X822" s="55">
        <f t="shared" si="136"/>
        <v>46153.865277777775</v>
      </c>
    </row>
    <row r="823" spans="1:24" s="418" customFormat="1" ht="13" hidden="1" x14ac:dyDescent="0.3">
      <c r="A823" s="46">
        <f t="shared" si="137"/>
        <v>46153.865277777775</v>
      </c>
      <c r="B823" s="46"/>
      <c r="C823" s="46"/>
      <c r="D823" s="46"/>
      <c r="E823" s="47" t="s">
        <v>249</v>
      </c>
      <c r="F823" s="82" t="s">
        <v>1457</v>
      </c>
      <c r="G823" s="82"/>
      <c r="H823" s="98" t="s">
        <v>1458</v>
      </c>
      <c r="I823" s="82" t="s">
        <v>1459</v>
      </c>
      <c r="J823" s="51" t="s">
        <v>140</v>
      </c>
      <c r="K823" s="91">
        <v>0</v>
      </c>
      <c r="L823" s="91">
        <v>0</v>
      </c>
      <c r="M823" s="92">
        <v>67</v>
      </c>
      <c r="N823" s="94">
        <v>420</v>
      </c>
      <c r="O823" s="253">
        <v>1</v>
      </c>
      <c r="P823" s="94">
        <f t="shared" si="131"/>
        <v>420</v>
      </c>
      <c r="Q823" s="94"/>
      <c r="R823" s="92">
        <v>420</v>
      </c>
      <c r="S823" s="92">
        <f t="shared" si="132"/>
        <v>0</v>
      </c>
      <c r="T823" s="254">
        <f t="shared" si="133"/>
        <v>1289.5522388059703</v>
      </c>
      <c r="U823" s="91">
        <f t="shared" si="134"/>
        <v>0</v>
      </c>
      <c r="V823" s="91">
        <f t="shared" si="135"/>
        <v>0</v>
      </c>
      <c r="W823" s="91">
        <v>0</v>
      </c>
      <c r="X823" s="55">
        <f t="shared" si="136"/>
        <v>46153.865277777775</v>
      </c>
    </row>
    <row r="824" spans="1:24" s="229" customFormat="1" hidden="1" x14ac:dyDescent="0.35">
      <c r="A824" s="46">
        <f t="shared" si="137"/>
        <v>46153.865277777775</v>
      </c>
      <c r="B824" s="46"/>
      <c r="C824" s="46"/>
      <c r="D824" s="46"/>
      <c r="E824" s="47" t="s">
        <v>249</v>
      </c>
      <c r="F824" s="99" t="s">
        <v>1460</v>
      </c>
      <c r="G824" s="99"/>
      <c r="H824" s="107" t="s">
        <v>1461</v>
      </c>
      <c r="I824" s="82" t="s">
        <v>1462</v>
      </c>
      <c r="J824" s="51" t="s">
        <v>140</v>
      </c>
      <c r="K824" s="101">
        <v>0</v>
      </c>
      <c r="L824" s="101">
        <v>0</v>
      </c>
      <c r="M824" s="102">
        <v>120</v>
      </c>
      <c r="N824" s="103">
        <v>500</v>
      </c>
      <c r="O824" s="171">
        <v>1</v>
      </c>
      <c r="P824" s="103">
        <f t="shared" si="131"/>
        <v>500</v>
      </c>
      <c r="Q824" s="103"/>
      <c r="R824" s="102">
        <v>500</v>
      </c>
      <c r="S824" s="102">
        <f t="shared" si="132"/>
        <v>0</v>
      </c>
      <c r="T824" s="173">
        <f t="shared" si="133"/>
        <v>720</v>
      </c>
      <c r="U824" s="101">
        <f t="shared" si="134"/>
        <v>0</v>
      </c>
      <c r="V824" s="101">
        <f t="shared" si="135"/>
        <v>0</v>
      </c>
      <c r="W824" s="101">
        <v>0</v>
      </c>
      <c r="X824" s="55">
        <f t="shared" si="136"/>
        <v>46153.865277777775</v>
      </c>
    </row>
    <row r="825" spans="1:24" hidden="1" x14ac:dyDescent="0.35">
      <c r="A825" s="46">
        <f t="shared" si="137"/>
        <v>46153.865277777775</v>
      </c>
      <c r="B825" s="46"/>
      <c r="C825" s="46"/>
      <c r="D825" s="46"/>
      <c r="E825" s="47" t="s">
        <v>1243</v>
      </c>
      <c r="F825" s="82" t="s">
        <v>1463</v>
      </c>
      <c r="G825" s="82"/>
      <c r="H825" s="98" t="s">
        <v>1464</v>
      </c>
      <c r="I825" s="82" t="s">
        <v>1332</v>
      </c>
      <c r="J825" s="51" t="s">
        <v>140</v>
      </c>
      <c r="K825" s="91">
        <v>0</v>
      </c>
      <c r="L825" s="91">
        <v>0</v>
      </c>
      <c r="M825" s="92">
        <v>120</v>
      </c>
      <c r="N825" s="94">
        <v>800</v>
      </c>
      <c r="O825" s="253">
        <v>1</v>
      </c>
      <c r="P825" s="94">
        <f t="shared" si="131"/>
        <v>800</v>
      </c>
      <c r="Q825" s="94"/>
      <c r="R825" s="92">
        <v>800</v>
      </c>
      <c r="S825" s="92">
        <f t="shared" si="132"/>
        <v>0</v>
      </c>
      <c r="T825" s="254">
        <f t="shared" si="133"/>
        <v>720</v>
      </c>
      <c r="U825" s="91">
        <f t="shared" si="134"/>
        <v>0</v>
      </c>
      <c r="V825" s="91">
        <f t="shared" si="135"/>
        <v>0</v>
      </c>
      <c r="W825" s="91">
        <v>0</v>
      </c>
      <c r="X825" s="55">
        <f t="shared" si="136"/>
        <v>46153.865277777775</v>
      </c>
    </row>
    <row r="826" spans="1:24" hidden="1" x14ac:dyDescent="0.35">
      <c r="A826" s="46">
        <f t="shared" si="137"/>
        <v>46153.865277777775</v>
      </c>
      <c r="B826" s="46"/>
      <c r="C826" s="46"/>
      <c r="D826" s="46"/>
      <c r="E826" s="47" t="s">
        <v>1243</v>
      </c>
      <c r="F826" s="82" t="s">
        <v>1463</v>
      </c>
      <c r="G826" s="82"/>
      <c r="H826" s="98" t="s">
        <v>1465</v>
      </c>
      <c r="I826" s="82" t="s">
        <v>801</v>
      </c>
      <c r="J826" s="51" t="s">
        <v>140</v>
      </c>
      <c r="K826" s="91">
        <v>0</v>
      </c>
      <c r="L826" s="91">
        <v>0</v>
      </c>
      <c r="M826" s="92">
        <v>120</v>
      </c>
      <c r="N826" s="94">
        <v>800</v>
      </c>
      <c r="O826" s="253">
        <v>1</v>
      </c>
      <c r="P826" s="94">
        <f t="shared" si="131"/>
        <v>800</v>
      </c>
      <c r="Q826" s="94"/>
      <c r="R826" s="92">
        <v>800</v>
      </c>
      <c r="S826" s="92">
        <f t="shared" si="132"/>
        <v>0</v>
      </c>
      <c r="T826" s="254">
        <f t="shared" si="133"/>
        <v>720</v>
      </c>
      <c r="U826" s="91">
        <f t="shared" si="134"/>
        <v>0</v>
      </c>
      <c r="V826" s="91">
        <f t="shared" si="135"/>
        <v>0</v>
      </c>
      <c r="W826" s="91">
        <v>0</v>
      </c>
      <c r="X826" s="55">
        <f t="shared" si="136"/>
        <v>46153.865277777775</v>
      </c>
    </row>
    <row r="827" spans="1:24" hidden="1" x14ac:dyDescent="0.35">
      <c r="A827" s="46">
        <f t="shared" si="137"/>
        <v>46153.865277777775</v>
      </c>
      <c r="B827" s="46"/>
      <c r="C827" s="46"/>
      <c r="D827" s="46"/>
      <c r="E827" s="296" t="s">
        <v>249</v>
      </c>
      <c r="F827" s="297" t="s">
        <v>14</v>
      </c>
      <c r="G827" s="297"/>
      <c r="H827" s="349" t="s">
        <v>14</v>
      </c>
      <c r="I827" s="297" t="s">
        <v>1363</v>
      </c>
      <c r="J827" s="351" t="s">
        <v>140</v>
      </c>
      <c r="K827" s="352">
        <v>0</v>
      </c>
      <c r="L827" s="352">
        <v>0</v>
      </c>
      <c r="M827" s="353">
        <v>60</v>
      </c>
      <c r="N827" s="354">
        <v>30</v>
      </c>
      <c r="O827" s="355">
        <v>1</v>
      </c>
      <c r="P827" s="354">
        <f t="shared" si="131"/>
        <v>30</v>
      </c>
      <c r="Q827" s="354"/>
      <c r="R827" s="353">
        <v>30</v>
      </c>
      <c r="S827" s="353">
        <f t="shared" si="132"/>
        <v>0</v>
      </c>
      <c r="T827" s="356">
        <f t="shared" si="133"/>
        <v>1440</v>
      </c>
      <c r="U827" s="352">
        <f t="shared" si="134"/>
        <v>0</v>
      </c>
      <c r="V827" s="352">
        <f t="shared" si="135"/>
        <v>0</v>
      </c>
      <c r="W827" s="352">
        <v>0</v>
      </c>
      <c r="X827" s="55">
        <f t="shared" si="136"/>
        <v>46153.865277777775</v>
      </c>
    </row>
    <row r="828" spans="1:24" hidden="1" x14ac:dyDescent="0.35">
      <c r="A828" s="46">
        <f t="shared" si="137"/>
        <v>46153.865277777775</v>
      </c>
      <c r="B828" s="46"/>
      <c r="C828" s="46"/>
      <c r="D828" s="46"/>
      <c r="E828" s="296" t="s">
        <v>249</v>
      </c>
      <c r="F828" s="297" t="s">
        <v>14</v>
      </c>
      <c r="G828" s="297"/>
      <c r="H828" s="349" t="s">
        <v>14</v>
      </c>
      <c r="I828" s="297" t="s">
        <v>1361</v>
      </c>
      <c r="J828" s="351" t="s">
        <v>140</v>
      </c>
      <c r="K828" s="352">
        <v>0</v>
      </c>
      <c r="L828" s="352">
        <v>0</v>
      </c>
      <c r="M828" s="353">
        <v>60</v>
      </c>
      <c r="N828" s="354">
        <v>30</v>
      </c>
      <c r="O828" s="355">
        <v>1</v>
      </c>
      <c r="P828" s="354">
        <f t="shared" si="131"/>
        <v>30</v>
      </c>
      <c r="Q828" s="354"/>
      <c r="R828" s="353">
        <v>30</v>
      </c>
      <c r="S828" s="353">
        <f t="shared" si="132"/>
        <v>0</v>
      </c>
      <c r="T828" s="356">
        <f t="shared" si="133"/>
        <v>1440</v>
      </c>
      <c r="U828" s="352">
        <f t="shared" si="134"/>
        <v>0</v>
      </c>
      <c r="V828" s="352">
        <f t="shared" si="135"/>
        <v>0</v>
      </c>
      <c r="W828" s="352">
        <v>0</v>
      </c>
      <c r="X828" s="55">
        <f t="shared" si="136"/>
        <v>46153.865277777775</v>
      </c>
    </row>
    <row r="829" spans="1:24" hidden="1" x14ac:dyDescent="0.35">
      <c r="A829" s="46">
        <f t="shared" si="137"/>
        <v>46153.865277777775</v>
      </c>
      <c r="B829" s="46"/>
      <c r="C829" s="46"/>
      <c r="D829" s="46"/>
      <c r="E829" s="296" t="s">
        <v>249</v>
      </c>
      <c r="F829" s="297" t="s">
        <v>14</v>
      </c>
      <c r="G829" s="297"/>
      <c r="H829" s="349" t="s">
        <v>14</v>
      </c>
      <c r="I829" s="297" t="s">
        <v>1365</v>
      </c>
      <c r="J829" s="351" t="s">
        <v>140</v>
      </c>
      <c r="K829" s="352">
        <v>0</v>
      </c>
      <c r="L829" s="352">
        <v>0</v>
      </c>
      <c r="M829" s="353">
        <v>60</v>
      </c>
      <c r="N829" s="354">
        <v>30</v>
      </c>
      <c r="O829" s="355">
        <v>1</v>
      </c>
      <c r="P829" s="354">
        <f t="shared" si="131"/>
        <v>30</v>
      </c>
      <c r="Q829" s="354"/>
      <c r="R829" s="353">
        <v>30</v>
      </c>
      <c r="S829" s="353">
        <f t="shared" si="132"/>
        <v>0</v>
      </c>
      <c r="T829" s="356">
        <f t="shared" si="133"/>
        <v>1440</v>
      </c>
      <c r="U829" s="352">
        <f t="shared" si="134"/>
        <v>0</v>
      </c>
      <c r="V829" s="352">
        <f t="shared" si="135"/>
        <v>0</v>
      </c>
      <c r="W829" s="352">
        <v>0</v>
      </c>
      <c r="X829" s="55">
        <f t="shared" si="136"/>
        <v>46153.865277777775</v>
      </c>
    </row>
    <row r="830" spans="1:24" s="221" customFormat="1" ht="29" hidden="1" x14ac:dyDescent="0.35">
      <c r="A830" s="46">
        <f t="shared" si="137"/>
        <v>46153.865277777775</v>
      </c>
      <c r="B830" s="46"/>
      <c r="C830" s="46"/>
      <c r="D830" s="46"/>
      <c r="E830" s="47" t="s">
        <v>195</v>
      </c>
      <c r="F830" s="48" t="s">
        <v>1466</v>
      </c>
      <c r="G830" s="48"/>
      <c r="H830" s="59" t="s">
        <v>1467</v>
      </c>
      <c r="I830" s="82" t="s">
        <v>198</v>
      </c>
      <c r="J830" s="100" t="s">
        <v>140</v>
      </c>
      <c r="K830" s="52">
        <v>0</v>
      </c>
      <c r="L830" s="52">
        <v>0</v>
      </c>
      <c r="M830" s="53">
        <v>190</v>
      </c>
      <c r="N830" s="54">
        <v>1000</v>
      </c>
      <c r="O830" s="341">
        <v>1</v>
      </c>
      <c r="P830" s="54">
        <f t="shared" si="131"/>
        <v>1000</v>
      </c>
      <c r="Q830" s="54"/>
      <c r="R830" s="53">
        <v>1000</v>
      </c>
      <c r="S830" s="53">
        <f t="shared" si="132"/>
        <v>0</v>
      </c>
      <c r="T830" s="315">
        <f t="shared" si="133"/>
        <v>454.73684210526312</v>
      </c>
      <c r="U830" s="84">
        <f t="shared" si="134"/>
        <v>0</v>
      </c>
      <c r="V830" s="84">
        <f t="shared" si="135"/>
        <v>0</v>
      </c>
      <c r="W830" s="78">
        <v>0</v>
      </c>
      <c r="X830" s="55">
        <f t="shared" si="136"/>
        <v>46153.865277777775</v>
      </c>
    </row>
    <row r="831" spans="1:24" s="221" customFormat="1" ht="26" hidden="1" x14ac:dyDescent="0.35">
      <c r="A831" s="46">
        <f t="shared" si="137"/>
        <v>46153.865277777775</v>
      </c>
      <c r="B831" s="46"/>
      <c r="C831" s="46"/>
      <c r="D831" s="46"/>
      <c r="E831" s="419" t="s">
        <v>249</v>
      </c>
      <c r="F831" s="325" t="s">
        <v>1468</v>
      </c>
      <c r="G831" s="325"/>
      <c r="H831" s="326" t="s">
        <v>1469</v>
      </c>
      <c r="I831" s="220" t="s">
        <v>1470</v>
      </c>
      <c r="J831" s="420" t="s">
        <v>140</v>
      </c>
      <c r="K831" s="421">
        <v>0</v>
      </c>
      <c r="L831" s="421">
        <v>0</v>
      </c>
      <c r="M831" s="422">
        <v>80</v>
      </c>
      <c r="N831" s="423">
        <v>2519</v>
      </c>
      <c r="O831" s="424">
        <v>1</v>
      </c>
      <c r="P831" s="423">
        <f t="shared" si="131"/>
        <v>2519</v>
      </c>
      <c r="Q831" s="423"/>
      <c r="R831" s="53">
        <v>2519</v>
      </c>
      <c r="S831" s="422">
        <f t="shared" si="132"/>
        <v>0</v>
      </c>
      <c r="T831" s="425">
        <f t="shared" si="133"/>
        <v>1080</v>
      </c>
      <c r="U831" s="421">
        <f t="shared" si="134"/>
        <v>0</v>
      </c>
      <c r="V831" s="421">
        <f t="shared" si="135"/>
        <v>0</v>
      </c>
      <c r="W831" s="421">
        <v>0</v>
      </c>
      <c r="X831" s="55">
        <f t="shared" si="136"/>
        <v>46153.865277777775</v>
      </c>
    </row>
    <row r="832" spans="1:24" s="221" customFormat="1" hidden="1" x14ac:dyDescent="0.35">
      <c r="A832" s="46">
        <f t="shared" si="137"/>
        <v>46153.865277777775</v>
      </c>
      <c r="B832" s="46"/>
      <c r="C832" s="46"/>
      <c r="D832" s="46"/>
      <c r="E832" s="119" t="s">
        <v>249</v>
      </c>
      <c r="F832" s="82" t="s">
        <v>603</v>
      </c>
      <c r="G832" s="82"/>
      <c r="H832" s="98" t="s">
        <v>1471</v>
      </c>
      <c r="I832" s="71" t="s">
        <v>186</v>
      </c>
      <c r="J832" s="51" t="s">
        <v>140</v>
      </c>
      <c r="K832" s="91">
        <v>0</v>
      </c>
      <c r="L832" s="91">
        <v>0</v>
      </c>
      <c r="M832" s="92">
        <v>90</v>
      </c>
      <c r="N832" s="94">
        <v>8000</v>
      </c>
      <c r="O832" s="253">
        <v>1</v>
      </c>
      <c r="P832" s="94">
        <f t="shared" si="131"/>
        <v>8000</v>
      </c>
      <c r="Q832" s="94"/>
      <c r="R832" s="92">
        <v>8000</v>
      </c>
      <c r="S832" s="92">
        <f t="shared" si="132"/>
        <v>0</v>
      </c>
      <c r="T832" s="254">
        <f t="shared" si="133"/>
        <v>960</v>
      </c>
      <c r="U832" s="91">
        <f t="shared" si="134"/>
        <v>0</v>
      </c>
      <c r="V832" s="91">
        <f t="shared" si="135"/>
        <v>0</v>
      </c>
      <c r="W832" s="426">
        <v>0</v>
      </c>
      <c r="X832" s="55">
        <f t="shared" si="136"/>
        <v>46153.865277777775</v>
      </c>
    </row>
    <row r="833" spans="1:24" ht="29" hidden="1" x14ac:dyDescent="0.35">
      <c r="A833" s="46">
        <f t="shared" si="137"/>
        <v>46153.865277777775</v>
      </c>
      <c r="B833" s="46"/>
      <c r="C833" s="46"/>
      <c r="D833" s="46"/>
      <c r="E833" s="119" t="s">
        <v>249</v>
      </c>
      <c r="F833" s="48" t="s">
        <v>1354</v>
      </c>
      <c r="G833" s="48"/>
      <c r="H833" s="49" t="s">
        <v>1472</v>
      </c>
      <c r="I833" s="82" t="s">
        <v>1187</v>
      </c>
      <c r="J833" s="51" t="s">
        <v>140</v>
      </c>
      <c r="K833" s="52">
        <v>0</v>
      </c>
      <c r="L833" s="52">
        <v>0</v>
      </c>
      <c r="M833" s="53">
        <v>120</v>
      </c>
      <c r="N833" s="54">
        <v>5760</v>
      </c>
      <c r="O833" s="341">
        <v>4</v>
      </c>
      <c r="P833" s="54">
        <f t="shared" si="131"/>
        <v>1440</v>
      </c>
      <c r="Q833" s="54"/>
      <c r="R833" s="53">
        <v>1440</v>
      </c>
      <c r="S833" s="53">
        <f t="shared" si="132"/>
        <v>0</v>
      </c>
      <c r="T833" s="343">
        <f t="shared" si="133"/>
        <v>2880</v>
      </c>
      <c r="U833" s="52">
        <f t="shared" si="134"/>
        <v>0</v>
      </c>
      <c r="V833" s="52">
        <f t="shared" si="135"/>
        <v>0</v>
      </c>
      <c r="W833" s="52">
        <v>0</v>
      </c>
      <c r="X833" s="55">
        <f t="shared" si="136"/>
        <v>46153.865277777775</v>
      </c>
    </row>
    <row r="834" spans="1:24" hidden="1" x14ac:dyDescent="0.35">
      <c r="A834" s="46">
        <f t="shared" si="137"/>
        <v>46153.865277777775</v>
      </c>
      <c r="B834" s="46"/>
      <c r="C834" s="46"/>
      <c r="D834" s="46"/>
      <c r="E834" s="119" t="s">
        <v>249</v>
      </c>
      <c r="F834" s="82" t="s">
        <v>621</v>
      </c>
      <c r="G834" s="82"/>
      <c r="H834" s="98" t="s">
        <v>1473</v>
      </c>
      <c r="I834" s="71" t="s">
        <v>148</v>
      </c>
      <c r="J834" s="51" t="s">
        <v>140</v>
      </c>
      <c r="K834" s="91">
        <v>0</v>
      </c>
      <c r="L834" s="91">
        <v>0</v>
      </c>
      <c r="M834" s="92">
        <v>90</v>
      </c>
      <c r="N834" s="94">
        <v>3400</v>
      </c>
      <c r="O834" s="253">
        <v>1</v>
      </c>
      <c r="P834" s="94">
        <f t="shared" si="131"/>
        <v>3400</v>
      </c>
      <c r="Q834" s="94"/>
      <c r="R834" s="92">
        <v>3400</v>
      </c>
      <c r="S834" s="92">
        <f t="shared" si="132"/>
        <v>0</v>
      </c>
      <c r="T834" s="254">
        <f t="shared" si="133"/>
        <v>960</v>
      </c>
      <c r="U834" s="91">
        <f t="shared" si="134"/>
        <v>0</v>
      </c>
      <c r="V834" s="91">
        <f t="shared" si="135"/>
        <v>0</v>
      </c>
      <c r="W834" s="101">
        <v>0</v>
      </c>
      <c r="X834" s="55">
        <f t="shared" si="136"/>
        <v>46153.865277777775</v>
      </c>
    </row>
    <row r="835" spans="1:24" hidden="1" x14ac:dyDescent="0.35">
      <c r="A835" s="46">
        <f t="shared" si="137"/>
        <v>46153.865277777775</v>
      </c>
      <c r="B835" s="46"/>
      <c r="C835" s="46"/>
      <c r="D835" s="46"/>
      <c r="E835" s="119" t="s">
        <v>249</v>
      </c>
      <c r="F835" s="82" t="s">
        <v>1474</v>
      </c>
      <c r="G835" s="82"/>
      <c r="H835" s="98" t="s">
        <v>1475</v>
      </c>
      <c r="I835" s="71" t="s">
        <v>1394</v>
      </c>
      <c r="J835" s="51" t="s">
        <v>140</v>
      </c>
      <c r="K835" s="91">
        <v>0</v>
      </c>
      <c r="L835" s="91">
        <v>0</v>
      </c>
      <c r="M835" s="92">
        <v>90</v>
      </c>
      <c r="N835" s="94">
        <v>500</v>
      </c>
      <c r="O835" s="253">
        <v>1</v>
      </c>
      <c r="P835" s="94">
        <f t="shared" si="131"/>
        <v>500</v>
      </c>
      <c r="Q835" s="94"/>
      <c r="R835" s="92">
        <v>500</v>
      </c>
      <c r="S835" s="92">
        <f t="shared" si="132"/>
        <v>0</v>
      </c>
      <c r="T835" s="254">
        <f t="shared" si="133"/>
        <v>960</v>
      </c>
      <c r="U835" s="91">
        <f t="shared" si="134"/>
        <v>0</v>
      </c>
      <c r="V835" s="91">
        <f t="shared" si="135"/>
        <v>0</v>
      </c>
      <c r="W835" s="101">
        <v>0</v>
      </c>
      <c r="X835" s="55">
        <f t="shared" si="136"/>
        <v>46153.865277777775</v>
      </c>
    </row>
    <row r="836" spans="1:24" hidden="1" x14ac:dyDescent="0.35">
      <c r="A836" s="46">
        <f t="shared" si="137"/>
        <v>46153.865277777775</v>
      </c>
      <c r="B836" s="46"/>
      <c r="C836" s="46"/>
      <c r="D836" s="46"/>
      <c r="E836" s="119" t="s">
        <v>249</v>
      </c>
      <c r="F836" s="82" t="s">
        <v>614</v>
      </c>
      <c r="G836" s="82"/>
      <c r="H836" s="98" t="s">
        <v>1476</v>
      </c>
      <c r="I836" s="71" t="s">
        <v>183</v>
      </c>
      <c r="J836" s="51" t="s">
        <v>140</v>
      </c>
      <c r="K836" s="91">
        <v>0</v>
      </c>
      <c r="L836" s="91">
        <v>0</v>
      </c>
      <c r="M836" s="92">
        <v>90</v>
      </c>
      <c r="N836" s="94">
        <v>200</v>
      </c>
      <c r="O836" s="253">
        <v>1</v>
      </c>
      <c r="P836" s="94">
        <f t="shared" si="131"/>
        <v>200</v>
      </c>
      <c r="Q836" s="94"/>
      <c r="R836" s="92">
        <v>200</v>
      </c>
      <c r="S836" s="92">
        <f t="shared" si="132"/>
        <v>0</v>
      </c>
      <c r="T836" s="254">
        <f t="shared" si="133"/>
        <v>960</v>
      </c>
      <c r="U836" s="91">
        <f t="shared" si="134"/>
        <v>0</v>
      </c>
      <c r="V836" s="91">
        <f t="shared" si="135"/>
        <v>0</v>
      </c>
      <c r="W836" s="101">
        <v>0</v>
      </c>
      <c r="X836" s="55">
        <f t="shared" si="136"/>
        <v>46153.865277777775</v>
      </c>
    </row>
    <row r="837" spans="1:24" hidden="1" x14ac:dyDescent="0.35">
      <c r="A837" s="46">
        <f t="shared" si="137"/>
        <v>46153.865277777775</v>
      </c>
      <c r="B837" s="46"/>
      <c r="C837" s="46"/>
      <c r="D837" s="46"/>
      <c r="E837" s="119" t="s">
        <v>249</v>
      </c>
      <c r="F837" s="82" t="s">
        <v>614</v>
      </c>
      <c r="G837" s="82"/>
      <c r="H837" s="98" t="s">
        <v>1477</v>
      </c>
      <c r="I837" s="71" t="s">
        <v>755</v>
      </c>
      <c r="J837" s="51" t="s">
        <v>140</v>
      </c>
      <c r="K837" s="91">
        <v>0</v>
      </c>
      <c r="L837" s="91">
        <v>0</v>
      </c>
      <c r="M837" s="92">
        <v>90</v>
      </c>
      <c r="N837" s="94">
        <v>100</v>
      </c>
      <c r="O837" s="253">
        <v>1</v>
      </c>
      <c r="P837" s="94">
        <f t="shared" si="131"/>
        <v>100</v>
      </c>
      <c r="Q837" s="94"/>
      <c r="R837" s="92">
        <v>100</v>
      </c>
      <c r="S837" s="92">
        <f t="shared" si="132"/>
        <v>0</v>
      </c>
      <c r="T837" s="254">
        <f t="shared" si="133"/>
        <v>960</v>
      </c>
      <c r="U837" s="91">
        <f t="shared" si="134"/>
        <v>0</v>
      </c>
      <c r="V837" s="91">
        <f t="shared" si="135"/>
        <v>0</v>
      </c>
      <c r="W837" s="101">
        <v>0</v>
      </c>
      <c r="X837" s="55">
        <f t="shared" si="136"/>
        <v>46153.865277777775</v>
      </c>
    </row>
    <row r="838" spans="1:24" hidden="1" x14ac:dyDescent="0.35">
      <c r="A838" s="46">
        <f t="shared" si="137"/>
        <v>46153.865277777775</v>
      </c>
      <c r="B838" s="46"/>
      <c r="C838" s="46"/>
      <c r="D838" s="46"/>
      <c r="E838" s="119" t="s">
        <v>249</v>
      </c>
      <c r="F838" s="82" t="s">
        <v>614</v>
      </c>
      <c r="G838" s="82"/>
      <c r="H838" s="98" t="s">
        <v>1478</v>
      </c>
      <c r="I838" s="71" t="s">
        <v>1479</v>
      </c>
      <c r="J838" s="51" t="s">
        <v>140</v>
      </c>
      <c r="K838" s="91">
        <v>0</v>
      </c>
      <c r="L838" s="91">
        <v>0</v>
      </c>
      <c r="M838" s="92">
        <v>90</v>
      </c>
      <c r="N838" s="94">
        <v>150</v>
      </c>
      <c r="O838" s="253">
        <v>1</v>
      </c>
      <c r="P838" s="94">
        <f t="shared" si="131"/>
        <v>150</v>
      </c>
      <c r="Q838" s="94"/>
      <c r="R838" s="92">
        <v>150</v>
      </c>
      <c r="S838" s="92">
        <f t="shared" si="132"/>
        <v>0</v>
      </c>
      <c r="T838" s="254">
        <f t="shared" si="133"/>
        <v>960</v>
      </c>
      <c r="U838" s="91">
        <f t="shared" si="134"/>
        <v>0</v>
      </c>
      <c r="V838" s="91">
        <f t="shared" si="135"/>
        <v>0</v>
      </c>
      <c r="W838" s="101">
        <v>0</v>
      </c>
      <c r="X838" s="55">
        <f t="shared" si="136"/>
        <v>46153.865277777775</v>
      </c>
    </row>
    <row r="839" spans="1:24" hidden="1" x14ac:dyDescent="0.35">
      <c r="A839" s="46">
        <f t="shared" si="137"/>
        <v>46153.865277777775</v>
      </c>
      <c r="B839" s="46"/>
      <c r="C839" s="46"/>
      <c r="D839" s="46"/>
      <c r="E839" s="119" t="s">
        <v>249</v>
      </c>
      <c r="F839" s="82" t="s">
        <v>1480</v>
      </c>
      <c r="G839" s="82"/>
      <c r="H839" s="98" t="s">
        <v>1481</v>
      </c>
      <c r="I839" s="71" t="s">
        <v>1482</v>
      </c>
      <c r="J839" s="51" t="s">
        <v>140</v>
      </c>
      <c r="K839" s="91">
        <v>0</v>
      </c>
      <c r="L839" s="91">
        <v>0</v>
      </c>
      <c r="M839" s="92">
        <v>90</v>
      </c>
      <c r="N839" s="94">
        <v>1500</v>
      </c>
      <c r="O839" s="253">
        <v>1</v>
      </c>
      <c r="P839" s="94">
        <f t="shared" si="131"/>
        <v>1500</v>
      </c>
      <c r="Q839" s="94"/>
      <c r="R839" s="92">
        <v>1500</v>
      </c>
      <c r="S839" s="92">
        <f t="shared" si="132"/>
        <v>0</v>
      </c>
      <c r="T839" s="254">
        <f t="shared" si="133"/>
        <v>960</v>
      </c>
      <c r="U839" s="91">
        <f t="shared" si="134"/>
        <v>0</v>
      </c>
      <c r="V839" s="91">
        <f t="shared" si="135"/>
        <v>0</v>
      </c>
      <c r="W839" s="101">
        <v>0</v>
      </c>
      <c r="X839" s="55">
        <f t="shared" si="136"/>
        <v>46153.865277777775</v>
      </c>
    </row>
    <row r="840" spans="1:24" hidden="1" x14ac:dyDescent="0.35">
      <c r="A840" s="46">
        <f t="shared" si="137"/>
        <v>46153.865277777775</v>
      </c>
      <c r="B840" s="46"/>
      <c r="C840" s="46"/>
      <c r="D840" s="46"/>
      <c r="E840" s="119" t="s">
        <v>249</v>
      </c>
      <c r="F840" s="82" t="s">
        <v>1483</v>
      </c>
      <c r="G840" s="82"/>
      <c r="H840" s="98" t="s">
        <v>1484</v>
      </c>
      <c r="I840" s="71" t="s">
        <v>1432</v>
      </c>
      <c r="J840" s="51" t="s">
        <v>140</v>
      </c>
      <c r="K840" s="91">
        <v>0</v>
      </c>
      <c r="L840" s="91">
        <v>0</v>
      </c>
      <c r="M840" s="92">
        <v>90</v>
      </c>
      <c r="N840" s="94">
        <v>1800</v>
      </c>
      <c r="O840" s="253">
        <v>1</v>
      </c>
      <c r="P840" s="94">
        <f t="shared" si="131"/>
        <v>1800</v>
      </c>
      <c r="Q840" s="94"/>
      <c r="R840" s="92">
        <v>1800</v>
      </c>
      <c r="S840" s="92">
        <f t="shared" si="132"/>
        <v>0</v>
      </c>
      <c r="T840" s="254">
        <f t="shared" si="133"/>
        <v>960</v>
      </c>
      <c r="U840" s="91">
        <f t="shared" si="134"/>
        <v>0</v>
      </c>
      <c r="V840" s="91">
        <f t="shared" si="135"/>
        <v>0</v>
      </c>
      <c r="W840" s="101">
        <v>0</v>
      </c>
      <c r="X840" s="55">
        <f t="shared" si="136"/>
        <v>46153.865277777775</v>
      </c>
    </row>
    <row r="841" spans="1:24" hidden="1" x14ac:dyDescent="0.35">
      <c r="A841" s="46">
        <f t="shared" si="137"/>
        <v>46153.865277777775</v>
      </c>
      <c r="B841" s="46"/>
      <c r="C841" s="46"/>
      <c r="D841" s="46"/>
      <c r="E841" s="119" t="s">
        <v>249</v>
      </c>
      <c r="F841" s="82" t="s">
        <v>614</v>
      </c>
      <c r="G841" s="82"/>
      <c r="H841" s="98" t="s">
        <v>1477</v>
      </c>
      <c r="I841" s="71" t="s">
        <v>755</v>
      </c>
      <c r="J841" s="51" t="s">
        <v>140</v>
      </c>
      <c r="K841" s="91">
        <v>0</v>
      </c>
      <c r="L841" s="91">
        <v>0</v>
      </c>
      <c r="M841" s="92">
        <v>90</v>
      </c>
      <c r="N841" s="94">
        <v>50</v>
      </c>
      <c r="O841" s="253">
        <v>1</v>
      </c>
      <c r="P841" s="94">
        <f t="shared" si="131"/>
        <v>50</v>
      </c>
      <c r="Q841" s="94"/>
      <c r="R841" s="92">
        <v>50</v>
      </c>
      <c r="S841" s="92">
        <f t="shared" si="132"/>
        <v>0</v>
      </c>
      <c r="T841" s="254">
        <f t="shared" si="133"/>
        <v>960</v>
      </c>
      <c r="U841" s="91">
        <f t="shared" si="134"/>
        <v>0</v>
      </c>
      <c r="V841" s="91">
        <f t="shared" si="135"/>
        <v>0</v>
      </c>
      <c r="W841" s="101">
        <v>0</v>
      </c>
      <c r="X841" s="55">
        <f t="shared" si="136"/>
        <v>46153.865277777775</v>
      </c>
    </row>
    <row r="842" spans="1:24" hidden="1" x14ac:dyDescent="0.35">
      <c r="A842" s="46">
        <f t="shared" si="137"/>
        <v>46153.865277777775</v>
      </c>
      <c r="B842" s="46"/>
      <c r="C842" s="46"/>
      <c r="D842" s="46"/>
      <c r="E842" s="119" t="s">
        <v>249</v>
      </c>
      <c r="F842" s="82" t="s">
        <v>1480</v>
      </c>
      <c r="G842" s="82"/>
      <c r="H842" s="98" t="s">
        <v>1485</v>
      </c>
      <c r="I842" s="71" t="s">
        <v>1394</v>
      </c>
      <c r="J842" s="51" t="s">
        <v>140</v>
      </c>
      <c r="K842" s="91">
        <v>0</v>
      </c>
      <c r="L842" s="91">
        <v>0</v>
      </c>
      <c r="M842" s="92">
        <v>90</v>
      </c>
      <c r="N842" s="94">
        <v>2000</v>
      </c>
      <c r="O842" s="253">
        <v>1</v>
      </c>
      <c r="P842" s="94">
        <f t="shared" si="131"/>
        <v>2000</v>
      </c>
      <c r="Q842" s="94"/>
      <c r="R842" s="92">
        <v>2000</v>
      </c>
      <c r="S842" s="92">
        <f t="shared" si="132"/>
        <v>0</v>
      </c>
      <c r="T842" s="254">
        <f t="shared" si="133"/>
        <v>960</v>
      </c>
      <c r="U842" s="91">
        <f t="shared" si="134"/>
        <v>0</v>
      </c>
      <c r="V842" s="91">
        <f t="shared" si="135"/>
        <v>0</v>
      </c>
      <c r="W842" s="101">
        <v>0</v>
      </c>
      <c r="X842" s="55">
        <f t="shared" si="136"/>
        <v>46153.865277777775</v>
      </c>
    </row>
    <row r="843" spans="1:24" hidden="1" x14ac:dyDescent="0.35">
      <c r="A843" s="46">
        <f t="shared" si="137"/>
        <v>46153.865277777775</v>
      </c>
      <c r="B843" s="46"/>
      <c r="C843" s="46"/>
      <c r="D843" s="46"/>
      <c r="E843" s="119" t="s">
        <v>249</v>
      </c>
      <c r="F843" s="82" t="s">
        <v>1486</v>
      </c>
      <c r="G843" s="82"/>
      <c r="H843" s="98" t="s">
        <v>1487</v>
      </c>
      <c r="I843" s="71" t="s">
        <v>1394</v>
      </c>
      <c r="J843" s="51" t="s">
        <v>140</v>
      </c>
      <c r="K843" s="91">
        <v>0</v>
      </c>
      <c r="L843" s="91">
        <v>0</v>
      </c>
      <c r="M843" s="92">
        <v>90</v>
      </c>
      <c r="N843" s="94">
        <v>3000</v>
      </c>
      <c r="O843" s="253">
        <v>1</v>
      </c>
      <c r="P843" s="94">
        <f t="shared" si="131"/>
        <v>3000</v>
      </c>
      <c r="Q843" s="94"/>
      <c r="R843" s="92">
        <v>3000</v>
      </c>
      <c r="S843" s="92">
        <f t="shared" si="132"/>
        <v>0</v>
      </c>
      <c r="T843" s="254">
        <f t="shared" si="133"/>
        <v>960</v>
      </c>
      <c r="U843" s="91">
        <f t="shared" si="134"/>
        <v>0</v>
      </c>
      <c r="V843" s="91">
        <f t="shared" si="135"/>
        <v>0</v>
      </c>
      <c r="W843" s="101">
        <v>0</v>
      </c>
      <c r="X843" s="55">
        <f t="shared" si="136"/>
        <v>46153.865277777775</v>
      </c>
    </row>
    <row r="844" spans="1:24" hidden="1" x14ac:dyDescent="0.35">
      <c r="A844" s="46">
        <f t="shared" si="137"/>
        <v>46153.865277777775</v>
      </c>
      <c r="B844" s="46"/>
      <c r="C844" s="46"/>
      <c r="D844" s="46"/>
      <c r="E844" s="119" t="s">
        <v>249</v>
      </c>
      <c r="F844" s="69" t="s">
        <v>1488</v>
      </c>
      <c r="G844" s="69"/>
      <c r="H844" s="98" t="s">
        <v>1489</v>
      </c>
      <c r="I844" s="71" t="s">
        <v>1394</v>
      </c>
      <c r="J844" s="51" t="s">
        <v>140</v>
      </c>
      <c r="K844" s="91">
        <v>0</v>
      </c>
      <c r="L844" s="91">
        <v>0</v>
      </c>
      <c r="M844" s="92">
        <v>90</v>
      </c>
      <c r="N844" s="94">
        <v>250</v>
      </c>
      <c r="O844" s="253">
        <v>1</v>
      </c>
      <c r="P844" s="94">
        <f t="shared" si="131"/>
        <v>250</v>
      </c>
      <c r="Q844" s="94"/>
      <c r="R844" s="92">
        <v>250</v>
      </c>
      <c r="S844" s="92">
        <f t="shared" si="132"/>
        <v>0</v>
      </c>
      <c r="T844" s="254">
        <f t="shared" si="133"/>
        <v>960</v>
      </c>
      <c r="U844" s="91">
        <f t="shared" si="134"/>
        <v>0</v>
      </c>
      <c r="V844" s="91">
        <f t="shared" si="135"/>
        <v>0</v>
      </c>
      <c r="W844" s="101">
        <v>0</v>
      </c>
      <c r="X844" s="55">
        <f t="shared" si="136"/>
        <v>46153.865277777775</v>
      </c>
    </row>
    <row r="845" spans="1:24" hidden="1" x14ac:dyDescent="0.35">
      <c r="A845" s="46">
        <f t="shared" si="137"/>
        <v>46153.865277777775</v>
      </c>
      <c r="B845" s="46"/>
      <c r="C845" s="46"/>
      <c r="D845" s="46"/>
      <c r="E845" s="119" t="s">
        <v>249</v>
      </c>
      <c r="F845" s="69" t="s">
        <v>1490</v>
      </c>
      <c r="G845" s="69"/>
      <c r="H845" s="98" t="s">
        <v>1491</v>
      </c>
      <c r="I845" s="71" t="s">
        <v>1492</v>
      </c>
      <c r="J845" s="51" t="s">
        <v>140</v>
      </c>
      <c r="K845" s="91">
        <v>0</v>
      </c>
      <c r="L845" s="91">
        <v>0</v>
      </c>
      <c r="M845" s="92">
        <v>90</v>
      </c>
      <c r="N845" s="94">
        <v>100</v>
      </c>
      <c r="O845" s="253">
        <v>1</v>
      </c>
      <c r="P845" s="94">
        <f t="shared" si="131"/>
        <v>100</v>
      </c>
      <c r="Q845" s="94"/>
      <c r="R845" s="92">
        <v>100</v>
      </c>
      <c r="S845" s="92">
        <f t="shared" si="132"/>
        <v>0</v>
      </c>
      <c r="T845" s="254">
        <f t="shared" si="133"/>
        <v>960</v>
      </c>
      <c r="U845" s="91">
        <f t="shared" si="134"/>
        <v>0</v>
      </c>
      <c r="V845" s="91">
        <f t="shared" si="135"/>
        <v>0</v>
      </c>
      <c r="W845" s="101">
        <v>0</v>
      </c>
      <c r="X845" s="55">
        <f t="shared" si="136"/>
        <v>46153.865277777775</v>
      </c>
    </row>
    <row r="846" spans="1:24" hidden="1" x14ac:dyDescent="0.35">
      <c r="A846" s="46">
        <f t="shared" si="137"/>
        <v>46153.865277777775</v>
      </c>
      <c r="B846" s="46"/>
      <c r="C846" s="46"/>
      <c r="D846" s="46"/>
      <c r="E846" s="119" t="s">
        <v>249</v>
      </c>
      <c r="F846" s="69" t="s">
        <v>1490</v>
      </c>
      <c r="G846" s="69"/>
      <c r="H846" s="98" t="s">
        <v>1493</v>
      </c>
      <c r="I846" s="71" t="s">
        <v>183</v>
      </c>
      <c r="J846" s="51" t="s">
        <v>140</v>
      </c>
      <c r="K846" s="91">
        <v>0</v>
      </c>
      <c r="L846" s="91">
        <v>0</v>
      </c>
      <c r="M846" s="92">
        <v>90</v>
      </c>
      <c r="N846" s="94">
        <v>100</v>
      </c>
      <c r="O846" s="253">
        <v>1</v>
      </c>
      <c r="P846" s="94">
        <f t="shared" si="131"/>
        <v>100</v>
      </c>
      <c r="Q846" s="94"/>
      <c r="R846" s="92">
        <v>100</v>
      </c>
      <c r="S846" s="92">
        <f t="shared" si="132"/>
        <v>0</v>
      </c>
      <c r="T846" s="254">
        <f t="shared" si="133"/>
        <v>960</v>
      </c>
      <c r="U846" s="91">
        <f t="shared" si="134"/>
        <v>0</v>
      </c>
      <c r="V846" s="91">
        <f t="shared" si="135"/>
        <v>0</v>
      </c>
      <c r="W846" s="101">
        <v>0</v>
      </c>
      <c r="X846" s="55">
        <f t="shared" si="136"/>
        <v>46153.865277777775</v>
      </c>
    </row>
    <row r="847" spans="1:24" hidden="1" x14ac:dyDescent="0.35">
      <c r="A847" s="46">
        <f t="shared" si="137"/>
        <v>46153.865277777775</v>
      </c>
      <c r="B847" s="46"/>
      <c r="C847" s="46"/>
      <c r="D847" s="46"/>
      <c r="E847" s="119" t="s">
        <v>249</v>
      </c>
      <c r="F847" s="69" t="s">
        <v>1490</v>
      </c>
      <c r="G847" s="69"/>
      <c r="H847" s="98" t="s">
        <v>1494</v>
      </c>
      <c r="I847" s="71" t="s">
        <v>1479</v>
      </c>
      <c r="J847" s="51" t="s">
        <v>140</v>
      </c>
      <c r="K847" s="91">
        <v>0</v>
      </c>
      <c r="L847" s="91">
        <v>0</v>
      </c>
      <c r="M847" s="92">
        <v>90</v>
      </c>
      <c r="N847" s="94">
        <v>100</v>
      </c>
      <c r="O847" s="253">
        <v>1</v>
      </c>
      <c r="P847" s="94">
        <f t="shared" si="131"/>
        <v>100</v>
      </c>
      <c r="Q847" s="94"/>
      <c r="R847" s="92">
        <v>100</v>
      </c>
      <c r="S847" s="92">
        <f t="shared" si="132"/>
        <v>0</v>
      </c>
      <c r="T847" s="254">
        <f t="shared" si="133"/>
        <v>960</v>
      </c>
      <c r="U847" s="91">
        <f t="shared" si="134"/>
        <v>0</v>
      </c>
      <c r="V847" s="91">
        <f t="shared" si="135"/>
        <v>0</v>
      </c>
      <c r="W847" s="101">
        <v>0</v>
      </c>
      <c r="X847" s="55">
        <f t="shared" si="136"/>
        <v>46153.865277777775</v>
      </c>
    </row>
    <row r="848" spans="1:24" hidden="1" x14ac:dyDescent="0.35">
      <c r="A848" s="46">
        <f t="shared" si="137"/>
        <v>46153.865277777775</v>
      </c>
      <c r="B848" s="46"/>
      <c r="C848" s="46"/>
      <c r="D848" s="46"/>
      <c r="E848" s="119" t="s">
        <v>249</v>
      </c>
      <c r="F848" s="69" t="s">
        <v>1490</v>
      </c>
      <c r="G848" s="69"/>
      <c r="H848" s="98" t="s">
        <v>1495</v>
      </c>
      <c r="I848" s="71" t="s">
        <v>148</v>
      </c>
      <c r="J848" s="51" t="s">
        <v>140</v>
      </c>
      <c r="K848" s="91">
        <v>0</v>
      </c>
      <c r="L848" s="91">
        <v>0</v>
      </c>
      <c r="M848" s="92">
        <v>90</v>
      </c>
      <c r="N848" s="94">
        <v>400</v>
      </c>
      <c r="O848" s="253">
        <v>1</v>
      </c>
      <c r="P848" s="94">
        <f t="shared" si="131"/>
        <v>400</v>
      </c>
      <c r="Q848" s="94"/>
      <c r="R848" s="92">
        <v>400</v>
      </c>
      <c r="S848" s="92">
        <f t="shared" si="132"/>
        <v>0</v>
      </c>
      <c r="T848" s="254">
        <f t="shared" si="133"/>
        <v>960</v>
      </c>
      <c r="U848" s="91">
        <f t="shared" si="134"/>
        <v>0</v>
      </c>
      <c r="V848" s="91">
        <f t="shared" si="135"/>
        <v>0</v>
      </c>
      <c r="W848" s="101">
        <v>0</v>
      </c>
      <c r="X848" s="55">
        <f t="shared" si="136"/>
        <v>46153.865277777775</v>
      </c>
    </row>
    <row r="849" spans="1:24" hidden="1" x14ac:dyDescent="0.35">
      <c r="A849" s="46">
        <f t="shared" si="137"/>
        <v>46153.865277777775</v>
      </c>
      <c r="B849" s="46"/>
      <c r="C849" s="46"/>
      <c r="D849" s="46"/>
      <c r="E849" s="119" t="s">
        <v>249</v>
      </c>
      <c r="F849" s="69" t="s">
        <v>1496</v>
      </c>
      <c r="G849" s="69"/>
      <c r="H849" s="98" t="s">
        <v>1497</v>
      </c>
      <c r="I849" s="71" t="s">
        <v>145</v>
      </c>
      <c r="J849" s="51" t="s">
        <v>140</v>
      </c>
      <c r="K849" s="91">
        <v>0</v>
      </c>
      <c r="L849" s="91">
        <v>0</v>
      </c>
      <c r="M849" s="92">
        <v>90</v>
      </c>
      <c r="N849" s="94">
        <v>100</v>
      </c>
      <c r="O849" s="253">
        <v>1</v>
      </c>
      <c r="P849" s="94">
        <f t="shared" si="131"/>
        <v>100</v>
      </c>
      <c r="Q849" s="94"/>
      <c r="R849" s="92">
        <v>100</v>
      </c>
      <c r="S849" s="92">
        <f t="shared" si="132"/>
        <v>0</v>
      </c>
      <c r="T849" s="254">
        <f t="shared" si="133"/>
        <v>960</v>
      </c>
      <c r="U849" s="91">
        <f t="shared" si="134"/>
        <v>0</v>
      </c>
      <c r="V849" s="91">
        <f t="shared" si="135"/>
        <v>0</v>
      </c>
      <c r="W849" s="101">
        <v>0</v>
      </c>
      <c r="X849" s="55">
        <f t="shared" si="136"/>
        <v>46153.865277777775</v>
      </c>
    </row>
    <row r="850" spans="1:24" hidden="1" x14ac:dyDescent="0.35">
      <c r="A850" s="46">
        <f t="shared" si="137"/>
        <v>46153.865277777775</v>
      </c>
      <c r="B850" s="46"/>
      <c r="C850" s="46"/>
      <c r="D850" s="46"/>
      <c r="E850" s="119" t="s">
        <v>249</v>
      </c>
      <c r="F850" s="69" t="s">
        <v>1498</v>
      </c>
      <c r="G850" s="69"/>
      <c r="H850" s="98" t="s">
        <v>1499</v>
      </c>
      <c r="I850" s="71" t="s">
        <v>1500</v>
      </c>
      <c r="J850" s="51" t="s">
        <v>140</v>
      </c>
      <c r="K850" s="91">
        <v>0</v>
      </c>
      <c r="L850" s="91">
        <v>0</v>
      </c>
      <c r="M850" s="92">
        <v>90</v>
      </c>
      <c r="N850" s="94">
        <v>1580</v>
      </c>
      <c r="O850" s="253">
        <v>1</v>
      </c>
      <c r="P850" s="94">
        <f t="shared" si="131"/>
        <v>1580</v>
      </c>
      <c r="Q850" s="94"/>
      <c r="R850" s="92">
        <v>1580</v>
      </c>
      <c r="S850" s="92">
        <f t="shared" si="132"/>
        <v>0</v>
      </c>
      <c r="T850" s="254">
        <f t="shared" si="133"/>
        <v>960</v>
      </c>
      <c r="U850" s="91">
        <f t="shared" si="134"/>
        <v>0</v>
      </c>
      <c r="V850" s="91">
        <f t="shared" si="135"/>
        <v>0</v>
      </c>
      <c r="W850" s="101">
        <v>0</v>
      </c>
      <c r="X850" s="55">
        <f t="shared" si="136"/>
        <v>46153.865277777775</v>
      </c>
    </row>
    <row r="851" spans="1:24" hidden="1" x14ac:dyDescent="0.35">
      <c r="A851" s="46">
        <f t="shared" si="137"/>
        <v>46153.865277777775</v>
      </c>
      <c r="B851" s="46"/>
      <c r="C851" s="46"/>
      <c r="D851" s="46"/>
      <c r="E851" s="119" t="s">
        <v>249</v>
      </c>
      <c r="F851" s="69" t="s">
        <v>1501</v>
      </c>
      <c r="G851" s="69"/>
      <c r="H851" s="98" t="s">
        <v>1502</v>
      </c>
      <c r="I851" s="71" t="s">
        <v>1426</v>
      </c>
      <c r="J851" s="51" t="s">
        <v>140</v>
      </c>
      <c r="K851" s="91">
        <v>0</v>
      </c>
      <c r="L851" s="91">
        <v>0</v>
      </c>
      <c r="M851" s="92">
        <v>90</v>
      </c>
      <c r="N851" s="94">
        <v>500</v>
      </c>
      <c r="O851" s="253">
        <v>1</v>
      </c>
      <c r="P851" s="94">
        <f t="shared" si="131"/>
        <v>500</v>
      </c>
      <c r="Q851" s="94"/>
      <c r="R851" s="92">
        <v>500</v>
      </c>
      <c r="S851" s="92">
        <f t="shared" si="132"/>
        <v>0</v>
      </c>
      <c r="T851" s="254">
        <f t="shared" si="133"/>
        <v>960</v>
      </c>
      <c r="U851" s="91">
        <f t="shared" si="134"/>
        <v>0</v>
      </c>
      <c r="V851" s="91">
        <f t="shared" si="135"/>
        <v>0</v>
      </c>
      <c r="W851" s="101">
        <v>0</v>
      </c>
      <c r="X851" s="55">
        <f t="shared" si="136"/>
        <v>46153.865277777775</v>
      </c>
    </row>
    <row r="852" spans="1:24" hidden="1" x14ac:dyDescent="0.35">
      <c r="A852" s="46">
        <f t="shared" si="137"/>
        <v>46153.865277777775</v>
      </c>
      <c r="B852" s="46"/>
      <c r="C852" s="46"/>
      <c r="D852" s="46"/>
      <c r="E852" s="119" t="s">
        <v>249</v>
      </c>
      <c r="F852" s="69" t="s">
        <v>1501</v>
      </c>
      <c r="G852" s="69"/>
      <c r="H852" s="98" t="s">
        <v>1503</v>
      </c>
      <c r="I852" s="71" t="s">
        <v>183</v>
      </c>
      <c r="J852" s="51" t="s">
        <v>140</v>
      </c>
      <c r="K852" s="91">
        <v>0</v>
      </c>
      <c r="L852" s="91">
        <v>0</v>
      </c>
      <c r="M852" s="92">
        <v>90</v>
      </c>
      <c r="N852" s="94">
        <v>500</v>
      </c>
      <c r="O852" s="253">
        <v>1</v>
      </c>
      <c r="P852" s="94">
        <f t="shared" si="131"/>
        <v>500</v>
      </c>
      <c r="Q852" s="94"/>
      <c r="R852" s="92">
        <v>500</v>
      </c>
      <c r="S852" s="92">
        <f t="shared" si="132"/>
        <v>0</v>
      </c>
      <c r="T852" s="254">
        <f t="shared" si="133"/>
        <v>960</v>
      </c>
      <c r="U852" s="91">
        <f t="shared" si="134"/>
        <v>0</v>
      </c>
      <c r="V852" s="91">
        <f t="shared" si="135"/>
        <v>0</v>
      </c>
      <c r="W852" s="101">
        <v>0</v>
      </c>
      <c r="X852" s="55">
        <f t="shared" si="136"/>
        <v>46153.865277777775</v>
      </c>
    </row>
    <row r="853" spans="1:24" hidden="1" x14ac:dyDescent="0.35">
      <c r="A853" s="46">
        <f t="shared" si="137"/>
        <v>46153.865277777775</v>
      </c>
      <c r="B853" s="46"/>
      <c r="C853" s="46"/>
      <c r="D853" s="46"/>
      <c r="E853" s="119" t="s">
        <v>249</v>
      </c>
      <c r="F853" s="69" t="s">
        <v>1501</v>
      </c>
      <c r="G853" s="69"/>
      <c r="H853" s="98" t="s">
        <v>1504</v>
      </c>
      <c r="I853" s="71" t="s">
        <v>1479</v>
      </c>
      <c r="J853" s="51" t="s">
        <v>140</v>
      </c>
      <c r="K853" s="91">
        <v>0</v>
      </c>
      <c r="L853" s="91">
        <v>0</v>
      </c>
      <c r="M853" s="92">
        <v>90</v>
      </c>
      <c r="N853" s="94">
        <v>500</v>
      </c>
      <c r="O853" s="253">
        <v>1</v>
      </c>
      <c r="P853" s="94">
        <f t="shared" si="131"/>
        <v>500</v>
      </c>
      <c r="Q853" s="94"/>
      <c r="R853" s="92">
        <v>500</v>
      </c>
      <c r="S853" s="92">
        <f t="shared" si="132"/>
        <v>0</v>
      </c>
      <c r="T853" s="254">
        <f t="shared" si="133"/>
        <v>960</v>
      </c>
      <c r="U853" s="91">
        <f t="shared" si="134"/>
        <v>0</v>
      </c>
      <c r="V853" s="91">
        <f t="shared" si="135"/>
        <v>0</v>
      </c>
      <c r="W853" s="101">
        <v>0</v>
      </c>
      <c r="X853" s="55">
        <f t="shared" si="136"/>
        <v>46153.865277777775</v>
      </c>
    </row>
    <row r="854" spans="1:24" hidden="1" x14ac:dyDescent="0.35">
      <c r="A854" s="46">
        <f t="shared" si="137"/>
        <v>46153.865277777775</v>
      </c>
      <c r="B854" s="46"/>
      <c r="C854" s="46"/>
      <c r="D854" s="46"/>
      <c r="E854" s="119" t="s">
        <v>249</v>
      </c>
      <c r="F854" s="69" t="s">
        <v>1496</v>
      </c>
      <c r="G854" s="69"/>
      <c r="H854" s="98" t="s">
        <v>1497</v>
      </c>
      <c r="I854" s="71" t="s">
        <v>145</v>
      </c>
      <c r="J854" s="51" t="s">
        <v>140</v>
      </c>
      <c r="K854" s="91">
        <v>0</v>
      </c>
      <c r="L854" s="91">
        <v>0</v>
      </c>
      <c r="M854" s="92">
        <v>90</v>
      </c>
      <c r="N854" s="94">
        <v>200</v>
      </c>
      <c r="O854" s="253">
        <v>1</v>
      </c>
      <c r="P854" s="94">
        <f t="shared" si="131"/>
        <v>200</v>
      </c>
      <c r="Q854" s="94"/>
      <c r="R854" s="92">
        <v>200</v>
      </c>
      <c r="S854" s="92">
        <f t="shared" si="132"/>
        <v>0</v>
      </c>
      <c r="T854" s="254">
        <f t="shared" si="133"/>
        <v>960</v>
      </c>
      <c r="U854" s="91">
        <f t="shared" si="134"/>
        <v>0</v>
      </c>
      <c r="V854" s="91">
        <f t="shared" si="135"/>
        <v>0</v>
      </c>
      <c r="W854" s="101">
        <v>0</v>
      </c>
      <c r="X854" s="55">
        <f t="shared" si="136"/>
        <v>46153.865277777775</v>
      </c>
    </row>
    <row r="855" spans="1:24" ht="29" hidden="1" x14ac:dyDescent="0.35">
      <c r="A855" s="46">
        <f t="shared" si="137"/>
        <v>46153.865277777775</v>
      </c>
      <c r="B855" s="46"/>
      <c r="C855" s="46"/>
      <c r="D855" s="46"/>
      <c r="E855" s="74" t="s">
        <v>249</v>
      </c>
      <c r="F855" s="75" t="s">
        <v>610</v>
      </c>
      <c r="G855" s="75"/>
      <c r="H855" s="76" t="s">
        <v>1505</v>
      </c>
      <c r="I855" s="77" t="s">
        <v>1414</v>
      </c>
      <c r="J855" s="60" t="s">
        <v>140</v>
      </c>
      <c r="K855" s="110">
        <v>0</v>
      </c>
      <c r="L855" s="110">
        <v>0</v>
      </c>
      <c r="M855" s="427">
        <v>120</v>
      </c>
      <c r="N855" s="428">
        <v>2000</v>
      </c>
      <c r="O855" s="429">
        <v>1</v>
      </c>
      <c r="P855" s="428">
        <f t="shared" si="131"/>
        <v>2000</v>
      </c>
      <c r="Q855" s="428"/>
      <c r="R855" s="427">
        <v>2000</v>
      </c>
      <c r="S855" s="92">
        <f t="shared" si="132"/>
        <v>0</v>
      </c>
      <c r="T855" s="430">
        <f t="shared" si="133"/>
        <v>720</v>
      </c>
      <c r="U855" s="110">
        <f t="shared" si="134"/>
        <v>0</v>
      </c>
      <c r="V855" s="110">
        <f t="shared" si="135"/>
        <v>0</v>
      </c>
      <c r="W855" s="110">
        <v>0</v>
      </c>
      <c r="X855" s="55">
        <f t="shared" si="136"/>
        <v>46153.865277777775</v>
      </c>
    </row>
    <row r="856" spans="1:24" hidden="1" x14ac:dyDescent="0.35">
      <c r="A856" s="46">
        <f t="shared" si="137"/>
        <v>46153.865277777775</v>
      </c>
      <c r="B856" s="46"/>
      <c r="C856" s="46"/>
      <c r="D856" s="46"/>
      <c r="E856" s="74" t="s">
        <v>249</v>
      </c>
      <c r="F856" s="82" t="s">
        <v>1166</v>
      </c>
      <c r="G856" s="82"/>
      <c r="H856" s="98" t="s">
        <v>1506</v>
      </c>
      <c r="I856" s="82" t="s">
        <v>944</v>
      </c>
      <c r="J856" s="100" t="s">
        <v>140</v>
      </c>
      <c r="K856" s="101">
        <v>0</v>
      </c>
      <c r="L856" s="101">
        <v>0</v>
      </c>
      <c r="M856" s="102">
        <v>100</v>
      </c>
      <c r="N856" s="103">
        <v>500</v>
      </c>
      <c r="O856" s="171">
        <v>1</v>
      </c>
      <c r="P856" s="103">
        <f t="shared" si="131"/>
        <v>500</v>
      </c>
      <c r="Q856" s="103"/>
      <c r="R856" s="102">
        <v>500</v>
      </c>
      <c r="S856" s="102">
        <f t="shared" si="132"/>
        <v>0</v>
      </c>
      <c r="T856" s="173">
        <f t="shared" si="133"/>
        <v>864</v>
      </c>
      <c r="U856" s="101">
        <f t="shared" si="134"/>
        <v>0</v>
      </c>
      <c r="V856" s="101">
        <f t="shared" si="135"/>
        <v>0</v>
      </c>
      <c r="W856" s="101">
        <v>0</v>
      </c>
      <c r="X856" s="55">
        <f t="shared" si="136"/>
        <v>46153.865277777775</v>
      </c>
    </row>
    <row r="857" spans="1:24" s="118" customFormat="1" hidden="1" x14ac:dyDescent="0.35">
      <c r="A857" s="46">
        <f t="shared" si="137"/>
        <v>46153.865277777775</v>
      </c>
      <c r="B857" s="46"/>
      <c r="C857" s="46"/>
      <c r="D857" s="46"/>
      <c r="E857" s="119" t="s">
        <v>249</v>
      </c>
      <c r="F857" s="82" t="s">
        <v>1507</v>
      </c>
      <c r="G857" s="82"/>
      <c r="H857" s="98" t="s">
        <v>1508</v>
      </c>
      <c r="I857" s="82" t="s">
        <v>1509</v>
      </c>
      <c r="J857" s="100" t="s">
        <v>140</v>
      </c>
      <c r="K857" s="101">
        <v>0</v>
      </c>
      <c r="L857" s="101">
        <v>0</v>
      </c>
      <c r="M857" s="102">
        <v>60</v>
      </c>
      <c r="N857" s="103">
        <v>5000</v>
      </c>
      <c r="O857" s="171">
        <v>1</v>
      </c>
      <c r="P857" s="103">
        <f t="shared" si="131"/>
        <v>5000</v>
      </c>
      <c r="Q857" s="103"/>
      <c r="R857" s="102">
        <v>5000</v>
      </c>
      <c r="S857" s="102">
        <f t="shared" si="132"/>
        <v>0</v>
      </c>
      <c r="T857" s="173">
        <f t="shared" si="133"/>
        <v>1440</v>
      </c>
      <c r="U857" s="101">
        <f t="shared" si="134"/>
        <v>0</v>
      </c>
      <c r="V857" s="101">
        <f t="shared" si="135"/>
        <v>0</v>
      </c>
      <c r="W857" s="101">
        <v>0</v>
      </c>
      <c r="X857" s="55">
        <f t="shared" si="136"/>
        <v>46153.865277777775</v>
      </c>
    </row>
    <row r="858" spans="1:24" s="118" customFormat="1" hidden="1" x14ac:dyDescent="0.35">
      <c r="A858" s="46">
        <f t="shared" si="137"/>
        <v>46153.865277777775</v>
      </c>
      <c r="B858" s="46"/>
      <c r="C858" s="46"/>
      <c r="D858" s="46"/>
      <c r="E858" s="119" t="s">
        <v>249</v>
      </c>
      <c r="F858" s="82" t="s">
        <v>1507</v>
      </c>
      <c r="G858" s="82"/>
      <c r="H858" s="98" t="s">
        <v>1510</v>
      </c>
      <c r="I858" s="82" t="s">
        <v>1509</v>
      </c>
      <c r="J858" s="100" t="s">
        <v>140</v>
      </c>
      <c r="K858" s="101">
        <v>0</v>
      </c>
      <c r="L858" s="101">
        <v>0</v>
      </c>
      <c r="M858" s="102">
        <v>60</v>
      </c>
      <c r="N858" s="103">
        <v>1765</v>
      </c>
      <c r="O858" s="171">
        <v>1</v>
      </c>
      <c r="P858" s="103">
        <f t="shared" si="131"/>
        <v>1765</v>
      </c>
      <c r="Q858" s="103"/>
      <c r="R858" s="102">
        <v>1765</v>
      </c>
      <c r="S858" s="102">
        <f t="shared" si="132"/>
        <v>0</v>
      </c>
      <c r="T858" s="173">
        <f t="shared" si="133"/>
        <v>1440</v>
      </c>
      <c r="U858" s="101">
        <f t="shared" si="134"/>
        <v>0</v>
      </c>
      <c r="V858" s="101">
        <f t="shared" si="135"/>
        <v>0</v>
      </c>
      <c r="W858" s="101">
        <v>0</v>
      </c>
      <c r="X858" s="55">
        <f t="shared" si="136"/>
        <v>46153.865277777775</v>
      </c>
    </row>
    <row r="859" spans="1:24" ht="26" hidden="1" x14ac:dyDescent="0.35">
      <c r="A859" s="46">
        <f t="shared" si="137"/>
        <v>46153.865277777775</v>
      </c>
      <c r="B859" s="431"/>
      <c r="C859" s="431"/>
      <c r="D859" s="431"/>
      <c r="E859" s="432" t="s">
        <v>249</v>
      </c>
      <c r="F859" s="433" t="s">
        <v>1511</v>
      </c>
      <c r="G859" s="433"/>
      <c r="H859" s="434" t="s">
        <v>1512</v>
      </c>
      <c r="I859" s="435" t="s">
        <v>1470</v>
      </c>
      <c r="J859" s="436" t="s">
        <v>140</v>
      </c>
      <c r="K859" s="437">
        <v>0</v>
      </c>
      <c r="L859" s="437">
        <v>0</v>
      </c>
      <c r="M859" s="438">
        <v>80</v>
      </c>
      <c r="N859" s="439">
        <v>2000</v>
      </c>
      <c r="O859" s="440">
        <v>1</v>
      </c>
      <c r="P859" s="94">
        <f t="shared" si="131"/>
        <v>2000</v>
      </c>
      <c r="Q859" s="439"/>
      <c r="R859" s="438">
        <v>2000</v>
      </c>
      <c r="S859" s="92">
        <f t="shared" si="132"/>
        <v>0</v>
      </c>
      <c r="T859" s="441">
        <f t="shared" si="133"/>
        <v>1080</v>
      </c>
      <c r="U859" s="437">
        <f t="shared" si="134"/>
        <v>0</v>
      </c>
      <c r="V859" s="437">
        <f t="shared" si="135"/>
        <v>0</v>
      </c>
      <c r="W859" s="437">
        <v>0</v>
      </c>
      <c r="X859" s="55">
        <f t="shared" si="136"/>
        <v>46153.865277777775</v>
      </c>
    </row>
    <row r="860" spans="1:24" hidden="1" x14ac:dyDescent="0.35">
      <c r="A860" s="46">
        <f t="shared" si="137"/>
        <v>46153.865277777775</v>
      </c>
      <c r="B860" s="46"/>
      <c r="C860" s="46"/>
      <c r="D860" s="46"/>
      <c r="E860" s="47" t="s">
        <v>249</v>
      </c>
      <c r="F860" s="97" t="s">
        <v>1513</v>
      </c>
      <c r="G860" s="97"/>
      <c r="H860" s="98" t="s">
        <v>1514</v>
      </c>
      <c r="I860" s="417" t="s">
        <v>282</v>
      </c>
      <c r="J860" s="51" t="s">
        <v>283</v>
      </c>
      <c r="K860" s="91">
        <v>0</v>
      </c>
      <c r="L860" s="91">
        <v>0</v>
      </c>
      <c r="M860" s="92">
        <v>67</v>
      </c>
      <c r="N860" s="94">
        <v>1080</v>
      </c>
      <c r="O860" s="253">
        <v>2</v>
      </c>
      <c r="P860" s="94">
        <f t="shared" ref="P860:P923" si="138">N860/O860</f>
        <v>540</v>
      </c>
      <c r="Q860" s="94"/>
      <c r="R860" s="92">
        <v>540</v>
      </c>
      <c r="S860" s="92">
        <f t="shared" si="132"/>
        <v>0</v>
      </c>
      <c r="T860" s="254">
        <f t="shared" si="133"/>
        <v>2579.1044776119406</v>
      </c>
      <c r="U860" s="91">
        <f t="shared" si="134"/>
        <v>0</v>
      </c>
      <c r="V860" s="91">
        <f t="shared" si="135"/>
        <v>0</v>
      </c>
      <c r="W860" s="91">
        <v>0</v>
      </c>
      <c r="X860" s="55">
        <f t="shared" si="136"/>
        <v>46153.865277777775</v>
      </c>
    </row>
    <row r="861" spans="1:24" hidden="1" x14ac:dyDescent="0.35">
      <c r="A861" s="46">
        <f t="shared" si="137"/>
        <v>46153.865277777775</v>
      </c>
      <c r="B861" s="46"/>
      <c r="C861" s="46"/>
      <c r="D861" s="46"/>
      <c r="E861" s="47" t="s">
        <v>249</v>
      </c>
      <c r="F861" s="97" t="s">
        <v>1515</v>
      </c>
      <c r="G861" s="97"/>
      <c r="H861" s="98" t="s">
        <v>1516</v>
      </c>
      <c r="I861" s="417" t="s">
        <v>282</v>
      </c>
      <c r="J861" s="51" t="s">
        <v>283</v>
      </c>
      <c r="K861" s="91">
        <v>0</v>
      </c>
      <c r="L861" s="91">
        <v>0</v>
      </c>
      <c r="M861" s="92">
        <v>67</v>
      </c>
      <c r="N861" s="94">
        <v>1080</v>
      </c>
      <c r="O861" s="253">
        <v>2</v>
      </c>
      <c r="P861" s="94">
        <f t="shared" si="138"/>
        <v>540</v>
      </c>
      <c r="Q861" s="94"/>
      <c r="R861" s="92">
        <v>540</v>
      </c>
      <c r="S861" s="92">
        <f t="shared" si="132"/>
        <v>0</v>
      </c>
      <c r="T861" s="254">
        <f t="shared" si="133"/>
        <v>2579.1044776119406</v>
      </c>
      <c r="U861" s="91">
        <f t="shared" si="134"/>
        <v>0</v>
      </c>
      <c r="V861" s="91">
        <f t="shared" si="135"/>
        <v>0</v>
      </c>
      <c r="W861" s="91">
        <v>0</v>
      </c>
      <c r="X861" s="55">
        <f t="shared" si="136"/>
        <v>46153.865277777775</v>
      </c>
    </row>
    <row r="862" spans="1:24" ht="26.5" hidden="1" x14ac:dyDescent="0.35">
      <c r="A862" s="46">
        <f t="shared" si="137"/>
        <v>46153.865277777775</v>
      </c>
      <c r="B862" s="46"/>
      <c r="C862" s="46"/>
      <c r="D862" s="46"/>
      <c r="E862" s="47" t="s">
        <v>249</v>
      </c>
      <c r="F862" s="82" t="s">
        <v>1517</v>
      </c>
      <c r="G862" s="82"/>
      <c r="H862" s="107" t="s">
        <v>1518</v>
      </c>
      <c r="I862" s="82" t="s">
        <v>198</v>
      </c>
      <c r="J862" s="100" t="s">
        <v>140</v>
      </c>
      <c r="K862" s="91">
        <v>0</v>
      </c>
      <c r="L862" s="91">
        <v>0</v>
      </c>
      <c r="M862" s="92">
        <v>190</v>
      </c>
      <c r="N862" s="94">
        <v>2500</v>
      </c>
      <c r="O862" s="253">
        <v>1</v>
      </c>
      <c r="P862" s="94">
        <f t="shared" si="138"/>
        <v>2500</v>
      </c>
      <c r="Q862" s="94"/>
      <c r="R862" s="92">
        <v>2500</v>
      </c>
      <c r="S862" s="92">
        <f t="shared" si="132"/>
        <v>0</v>
      </c>
      <c r="T862" s="173">
        <f t="shared" si="133"/>
        <v>454.73684210526312</v>
      </c>
      <c r="U862" s="101">
        <f t="shared" si="134"/>
        <v>0</v>
      </c>
      <c r="V862" s="101">
        <f t="shared" si="135"/>
        <v>0</v>
      </c>
      <c r="W862" s="110">
        <v>0</v>
      </c>
      <c r="X862" s="55">
        <f t="shared" si="136"/>
        <v>46153.865277777775</v>
      </c>
    </row>
    <row r="863" spans="1:24" hidden="1" x14ac:dyDescent="0.35">
      <c r="A863" s="46">
        <f t="shared" si="137"/>
        <v>46153.865277777775</v>
      </c>
      <c r="B863" s="46"/>
      <c r="C863" s="46"/>
      <c r="D863" s="46"/>
      <c r="E863" s="119" t="s">
        <v>249</v>
      </c>
      <c r="F863" s="82" t="s">
        <v>1354</v>
      </c>
      <c r="G863" s="82"/>
      <c r="H863" s="49" t="s">
        <v>1519</v>
      </c>
      <c r="I863" s="82" t="s">
        <v>1187</v>
      </c>
      <c r="J863" s="51" t="s">
        <v>140</v>
      </c>
      <c r="K863" s="52">
        <v>0</v>
      </c>
      <c r="L863" s="52">
        <v>0</v>
      </c>
      <c r="M863" s="53">
        <v>120</v>
      </c>
      <c r="N863" s="54">
        <v>5760</v>
      </c>
      <c r="O863" s="341">
        <v>4</v>
      </c>
      <c r="P863" s="54">
        <f t="shared" si="138"/>
        <v>1440</v>
      </c>
      <c r="Q863" s="54"/>
      <c r="R863" s="53">
        <v>1440</v>
      </c>
      <c r="S863" s="53">
        <f t="shared" si="132"/>
        <v>0</v>
      </c>
      <c r="T863" s="343">
        <f t="shared" si="133"/>
        <v>2880</v>
      </c>
      <c r="U863" s="52">
        <f t="shared" si="134"/>
        <v>0</v>
      </c>
      <c r="V863" s="52">
        <f t="shared" si="135"/>
        <v>0</v>
      </c>
      <c r="W863" s="52">
        <v>0</v>
      </c>
      <c r="X863" s="55">
        <f t="shared" si="136"/>
        <v>46153.865277777775</v>
      </c>
    </row>
    <row r="864" spans="1:24" hidden="1" x14ac:dyDescent="0.35">
      <c r="A864" s="46">
        <f t="shared" si="137"/>
        <v>46153.865277777775</v>
      </c>
      <c r="B864" s="46"/>
      <c r="C864" s="46"/>
      <c r="D864" s="46"/>
      <c r="E864" s="119" t="s">
        <v>249</v>
      </c>
      <c r="F864" s="82" t="s">
        <v>1520</v>
      </c>
      <c r="G864" s="82"/>
      <c r="H864" s="49" t="s">
        <v>1521</v>
      </c>
      <c r="I864" s="46" t="s">
        <v>1522</v>
      </c>
      <c r="J864" s="51" t="s">
        <v>140</v>
      </c>
      <c r="K864" s="52">
        <v>0</v>
      </c>
      <c r="L864" s="52">
        <v>0</v>
      </c>
      <c r="M864" s="53">
        <v>66</v>
      </c>
      <c r="N864" s="54">
        <v>400</v>
      </c>
      <c r="O864" s="341">
        <v>1</v>
      </c>
      <c r="P864" s="54">
        <f t="shared" si="138"/>
        <v>400</v>
      </c>
      <c r="Q864" s="54"/>
      <c r="R864" s="53">
        <v>400</v>
      </c>
      <c r="S864" s="53">
        <f t="shared" si="132"/>
        <v>0</v>
      </c>
      <c r="T864" s="343">
        <f t="shared" si="133"/>
        <v>1309.090909090909</v>
      </c>
      <c r="U864" s="52">
        <f t="shared" si="134"/>
        <v>0</v>
      </c>
      <c r="V864" s="52">
        <f t="shared" si="135"/>
        <v>0</v>
      </c>
      <c r="W864" s="52">
        <v>0</v>
      </c>
      <c r="X864" s="55">
        <f t="shared" si="136"/>
        <v>46153.865277777775</v>
      </c>
    </row>
    <row r="865" spans="1:24" hidden="1" x14ac:dyDescent="0.35">
      <c r="A865" s="46">
        <f t="shared" si="137"/>
        <v>46153.865277777775</v>
      </c>
      <c r="B865" s="46"/>
      <c r="C865" s="46"/>
      <c r="D865" s="46"/>
      <c r="E865" s="119" t="s">
        <v>249</v>
      </c>
      <c r="F865" s="82" t="s">
        <v>1520</v>
      </c>
      <c r="G865" s="82"/>
      <c r="H865" s="49" t="s">
        <v>1523</v>
      </c>
      <c r="I865" s="46" t="s">
        <v>1524</v>
      </c>
      <c r="J865" s="51" t="s">
        <v>140</v>
      </c>
      <c r="K865" s="52">
        <v>0</v>
      </c>
      <c r="L865" s="52">
        <v>0</v>
      </c>
      <c r="M865" s="53">
        <v>66</v>
      </c>
      <c r="N865" s="54">
        <v>400</v>
      </c>
      <c r="O865" s="341">
        <v>1</v>
      </c>
      <c r="P865" s="54">
        <f t="shared" si="138"/>
        <v>400</v>
      </c>
      <c r="Q865" s="54"/>
      <c r="R865" s="53">
        <v>400</v>
      </c>
      <c r="S865" s="53">
        <f t="shared" si="132"/>
        <v>0</v>
      </c>
      <c r="T865" s="343">
        <f t="shared" si="133"/>
        <v>1309.090909090909</v>
      </c>
      <c r="U865" s="52">
        <f t="shared" si="134"/>
        <v>0</v>
      </c>
      <c r="V865" s="52">
        <f t="shared" si="135"/>
        <v>0</v>
      </c>
      <c r="W865" s="52">
        <v>0</v>
      </c>
      <c r="X865" s="55">
        <f t="shared" si="136"/>
        <v>46153.865277777775</v>
      </c>
    </row>
    <row r="866" spans="1:24" hidden="1" x14ac:dyDescent="0.35">
      <c r="A866" s="46">
        <f t="shared" si="137"/>
        <v>46153.865277777775</v>
      </c>
      <c r="B866" s="46"/>
      <c r="C866" s="46"/>
      <c r="D866" s="46"/>
      <c r="E866" s="119" t="s">
        <v>249</v>
      </c>
      <c r="F866" s="82" t="s">
        <v>1520</v>
      </c>
      <c r="G866" s="82"/>
      <c r="H866" s="49" t="s">
        <v>1525</v>
      </c>
      <c r="I866" s="46" t="s">
        <v>1526</v>
      </c>
      <c r="J866" s="51" t="s">
        <v>140</v>
      </c>
      <c r="K866" s="52">
        <v>0</v>
      </c>
      <c r="L866" s="52">
        <v>0</v>
      </c>
      <c r="M866" s="53">
        <v>66</v>
      </c>
      <c r="N866" s="54">
        <v>400</v>
      </c>
      <c r="O866" s="341">
        <v>1</v>
      </c>
      <c r="P866" s="54">
        <f t="shared" si="138"/>
        <v>400</v>
      </c>
      <c r="Q866" s="54"/>
      <c r="R866" s="53">
        <v>400</v>
      </c>
      <c r="S866" s="53">
        <f t="shared" si="132"/>
        <v>0</v>
      </c>
      <c r="T866" s="343">
        <f t="shared" si="133"/>
        <v>1309.090909090909</v>
      </c>
      <c r="U866" s="52">
        <f t="shared" si="134"/>
        <v>0</v>
      </c>
      <c r="V866" s="52">
        <f t="shared" si="135"/>
        <v>0</v>
      </c>
      <c r="W866" s="52">
        <v>0</v>
      </c>
      <c r="X866" s="55">
        <f t="shared" si="136"/>
        <v>46153.865277777775</v>
      </c>
    </row>
    <row r="867" spans="1:24" hidden="1" x14ac:dyDescent="0.35">
      <c r="A867" s="46">
        <f t="shared" si="137"/>
        <v>46153.865277777775</v>
      </c>
      <c r="B867" s="46"/>
      <c r="C867" s="46"/>
      <c r="D867" s="46"/>
      <c r="E867" s="119" t="s">
        <v>249</v>
      </c>
      <c r="F867" s="82" t="s">
        <v>1520</v>
      </c>
      <c r="G867" s="82"/>
      <c r="H867" s="49" t="s">
        <v>1527</v>
      </c>
      <c r="I867" s="46" t="s">
        <v>1528</v>
      </c>
      <c r="J867" s="51" t="s">
        <v>140</v>
      </c>
      <c r="K867" s="52">
        <v>0</v>
      </c>
      <c r="L867" s="52">
        <v>0</v>
      </c>
      <c r="M867" s="53">
        <v>66</v>
      </c>
      <c r="N867" s="54">
        <v>400</v>
      </c>
      <c r="O867" s="341">
        <v>1</v>
      </c>
      <c r="P867" s="54">
        <f t="shared" si="138"/>
        <v>400</v>
      </c>
      <c r="Q867" s="54"/>
      <c r="R867" s="53">
        <v>400</v>
      </c>
      <c r="S867" s="53">
        <f t="shared" si="132"/>
        <v>0</v>
      </c>
      <c r="T867" s="343">
        <f t="shared" si="133"/>
        <v>1309.090909090909</v>
      </c>
      <c r="U867" s="52">
        <f t="shared" si="134"/>
        <v>0</v>
      </c>
      <c r="V867" s="52">
        <f t="shared" si="135"/>
        <v>0</v>
      </c>
      <c r="W867" s="52">
        <v>0</v>
      </c>
      <c r="X867" s="55">
        <f t="shared" si="136"/>
        <v>46153.865277777775</v>
      </c>
    </row>
    <row r="868" spans="1:24" hidden="1" x14ac:dyDescent="0.35">
      <c r="A868" s="46">
        <f t="shared" si="137"/>
        <v>46153.865277777775</v>
      </c>
      <c r="B868" s="46"/>
      <c r="C868" s="46"/>
      <c r="D868" s="46"/>
      <c r="E868" s="119" t="s">
        <v>249</v>
      </c>
      <c r="F868" s="82" t="s">
        <v>1520</v>
      </c>
      <c r="G868" s="82"/>
      <c r="H868" s="49" t="s">
        <v>1529</v>
      </c>
      <c r="I868" s="46" t="s">
        <v>1530</v>
      </c>
      <c r="J868" s="51" t="s">
        <v>140</v>
      </c>
      <c r="K868" s="52">
        <v>0</v>
      </c>
      <c r="L868" s="52">
        <v>0</v>
      </c>
      <c r="M868" s="53">
        <v>66</v>
      </c>
      <c r="N868" s="54">
        <v>400</v>
      </c>
      <c r="O868" s="341">
        <v>1</v>
      </c>
      <c r="P868" s="54">
        <f t="shared" si="138"/>
        <v>400</v>
      </c>
      <c r="Q868" s="54"/>
      <c r="R868" s="53">
        <v>400</v>
      </c>
      <c r="S868" s="53">
        <f t="shared" si="132"/>
        <v>0</v>
      </c>
      <c r="T868" s="343">
        <f t="shared" si="133"/>
        <v>1309.090909090909</v>
      </c>
      <c r="U868" s="52">
        <f t="shared" si="134"/>
        <v>0</v>
      </c>
      <c r="V868" s="52">
        <f t="shared" si="135"/>
        <v>0</v>
      </c>
      <c r="W868" s="52">
        <v>0</v>
      </c>
      <c r="X868" s="55">
        <f t="shared" si="136"/>
        <v>46153.865277777775</v>
      </c>
    </row>
    <row r="869" spans="1:24" hidden="1" x14ac:dyDescent="0.35">
      <c r="A869" s="46">
        <f t="shared" si="137"/>
        <v>46153.865277777775</v>
      </c>
      <c r="B869" s="46"/>
      <c r="C869" s="46"/>
      <c r="D869" s="46"/>
      <c r="E869" s="119" t="s">
        <v>249</v>
      </c>
      <c r="F869" s="82" t="s">
        <v>1520</v>
      </c>
      <c r="G869" s="82"/>
      <c r="H869" s="49" t="s">
        <v>1531</v>
      </c>
      <c r="I869" s="82" t="s">
        <v>1532</v>
      </c>
      <c r="J869" s="51" t="s">
        <v>140</v>
      </c>
      <c r="K869" s="52">
        <v>0</v>
      </c>
      <c r="L869" s="52">
        <v>0</v>
      </c>
      <c r="M869" s="53">
        <v>150</v>
      </c>
      <c r="N869" s="54">
        <v>400</v>
      </c>
      <c r="O869" s="341">
        <v>1</v>
      </c>
      <c r="P869" s="54">
        <f t="shared" si="138"/>
        <v>400</v>
      </c>
      <c r="Q869" s="54"/>
      <c r="R869" s="53">
        <v>400</v>
      </c>
      <c r="S869" s="53">
        <f t="shared" si="132"/>
        <v>0</v>
      </c>
      <c r="T869" s="343">
        <f t="shared" si="133"/>
        <v>576</v>
      </c>
      <c r="U869" s="52">
        <f t="shared" si="134"/>
        <v>0</v>
      </c>
      <c r="V869" s="52">
        <f t="shared" si="135"/>
        <v>0</v>
      </c>
      <c r="W869" s="52">
        <v>0</v>
      </c>
      <c r="X869" s="55">
        <f t="shared" si="136"/>
        <v>46153.865277777775</v>
      </c>
    </row>
    <row r="870" spans="1:24" hidden="1" x14ac:dyDescent="0.35">
      <c r="A870" s="46">
        <f t="shared" si="137"/>
        <v>46153.865277777775</v>
      </c>
      <c r="B870" s="46"/>
      <c r="C870" s="46"/>
      <c r="D870" s="46"/>
      <c r="E870" s="119" t="s">
        <v>249</v>
      </c>
      <c r="F870" s="82" t="s">
        <v>1520</v>
      </c>
      <c r="G870" s="82"/>
      <c r="H870" s="49" t="s">
        <v>1533</v>
      </c>
      <c r="I870" s="82" t="s">
        <v>1534</v>
      </c>
      <c r="J870" s="51" t="s">
        <v>140</v>
      </c>
      <c r="K870" s="52">
        <v>0</v>
      </c>
      <c r="L870" s="52">
        <v>0</v>
      </c>
      <c r="M870" s="53">
        <v>150</v>
      </c>
      <c r="N870" s="54">
        <v>400</v>
      </c>
      <c r="O870" s="341">
        <v>1</v>
      </c>
      <c r="P870" s="54">
        <f t="shared" si="138"/>
        <v>400</v>
      </c>
      <c r="Q870" s="54"/>
      <c r="R870" s="53">
        <v>400</v>
      </c>
      <c r="S870" s="53">
        <f t="shared" si="132"/>
        <v>0</v>
      </c>
      <c r="T870" s="343">
        <f t="shared" si="133"/>
        <v>576</v>
      </c>
      <c r="U870" s="52">
        <f t="shared" si="134"/>
        <v>0</v>
      </c>
      <c r="V870" s="52">
        <f t="shared" si="135"/>
        <v>0</v>
      </c>
      <c r="W870" s="52">
        <v>0</v>
      </c>
      <c r="X870" s="55">
        <f t="shared" si="136"/>
        <v>46153.865277777775</v>
      </c>
    </row>
    <row r="871" spans="1:24" hidden="1" x14ac:dyDescent="0.35">
      <c r="A871" s="46">
        <f t="shared" si="137"/>
        <v>46153.865277777775</v>
      </c>
      <c r="B871" s="46"/>
      <c r="C871" s="46"/>
      <c r="D871" s="46"/>
      <c r="E871" s="119" t="s">
        <v>249</v>
      </c>
      <c r="F871" s="82" t="s">
        <v>1520</v>
      </c>
      <c r="G871" s="82"/>
      <c r="H871" s="49" t="s">
        <v>1535</v>
      </c>
      <c r="I871" s="82" t="s">
        <v>1536</v>
      </c>
      <c r="J871" s="51" t="s">
        <v>140</v>
      </c>
      <c r="K871" s="52">
        <v>0</v>
      </c>
      <c r="L871" s="52">
        <v>0</v>
      </c>
      <c r="M871" s="53">
        <v>150</v>
      </c>
      <c r="N871" s="54">
        <v>400</v>
      </c>
      <c r="O871" s="341">
        <v>1</v>
      </c>
      <c r="P871" s="54">
        <f t="shared" si="138"/>
        <v>400</v>
      </c>
      <c r="Q871" s="54"/>
      <c r="R871" s="53">
        <v>400</v>
      </c>
      <c r="S871" s="53">
        <f t="shared" si="132"/>
        <v>0</v>
      </c>
      <c r="T871" s="343">
        <f t="shared" si="133"/>
        <v>576</v>
      </c>
      <c r="U871" s="52">
        <f t="shared" si="134"/>
        <v>0</v>
      </c>
      <c r="V871" s="52">
        <f t="shared" si="135"/>
        <v>0</v>
      </c>
      <c r="W871" s="52">
        <v>0</v>
      </c>
      <c r="X871" s="55">
        <f t="shared" si="136"/>
        <v>46153.865277777775</v>
      </c>
    </row>
    <row r="872" spans="1:24" hidden="1" x14ac:dyDescent="0.35">
      <c r="A872" s="46">
        <f t="shared" si="137"/>
        <v>46153.865277777775</v>
      </c>
      <c r="B872" s="46"/>
      <c r="C872" s="46"/>
      <c r="D872" s="46"/>
      <c r="E872" s="119" t="s">
        <v>249</v>
      </c>
      <c r="F872" s="82" t="s">
        <v>1520</v>
      </c>
      <c r="G872" s="82"/>
      <c r="H872" s="49" t="s">
        <v>1537</v>
      </c>
      <c r="I872" s="82" t="s">
        <v>1538</v>
      </c>
      <c r="J872" s="51" t="s">
        <v>140</v>
      </c>
      <c r="K872" s="52">
        <v>0</v>
      </c>
      <c r="L872" s="52">
        <v>0</v>
      </c>
      <c r="M872" s="53">
        <v>150</v>
      </c>
      <c r="N872" s="54">
        <v>400</v>
      </c>
      <c r="O872" s="341">
        <v>1</v>
      </c>
      <c r="P872" s="54">
        <f t="shared" si="138"/>
        <v>400</v>
      </c>
      <c r="Q872" s="54"/>
      <c r="R872" s="53">
        <v>400</v>
      </c>
      <c r="S872" s="53">
        <f t="shared" si="132"/>
        <v>0</v>
      </c>
      <c r="T872" s="343">
        <f t="shared" si="133"/>
        <v>576</v>
      </c>
      <c r="U872" s="52">
        <f t="shared" si="134"/>
        <v>0</v>
      </c>
      <c r="V872" s="52">
        <f t="shared" si="135"/>
        <v>0</v>
      </c>
      <c r="W872" s="52">
        <v>0</v>
      </c>
      <c r="X872" s="55">
        <f t="shared" si="136"/>
        <v>46153.865277777775</v>
      </c>
    </row>
    <row r="873" spans="1:24" hidden="1" x14ac:dyDescent="0.35">
      <c r="A873" s="46">
        <f t="shared" si="137"/>
        <v>46153.865277777775</v>
      </c>
      <c r="B873" s="46"/>
      <c r="C873" s="46"/>
      <c r="D873" s="46"/>
      <c r="E873" s="119" t="s">
        <v>249</v>
      </c>
      <c r="F873" s="82" t="s">
        <v>1520</v>
      </c>
      <c r="G873" s="82"/>
      <c r="H873" s="49" t="s">
        <v>1539</v>
      </c>
      <c r="I873" s="82" t="s">
        <v>1540</v>
      </c>
      <c r="J873" s="51" t="s">
        <v>140</v>
      </c>
      <c r="K873" s="52">
        <v>0</v>
      </c>
      <c r="L873" s="52">
        <v>0</v>
      </c>
      <c r="M873" s="53">
        <v>150</v>
      </c>
      <c r="N873" s="54">
        <v>400</v>
      </c>
      <c r="O873" s="341">
        <v>1</v>
      </c>
      <c r="P873" s="54">
        <f t="shared" si="138"/>
        <v>400</v>
      </c>
      <c r="Q873" s="54"/>
      <c r="R873" s="53">
        <v>400</v>
      </c>
      <c r="S873" s="53">
        <f t="shared" si="132"/>
        <v>0</v>
      </c>
      <c r="T873" s="343">
        <f t="shared" si="133"/>
        <v>576</v>
      </c>
      <c r="U873" s="52">
        <f t="shared" si="134"/>
        <v>0</v>
      </c>
      <c r="V873" s="52">
        <f t="shared" si="135"/>
        <v>0</v>
      </c>
      <c r="W873" s="52">
        <v>0</v>
      </c>
      <c r="X873" s="55">
        <f t="shared" si="136"/>
        <v>46153.865277777775</v>
      </c>
    </row>
    <row r="874" spans="1:24" hidden="1" x14ac:dyDescent="0.35">
      <c r="A874" s="46">
        <f t="shared" si="137"/>
        <v>46153.865277777775</v>
      </c>
      <c r="B874" s="46"/>
      <c r="C874" s="46"/>
      <c r="D874" s="46"/>
      <c r="E874" s="47" t="s">
        <v>249</v>
      </c>
      <c r="F874" s="99" t="s">
        <v>1541</v>
      </c>
      <c r="G874" s="99"/>
      <c r="H874" s="107" t="s">
        <v>1542</v>
      </c>
      <c r="I874" s="82" t="s">
        <v>1543</v>
      </c>
      <c r="J874" s="51" t="s">
        <v>140</v>
      </c>
      <c r="K874" s="101">
        <v>0</v>
      </c>
      <c r="L874" s="101">
        <v>0</v>
      </c>
      <c r="M874" s="102">
        <v>120</v>
      </c>
      <c r="N874" s="103">
        <v>2000</v>
      </c>
      <c r="O874" s="171">
        <v>1</v>
      </c>
      <c r="P874" s="103">
        <f t="shared" si="138"/>
        <v>2000</v>
      </c>
      <c r="Q874" s="103"/>
      <c r="R874" s="102">
        <v>2000</v>
      </c>
      <c r="S874" s="102">
        <f t="shared" si="132"/>
        <v>0</v>
      </c>
      <c r="T874" s="173">
        <f t="shared" si="133"/>
        <v>720</v>
      </c>
      <c r="U874" s="101">
        <f t="shared" si="134"/>
        <v>0</v>
      </c>
      <c r="V874" s="101">
        <f t="shared" si="135"/>
        <v>0</v>
      </c>
      <c r="W874" s="101">
        <v>0</v>
      </c>
      <c r="X874" s="55">
        <f t="shared" si="136"/>
        <v>46153.865277777775</v>
      </c>
    </row>
    <row r="875" spans="1:24" hidden="1" x14ac:dyDescent="0.35">
      <c r="A875" s="46">
        <f t="shared" si="137"/>
        <v>46153.865277777775</v>
      </c>
      <c r="B875" s="46"/>
      <c r="C875" s="46"/>
      <c r="D875" s="46"/>
      <c r="E875" s="47" t="s">
        <v>249</v>
      </c>
      <c r="F875" s="48" t="s">
        <v>1544</v>
      </c>
      <c r="G875" s="48"/>
      <c r="H875" s="49" t="s">
        <v>1545</v>
      </c>
      <c r="I875" s="82" t="s">
        <v>801</v>
      </c>
      <c r="J875" s="51" t="s">
        <v>140</v>
      </c>
      <c r="K875" s="52">
        <v>0</v>
      </c>
      <c r="L875" s="52">
        <v>0</v>
      </c>
      <c r="M875" s="53">
        <v>120</v>
      </c>
      <c r="N875" s="54">
        <v>500</v>
      </c>
      <c r="O875" s="341">
        <v>1</v>
      </c>
      <c r="P875" s="54">
        <f t="shared" si="138"/>
        <v>500</v>
      </c>
      <c r="Q875" s="54"/>
      <c r="R875" s="53">
        <v>500</v>
      </c>
      <c r="S875" s="53">
        <f t="shared" si="132"/>
        <v>0</v>
      </c>
      <c r="T875" s="343">
        <f t="shared" si="133"/>
        <v>720</v>
      </c>
      <c r="U875" s="52">
        <f t="shared" si="134"/>
        <v>0</v>
      </c>
      <c r="V875" s="52">
        <f t="shared" si="135"/>
        <v>0</v>
      </c>
      <c r="W875" s="52">
        <v>0</v>
      </c>
      <c r="X875" s="55">
        <f t="shared" si="136"/>
        <v>46153.865277777775</v>
      </c>
    </row>
    <row r="876" spans="1:24" hidden="1" x14ac:dyDescent="0.35">
      <c r="A876" s="46">
        <f t="shared" si="137"/>
        <v>46153.865277777775</v>
      </c>
      <c r="B876" s="46"/>
      <c r="C876" s="46"/>
      <c r="D876" s="46"/>
      <c r="E876" s="47" t="s">
        <v>249</v>
      </c>
      <c r="F876" s="48" t="s">
        <v>1544</v>
      </c>
      <c r="G876" s="48"/>
      <c r="H876" s="49" t="s">
        <v>1546</v>
      </c>
      <c r="I876" s="82" t="s">
        <v>1335</v>
      </c>
      <c r="J876" s="51" t="s">
        <v>140</v>
      </c>
      <c r="K876" s="52">
        <v>0</v>
      </c>
      <c r="L876" s="52">
        <v>0</v>
      </c>
      <c r="M876" s="53">
        <v>120</v>
      </c>
      <c r="N876" s="54">
        <v>100</v>
      </c>
      <c r="O876" s="341">
        <v>1</v>
      </c>
      <c r="P876" s="54">
        <f t="shared" si="138"/>
        <v>100</v>
      </c>
      <c r="Q876" s="54"/>
      <c r="R876" s="53">
        <v>100</v>
      </c>
      <c r="S876" s="53">
        <f t="shared" si="132"/>
        <v>0</v>
      </c>
      <c r="T876" s="343">
        <f t="shared" si="133"/>
        <v>720</v>
      </c>
      <c r="U876" s="52">
        <f t="shared" si="134"/>
        <v>0</v>
      </c>
      <c r="V876" s="52">
        <f t="shared" si="135"/>
        <v>0</v>
      </c>
      <c r="W876" s="52">
        <v>0</v>
      </c>
      <c r="X876" s="55">
        <f t="shared" si="136"/>
        <v>46153.865277777775</v>
      </c>
    </row>
    <row r="877" spans="1:24" hidden="1" x14ac:dyDescent="0.35">
      <c r="A877" s="46">
        <f t="shared" si="137"/>
        <v>46153.865277777775</v>
      </c>
      <c r="B877" s="46"/>
      <c r="C877" s="46"/>
      <c r="D877" s="46"/>
      <c r="E877" s="47" t="s">
        <v>249</v>
      </c>
      <c r="F877" s="48" t="s">
        <v>1544</v>
      </c>
      <c r="G877" s="48"/>
      <c r="H877" s="49" t="s">
        <v>1547</v>
      </c>
      <c r="I877" s="82" t="s">
        <v>1330</v>
      </c>
      <c r="J877" s="51" t="s">
        <v>140</v>
      </c>
      <c r="K877" s="52">
        <v>0</v>
      </c>
      <c r="L877" s="52">
        <v>0</v>
      </c>
      <c r="M877" s="53">
        <v>120</v>
      </c>
      <c r="N877" s="54">
        <v>100</v>
      </c>
      <c r="O877" s="341">
        <v>1</v>
      </c>
      <c r="P877" s="54">
        <f t="shared" si="138"/>
        <v>100</v>
      </c>
      <c r="Q877" s="54"/>
      <c r="R877" s="53">
        <v>100</v>
      </c>
      <c r="S877" s="53">
        <f t="shared" si="132"/>
        <v>0</v>
      </c>
      <c r="T877" s="343">
        <f t="shared" si="133"/>
        <v>720</v>
      </c>
      <c r="U877" s="52">
        <f t="shared" si="134"/>
        <v>0</v>
      </c>
      <c r="V877" s="52">
        <f t="shared" si="135"/>
        <v>0</v>
      </c>
      <c r="W877" s="52">
        <v>0</v>
      </c>
      <c r="X877" s="55">
        <f t="shared" si="136"/>
        <v>46153.865277777775</v>
      </c>
    </row>
    <row r="878" spans="1:24" hidden="1" x14ac:dyDescent="0.35">
      <c r="A878" s="46">
        <f t="shared" si="137"/>
        <v>46153.865277777775</v>
      </c>
      <c r="B878" s="46"/>
      <c r="C878" s="46"/>
      <c r="D878" s="46"/>
      <c r="E878" s="47" t="s">
        <v>249</v>
      </c>
      <c r="F878" s="48" t="s">
        <v>1544</v>
      </c>
      <c r="G878" s="48"/>
      <c r="H878" s="49" t="s">
        <v>1548</v>
      </c>
      <c r="I878" s="82" t="s">
        <v>1332</v>
      </c>
      <c r="J878" s="51" t="s">
        <v>140</v>
      </c>
      <c r="K878" s="52">
        <v>0</v>
      </c>
      <c r="L878" s="52">
        <v>0</v>
      </c>
      <c r="M878" s="53">
        <v>120</v>
      </c>
      <c r="N878" s="54">
        <v>500</v>
      </c>
      <c r="O878" s="341">
        <v>1</v>
      </c>
      <c r="P878" s="54">
        <f t="shared" si="138"/>
        <v>500</v>
      </c>
      <c r="Q878" s="54"/>
      <c r="R878" s="53">
        <v>500</v>
      </c>
      <c r="S878" s="53">
        <f t="shared" si="132"/>
        <v>0</v>
      </c>
      <c r="T878" s="343">
        <f t="shared" si="133"/>
        <v>720</v>
      </c>
      <c r="U878" s="52">
        <f t="shared" si="134"/>
        <v>0</v>
      </c>
      <c r="V878" s="52">
        <f t="shared" si="135"/>
        <v>0</v>
      </c>
      <c r="W878" s="52">
        <v>0</v>
      </c>
      <c r="X878" s="55">
        <f t="shared" si="136"/>
        <v>46153.865277777775</v>
      </c>
    </row>
    <row r="879" spans="1:24" hidden="1" x14ac:dyDescent="0.35">
      <c r="A879" s="46">
        <f t="shared" si="137"/>
        <v>46153.865277777775</v>
      </c>
      <c r="B879" s="46"/>
      <c r="C879" s="46"/>
      <c r="D879" s="46"/>
      <c r="E879" s="47" t="s">
        <v>195</v>
      </c>
      <c r="F879" s="99" t="s">
        <v>1549</v>
      </c>
      <c r="G879" s="99"/>
      <c r="H879" s="98" t="s">
        <v>1550</v>
      </c>
      <c r="I879" s="82" t="s">
        <v>457</v>
      </c>
      <c r="J879" s="100" t="s">
        <v>140</v>
      </c>
      <c r="K879" s="91">
        <v>0</v>
      </c>
      <c r="L879" s="91">
        <v>0</v>
      </c>
      <c r="M879" s="92">
        <v>90</v>
      </c>
      <c r="N879" s="94">
        <v>1500</v>
      </c>
      <c r="O879" s="253">
        <v>1</v>
      </c>
      <c r="P879" s="94">
        <f t="shared" si="138"/>
        <v>1500</v>
      </c>
      <c r="Q879" s="94"/>
      <c r="R879" s="92">
        <v>1500</v>
      </c>
      <c r="S879" s="92">
        <f t="shared" si="132"/>
        <v>0</v>
      </c>
      <c r="T879" s="173">
        <f t="shared" si="133"/>
        <v>960</v>
      </c>
      <c r="U879" s="101">
        <f t="shared" si="134"/>
        <v>0</v>
      </c>
      <c r="V879" s="101">
        <f t="shared" si="135"/>
        <v>0</v>
      </c>
      <c r="W879" s="101">
        <v>0</v>
      </c>
      <c r="X879" s="55">
        <f t="shared" si="136"/>
        <v>46153.865277777775</v>
      </c>
    </row>
    <row r="880" spans="1:24" hidden="1" x14ac:dyDescent="0.35">
      <c r="A880" s="46">
        <f t="shared" si="137"/>
        <v>46153.865277777775</v>
      </c>
      <c r="B880" s="46"/>
      <c r="C880" s="46"/>
      <c r="D880" s="46"/>
      <c r="E880" s="47" t="s">
        <v>195</v>
      </c>
      <c r="F880" s="99" t="s">
        <v>1211</v>
      </c>
      <c r="G880" s="99"/>
      <c r="H880" s="98" t="s">
        <v>1551</v>
      </c>
      <c r="I880" s="82" t="s">
        <v>457</v>
      </c>
      <c r="J880" s="100" t="s">
        <v>140</v>
      </c>
      <c r="K880" s="91">
        <v>0</v>
      </c>
      <c r="L880" s="91">
        <v>0</v>
      </c>
      <c r="M880" s="92">
        <v>90</v>
      </c>
      <c r="N880" s="94">
        <v>1000</v>
      </c>
      <c r="O880" s="253">
        <v>1</v>
      </c>
      <c r="P880" s="94">
        <f t="shared" si="138"/>
        <v>1000</v>
      </c>
      <c r="Q880" s="94"/>
      <c r="R880" s="92">
        <v>1000</v>
      </c>
      <c r="S880" s="92">
        <f t="shared" ref="S880:S943" si="139">P880-R880</f>
        <v>0</v>
      </c>
      <c r="T880" s="173">
        <f t="shared" ref="T880:T943" si="140">((3600/M880)*O880)*24</f>
        <v>960</v>
      </c>
      <c r="U880" s="101">
        <f t="shared" ref="U880:U943" si="141">(P880-R880)*M880/3600</f>
        <v>0</v>
      </c>
      <c r="V880" s="101">
        <f t="shared" ref="V880:V943" si="142">(P880-R880)*M880/3600/24</f>
        <v>0</v>
      </c>
      <c r="W880" s="101">
        <v>0</v>
      </c>
      <c r="X880" s="55">
        <f t="shared" ref="X880:X939" si="143">A880+K880+V880+W880+L880</f>
        <v>46153.865277777775</v>
      </c>
    </row>
    <row r="881" spans="1:24" ht="26.5" hidden="1" x14ac:dyDescent="0.35">
      <c r="A881" s="46">
        <f t="shared" ref="A881:A944" si="144">X880</f>
        <v>46153.865277777775</v>
      </c>
      <c r="B881" s="46"/>
      <c r="C881" s="46"/>
      <c r="D881" s="46"/>
      <c r="E881" s="47" t="s">
        <v>195</v>
      </c>
      <c r="F881" s="97" t="s">
        <v>1552</v>
      </c>
      <c r="G881" s="97"/>
      <c r="H881" s="49" t="s">
        <v>1553</v>
      </c>
      <c r="I881" s="442" t="s">
        <v>1554</v>
      </c>
      <c r="J881" s="100" t="s">
        <v>140</v>
      </c>
      <c r="K881" s="52">
        <v>0</v>
      </c>
      <c r="L881" s="52">
        <v>0</v>
      </c>
      <c r="M881" s="53">
        <v>85</v>
      </c>
      <c r="N881" s="54">
        <v>3000</v>
      </c>
      <c r="O881" s="341">
        <v>2</v>
      </c>
      <c r="P881" s="54">
        <f t="shared" si="138"/>
        <v>1500</v>
      </c>
      <c r="Q881" s="54"/>
      <c r="R881" s="53">
        <v>1500</v>
      </c>
      <c r="S881" s="53">
        <f t="shared" si="139"/>
        <v>0</v>
      </c>
      <c r="T881" s="315">
        <f t="shared" si="140"/>
        <v>2032.9411764705883</v>
      </c>
      <c r="U881" s="84">
        <f t="shared" si="141"/>
        <v>0</v>
      </c>
      <c r="V881" s="84">
        <f t="shared" si="142"/>
        <v>0</v>
      </c>
      <c r="W881" s="84">
        <v>0</v>
      </c>
      <c r="X881" s="55">
        <f t="shared" si="143"/>
        <v>46153.865277777775</v>
      </c>
    </row>
    <row r="882" spans="1:24" ht="26.5" hidden="1" x14ac:dyDescent="0.35">
      <c r="A882" s="46">
        <f t="shared" si="144"/>
        <v>46153.865277777775</v>
      </c>
      <c r="B882" s="46"/>
      <c r="C882" s="46"/>
      <c r="D882" s="46"/>
      <c r="E882" s="47" t="s">
        <v>195</v>
      </c>
      <c r="F882" s="97" t="s">
        <v>1552</v>
      </c>
      <c r="G882" s="97"/>
      <c r="H882" s="49" t="s">
        <v>1555</v>
      </c>
      <c r="I882" s="442" t="s">
        <v>1556</v>
      </c>
      <c r="J882" s="100" t="s">
        <v>140</v>
      </c>
      <c r="K882" s="52">
        <v>0</v>
      </c>
      <c r="L882" s="52">
        <v>0</v>
      </c>
      <c r="M882" s="53">
        <v>85</v>
      </c>
      <c r="N882" s="54">
        <v>3000</v>
      </c>
      <c r="O882" s="341">
        <v>2</v>
      </c>
      <c r="P882" s="54">
        <f t="shared" si="138"/>
        <v>1500</v>
      </c>
      <c r="Q882" s="54"/>
      <c r="R882" s="53">
        <v>1500</v>
      </c>
      <c r="S882" s="53">
        <f t="shared" si="139"/>
        <v>0</v>
      </c>
      <c r="T882" s="315">
        <f t="shared" si="140"/>
        <v>2032.9411764705883</v>
      </c>
      <c r="U882" s="84">
        <f t="shared" si="141"/>
        <v>0</v>
      </c>
      <c r="V882" s="84">
        <f t="shared" si="142"/>
        <v>0</v>
      </c>
      <c r="W882" s="84">
        <v>0</v>
      </c>
      <c r="X882" s="55">
        <f t="shared" si="143"/>
        <v>46153.865277777775</v>
      </c>
    </row>
    <row r="883" spans="1:24" ht="26.5" hidden="1" x14ac:dyDescent="0.35">
      <c r="A883" s="46">
        <f t="shared" si="144"/>
        <v>46153.865277777775</v>
      </c>
      <c r="B883" s="46"/>
      <c r="C883" s="46"/>
      <c r="D883" s="46"/>
      <c r="E883" s="443" t="s">
        <v>195</v>
      </c>
      <c r="F883" s="444" t="s">
        <v>1557</v>
      </c>
      <c r="G883" s="444"/>
      <c r="H883" s="445" t="s">
        <v>1558</v>
      </c>
      <c r="I883" s="446" t="s">
        <v>1559</v>
      </c>
      <c r="J883" s="233" t="s">
        <v>140</v>
      </c>
      <c r="K883" s="447">
        <v>0</v>
      </c>
      <c r="L883" s="447">
        <v>0</v>
      </c>
      <c r="M883" s="448">
        <v>90</v>
      </c>
      <c r="N883" s="449">
        <v>3000</v>
      </c>
      <c r="O883" s="450">
        <v>1</v>
      </c>
      <c r="P883" s="449">
        <f t="shared" si="138"/>
        <v>3000</v>
      </c>
      <c r="Q883" s="449"/>
      <c r="R883" s="448">
        <v>3000</v>
      </c>
      <c r="S883" s="448">
        <f t="shared" si="139"/>
        <v>0</v>
      </c>
      <c r="T883" s="451">
        <f t="shared" si="140"/>
        <v>960</v>
      </c>
      <c r="U883" s="234">
        <f t="shared" si="141"/>
        <v>0</v>
      </c>
      <c r="V883" s="234">
        <f t="shared" si="142"/>
        <v>0</v>
      </c>
      <c r="W883" s="234">
        <v>0</v>
      </c>
      <c r="X883" s="55">
        <f t="shared" si="143"/>
        <v>46153.865277777775</v>
      </c>
    </row>
    <row r="884" spans="1:24" ht="26.5" hidden="1" x14ac:dyDescent="0.35">
      <c r="A884" s="46">
        <f t="shared" si="144"/>
        <v>46153.865277777775</v>
      </c>
      <c r="B884" s="46"/>
      <c r="C884" s="46"/>
      <c r="D884" s="46"/>
      <c r="E884" s="47" t="s">
        <v>195</v>
      </c>
      <c r="F884" s="82" t="s">
        <v>1560</v>
      </c>
      <c r="G884" s="82"/>
      <c r="H884" s="59" t="s">
        <v>1561</v>
      </c>
      <c r="I884" s="97" t="s">
        <v>1562</v>
      </c>
      <c r="J884" s="51" t="s">
        <v>283</v>
      </c>
      <c r="K884" s="52">
        <v>0</v>
      </c>
      <c r="L884" s="52">
        <v>0</v>
      </c>
      <c r="M884" s="53">
        <v>100</v>
      </c>
      <c r="N884" s="54">
        <v>7560</v>
      </c>
      <c r="O884" s="341">
        <v>1</v>
      </c>
      <c r="P884" s="103">
        <f t="shared" si="138"/>
        <v>7560</v>
      </c>
      <c r="Q884" s="103"/>
      <c r="R884" s="53">
        <v>7560</v>
      </c>
      <c r="S884" s="53">
        <f t="shared" si="139"/>
        <v>0</v>
      </c>
      <c r="T884" s="343">
        <f t="shared" si="140"/>
        <v>864</v>
      </c>
      <c r="U884" s="52">
        <f t="shared" si="141"/>
        <v>0</v>
      </c>
      <c r="V884" s="52">
        <f t="shared" si="142"/>
        <v>0</v>
      </c>
      <c r="W884" s="52">
        <v>0</v>
      </c>
      <c r="X884" s="55">
        <f t="shared" si="143"/>
        <v>46153.865277777775</v>
      </c>
    </row>
    <row r="885" spans="1:24" hidden="1" x14ac:dyDescent="0.35">
      <c r="A885" s="46">
        <f t="shared" si="144"/>
        <v>46153.865277777775</v>
      </c>
      <c r="B885" s="46"/>
      <c r="C885" s="46"/>
      <c r="D885" s="46"/>
      <c r="E885" s="47" t="s">
        <v>1563</v>
      </c>
      <c r="F885" s="82" t="s">
        <v>1564</v>
      </c>
      <c r="G885" s="82"/>
      <c r="H885" s="452" t="s">
        <v>1565</v>
      </c>
      <c r="I885" s="82" t="s">
        <v>1566</v>
      </c>
      <c r="J885" s="100" t="s">
        <v>140</v>
      </c>
      <c r="K885" s="91">
        <v>0</v>
      </c>
      <c r="L885" s="91">
        <v>0</v>
      </c>
      <c r="M885" s="92">
        <v>100</v>
      </c>
      <c r="N885" s="94">
        <v>1670</v>
      </c>
      <c r="O885" s="253">
        <v>1</v>
      </c>
      <c r="P885" s="94">
        <f t="shared" si="138"/>
        <v>1670</v>
      </c>
      <c r="Q885" s="94"/>
      <c r="R885" s="92">
        <v>1670</v>
      </c>
      <c r="S885" s="92">
        <f t="shared" si="139"/>
        <v>0</v>
      </c>
      <c r="T885" s="173">
        <f t="shared" si="140"/>
        <v>864</v>
      </c>
      <c r="U885" s="101">
        <f t="shared" si="141"/>
        <v>0</v>
      </c>
      <c r="V885" s="101">
        <f t="shared" si="142"/>
        <v>0</v>
      </c>
      <c r="W885" s="101">
        <v>0</v>
      </c>
      <c r="X885" s="55">
        <f t="shared" si="143"/>
        <v>46153.865277777775</v>
      </c>
    </row>
    <row r="886" spans="1:24" ht="26.5" hidden="1" x14ac:dyDescent="0.35">
      <c r="A886" s="46">
        <f t="shared" si="144"/>
        <v>46153.865277777775</v>
      </c>
      <c r="B886" s="46"/>
      <c r="C886" s="46"/>
      <c r="D886" s="46"/>
      <c r="E886" s="119" t="s">
        <v>195</v>
      </c>
      <c r="F886" s="57" t="s">
        <v>224</v>
      </c>
      <c r="G886" s="57"/>
      <c r="H886" s="49" t="s">
        <v>1567</v>
      </c>
      <c r="I886" s="453" t="s">
        <v>1568</v>
      </c>
      <c r="J886" s="51" t="s">
        <v>140</v>
      </c>
      <c r="K886" s="52">
        <v>0</v>
      </c>
      <c r="L886" s="52">
        <v>0</v>
      </c>
      <c r="M886" s="53">
        <v>84</v>
      </c>
      <c r="N886" s="54">
        <v>200</v>
      </c>
      <c r="O886" s="341">
        <v>1</v>
      </c>
      <c r="P886" s="103">
        <f t="shared" si="138"/>
        <v>200</v>
      </c>
      <c r="Q886" s="103"/>
      <c r="R886" s="53">
        <v>200</v>
      </c>
      <c r="S886" s="53">
        <f t="shared" si="139"/>
        <v>0</v>
      </c>
      <c r="T886" s="343">
        <f t="shared" si="140"/>
        <v>1028.5714285714284</v>
      </c>
      <c r="U886" s="52">
        <f t="shared" si="141"/>
        <v>0</v>
      </c>
      <c r="V886" s="52">
        <f t="shared" si="142"/>
        <v>0</v>
      </c>
      <c r="W886" s="52">
        <v>0</v>
      </c>
      <c r="X886" s="55">
        <f t="shared" si="143"/>
        <v>46153.865277777775</v>
      </c>
    </row>
    <row r="887" spans="1:24" ht="26.5" hidden="1" x14ac:dyDescent="0.35">
      <c r="A887" s="46">
        <f t="shared" si="144"/>
        <v>46153.865277777775</v>
      </c>
      <c r="B887" s="46"/>
      <c r="C887" s="46"/>
      <c r="D887" s="46"/>
      <c r="E887" s="47" t="s">
        <v>195</v>
      </c>
      <c r="F887" s="97" t="s">
        <v>1557</v>
      </c>
      <c r="G887" s="97"/>
      <c r="H887" s="107" t="s">
        <v>1569</v>
      </c>
      <c r="I887" s="71" t="s">
        <v>1559</v>
      </c>
      <c r="J887" s="100" t="s">
        <v>140</v>
      </c>
      <c r="K887" s="91">
        <v>0</v>
      </c>
      <c r="L887" s="91">
        <v>0</v>
      </c>
      <c r="M887" s="92">
        <v>90</v>
      </c>
      <c r="N887" s="94">
        <v>2000</v>
      </c>
      <c r="O887" s="253">
        <v>1</v>
      </c>
      <c r="P887" s="94">
        <f t="shared" si="138"/>
        <v>2000</v>
      </c>
      <c r="Q887" s="94"/>
      <c r="R887" s="92">
        <v>2000</v>
      </c>
      <c r="S887" s="92">
        <f t="shared" si="139"/>
        <v>0</v>
      </c>
      <c r="T887" s="173">
        <f t="shared" si="140"/>
        <v>960</v>
      </c>
      <c r="U887" s="101">
        <f t="shared" si="141"/>
        <v>0</v>
      </c>
      <c r="V887" s="101">
        <f t="shared" si="142"/>
        <v>0</v>
      </c>
      <c r="W887" s="101">
        <v>0</v>
      </c>
      <c r="X887" s="55">
        <f t="shared" si="143"/>
        <v>46153.865277777775</v>
      </c>
    </row>
    <row r="888" spans="1:24" ht="26.5" hidden="1" x14ac:dyDescent="0.35">
      <c r="A888" s="46">
        <f t="shared" si="144"/>
        <v>46153.865277777775</v>
      </c>
      <c r="B888" s="46"/>
      <c r="C888" s="46"/>
      <c r="D888" s="46"/>
      <c r="E888" s="47" t="s">
        <v>195</v>
      </c>
      <c r="F888" s="97" t="s">
        <v>1552</v>
      </c>
      <c r="G888" s="97"/>
      <c r="H888" s="98" t="s">
        <v>1570</v>
      </c>
      <c r="I888" s="442" t="s">
        <v>1554</v>
      </c>
      <c r="J888" s="100" t="s">
        <v>140</v>
      </c>
      <c r="K888" s="91">
        <v>0</v>
      </c>
      <c r="L888" s="91">
        <v>0</v>
      </c>
      <c r="M888" s="92">
        <v>85</v>
      </c>
      <c r="N888" s="94">
        <v>4000</v>
      </c>
      <c r="O888" s="253">
        <v>2</v>
      </c>
      <c r="P888" s="94">
        <f t="shared" si="138"/>
        <v>2000</v>
      </c>
      <c r="Q888" s="94"/>
      <c r="R888" s="92">
        <v>2000</v>
      </c>
      <c r="S888" s="92">
        <f t="shared" si="139"/>
        <v>0</v>
      </c>
      <c r="T888" s="173">
        <f t="shared" si="140"/>
        <v>2032.9411764705883</v>
      </c>
      <c r="U888" s="101">
        <f t="shared" si="141"/>
        <v>0</v>
      </c>
      <c r="V888" s="101">
        <f t="shared" si="142"/>
        <v>0</v>
      </c>
      <c r="W888" s="101">
        <v>0</v>
      </c>
      <c r="X888" s="55">
        <f t="shared" si="143"/>
        <v>46153.865277777775</v>
      </c>
    </row>
    <row r="889" spans="1:24" ht="26.5" hidden="1" x14ac:dyDescent="0.35">
      <c r="A889" s="46">
        <f t="shared" si="144"/>
        <v>46153.865277777775</v>
      </c>
      <c r="B889" s="46"/>
      <c r="C889" s="46"/>
      <c r="D889" s="46"/>
      <c r="E889" s="47" t="s">
        <v>249</v>
      </c>
      <c r="F889" s="97" t="s">
        <v>1552</v>
      </c>
      <c r="G889" s="97"/>
      <c r="H889" s="98" t="s">
        <v>1571</v>
      </c>
      <c r="I889" s="442" t="s">
        <v>1556</v>
      </c>
      <c r="J889" s="100" t="s">
        <v>140</v>
      </c>
      <c r="K889" s="91">
        <v>0</v>
      </c>
      <c r="L889" s="91">
        <v>0</v>
      </c>
      <c r="M889" s="92">
        <v>85</v>
      </c>
      <c r="N889" s="94">
        <v>4000</v>
      </c>
      <c r="O889" s="253">
        <v>2</v>
      </c>
      <c r="P889" s="94">
        <f t="shared" si="138"/>
        <v>2000</v>
      </c>
      <c r="Q889" s="94"/>
      <c r="R889" s="92">
        <v>2000</v>
      </c>
      <c r="S889" s="92">
        <f t="shared" si="139"/>
        <v>0</v>
      </c>
      <c r="T889" s="173">
        <f t="shared" si="140"/>
        <v>2032.9411764705883</v>
      </c>
      <c r="U889" s="101">
        <f t="shared" si="141"/>
        <v>0</v>
      </c>
      <c r="V889" s="101">
        <f t="shared" si="142"/>
        <v>0</v>
      </c>
      <c r="W889" s="101">
        <v>0</v>
      </c>
      <c r="X889" s="55">
        <f t="shared" si="143"/>
        <v>46153.865277777775</v>
      </c>
    </row>
    <row r="890" spans="1:24" ht="26.5" hidden="1" x14ac:dyDescent="0.35">
      <c r="A890" s="46">
        <f t="shared" si="144"/>
        <v>46153.865277777775</v>
      </c>
      <c r="B890" s="46"/>
      <c r="C890" s="46"/>
      <c r="D890" s="46"/>
      <c r="E890" s="47" t="s">
        <v>249</v>
      </c>
      <c r="F890" s="82" t="s">
        <v>693</v>
      </c>
      <c r="G890" s="82"/>
      <c r="H890" s="107" t="s">
        <v>1572</v>
      </c>
      <c r="I890" s="82" t="s">
        <v>1573</v>
      </c>
      <c r="J890" s="100" t="s">
        <v>140</v>
      </c>
      <c r="K890" s="91">
        <v>0</v>
      </c>
      <c r="L890" s="91">
        <v>0</v>
      </c>
      <c r="M890" s="92">
        <v>100</v>
      </c>
      <c r="N890" s="94">
        <v>725</v>
      </c>
      <c r="O890" s="253">
        <v>1</v>
      </c>
      <c r="P890" s="94">
        <f t="shared" si="138"/>
        <v>725</v>
      </c>
      <c r="Q890" s="94"/>
      <c r="R890" s="92">
        <v>725</v>
      </c>
      <c r="S890" s="92">
        <f t="shared" si="139"/>
        <v>0</v>
      </c>
      <c r="T890" s="173">
        <f t="shared" si="140"/>
        <v>864</v>
      </c>
      <c r="U890" s="101">
        <f t="shared" si="141"/>
        <v>0</v>
      </c>
      <c r="V890" s="101">
        <f t="shared" si="142"/>
        <v>0</v>
      </c>
      <c r="W890" s="101">
        <v>0</v>
      </c>
      <c r="X890" s="55">
        <f t="shared" si="143"/>
        <v>46153.865277777775</v>
      </c>
    </row>
    <row r="891" spans="1:24" hidden="1" x14ac:dyDescent="0.35">
      <c r="A891" s="46">
        <f t="shared" si="144"/>
        <v>46153.865277777775</v>
      </c>
      <c r="B891" s="46"/>
      <c r="C891" s="46"/>
      <c r="D891" s="46"/>
      <c r="E891" s="47" t="s">
        <v>249</v>
      </c>
      <c r="F891" s="99" t="s">
        <v>1574</v>
      </c>
      <c r="G891" s="99"/>
      <c r="H891" s="107" t="s">
        <v>1575</v>
      </c>
      <c r="I891" s="82" t="s">
        <v>1576</v>
      </c>
      <c r="J891" s="51" t="s">
        <v>140</v>
      </c>
      <c r="K891" s="101">
        <v>0</v>
      </c>
      <c r="L891" s="101">
        <v>0</v>
      </c>
      <c r="M891" s="102">
        <v>120</v>
      </c>
      <c r="N891" s="103">
        <v>1000</v>
      </c>
      <c r="O891" s="171">
        <v>1</v>
      </c>
      <c r="P891" s="103">
        <f t="shared" si="138"/>
        <v>1000</v>
      </c>
      <c r="Q891" s="103"/>
      <c r="R891" s="102">
        <v>1000</v>
      </c>
      <c r="S891" s="102">
        <f t="shared" si="139"/>
        <v>0</v>
      </c>
      <c r="T891" s="173">
        <f t="shared" si="140"/>
        <v>720</v>
      </c>
      <c r="U891" s="101">
        <f t="shared" si="141"/>
        <v>0</v>
      </c>
      <c r="V891" s="101">
        <f t="shared" si="142"/>
        <v>0</v>
      </c>
      <c r="W891" s="101">
        <v>0</v>
      </c>
      <c r="X891" s="55">
        <f t="shared" si="143"/>
        <v>46153.865277777775</v>
      </c>
    </row>
    <row r="892" spans="1:24" hidden="1" x14ac:dyDescent="0.35">
      <c r="A892" s="46">
        <f t="shared" si="144"/>
        <v>46153.865277777775</v>
      </c>
      <c r="B892" s="46"/>
      <c r="C892" s="46"/>
      <c r="D892" s="46"/>
      <c r="E892" s="47" t="s">
        <v>249</v>
      </c>
      <c r="F892" s="99" t="s">
        <v>1574</v>
      </c>
      <c r="G892" s="99"/>
      <c r="H892" s="107" t="s">
        <v>1577</v>
      </c>
      <c r="I892" s="82" t="s">
        <v>252</v>
      </c>
      <c r="J892" s="51" t="s">
        <v>140</v>
      </c>
      <c r="K892" s="101">
        <v>0</v>
      </c>
      <c r="L892" s="101">
        <v>0</v>
      </c>
      <c r="M892" s="102">
        <v>120</v>
      </c>
      <c r="N892" s="103">
        <v>1000</v>
      </c>
      <c r="O892" s="171">
        <v>1</v>
      </c>
      <c r="P892" s="103">
        <f t="shared" si="138"/>
        <v>1000</v>
      </c>
      <c r="Q892" s="103"/>
      <c r="R892" s="102">
        <v>1000</v>
      </c>
      <c r="S892" s="102">
        <f t="shared" si="139"/>
        <v>0</v>
      </c>
      <c r="T892" s="173">
        <f t="shared" si="140"/>
        <v>720</v>
      </c>
      <c r="U892" s="101">
        <f t="shared" si="141"/>
        <v>0</v>
      </c>
      <c r="V892" s="101">
        <f t="shared" si="142"/>
        <v>0</v>
      </c>
      <c r="W892" s="101">
        <v>0</v>
      </c>
      <c r="X892" s="55">
        <f t="shared" si="143"/>
        <v>46153.865277777775</v>
      </c>
    </row>
    <row r="893" spans="1:24" hidden="1" x14ac:dyDescent="0.35">
      <c r="A893" s="46">
        <f t="shared" si="144"/>
        <v>46153.865277777775</v>
      </c>
      <c r="B893" s="46"/>
      <c r="C893" s="46"/>
      <c r="D893" s="46"/>
      <c r="E893" s="47" t="s">
        <v>249</v>
      </c>
      <c r="F893" s="82" t="s">
        <v>1564</v>
      </c>
      <c r="G893" s="82"/>
      <c r="H893" s="452">
        <v>11706</v>
      </c>
      <c r="I893" s="82" t="s">
        <v>1578</v>
      </c>
      <c r="J893" s="51" t="s">
        <v>140</v>
      </c>
      <c r="K893" s="91">
        <v>0</v>
      </c>
      <c r="L893" s="91">
        <v>0</v>
      </c>
      <c r="M893" s="92">
        <v>120</v>
      </c>
      <c r="N893" s="94">
        <v>2940</v>
      </c>
      <c r="O893" s="253">
        <v>1</v>
      </c>
      <c r="P893" s="94">
        <f t="shared" si="138"/>
        <v>2940</v>
      </c>
      <c r="Q893" s="94"/>
      <c r="R893" s="92">
        <v>2940</v>
      </c>
      <c r="S893" s="92">
        <f t="shared" si="139"/>
        <v>0</v>
      </c>
      <c r="T893" s="254">
        <f t="shared" si="140"/>
        <v>720</v>
      </c>
      <c r="U893" s="91">
        <f t="shared" si="141"/>
        <v>0</v>
      </c>
      <c r="V893" s="91">
        <f t="shared" si="142"/>
        <v>0</v>
      </c>
      <c r="W893" s="91">
        <v>0</v>
      </c>
      <c r="X893" s="55">
        <f t="shared" si="143"/>
        <v>46153.865277777775</v>
      </c>
    </row>
    <row r="894" spans="1:24" hidden="1" x14ac:dyDescent="0.35">
      <c r="A894" s="46">
        <f t="shared" si="144"/>
        <v>46153.865277777775</v>
      </c>
      <c r="B894" s="46"/>
      <c r="C894" s="46"/>
      <c r="D894" s="46"/>
      <c r="E894" s="296" t="s">
        <v>1243</v>
      </c>
      <c r="F894" s="366" t="s">
        <v>14</v>
      </c>
      <c r="G894" s="366"/>
      <c r="H894" s="298" t="s">
        <v>14</v>
      </c>
      <c r="I894" s="297" t="s">
        <v>1244</v>
      </c>
      <c r="J894" s="351" t="s">
        <v>140</v>
      </c>
      <c r="K894" s="352">
        <v>0</v>
      </c>
      <c r="L894" s="352">
        <v>0</v>
      </c>
      <c r="M894" s="353">
        <v>60</v>
      </c>
      <c r="N894" s="354">
        <v>50</v>
      </c>
      <c r="O894" s="355">
        <v>2</v>
      </c>
      <c r="P894" s="354">
        <f t="shared" si="138"/>
        <v>25</v>
      </c>
      <c r="Q894" s="354"/>
      <c r="R894" s="353">
        <v>25</v>
      </c>
      <c r="S894" s="353">
        <f t="shared" si="139"/>
        <v>0</v>
      </c>
      <c r="T894" s="356">
        <f t="shared" si="140"/>
        <v>2880</v>
      </c>
      <c r="U894" s="352">
        <f t="shared" si="141"/>
        <v>0</v>
      </c>
      <c r="V894" s="352">
        <f t="shared" si="142"/>
        <v>0</v>
      </c>
      <c r="W894" s="352">
        <v>0</v>
      </c>
      <c r="X894" s="55">
        <f t="shared" si="143"/>
        <v>46153.865277777775</v>
      </c>
    </row>
    <row r="895" spans="1:24" hidden="1" x14ac:dyDescent="0.35">
      <c r="A895" s="46">
        <f t="shared" si="144"/>
        <v>46153.865277777775</v>
      </c>
      <c r="B895" s="46"/>
      <c r="C895" s="46"/>
      <c r="D895" s="46"/>
      <c r="E895" s="296" t="s">
        <v>1243</v>
      </c>
      <c r="F895" s="366" t="s">
        <v>14</v>
      </c>
      <c r="G895" s="366"/>
      <c r="H895" s="298" t="s">
        <v>14</v>
      </c>
      <c r="I895" s="297" t="s">
        <v>1579</v>
      </c>
      <c r="J895" s="351" t="s">
        <v>140</v>
      </c>
      <c r="K895" s="352">
        <v>0</v>
      </c>
      <c r="L895" s="352">
        <v>0</v>
      </c>
      <c r="M895" s="353">
        <v>60</v>
      </c>
      <c r="N895" s="354">
        <v>50</v>
      </c>
      <c r="O895" s="355">
        <v>2</v>
      </c>
      <c r="P895" s="354">
        <f t="shared" si="138"/>
        <v>25</v>
      </c>
      <c r="Q895" s="354"/>
      <c r="R895" s="353">
        <v>25</v>
      </c>
      <c r="S895" s="353">
        <f t="shared" si="139"/>
        <v>0</v>
      </c>
      <c r="T895" s="356">
        <f t="shared" si="140"/>
        <v>2880</v>
      </c>
      <c r="U895" s="352">
        <f t="shared" si="141"/>
        <v>0</v>
      </c>
      <c r="V895" s="352">
        <f t="shared" si="142"/>
        <v>0</v>
      </c>
      <c r="W895" s="352">
        <v>0</v>
      </c>
      <c r="X895" s="55">
        <f t="shared" si="143"/>
        <v>46153.865277777775</v>
      </c>
    </row>
    <row r="896" spans="1:24" hidden="1" x14ac:dyDescent="0.35">
      <c r="A896" s="46">
        <f t="shared" si="144"/>
        <v>46153.865277777775</v>
      </c>
      <c r="B896" s="46"/>
      <c r="C896" s="46"/>
      <c r="D896" s="46"/>
      <c r="E896" s="47" t="s">
        <v>249</v>
      </c>
      <c r="F896" s="48" t="s">
        <v>1580</v>
      </c>
      <c r="G896" s="48"/>
      <c r="H896" s="59" t="s">
        <v>1581</v>
      </c>
      <c r="I896" s="82" t="s">
        <v>1326</v>
      </c>
      <c r="J896" s="51" t="s">
        <v>140</v>
      </c>
      <c r="K896" s="52">
        <v>0</v>
      </c>
      <c r="L896" s="52">
        <v>0</v>
      </c>
      <c r="M896" s="53">
        <v>110</v>
      </c>
      <c r="N896" s="54">
        <v>1000</v>
      </c>
      <c r="O896" s="341">
        <v>1</v>
      </c>
      <c r="P896" s="54">
        <f t="shared" si="138"/>
        <v>1000</v>
      </c>
      <c r="Q896" s="54"/>
      <c r="R896" s="53">
        <v>1000</v>
      </c>
      <c r="S896" s="53">
        <f t="shared" si="139"/>
        <v>0</v>
      </c>
      <c r="T896" s="343">
        <f t="shared" si="140"/>
        <v>785.4545454545455</v>
      </c>
      <c r="U896" s="52">
        <f t="shared" si="141"/>
        <v>0</v>
      </c>
      <c r="V896" s="52">
        <f t="shared" si="142"/>
        <v>0</v>
      </c>
      <c r="W896" s="52">
        <v>0</v>
      </c>
      <c r="X896" s="55">
        <f t="shared" si="143"/>
        <v>46153.865277777775</v>
      </c>
    </row>
    <row r="897" spans="1:24" ht="26.5" hidden="1" x14ac:dyDescent="0.35">
      <c r="A897" s="46">
        <f t="shared" si="144"/>
        <v>46153.865277777775</v>
      </c>
      <c r="B897" s="46"/>
      <c r="C897" s="46"/>
      <c r="D897" s="46"/>
      <c r="E897" s="47" t="s">
        <v>249</v>
      </c>
      <c r="F897" s="82" t="s">
        <v>704</v>
      </c>
      <c r="G897" s="82"/>
      <c r="H897" s="107" t="s">
        <v>1582</v>
      </c>
      <c r="I897" s="82" t="s">
        <v>1573</v>
      </c>
      <c r="J897" s="100" t="s">
        <v>140</v>
      </c>
      <c r="K897" s="91">
        <v>0</v>
      </c>
      <c r="L897" s="91">
        <v>0</v>
      </c>
      <c r="M897" s="92">
        <v>100</v>
      </c>
      <c r="N897" s="94">
        <v>1000</v>
      </c>
      <c r="O897" s="253">
        <v>1</v>
      </c>
      <c r="P897" s="94">
        <f t="shared" si="138"/>
        <v>1000</v>
      </c>
      <c r="Q897" s="94"/>
      <c r="R897" s="92">
        <v>1000</v>
      </c>
      <c r="S897" s="92">
        <f t="shared" si="139"/>
        <v>0</v>
      </c>
      <c r="T897" s="173">
        <f t="shared" si="140"/>
        <v>864</v>
      </c>
      <c r="U897" s="101">
        <f t="shared" si="141"/>
        <v>0</v>
      </c>
      <c r="V897" s="101">
        <f t="shared" si="142"/>
        <v>0</v>
      </c>
      <c r="W897" s="101">
        <v>0</v>
      </c>
      <c r="X897" s="55">
        <f t="shared" si="143"/>
        <v>46153.865277777775</v>
      </c>
    </row>
    <row r="898" spans="1:24" hidden="1" x14ac:dyDescent="0.35">
      <c r="A898" s="46">
        <f t="shared" si="144"/>
        <v>46153.865277777775</v>
      </c>
      <c r="B898" s="46"/>
      <c r="C898" s="46"/>
      <c r="D898" s="46"/>
      <c r="E898" s="296" t="s">
        <v>1243</v>
      </c>
      <c r="F898" s="366" t="s">
        <v>14</v>
      </c>
      <c r="G898" s="366"/>
      <c r="H898" s="298" t="s">
        <v>14</v>
      </c>
      <c r="I898" s="297" t="s">
        <v>1244</v>
      </c>
      <c r="J898" s="351" t="s">
        <v>140</v>
      </c>
      <c r="K898" s="352">
        <v>0</v>
      </c>
      <c r="L898" s="352">
        <v>0</v>
      </c>
      <c r="M898" s="353">
        <v>60</v>
      </c>
      <c r="N898" s="354">
        <v>50</v>
      </c>
      <c r="O898" s="355">
        <v>2</v>
      </c>
      <c r="P898" s="354">
        <f t="shared" si="138"/>
        <v>25</v>
      </c>
      <c r="Q898" s="354"/>
      <c r="R898" s="353">
        <v>25</v>
      </c>
      <c r="S898" s="353">
        <f t="shared" si="139"/>
        <v>0</v>
      </c>
      <c r="T898" s="356">
        <f t="shared" si="140"/>
        <v>2880</v>
      </c>
      <c r="U898" s="352">
        <f t="shared" si="141"/>
        <v>0</v>
      </c>
      <c r="V898" s="352">
        <f t="shared" si="142"/>
        <v>0</v>
      </c>
      <c r="W898" s="352">
        <v>0</v>
      </c>
      <c r="X898" s="55">
        <f t="shared" si="143"/>
        <v>46153.865277777775</v>
      </c>
    </row>
    <row r="899" spans="1:24" ht="26" hidden="1" x14ac:dyDescent="0.35">
      <c r="A899" s="46">
        <f t="shared" si="144"/>
        <v>46153.865277777775</v>
      </c>
      <c r="B899" s="431"/>
      <c r="C899" s="431"/>
      <c r="D899" s="431"/>
      <c r="E899" s="432" t="s">
        <v>249</v>
      </c>
      <c r="F899" s="433" t="s">
        <v>1583</v>
      </c>
      <c r="G899" s="433"/>
      <c r="H899" s="434" t="s">
        <v>1584</v>
      </c>
      <c r="I899" s="435" t="s">
        <v>1470</v>
      </c>
      <c r="J899" s="436" t="s">
        <v>140</v>
      </c>
      <c r="K899" s="437">
        <v>0</v>
      </c>
      <c r="L899" s="437">
        <v>0</v>
      </c>
      <c r="M899" s="438">
        <v>80</v>
      </c>
      <c r="N899" s="439">
        <v>3780</v>
      </c>
      <c r="O899" s="440">
        <v>1</v>
      </c>
      <c r="P899" s="94">
        <f t="shared" si="138"/>
        <v>3780</v>
      </c>
      <c r="Q899" s="439"/>
      <c r="R899" s="438">
        <v>3780</v>
      </c>
      <c r="S899" s="92">
        <f t="shared" si="139"/>
        <v>0</v>
      </c>
      <c r="T899" s="441">
        <f t="shared" si="140"/>
        <v>1080</v>
      </c>
      <c r="U899" s="437">
        <f t="shared" si="141"/>
        <v>0</v>
      </c>
      <c r="V899" s="437">
        <f t="shared" si="142"/>
        <v>0</v>
      </c>
      <c r="W899" s="437">
        <v>0</v>
      </c>
      <c r="X899" s="55">
        <f t="shared" si="143"/>
        <v>46153.865277777775</v>
      </c>
    </row>
    <row r="900" spans="1:24" ht="26" hidden="1" x14ac:dyDescent="0.35">
      <c r="A900" s="46">
        <f t="shared" si="144"/>
        <v>46153.865277777775</v>
      </c>
      <c r="B900" s="431"/>
      <c r="C900" s="431"/>
      <c r="D900" s="431"/>
      <c r="E900" s="432" t="s">
        <v>249</v>
      </c>
      <c r="F900" s="433" t="s">
        <v>1583</v>
      </c>
      <c r="G900" s="433"/>
      <c r="H900" s="434" t="s">
        <v>1585</v>
      </c>
      <c r="I900" s="435" t="s">
        <v>1470</v>
      </c>
      <c r="J900" s="436" t="s">
        <v>140</v>
      </c>
      <c r="K900" s="437">
        <v>0</v>
      </c>
      <c r="L900" s="437">
        <v>0</v>
      </c>
      <c r="M900" s="438">
        <v>80</v>
      </c>
      <c r="N900" s="439">
        <v>1000</v>
      </c>
      <c r="O900" s="440">
        <v>1</v>
      </c>
      <c r="P900" s="94">
        <f t="shared" si="138"/>
        <v>1000</v>
      </c>
      <c r="Q900" s="439"/>
      <c r="R900" s="438">
        <v>1000</v>
      </c>
      <c r="S900" s="92">
        <f t="shared" si="139"/>
        <v>0</v>
      </c>
      <c r="T900" s="441">
        <f t="shared" si="140"/>
        <v>1080</v>
      </c>
      <c r="U900" s="437">
        <f t="shared" si="141"/>
        <v>0</v>
      </c>
      <c r="V900" s="437">
        <f t="shared" si="142"/>
        <v>0</v>
      </c>
      <c r="W900" s="437">
        <v>0</v>
      </c>
      <c r="X900" s="55">
        <f t="shared" si="143"/>
        <v>46153.865277777775</v>
      </c>
    </row>
    <row r="901" spans="1:24" hidden="1" x14ac:dyDescent="0.35">
      <c r="A901" s="46">
        <f t="shared" si="144"/>
        <v>46153.865277777775</v>
      </c>
      <c r="B901" s="46"/>
      <c r="C901" s="46"/>
      <c r="D901" s="46"/>
      <c r="E901" s="119" t="s">
        <v>249</v>
      </c>
      <c r="F901" s="82" t="s">
        <v>1354</v>
      </c>
      <c r="G901" s="82"/>
      <c r="H901" s="98" t="s">
        <v>1586</v>
      </c>
      <c r="I901" s="82" t="s">
        <v>1187</v>
      </c>
      <c r="J901" s="51" t="s">
        <v>140</v>
      </c>
      <c r="K901" s="91">
        <v>0</v>
      </c>
      <c r="L901" s="91">
        <v>0</v>
      </c>
      <c r="M901" s="92">
        <v>120</v>
      </c>
      <c r="N901" s="94">
        <v>5760</v>
      </c>
      <c r="O901" s="253">
        <v>4</v>
      </c>
      <c r="P901" s="94">
        <f t="shared" si="138"/>
        <v>1440</v>
      </c>
      <c r="Q901" s="94"/>
      <c r="R901" s="92">
        <v>1440</v>
      </c>
      <c r="S901" s="92">
        <f t="shared" si="139"/>
        <v>0</v>
      </c>
      <c r="T901" s="254">
        <f t="shared" si="140"/>
        <v>2880</v>
      </c>
      <c r="U901" s="91">
        <f t="shared" si="141"/>
        <v>0</v>
      </c>
      <c r="V901" s="91">
        <f t="shared" si="142"/>
        <v>0</v>
      </c>
      <c r="W901" s="91">
        <v>0</v>
      </c>
      <c r="X901" s="55">
        <f t="shared" si="143"/>
        <v>46153.865277777775</v>
      </c>
    </row>
    <row r="902" spans="1:24" hidden="1" x14ac:dyDescent="0.35">
      <c r="A902" s="46">
        <f t="shared" si="144"/>
        <v>46153.865277777775</v>
      </c>
      <c r="B902" s="46"/>
      <c r="C902" s="46"/>
      <c r="D902" s="46"/>
      <c r="E902" s="47" t="s">
        <v>249</v>
      </c>
      <c r="F902" s="99" t="s">
        <v>265</v>
      </c>
      <c r="G902" s="99"/>
      <c r="H902" s="98" t="s">
        <v>1587</v>
      </c>
      <c r="I902" s="82" t="s">
        <v>457</v>
      </c>
      <c r="J902" s="100" t="s">
        <v>140</v>
      </c>
      <c r="K902" s="91">
        <v>0</v>
      </c>
      <c r="L902" s="91">
        <v>0</v>
      </c>
      <c r="M902" s="92">
        <v>90</v>
      </c>
      <c r="N902" s="94">
        <v>1500</v>
      </c>
      <c r="O902" s="253">
        <v>1</v>
      </c>
      <c r="P902" s="94">
        <f t="shared" si="138"/>
        <v>1500</v>
      </c>
      <c r="Q902" s="94"/>
      <c r="R902" s="92">
        <v>1500</v>
      </c>
      <c r="S902" s="92">
        <f t="shared" si="139"/>
        <v>0</v>
      </c>
      <c r="T902" s="173">
        <f t="shared" si="140"/>
        <v>960</v>
      </c>
      <c r="U902" s="101">
        <f t="shared" si="141"/>
        <v>0</v>
      </c>
      <c r="V902" s="101">
        <f t="shared" si="142"/>
        <v>0</v>
      </c>
      <c r="W902" s="101">
        <v>0</v>
      </c>
      <c r="X902" s="55">
        <f t="shared" si="143"/>
        <v>46153.865277777775</v>
      </c>
    </row>
    <row r="903" spans="1:24" ht="26.5" hidden="1" x14ac:dyDescent="0.35">
      <c r="A903" s="46">
        <f t="shared" si="144"/>
        <v>46153.865277777775</v>
      </c>
      <c r="B903" s="46"/>
      <c r="C903" s="46"/>
      <c r="D903" s="46"/>
      <c r="E903" s="47" t="s">
        <v>195</v>
      </c>
      <c r="F903" s="99" t="s">
        <v>1588</v>
      </c>
      <c r="G903" s="99"/>
      <c r="H903" s="105" t="s">
        <v>1589</v>
      </c>
      <c r="I903" s="77" t="s">
        <v>1414</v>
      </c>
      <c r="J903" s="60" t="s">
        <v>140</v>
      </c>
      <c r="K903" s="110">
        <v>0</v>
      </c>
      <c r="L903" s="110">
        <v>0</v>
      </c>
      <c r="M903" s="427">
        <v>120</v>
      </c>
      <c r="N903" s="428">
        <v>3600</v>
      </c>
      <c r="O903" s="429">
        <v>1</v>
      </c>
      <c r="P903" s="103">
        <f t="shared" si="138"/>
        <v>3600</v>
      </c>
      <c r="Q903" s="103"/>
      <c r="R903" s="427">
        <v>3600</v>
      </c>
      <c r="S903" s="92">
        <f t="shared" si="139"/>
        <v>0</v>
      </c>
      <c r="T903" s="430">
        <f t="shared" si="140"/>
        <v>720</v>
      </c>
      <c r="U903" s="110">
        <f t="shared" si="141"/>
        <v>0</v>
      </c>
      <c r="V903" s="110">
        <f t="shared" si="142"/>
        <v>0</v>
      </c>
      <c r="W903" s="110">
        <v>0</v>
      </c>
      <c r="X903" s="55">
        <f t="shared" si="143"/>
        <v>46153.865277777775</v>
      </c>
    </row>
    <row r="904" spans="1:24" s="109" customFormat="1" ht="13" hidden="1" x14ac:dyDescent="0.3">
      <c r="A904" s="46">
        <f t="shared" si="144"/>
        <v>46153.865277777775</v>
      </c>
      <c r="B904" s="46"/>
      <c r="C904" s="46"/>
      <c r="D904" s="46"/>
      <c r="E904" s="47" t="s">
        <v>249</v>
      </c>
      <c r="F904" s="97" t="s">
        <v>14</v>
      </c>
      <c r="G904" s="97"/>
      <c r="H904" s="98" t="s">
        <v>1590</v>
      </c>
      <c r="I904" s="82" t="s">
        <v>1591</v>
      </c>
      <c r="J904" s="51" t="s">
        <v>140</v>
      </c>
      <c r="K904" s="91">
        <v>0</v>
      </c>
      <c r="L904" s="91">
        <v>0</v>
      </c>
      <c r="M904" s="92">
        <v>60</v>
      </c>
      <c r="N904" s="94">
        <v>3000</v>
      </c>
      <c r="O904" s="253">
        <v>1</v>
      </c>
      <c r="P904" s="94">
        <f t="shared" si="138"/>
        <v>3000</v>
      </c>
      <c r="Q904" s="94"/>
      <c r="R904" s="92">
        <v>3000</v>
      </c>
      <c r="S904" s="92">
        <f t="shared" si="139"/>
        <v>0</v>
      </c>
      <c r="T904" s="254">
        <f t="shared" si="140"/>
        <v>1440</v>
      </c>
      <c r="U904" s="91">
        <f t="shared" si="141"/>
        <v>0</v>
      </c>
      <c r="V904" s="91">
        <f t="shared" si="142"/>
        <v>0</v>
      </c>
      <c r="W904" s="91">
        <v>0</v>
      </c>
      <c r="X904" s="55">
        <f t="shared" si="143"/>
        <v>46153.865277777775</v>
      </c>
    </row>
    <row r="905" spans="1:24" s="109" customFormat="1" ht="13" hidden="1" x14ac:dyDescent="0.3">
      <c r="A905" s="46">
        <f t="shared" si="144"/>
        <v>46153.865277777775</v>
      </c>
      <c r="B905" s="46"/>
      <c r="C905" s="46"/>
      <c r="D905" s="46"/>
      <c r="E905" s="47" t="s">
        <v>249</v>
      </c>
      <c r="F905" s="97" t="s">
        <v>900</v>
      </c>
      <c r="G905" s="97"/>
      <c r="H905" s="98" t="s">
        <v>1592</v>
      </c>
      <c r="I905" s="82" t="s">
        <v>1591</v>
      </c>
      <c r="J905" s="51" t="s">
        <v>140</v>
      </c>
      <c r="K905" s="91">
        <v>0</v>
      </c>
      <c r="L905" s="91">
        <v>0</v>
      </c>
      <c r="M905" s="92">
        <v>60</v>
      </c>
      <c r="N905" s="94">
        <v>2500</v>
      </c>
      <c r="O905" s="253">
        <v>1</v>
      </c>
      <c r="P905" s="94">
        <f t="shared" si="138"/>
        <v>2500</v>
      </c>
      <c r="Q905" s="94"/>
      <c r="R905" s="92">
        <v>2500</v>
      </c>
      <c r="S905" s="92">
        <f t="shared" si="139"/>
        <v>0</v>
      </c>
      <c r="T905" s="254">
        <f t="shared" si="140"/>
        <v>1440</v>
      </c>
      <c r="U905" s="91">
        <f t="shared" si="141"/>
        <v>0</v>
      </c>
      <c r="V905" s="91">
        <f t="shared" si="142"/>
        <v>0</v>
      </c>
      <c r="W905" s="91">
        <v>0</v>
      </c>
      <c r="X905" s="55">
        <f t="shared" si="143"/>
        <v>46153.865277777775</v>
      </c>
    </row>
    <row r="906" spans="1:24" hidden="1" x14ac:dyDescent="0.35">
      <c r="A906" s="46">
        <f t="shared" si="144"/>
        <v>46153.865277777775</v>
      </c>
      <c r="B906" s="46"/>
      <c r="C906" s="46"/>
      <c r="D906" s="46"/>
      <c r="E906" s="47" t="s">
        <v>195</v>
      </c>
      <c r="F906" s="99" t="s">
        <v>250</v>
      </c>
      <c r="G906" s="99"/>
      <c r="H906" s="107" t="s">
        <v>1593</v>
      </c>
      <c r="I906" s="82" t="s">
        <v>303</v>
      </c>
      <c r="J906" s="51" t="s">
        <v>140</v>
      </c>
      <c r="K906" s="101">
        <v>0</v>
      </c>
      <c r="L906" s="101">
        <v>0</v>
      </c>
      <c r="M906" s="102">
        <v>120</v>
      </c>
      <c r="N906" s="103">
        <v>1000</v>
      </c>
      <c r="O906" s="171">
        <v>1</v>
      </c>
      <c r="P906" s="103">
        <f t="shared" si="138"/>
        <v>1000</v>
      </c>
      <c r="Q906" s="103"/>
      <c r="R906" s="102">
        <v>1000</v>
      </c>
      <c r="S906" s="102">
        <f t="shared" si="139"/>
        <v>0</v>
      </c>
      <c r="T906" s="173">
        <f t="shared" si="140"/>
        <v>720</v>
      </c>
      <c r="U906" s="101">
        <f t="shared" si="141"/>
        <v>0</v>
      </c>
      <c r="V906" s="101">
        <f t="shared" si="142"/>
        <v>0</v>
      </c>
      <c r="W906" s="101">
        <v>0</v>
      </c>
      <c r="X906" s="55">
        <f t="shared" si="143"/>
        <v>46153.865277777775</v>
      </c>
    </row>
    <row r="907" spans="1:24" s="109" customFormat="1" ht="13" hidden="1" x14ac:dyDescent="0.3">
      <c r="A907" s="46">
        <f t="shared" si="144"/>
        <v>46153.865277777775</v>
      </c>
      <c r="B907" s="46"/>
      <c r="C907" s="46"/>
      <c r="D907" s="46"/>
      <c r="E907" s="47" t="s">
        <v>249</v>
      </c>
      <c r="F907" s="97" t="s">
        <v>900</v>
      </c>
      <c r="G907" s="97"/>
      <c r="H907" s="98" t="s">
        <v>1594</v>
      </c>
      <c r="I907" s="82" t="s">
        <v>1595</v>
      </c>
      <c r="J907" s="51" t="s">
        <v>140</v>
      </c>
      <c r="K907" s="91">
        <v>0</v>
      </c>
      <c r="L907" s="91">
        <v>0</v>
      </c>
      <c r="M907" s="92">
        <v>730</v>
      </c>
      <c r="N907" s="94">
        <v>100</v>
      </c>
      <c r="O907" s="253">
        <v>1</v>
      </c>
      <c r="P907" s="94">
        <f t="shared" si="138"/>
        <v>100</v>
      </c>
      <c r="Q907" s="94"/>
      <c r="R907" s="92">
        <v>100</v>
      </c>
      <c r="S907" s="92">
        <f t="shared" si="139"/>
        <v>0</v>
      </c>
      <c r="T907" s="254">
        <f t="shared" si="140"/>
        <v>118.35616438356165</v>
      </c>
      <c r="U907" s="91">
        <f t="shared" si="141"/>
        <v>0</v>
      </c>
      <c r="V907" s="91">
        <f t="shared" si="142"/>
        <v>0</v>
      </c>
      <c r="W907" s="91">
        <v>0</v>
      </c>
      <c r="X907" s="55">
        <f t="shared" si="143"/>
        <v>46153.865277777775</v>
      </c>
    </row>
    <row r="908" spans="1:24" s="109" customFormat="1" ht="13" hidden="1" x14ac:dyDescent="0.3">
      <c r="A908" s="46">
        <f t="shared" si="144"/>
        <v>46153.865277777775</v>
      </c>
      <c r="B908" s="46"/>
      <c r="C908" s="46"/>
      <c r="D908" s="46"/>
      <c r="E908" s="47" t="s">
        <v>249</v>
      </c>
      <c r="F908" s="97" t="s">
        <v>1596</v>
      </c>
      <c r="G908" s="97"/>
      <c r="H908" s="107" t="s">
        <v>1597</v>
      </c>
      <c r="I908" s="71" t="s">
        <v>1598</v>
      </c>
      <c r="J908" s="100" t="s">
        <v>140</v>
      </c>
      <c r="K908" s="91">
        <v>0</v>
      </c>
      <c r="L908" s="91">
        <v>0</v>
      </c>
      <c r="M908" s="92">
        <v>730</v>
      </c>
      <c r="N908" s="94">
        <v>100</v>
      </c>
      <c r="O908" s="253">
        <v>1</v>
      </c>
      <c r="P908" s="94">
        <f t="shared" si="138"/>
        <v>100</v>
      </c>
      <c r="Q908" s="94"/>
      <c r="R908" s="92">
        <v>100</v>
      </c>
      <c r="S908" s="92">
        <f t="shared" si="139"/>
        <v>0</v>
      </c>
      <c r="T908" s="173">
        <f t="shared" si="140"/>
        <v>118.35616438356165</v>
      </c>
      <c r="U908" s="101">
        <f t="shared" si="141"/>
        <v>0</v>
      </c>
      <c r="V908" s="101">
        <f t="shared" si="142"/>
        <v>0</v>
      </c>
      <c r="W908" s="101">
        <v>0</v>
      </c>
      <c r="X908" s="55">
        <f t="shared" si="143"/>
        <v>46153.865277777775</v>
      </c>
    </row>
    <row r="909" spans="1:24" s="109" customFormat="1" ht="13" hidden="1" x14ac:dyDescent="0.3">
      <c r="A909" s="46">
        <f t="shared" si="144"/>
        <v>46153.865277777775</v>
      </c>
      <c r="B909" s="46"/>
      <c r="C909" s="46"/>
      <c r="D909" s="46"/>
      <c r="E909" s="47" t="s">
        <v>249</v>
      </c>
      <c r="F909" s="97" t="s">
        <v>900</v>
      </c>
      <c r="G909" s="97"/>
      <c r="H909" s="98" t="s">
        <v>1599</v>
      </c>
      <c r="I909" s="82" t="s">
        <v>1600</v>
      </c>
      <c r="J909" s="100" t="s">
        <v>140</v>
      </c>
      <c r="K909" s="91">
        <v>0</v>
      </c>
      <c r="L909" s="91">
        <v>0</v>
      </c>
      <c r="M909" s="92">
        <v>730</v>
      </c>
      <c r="N909" s="94">
        <v>50</v>
      </c>
      <c r="O909" s="253">
        <v>1</v>
      </c>
      <c r="P909" s="94">
        <f t="shared" si="138"/>
        <v>50</v>
      </c>
      <c r="Q909" s="94"/>
      <c r="R909" s="92">
        <v>50</v>
      </c>
      <c r="S909" s="92">
        <f t="shared" si="139"/>
        <v>0</v>
      </c>
      <c r="T909" s="173">
        <f t="shared" si="140"/>
        <v>118.35616438356165</v>
      </c>
      <c r="U909" s="101">
        <f t="shared" si="141"/>
        <v>0</v>
      </c>
      <c r="V909" s="101">
        <f t="shared" si="142"/>
        <v>0</v>
      </c>
      <c r="W909" s="101">
        <v>0</v>
      </c>
      <c r="X909" s="55">
        <f t="shared" si="143"/>
        <v>46153.865277777775</v>
      </c>
    </row>
    <row r="910" spans="1:24" s="109" customFormat="1" ht="13" hidden="1" x14ac:dyDescent="0.3">
      <c r="A910" s="46">
        <f t="shared" si="144"/>
        <v>46153.865277777775</v>
      </c>
      <c r="B910" s="46"/>
      <c r="C910" s="46"/>
      <c r="D910" s="46"/>
      <c r="E910" s="47" t="s">
        <v>249</v>
      </c>
      <c r="F910" s="97" t="s">
        <v>900</v>
      </c>
      <c r="G910" s="97"/>
      <c r="H910" s="107" t="s">
        <v>1601</v>
      </c>
      <c r="I910" s="71" t="s">
        <v>1602</v>
      </c>
      <c r="J910" s="100" t="s">
        <v>140</v>
      </c>
      <c r="K910" s="91">
        <v>0</v>
      </c>
      <c r="L910" s="91">
        <v>0</v>
      </c>
      <c r="M910" s="92">
        <v>730</v>
      </c>
      <c r="N910" s="94">
        <v>150</v>
      </c>
      <c r="O910" s="253">
        <v>1</v>
      </c>
      <c r="P910" s="94">
        <f t="shared" si="138"/>
        <v>150</v>
      </c>
      <c r="Q910" s="94"/>
      <c r="R910" s="92">
        <v>150</v>
      </c>
      <c r="S910" s="92">
        <f t="shared" si="139"/>
        <v>0</v>
      </c>
      <c r="T910" s="173">
        <f t="shared" si="140"/>
        <v>118.35616438356165</v>
      </c>
      <c r="U910" s="101">
        <f t="shared" si="141"/>
        <v>0</v>
      </c>
      <c r="V910" s="101">
        <f t="shared" si="142"/>
        <v>0</v>
      </c>
      <c r="W910" s="101">
        <v>0</v>
      </c>
      <c r="X910" s="55">
        <f t="shared" si="143"/>
        <v>46153.865277777775</v>
      </c>
    </row>
    <row r="911" spans="1:24" hidden="1" x14ac:dyDescent="0.35">
      <c r="A911" s="46">
        <f t="shared" si="144"/>
        <v>46153.865277777775</v>
      </c>
      <c r="B911" s="46"/>
      <c r="C911" s="46"/>
      <c r="D911" s="46"/>
      <c r="E911" s="47" t="s">
        <v>195</v>
      </c>
      <c r="F911" s="82" t="s">
        <v>1603</v>
      </c>
      <c r="G911" s="82"/>
      <c r="H911" s="108">
        <v>12332</v>
      </c>
      <c r="I911" s="82" t="s">
        <v>1578</v>
      </c>
      <c r="J911" s="51" t="s">
        <v>140</v>
      </c>
      <c r="K911" s="91">
        <v>0</v>
      </c>
      <c r="L911" s="91">
        <v>0</v>
      </c>
      <c r="M911" s="92">
        <v>120</v>
      </c>
      <c r="N911" s="94">
        <v>4000</v>
      </c>
      <c r="O911" s="253">
        <v>1</v>
      </c>
      <c r="P911" s="94">
        <f t="shared" si="138"/>
        <v>4000</v>
      </c>
      <c r="Q911" s="94"/>
      <c r="R911" s="92">
        <v>4000</v>
      </c>
      <c r="S911" s="92">
        <f t="shared" si="139"/>
        <v>0</v>
      </c>
      <c r="T911" s="254">
        <f t="shared" si="140"/>
        <v>720</v>
      </c>
      <c r="U911" s="91">
        <f t="shared" si="141"/>
        <v>0</v>
      </c>
      <c r="V911" s="91">
        <f t="shared" si="142"/>
        <v>0</v>
      </c>
      <c r="W911" s="91">
        <v>0</v>
      </c>
      <c r="X911" s="55">
        <f t="shared" si="143"/>
        <v>46153.865277777775</v>
      </c>
    </row>
    <row r="912" spans="1:24" s="109" customFormat="1" ht="13" hidden="1" x14ac:dyDescent="0.3">
      <c r="A912" s="46">
        <f t="shared" si="144"/>
        <v>46153.865277777775</v>
      </c>
      <c r="B912" s="46"/>
      <c r="C912" s="46"/>
      <c r="D912" s="46"/>
      <c r="E912" s="296" t="s">
        <v>249</v>
      </c>
      <c r="F912" s="366" t="s">
        <v>14</v>
      </c>
      <c r="G912" s="454"/>
      <c r="H912" s="455" t="s">
        <v>14</v>
      </c>
      <c r="I912" s="297" t="s">
        <v>1604</v>
      </c>
      <c r="J912" s="351" t="s">
        <v>140</v>
      </c>
      <c r="K912" s="352">
        <v>0</v>
      </c>
      <c r="L912" s="352">
        <v>0</v>
      </c>
      <c r="M912" s="353">
        <v>100</v>
      </c>
      <c r="N912" s="354">
        <v>20</v>
      </c>
      <c r="O912" s="355">
        <v>1</v>
      </c>
      <c r="P912" s="354">
        <f t="shared" si="138"/>
        <v>20</v>
      </c>
      <c r="Q912" s="354"/>
      <c r="R912" s="353">
        <v>20</v>
      </c>
      <c r="S912" s="353">
        <f t="shared" si="139"/>
        <v>0</v>
      </c>
      <c r="T912" s="356">
        <f t="shared" si="140"/>
        <v>864</v>
      </c>
      <c r="U912" s="352">
        <f t="shared" si="141"/>
        <v>0</v>
      </c>
      <c r="V912" s="352">
        <f t="shared" si="142"/>
        <v>0</v>
      </c>
      <c r="W912" s="352">
        <v>0</v>
      </c>
      <c r="X912" s="55">
        <f t="shared" si="143"/>
        <v>46153.865277777775</v>
      </c>
    </row>
    <row r="913" spans="1:24" s="456" customFormat="1" ht="13" hidden="1" x14ac:dyDescent="0.3">
      <c r="A913" s="46">
        <f t="shared" si="144"/>
        <v>46153.865277777775</v>
      </c>
      <c r="B913" s="431"/>
      <c r="C913" s="431"/>
      <c r="D913" s="431"/>
      <c r="E913" s="432" t="s">
        <v>249</v>
      </c>
      <c r="F913" s="82" t="s">
        <v>1247</v>
      </c>
      <c r="G913" s="82"/>
      <c r="H913" s="107" t="s">
        <v>1605</v>
      </c>
      <c r="I913" s="97" t="s">
        <v>143</v>
      </c>
      <c r="J913" s="51" t="s">
        <v>140</v>
      </c>
      <c r="K913" s="91">
        <v>0</v>
      </c>
      <c r="L913" s="91">
        <v>0</v>
      </c>
      <c r="M913" s="92">
        <v>100</v>
      </c>
      <c r="N913" s="94">
        <v>2000</v>
      </c>
      <c r="O913" s="253">
        <v>1</v>
      </c>
      <c r="P913" s="94">
        <f t="shared" si="138"/>
        <v>2000</v>
      </c>
      <c r="Q913" s="94"/>
      <c r="R913" s="92">
        <v>2000</v>
      </c>
      <c r="S913" s="92">
        <f t="shared" si="139"/>
        <v>0</v>
      </c>
      <c r="T913" s="254">
        <f t="shared" si="140"/>
        <v>864</v>
      </c>
      <c r="U913" s="91">
        <f t="shared" si="141"/>
        <v>0</v>
      </c>
      <c r="V913" s="91">
        <f t="shared" si="142"/>
        <v>0</v>
      </c>
      <c r="W913" s="91">
        <v>0</v>
      </c>
      <c r="X913" s="55">
        <f t="shared" si="143"/>
        <v>46153.865277777775</v>
      </c>
    </row>
    <row r="914" spans="1:24" s="456" customFormat="1" ht="13" hidden="1" x14ac:dyDescent="0.3">
      <c r="A914" s="46">
        <f t="shared" si="144"/>
        <v>46153.865277777775</v>
      </c>
      <c r="B914" s="431"/>
      <c r="C914" s="431"/>
      <c r="D914" s="431"/>
      <c r="E914" s="432" t="s">
        <v>249</v>
      </c>
      <c r="F914" s="82" t="s">
        <v>1606</v>
      </c>
      <c r="G914" s="82"/>
      <c r="H914" s="107" t="s">
        <v>1607</v>
      </c>
      <c r="I914" s="97" t="s">
        <v>143</v>
      </c>
      <c r="J914" s="51" t="s">
        <v>140</v>
      </c>
      <c r="K914" s="91">
        <v>0</v>
      </c>
      <c r="L914" s="91">
        <v>0</v>
      </c>
      <c r="M914" s="92">
        <v>100</v>
      </c>
      <c r="N914" s="94">
        <v>2772</v>
      </c>
      <c r="O914" s="253">
        <v>1</v>
      </c>
      <c r="P914" s="94">
        <f t="shared" si="138"/>
        <v>2772</v>
      </c>
      <c r="Q914" s="94"/>
      <c r="R914" s="92">
        <v>2772</v>
      </c>
      <c r="S914" s="92">
        <f t="shared" si="139"/>
        <v>0</v>
      </c>
      <c r="T914" s="254">
        <f t="shared" si="140"/>
        <v>864</v>
      </c>
      <c r="U914" s="91">
        <f t="shared" si="141"/>
        <v>0</v>
      </c>
      <c r="V914" s="91">
        <f t="shared" si="142"/>
        <v>0</v>
      </c>
      <c r="W914" s="91">
        <v>0</v>
      </c>
      <c r="X914" s="55">
        <f t="shared" si="143"/>
        <v>46153.865277777775</v>
      </c>
    </row>
    <row r="915" spans="1:24" hidden="1" x14ac:dyDescent="0.35">
      <c r="A915" s="46">
        <f t="shared" si="144"/>
        <v>46153.865277777775</v>
      </c>
      <c r="B915" s="46"/>
      <c r="C915" s="46"/>
      <c r="D915" s="46"/>
      <c r="E915" s="47" t="s">
        <v>249</v>
      </c>
      <c r="F915" s="82" t="s">
        <v>1257</v>
      </c>
      <c r="G915" s="82"/>
      <c r="H915" s="107" t="s">
        <v>1608</v>
      </c>
      <c r="I915" s="82" t="s">
        <v>1566</v>
      </c>
      <c r="J915" s="100" t="s">
        <v>140</v>
      </c>
      <c r="K915" s="91">
        <v>0</v>
      </c>
      <c r="L915" s="91">
        <v>0</v>
      </c>
      <c r="M915" s="92">
        <v>100</v>
      </c>
      <c r="N915" s="94">
        <v>2000</v>
      </c>
      <c r="O915" s="253">
        <v>1</v>
      </c>
      <c r="P915" s="94">
        <f t="shared" si="138"/>
        <v>2000</v>
      </c>
      <c r="Q915" s="94"/>
      <c r="R915" s="92">
        <v>2000</v>
      </c>
      <c r="S915" s="92">
        <f t="shared" si="139"/>
        <v>0</v>
      </c>
      <c r="T915" s="173">
        <f t="shared" si="140"/>
        <v>864</v>
      </c>
      <c r="U915" s="101">
        <f t="shared" si="141"/>
        <v>0</v>
      </c>
      <c r="V915" s="101">
        <f t="shared" si="142"/>
        <v>0</v>
      </c>
      <c r="W915" s="101">
        <v>0</v>
      </c>
      <c r="X915" s="55">
        <f t="shared" si="143"/>
        <v>46153.865277777775</v>
      </c>
    </row>
    <row r="916" spans="1:24" ht="26.5" hidden="1" x14ac:dyDescent="0.35">
      <c r="A916" s="46">
        <f t="shared" si="144"/>
        <v>46153.865277777775</v>
      </c>
      <c r="B916" s="46"/>
      <c r="C916" s="46"/>
      <c r="D916" s="46"/>
      <c r="E916" s="47" t="s">
        <v>249</v>
      </c>
      <c r="F916" s="82" t="s">
        <v>1609</v>
      </c>
      <c r="G916" s="82"/>
      <c r="H916" s="107" t="s">
        <v>1610</v>
      </c>
      <c r="I916" s="82" t="s">
        <v>1611</v>
      </c>
      <c r="J916" s="100" t="s">
        <v>140</v>
      </c>
      <c r="K916" s="91">
        <v>0</v>
      </c>
      <c r="L916" s="91">
        <v>0</v>
      </c>
      <c r="M916" s="92">
        <v>100</v>
      </c>
      <c r="N916" s="94">
        <v>1000</v>
      </c>
      <c r="O916" s="253">
        <v>1</v>
      </c>
      <c r="P916" s="94">
        <f t="shared" si="138"/>
        <v>1000</v>
      </c>
      <c r="Q916" s="94"/>
      <c r="R916" s="92">
        <v>1000</v>
      </c>
      <c r="S916" s="92">
        <f t="shared" si="139"/>
        <v>0</v>
      </c>
      <c r="T916" s="173">
        <f t="shared" si="140"/>
        <v>864</v>
      </c>
      <c r="U916" s="101">
        <f t="shared" si="141"/>
        <v>0</v>
      </c>
      <c r="V916" s="101">
        <f t="shared" si="142"/>
        <v>0</v>
      </c>
      <c r="W916" s="101">
        <v>0</v>
      </c>
      <c r="X916" s="55">
        <f t="shared" si="143"/>
        <v>46153.865277777775</v>
      </c>
    </row>
    <row r="917" spans="1:24" s="456" customFormat="1" ht="13" hidden="1" x14ac:dyDescent="0.3">
      <c r="A917" s="46">
        <f t="shared" si="144"/>
        <v>46153.865277777775</v>
      </c>
      <c r="B917" s="46"/>
      <c r="C917" s="46"/>
      <c r="D917" s="46"/>
      <c r="E917" s="47" t="s">
        <v>249</v>
      </c>
      <c r="F917" s="97" t="s">
        <v>900</v>
      </c>
      <c r="G917" s="97"/>
      <c r="H917" s="98" t="s">
        <v>1612</v>
      </c>
      <c r="I917" s="82" t="s">
        <v>1591</v>
      </c>
      <c r="J917" s="51" t="s">
        <v>140</v>
      </c>
      <c r="K917" s="91">
        <v>0</v>
      </c>
      <c r="L917" s="91">
        <v>0</v>
      </c>
      <c r="M917" s="92">
        <v>60</v>
      </c>
      <c r="N917" s="94">
        <v>5000</v>
      </c>
      <c r="O917" s="253">
        <v>1</v>
      </c>
      <c r="P917" s="94">
        <f t="shared" si="138"/>
        <v>5000</v>
      </c>
      <c r="Q917" s="94"/>
      <c r="R917" s="92">
        <v>5000</v>
      </c>
      <c r="S917" s="92">
        <f t="shared" si="139"/>
        <v>0</v>
      </c>
      <c r="T917" s="254">
        <f t="shared" si="140"/>
        <v>1440</v>
      </c>
      <c r="U917" s="91">
        <f t="shared" si="141"/>
        <v>0</v>
      </c>
      <c r="V917" s="91">
        <f t="shared" si="142"/>
        <v>0</v>
      </c>
      <c r="W917" s="91">
        <v>0</v>
      </c>
      <c r="X917" s="55">
        <f t="shared" si="143"/>
        <v>46153.865277777775</v>
      </c>
    </row>
    <row r="918" spans="1:24" s="118" customFormat="1" ht="26.5" hidden="1" x14ac:dyDescent="0.35">
      <c r="A918" s="46">
        <f t="shared" si="144"/>
        <v>46153.865277777775</v>
      </c>
      <c r="B918" s="46"/>
      <c r="C918" s="46"/>
      <c r="D918" s="46"/>
      <c r="E918" s="47" t="s">
        <v>249</v>
      </c>
      <c r="F918" s="82" t="s">
        <v>758</v>
      </c>
      <c r="G918" s="82"/>
      <c r="H918" s="107" t="s">
        <v>1613</v>
      </c>
      <c r="I918" s="82" t="s">
        <v>1573</v>
      </c>
      <c r="J918" s="100" t="s">
        <v>140</v>
      </c>
      <c r="K918" s="91">
        <v>0</v>
      </c>
      <c r="L918" s="91">
        <v>0</v>
      </c>
      <c r="M918" s="92">
        <v>100</v>
      </c>
      <c r="N918" s="94">
        <v>2000</v>
      </c>
      <c r="O918" s="253">
        <v>1</v>
      </c>
      <c r="P918" s="94">
        <f t="shared" si="138"/>
        <v>2000</v>
      </c>
      <c r="Q918" s="94"/>
      <c r="R918" s="92">
        <v>2000</v>
      </c>
      <c r="S918" s="92">
        <f t="shared" si="139"/>
        <v>0</v>
      </c>
      <c r="T918" s="173">
        <f t="shared" si="140"/>
        <v>864</v>
      </c>
      <c r="U918" s="101">
        <f t="shared" si="141"/>
        <v>0</v>
      </c>
      <c r="V918" s="101">
        <f t="shared" si="142"/>
        <v>0</v>
      </c>
      <c r="W918" s="101">
        <v>0</v>
      </c>
      <c r="X918" s="55">
        <f t="shared" si="143"/>
        <v>46153.865277777775</v>
      </c>
    </row>
    <row r="919" spans="1:24" ht="26" hidden="1" x14ac:dyDescent="0.35">
      <c r="A919" s="46">
        <f t="shared" si="144"/>
        <v>46153.865277777775</v>
      </c>
      <c r="B919" s="431"/>
      <c r="C919" s="431"/>
      <c r="D919" s="431"/>
      <c r="E919" s="432" t="s">
        <v>249</v>
      </c>
      <c r="F919" s="433" t="s">
        <v>1614</v>
      </c>
      <c r="G919" s="433"/>
      <c r="H919" s="434" t="s">
        <v>1615</v>
      </c>
      <c r="I919" s="435" t="s">
        <v>1470</v>
      </c>
      <c r="J919" s="436" t="s">
        <v>140</v>
      </c>
      <c r="K919" s="437">
        <v>0</v>
      </c>
      <c r="L919" s="437">
        <v>0</v>
      </c>
      <c r="M919" s="438">
        <v>80</v>
      </c>
      <c r="N919" s="439">
        <v>2500</v>
      </c>
      <c r="O919" s="440">
        <v>1</v>
      </c>
      <c r="P919" s="94">
        <f t="shared" si="138"/>
        <v>2500</v>
      </c>
      <c r="Q919" s="439"/>
      <c r="R919" s="438">
        <v>2500</v>
      </c>
      <c r="S919" s="92">
        <f t="shared" si="139"/>
        <v>0</v>
      </c>
      <c r="T919" s="441">
        <f t="shared" si="140"/>
        <v>1080</v>
      </c>
      <c r="U919" s="437">
        <f t="shared" si="141"/>
        <v>0</v>
      </c>
      <c r="V919" s="437">
        <f t="shared" si="142"/>
        <v>0</v>
      </c>
      <c r="W919" s="437">
        <v>0</v>
      </c>
      <c r="X919" s="55">
        <f t="shared" si="143"/>
        <v>46153.865277777775</v>
      </c>
    </row>
    <row r="920" spans="1:24" ht="26" hidden="1" x14ac:dyDescent="0.35">
      <c r="A920" s="46">
        <f t="shared" si="144"/>
        <v>46153.865277777775</v>
      </c>
      <c r="B920" s="431"/>
      <c r="C920" s="431"/>
      <c r="D920" s="431"/>
      <c r="E920" s="457" t="s">
        <v>249</v>
      </c>
      <c r="F920" s="458" t="s">
        <v>14</v>
      </c>
      <c r="G920" s="458"/>
      <c r="H920" s="459" t="s">
        <v>14</v>
      </c>
      <c r="I920" s="460" t="s">
        <v>1470</v>
      </c>
      <c r="J920" s="461" t="s">
        <v>140</v>
      </c>
      <c r="K920" s="462">
        <v>0</v>
      </c>
      <c r="L920" s="462">
        <v>0</v>
      </c>
      <c r="M920" s="463">
        <v>80</v>
      </c>
      <c r="N920" s="464">
        <v>50</v>
      </c>
      <c r="O920" s="465">
        <v>1</v>
      </c>
      <c r="P920" s="354">
        <f t="shared" si="138"/>
        <v>50</v>
      </c>
      <c r="Q920" s="464"/>
      <c r="R920" s="463">
        <v>50</v>
      </c>
      <c r="S920" s="353">
        <f t="shared" si="139"/>
        <v>0</v>
      </c>
      <c r="T920" s="466">
        <f t="shared" si="140"/>
        <v>1080</v>
      </c>
      <c r="U920" s="462">
        <f t="shared" si="141"/>
        <v>0</v>
      </c>
      <c r="V920" s="462">
        <f t="shared" si="142"/>
        <v>0</v>
      </c>
      <c r="W920" s="462">
        <v>0</v>
      </c>
      <c r="X920" s="55">
        <f t="shared" si="143"/>
        <v>46153.865277777775</v>
      </c>
    </row>
    <row r="921" spans="1:24" hidden="1" x14ac:dyDescent="0.35">
      <c r="A921" s="46">
        <f t="shared" si="144"/>
        <v>46153.865277777775</v>
      </c>
      <c r="B921" s="46"/>
      <c r="C921" s="46"/>
      <c r="D921" s="46"/>
      <c r="E921" s="47" t="s">
        <v>249</v>
      </c>
      <c r="F921" s="82" t="s">
        <v>782</v>
      </c>
      <c r="G921" s="82"/>
      <c r="H921" s="98" t="s">
        <v>1616</v>
      </c>
      <c r="I921" s="82" t="s">
        <v>1617</v>
      </c>
      <c r="J921" s="100" t="s">
        <v>140</v>
      </c>
      <c r="K921" s="101">
        <v>0</v>
      </c>
      <c r="L921" s="101">
        <v>0</v>
      </c>
      <c r="M921" s="102">
        <v>180</v>
      </c>
      <c r="N921" s="103">
        <v>240</v>
      </c>
      <c r="O921" s="171">
        <v>1</v>
      </c>
      <c r="P921" s="103">
        <f t="shared" si="138"/>
        <v>240</v>
      </c>
      <c r="Q921" s="103"/>
      <c r="R921" s="102">
        <v>240</v>
      </c>
      <c r="S921" s="102">
        <f t="shared" si="139"/>
        <v>0</v>
      </c>
      <c r="T921" s="173">
        <f t="shared" si="140"/>
        <v>480</v>
      </c>
      <c r="U921" s="101">
        <f t="shared" si="141"/>
        <v>0</v>
      </c>
      <c r="V921" s="101">
        <f t="shared" si="142"/>
        <v>0</v>
      </c>
      <c r="W921" s="101">
        <v>0</v>
      </c>
      <c r="X921" s="55">
        <f t="shared" si="143"/>
        <v>46153.865277777775</v>
      </c>
    </row>
    <row r="922" spans="1:24" ht="26.5" hidden="1" x14ac:dyDescent="0.35">
      <c r="A922" s="46">
        <f t="shared" si="144"/>
        <v>46153.865277777775</v>
      </c>
      <c r="B922" s="46"/>
      <c r="C922" s="46"/>
      <c r="D922" s="46"/>
      <c r="E922" s="47" t="s">
        <v>249</v>
      </c>
      <c r="F922" s="82" t="s">
        <v>776</v>
      </c>
      <c r="G922" s="82"/>
      <c r="H922" s="107" t="s">
        <v>1618</v>
      </c>
      <c r="I922" s="82" t="s">
        <v>1573</v>
      </c>
      <c r="J922" s="100" t="s">
        <v>140</v>
      </c>
      <c r="K922" s="91">
        <v>0</v>
      </c>
      <c r="L922" s="91">
        <v>0</v>
      </c>
      <c r="M922" s="92">
        <v>100</v>
      </c>
      <c r="N922" s="94">
        <v>1000</v>
      </c>
      <c r="O922" s="253">
        <v>1</v>
      </c>
      <c r="P922" s="94">
        <f t="shared" si="138"/>
        <v>1000</v>
      </c>
      <c r="Q922" s="94"/>
      <c r="R922" s="92">
        <v>1000</v>
      </c>
      <c r="S922" s="92">
        <f t="shared" si="139"/>
        <v>0</v>
      </c>
      <c r="T922" s="173">
        <f t="shared" si="140"/>
        <v>864</v>
      </c>
      <c r="U922" s="101">
        <f t="shared" si="141"/>
        <v>0</v>
      </c>
      <c r="V922" s="101">
        <f t="shared" si="142"/>
        <v>0</v>
      </c>
      <c r="W922" s="101">
        <v>0</v>
      </c>
      <c r="X922" s="55">
        <f t="shared" si="143"/>
        <v>46153.865277777775</v>
      </c>
    </row>
    <row r="923" spans="1:24" ht="26.5" hidden="1" x14ac:dyDescent="0.35">
      <c r="A923" s="46">
        <f t="shared" si="144"/>
        <v>46153.865277777775</v>
      </c>
      <c r="B923" s="46"/>
      <c r="C923" s="46"/>
      <c r="D923" s="46"/>
      <c r="E923" s="47" t="s">
        <v>249</v>
      </c>
      <c r="F923" s="82" t="s">
        <v>778</v>
      </c>
      <c r="G923" s="82"/>
      <c r="H923" s="107" t="s">
        <v>1619</v>
      </c>
      <c r="I923" s="82" t="s">
        <v>1573</v>
      </c>
      <c r="J923" s="100" t="s">
        <v>140</v>
      </c>
      <c r="K923" s="91">
        <v>0</v>
      </c>
      <c r="L923" s="91">
        <v>0</v>
      </c>
      <c r="M923" s="92">
        <v>100</v>
      </c>
      <c r="N923" s="94">
        <v>1500</v>
      </c>
      <c r="O923" s="253">
        <v>1</v>
      </c>
      <c r="P923" s="94">
        <f t="shared" si="138"/>
        <v>1500</v>
      </c>
      <c r="Q923" s="94"/>
      <c r="R923" s="92">
        <v>1500</v>
      </c>
      <c r="S923" s="92">
        <f t="shared" si="139"/>
        <v>0</v>
      </c>
      <c r="T923" s="173">
        <f t="shared" si="140"/>
        <v>864</v>
      </c>
      <c r="U923" s="101">
        <f t="shared" si="141"/>
        <v>0</v>
      </c>
      <c r="V923" s="101">
        <f t="shared" si="142"/>
        <v>0</v>
      </c>
      <c r="W923" s="101">
        <v>0</v>
      </c>
      <c r="X923" s="55">
        <f t="shared" si="143"/>
        <v>46153.865277777775</v>
      </c>
    </row>
    <row r="924" spans="1:24" ht="26.5" hidden="1" x14ac:dyDescent="0.35">
      <c r="A924" s="46">
        <f t="shared" si="144"/>
        <v>46153.865277777775</v>
      </c>
      <c r="B924" s="46"/>
      <c r="C924" s="46"/>
      <c r="D924" s="46"/>
      <c r="E924" s="47" t="s">
        <v>249</v>
      </c>
      <c r="F924" s="82" t="s">
        <v>776</v>
      </c>
      <c r="G924" s="82" t="s">
        <v>1620</v>
      </c>
      <c r="H924" s="107" t="s">
        <v>1621</v>
      </c>
      <c r="I924" s="97" t="s">
        <v>765</v>
      </c>
      <c r="J924" s="100" t="s">
        <v>140</v>
      </c>
      <c r="K924" s="91">
        <v>0</v>
      </c>
      <c r="L924" s="91">
        <v>0</v>
      </c>
      <c r="M924" s="92">
        <v>100</v>
      </c>
      <c r="N924" s="94">
        <v>1000</v>
      </c>
      <c r="O924" s="253">
        <v>1</v>
      </c>
      <c r="P924" s="94">
        <f t="shared" ref="P924:P969" si="145">N924/O924</f>
        <v>1000</v>
      </c>
      <c r="Q924" s="94"/>
      <c r="R924" s="92">
        <v>1000</v>
      </c>
      <c r="S924" s="92">
        <f t="shared" si="139"/>
        <v>0</v>
      </c>
      <c r="T924" s="173">
        <f t="shared" si="140"/>
        <v>864</v>
      </c>
      <c r="U924" s="101">
        <f t="shared" si="141"/>
        <v>0</v>
      </c>
      <c r="V924" s="101">
        <f t="shared" si="142"/>
        <v>0</v>
      </c>
      <c r="W924" s="101">
        <v>0</v>
      </c>
      <c r="X924" s="55">
        <f t="shared" si="143"/>
        <v>46153.865277777775</v>
      </c>
    </row>
    <row r="925" spans="1:24" hidden="1" x14ac:dyDescent="0.35">
      <c r="A925" s="46">
        <f t="shared" si="144"/>
        <v>46153.865277777775</v>
      </c>
      <c r="B925" s="431"/>
      <c r="C925" s="431"/>
      <c r="D925" s="431"/>
      <c r="E925" s="457" t="s">
        <v>249</v>
      </c>
      <c r="F925" s="458" t="s">
        <v>14</v>
      </c>
      <c r="G925" s="458" t="s">
        <v>315</v>
      </c>
      <c r="H925" s="459" t="s">
        <v>14</v>
      </c>
      <c r="I925" s="460" t="s">
        <v>1622</v>
      </c>
      <c r="J925" s="461" t="s">
        <v>140</v>
      </c>
      <c r="K925" s="462">
        <v>0</v>
      </c>
      <c r="L925" s="462">
        <v>0</v>
      </c>
      <c r="M925" s="463">
        <v>80</v>
      </c>
      <c r="N925" s="464">
        <v>50</v>
      </c>
      <c r="O925" s="465">
        <v>1</v>
      </c>
      <c r="P925" s="354">
        <f t="shared" si="145"/>
        <v>50</v>
      </c>
      <c r="Q925" s="464"/>
      <c r="R925" s="463">
        <v>50</v>
      </c>
      <c r="S925" s="353">
        <f t="shared" si="139"/>
        <v>0</v>
      </c>
      <c r="T925" s="466">
        <f t="shared" si="140"/>
        <v>1080</v>
      </c>
      <c r="U925" s="462">
        <f t="shared" si="141"/>
        <v>0</v>
      </c>
      <c r="V925" s="462">
        <f t="shared" si="142"/>
        <v>0</v>
      </c>
      <c r="W925" s="462">
        <v>0</v>
      </c>
      <c r="X925" s="55">
        <f t="shared" si="143"/>
        <v>46153.865277777775</v>
      </c>
    </row>
    <row r="926" spans="1:24" ht="26" hidden="1" x14ac:dyDescent="0.35">
      <c r="A926" s="46">
        <f t="shared" si="144"/>
        <v>46153.865277777775</v>
      </c>
      <c r="B926" s="46"/>
      <c r="C926" s="46"/>
      <c r="D926" s="46"/>
      <c r="E926" s="47" t="s">
        <v>249</v>
      </c>
      <c r="F926" s="433" t="s">
        <v>1623</v>
      </c>
      <c r="G926" s="433" t="s">
        <v>315</v>
      </c>
      <c r="H926" s="434" t="s">
        <v>1624</v>
      </c>
      <c r="I926" s="435" t="s">
        <v>1470</v>
      </c>
      <c r="J926" s="436" t="s">
        <v>140</v>
      </c>
      <c r="K926" s="437">
        <v>0</v>
      </c>
      <c r="L926" s="437">
        <v>0</v>
      </c>
      <c r="M926" s="438">
        <v>80</v>
      </c>
      <c r="N926" s="439">
        <v>1080</v>
      </c>
      <c r="O926" s="440">
        <v>1</v>
      </c>
      <c r="P926" s="94">
        <f t="shared" si="145"/>
        <v>1080</v>
      </c>
      <c r="Q926" s="439"/>
      <c r="R926" s="438">
        <v>1080</v>
      </c>
      <c r="S926" s="92">
        <f t="shared" si="139"/>
        <v>0</v>
      </c>
      <c r="T926" s="441">
        <f t="shared" si="140"/>
        <v>1080</v>
      </c>
      <c r="U926" s="437">
        <f t="shared" si="141"/>
        <v>0</v>
      </c>
      <c r="V926" s="437">
        <f t="shared" si="142"/>
        <v>0</v>
      </c>
      <c r="W926" s="437">
        <v>0</v>
      </c>
      <c r="X926" s="55">
        <f t="shared" si="143"/>
        <v>46153.865277777775</v>
      </c>
    </row>
    <row r="927" spans="1:24" s="468" customFormat="1" hidden="1" x14ac:dyDescent="0.35">
      <c r="A927" s="123">
        <f t="shared" si="144"/>
        <v>46153.865277777775</v>
      </c>
      <c r="B927" s="123"/>
      <c r="C927" s="123"/>
      <c r="D927" s="123"/>
      <c r="E927" s="124" t="s">
        <v>249</v>
      </c>
      <c r="F927" s="159" t="s">
        <v>1625</v>
      </c>
      <c r="G927" s="159" t="s">
        <v>315</v>
      </c>
      <c r="H927" s="467">
        <v>12691</v>
      </c>
      <c r="I927" s="159" t="s">
        <v>1578</v>
      </c>
      <c r="J927" s="128" t="s">
        <v>140</v>
      </c>
      <c r="K927" s="129">
        <v>0</v>
      </c>
      <c r="L927" s="129">
        <v>0</v>
      </c>
      <c r="M927" s="130">
        <v>120</v>
      </c>
      <c r="N927" s="131">
        <v>3500</v>
      </c>
      <c r="O927" s="189">
        <v>1</v>
      </c>
      <c r="P927" s="131">
        <f t="shared" si="145"/>
        <v>3500</v>
      </c>
      <c r="Q927" s="131"/>
      <c r="R927" s="176">
        <v>3500</v>
      </c>
      <c r="S927" s="130">
        <f t="shared" si="139"/>
        <v>0</v>
      </c>
      <c r="T927" s="242">
        <f t="shared" si="140"/>
        <v>720</v>
      </c>
      <c r="U927" s="129">
        <f t="shared" si="141"/>
        <v>0</v>
      </c>
      <c r="V927" s="129">
        <f t="shared" si="142"/>
        <v>0</v>
      </c>
      <c r="W927" s="129">
        <v>0</v>
      </c>
      <c r="X927" s="137">
        <f t="shared" si="143"/>
        <v>46153.865277777775</v>
      </c>
    </row>
    <row r="928" spans="1:24" s="468" customFormat="1" hidden="1" x14ac:dyDescent="0.35">
      <c r="A928" s="46">
        <f t="shared" si="144"/>
        <v>46153.865277777775</v>
      </c>
      <c r="B928" s="46"/>
      <c r="C928" s="46"/>
      <c r="D928" s="46"/>
      <c r="E928" s="47" t="s">
        <v>249</v>
      </c>
      <c r="F928" s="82" t="s">
        <v>1626</v>
      </c>
      <c r="G928" s="97" t="s">
        <v>327</v>
      </c>
      <c r="H928" s="108">
        <v>12760</v>
      </c>
      <c r="I928" s="104" t="s">
        <v>1627</v>
      </c>
      <c r="J928" s="51" t="s">
        <v>140</v>
      </c>
      <c r="K928" s="91">
        <v>0</v>
      </c>
      <c r="L928" s="91">
        <v>0</v>
      </c>
      <c r="M928" s="92">
        <v>60</v>
      </c>
      <c r="N928" s="94">
        <v>2000</v>
      </c>
      <c r="O928" s="253">
        <v>1</v>
      </c>
      <c r="P928" s="94">
        <f t="shared" si="145"/>
        <v>2000</v>
      </c>
      <c r="Q928" s="94"/>
      <c r="R928" s="172">
        <v>2000</v>
      </c>
      <c r="S928" s="92">
        <f t="shared" si="139"/>
        <v>0</v>
      </c>
      <c r="T928" s="254">
        <f t="shared" si="140"/>
        <v>1440</v>
      </c>
      <c r="U928" s="91">
        <f t="shared" si="141"/>
        <v>0</v>
      </c>
      <c r="V928" s="91">
        <f t="shared" si="142"/>
        <v>0</v>
      </c>
      <c r="W928" s="91">
        <v>0</v>
      </c>
      <c r="X928" s="55">
        <f t="shared" si="143"/>
        <v>46153.865277777775</v>
      </c>
    </row>
    <row r="929" spans="1:24" s="468" customFormat="1" hidden="1" x14ac:dyDescent="0.35">
      <c r="A929" s="138">
        <f t="shared" si="144"/>
        <v>46153.865277777775</v>
      </c>
      <c r="B929" s="138"/>
      <c r="C929" s="138"/>
      <c r="D929" s="138"/>
      <c r="E929" s="244" t="s">
        <v>195</v>
      </c>
      <c r="F929" s="140" t="s">
        <v>1628</v>
      </c>
      <c r="G929" s="140" t="s">
        <v>327</v>
      </c>
      <c r="H929" s="141" t="s">
        <v>1629</v>
      </c>
      <c r="I929" s="140" t="s">
        <v>1326</v>
      </c>
      <c r="J929" s="246" t="s">
        <v>140</v>
      </c>
      <c r="K929" s="144">
        <v>0</v>
      </c>
      <c r="L929" s="144">
        <v>0</v>
      </c>
      <c r="M929" s="145">
        <v>110</v>
      </c>
      <c r="N929" s="146">
        <v>1000</v>
      </c>
      <c r="O929" s="247">
        <v>1</v>
      </c>
      <c r="P929" s="469">
        <f t="shared" si="145"/>
        <v>1000</v>
      </c>
      <c r="Q929" s="469"/>
      <c r="R929" s="248">
        <v>1000</v>
      </c>
      <c r="S929" s="470">
        <f t="shared" si="139"/>
        <v>0</v>
      </c>
      <c r="T929" s="471">
        <f t="shared" si="140"/>
        <v>785.4545454545455</v>
      </c>
      <c r="U929" s="472">
        <f t="shared" si="141"/>
        <v>0</v>
      </c>
      <c r="V929" s="472">
        <f t="shared" si="142"/>
        <v>0</v>
      </c>
      <c r="W929" s="472">
        <v>0</v>
      </c>
      <c r="X929" s="150">
        <f t="shared" si="143"/>
        <v>46153.865277777775</v>
      </c>
    </row>
    <row r="930" spans="1:24" hidden="1" x14ac:dyDescent="0.35">
      <c r="A930" s="123">
        <f t="shared" si="144"/>
        <v>46153.865277777775</v>
      </c>
      <c r="B930" s="123"/>
      <c r="C930" s="123"/>
      <c r="D930" s="123"/>
      <c r="E930" s="124" t="s">
        <v>249</v>
      </c>
      <c r="F930" s="159" t="s">
        <v>1630</v>
      </c>
      <c r="G930" s="125" t="s">
        <v>327</v>
      </c>
      <c r="H930" s="126" t="s">
        <v>1631</v>
      </c>
      <c r="I930" s="160" t="s">
        <v>282</v>
      </c>
      <c r="J930" s="175" t="s">
        <v>283</v>
      </c>
      <c r="K930" s="129">
        <v>0</v>
      </c>
      <c r="L930" s="129">
        <v>0</v>
      </c>
      <c r="M930" s="130">
        <v>67</v>
      </c>
      <c r="N930" s="131">
        <v>9720</v>
      </c>
      <c r="O930" s="189">
        <v>2</v>
      </c>
      <c r="P930" s="131">
        <f t="shared" si="145"/>
        <v>4860</v>
      </c>
      <c r="Q930" s="131"/>
      <c r="R930" s="176">
        <v>4860</v>
      </c>
      <c r="S930" s="130">
        <f t="shared" si="139"/>
        <v>0</v>
      </c>
      <c r="T930" s="168">
        <f t="shared" si="140"/>
        <v>2579.1044776119406</v>
      </c>
      <c r="U930" s="163">
        <f t="shared" si="141"/>
        <v>0</v>
      </c>
      <c r="V930" s="163">
        <f t="shared" si="142"/>
        <v>0</v>
      </c>
      <c r="W930" s="163">
        <v>0</v>
      </c>
      <c r="X930" s="137">
        <f t="shared" si="143"/>
        <v>46153.865277777775</v>
      </c>
    </row>
    <row r="931" spans="1:24" ht="26" hidden="1" x14ac:dyDescent="0.35">
      <c r="A931" s="123">
        <f t="shared" si="144"/>
        <v>46153.865277777775</v>
      </c>
      <c r="B931" s="123"/>
      <c r="C931" s="123"/>
      <c r="D931" s="123"/>
      <c r="E931" s="124" t="s">
        <v>249</v>
      </c>
      <c r="F931" s="159" t="s">
        <v>1623</v>
      </c>
      <c r="G931" s="159" t="s">
        <v>327</v>
      </c>
      <c r="H931" s="126" t="s">
        <v>1624</v>
      </c>
      <c r="I931" s="473" t="s">
        <v>1470</v>
      </c>
      <c r="J931" s="128" t="s">
        <v>140</v>
      </c>
      <c r="K931" s="129">
        <v>0</v>
      </c>
      <c r="L931" s="129">
        <v>0</v>
      </c>
      <c r="M931" s="130">
        <v>80</v>
      </c>
      <c r="N931" s="131">
        <v>3000</v>
      </c>
      <c r="O931" s="189">
        <v>1</v>
      </c>
      <c r="P931" s="131">
        <f t="shared" si="145"/>
        <v>3000</v>
      </c>
      <c r="Q931" s="131"/>
      <c r="R931" s="167">
        <v>3000</v>
      </c>
      <c r="S931" s="130">
        <f t="shared" si="139"/>
        <v>0</v>
      </c>
      <c r="T931" s="242">
        <f t="shared" si="140"/>
        <v>1080</v>
      </c>
      <c r="U931" s="129">
        <f t="shared" si="141"/>
        <v>0</v>
      </c>
      <c r="V931" s="129">
        <f t="shared" si="142"/>
        <v>0</v>
      </c>
      <c r="W931" s="129">
        <v>0</v>
      </c>
      <c r="X931" s="137">
        <f t="shared" si="143"/>
        <v>46153.865277777775</v>
      </c>
    </row>
    <row r="932" spans="1:24" ht="26.5" hidden="1" x14ac:dyDescent="0.35">
      <c r="A932" s="123">
        <f t="shared" si="144"/>
        <v>46153.865277777775</v>
      </c>
      <c r="B932" s="123"/>
      <c r="C932" s="123"/>
      <c r="D932" s="123"/>
      <c r="E932" s="124" t="s">
        <v>249</v>
      </c>
      <c r="F932" s="159" t="s">
        <v>789</v>
      </c>
      <c r="G932" s="159" t="s">
        <v>327</v>
      </c>
      <c r="H932" s="188" t="s">
        <v>1632</v>
      </c>
      <c r="I932" s="125" t="s">
        <v>765</v>
      </c>
      <c r="J932" s="175" t="s">
        <v>140</v>
      </c>
      <c r="K932" s="129">
        <v>0</v>
      </c>
      <c r="L932" s="129">
        <v>0</v>
      </c>
      <c r="M932" s="130">
        <v>100</v>
      </c>
      <c r="N932" s="131">
        <v>1000</v>
      </c>
      <c r="O932" s="189">
        <v>1</v>
      </c>
      <c r="P932" s="131">
        <f t="shared" si="145"/>
        <v>1000</v>
      </c>
      <c r="Q932" s="131"/>
      <c r="R932" s="130">
        <v>1000</v>
      </c>
      <c r="S932" s="130">
        <f t="shared" si="139"/>
        <v>0</v>
      </c>
      <c r="T932" s="168">
        <f t="shared" si="140"/>
        <v>864</v>
      </c>
      <c r="U932" s="163">
        <f t="shared" si="141"/>
        <v>0</v>
      </c>
      <c r="V932" s="163">
        <f t="shared" si="142"/>
        <v>0</v>
      </c>
      <c r="W932" s="163">
        <v>0</v>
      </c>
      <c r="X932" s="137">
        <f t="shared" si="143"/>
        <v>46153.865277777775</v>
      </c>
    </row>
    <row r="933" spans="1:24" ht="26.5" hidden="1" x14ac:dyDescent="0.35">
      <c r="A933" s="123">
        <f t="shared" si="144"/>
        <v>46153.865277777775</v>
      </c>
      <c r="B933" s="123"/>
      <c r="C933" s="123"/>
      <c r="D933" s="123"/>
      <c r="E933" s="124" t="s">
        <v>249</v>
      </c>
      <c r="F933" s="159" t="s">
        <v>789</v>
      </c>
      <c r="G933" s="159" t="s">
        <v>327</v>
      </c>
      <c r="H933" s="188" t="s">
        <v>1633</v>
      </c>
      <c r="I933" s="159" t="s">
        <v>1573</v>
      </c>
      <c r="J933" s="175" t="s">
        <v>140</v>
      </c>
      <c r="K933" s="129">
        <v>0</v>
      </c>
      <c r="L933" s="129">
        <v>0</v>
      </c>
      <c r="M933" s="130">
        <v>100</v>
      </c>
      <c r="N933" s="131">
        <v>1000</v>
      </c>
      <c r="O933" s="189">
        <v>1</v>
      </c>
      <c r="P933" s="131">
        <f t="shared" si="145"/>
        <v>1000</v>
      </c>
      <c r="Q933" s="131"/>
      <c r="R933" s="130">
        <v>1000</v>
      </c>
      <c r="S933" s="130">
        <f t="shared" si="139"/>
        <v>0</v>
      </c>
      <c r="T933" s="168">
        <f t="shared" si="140"/>
        <v>864</v>
      </c>
      <c r="U933" s="163">
        <f t="shared" si="141"/>
        <v>0</v>
      </c>
      <c r="V933" s="163">
        <f t="shared" si="142"/>
        <v>0</v>
      </c>
      <c r="W933" s="163">
        <v>0</v>
      </c>
      <c r="X933" s="137">
        <f t="shared" si="143"/>
        <v>46153.865277777775</v>
      </c>
    </row>
    <row r="934" spans="1:24" hidden="1" x14ac:dyDescent="0.35">
      <c r="A934" s="123">
        <f t="shared" si="144"/>
        <v>46153.865277777775</v>
      </c>
      <c r="B934" s="123"/>
      <c r="C934" s="123"/>
      <c r="D934" s="123"/>
      <c r="E934" s="124" t="s">
        <v>195</v>
      </c>
      <c r="F934" s="125" t="s">
        <v>1264</v>
      </c>
      <c r="G934" s="125" t="s">
        <v>327</v>
      </c>
      <c r="H934" s="126" t="s">
        <v>1634</v>
      </c>
      <c r="I934" s="159" t="s">
        <v>1635</v>
      </c>
      <c r="J934" s="128" t="s">
        <v>140</v>
      </c>
      <c r="K934" s="129">
        <v>0</v>
      </c>
      <c r="L934" s="129">
        <v>0</v>
      </c>
      <c r="M934" s="130">
        <v>68</v>
      </c>
      <c r="N934" s="131">
        <v>10000</v>
      </c>
      <c r="O934" s="189">
        <v>1</v>
      </c>
      <c r="P934" s="131">
        <f t="shared" si="145"/>
        <v>10000</v>
      </c>
      <c r="Q934" s="131"/>
      <c r="R934" s="176">
        <v>10000</v>
      </c>
      <c r="S934" s="130">
        <f t="shared" si="139"/>
        <v>0</v>
      </c>
      <c r="T934" s="242">
        <f t="shared" si="140"/>
        <v>1270.5882352941176</v>
      </c>
      <c r="U934" s="129">
        <f t="shared" si="141"/>
        <v>0</v>
      </c>
      <c r="V934" s="129">
        <f t="shared" si="142"/>
        <v>0</v>
      </c>
      <c r="W934" s="129">
        <v>0</v>
      </c>
      <c r="X934" s="137">
        <f t="shared" si="143"/>
        <v>46153.865277777775</v>
      </c>
    </row>
    <row r="935" spans="1:24" hidden="1" x14ac:dyDescent="0.35">
      <c r="A935" s="123">
        <f t="shared" si="144"/>
        <v>46153.865277777775</v>
      </c>
      <c r="B935" s="123"/>
      <c r="C935" s="123"/>
      <c r="D935" s="123"/>
      <c r="E935" s="124" t="s">
        <v>249</v>
      </c>
      <c r="F935" s="159" t="s">
        <v>799</v>
      </c>
      <c r="G935" s="159" t="s">
        <v>792</v>
      </c>
      <c r="H935" s="126" t="s">
        <v>1636</v>
      </c>
      <c r="I935" s="159" t="s">
        <v>1332</v>
      </c>
      <c r="J935" s="128" t="s">
        <v>140</v>
      </c>
      <c r="K935" s="129">
        <v>0</v>
      </c>
      <c r="L935" s="129">
        <v>0</v>
      </c>
      <c r="M935" s="130">
        <v>120</v>
      </c>
      <c r="N935" s="131">
        <v>600</v>
      </c>
      <c r="O935" s="189">
        <v>1</v>
      </c>
      <c r="P935" s="131">
        <f t="shared" si="145"/>
        <v>600</v>
      </c>
      <c r="Q935" s="131"/>
      <c r="R935" s="130">
        <v>600</v>
      </c>
      <c r="S935" s="130">
        <f t="shared" si="139"/>
        <v>0</v>
      </c>
      <c r="T935" s="242">
        <f t="shared" si="140"/>
        <v>720</v>
      </c>
      <c r="U935" s="129">
        <f t="shared" si="141"/>
        <v>0</v>
      </c>
      <c r="V935" s="129">
        <f t="shared" si="142"/>
        <v>0</v>
      </c>
      <c r="W935" s="129">
        <v>0</v>
      </c>
      <c r="X935" s="137">
        <f t="shared" si="143"/>
        <v>46153.865277777775</v>
      </c>
    </row>
    <row r="936" spans="1:24" s="118" customFormat="1" ht="26.5" hidden="1" x14ac:dyDescent="0.35">
      <c r="A936" s="123">
        <f t="shared" si="144"/>
        <v>46153.865277777775</v>
      </c>
      <c r="B936" s="123"/>
      <c r="C936" s="123"/>
      <c r="D936" s="123"/>
      <c r="E936" s="124" t="s">
        <v>249</v>
      </c>
      <c r="F936" s="159" t="s">
        <v>805</v>
      </c>
      <c r="G936" s="159" t="s">
        <v>356</v>
      </c>
      <c r="H936" s="188" t="s">
        <v>1637</v>
      </c>
      <c r="I936" s="159" t="s">
        <v>1573</v>
      </c>
      <c r="J936" s="175" t="s">
        <v>140</v>
      </c>
      <c r="K936" s="129">
        <v>0</v>
      </c>
      <c r="L936" s="129">
        <v>0</v>
      </c>
      <c r="M936" s="130">
        <v>100</v>
      </c>
      <c r="N936" s="131">
        <f>2000-48-48</f>
        <v>1904</v>
      </c>
      <c r="O936" s="189">
        <v>1</v>
      </c>
      <c r="P936" s="131">
        <f t="shared" si="145"/>
        <v>1904</v>
      </c>
      <c r="Q936" s="131"/>
      <c r="R936" s="130">
        <v>1904</v>
      </c>
      <c r="S936" s="130">
        <f t="shared" si="139"/>
        <v>0</v>
      </c>
      <c r="T936" s="168">
        <f t="shared" si="140"/>
        <v>864</v>
      </c>
      <c r="U936" s="163">
        <f t="shared" si="141"/>
        <v>0</v>
      </c>
      <c r="V936" s="163">
        <f t="shared" si="142"/>
        <v>0</v>
      </c>
      <c r="W936" s="163">
        <v>0</v>
      </c>
      <c r="X936" s="137">
        <f t="shared" si="143"/>
        <v>46153.865277777775</v>
      </c>
    </row>
    <row r="937" spans="1:24" s="118" customFormat="1" ht="26.5" hidden="1" x14ac:dyDescent="0.35">
      <c r="A937" s="71">
        <f t="shared" si="144"/>
        <v>46153.865277777775</v>
      </c>
      <c r="B937" s="71"/>
      <c r="C937" s="71"/>
      <c r="D937" s="71"/>
      <c r="E937" s="47" t="s">
        <v>249</v>
      </c>
      <c r="F937" s="82" t="s">
        <v>805</v>
      </c>
      <c r="G937" s="82" t="s">
        <v>356</v>
      </c>
      <c r="H937" s="107" t="s">
        <v>1638</v>
      </c>
      <c r="I937" s="97" t="s">
        <v>765</v>
      </c>
      <c r="J937" s="100" t="s">
        <v>140</v>
      </c>
      <c r="K937" s="91">
        <v>0</v>
      </c>
      <c r="L937" s="91">
        <v>0</v>
      </c>
      <c r="M937" s="92">
        <v>100</v>
      </c>
      <c r="N937" s="94">
        <f>1000-36-36-16</f>
        <v>912</v>
      </c>
      <c r="O937" s="253">
        <v>1</v>
      </c>
      <c r="P937" s="94">
        <f t="shared" si="145"/>
        <v>912</v>
      </c>
      <c r="Q937" s="94"/>
      <c r="R937" s="92">
        <v>912</v>
      </c>
      <c r="S937" s="92">
        <f t="shared" si="139"/>
        <v>0</v>
      </c>
      <c r="T937" s="173">
        <f t="shared" si="140"/>
        <v>864</v>
      </c>
      <c r="U937" s="101">
        <f t="shared" si="141"/>
        <v>0</v>
      </c>
      <c r="V937" s="101">
        <f t="shared" si="142"/>
        <v>0</v>
      </c>
      <c r="W937" s="101">
        <v>0</v>
      </c>
      <c r="X937" s="55">
        <f t="shared" si="143"/>
        <v>46153.865277777775</v>
      </c>
    </row>
    <row r="938" spans="1:24" s="118" customFormat="1" hidden="1" x14ac:dyDescent="0.35">
      <c r="A938" s="295">
        <f t="shared" si="144"/>
        <v>46153.865277777775</v>
      </c>
      <c r="B938" s="295"/>
      <c r="C938" s="295"/>
      <c r="D938" s="295"/>
      <c r="E938" s="296" t="s">
        <v>249</v>
      </c>
      <c r="F938" s="366" t="s">
        <v>14</v>
      </c>
      <c r="G938" s="366"/>
      <c r="H938" s="298" t="s">
        <v>14</v>
      </c>
      <c r="I938" s="297" t="s">
        <v>1244</v>
      </c>
      <c r="J938" s="351" t="s">
        <v>140</v>
      </c>
      <c r="K938" s="352">
        <v>0</v>
      </c>
      <c r="L938" s="352">
        <v>0</v>
      </c>
      <c r="M938" s="353">
        <v>60</v>
      </c>
      <c r="N938" s="354">
        <v>50</v>
      </c>
      <c r="O938" s="355">
        <v>2</v>
      </c>
      <c r="P938" s="354">
        <f t="shared" si="145"/>
        <v>25</v>
      </c>
      <c r="Q938" s="354"/>
      <c r="R938" s="353">
        <v>25</v>
      </c>
      <c r="S938" s="353">
        <f t="shared" si="139"/>
        <v>0</v>
      </c>
      <c r="T938" s="356">
        <f t="shared" si="140"/>
        <v>2880</v>
      </c>
      <c r="U938" s="352">
        <f t="shared" si="141"/>
        <v>0</v>
      </c>
      <c r="V938" s="352">
        <f t="shared" si="142"/>
        <v>0</v>
      </c>
      <c r="W938" s="352">
        <v>0</v>
      </c>
      <c r="X938" s="308">
        <f t="shared" si="143"/>
        <v>46153.865277777775</v>
      </c>
    </row>
    <row r="939" spans="1:24" s="118" customFormat="1" hidden="1" x14ac:dyDescent="0.35">
      <c r="A939" s="295">
        <f t="shared" si="144"/>
        <v>46153.865277777775</v>
      </c>
      <c r="B939" s="295"/>
      <c r="C939" s="295"/>
      <c r="D939" s="295"/>
      <c r="E939" s="296" t="s">
        <v>249</v>
      </c>
      <c r="F939" s="366" t="s">
        <v>14</v>
      </c>
      <c r="G939" s="366"/>
      <c r="H939" s="298" t="s">
        <v>14</v>
      </c>
      <c r="I939" s="297" t="s">
        <v>1579</v>
      </c>
      <c r="J939" s="351" t="s">
        <v>140</v>
      </c>
      <c r="K939" s="352">
        <v>0</v>
      </c>
      <c r="L939" s="352">
        <v>0</v>
      </c>
      <c r="M939" s="353">
        <v>60</v>
      </c>
      <c r="N939" s="354">
        <v>50</v>
      </c>
      <c r="O939" s="355">
        <v>2</v>
      </c>
      <c r="P939" s="354">
        <f t="shared" si="145"/>
        <v>25</v>
      </c>
      <c r="Q939" s="354"/>
      <c r="R939" s="353">
        <v>25</v>
      </c>
      <c r="S939" s="353">
        <f t="shared" si="139"/>
        <v>0</v>
      </c>
      <c r="T939" s="356">
        <f t="shared" si="140"/>
        <v>2880</v>
      </c>
      <c r="U939" s="352">
        <f t="shared" si="141"/>
        <v>0</v>
      </c>
      <c r="V939" s="352">
        <f t="shared" si="142"/>
        <v>0</v>
      </c>
      <c r="W939" s="352">
        <v>0</v>
      </c>
      <c r="X939" s="308">
        <f t="shared" si="143"/>
        <v>46153.865277777775</v>
      </c>
    </row>
    <row r="940" spans="1:24" hidden="1" x14ac:dyDescent="0.35">
      <c r="A940" s="123">
        <f t="shared" si="144"/>
        <v>46153.865277777775</v>
      </c>
      <c r="B940" s="123"/>
      <c r="C940" s="123"/>
      <c r="D940" s="123"/>
      <c r="E940" s="124" t="s">
        <v>249</v>
      </c>
      <c r="F940" s="125" t="s">
        <v>1264</v>
      </c>
      <c r="G940" s="125" t="s">
        <v>327</v>
      </c>
      <c r="H940" s="126" t="s">
        <v>1639</v>
      </c>
      <c r="I940" s="159" t="s">
        <v>1591</v>
      </c>
      <c r="J940" s="128" t="s">
        <v>140</v>
      </c>
      <c r="K940" s="129">
        <v>0</v>
      </c>
      <c r="L940" s="129">
        <v>0</v>
      </c>
      <c r="M940" s="130">
        <v>60</v>
      </c>
      <c r="N940" s="131">
        <v>5000</v>
      </c>
      <c r="O940" s="189">
        <v>1</v>
      </c>
      <c r="P940" s="131">
        <f t="shared" si="145"/>
        <v>5000</v>
      </c>
      <c r="Q940" s="131"/>
      <c r="R940" s="176">
        <v>5000</v>
      </c>
      <c r="S940" s="130">
        <f t="shared" si="139"/>
        <v>0</v>
      </c>
      <c r="T940" s="242">
        <f t="shared" si="140"/>
        <v>1440</v>
      </c>
      <c r="U940" s="129">
        <f t="shared" si="141"/>
        <v>0</v>
      </c>
      <c r="V940" s="129">
        <f t="shared" si="142"/>
        <v>0</v>
      </c>
      <c r="W940" s="129">
        <v>0</v>
      </c>
      <c r="X940" s="137">
        <f>A940+K940+L940+V940+W940</f>
        <v>46153.865277777775</v>
      </c>
    </row>
    <row r="941" spans="1:24" s="120" customFormat="1" ht="13" hidden="1" x14ac:dyDescent="0.3">
      <c r="A941" s="123">
        <f t="shared" si="144"/>
        <v>46153.865277777775</v>
      </c>
      <c r="B941" s="123"/>
      <c r="C941" s="123"/>
      <c r="D941" s="123"/>
      <c r="E941" s="124" t="s">
        <v>195</v>
      </c>
      <c r="F941" s="159" t="s">
        <v>1640</v>
      </c>
      <c r="G941" s="125" t="s">
        <v>792</v>
      </c>
      <c r="H941" s="467">
        <v>13009</v>
      </c>
      <c r="I941" s="159" t="s">
        <v>1578</v>
      </c>
      <c r="J941" s="128" t="s">
        <v>140</v>
      </c>
      <c r="K941" s="129">
        <v>0</v>
      </c>
      <c r="L941" s="129">
        <v>0</v>
      </c>
      <c r="M941" s="130">
        <v>120</v>
      </c>
      <c r="N941" s="131">
        <v>5200</v>
      </c>
      <c r="O941" s="189">
        <v>1</v>
      </c>
      <c r="P941" s="131">
        <f t="shared" si="145"/>
        <v>5200</v>
      </c>
      <c r="Q941" s="131"/>
      <c r="R941" s="176">
        <v>5200</v>
      </c>
      <c r="S941" s="130">
        <f t="shared" si="139"/>
        <v>0</v>
      </c>
      <c r="T941" s="242">
        <f t="shared" si="140"/>
        <v>720</v>
      </c>
      <c r="U941" s="129">
        <f t="shared" si="141"/>
        <v>0</v>
      </c>
      <c r="V941" s="129">
        <f t="shared" si="142"/>
        <v>0</v>
      </c>
      <c r="W941" s="129">
        <v>0</v>
      </c>
      <c r="X941" s="137">
        <f t="shared" ref="X941:X964" si="146">A941+K941+V941+W941+L941</f>
        <v>46153.865277777775</v>
      </c>
    </row>
    <row r="942" spans="1:24" s="118" customFormat="1" ht="26.5" hidden="1" x14ac:dyDescent="0.35">
      <c r="A942" s="123">
        <f t="shared" si="144"/>
        <v>46153.865277777775</v>
      </c>
      <c r="B942" s="123"/>
      <c r="C942" s="123"/>
      <c r="D942" s="123"/>
      <c r="E942" s="124" t="s">
        <v>249</v>
      </c>
      <c r="F942" s="159" t="s">
        <v>796</v>
      </c>
      <c r="G942" s="159" t="s">
        <v>792</v>
      </c>
      <c r="H942" s="188" t="s">
        <v>1641</v>
      </c>
      <c r="I942" s="177" t="s">
        <v>1642</v>
      </c>
      <c r="J942" s="175" t="s">
        <v>140</v>
      </c>
      <c r="K942" s="129">
        <v>0</v>
      </c>
      <c r="L942" s="129">
        <v>0</v>
      </c>
      <c r="M942" s="130">
        <v>60</v>
      </c>
      <c r="N942" s="131">
        <v>1252</v>
      </c>
      <c r="O942" s="130">
        <v>1</v>
      </c>
      <c r="P942" s="131">
        <f t="shared" si="145"/>
        <v>1252</v>
      </c>
      <c r="Q942" s="131"/>
      <c r="R942" s="164">
        <v>1252</v>
      </c>
      <c r="S942" s="130">
        <f t="shared" si="139"/>
        <v>0</v>
      </c>
      <c r="T942" s="164">
        <f t="shared" si="140"/>
        <v>1440</v>
      </c>
      <c r="U942" s="163">
        <f t="shared" si="141"/>
        <v>0</v>
      </c>
      <c r="V942" s="163">
        <f t="shared" si="142"/>
        <v>0</v>
      </c>
      <c r="W942" s="163">
        <v>0</v>
      </c>
      <c r="X942" s="137">
        <f t="shared" si="146"/>
        <v>46153.865277777775</v>
      </c>
    </row>
    <row r="943" spans="1:24" hidden="1" x14ac:dyDescent="0.35">
      <c r="A943" s="123">
        <f t="shared" si="144"/>
        <v>46153.865277777775</v>
      </c>
      <c r="B943" s="123"/>
      <c r="C943" s="123"/>
      <c r="D943" s="123"/>
      <c r="E943" s="124" t="s">
        <v>249</v>
      </c>
      <c r="F943" s="125"/>
      <c r="G943" s="125" t="s">
        <v>359</v>
      </c>
      <c r="H943" s="126" t="s">
        <v>1643</v>
      </c>
      <c r="I943" s="187" t="s">
        <v>1644</v>
      </c>
      <c r="J943" s="175" t="s">
        <v>140</v>
      </c>
      <c r="K943" s="129">
        <v>0</v>
      </c>
      <c r="L943" s="129">
        <v>0</v>
      </c>
      <c r="M943" s="130">
        <v>60</v>
      </c>
      <c r="N943" s="131">
        <v>4500</v>
      </c>
      <c r="O943" s="130">
        <v>2</v>
      </c>
      <c r="P943" s="131">
        <f t="shared" si="145"/>
        <v>2250</v>
      </c>
      <c r="Q943" s="131"/>
      <c r="R943" s="164">
        <v>2250</v>
      </c>
      <c r="S943" s="130">
        <f t="shared" si="139"/>
        <v>0</v>
      </c>
      <c r="T943" s="164">
        <f t="shared" si="140"/>
        <v>2880</v>
      </c>
      <c r="U943" s="163">
        <f t="shared" si="141"/>
        <v>0</v>
      </c>
      <c r="V943" s="163">
        <f t="shared" si="142"/>
        <v>0</v>
      </c>
      <c r="W943" s="163">
        <v>0</v>
      </c>
      <c r="X943" s="137">
        <f t="shared" si="146"/>
        <v>46153.865277777775</v>
      </c>
    </row>
    <row r="944" spans="1:24" s="178" customFormat="1" ht="26" hidden="1" x14ac:dyDescent="0.35">
      <c r="A944" s="123">
        <f t="shared" si="144"/>
        <v>46153.865277777775</v>
      </c>
      <c r="B944" s="369"/>
      <c r="C944" s="369"/>
      <c r="D944" s="369"/>
      <c r="E944" s="371" t="s">
        <v>249</v>
      </c>
      <c r="F944" s="372" t="s">
        <v>1645</v>
      </c>
      <c r="G944" s="372" t="s">
        <v>792</v>
      </c>
      <c r="H944" s="374" t="s">
        <v>1646</v>
      </c>
      <c r="I944" s="474" t="s">
        <v>1470</v>
      </c>
      <c r="J944" s="375" t="s">
        <v>140</v>
      </c>
      <c r="K944" s="136">
        <v>0</v>
      </c>
      <c r="L944" s="136">
        <v>0</v>
      </c>
      <c r="M944" s="132">
        <v>80</v>
      </c>
      <c r="N944" s="376">
        <v>2171</v>
      </c>
      <c r="O944" s="377">
        <v>1</v>
      </c>
      <c r="P944" s="131">
        <f t="shared" si="145"/>
        <v>2171</v>
      </c>
      <c r="Q944" s="376"/>
      <c r="R944" s="132">
        <v>2171</v>
      </c>
      <c r="S944" s="130">
        <f t="shared" ref="S944:S967" si="147">P944-R944</f>
        <v>0</v>
      </c>
      <c r="T944" s="475">
        <f t="shared" ref="T944:T952" si="148">((3600/M944)*O944)*24</f>
        <v>1080</v>
      </c>
      <c r="U944" s="136">
        <f t="shared" ref="U944:U952" si="149">(P944-R944)*M944/3600</f>
        <v>0</v>
      </c>
      <c r="V944" s="136">
        <f t="shared" ref="V944:V952" si="150">(P944-R944)*M944/3600/24</f>
        <v>0</v>
      </c>
      <c r="W944" s="136">
        <v>0</v>
      </c>
      <c r="X944" s="137">
        <f t="shared" si="146"/>
        <v>46153.865277777775</v>
      </c>
    </row>
    <row r="945" spans="1:24" s="178" customFormat="1" ht="26" hidden="1" x14ac:dyDescent="0.35">
      <c r="A945" s="123">
        <f t="shared" ref="A945:A967" si="151">X944</f>
        <v>46153.865277777775</v>
      </c>
      <c r="B945" s="369"/>
      <c r="C945" s="369"/>
      <c r="D945" s="369"/>
      <c r="E945" s="371" t="s">
        <v>249</v>
      </c>
      <c r="F945" s="372" t="s">
        <v>1647</v>
      </c>
      <c r="G945" s="372" t="s">
        <v>359</v>
      </c>
      <c r="H945" s="374" t="s">
        <v>1648</v>
      </c>
      <c r="I945" s="474" t="s">
        <v>1470</v>
      </c>
      <c r="J945" s="375" t="s">
        <v>140</v>
      </c>
      <c r="K945" s="136">
        <v>0</v>
      </c>
      <c r="L945" s="136">
        <v>0</v>
      </c>
      <c r="M945" s="132">
        <v>80</v>
      </c>
      <c r="N945" s="376">
        <v>6000</v>
      </c>
      <c r="O945" s="377">
        <v>1</v>
      </c>
      <c r="P945" s="131">
        <f t="shared" si="145"/>
        <v>6000</v>
      </c>
      <c r="Q945" s="376"/>
      <c r="R945" s="132">
        <v>6000</v>
      </c>
      <c r="S945" s="130">
        <f t="shared" si="147"/>
        <v>0</v>
      </c>
      <c r="T945" s="475">
        <f t="shared" si="148"/>
        <v>1080</v>
      </c>
      <c r="U945" s="136">
        <f t="shared" si="149"/>
        <v>0</v>
      </c>
      <c r="V945" s="136">
        <f t="shared" si="150"/>
        <v>0</v>
      </c>
      <c r="W945" s="136">
        <v>0</v>
      </c>
      <c r="X945" s="137">
        <f t="shared" si="146"/>
        <v>46153.865277777775</v>
      </c>
    </row>
    <row r="946" spans="1:24" s="179" customFormat="1" hidden="1" x14ac:dyDescent="0.35">
      <c r="A946" s="123">
        <f t="shared" si="151"/>
        <v>46153.865277777775</v>
      </c>
      <c r="B946" s="123"/>
      <c r="C946" s="123"/>
      <c r="D946" s="123"/>
      <c r="E946" s="124" t="s">
        <v>249</v>
      </c>
      <c r="F946" s="159" t="s">
        <v>1603</v>
      </c>
      <c r="G946" s="159"/>
      <c r="H946" s="467">
        <v>13245</v>
      </c>
      <c r="I946" s="159" t="s">
        <v>1649</v>
      </c>
      <c r="J946" s="128" t="s">
        <v>140</v>
      </c>
      <c r="K946" s="129">
        <v>0</v>
      </c>
      <c r="L946" s="129">
        <v>0</v>
      </c>
      <c r="M946" s="130">
        <v>60</v>
      </c>
      <c r="N946" s="257">
        <v>4000</v>
      </c>
      <c r="O946" s="130">
        <v>1</v>
      </c>
      <c r="P946" s="131">
        <f t="shared" si="145"/>
        <v>4000</v>
      </c>
      <c r="Q946" s="131"/>
      <c r="R946" s="130">
        <v>4000</v>
      </c>
      <c r="S946" s="130">
        <f t="shared" si="147"/>
        <v>0</v>
      </c>
      <c r="T946" s="130">
        <f t="shared" si="148"/>
        <v>1440</v>
      </c>
      <c r="U946" s="129">
        <f t="shared" si="149"/>
        <v>0</v>
      </c>
      <c r="V946" s="129">
        <f t="shared" si="150"/>
        <v>0</v>
      </c>
      <c r="W946" s="129">
        <v>0</v>
      </c>
      <c r="X946" s="137">
        <f t="shared" si="146"/>
        <v>46153.865277777775</v>
      </c>
    </row>
    <row r="947" spans="1:24" s="186" customFormat="1" hidden="1" x14ac:dyDescent="0.35">
      <c r="A947" s="123">
        <f t="shared" si="151"/>
        <v>46153.865277777775</v>
      </c>
      <c r="B947" s="123"/>
      <c r="C947" s="123"/>
      <c r="D947" s="123"/>
      <c r="E947" s="124" t="s">
        <v>249</v>
      </c>
      <c r="F947" s="125" t="s">
        <v>1264</v>
      </c>
      <c r="G947" s="125" t="s">
        <v>830</v>
      </c>
      <c r="H947" s="126" t="s">
        <v>1650</v>
      </c>
      <c r="I947" s="159" t="s">
        <v>1651</v>
      </c>
      <c r="J947" s="128" t="s">
        <v>140</v>
      </c>
      <c r="K947" s="129">
        <v>0</v>
      </c>
      <c r="L947" s="129">
        <v>0</v>
      </c>
      <c r="M947" s="130">
        <v>94</v>
      </c>
      <c r="N947" s="131">
        <v>3533</v>
      </c>
      <c r="O947" s="189">
        <v>1</v>
      </c>
      <c r="P947" s="131">
        <f t="shared" si="145"/>
        <v>3533</v>
      </c>
      <c r="Q947" s="131"/>
      <c r="R947" s="176">
        <v>3533</v>
      </c>
      <c r="S947" s="130">
        <f t="shared" si="147"/>
        <v>0</v>
      </c>
      <c r="T947" s="242">
        <f t="shared" si="148"/>
        <v>919.14893617021289</v>
      </c>
      <c r="U947" s="129">
        <f t="shared" si="149"/>
        <v>0</v>
      </c>
      <c r="V947" s="129">
        <f t="shared" si="150"/>
        <v>0</v>
      </c>
      <c r="W947" s="129">
        <v>0</v>
      </c>
      <c r="X947" s="137">
        <f t="shared" si="146"/>
        <v>46153.865277777775</v>
      </c>
    </row>
    <row r="948" spans="1:24" s="186" customFormat="1" hidden="1" x14ac:dyDescent="0.35">
      <c r="A948" s="161">
        <f t="shared" si="151"/>
        <v>46153.865277777775</v>
      </c>
      <c r="B948" s="161"/>
      <c r="C948" s="161"/>
      <c r="D948" s="161"/>
      <c r="E948" s="124" t="s">
        <v>249</v>
      </c>
      <c r="F948" s="125" t="s">
        <v>1264</v>
      </c>
      <c r="G948" s="125" t="s">
        <v>839</v>
      </c>
      <c r="H948" s="126" t="s">
        <v>1650</v>
      </c>
      <c r="I948" s="159" t="s">
        <v>1651</v>
      </c>
      <c r="J948" s="128" t="s">
        <v>140</v>
      </c>
      <c r="K948" s="129">
        <v>0</v>
      </c>
      <c r="L948" s="129">
        <v>0</v>
      </c>
      <c r="M948" s="130">
        <v>94</v>
      </c>
      <c r="N948" s="131">
        <v>3000</v>
      </c>
      <c r="O948" s="189">
        <v>1</v>
      </c>
      <c r="P948" s="131">
        <f t="shared" si="145"/>
        <v>3000</v>
      </c>
      <c r="Q948" s="131"/>
      <c r="R948" s="176">
        <v>3000</v>
      </c>
      <c r="S948" s="130">
        <f t="shared" si="147"/>
        <v>0</v>
      </c>
      <c r="T948" s="242">
        <f t="shared" si="148"/>
        <v>919.14893617021289</v>
      </c>
      <c r="U948" s="129">
        <f t="shared" si="149"/>
        <v>0</v>
      </c>
      <c r="V948" s="129">
        <f t="shared" si="150"/>
        <v>0</v>
      </c>
      <c r="W948" s="129">
        <v>0</v>
      </c>
      <c r="X948" s="137">
        <f t="shared" si="146"/>
        <v>46153.865277777775</v>
      </c>
    </row>
    <row r="949" spans="1:24" s="186" customFormat="1" hidden="1" x14ac:dyDescent="0.35">
      <c r="A949" s="123">
        <f t="shared" si="151"/>
        <v>46153.865277777775</v>
      </c>
      <c r="B949" s="123"/>
      <c r="C949" s="123"/>
      <c r="D949" s="123"/>
      <c r="E949" s="124" t="s">
        <v>195</v>
      </c>
      <c r="F949" s="187" t="s">
        <v>1652</v>
      </c>
      <c r="G949" s="187" t="s">
        <v>839</v>
      </c>
      <c r="H949" s="126" t="s">
        <v>1653</v>
      </c>
      <c r="I949" s="159" t="s">
        <v>1654</v>
      </c>
      <c r="J949" s="128" t="s">
        <v>140</v>
      </c>
      <c r="K949" s="129">
        <v>0</v>
      </c>
      <c r="L949" s="129">
        <v>0</v>
      </c>
      <c r="M949" s="130">
        <v>120</v>
      </c>
      <c r="N949" s="131">
        <v>1000</v>
      </c>
      <c r="O949" s="189">
        <v>1</v>
      </c>
      <c r="P949" s="131">
        <f t="shared" si="145"/>
        <v>1000</v>
      </c>
      <c r="Q949" s="131"/>
      <c r="R949" s="130">
        <v>1000</v>
      </c>
      <c r="S949" s="130">
        <f t="shared" si="147"/>
        <v>0</v>
      </c>
      <c r="T949" s="242">
        <f t="shared" si="148"/>
        <v>720</v>
      </c>
      <c r="U949" s="129">
        <f t="shared" si="149"/>
        <v>0</v>
      </c>
      <c r="V949" s="129">
        <f t="shared" si="150"/>
        <v>0</v>
      </c>
      <c r="W949" s="129">
        <v>0</v>
      </c>
      <c r="X949" s="137">
        <f t="shared" si="146"/>
        <v>46153.865277777775</v>
      </c>
    </row>
    <row r="950" spans="1:24" s="186" customFormat="1" ht="26.5" hidden="1" x14ac:dyDescent="0.35">
      <c r="A950" s="123">
        <f t="shared" si="151"/>
        <v>46153.865277777775</v>
      </c>
      <c r="B950" s="123"/>
      <c r="C950" s="123"/>
      <c r="D950" s="123"/>
      <c r="E950" s="124" t="s">
        <v>249</v>
      </c>
      <c r="F950" s="187" t="s">
        <v>1652</v>
      </c>
      <c r="G950" s="159" t="s">
        <v>839</v>
      </c>
      <c r="H950" s="188" t="s">
        <v>1655</v>
      </c>
      <c r="I950" s="159" t="s">
        <v>198</v>
      </c>
      <c r="J950" s="175" t="s">
        <v>140</v>
      </c>
      <c r="K950" s="129">
        <v>0</v>
      </c>
      <c r="L950" s="129">
        <v>0</v>
      </c>
      <c r="M950" s="130">
        <v>190</v>
      </c>
      <c r="N950" s="131">
        <v>1000</v>
      </c>
      <c r="O950" s="189">
        <v>1</v>
      </c>
      <c r="P950" s="131">
        <f t="shared" si="145"/>
        <v>1000</v>
      </c>
      <c r="Q950" s="131"/>
      <c r="R950" s="130">
        <v>1000</v>
      </c>
      <c r="S950" s="130">
        <f t="shared" si="147"/>
        <v>0</v>
      </c>
      <c r="T950" s="168">
        <f t="shared" si="148"/>
        <v>454.73684210526312</v>
      </c>
      <c r="U950" s="163">
        <f t="shared" si="149"/>
        <v>0</v>
      </c>
      <c r="V950" s="163">
        <f t="shared" si="150"/>
        <v>0</v>
      </c>
      <c r="W950" s="258">
        <v>0</v>
      </c>
      <c r="X950" s="137">
        <f t="shared" si="146"/>
        <v>46153.865277777775</v>
      </c>
    </row>
    <row r="951" spans="1:24" s="186" customFormat="1" ht="26.5" hidden="1" x14ac:dyDescent="0.35">
      <c r="A951" s="123">
        <f t="shared" si="151"/>
        <v>46153.865277777775</v>
      </c>
      <c r="B951" s="123"/>
      <c r="C951" s="123"/>
      <c r="D951" s="123"/>
      <c r="E951" s="124" t="s">
        <v>249</v>
      </c>
      <c r="F951" s="187" t="s">
        <v>397</v>
      </c>
      <c r="G951" s="159" t="s">
        <v>839</v>
      </c>
      <c r="H951" s="188" t="s">
        <v>1656</v>
      </c>
      <c r="I951" s="159" t="s">
        <v>198</v>
      </c>
      <c r="J951" s="175" t="s">
        <v>140</v>
      </c>
      <c r="K951" s="129">
        <v>0</v>
      </c>
      <c r="L951" s="129">
        <v>0</v>
      </c>
      <c r="M951" s="130">
        <v>190</v>
      </c>
      <c r="N951" s="131">
        <v>1280</v>
      </c>
      <c r="O951" s="189">
        <v>1</v>
      </c>
      <c r="P951" s="131">
        <f t="shared" si="145"/>
        <v>1280</v>
      </c>
      <c r="Q951" s="131"/>
      <c r="R951" s="130">
        <v>1280</v>
      </c>
      <c r="S951" s="130">
        <f t="shared" si="147"/>
        <v>0</v>
      </c>
      <c r="T951" s="168">
        <f t="shared" si="148"/>
        <v>454.73684210526312</v>
      </c>
      <c r="U951" s="163">
        <f t="shared" si="149"/>
        <v>0</v>
      </c>
      <c r="V951" s="163">
        <f t="shared" si="150"/>
        <v>0</v>
      </c>
      <c r="W951" s="258">
        <v>0</v>
      </c>
      <c r="X951" s="137">
        <f t="shared" si="146"/>
        <v>46153.865277777775</v>
      </c>
    </row>
    <row r="952" spans="1:24" s="186" customFormat="1" hidden="1" x14ac:dyDescent="0.35">
      <c r="A952" s="123">
        <f t="shared" si="151"/>
        <v>46153.865277777775</v>
      </c>
      <c r="B952" s="123"/>
      <c r="C952" s="123"/>
      <c r="D952" s="123"/>
      <c r="E952" s="124" t="s">
        <v>195</v>
      </c>
      <c r="F952" s="159" t="s">
        <v>397</v>
      </c>
      <c r="G952" s="187" t="s">
        <v>839</v>
      </c>
      <c r="H952" s="126" t="s">
        <v>1657</v>
      </c>
      <c r="I952" s="159" t="s">
        <v>1654</v>
      </c>
      <c r="J952" s="128" t="s">
        <v>140</v>
      </c>
      <c r="K952" s="129">
        <v>0</v>
      </c>
      <c r="L952" s="129">
        <v>0</v>
      </c>
      <c r="M952" s="130">
        <v>120</v>
      </c>
      <c r="N952" s="131">
        <v>1000</v>
      </c>
      <c r="O952" s="189">
        <v>1</v>
      </c>
      <c r="P952" s="131">
        <f t="shared" si="145"/>
        <v>1000</v>
      </c>
      <c r="Q952" s="131"/>
      <c r="R952" s="130">
        <v>1000</v>
      </c>
      <c r="S952" s="130">
        <f t="shared" si="147"/>
        <v>0</v>
      </c>
      <c r="T952" s="242">
        <f t="shared" si="148"/>
        <v>720</v>
      </c>
      <c r="U952" s="129">
        <f t="shared" si="149"/>
        <v>0</v>
      </c>
      <c r="V952" s="129">
        <f t="shared" si="150"/>
        <v>0</v>
      </c>
      <c r="W952" s="129">
        <v>0</v>
      </c>
      <c r="X952" s="137">
        <f t="shared" si="146"/>
        <v>46153.865277777775</v>
      </c>
    </row>
    <row r="953" spans="1:24" s="186" customFormat="1" hidden="1" x14ac:dyDescent="0.35">
      <c r="A953" s="123">
        <f t="shared" si="151"/>
        <v>46153.865277777775</v>
      </c>
      <c r="B953" s="161">
        <v>46059</v>
      </c>
      <c r="C953" s="183">
        <f t="shared" ref="C953:C967" si="152">B953-A953</f>
        <v>-94.865277777775191</v>
      </c>
      <c r="D953" s="183"/>
      <c r="E953" s="124" t="s">
        <v>195</v>
      </c>
      <c r="F953" s="159" t="s">
        <v>385</v>
      </c>
      <c r="G953" s="187" t="s">
        <v>386</v>
      </c>
      <c r="H953" s="126" t="s">
        <v>1658</v>
      </c>
      <c r="I953" s="159" t="s">
        <v>1654</v>
      </c>
      <c r="J953" s="128" t="s">
        <v>140</v>
      </c>
      <c r="K953" s="129">
        <v>0</v>
      </c>
      <c r="L953" s="129">
        <v>0</v>
      </c>
      <c r="M953" s="130">
        <v>120</v>
      </c>
      <c r="N953" s="131">
        <v>2000</v>
      </c>
      <c r="O953" s="189">
        <v>1</v>
      </c>
      <c r="P953" s="131">
        <f t="shared" si="145"/>
        <v>2000</v>
      </c>
      <c r="Q953" s="185">
        <v>0.8</v>
      </c>
      <c r="R953" s="130">
        <v>2000</v>
      </c>
      <c r="S953" s="164">
        <f t="shared" si="147"/>
        <v>0</v>
      </c>
      <c r="T953" s="168">
        <f t="shared" ref="T953:T962" si="153">((3600/M953)*O953)*24*Q953</f>
        <v>576</v>
      </c>
      <c r="U953" s="163">
        <f t="shared" ref="U953:U967" si="154">(P953-R953)*M953/3600/Q953</f>
        <v>0</v>
      </c>
      <c r="V953" s="163">
        <f t="shared" ref="V953:V967" si="155">U953/24</f>
        <v>0</v>
      </c>
      <c r="W953" s="163">
        <v>0</v>
      </c>
      <c r="X953" s="137">
        <f t="shared" si="146"/>
        <v>46153.865277777775</v>
      </c>
    </row>
    <row r="954" spans="1:24" s="186" customFormat="1" hidden="1" x14ac:dyDescent="0.35">
      <c r="A954" s="123">
        <f t="shared" si="151"/>
        <v>46153.865277777775</v>
      </c>
      <c r="B954" s="123">
        <v>46060</v>
      </c>
      <c r="C954" s="190">
        <f t="shared" si="152"/>
        <v>-93.865277777775191</v>
      </c>
      <c r="D954" s="190"/>
      <c r="E954" s="476" t="s">
        <v>249</v>
      </c>
      <c r="F954" s="159" t="s">
        <v>385</v>
      </c>
      <c r="G954" s="159" t="s">
        <v>386</v>
      </c>
      <c r="H954" s="126" t="s">
        <v>1659</v>
      </c>
      <c r="I954" s="159" t="s">
        <v>1660</v>
      </c>
      <c r="J954" s="175" t="s">
        <v>140</v>
      </c>
      <c r="K954" s="163">
        <v>0</v>
      </c>
      <c r="L954" s="163">
        <v>0</v>
      </c>
      <c r="M954" s="164">
        <v>100</v>
      </c>
      <c r="N954" s="165">
        <v>250</v>
      </c>
      <c r="O954" s="166">
        <v>1</v>
      </c>
      <c r="P954" s="165">
        <f t="shared" si="145"/>
        <v>250</v>
      </c>
      <c r="Q954" s="185">
        <v>0.8</v>
      </c>
      <c r="R954" s="164">
        <v>250</v>
      </c>
      <c r="S954" s="164">
        <f t="shared" si="147"/>
        <v>0</v>
      </c>
      <c r="T954" s="168">
        <f t="shared" si="153"/>
        <v>691.2</v>
      </c>
      <c r="U954" s="163">
        <f t="shared" si="154"/>
        <v>0</v>
      </c>
      <c r="V954" s="163">
        <f t="shared" si="155"/>
        <v>0</v>
      </c>
      <c r="W954" s="163">
        <v>0</v>
      </c>
      <c r="X954" s="137">
        <f t="shared" si="146"/>
        <v>46153.865277777775</v>
      </c>
    </row>
    <row r="955" spans="1:24" s="186" customFormat="1" hidden="1" x14ac:dyDescent="0.35">
      <c r="A955" s="123">
        <f t="shared" si="151"/>
        <v>46153.865277777775</v>
      </c>
      <c r="B955" s="123">
        <f>X1145</f>
        <v>46153.899999999994</v>
      </c>
      <c r="C955" s="183">
        <f t="shared" si="152"/>
        <v>3.4722222218988463E-2</v>
      </c>
      <c r="D955" s="183"/>
      <c r="E955" s="124" t="s">
        <v>195</v>
      </c>
      <c r="F955" s="159" t="s">
        <v>397</v>
      </c>
      <c r="G955" s="187" t="s">
        <v>839</v>
      </c>
      <c r="H955" s="126" t="s">
        <v>1661</v>
      </c>
      <c r="I955" s="159" t="s">
        <v>536</v>
      </c>
      <c r="J955" s="128" t="s">
        <v>140</v>
      </c>
      <c r="K955" s="129">
        <v>0</v>
      </c>
      <c r="L955" s="129">
        <v>0</v>
      </c>
      <c r="M955" s="130">
        <v>120</v>
      </c>
      <c r="N955" s="131">
        <v>1000</v>
      </c>
      <c r="O955" s="189">
        <v>1</v>
      </c>
      <c r="P955" s="131">
        <f t="shared" si="145"/>
        <v>1000</v>
      </c>
      <c r="Q955" s="185">
        <v>0.8</v>
      </c>
      <c r="R955" s="130">
        <v>1000</v>
      </c>
      <c r="S955" s="164">
        <f t="shared" si="147"/>
        <v>0</v>
      </c>
      <c r="T955" s="168">
        <f t="shared" si="153"/>
        <v>576</v>
      </c>
      <c r="U955" s="163">
        <f t="shared" si="154"/>
        <v>0</v>
      </c>
      <c r="V955" s="163">
        <f t="shared" si="155"/>
        <v>0</v>
      </c>
      <c r="W955" s="163">
        <v>0</v>
      </c>
      <c r="X955" s="137">
        <f t="shared" si="146"/>
        <v>46153.865277777775</v>
      </c>
    </row>
    <row r="956" spans="1:24" s="186" customFormat="1" hidden="1" x14ac:dyDescent="0.35">
      <c r="A956" s="123">
        <f t="shared" si="151"/>
        <v>46153.865277777775</v>
      </c>
      <c r="B956" s="123">
        <f>X958</f>
        <v>46153.865277777775</v>
      </c>
      <c r="C956" s="183">
        <f t="shared" si="152"/>
        <v>0</v>
      </c>
      <c r="D956" s="183"/>
      <c r="E956" s="124" t="s">
        <v>195</v>
      </c>
      <c r="F956" s="373" t="s">
        <v>900</v>
      </c>
      <c r="G956" s="373" t="s">
        <v>386</v>
      </c>
      <c r="H956" s="188" t="s">
        <v>1662</v>
      </c>
      <c r="I956" s="259" t="s">
        <v>1663</v>
      </c>
      <c r="J956" s="175" t="s">
        <v>140</v>
      </c>
      <c r="K956" s="129">
        <v>0</v>
      </c>
      <c r="L956" s="129">
        <v>0</v>
      </c>
      <c r="M956" s="130">
        <v>60</v>
      </c>
      <c r="N956" s="131">
        <v>1500</v>
      </c>
      <c r="O956" s="189">
        <v>1</v>
      </c>
      <c r="P956" s="131">
        <f t="shared" si="145"/>
        <v>1500</v>
      </c>
      <c r="Q956" s="185">
        <v>0.8</v>
      </c>
      <c r="R956" s="130">
        <v>1500</v>
      </c>
      <c r="S956" s="164">
        <f t="shared" si="147"/>
        <v>0</v>
      </c>
      <c r="T956" s="168">
        <f t="shared" si="153"/>
        <v>1152</v>
      </c>
      <c r="U956" s="163">
        <f t="shared" si="154"/>
        <v>0</v>
      </c>
      <c r="V956" s="163">
        <f t="shared" si="155"/>
        <v>0</v>
      </c>
      <c r="W956" s="163">
        <v>0</v>
      </c>
      <c r="X956" s="137">
        <f t="shared" si="146"/>
        <v>46153.865277777775</v>
      </c>
    </row>
    <row r="957" spans="1:24" s="186" customFormat="1" hidden="1" x14ac:dyDescent="0.35">
      <c r="A957" s="123">
        <f t="shared" si="151"/>
        <v>46153.865277777775</v>
      </c>
      <c r="B957" s="123">
        <v>46062</v>
      </c>
      <c r="C957" s="190">
        <f t="shared" si="152"/>
        <v>-91.865277777775191</v>
      </c>
      <c r="D957" s="190"/>
      <c r="E957" s="124" t="s">
        <v>249</v>
      </c>
      <c r="F957" s="125" t="s">
        <v>394</v>
      </c>
      <c r="G957" s="125" t="s">
        <v>386</v>
      </c>
      <c r="H957" s="126" t="s">
        <v>1664</v>
      </c>
      <c r="I957" s="159" t="s">
        <v>673</v>
      </c>
      <c r="J957" s="128" t="s">
        <v>283</v>
      </c>
      <c r="K957" s="129">
        <v>0</v>
      </c>
      <c r="L957" s="129">
        <v>0</v>
      </c>
      <c r="M957" s="130">
        <v>67</v>
      </c>
      <c r="N957" s="131">
        <v>720</v>
      </c>
      <c r="O957" s="130">
        <v>1</v>
      </c>
      <c r="P957" s="131">
        <f t="shared" si="145"/>
        <v>720</v>
      </c>
      <c r="Q957" s="185">
        <v>0.8</v>
      </c>
      <c r="R957" s="130">
        <v>720</v>
      </c>
      <c r="S957" s="164">
        <f t="shared" si="147"/>
        <v>0</v>
      </c>
      <c r="T957" s="168">
        <f t="shared" si="153"/>
        <v>1031.6417910447763</v>
      </c>
      <c r="U957" s="163">
        <f t="shared" si="154"/>
        <v>0</v>
      </c>
      <c r="V957" s="163">
        <f t="shared" si="155"/>
        <v>0</v>
      </c>
      <c r="W957" s="163">
        <v>0</v>
      </c>
      <c r="X957" s="137">
        <f t="shared" si="146"/>
        <v>46153.865277777775</v>
      </c>
    </row>
    <row r="958" spans="1:24" s="186" customFormat="1" hidden="1" x14ac:dyDescent="0.35">
      <c r="A958" s="123">
        <f t="shared" si="151"/>
        <v>46153.865277777775</v>
      </c>
      <c r="B958" s="123">
        <f>X955</f>
        <v>46153.865277777775</v>
      </c>
      <c r="C958" s="190">
        <f t="shared" si="152"/>
        <v>0</v>
      </c>
      <c r="D958" s="190"/>
      <c r="E958" s="124" t="s">
        <v>195</v>
      </c>
      <c r="F958" s="125" t="s">
        <v>394</v>
      </c>
      <c r="G958" s="125" t="s">
        <v>386</v>
      </c>
      <c r="H958" s="126" t="s">
        <v>1665</v>
      </c>
      <c r="I958" s="477" t="s">
        <v>282</v>
      </c>
      <c r="J958" s="128" t="s">
        <v>283</v>
      </c>
      <c r="K958" s="129">
        <v>0</v>
      </c>
      <c r="L958" s="129">
        <v>0</v>
      </c>
      <c r="M958" s="130">
        <v>67</v>
      </c>
      <c r="N958" s="131">
        <v>2160</v>
      </c>
      <c r="O958" s="189">
        <v>2</v>
      </c>
      <c r="P958" s="131">
        <f t="shared" si="145"/>
        <v>1080</v>
      </c>
      <c r="Q958" s="185">
        <v>0.8</v>
      </c>
      <c r="R958" s="130">
        <v>1080</v>
      </c>
      <c r="S958" s="164">
        <f t="shared" si="147"/>
        <v>0</v>
      </c>
      <c r="T958" s="168">
        <f t="shared" si="153"/>
        <v>2063.2835820895525</v>
      </c>
      <c r="U958" s="163">
        <f t="shared" si="154"/>
        <v>0</v>
      </c>
      <c r="V958" s="163">
        <f t="shared" si="155"/>
        <v>0</v>
      </c>
      <c r="W958" s="163">
        <v>0</v>
      </c>
      <c r="X958" s="137">
        <f t="shared" si="146"/>
        <v>46153.865277777775</v>
      </c>
    </row>
    <row r="959" spans="1:24" s="186" customFormat="1" ht="26" hidden="1" x14ac:dyDescent="0.35">
      <c r="A959" s="123">
        <f t="shared" si="151"/>
        <v>46153.865277777775</v>
      </c>
      <c r="B959" s="369">
        <v>46084.3</v>
      </c>
      <c r="C959" s="190">
        <f t="shared" si="152"/>
        <v>-69.56527777777228</v>
      </c>
      <c r="D959" s="478"/>
      <c r="E959" s="371" t="s">
        <v>249</v>
      </c>
      <c r="F959" s="372" t="s">
        <v>1666</v>
      </c>
      <c r="G959" s="372" t="s">
        <v>386</v>
      </c>
      <c r="H959" s="374" t="s">
        <v>1667</v>
      </c>
      <c r="I959" s="474" t="s">
        <v>1470</v>
      </c>
      <c r="J959" s="375" t="s">
        <v>140</v>
      </c>
      <c r="K959" s="136">
        <v>0</v>
      </c>
      <c r="L959" s="136">
        <v>0</v>
      </c>
      <c r="M959" s="132">
        <v>80</v>
      </c>
      <c r="N959" s="376">
        <v>5000</v>
      </c>
      <c r="O959" s="377">
        <v>1</v>
      </c>
      <c r="P959" s="131">
        <f t="shared" si="145"/>
        <v>5000</v>
      </c>
      <c r="Q959" s="185">
        <v>0.8</v>
      </c>
      <c r="R959" s="132">
        <v>5000</v>
      </c>
      <c r="S959" s="164">
        <f t="shared" si="147"/>
        <v>0</v>
      </c>
      <c r="T959" s="168">
        <f t="shared" si="153"/>
        <v>864</v>
      </c>
      <c r="U959" s="163">
        <f t="shared" si="154"/>
        <v>0</v>
      </c>
      <c r="V959" s="163">
        <f t="shared" si="155"/>
        <v>0</v>
      </c>
      <c r="W959" s="163">
        <v>0</v>
      </c>
      <c r="X959" s="137">
        <f t="shared" si="146"/>
        <v>46153.865277777775</v>
      </c>
    </row>
    <row r="960" spans="1:24" s="186" customFormat="1" ht="26" hidden="1" x14ac:dyDescent="0.35">
      <c r="A960" s="123">
        <f t="shared" si="151"/>
        <v>46153.865277777775</v>
      </c>
      <c r="B960" s="369">
        <v>46090.3</v>
      </c>
      <c r="C960" s="190">
        <f t="shared" si="152"/>
        <v>-63.56527777777228</v>
      </c>
      <c r="D960" s="478"/>
      <c r="E960" s="371" t="s">
        <v>249</v>
      </c>
      <c r="F960" s="372" t="s">
        <v>1666</v>
      </c>
      <c r="G960" s="372" t="s">
        <v>386</v>
      </c>
      <c r="H960" s="374" t="s">
        <v>1668</v>
      </c>
      <c r="I960" s="474" t="s">
        <v>1470</v>
      </c>
      <c r="J960" s="375" t="s">
        <v>140</v>
      </c>
      <c r="K960" s="136">
        <v>0</v>
      </c>
      <c r="L960" s="136">
        <v>0</v>
      </c>
      <c r="M960" s="132">
        <v>80</v>
      </c>
      <c r="N960" s="376">
        <v>5000</v>
      </c>
      <c r="O960" s="377">
        <v>1</v>
      </c>
      <c r="P960" s="131">
        <f t="shared" si="145"/>
        <v>5000</v>
      </c>
      <c r="Q960" s="185">
        <v>0.8</v>
      </c>
      <c r="R960" s="132">
        <v>5000</v>
      </c>
      <c r="S960" s="164">
        <f t="shared" si="147"/>
        <v>0</v>
      </c>
      <c r="T960" s="168">
        <f t="shared" si="153"/>
        <v>864</v>
      </c>
      <c r="U960" s="163">
        <f t="shared" si="154"/>
        <v>0</v>
      </c>
      <c r="V960" s="163">
        <f t="shared" si="155"/>
        <v>0</v>
      </c>
      <c r="W960" s="163">
        <v>0</v>
      </c>
      <c r="X960" s="137">
        <f t="shared" si="146"/>
        <v>46153.865277777775</v>
      </c>
    </row>
    <row r="961" spans="1:24" s="186" customFormat="1" hidden="1" x14ac:dyDescent="0.35">
      <c r="A961" s="123">
        <f t="shared" si="151"/>
        <v>46153.865277777775</v>
      </c>
      <c r="B961" s="369">
        <v>46101.102314814816</v>
      </c>
      <c r="C961" s="183">
        <f t="shared" si="152"/>
        <v>-52.762962962959136</v>
      </c>
      <c r="D961" s="183"/>
      <c r="E961" s="124" t="s">
        <v>195</v>
      </c>
      <c r="F961" s="159" t="s">
        <v>1669</v>
      </c>
      <c r="G961" s="187" t="s">
        <v>398</v>
      </c>
      <c r="H961" s="126" t="s">
        <v>1670</v>
      </c>
      <c r="I961" s="159" t="s">
        <v>536</v>
      </c>
      <c r="J961" s="128" t="s">
        <v>140</v>
      </c>
      <c r="K961" s="129">
        <v>0</v>
      </c>
      <c r="L961" s="129">
        <v>0</v>
      </c>
      <c r="M961" s="130">
        <v>120</v>
      </c>
      <c r="N961" s="131">
        <v>1400</v>
      </c>
      <c r="O961" s="189">
        <v>1</v>
      </c>
      <c r="P961" s="131">
        <f t="shared" si="145"/>
        <v>1400</v>
      </c>
      <c r="Q961" s="185">
        <v>0.8</v>
      </c>
      <c r="R961" s="130">
        <v>1400</v>
      </c>
      <c r="S961" s="164">
        <f t="shared" si="147"/>
        <v>0</v>
      </c>
      <c r="T961" s="168">
        <f t="shared" si="153"/>
        <v>576</v>
      </c>
      <c r="U961" s="163">
        <f t="shared" si="154"/>
        <v>0</v>
      </c>
      <c r="V961" s="163">
        <f t="shared" si="155"/>
        <v>0</v>
      </c>
      <c r="W961" s="163">
        <v>0</v>
      </c>
      <c r="X961" s="137">
        <f t="shared" si="146"/>
        <v>46153.865277777775</v>
      </c>
    </row>
    <row r="962" spans="1:24" s="186" customFormat="1" hidden="1" x14ac:dyDescent="0.35">
      <c r="A962" s="123">
        <f t="shared" si="151"/>
        <v>46153.865277777775</v>
      </c>
      <c r="B962" s="369">
        <v>46104</v>
      </c>
      <c r="C962" s="183">
        <f t="shared" si="152"/>
        <v>-49.865277777775191</v>
      </c>
      <c r="D962" s="183"/>
      <c r="E962" s="124" t="s">
        <v>195</v>
      </c>
      <c r="F962" s="159" t="s">
        <v>397</v>
      </c>
      <c r="G962" s="187" t="s">
        <v>398</v>
      </c>
      <c r="H962" s="126" t="s">
        <v>1671</v>
      </c>
      <c r="I962" s="159" t="s">
        <v>536</v>
      </c>
      <c r="J962" s="128" t="s">
        <v>140</v>
      </c>
      <c r="K962" s="129">
        <v>0</v>
      </c>
      <c r="L962" s="129">
        <v>0</v>
      </c>
      <c r="M962" s="130">
        <v>120</v>
      </c>
      <c r="N962" s="131">
        <v>1000</v>
      </c>
      <c r="O962" s="189">
        <v>1</v>
      </c>
      <c r="P962" s="131">
        <f t="shared" si="145"/>
        <v>1000</v>
      </c>
      <c r="Q962" s="185">
        <v>0.8</v>
      </c>
      <c r="R962" s="130">
        <v>1000</v>
      </c>
      <c r="S962" s="164">
        <f t="shared" si="147"/>
        <v>0</v>
      </c>
      <c r="T962" s="168">
        <f t="shared" si="153"/>
        <v>576</v>
      </c>
      <c r="U962" s="163">
        <f t="shared" si="154"/>
        <v>0</v>
      </c>
      <c r="V962" s="163">
        <f t="shared" si="155"/>
        <v>0</v>
      </c>
      <c r="W962" s="163">
        <v>0</v>
      </c>
      <c r="X962" s="137">
        <f t="shared" si="146"/>
        <v>46153.865277777775</v>
      </c>
    </row>
    <row r="963" spans="1:24" s="186" customFormat="1" hidden="1" x14ac:dyDescent="0.35">
      <c r="A963" s="123">
        <f t="shared" si="151"/>
        <v>46153.865277777775</v>
      </c>
      <c r="B963" s="369">
        <v>46106</v>
      </c>
      <c r="C963" s="183">
        <f t="shared" si="152"/>
        <v>-47.865277777775191</v>
      </c>
      <c r="D963" s="183"/>
      <c r="E963" s="124" t="s">
        <v>195</v>
      </c>
      <c r="F963" s="159" t="s">
        <v>1669</v>
      </c>
      <c r="G963" s="187" t="s">
        <v>398</v>
      </c>
      <c r="H963" s="126" t="s">
        <v>1672</v>
      </c>
      <c r="I963" s="159" t="s">
        <v>457</v>
      </c>
      <c r="J963" s="175" t="s">
        <v>140</v>
      </c>
      <c r="K963" s="129">
        <v>0</v>
      </c>
      <c r="L963" s="129">
        <v>0</v>
      </c>
      <c r="M963" s="130">
        <v>90</v>
      </c>
      <c r="N963" s="131">
        <v>1500</v>
      </c>
      <c r="O963" s="189">
        <v>1</v>
      </c>
      <c r="P963" s="131">
        <f t="shared" si="145"/>
        <v>1500</v>
      </c>
      <c r="Q963" s="185">
        <v>0.8</v>
      </c>
      <c r="R963" s="130">
        <v>1500</v>
      </c>
      <c r="S963" s="164">
        <f t="shared" si="147"/>
        <v>0</v>
      </c>
      <c r="T963" s="168">
        <f>((3600/M963)*O963)*21*Q963</f>
        <v>672</v>
      </c>
      <c r="U963" s="163">
        <f t="shared" si="154"/>
        <v>0</v>
      </c>
      <c r="V963" s="163">
        <f t="shared" si="155"/>
        <v>0</v>
      </c>
      <c r="W963" s="163">
        <v>0</v>
      </c>
      <c r="X963" s="137">
        <f t="shared" si="146"/>
        <v>46153.865277777775</v>
      </c>
    </row>
    <row r="964" spans="1:24" s="191" customFormat="1" ht="26" hidden="1" x14ac:dyDescent="0.3">
      <c r="A964" s="123">
        <f t="shared" si="151"/>
        <v>46153.865277777775</v>
      </c>
      <c r="B964" s="123">
        <v>46112</v>
      </c>
      <c r="C964" s="183">
        <f t="shared" si="152"/>
        <v>-41.865277777775191</v>
      </c>
      <c r="D964" s="123"/>
      <c r="E964" s="124" t="s">
        <v>195</v>
      </c>
      <c r="F964" s="159" t="s">
        <v>1311</v>
      </c>
      <c r="G964" s="159" t="s">
        <v>398</v>
      </c>
      <c r="H964" s="479" t="s">
        <v>1673</v>
      </c>
      <c r="I964" s="125" t="s">
        <v>765</v>
      </c>
      <c r="J964" s="175" t="s">
        <v>140</v>
      </c>
      <c r="K964" s="129">
        <v>0</v>
      </c>
      <c r="L964" s="129">
        <v>0</v>
      </c>
      <c r="M964" s="130">
        <v>100</v>
      </c>
      <c r="N964" s="131">
        <v>1000</v>
      </c>
      <c r="O964" s="189">
        <v>1</v>
      </c>
      <c r="P964" s="131">
        <f t="shared" si="145"/>
        <v>1000</v>
      </c>
      <c r="Q964" s="185">
        <v>0.8</v>
      </c>
      <c r="R964" s="176">
        <v>1000</v>
      </c>
      <c r="S964" s="164">
        <f t="shared" si="147"/>
        <v>0</v>
      </c>
      <c r="T964" s="164">
        <f>((3600/M964)*O964)*24*Q964</f>
        <v>691.2</v>
      </c>
      <c r="U964" s="163">
        <f t="shared" si="154"/>
        <v>0</v>
      </c>
      <c r="V964" s="163">
        <f t="shared" si="155"/>
        <v>0</v>
      </c>
      <c r="W964" s="163">
        <v>0</v>
      </c>
      <c r="X964" s="137">
        <f t="shared" si="146"/>
        <v>46153.865277777775</v>
      </c>
    </row>
    <row r="965" spans="1:24" s="186" customFormat="1" hidden="1" x14ac:dyDescent="0.35">
      <c r="A965" s="123">
        <f t="shared" si="151"/>
        <v>46153.865277777775</v>
      </c>
      <c r="B965" s="123">
        <v>46127</v>
      </c>
      <c r="C965" s="190">
        <f t="shared" si="152"/>
        <v>-26.865277777775191</v>
      </c>
      <c r="D965" s="123"/>
      <c r="E965" s="480" t="s">
        <v>195</v>
      </c>
      <c r="F965" s="125" t="s">
        <v>1674</v>
      </c>
      <c r="G965" s="125" t="s">
        <v>1675</v>
      </c>
      <c r="H965" s="126" t="s">
        <v>1676</v>
      </c>
      <c r="I965" s="177" t="s">
        <v>1677</v>
      </c>
      <c r="J965" s="175" t="s">
        <v>140</v>
      </c>
      <c r="K965" s="129">
        <v>0</v>
      </c>
      <c r="L965" s="129">
        <v>0</v>
      </c>
      <c r="M965" s="130">
        <v>40</v>
      </c>
      <c r="N965" s="130">
        <v>12000</v>
      </c>
      <c r="O965" s="130">
        <v>8</v>
      </c>
      <c r="P965" s="130">
        <f t="shared" si="145"/>
        <v>1500</v>
      </c>
      <c r="Q965" s="185">
        <v>0.8</v>
      </c>
      <c r="R965" s="130">
        <v>1500</v>
      </c>
      <c r="S965" s="164">
        <f t="shared" si="147"/>
        <v>0</v>
      </c>
      <c r="T965" s="168">
        <f>((3600/M965)*O965)*24*Q965</f>
        <v>13824</v>
      </c>
      <c r="U965" s="163">
        <f t="shared" si="154"/>
        <v>0</v>
      </c>
      <c r="V965" s="163">
        <f t="shared" si="155"/>
        <v>0</v>
      </c>
      <c r="W965" s="163">
        <v>0</v>
      </c>
      <c r="X965" s="137">
        <f>A965+K965+L965+V965+W965</f>
        <v>46153.865277777775</v>
      </c>
    </row>
    <row r="966" spans="1:24" s="186" customFormat="1" ht="26" hidden="1" x14ac:dyDescent="0.35">
      <c r="A966" s="123">
        <f t="shared" si="151"/>
        <v>46153.865277777775</v>
      </c>
      <c r="B966" s="369">
        <v>46121.3</v>
      </c>
      <c r="C966" s="190">
        <f t="shared" si="152"/>
        <v>-32.56527777777228</v>
      </c>
      <c r="D966" s="478"/>
      <c r="E966" s="371" t="s">
        <v>249</v>
      </c>
      <c r="F966" s="372" t="s">
        <v>1678</v>
      </c>
      <c r="G966" s="372" t="s">
        <v>1675</v>
      </c>
      <c r="H966" s="374" t="s">
        <v>1679</v>
      </c>
      <c r="I966" s="474" t="s">
        <v>1470</v>
      </c>
      <c r="J966" s="375" t="s">
        <v>140</v>
      </c>
      <c r="K966" s="136">
        <v>0</v>
      </c>
      <c r="L966" s="136">
        <v>0</v>
      </c>
      <c r="M966" s="132">
        <v>80</v>
      </c>
      <c r="N966" s="376">
        <v>7500</v>
      </c>
      <c r="O966" s="377">
        <v>1</v>
      </c>
      <c r="P966" s="131">
        <f t="shared" si="145"/>
        <v>7500</v>
      </c>
      <c r="Q966" s="185">
        <v>0.8</v>
      </c>
      <c r="R966" s="132">
        <v>7500</v>
      </c>
      <c r="S966" s="164">
        <f t="shared" si="147"/>
        <v>0</v>
      </c>
      <c r="T966" s="168">
        <f>((3600/M966)*O966)*24*Q966</f>
        <v>864</v>
      </c>
      <c r="U966" s="163">
        <f t="shared" si="154"/>
        <v>0</v>
      </c>
      <c r="V966" s="163">
        <f t="shared" si="155"/>
        <v>0</v>
      </c>
      <c r="W966" s="163">
        <v>0</v>
      </c>
      <c r="X966" s="137">
        <f>A966+K966+V966+W966+L966</f>
        <v>46153.865277777775</v>
      </c>
    </row>
    <row r="967" spans="1:24" s="186" customFormat="1" ht="26" hidden="1" x14ac:dyDescent="0.35">
      <c r="A967" s="123">
        <f t="shared" si="151"/>
        <v>46153.865277777775</v>
      </c>
      <c r="B967" s="369">
        <v>46136.3</v>
      </c>
      <c r="C967" s="190">
        <f t="shared" si="152"/>
        <v>-17.56527777777228</v>
      </c>
      <c r="D967" s="478"/>
      <c r="E967" s="371" t="s">
        <v>249</v>
      </c>
      <c r="F967" s="372" t="s">
        <v>910</v>
      </c>
      <c r="G967" s="372" t="s">
        <v>1675</v>
      </c>
      <c r="H967" s="374" t="s">
        <v>1680</v>
      </c>
      <c r="I967" s="474" t="s">
        <v>1470</v>
      </c>
      <c r="J967" s="375" t="s">
        <v>140</v>
      </c>
      <c r="K967" s="136">
        <v>0</v>
      </c>
      <c r="L967" s="136">
        <v>0</v>
      </c>
      <c r="M967" s="132">
        <v>80</v>
      </c>
      <c r="N967" s="376">
        <v>5285</v>
      </c>
      <c r="O967" s="377">
        <v>1</v>
      </c>
      <c r="P967" s="131">
        <f t="shared" si="145"/>
        <v>5285</v>
      </c>
      <c r="Q967" s="185">
        <v>0.8</v>
      </c>
      <c r="R967" s="132">
        <v>5285</v>
      </c>
      <c r="S967" s="164">
        <f t="shared" si="147"/>
        <v>0</v>
      </c>
      <c r="T967" s="168">
        <f>((3600/M967)*O967)*24*Q967</f>
        <v>864</v>
      </c>
      <c r="U967" s="163">
        <f t="shared" si="154"/>
        <v>0</v>
      </c>
      <c r="V967" s="163">
        <f t="shared" si="155"/>
        <v>0</v>
      </c>
      <c r="W967" s="163">
        <v>0</v>
      </c>
      <c r="X967" s="137">
        <f>A967+K967+V967+W967+L967</f>
        <v>46153.865277777775</v>
      </c>
    </row>
    <row r="968" spans="1:24" s="243" customFormat="1" ht="25" customHeight="1" x14ac:dyDescent="0.35">
      <c r="A968" s="193">
        <f>X967</f>
        <v>46153.865277777775</v>
      </c>
      <c r="B968" s="481">
        <v>46152</v>
      </c>
      <c r="C968" s="267">
        <f>B968-A968</f>
        <v>-1.8652777777751908</v>
      </c>
      <c r="D968" s="267"/>
      <c r="E968" s="195" t="s">
        <v>195</v>
      </c>
      <c r="F968" s="196" t="s">
        <v>1681</v>
      </c>
      <c r="G968" s="196" t="s">
        <v>414</v>
      </c>
      <c r="H968" s="113" t="s">
        <v>1682</v>
      </c>
      <c r="I968" s="196" t="s">
        <v>457</v>
      </c>
      <c r="J968" s="114" t="s">
        <v>140</v>
      </c>
      <c r="K968" s="482">
        <v>0.25</v>
      </c>
      <c r="L968" s="482">
        <v>0.2</v>
      </c>
      <c r="M968" s="199">
        <v>90</v>
      </c>
      <c r="N968" s="483">
        <v>2000</v>
      </c>
      <c r="O968" s="484">
        <v>1</v>
      </c>
      <c r="P968" s="483">
        <f>N968/O968</f>
        <v>2000</v>
      </c>
      <c r="Q968" s="198">
        <v>0.8</v>
      </c>
      <c r="R968" s="199"/>
      <c r="S968" s="116">
        <f>P968-R968</f>
        <v>2000</v>
      </c>
      <c r="T968" s="200">
        <f>((3600/M968)*O968)*21*Q968</f>
        <v>672</v>
      </c>
      <c r="U968" s="115">
        <f>(P968-R968)*M968/3600/Q968</f>
        <v>62.5</v>
      </c>
      <c r="V968" s="115">
        <f>U968/24</f>
        <v>2.6041666666666665</v>
      </c>
      <c r="W968" s="115">
        <v>0</v>
      </c>
      <c r="X968" s="201">
        <f>A968+K968+V968+W968+L968</f>
        <v>46156.919444444437</v>
      </c>
    </row>
    <row r="969" spans="1:24" s="487" customFormat="1" ht="25" customHeight="1" x14ac:dyDescent="0.35">
      <c r="A969" s="203">
        <f>X968</f>
        <v>46156.919444444437</v>
      </c>
      <c r="B969" s="203">
        <v>46156</v>
      </c>
      <c r="C969" s="385">
        <f t="shared" ref="C969" si="156">B969-A969</f>
        <v>-0.91944444443652174</v>
      </c>
      <c r="D969" s="203"/>
      <c r="E969" s="204" t="s">
        <v>249</v>
      </c>
      <c r="F969" s="205" t="s">
        <v>1681</v>
      </c>
      <c r="G969" s="205" t="s">
        <v>414</v>
      </c>
      <c r="H969" s="485" t="s">
        <v>1683</v>
      </c>
      <c r="I969" s="205" t="s">
        <v>198</v>
      </c>
      <c r="J969" s="310" t="s">
        <v>140</v>
      </c>
      <c r="K969" s="208">
        <v>0.25</v>
      </c>
      <c r="L969" s="208">
        <v>0.2</v>
      </c>
      <c r="M969" s="209">
        <v>190</v>
      </c>
      <c r="N969" s="210">
        <v>1000</v>
      </c>
      <c r="O969" s="486">
        <v>1</v>
      </c>
      <c r="P969" s="210">
        <f t="shared" si="145"/>
        <v>1000</v>
      </c>
      <c r="Q969" s="293">
        <v>0.8</v>
      </c>
      <c r="R969" s="209"/>
      <c r="S969" s="290">
        <f t="shared" ref="S969" si="157">P969-R969</f>
        <v>1000</v>
      </c>
      <c r="T969" s="294">
        <f t="shared" ref="T969" si="158">((3600/M969)*O969)*24*Q969</f>
        <v>363.78947368421052</v>
      </c>
      <c r="U969" s="289">
        <f t="shared" ref="U969" si="159">(P969-R969)*M969/3600/Q969</f>
        <v>65.972222222222214</v>
      </c>
      <c r="V969" s="289">
        <f t="shared" ref="V969" si="160">U969/24</f>
        <v>2.7488425925925921</v>
      </c>
      <c r="W969" s="289">
        <v>0</v>
      </c>
      <c r="X969" s="212">
        <f t="shared" ref="X969" si="161">A969+K969+V969+W969+L969</f>
        <v>46160.118287037025</v>
      </c>
    </row>
    <row r="970" spans="1:24" s="487" customFormat="1" ht="25" customHeight="1" x14ac:dyDescent="0.35">
      <c r="A970" s="203"/>
      <c r="B970" s="203"/>
      <c r="C970" s="203"/>
      <c r="D970" s="203"/>
      <c r="E970" s="204"/>
      <c r="F970" s="488"/>
      <c r="G970" s="205"/>
      <c r="H970" s="485"/>
      <c r="I970" s="205"/>
      <c r="J970" s="310"/>
      <c r="K970" s="208"/>
      <c r="L970" s="208"/>
      <c r="M970" s="209"/>
      <c r="N970" s="210"/>
      <c r="O970" s="486"/>
      <c r="P970" s="210"/>
      <c r="Q970" s="210"/>
      <c r="R970" s="209"/>
      <c r="S970" s="209"/>
      <c r="T970" s="294"/>
      <c r="U970" s="289"/>
      <c r="V970" s="289"/>
      <c r="W970" s="489"/>
      <c r="X970" s="212"/>
    </row>
    <row r="971" spans="1:24" ht="34.5" x14ac:dyDescent="0.8">
      <c r="A971" s="35" t="s">
        <v>195</v>
      </c>
      <c r="B971" s="35"/>
      <c r="C971" s="35"/>
      <c r="D971" s="35"/>
      <c r="E971" s="36"/>
      <c r="F971" s="389"/>
      <c r="G971" s="389"/>
      <c r="H971" s="311"/>
      <c r="I971" s="214"/>
      <c r="J971" s="40"/>
      <c r="K971" s="41"/>
      <c r="L971" s="41"/>
      <c r="M971" s="42"/>
      <c r="N971" s="43"/>
      <c r="O971" s="312"/>
      <c r="P971" s="44"/>
      <c r="Q971" s="44"/>
      <c r="R971" s="44"/>
      <c r="S971" s="44"/>
      <c r="T971" s="313"/>
      <c r="U971" s="44"/>
      <c r="V971" s="44"/>
      <c r="W971" s="44"/>
      <c r="X971" s="45"/>
    </row>
    <row r="972" spans="1:24" hidden="1" x14ac:dyDescent="0.35">
      <c r="A972" s="46">
        <f>S7</f>
        <v>46153</v>
      </c>
      <c r="B972" s="46"/>
      <c r="C972" s="46"/>
      <c r="D972" s="46"/>
      <c r="E972" s="47" t="s">
        <v>195</v>
      </c>
      <c r="F972" s="57" t="s">
        <v>1362</v>
      </c>
      <c r="G972" s="57"/>
      <c r="H972" s="49" t="s">
        <v>1362</v>
      </c>
      <c r="I972" s="82" t="s">
        <v>1374</v>
      </c>
      <c r="J972" s="100" t="s">
        <v>140</v>
      </c>
      <c r="K972" s="52">
        <v>0</v>
      </c>
      <c r="L972" s="52">
        <v>0</v>
      </c>
      <c r="M972" s="53">
        <v>60</v>
      </c>
      <c r="N972" s="54">
        <v>50</v>
      </c>
      <c r="O972" s="341">
        <v>1</v>
      </c>
      <c r="P972" s="54">
        <f>N972/O972</f>
        <v>50</v>
      </c>
      <c r="Q972" s="54"/>
      <c r="R972" s="53">
        <v>50</v>
      </c>
      <c r="S972" s="53">
        <f t="shared" ref="S972:S1035" si="162">P972-R972</f>
        <v>0</v>
      </c>
      <c r="T972" s="315">
        <f t="shared" ref="T972:T1035" si="163">((3600/M972)*O972)*24</f>
        <v>1440</v>
      </c>
      <c r="U972" s="84">
        <f t="shared" ref="U972:U1035" si="164">(P972-R972)*M972/3600</f>
        <v>0</v>
      </c>
      <c r="V972" s="84">
        <f t="shared" ref="V972:V1035" si="165">(P972-R972)*M972/3600/24</f>
        <v>0</v>
      </c>
      <c r="W972" s="84">
        <v>0</v>
      </c>
      <c r="X972" s="55">
        <f t="shared" ref="X972:X1035" si="166">A972+K972+V972+W972+L972</f>
        <v>46153</v>
      </c>
    </row>
    <row r="973" spans="1:24" hidden="1" x14ac:dyDescent="0.35">
      <c r="A973" s="46">
        <f t="shared" ref="A973:A1036" si="167">X972</f>
        <v>46153</v>
      </c>
      <c r="B973" s="46"/>
      <c r="C973" s="46"/>
      <c r="D973" s="46"/>
      <c r="E973" s="47" t="s">
        <v>1684</v>
      </c>
      <c r="F973" s="61" t="s">
        <v>414</v>
      </c>
      <c r="G973" s="61"/>
      <c r="H973" s="49" t="s">
        <v>1685</v>
      </c>
      <c r="I973" s="316" t="s">
        <v>1686</v>
      </c>
      <c r="J973" s="100" t="s">
        <v>140</v>
      </c>
      <c r="K973" s="52">
        <v>0</v>
      </c>
      <c r="L973" s="52">
        <v>0</v>
      </c>
      <c r="M973" s="53">
        <v>280</v>
      </c>
      <c r="N973" s="54">
        <v>810</v>
      </c>
      <c r="O973" s="341">
        <v>1</v>
      </c>
      <c r="P973" s="54">
        <f>N973/O973</f>
        <v>810</v>
      </c>
      <c r="Q973" s="54"/>
      <c r="R973" s="53">
        <v>810</v>
      </c>
      <c r="S973" s="53">
        <f t="shared" si="162"/>
        <v>0</v>
      </c>
      <c r="T973" s="315">
        <f t="shared" si="163"/>
        <v>308.57142857142856</v>
      </c>
      <c r="U973" s="84">
        <f t="shared" si="164"/>
        <v>0</v>
      </c>
      <c r="V973" s="84">
        <f t="shared" si="165"/>
        <v>0</v>
      </c>
      <c r="W973" s="84">
        <v>0</v>
      </c>
      <c r="X973" s="55">
        <f t="shared" si="166"/>
        <v>46153</v>
      </c>
    </row>
    <row r="974" spans="1:24" hidden="1" x14ac:dyDescent="0.35">
      <c r="A974" s="46">
        <f t="shared" si="167"/>
        <v>46153</v>
      </c>
      <c r="B974" s="46"/>
      <c r="C974" s="46"/>
      <c r="D974" s="46"/>
      <c r="E974" s="47" t="s">
        <v>1684</v>
      </c>
      <c r="F974" s="61" t="s">
        <v>1687</v>
      </c>
      <c r="G974" s="61"/>
      <c r="H974" s="49" t="s">
        <v>1688</v>
      </c>
      <c r="I974" s="316" t="s">
        <v>1686</v>
      </c>
      <c r="J974" s="100" t="s">
        <v>140</v>
      </c>
      <c r="K974" s="52">
        <v>0</v>
      </c>
      <c r="L974" s="52">
        <v>0</v>
      </c>
      <c r="M974" s="53">
        <v>280</v>
      </c>
      <c r="N974" s="54">
        <v>400</v>
      </c>
      <c r="O974" s="341">
        <v>1</v>
      </c>
      <c r="P974" s="54">
        <f>N974/O974</f>
        <v>400</v>
      </c>
      <c r="Q974" s="54"/>
      <c r="R974" s="53">
        <v>400</v>
      </c>
      <c r="S974" s="53">
        <f t="shared" si="162"/>
        <v>0</v>
      </c>
      <c r="T974" s="315">
        <f t="shared" si="163"/>
        <v>308.57142857142856</v>
      </c>
      <c r="U974" s="84">
        <f t="shared" si="164"/>
        <v>0</v>
      </c>
      <c r="V974" s="84">
        <f t="shared" si="165"/>
        <v>0</v>
      </c>
      <c r="W974" s="84">
        <v>0</v>
      </c>
      <c r="X974" s="55">
        <f t="shared" si="166"/>
        <v>46153</v>
      </c>
    </row>
    <row r="975" spans="1:24" hidden="1" x14ac:dyDescent="0.35">
      <c r="A975" s="46">
        <f t="shared" si="167"/>
        <v>46153</v>
      </c>
      <c r="B975" s="46"/>
      <c r="C975" s="46"/>
      <c r="D975" s="46"/>
      <c r="E975" s="47">
        <v>45904</v>
      </c>
      <c r="F975" s="62" t="s">
        <v>14</v>
      </c>
      <c r="G975" s="62"/>
      <c r="H975" s="49" t="s">
        <v>14</v>
      </c>
      <c r="I975" s="82" t="s">
        <v>1411</v>
      </c>
      <c r="J975" s="100" t="s">
        <v>140</v>
      </c>
      <c r="K975" s="52">
        <v>0</v>
      </c>
      <c r="L975" s="52">
        <v>0</v>
      </c>
      <c r="M975" s="53">
        <v>45</v>
      </c>
      <c r="N975" s="54">
        <v>50</v>
      </c>
      <c r="O975" s="341">
        <v>2</v>
      </c>
      <c r="P975" s="54">
        <v>50</v>
      </c>
      <c r="Q975" s="54"/>
      <c r="R975" s="53">
        <v>50</v>
      </c>
      <c r="S975" s="53">
        <f t="shared" si="162"/>
        <v>0</v>
      </c>
      <c r="T975" s="315">
        <f t="shared" si="163"/>
        <v>3840</v>
      </c>
      <c r="U975" s="84">
        <f t="shared" si="164"/>
        <v>0</v>
      </c>
      <c r="V975" s="84">
        <f t="shared" si="165"/>
        <v>0</v>
      </c>
      <c r="W975" s="84">
        <v>0</v>
      </c>
      <c r="X975" s="55">
        <f t="shared" si="166"/>
        <v>46153</v>
      </c>
    </row>
    <row r="976" spans="1:24" hidden="1" x14ac:dyDescent="0.35">
      <c r="A976" s="46">
        <f t="shared" si="167"/>
        <v>46153</v>
      </c>
      <c r="B976" s="46"/>
      <c r="C976" s="46"/>
      <c r="D976" s="46"/>
      <c r="E976" s="47" t="s">
        <v>1243</v>
      </c>
      <c r="F976" s="48" t="s">
        <v>1689</v>
      </c>
      <c r="G976" s="48"/>
      <c r="H976" s="49" t="s">
        <v>1690</v>
      </c>
      <c r="I976" s="82" t="s">
        <v>536</v>
      </c>
      <c r="J976" s="100" t="s">
        <v>140</v>
      </c>
      <c r="K976" s="52">
        <v>0</v>
      </c>
      <c r="L976" s="52">
        <v>0</v>
      </c>
      <c r="M976" s="53">
        <v>120</v>
      </c>
      <c r="N976" s="54">
        <v>2000</v>
      </c>
      <c r="O976" s="341">
        <v>1</v>
      </c>
      <c r="P976" s="54">
        <f t="shared" ref="P976:P1039" si="168">N976/O976</f>
        <v>2000</v>
      </c>
      <c r="Q976" s="54"/>
      <c r="R976" s="53">
        <v>2000</v>
      </c>
      <c r="S976" s="53">
        <f t="shared" si="162"/>
        <v>0</v>
      </c>
      <c r="T976" s="315">
        <f t="shared" si="163"/>
        <v>720</v>
      </c>
      <c r="U976" s="84">
        <f t="shared" si="164"/>
        <v>0</v>
      </c>
      <c r="V976" s="84">
        <f t="shared" si="165"/>
        <v>0</v>
      </c>
      <c r="W976" s="84">
        <v>0</v>
      </c>
      <c r="X976" s="55">
        <f t="shared" si="166"/>
        <v>46153</v>
      </c>
    </row>
    <row r="977" spans="1:24" hidden="1" x14ac:dyDescent="0.35">
      <c r="A977" s="46">
        <f t="shared" si="167"/>
        <v>46153</v>
      </c>
      <c r="B977" s="46"/>
      <c r="C977" s="46"/>
      <c r="D977" s="46"/>
      <c r="E977" s="47" t="s">
        <v>454</v>
      </c>
      <c r="F977" s="48" t="s">
        <v>1689</v>
      </c>
      <c r="G977" s="48"/>
      <c r="H977" s="49" t="s">
        <v>456</v>
      </c>
      <c r="I977" s="82" t="s">
        <v>457</v>
      </c>
      <c r="J977" s="100" t="s">
        <v>140</v>
      </c>
      <c r="K977" s="52">
        <v>0</v>
      </c>
      <c r="L977" s="52">
        <v>0</v>
      </c>
      <c r="M977" s="53">
        <v>90</v>
      </c>
      <c r="N977" s="54">
        <v>2000</v>
      </c>
      <c r="O977" s="341">
        <v>1</v>
      </c>
      <c r="P977" s="54">
        <f t="shared" si="168"/>
        <v>2000</v>
      </c>
      <c r="Q977" s="54"/>
      <c r="R977" s="53">
        <v>2000</v>
      </c>
      <c r="S977" s="53">
        <f t="shared" si="162"/>
        <v>0</v>
      </c>
      <c r="T977" s="315">
        <f t="shared" si="163"/>
        <v>960</v>
      </c>
      <c r="U977" s="84">
        <f t="shared" si="164"/>
        <v>0</v>
      </c>
      <c r="V977" s="84">
        <f t="shared" si="165"/>
        <v>0</v>
      </c>
      <c r="W977" s="84">
        <v>0</v>
      </c>
      <c r="X977" s="55">
        <f t="shared" si="166"/>
        <v>46153</v>
      </c>
    </row>
    <row r="978" spans="1:24" ht="26.5" hidden="1" x14ac:dyDescent="0.35">
      <c r="A978" s="46">
        <f t="shared" si="167"/>
        <v>46153</v>
      </c>
      <c r="B978" s="46"/>
      <c r="C978" s="46"/>
      <c r="D978" s="46"/>
      <c r="E978" s="47" t="s">
        <v>1691</v>
      </c>
      <c r="F978" s="69" t="s">
        <v>1692</v>
      </c>
      <c r="G978" s="69"/>
      <c r="H978" s="68">
        <v>8913</v>
      </c>
      <c r="I978" s="69" t="s">
        <v>183</v>
      </c>
      <c r="J978" s="77" t="s">
        <v>140</v>
      </c>
      <c r="K978" s="52">
        <v>0</v>
      </c>
      <c r="L978" s="52">
        <v>0</v>
      </c>
      <c r="M978" s="53">
        <v>90</v>
      </c>
      <c r="N978" s="65">
        <v>15200</v>
      </c>
      <c r="O978" s="341">
        <v>1</v>
      </c>
      <c r="P978" s="54">
        <f t="shared" si="168"/>
        <v>15200</v>
      </c>
      <c r="Q978" s="54"/>
      <c r="R978" s="52">
        <v>15200</v>
      </c>
      <c r="S978" s="53">
        <f t="shared" si="162"/>
        <v>0</v>
      </c>
      <c r="T978" s="315">
        <f t="shared" si="163"/>
        <v>960</v>
      </c>
      <c r="U978" s="84">
        <f t="shared" si="164"/>
        <v>0</v>
      </c>
      <c r="V978" s="84">
        <f t="shared" si="165"/>
        <v>0</v>
      </c>
      <c r="W978" s="84">
        <v>0</v>
      </c>
      <c r="X978" s="55">
        <f t="shared" si="166"/>
        <v>46153</v>
      </c>
    </row>
    <row r="979" spans="1:24" ht="29" hidden="1" x14ac:dyDescent="0.35">
      <c r="A979" s="46">
        <f t="shared" si="167"/>
        <v>46153</v>
      </c>
      <c r="B979" s="46"/>
      <c r="C979" s="46"/>
      <c r="D979" s="46"/>
      <c r="E979" s="47" t="s">
        <v>1691</v>
      </c>
      <c r="F979" s="48" t="s">
        <v>1354</v>
      </c>
      <c r="G979" s="48"/>
      <c r="H979" s="49" t="s">
        <v>1693</v>
      </c>
      <c r="I979" s="82" t="s">
        <v>1187</v>
      </c>
      <c r="J979" s="100" t="s">
        <v>140</v>
      </c>
      <c r="K979" s="52">
        <v>0</v>
      </c>
      <c r="L979" s="52">
        <v>0</v>
      </c>
      <c r="M979" s="53">
        <v>120</v>
      </c>
      <c r="N979" s="54">
        <v>2880</v>
      </c>
      <c r="O979" s="341">
        <v>4</v>
      </c>
      <c r="P979" s="54">
        <f t="shared" si="168"/>
        <v>720</v>
      </c>
      <c r="Q979" s="54"/>
      <c r="R979" s="53">
        <v>720</v>
      </c>
      <c r="S979" s="53">
        <f t="shared" si="162"/>
        <v>0</v>
      </c>
      <c r="T979" s="315">
        <f t="shared" si="163"/>
        <v>2880</v>
      </c>
      <c r="U979" s="84">
        <f t="shared" si="164"/>
        <v>0</v>
      </c>
      <c r="V979" s="84">
        <f t="shared" si="165"/>
        <v>0</v>
      </c>
      <c r="W979" s="84">
        <v>0</v>
      </c>
      <c r="X979" s="55">
        <f t="shared" si="166"/>
        <v>46153</v>
      </c>
    </row>
    <row r="980" spans="1:24" hidden="1" x14ac:dyDescent="0.35">
      <c r="A980" s="46">
        <f t="shared" si="167"/>
        <v>46153</v>
      </c>
      <c r="B980" s="46"/>
      <c r="C980" s="46"/>
      <c r="D980" s="46"/>
      <c r="E980" s="47" t="s">
        <v>1691</v>
      </c>
      <c r="F980" s="48" t="s">
        <v>1694</v>
      </c>
      <c r="G980" s="48"/>
      <c r="H980" s="49" t="s">
        <v>1695</v>
      </c>
      <c r="I980" s="99" t="s">
        <v>1696</v>
      </c>
      <c r="J980" s="100" t="s">
        <v>140</v>
      </c>
      <c r="K980" s="52">
        <v>0</v>
      </c>
      <c r="L980" s="52">
        <v>0</v>
      </c>
      <c r="M980" s="53">
        <v>65</v>
      </c>
      <c r="N980" s="54">
        <v>3600</v>
      </c>
      <c r="O980" s="341">
        <v>2</v>
      </c>
      <c r="P980" s="54">
        <f t="shared" si="168"/>
        <v>1800</v>
      </c>
      <c r="Q980" s="54"/>
      <c r="R980" s="53">
        <v>1800</v>
      </c>
      <c r="S980" s="53">
        <f t="shared" si="162"/>
        <v>0</v>
      </c>
      <c r="T980" s="315">
        <f t="shared" si="163"/>
        <v>2658.4615384615386</v>
      </c>
      <c r="U980" s="84">
        <f t="shared" si="164"/>
        <v>0</v>
      </c>
      <c r="V980" s="84">
        <f t="shared" si="165"/>
        <v>0</v>
      </c>
      <c r="W980" s="84">
        <v>0</v>
      </c>
      <c r="X980" s="55">
        <f t="shared" si="166"/>
        <v>46153</v>
      </c>
    </row>
    <row r="981" spans="1:24" hidden="1" x14ac:dyDescent="0.35">
      <c r="A981" s="46">
        <f t="shared" si="167"/>
        <v>46153</v>
      </c>
      <c r="B981" s="46"/>
      <c r="C981" s="46"/>
      <c r="D981" s="46"/>
      <c r="E981" s="47" t="s">
        <v>1691</v>
      </c>
      <c r="F981" s="48" t="s">
        <v>175</v>
      </c>
      <c r="G981" s="48"/>
      <c r="H981" s="49" t="s">
        <v>1697</v>
      </c>
      <c r="I981" s="82" t="s">
        <v>536</v>
      </c>
      <c r="J981" s="100" t="s">
        <v>140</v>
      </c>
      <c r="K981" s="52">
        <v>0</v>
      </c>
      <c r="L981" s="52">
        <v>0</v>
      </c>
      <c r="M981" s="53">
        <v>120</v>
      </c>
      <c r="N981" s="54">
        <v>2000</v>
      </c>
      <c r="O981" s="341">
        <v>1</v>
      </c>
      <c r="P981" s="54">
        <f t="shared" si="168"/>
        <v>2000</v>
      </c>
      <c r="Q981" s="54"/>
      <c r="R981" s="53">
        <v>2000</v>
      </c>
      <c r="S981" s="53">
        <f t="shared" si="162"/>
        <v>0</v>
      </c>
      <c r="T981" s="315">
        <f t="shared" si="163"/>
        <v>720</v>
      </c>
      <c r="U981" s="84">
        <f t="shared" si="164"/>
        <v>0</v>
      </c>
      <c r="V981" s="84">
        <f t="shared" si="165"/>
        <v>0</v>
      </c>
      <c r="W981" s="84">
        <v>0</v>
      </c>
      <c r="X981" s="55">
        <f t="shared" si="166"/>
        <v>46153</v>
      </c>
    </row>
    <row r="982" spans="1:24" ht="43.5" hidden="1" x14ac:dyDescent="0.35">
      <c r="A982" s="46">
        <f t="shared" si="167"/>
        <v>46153</v>
      </c>
      <c r="B982" s="46"/>
      <c r="C982" s="46"/>
      <c r="D982" s="46"/>
      <c r="E982" s="47" t="s">
        <v>1691</v>
      </c>
      <c r="F982" s="48" t="s">
        <v>1019</v>
      </c>
      <c r="G982" s="48"/>
      <c r="H982" s="49" t="s">
        <v>1698</v>
      </c>
      <c r="I982" s="69" t="s">
        <v>1408</v>
      </c>
      <c r="J982" s="100" t="s">
        <v>283</v>
      </c>
      <c r="K982" s="52">
        <v>0</v>
      </c>
      <c r="L982" s="52">
        <v>0</v>
      </c>
      <c r="M982" s="53">
        <v>67</v>
      </c>
      <c r="N982" s="54">
        <v>8100</v>
      </c>
      <c r="O982" s="341">
        <v>2</v>
      </c>
      <c r="P982" s="54">
        <f t="shared" si="168"/>
        <v>4050</v>
      </c>
      <c r="Q982" s="54"/>
      <c r="R982" s="53">
        <v>4050</v>
      </c>
      <c r="S982" s="53">
        <f t="shared" si="162"/>
        <v>0</v>
      </c>
      <c r="T982" s="315">
        <f t="shared" si="163"/>
        <v>2579.1044776119406</v>
      </c>
      <c r="U982" s="84">
        <f t="shared" si="164"/>
        <v>0</v>
      </c>
      <c r="V982" s="84">
        <f t="shared" si="165"/>
        <v>0</v>
      </c>
      <c r="W982" s="84">
        <v>0</v>
      </c>
      <c r="X982" s="55">
        <f t="shared" si="166"/>
        <v>46153</v>
      </c>
    </row>
    <row r="983" spans="1:24" ht="29" hidden="1" x14ac:dyDescent="0.35">
      <c r="A983" s="46">
        <f t="shared" si="167"/>
        <v>46153</v>
      </c>
      <c r="B983" s="46"/>
      <c r="C983" s="46"/>
      <c r="D983" s="46"/>
      <c r="E983" s="47" t="s">
        <v>1691</v>
      </c>
      <c r="F983" s="48" t="s">
        <v>177</v>
      </c>
      <c r="G983" s="48"/>
      <c r="H983" s="49" t="s">
        <v>1699</v>
      </c>
      <c r="I983" s="333" t="s">
        <v>1049</v>
      </c>
      <c r="J983" s="100" t="s">
        <v>140</v>
      </c>
      <c r="K983" s="52">
        <v>0</v>
      </c>
      <c r="L983" s="52">
        <v>0</v>
      </c>
      <c r="M983" s="53">
        <v>95</v>
      </c>
      <c r="N983" s="54">
        <v>250</v>
      </c>
      <c r="O983" s="341">
        <v>1</v>
      </c>
      <c r="P983" s="54">
        <f t="shared" si="168"/>
        <v>250</v>
      </c>
      <c r="Q983" s="54"/>
      <c r="R983" s="53">
        <v>250</v>
      </c>
      <c r="S983" s="53">
        <f t="shared" si="162"/>
        <v>0</v>
      </c>
      <c r="T983" s="315">
        <f t="shared" si="163"/>
        <v>909.47368421052624</v>
      </c>
      <c r="U983" s="84">
        <f t="shared" si="164"/>
        <v>0</v>
      </c>
      <c r="V983" s="84">
        <f t="shared" si="165"/>
        <v>0</v>
      </c>
      <c r="W983" s="84">
        <v>0</v>
      </c>
      <c r="X983" s="55">
        <f t="shared" si="166"/>
        <v>46153</v>
      </c>
    </row>
    <row r="984" spans="1:24" ht="29" hidden="1" x14ac:dyDescent="0.35">
      <c r="A984" s="46">
        <f t="shared" si="167"/>
        <v>46153</v>
      </c>
      <c r="B984" s="46"/>
      <c r="C984" s="46"/>
      <c r="D984" s="46"/>
      <c r="E984" s="47" t="s">
        <v>1691</v>
      </c>
      <c r="F984" s="48" t="s">
        <v>177</v>
      </c>
      <c r="G984" s="48"/>
      <c r="H984" s="49" t="s">
        <v>1700</v>
      </c>
      <c r="I984" s="333" t="s">
        <v>1051</v>
      </c>
      <c r="J984" s="100" t="s">
        <v>140</v>
      </c>
      <c r="K984" s="52">
        <v>0</v>
      </c>
      <c r="L984" s="52">
        <v>0</v>
      </c>
      <c r="M984" s="53">
        <v>95</v>
      </c>
      <c r="N984" s="54">
        <v>750</v>
      </c>
      <c r="O984" s="341">
        <v>1</v>
      </c>
      <c r="P984" s="54">
        <f t="shared" si="168"/>
        <v>750</v>
      </c>
      <c r="Q984" s="54"/>
      <c r="R984" s="53">
        <v>750</v>
      </c>
      <c r="S984" s="53">
        <f t="shared" si="162"/>
        <v>0</v>
      </c>
      <c r="T984" s="315">
        <f t="shared" si="163"/>
        <v>909.47368421052624</v>
      </c>
      <c r="U984" s="84">
        <f t="shared" si="164"/>
        <v>0</v>
      </c>
      <c r="V984" s="84">
        <f t="shared" si="165"/>
        <v>0</v>
      </c>
      <c r="W984" s="84">
        <v>0</v>
      </c>
      <c r="X984" s="55">
        <f t="shared" si="166"/>
        <v>46153</v>
      </c>
    </row>
    <row r="985" spans="1:24" hidden="1" x14ac:dyDescent="0.35">
      <c r="A985" s="46">
        <f t="shared" si="167"/>
        <v>46153</v>
      </c>
      <c r="B985" s="46"/>
      <c r="C985" s="46"/>
      <c r="D985" s="46"/>
      <c r="E985" s="47" t="s">
        <v>195</v>
      </c>
      <c r="F985" s="48" t="s">
        <v>1701</v>
      </c>
      <c r="G985" s="48"/>
      <c r="H985" s="59" t="s">
        <v>1702</v>
      </c>
      <c r="I985" s="390" t="s">
        <v>1367</v>
      </c>
      <c r="J985" s="100" t="s">
        <v>140</v>
      </c>
      <c r="K985" s="52">
        <v>0</v>
      </c>
      <c r="L985" s="52">
        <v>0</v>
      </c>
      <c r="M985" s="53">
        <v>120</v>
      </c>
      <c r="N985" s="54">
        <v>6000</v>
      </c>
      <c r="O985" s="341">
        <v>1</v>
      </c>
      <c r="P985" s="54">
        <f t="shared" si="168"/>
        <v>6000</v>
      </c>
      <c r="Q985" s="54"/>
      <c r="R985" s="53">
        <v>6000</v>
      </c>
      <c r="S985" s="53">
        <f t="shared" si="162"/>
        <v>0</v>
      </c>
      <c r="T985" s="315">
        <f t="shared" si="163"/>
        <v>720</v>
      </c>
      <c r="U985" s="84">
        <f t="shared" si="164"/>
        <v>0</v>
      </c>
      <c r="V985" s="84">
        <f t="shared" si="165"/>
        <v>0</v>
      </c>
      <c r="W985" s="84">
        <v>0</v>
      </c>
      <c r="X985" s="55">
        <f t="shared" si="166"/>
        <v>46153</v>
      </c>
    </row>
    <row r="986" spans="1:24" hidden="1" x14ac:dyDescent="0.35">
      <c r="A986" s="46">
        <f t="shared" si="167"/>
        <v>46153</v>
      </c>
      <c r="B986" s="46"/>
      <c r="C986" s="46"/>
      <c r="D986" s="46"/>
      <c r="E986" s="47" t="s">
        <v>195</v>
      </c>
      <c r="F986" s="48" t="s">
        <v>1701</v>
      </c>
      <c r="G986" s="48"/>
      <c r="H986" s="59" t="s">
        <v>1702</v>
      </c>
      <c r="I986" s="390" t="s">
        <v>1367</v>
      </c>
      <c r="J986" s="100" t="s">
        <v>140</v>
      </c>
      <c r="K986" s="52">
        <v>0</v>
      </c>
      <c r="L986" s="52">
        <v>0</v>
      </c>
      <c r="M986" s="53">
        <v>90</v>
      </c>
      <c r="N986" s="54">
        <v>2128</v>
      </c>
      <c r="O986" s="341">
        <v>1</v>
      </c>
      <c r="P986" s="54">
        <f t="shared" si="168"/>
        <v>2128</v>
      </c>
      <c r="Q986" s="54"/>
      <c r="R986" s="53">
        <v>2128</v>
      </c>
      <c r="S986" s="53">
        <f t="shared" si="162"/>
        <v>0</v>
      </c>
      <c r="T986" s="315">
        <f t="shared" si="163"/>
        <v>960</v>
      </c>
      <c r="U986" s="84">
        <f t="shared" si="164"/>
        <v>0</v>
      </c>
      <c r="V986" s="84">
        <f t="shared" si="165"/>
        <v>0</v>
      </c>
      <c r="W986" s="84">
        <v>0</v>
      </c>
      <c r="X986" s="55">
        <f t="shared" si="166"/>
        <v>46153</v>
      </c>
    </row>
    <row r="987" spans="1:24" ht="29" hidden="1" x14ac:dyDescent="0.35">
      <c r="A987" s="46">
        <f t="shared" si="167"/>
        <v>46153</v>
      </c>
      <c r="B987" s="46"/>
      <c r="C987" s="46"/>
      <c r="D987" s="46"/>
      <c r="E987" s="47" t="s">
        <v>195</v>
      </c>
      <c r="F987" s="48" t="s">
        <v>511</v>
      </c>
      <c r="G987" s="48"/>
      <c r="H987" s="59" t="s">
        <v>1703</v>
      </c>
      <c r="I987" s="82" t="s">
        <v>198</v>
      </c>
      <c r="J987" s="100" t="s">
        <v>140</v>
      </c>
      <c r="K987" s="52">
        <v>0</v>
      </c>
      <c r="L987" s="52">
        <v>0</v>
      </c>
      <c r="M987" s="53">
        <v>190</v>
      </c>
      <c r="N987" s="54">
        <v>2000</v>
      </c>
      <c r="O987" s="341">
        <v>1</v>
      </c>
      <c r="P987" s="54">
        <f t="shared" si="168"/>
        <v>2000</v>
      </c>
      <c r="Q987" s="54"/>
      <c r="R987" s="53">
        <v>2000</v>
      </c>
      <c r="S987" s="53">
        <f t="shared" si="162"/>
        <v>0</v>
      </c>
      <c r="T987" s="315">
        <f t="shared" si="163"/>
        <v>454.73684210526312</v>
      </c>
      <c r="U987" s="84">
        <f t="shared" si="164"/>
        <v>0</v>
      </c>
      <c r="V987" s="84">
        <f t="shared" si="165"/>
        <v>0</v>
      </c>
      <c r="W987" s="84">
        <v>0</v>
      </c>
      <c r="X987" s="55">
        <f t="shared" si="166"/>
        <v>46153</v>
      </c>
    </row>
    <row r="988" spans="1:24" hidden="1" x14ac:dyDescent="0.35">
      <c r="A988" s="46">
        <f t="shared" si="167"/>
        <v>46153</v>
      </c>
      <c r="B988" s="46"/>
      <c r="C988" s="46"/>
      <c r="D988" s="46"/>
      <c r="E988" s="47" t="s">
        <v>195</v>
      </c>
      <c r="F988" s="48" t="s">
        <v>1701</v>
      </c>
      <c r="G988" s="48"/>
      <c r="H988" s="59" t="s">
        <v>1702</v>
      </c>
      <c r="I988" s="390" t="s">
        <v>1367</v>
      </c>
      <c r="J988" s="100" t="s">
        <v>140</v>
      </c>
      <c r="K988" s="52">
        <v>0</v>
      </c>
      <c r="L988" s="52">
        <v>0</v>
      </c>
      <c r="M988" s="53">
        <v>90</v>
      </c>
      <c r="N988" s="54">
        <v>772</v>
      </c>
      <c r="O988" s="341">
        <v>1</v>
      </c>
      <c r="P988" s="54">
        <f t="shared" si="168"/>
        <v>772</v>
      </c>
      <c r="Q988" s="54"/>
      <c r="R988" s="53">
        <v>772</v>
      </c>
      <c r="S988" s="53">
        <f t="shared" si="162"/>
        <v>0</v>
      </c>
      <c r="T988" s="315">
        <f t="shared" si="163"/>
        <v>960</v>
      </c>
      <c r="U988" s="84">
        <f t="shared" si="164"/>
        <v>0</v>
      </c>
      <c r="V988" s="84">
        <f t="shared" si="165"/>
        <v>0</v>
      </c>
      <c r="W988" s="84">
        <v>0</v>
      </c>
      <c r="X988" s="55">
        <f t="shared" si="166"/>
        <v>46153</v>
      </c>
    </row>
    <row r="989" spans="1:24" ht="29" hidden="1" x14ac:dyDescent="0.35">
      <c r="A989" s="46">
        <f t="shared" si="167"/>
        <v>46153</v>
      </c>
      <c r="B989" s="46"/>
      <c r="C989" s="46"/>
      <c r="D989" s="46"/>
      <c r="E989" s="47" t="s">
        <v>195</v>
      </c>
      <c r="F989" s="48" t="s">
        <v>511</v>
      </c>
      <c r="G989" s="48"/>
      <c r="H989" s="59" t="s">
        <v>1704</v>
      </c>
      <c r="I989" s="82" t="s">
        <v>1414</v>
      </c>
      <c r="J989" s="100" t="s">
        <v>140</v>
      </c>
      <c r="K989" s="52">
        <v>0</v>
      </c>
      <c r="L989" s="52">
        <v>0</v>
      </c>
      <c r="M989" s="53">
        <v>120</v>
      </c>
      <c r="N989" s="54">
        <v>1000</v>
      </c>
      <c r="O989" s="341">
        <v>1</v>
      </c>
      <c r="P989" s="54">
        <f t="shared" si="168"/>
        <v>1000</v>
      </c>
      <c r="Q989" s="54"/>
      <c r="R989" s="53">
        <v>1000</v>
      </c>
      <c r="S989" s="53">
        <f t="shared" si="162"/>
        <v>0</v>
      </c>
      <c r="T989" s="315">
        <f t="shared" si="163"/>
        <v>720</v>
      </c>
      <c r="U989" s="84">
        <f t="shared" si="164"/>
        <v>0</v>
      </c>
      <c r="V989" s="84">
        <f t="shared" si="165"/>
        <v>0</v>
      </c>
      <c r="W989" s="84">
        <v>0</v>
      </c>
      <c r="X989" s="55">
        <f t="shared" si="166"/>
        <v>46153</v>
      </c>
    </row>
    <row r="990" spans="1:24" hidden="1" x14ac:dyDescent="0.35">
      <c r="A990" s="46">
        <f t="shared" si="167"/>
        <v>46153</v>
      </c>
      <c r="B990" s="46"/>
      <c r="C990" s="46"/>
      <c r="D990" s="46"/>
      <c r="E990" s="47" t="s">
        <v>195</v>
      </c>
      <c r="F990" s="48" t="s">
        <v>1705</v>
      </c>
      <c r="G990" s="48"/>
      <c r="H990" s="59" t="s">
        <v>1706</v>
      </c>
      <c r="I990" s="69" t="s">
        <v>143</v>
      </c>
      <c r="J990" s="100" t="s">
        <v>140</v>
      </c>
      <c r="K990" s="52">
        <v>0</v>
      </c>
      <c r="L990" s="52">
        <v>0</v>
      </c>
      <c r="M990" s="53">
        <v>100</v>
      </c>
      <c r="N990" s="54">
        <v>6000</v>
      </c>
      <c r="O990" s="341">
        <v>1</v>
      </c>
      <c r="P990" s="54">
        <f t="shared" si="168"/>
        <v>6000</v>
      </c>
      <c r="Q990" s="54"/>
      <c r="R990" s="53">
        <v>6000</v>
      </c>
      <c r="S990" s="53">
        <f t="shared" si="162"/>
        <v>0</v>
      </c>
      <c r="T990" s="315">
        <f t="shared" si="163"/>
        <v>864</v>
      </c>
      <c r="U990" s="84">
        <f t="shared" si="164"/>
        <v>0</v>
      </c>
      <c r="V990" s="84">
        <f t="shared" si="165"/>
        <v>0</v>
      </c>
      <c r="W990" s="84">
        <v>0</v>
      </c>
      <c r="X990" s="55">
        <f t="shared" si="166"/>
        <v>46153</v>
      </c>
    </row>
    <row r="991" spans="1:24" ht="29" hidden="1" x14ac:dyDescent="0.35">
      <c r="A991" s="46">
        <f t="shared" si="167"/>
        <v>46153</v>
      </c>
      <c r="B991" s="46"/>
      <c r="C991" s="46"/>
      <c r="D991" s="46"/>
      <c r="E991" s="47" t="s">
        <v>195</v>
      </c>
      <c r="F991" s="48" t="s">
        <v>652</v>
      </c>
      <c r="G991" s="48"/>
      <c r="H991" s="49" t="s">
        <v>1707</v>
      </c>
      <c r="I991" s="82" t="s">
        <v>1187</v>
      </c>
      <c r="J991" s="100" t="s">
        <v>140</v>
      </c>
      <c r="K991" s="52">
        <v>0</v>
      </c>
      <c r="L991" s="52">
        <v>0</v>
      </c>
      <c r="M991" s="53">
        <v>120</v>
      </c>
      <c r="N991" s="54">
        <v>2400</v>
      </c>
      <c r="O991" s="341">
        <v>4</v>
      </c>
      <c r="P991" s="54">
        <f t="shared" si="168"/>
        <v>600</v>
      </c>
      <c r="Q991" s="54"/>
      <c r="R991" s="53">
        <v>600</v>
      </c>
      <c r="S991" s="53">
        <f t="shared" si="162"/>
        <v>0</v>
      </c>
      <c r="T991" s="315">
        <f t="shared" si="163"/>
        <v>2880</v>
      </c>
      <c r="U991" s="84">
        <f t="shared" si="164"/>
        <v>0</v>
      </c>
      <c r="V991" s="84">
        <f t="shared" si="165"/>
        <v>0</v>
      </c>
      <c r="W991" s="84">
        <v>0</v>
      </c>
      <c r="X991" s="55">
        <f t="shared" si="166"/>
        <v>46153</v>
      </c>
    </row>
    <row r="992" spans="1:24" ht="29" hidden="1" x14ac:dyDescent="0.35">
      <c r="A992" s="46">
        <f t="shared" si="167"/>
        <v>46153</v>
      </c>
      <c r="B992" s="46"/>
      <c r="C992" s="46"/>
      <c r="D992" s="46"/>
      <c r="E992" s="47" t="s">
        <v>195</v>
      </c>
      <c r="F992" s="57" t="s">
        <v>652</v>
      </c>
      <c r="G992" s="57"/>
      <c r="H992" s="66">
        <v>9521</v>
      </c>
      <c r="I992" s="97" t="s">
        <v>1345</v>
      </c>
      <c r="J992" s="77" t="s">
        <v>140</v>
      </c>
      <c r="K992" s="52">
        <v>0</v>
      </c>
      <c r="L992" s="52">
        <v>0</v>
      </c>
      <c r="M992" s="53">
        <v>70</v>
      </c>
      <c r="N992" s="70">
        <v>2000</v>
      </c>
      <c r="O992" s="341">
        <v>1</v>
      </c>
      <c r="P992" s="54">
        <f t="shared" si="168"/>
        <v>2000</v>
      </c>
      <c r="Q992" s="54"/>
      <c r="R992" s="342">
        <v>2000</v>
      </c>
      <c r="S992" s="53">
        <f t="shared" si="162"/>
        <v>0</v>
      </c>
      <c r="T992" s="315">
        <f t="shared" si="163"/>
        <v>1234.2857142857142</v>
      </c>
      <c r="U992" s="84">
        <f t="shared" si="164"/>
        <v>0</v>
      </c>
      <c r="V992" s="84">
        <f t="shared" si="165"/>
        <v>0</v>
      </c>
      <c r="W992" s="84">
        <v>0</v>
      </c>
      <c r="X992" s="55">
        <f t="shared" si="166"/>
        <v>46153</v>
      </c>
    </row>
    <row r="993" spans="1:24" hidden="1" x14ac:dyDescent="0.35">
      <c r="A993" s="46">
        <f t="shared" si="167"/>
        <v>46153</v>
      </c>
      <c r="B993" s="46"/>
      <c r="C993" s="46"/>
      <c r="D993" s="46"/>
      <c r="E993" s="47" t="s">
        <v>195</v>
      </c>
      <c r="F993" s="61" t="s">
        <v>1708</v>
      </c>
      <c r="G993" s="61"/>
      <c r="H993" s="49" t="s">
        <v>1709</v>
      </c>
      <c r="I993" s="316" t="s">
        <v>1686</v>
      </c>
      <c r="J993" s="100" t="s">
        <v>140</v>
      </c>
      <c r="K993" s="52">
        <v>0</v>
      </c>
      <c r="L993" s="52">
        <v>0</v>
      </c>
      <c r="M993" s="53">
        <v>380</v>
      </c>
      <c r="N993" s="54">
        <v>420</v>
      </c>
      <c r="O993" s="341">
        <v>1</v>
      </c>
      <c r="P993" s="54">
        <f t="shared" si="168"/>
        <v>420</v>
      </c>
      <c r="Q993" s="54"/>
      <c r="R993" s="53">
        <v>420</v>
      </c>
      <c r="S993" s="53">
        <f t="shared" si="162"/>
        <v>0</v>
      </c>
      <c r="T993" s="315">
        <f t="shared" si="163"/>
        <v>227.36842105263156</v>
      </c>
      <c r="U993" s="84">
        <f t="shared" si="164"/>
        <v>0</v>
      </c>
      <c r="V993" s="84">
        <f t="shared" si="165"/>
        <v>0</v>
      </c>
      <c r="W993" s="84">
        <v>0</v>
      </c>
      <c r="X993" s="55">
        <f t="shared" si="166"/>
        <v>46153</v>
      </c>
    </row>
    <row r="994" spans="1:24" ht="29" hidden="1" x14ac:dyDescent="0.35">
      <c r="A994" s="46">
        <f t="shared" si="167"/>
        <v>46153</v>
      </c>
      <c r="B994" s="46"/>
      <c r="C994" s="46"/>
      <c r="D994" s="46"/>
      <c r="E994" s="47" t="s">
        <v>195</v>
      </c>
      <c r="F994" s="48" t="s">
        <v>1058</v>
      </c>
      <c r="G994" s="48"/>
      <c r="H994" s="49" t="s">
        <v>1710</v>
      </c>
      <c r="I994" s="71" t="s">
        <v>1711</v>
      </c>
      <c r="J994" s="100" t="s">
        <v>140</v>
      </c>
      <c r="K994" s="52">
        <v>0</v>
      </c>
      <c r="L994" s="52">
        <v>0</v>
      </c>
      <c r="M994" s="53">
        <v>120</v>
      </c>
      <c r="N994" s="54">
        <v>14336</v>
      </c>
      <c r="O994" s="341">
        <v>4</v>
      </c>
      <c r="P994" s="54">
        <f t="shared" si="168"/>
        <v>3584</v>
      </c>
      <c r="Q994" s="54"/>
      <c r="R994" s="53">
        <v>3584</v>
      </c>
      <c r="S994" s="53">
        <f t="shared" si="162"/>
        <v>0</v>
      </c>
      <c r="T994" s="315">
        <f t="shared" si="163"/>
        <v>2880</v>
      </c>
      <c r="U994" s="84">
        <f t="shared" si="164"/>
        <v>0</v>
      </c>
      <c r="V994" s="84">
        <f t="shared" si="165"/>
        <v>0</v>
      </c>
      <c r="W994" s="84">
        <v>0</v>
      </c>
      <c r="X994" s="55">
        <f t="shared" si="166"/>
        <v>46153</v>
      </c>
    </row>
    <row r="995" spans="1:24" ht="29" hidden="1" x14ac:dyDescent="0.35">
      <c r="A995" s="46">
        <f t="shared" si="167"/>
        <v>46153</v>
      </c>
      <c r="B995" s="46"/>
      <c r="C995" s="46"/>
      <c r="D995" s="46"/>
      <c r="E995" s="47" t="s">
        <v>1691</v>
      </c>
      <c r="F995" s="48" t="s">
        <v>543</v>
      </c>
      <c r="G995" s="48"/>
      <c r="H995" s="49" t="s">
        <v>1712</v>
      </c>
      <c r="I995" s="333" t="s">
        <v>1051</v>
      </c>
      <c r="J995" s="100" t="s">
        <v>140</v>
      </c>
      <c r="K995" s="52">
        <v>0</v>
      </c>
      <c r="L995" s="52">
        <v>0</v>
      </c>
      <c r="M995" s="53">
        <v>95</v>
      </c>
      <c r="N995" s="54">
        <v>1100</v>
      </c>
      <c r="O995" s="341">
        <v>1</v>
      </c>
      <c r="P995" s="54">
        <f t="shared" si="168"/>
        <v>1100</v>
      </c>
      <c r="Q995" s="54"/>
      <c r="R995" s="53">
        <v>1100</v>
      </c>
      <c r="S995" s="53">
        <f t="shared" si="162"/>
        <v>0</v>
      </c>
      <c r="T995" s="315">
        <f t="shared" si="163"/>
        <v>909.47368421052624</v>
      </c>
      <c r="U995" s="84">
        <f t="shared" si="164"/>
        <v>0</v>
      </c>
      <c r="V995" s="84">
        <f t="shared" si="165"/>
        <v>0</v>
      </c>
      <c r="W995" s="84">
        <v>0</v>
      </c>
      <c r="X995" s="55">
        <f t="shared" si="166"/>
        <v>46153</v>
      </c>
    </row>
    <row r="996" spans="1:24" ht="29" hidden="1" x14ac:dyDescent="0.35">
      <c r="A996" s="46">
        <f t="shared" si="167"/>
        <v>46153</v>
      </c>
      <c r="B996" s="46"/>
      <c r="C996" s="46"/>
      <c r="D996" s="46"/>
      <c r="E996" s="47" t="s">
        <v>1691</v>
      </c>
      <c r="F996" s="48" t="s">
        <v>543</v>
      </c>
      <c r="G996" s="48"/>
      <c r="H996" s="49" t="s">
        <v>1713</v>
      </c>
      <c r="I996" s="333" t="s">
        <v>1049</v>
      </c>
      <c r="J996" s="100" t="s">
        <v>140</v>
      </c>
      <c r="K996" s="52">
        <v>0.25</v>
      </c>
      <c r="L996" s="52">
        <v>0.2</v>
      </c>
      <c r="M996" s="53">
        <v>95</v>
      </c>
      <c r="N996" s="54">
        <v>400</v>
      </c>
      <c r="O996" s="341">
        <v>1</v>
      </c>
      <c r="P996" s="54">
        <f t="shared" si="168"/>
        <v>400</v>
      </c>
      <c r="Q996" s="54"/>
      <c r="R996" s="53">
        <v>400</v>
      </c>
      <c r="S996" s="53">
        <f t="shared" si="162"/>
        <v>0</v>
      </c>
      <c r="T996" s="315">
        <f t="shared" si="163"/>
        <v>909.47368421052624</v>
      </c>
      <c r="U996" s="84">
        <f t="shared" si="164"/>
        <v>0</v>
      </c>
      <c r="V996" s="84">
        <f t="shared" si="165"/>
        <v>0</v>
      </c>
      <c r="W996" s="84">
        <v>0</v>
      </c>
      <c r="X996" s="55">
        <f t="shared" si="166"/>
        <v>46153.45</v>
      </c>
    </row>
    <row r="997" spans="1:24" ht="29" hidden="1" x14ac:dyDescent="0.35">
      <c r="A997" s="46">
        <f t="shared" si="167"/>
        <v>46153.45</v>
      </c>
      <c r="B997" s="46"/>
      <c r="C997" s="46"/>
      <c r="D997" s="46"/>
      <c r="E997" s="47" t="s">
        <v>195</v>
      </c>
      <c r="F997" s="48" t="s">
        <v>1058</v>
      </c>
      <c r="G997" s="48"/>
      <c r="H997" s="59" t="s">
        <v>1714</v>
      </c>
      <c r="I997" s="97" t="s">
        <v>143</v>
      </c>
      <c r="J997" s="100" t="s">
        <v>140</v>
      </c>
      <c r="K997" s="52">
        <v>0</v>
      </c>
      <c r="L997" s="52">
        <v>0</v>
      </c>
      <c r="M997" s="53">
        <v>100</v>
      </c>
      <c r="N997" s="54">
        <v>2500</v>
      </c>
      <c r="O997" s="341">
        <v>1</v>
      </c>
      <c r="P997" s="54">
        <f t="shared" si="168"/>
        <v>2500</v>
      </c>
      <c r="Q997" s="54"/>
      <c r="R997" s="53">
        <v>2500</v>
      </c>
      <c r="S997" s="53">
        <f t="shared" si="162"/>
        <v>0</v>
      </c>
      <c r="T997" s="315">
        <f t="shared" si="163"/>
        <v>864</v>
      </c>
      <c r="U997" s="84">
        <f t="shared" si="164"/>
        <v>0</v>
      </c>
      <c r="V997" s="84">
        <f t="shared" si="165"/>
        <v>0</v>
      </c>
      <c r="W997" s="84">
        <v>0</v>
      </c>
      <c r="X997" s="55">
        <f t="shared" si="166"/>
        <v>46153.45</v>
      </c>
    </row>
    <row r="998" spans="1:24" ht="29" hidden="1" x14ac:dyDescent="0.35">
      <c r="A998" s="46">
        <f t="shared" si="167"/>
        <v>46153.45</v>
      </c>
      <c r="B998" s="46"/>
      <c r="C998" s="46"/>
      <c r="D998" s="46"/>
      <c r="E998" s="47" t="s">
        <v>195</v>
      </c>
      <c r="F998" s="48" t="s">
        <v>1058</v>
      </c>
      <c r="G998" s="48"/>
      <c r="H998" s="59" t="s">
        <v>1715</v>
      </c>
      <c r="I998" s="97" t="s">
        <v>143</v>
      </c>
      <c r="J998" s="100" t="s">
        <v>140</v>
      </c>
      <c r="K998" s="52">
        <v>0</v>
      </c>
      <c r="L998" s="52">
        <v>0</v>
      </c>
      <c r="M998" s="53">
        <v>100</v>
      </c>
      <c r="N998" s="54">
        <v>1908</v>
      </c>
      <c r="O998" s="341">
        <v>1</v>
      </c>
      <c r="P998" s="54">
        <f t="shared" si="168"/>
        <v>1908</v>
      </c>
      <c r="Q998" s="54"/>
      <c r="R998" s="53">
        <v>1908</v>
      </c>
      <c r="S998" s="53">
        <f t="shared" si="162"/>
        <v>0</v>
      </c>
      <c r="T998" s="315">
        <f t="shared" si="163"/>
        <v>864</v>
      </c>
      <c r="U998" s="84">
        <f t="shared" si="164"/>
        <v>0</v>
      </c>
      <c r="V998" s="84">
        <f t="shared" si="165"/>
        <v>0</v>
      </c>
      <c r="W998" s="84">
        <v>0</v>
      </c>
      <c r="X998" s="55">
        <f t="shared" si="166"/>
        <v>46153.45</v>
      </c>
    </row>
    <row r="999" spans="1:24" ht="29" hidden="1" x14ac:dyDescent="0.35">
      <c r="A999" s="46">
        <f t="shared" si="167"/>
        <v>46153.45</v>
      </c>
      <c r="B999" s="46"/>
      <c r="C999" s="46"/>
      <c r="D999" s="46"/>
      <c r="E999" s="47" t="s">
        <v>195</v>
      </c>
      <c r="F999" s="48" t="s">
        <v>1058</v>
      </c>
      <c r="G999" s="48"/>
      <c r="H999" s="59" t="s">
        <v>1716</v>
      </c>
      <c r="I999" s="97" t="s">
        <v>143</v>
      </c>
      <c r="J999" s="100" t="s">
        <v>140</v>
      </c>
      <c r="K999" s="52">
        <v>0</v>
      </c>
      <c r="L999" s="52">
        <v>0</v>
      </c>
      <c r="M999" s="53">
        <v>100</v>
      </c>
      <c r="N999" s="54">
        <v>1000</v>
      </c>
      <c r="O999" s="341">
        <v>1</v>
      </c>
      <c r="P999" s="54">
        <f t="shared" si="168"/>
        <v>1000</v>
      </c>
      <c r="Q999" s="54"/>
      <c r="R999" s="53">
        <v>1000</v>
      </c>
      <c r="S999" s="53">
        <f t="shared" si="162"/>
        <v>0</v>
      </c>
      <c r="T999" s="315">
        <f t="shared" si="163"/>
        <v>864</v>
      </c>
      <c r="U999" s="84">
        <f t="shared" si="164"/>
        <v>0</v>
      </c>
      <c r="V999" s="84">
        <f t="shared" si="165"/>
        <v>0</v>
      </c>
      <c r="W999" s="84">
        <v>0</v>
      </c>
      <c r="X999" s="55">
        <f t="shared" si="166"/>
        <v>46153.45</v>
      </c>
    </row>
    <row r="1000" spans="1:24" ht="29" hidden="1" x14ac:dyDescent="0.35">
      <c r="A1000" s="46">
        <f t="shared" si="167"/>
        <v>46153.45</v>
      </c>
      <c r="B1000" s="46"/>
      <c r="C1000" s="46"/>
      <c r="D1000" s="46"/>
      <c r="E1000" s="47" t="s">
        <v>195</v>
      </c>
      <c r="F1000" s="48" t="s">
        <v>1058</v>
      </c>
      <c r="G1000" s="48"/>
      <c r="H1000" s="59" t="s">
        <v>1717</v>
      </c>
      <c r="I1000" s="97" t="s">
        <v>143</v>
      </c>
      <c r="J1000" s="100" t="s">
        <v>140</v>
      </c>
      <c r="K1000" s="52">
        <v>0</v>
      </c>
      <c r="L1000" s="52">
        <v>0</v>
      </c>
      <c r="M1000" s="53">
        <v>100</v>
      </c>
      <c r="N1000" s="54">
        <v>1500</v>
      </c>
      <c r="O1000" s="341">
        <v>1</v>
      </c>
      <c r="P1000" s="54">
        <f t="shared" si="168"/>
        <v>1500</v>
      </c>
      <c r="Q1000" s="54"/>
      <c r="R1000" s="53">
        <v>1500</v>
      </c>
      <c r="S1000" s="53">
        <f t="shared" si="162"/>
        <v>0</v>
      </c>
      <c r="T1000" s="315">
        <f t="shared" si="163"/>
        <v>864</v>
      </c>
      <c r="U1000" s="84">
        <f t="shared" si="164"/>
        <v>0</v>
      </c>
      <c r="V1000" s="84">
        <f t="shared" si="165"/>
        <v>0</v>
      </c>
      <c r="W1000" s="84">
        <v>0</v>
      </c>
      <c r="X1000" s="55">
        <f t="shared" si="166"/>
        <v>46153.45</v>
      </c>
    </row>
    <row r="1001" spans="1:24" hidden="1" x14ac:dyDescent="0.35">
      <c r="A1001" s="46">
        <f t="shared" si="167"/>
        <v>46153.45</v>
      </c>
      <c r="B1001" s="46"/>
      <c r="C1001" s="46"/>
      <c r="D1001" s="46"/>
      <c r="E1001" s="47" t="s">
        <v>195</v>
      </c>
      <c r="F1001" s="48" t="s">
        <v>1718</v>
      </c>
      <c r="G1001" s="48"/>
      <c r="H1001" s="49" t="s">
        <v>1719</v>
      </c>
      <c r="I1001" s="71" t="s">
        <v>1187</v>
      </c>
      <c r="J1001" s="100" t="s">
        <v>140</v>
      </c>
      <c r="K1001" s="52">
        <v>0</v>
      </c>
      <c r="L1001" s="52">
        <v>0</v>
      </c>
      <c r="M1001" s="53">
        <v>120</v>
      </c>
      <c r="N1001" s="54">
        <v>2880</v>
      </c>
      <c r="O1001" s="341">
        <v>4</v>
      </c>
      <c r="P1001" s="54">
        <f t="shared" si="168"/>
        <v>720</v>
      </c>
      <c r="Q1001" s="54"/>
      <c r="R1001" s="53">
        <v>720</v>
      </c>
      <c r="S1001" s="53">
        <f t="shared" si="162"/>
        <v>0</v>
      </c>
      <c r="T1001" s="315">
        <f t="shared" si="163"/>
        <v>2880</v>
      </c>
      <c r="U1001" s="84">
        <f t="shared" si="164"/>
        <v>0</v>
      </c>
      <c r="V1001" s="84">
        <f t="shared" si="165"/>
        <v>0</v>
      </c>
      <c r="W1001" s="84">
        <v>0</v>
      </c>
      <c r="X1001" s="55">
        <f t="shared" si="166"/>
        <v>46153.45</v>
      </c>
    </row>
    <row r="1002" spans="1:24" ht="29" hidden="1" x14ac:dyDescent="0.35">
      <c r="A1002" s="46">
        <f t="shared" si="167"/>
        <v>46153.45</v>
      </c>
      <c r="B1002" s="46"/>
      <c r="C1002" s="46"/>
      <c r="D1002" s="46"/>
      <c r="E1002" s="47" t="s">
        <v>195</v>
      </c>
      <c r="F1002" s="48" t="s">
        <v>513</v>
      </c>
      <c r="G1002" s="48"/>
      <c r="H1002" s="49" t="s">
        <v>1720</v>
      </c>
      <c r="I1002" s="71" t="s">
        <v>1187</v>
      </c>
      <c r="J1002" s="100" t="s">
        <v>140</v>
      </c>
      <c r="K1002" s="52">
        <v>0</v>
      </c>
      <c r="L1002" s="52">
        <v>0</v>
      </c>
      <c r="M1002" s="53">
        <v>120</v>
      </c>
      <c r="N1002" s="54">
        <v>2880</v>
      </c>
      <c r="O1002" s="341">
        <v>4</v>
      </c>
      <c r="P1002" s="54">
        <f t="shared" si="168"/>
        <v>720</v>
      </c>
      <c r="Q1002" s="54"/>
      <c r="R1002" s="53">
        <v>720</v>
      </c>
      <c r="S1002" s="53">
        <f t="shared" si="162"/>
        <v>0</v>
      </c>
      <c r="T1002" s="315">
        <f t="shared" si="163"/>
        <v>2880</v>
      </c>
      <c r="U1002" s="84">
        <f t="shared" si="164"/>
        <v>0</v>
      </c>
      <c r="V1002" s="84">
        <f t="shared" si="165"/>
        <v>0</v>
      </c>
      <c r="W1002" s="84">
        <v>0</v>
      </c>
      <c r="X1002" s="55">
        <f t="shared" si="166"/>
        <v>46153.45</v>
      </c>
    </row>
    <row r="1003" spans="1:24" hidden="1" x14ac:dyDescent="0.35">
      <c r="A1003" s="46">
        <f t="shared" si="167"/>
        <v>46153.45</v>
      </c>
      <c r="B1003" s="46"/>
      <c r="C1003" s="46"/>
      <c r="D1003" s="46"/>
      <c r="E1003" s="47" t="s">
        <v>195</v>
      </c>
      <c r="F1003" s="48" t="s">
        <v>1721</v>
      </c>
      <c r="G1003" s="48"/>
      <c r="H1003" s="59" t="s">
        <v>1722</v>
      </c>
      <c r="I1003" s="82" t="s">
        <v>1326</v>
      </c>
      <c r="J1003" s="100" t="s">
        <v>140</v>
      </c>
      <c r="K1003" s="52">
        <v>0</v>
      </c>
      <c r="L1003" s="52">
        <v>0</v>
      </c>
      <c r="M1003" s="53">
        <v>110</v>
      </c>
      <c r="N1003" s="54">
        <v>1000</v>
      </c>
      <c r="O1003" s="341">
        <v>1</v>
      </c>
      <c r="P1003" s="54">
        <f t="shared" si="168"/>
        <v>1000</v>
      </c>
      <c r="Q1003" s="54"/>
      <c r="R1003" s="53">
        <v>1000</v>
      </c>
      <c r="S1003" s="53">
        <f t="shared" si="162"/>
        <v>0</v>
      </c>
      <c r="T1003" s="315">
        <f t="shared" si="163"/>
        <v>785.4545454545455</v>
      </c>
      <c r="U1003" s="84">
        <f t="shared" si="164"/>
        <v>0</v>
      </c>
      <c r="V1003" s="84">
        <f t="shared" si="165"/>
        <v>0</v>
      </c>
      <c r="W1003" s="84">
        <v>0</v>
      </c>
      <c r="X1003" s="55">
        <f t="shared" si="166"/>
        <v>46153.45</v>
      </c>
    </row>
    <row r="1004" spans="1:24" hidden="1" x14ac:dyDescent="0.35">
      <c r="A1004" s="46">
        <f t="shared" si="167"/>
        <v>46153.45</v>
      </c>
      <c r="B1004" s="46"/>
      <c r="C1004" s="46"/>
      <c r="D1004" s="46"/>
      <c r="E1004" s="47" t="s">
        <v>195</v>
      </c>
      <c r="F1004" s="56" t="s">
        <v>1723</v>
      </c>
      <c r="G1004" s="56"/>
      <c r="H1004" s="49" t="s">
        <v>1688</v>
      </c>
      <c r="I1004" s="99" t="s">
        <v>1724</v>
      </c>
      <c r="J1004" s="100" t="s">
        <v>140</v>
      </c>
      <c r="K1004" s="52">
        <v>0</v>
      </c>
      <c r="L1004" s="52">
        <v>0</v>
      </c>
      <c r="M1004" s="53">
        <v>280</v>
      </c>
      <c r="N1004" s="54">
        <v>235</v>
      </c>
      <c r="O1004" s="341">
        <v>1</v>
      </c>
      <c r="P1004" s="54">
        <f t="shared" si="168"/>
        <v>235</v>
      </c>
      <c r="Q1004" s="54"/>
      <c r="R1004" s="53">
        <v>235</v>
      </c>
      <c r="S1004" s="53">
        <f t="shared" si="162"/>
        <v>0</v>
      </c>
      <c r="T1004" s="315">
        <f t="shared" si="163"/>
        <v>308.57142857142856</v>
      </c>
      <c r="U1004" s="84">
        <f t="shared" si="164"/>
        <v>0</v>
      </c>
      <c r="V1004" s="84">
        <f t="shared" si="165"/>
        <v>0</v>
      </c>
      <c r="W1004" s="84">
        <v>0</v>
      </c>
      <c r="X1004" s="55">
        <f t="shared" si="166"/>
        <v>46153.45</v>
      </c>
    </row>
    <row r="1005" spans="1:24" ht="29" hidden="1" x14ac:dyDescent="0.35">
      <c r="A1005" s="46">
        <f t="shared" si="167"/>
        <v>46153.45</v>
      </c>
      <c r="B1005" s="46"/>
      <c r="C1005" s="46"/>
      <c r="D1005" s="46"/>
      <c r="E1005" s="47" t="s">
        <v>195</v>
      </c>
      <c r="F1005" s="56" t="s">
        <v>1354</v>
      </c>
      <c r="G1005" s="56"/>
      <c r="H1005" s="49" t="s">
        <v>1725</v>
      </c>
      <c r="I1005" s="99" t="s">
        <v>1724</v>
      </c>
      <c r="J1005" s="100" t="s">
        <v>140</v>
      </c>
      <c r="K1005" s="52">
        <v>0</v>
      </c>
      <c r="L1005" s="52">
        <v>0</v>
      </c>
      <c r="M1005" s="53">
        <v>280</v>
      </c>
      <c r="N1005" s="54">
        <v>647</v>
      </c>
      <c r="O1005" s="341">
        <v>1</v>
      </c>
      <c r="P1005" s="54">
        <f t="shared" si="168"/>
        <v>647</v>
      </c>
      <c r="Q1005" s="54"/>
      <c r="R1005" s="53">
        <v>647</v>
      </c>
      <c r="S1005" s="53">
        <f t="shared" si="162"/>
        <v>0</v>
      </c>
      <c r="T1005" s="315">
        <f t="shared" si="163"/>
        <v>308.57142857142856</v>
      </c>
      <c r="U1005" s="84">
        <f t="shared" si="164"/>
        <v>0</v>
      </c>
      <c r="V1005" s="84">
        <f t="shared" si="165"/>
        <v>0</v>
      </c>
      <c r="W1005" s="84">
        <v>0</v>
      </c>
      <c r="X1005" s="55">
        <f t="shared" si="166"/>
        <v>46153.45</v>
      </c>
    </row>
    <row r="1006" spans="1:24" hidden="1" x14ac:dyDescent="0.35">
      <c r="A1006" s="46">
        <f t="shared" si="167"/>
        <v>46153.45</v>
      </c>
      <c r="B1006" s="46"/>
      <c r="C1006" s="46"/>
      <c r="D1006" s="46"/>
      <c r="E1006" s="47" t="s">
        <v>195</v>
      </c>
      <c r="F1006" s="56" t="s">
        <v>1726</v>
      </c>
      <c r="G1006" s="56"/>
      <c r="H1006" s="49" t="s">
        <v>1727</v>
      </c>
      <c r="I1006" s="82" t="s">
        <v>716</v>
      </c>
      <c r="J1006" s="100" t="s">
        <v>140</v>
      </c>
      <c r="K1006" s="52">
        <v>0</v>
      </c>
      <c r="L1006" s="52">
        <v>0</v>
      </c>
      <c r="M1006" s="53">
        <v>97</v>
      </c>
      <c r="N1006" s="54">
        <v>3000</v>
      </c>
      <c r="O1006" s="341">
        <v>1</v>
      </c>
      <c r="P1006" s="54">
        <f t="shared" si="168"/>
        <v>3000</v>
      </c>
      <c r="Q1006" s="54"/>
      <c r="R1006" s="53">
        <v>3000</v>
      </c>
      <c r="S1006" s="53">
        <f t="shared" si="162"/>
        <v>0</v>
      </c>
      <c r="T1006" s="315">
        <f t="shared" si="163"/>
        <v>890.7216494845361</v>
      </c>
      <c r="U1006" s="84">
        <f t="shared" si="164"/>
        <v>0</v>
      </c>
      <c r="V1006" s="84">
        <f t="shared" si="165"/>
        <v>0</v>
      </c>
      <c r="W1006" s="84">
        <v>0</v>
      </c>
      <c r="X1006" s="55">
        <f t="shared" si="166"/>
        <v>46153.45</v>
      </c>
    </row>
    <row r="1007" spans="1:24" hidden="1" x14ac:dyDescent="0.35">
      <c r="A1007" s="46">
        <f t="shared" si="167"/>
        <v>46153.45</v>
      </c>
      <c r="B1007" s="46"/>
      <c r="C1007" s="46"/>
      <c r="D1007" s="46"/>
      <c r="E1007" s="47" t="s">
        <v>195</v>
      </c>
      <c r="F1007" s="48" t="s">
        <v>534</v>
      </c>
      <c r="G1007" s="48"/>
      <c r="H1007" s="49" t="s">
        <v>1728</v>
      </c>
      <c r="I1007" s="82" t="s">
        <v>716</v>
      </c>
      <c r="J1007" s="100" t="s">
        <v>140</v>
      </c>
      <c r="K1007" s="52">
        <v>0</v>
      </c>
      <c r="L1007" s="52">
        <v>0</v>
      </c>
      <c r="M1007" s="53">
        <v>97</v>
      </c>
      <c r="N1007" s="54">
        <v>500</v>
      </c>
      <c r="O1007" s="341">
        <v>1</v>
      </c>
      <c r="P1007" s="54">
        <f t="shared" si="168"/>
        <v>500</v>
      </c>
      <c r="Q1007" s="54"/>
      <c r="R1007" s="53">
        <v>500</v>
      </c>
      <c r="S1007" s="53">
        <f t="shared" si="162"/>
        <v>0</v>
      </c>
      <c r="T1007" s="315">
        <f t="shared" si="163"/>
        <v>890.7216494845361</v>
      </c>
      <c r="U1007" s="84">
        <f t="shared" si="164"/>
        <v>0</v>
      </c>
      <c r="V1007" s="84">
        <f t="shared" si="165"/>
        <v>0</v>
      </c>
      <c r="W1007" s="84">
        <v>0</v>
      </c>
      <c r="X1007" s="55">
        <f t="shared" si="166"/>
        <v>46153.45</v>
      </c>
    </row>
    <row r="1008" spans="1:24" hidden="1" x14ac:dyDescent="0.35">
      <c r="A1008" s="46">
        <f t="shared" si="167"/>
        <v>46153.45</v>
      </c>
      <c r="B1008" s="46"/>
      <c r="C1008" s="46"/>
      <c r="D1008" s="46"/>
      <c r="E1008" s="47" t="s">
        <v>195</v>
      </c>
      <c r="F1008" s="48" t="s">
        <v>1729</v>
      </c>
      <c r="G1008" s="48"/>
      <c r="H1008" s="49" t="s">
        <v>1730</v>
      </c>
      <c r="I1008" s="82" t="s">
        <v>716</v>
      </c>
      <c r="J1008" s="100" t="s">
        <v>140</v>
      </c>
      <c r="K1008" s="52">
        <v>0</v>
      </c>
      <c r="L1008" s="52">
        <v>0</v>
      </c>
      <c r="M1008" s="53">
        <v>97</v>
      </c>
      <c r="N1008" s="54">
        <v>100</v>
      </c>
      <c r="O1008" s="341">
        <v>1</v>
      </c>
      <c r="P1008" s="54">
        <f t="shared" si="168"/>
        <v>100</v>
      </c>
      <c r="Q1008" s="54"/>
      <c r="R1008" s="53">
        <v>100</v>
      </c>
      <c r="S1008" s="53">
        <f t="shared" si="162"/>
        <v>0</v>
      </c>
      <c r="T1008" s="315">
        <f t="shared" si="163"/>
        <v>890.7216494845361</v>
      </c>
      <c r="U1008" s="84">
        <f t="shared" si="164"/>
        <v>0</v>
      </c>
      <c r="V1008" s="84">
        <f t="shared" si="165"/>
        <v>0</v>
      </c>
      <c r="W1008" s="84">
        <v>0</v>
      </c>
      <c r="X1008" s="55">
        <f t="shared" si="166"/>
        <v>46153.45</v>
      </c>
    </row>
    <row r="1009" spans="1:24" hidden="1" x14ac:dyDescent="0.35">
      <c r="A1009" s="46">
        <f t="shared" si="167"/>
        <v>46153.45</v>
      </c>
      <c r="B1009" s="46"/>
      <c r="C1009" s="46"/>
      <c r="D1009" s="46"/>
      <c r="E1009" s="47" t="s">
        <v>195</v>
      </c>
      <c r="F1009" s="48" t="s">
        <v>557</v>
      </c>
      <c r="G1009" s="48"/>
      <c r="H1009" s="49" t="s">
        <v>1731</v>
      </c>
      <c r="I1009" s="82" t="s">
        <v>716</v>
      </c>
      <c r="J1009" s="100" t="s">
        <v>140</v>
      </c>
      <c r="K1009" s="52">
        <v>0</v>
      </c>
      <c r="L1009" s="52">
        <v>0</v>
      </c>
      <c r="M1009" s="53">
        <v>97</v>
      </c>
      <c r="N1009" s="54">
        <v>1200</v>
      </c>
      <c r="O1009" s="341">
        <v>1</v>
      </c>
      <c r="P1009" s="54">
        <f t="shared" si="168"/>
        <v>1200</v>
      </c>
      <c r="Q1009" s="54"/>
      <c r="R1009" s="53">
        <v>1200</v>
      </c>
      <c r="S1009" s="53">
        <f t="shared" si="162"/>
        <v>0</v>
      </c>
      <c r="T1009" s="315">
        <f t="shared" si="163"/>
        <v>890.7216494845361</v>
      </c>
      <c r="U1009" s="84">
        <f t="shared" si="164"/>
        <v>0</v>
      </c>
      <c r="V1009" s="84">
        <f t="shared" si="165"/>
        <v>0</v>
      </c>
      <c r="W1009" s="84">
        <v>0</v>
      </c>
      <c r="X1009" s="55">
        <f t="shared" si="166"/>
        <v>46153.45</v>
      </c>
    </row>
    <row r="1010" spans="1:24" ht="26.5" hidden="1" x14ac:dyDescent="0.35">
      <c r="A1010" s="46">
        <f t="shared" si="167"/>
        <v>46153.45</v>
      </c>
      <c r="B1010" s="46"/>
      <c r="C1010" s="46"/>
      <c r="D1010" s="46"/>
      <c r="E1010" s="47" t="s">
        <v>195</v>
      </c>
      <c r="F1010" s="82" t="s">
        <v>555</v>
      </c>
      <c r="G1010" s="82"/>
      <c r="H1010" s="76" t="s">
        <v>1732</v>
      </c>
      <c r="I1010" s="106" t="s">
        <v>234</v>
      </c>
      <c r="J1010" s="100" t="s">
        <v>140</v>
      </c>
      <c r="K1010" s="52">
        <v>0</v>
      </c>
      <c r="L1010" s="52">
        <v>0</v>
      </c>
      <c r="M1010" s="53">
        <v>105</v>
      </c>
      <c r="N1010" s="54">
        <v>400</v>
      </c>
      <c r="O1010" s="341">
        <v>1</v>
      </c>
      <c r="P1010" s="54">
        <f t="shared" si="168"/>
        <v>400</v>
      </c>
      <c r="Q1010" s="54"/>
      <c r="R1010" s="53">
        <v>400</v>
      </c>
      <c r="S1010" s="53">
        <f t="shared" si="162"/>
        <v>0</v>
      </c>
      <c r="T1010" s="315">
        <f t="shared" si="163"/>
        <v>822.85714285714289</v>
      </c>
      <c r="U1010" s="84">
        <f t="shared" si="164"/>
        <v>0</v>
      </c>
      <c r="V1010" s="84">
        <f t="shared" si="165"/>
        <v>0</v>
      </c>
      <c r="W1010" s="84">
        <v>0</v>
      </c>
      <c r="X1010" s="55">
        <f t="shared" si="166"/>
        <v>46153.45</v>
      </c>
    </row>
    <row r="1011" spans="1:24" s="490" customFormat="1" ht="26.5" hidden="1" x14ac:dyDescent="0.35">
      <c r="A1011" s="46">
        <f t="shared" si="167"/>
        <v>46153.45</v>
      </c>
      <c r="B1011" s="46"/>
      <c r="C1011" s="46"/>
      <c r="D1011" s="46"/>
      <c r="E1011" s="47" t="s">
        <v>195</v>
      </c>
      <c r="F1011" s="82" t="s">
        <v>555</v>
      </c>
      <c r="G1011" s="82"/>
      <c r="H1011" s="59" t="s">
        <v>1733</v>
      </c>
      <c r="I1011" s="106" t="s">
        <v>238</v>
      </c>
      <c r="J1011" s="100" t="s">
        <v>140</v>
      </c>
      <c r="K1011" s="52">
        <v>0</v>
      </c>
      <c r="L1011" s="52">
        <v>0</v>
      </c>
      <c r="M1011" s="53">
        <v>105</v>
      </c>
      <c r="N1011" s="54">
        <v>300</v>
      </c>
      <c r="O1011" s="341">
        <v>1</v>
      </c>
      <c r="P1011" s="54">
        <f t="shared" si="168"/>
        <v>300</v>
      </c>
      <c r="Q1011" s="54"/>
      <c r="R1011" s="53">
        <v>300</v>
      </c>
      <c r="S1011" s="53">
        <f t="shared" si="162"/>
        <v>0</v>
      </c>
      <c r="T1011" s="315">
        <f t="shared" si="163"/>
        <v>822.85714285714289</v>
      </c>
      <c r="U1011" s="84">
        <f t="shared" si="164"/>
        <v>0</v>
      </c>
      <c r="V1011" s="84">
        <f t="shared" si="165"/>
        <v>0</v>
      </c>
      <c r="W1011" s="84">
        <v>0</v>
      </c>
      <c r="X1011" s="55">
        <f t="shared" si="166"/>
        <v>46153.45</v>
      </c>
    </row>
    <row r="1012" spans="1:24" s="490" customFormat="1" ht="26.5" hidden="1" x14ac:dyDescent="0.35">
      <c r="A1012" s="46">
        <f t="shared" si="167"/>
        <v>46153.45</v>
      </c>
      <c r="B1012" s="46"/>
      <c r="C1012" s="46"/>
      <c r="D1012" s="46"/>
      <c r="E1012" s="47" t="s">
        <v>195</v>
      </c>
      <c r="F1012" s="82" t="s">
        <v>555</v>
      </c>
      <c r="G1012" s="82"/>
      <c r="H1012" s="59" t="s">
        <v>1734</v>
      </c>
      <c r="I1012" s="106" t="s">
        <v>751</v>
      </c>
      <c r="J1012" s="100" t="s">
        <v>140</v>
      </c>
      <c r="K1012" s="52">
        <v>0</v>
      </c>
      <c r="L1012" s="52">
        <v>0</v>
      </c>
      <c r="M1012" s="53">
        <v>105</v>
      </c>
      <c r="N1012" s="54">
        <v>300</v>
      </c>
      <c r="O1012" s="341">
        <v>1</v>
      </c>
      <c r="P1012" s="54">
        <f t="shared" si="168"/>
        <v>300</v>
      </c>
      <c r="Q1012" s="54"/>
      <c r="R1012" s="53">
        <v>300</v>
      </c>
      <c r="S1012" s="53">
        <f t="shared" si="162"/>
        <v>0</v>
      </c>
      <c r="T1012" s="315">
        <f t="shared" si="163"/>
        <v>822.85714285714289</v>
      </c>
      <c r="U1012" s="84">
        <f t="shared" si="164"/>
        <v>0</v>
      </c>
      <c r="V1012" s="84">
        <f t="shared" si="165"/>
        <v>0</v>
      </c>
      <c r="W1012" s="84">
        <v>0</v>
      </c>
      <c r="X1012" s="55">
        <f t="shared" si="166"/>
        <v>46153.45</v>
      </c>
    </row>
    <row r="1013" spans="1:24" s="490" customFormat="1" ht="26.5" hidden="1" x14ac:dyDescent="0.35">
      <c r="A1013" s="46">
        <f t="shared" si="167"/>
        <v>46153.45</v>
      </c>
      <c r="B1013" s="46"/>
      <c r="C1013" s="46"/>
      <c r="D1013" s="46"/>
      <c r="E1013" s="47" t="s">
        <v>195</v>
      </c>
      <c r="F1013" s="82" t="s">
        <v>555</v>
      </c>
      <c r="G1013" s="82"/>
      <c r="H1013" s="59" t="s">
        <v>1735</v>
      </c>
      <c r="I1013" s="106" t="s">
        <v>236</v>
      </c>
      <c r="J1013" s="100" t="s">
        <v>140</v>
      </c>
      <c r="K1013" s="52">
        <v>0</v>
      </c>
      <c r="L1013" s="52">
        <v>0</v>
      </c>
      <c r="M1013" s="53">
        <v>105</v>
      </c>
      <c r="N1013" s="54">
        <v>50</v>
      </c>
      <c r="O1013" s="341">
        <v>1</v>
      </c>
      <c r="P1013" s="54">
        <f t="shared" si="168"/>
        <v>50</v>
      </c>
      <c r="Q1013" s="54"/>
      <c r="R1013" s="53">
        <v>50</v>
      </c>
      <c r="S1013" s="53">
        <f t="shared" si="162"/>
        <v>0</v>
      </c>
      <c r="T1013" s="315">
        <f t="shared" si="163"/>
        <v>822.85714285714289</v>
      </c>
      <c r="U1013" s="84">
        <f t="shared" si="164"/>
        <v>0</v>
      </c>
      <c r="V1013" s="84">
        <f t="shared" si="165"/>
        <v>0</v>
      </c>
      <c r="W1013" s="84">
        <v>0</v>
      </c>
      <c r="X1013" s="55">
        <f t="shared" si="166"/>
        <v>46153.45</v>
      </c>
    </row>
    <row r="1014" spans="1:24" s="490" customFormat="1" ht="26.5" hidden="1" x14ac:dyDescent="0.35">
      <c r="A1014" s="46">
        <f t="shared" si="167"/>
        <v>46153.45</v>
      </c>
      <c r="B1014" s="46"/>
      <c r="C1014" s="46"/>
      <c r="D1014" s="46"/>
      <c r="E1014" s="47" t="s">
        <v>195</v>
      </c>
      <c r="F1014" s="82" t="s">
        <v>555</v>
      </c>
      <c r="G1014" s="82"/>
      <c r="H1014" s="59" t="s">
        <v>1736</v>
      </c>
      <c r="I1014" s="106" t="s">
        <v>240</v>
      </c>
      <c r="J1014" s="100" t="s">
        <v>140</v>
      </c>
      <c r="K1014" s="52">
        <v>0</v>
      </c>
      <c r="L1014" s="52">
        <v>0</v>
      </c>
      <c r="M1014" s="53">
        <v>105</v>
      </c>
      <c r="N1014" s="54">
        <v>300</v>
      </c>
      <c r="O1014" s="341">
        <v>1</v>
      </c>
      <c r="P1014" s="54">
        <f t="shared" si="168"/>
        <v>300</v>
      </c>
      <c r="Q1014" s="54"/>
      <c r="R1014" s="53">
        <v>300</v>
      </c>
      <c r="S1014" s="53">
        <f t="shared" si="162"/>
        <v>0</v>
      </c>
      <c r="T1014" s="315">
        <f t="shared" si="163"/>
        <v>822.85714285714289</v>
      </c>
      <c r="U1014" s="84">
        <f t="shared" si="164"/>
        <v>0</v>
      </c>
      <c r="V1014" s="84">
        <f t="shared" si="165"/>
        <v>0</v>
      </c>
      <c r="W1014" s="84">
        <v>0</v>
      </c>
      <c r="X1014" s="55">
        <f t="shared" si="166"/>
        <v>46153.45</v>
      </c>
    </row>
    <row r="1015" spans="1:24" ht="26.5" hidden="1" x14ac:dyDescent="0.35">
      <c r="A1015" s="46">
        <f t="shared" si="167"/>
        <v>46153.45</v>
      </c>
      <c r="B1015" s="46"/>
      <c r="C1015" s="46"/>
      <c r="D1015" s="46"/>
      <c r="E1015" s="74" t="s">
        <v>195</v>
      </c>
      <c r="F1015" s="77" t="s">
        <v>555</v>
      </c>
      <c r="G1015" s="77"/>
      <c r="H1015" s="216" t="s">
        <v>1737</v>
      </c>
      <c r="I1015" s="77" t="s">
        <v>716</v>
      </c>
      <c r="J1015" s="491" t="s">
        <v>140</v>
      </c>
      <c r="K1015" s="78">
        <v>0</v>
      </c>
      <c r="L1015" s="78">
        <v>0</v>
      </c>
      <c r="M1015" s="79">
        <v>97</v>
      </c>
      <c r="N1015" s="80">
        <v>2500</v>
      </c>
      <c r="O1015" s="392">
        <v>1</v>
      </c>
      <c r="P1015" s="80">
        <f t="shared" si="168"/>
        <v>2500</v>
      </c>
      <c r="Q1015" s="80"/>
      <c r="R1015" s="79">
        <v>2500</v>
      </c>
      <c r="S1015" s="79">
        <f t="shared" si="162"/>
        <v>0</v>
      </c>
      <c r="T1015" s="492">
        <f t="shared" si="163"/>
        <v>890.7216494845361</v>
      </c>
      <c r="U1015" s="493">
        <f t="shared" si="164"/>
        <v>0</v>
      </c>
      <c r="V1015" s="493">
        <f t="shared" si="165"/>
        <v>0</v>
      </c>
      <c r="W1015" s="493">
        <v>0</v>
      </c>
      <c r="X1015" s="55">
        <f t="shared" si="166"/>
        <v>46153.45</v>
      </c>
    </row>
    <row r="1016" spans="1:24" hidden="1" x14ac:dyDescent="0.35">
      <c r="A1016" s="46">
        <f t="shared" si="167"/>
        <v>46153.45</v>
      </c>
      <c r="B1016" s="46"/>
      <c r="C1016" s="46"/>
      <c r="D1016" s="46"/>
      <c r="E1016" s="47" t="s">
        <v>195</v>
      </c>
      <c r="F1016" s="48" t="s">
        <v>1738</v>
      </c>
      <c r="G1016" s="48"/>
      <c r="H1016" s="49" t="s">
        <v>1739</v>
      </c>
      <c r="I1016" s="82" t="s">
        <v>536</v>
      </c>
      <c r="J1016" s="100" t="s">
        <v>140</v>
      </c>
      <c r="K1016" s="52">
        <v>0</v>
      </c>
      <c r="L1016" s="52">
        <v>0</v>
      </c>
      <c r="M1016" s="53">
        <v>120</v>
      </c>
      <c r="N1016" s="54">
        <v>1000</v>
      </c>
      <c r="O1016" s="341">
        <v>1</v>
      </c>
      <c r="P1016" s="54">
        <f t="shared" si="168"/>
        <v>1000</v>
      </c>
      <c r="Q1016" s="54"/>
      <c r="R1016" s="53">
        <v>1000</v>
      </c>
      <c r="S1016" s="53">
        <f t="shared" si="162"/>
        <v>0</v>
      </c>
      <c r="T1016" s="315">
        <f t="shared" si="163"/>
        <v>720</v>
      </c>
      <c r="U1016" s="84">
        <f t="shared" si="164"/>
        <v>0</v>
      </c>
      <c r="V1016" s="84">
        <f t="shared" si="165"/>
        <v>0</v>
      </c>
      <c r="W1016" s="84">
        <v>0</v>
      </c>
      <c r="X1016" s="55">
        <f t="shared" si="166"/>
        <v>46153.45</v>
      </c>
    </row>
    <row r="1017" spans="1:24" s="221" customFormat="1" hidden="1" x14ac:dyDescent="0.35">
      <c r="A1017" s="46">
        <f t="shared" si="167"/>
        <v>46153.45</v>
      </c>
      <c r="B1017" s="46"/>
      <c r="C1017" s="46"/>
      <c r="D1017" s="46"/>
      <c r="E1017" s="47" t="s">
        <v>195</v>
      </c>
      <c r="F1017" s="48" t="s">
        <v>1740</v>
      </c>
      <c r="G1017" s="48"/>
      <c r="H1017" s="49" t="s">
        <v>1741</v>
      </c>
      <c r="I1017" s="494" t="s">
        <v>1353</v>
      </c>
      <c r="J1017" s="51" t="s">
        <v>140</v>
      </c>
      <c r="K1017" s="52">
        <v>0</v>
      </c>
      <c r="L1017" s="52">
        <v>0</v>
      </c>
      <c r="M1017" s="53">
        <v>100</v>
      </c>
      <c r="N1017" s="54">
        <v>1197</v>
      </c>
      <c r="O1017" s="341">
        <v>1</v>
      </c>
      <c r="P1017" s="54">
        <f t="shared" si="168"/>
        <v>1197</v>
      </c>
      <c r="Q1017" s="54"/>
      <c r="R1017" s="53">
        <v>1197</v>
      </c>
      <c r="S1017" s="53">
        <f t="shared" si="162"/>
        <v>0</v>
      </c>
      <c r="T1017" s="343">
        <f t="shared" si="163"/>
        <v>864</v>
      </c>
      <c r="U1017" s="52">
        <f t="shared" si="164"/>
        <v>0</v>
      </c>
      <c r="V1017" s="52">
        <f t="shared" si="165"/>
        <v>0</v>
      </c>
      <c r="W1017" s="52">
        <v>0</v>
      </c>
      <c r="X1017" s="55">
        <f t="shared" si="166"/>
        <v>46153.45</v>
      </c>
    </row>
    <row r="1018" spans="1:24" s="221" customFormat="1" hidden="1" x14ac:dyDescent="0.35">
      <c r="A1018" s="46">
        <f t="shared" si="167"/>
        <v>46153.45</v>
      </c>
      <c r="B1018" s="46"/>
      <c r="C1018" s="46"/>
      <c r="D1018" s="46"/>
      <c r="E1018" s="47" t="s">
        <v>195</v>
      </c>
      <c r="F1018" s="56" t="s">
        <v>1742</v>
      </c>
      <c r="G1018" s="56"/>
      <c r="H1018" s="59" t="s">
        <v>1743</v>
      </c>
      <c r="I1018" s="82" t="s">
        <v>1028</v>
      </c>
      <c r="J1018" s="100" t="s">
        <v>140</v>
      </c>
      <c r="K1018" s="52">
        <v>0.25</v>
      </c>
      <c r="L1018" s="52">
        <v>0.2</v>
      </c>
      <c r="M1018" s="53">
        <v>120</v>
      </c>
      <c r="N1018" s="54">
        <v>1000</v>
      </c>
      <c r="O1018" s="341">
        <v>1</v>
      </c>
      <c r="P1018" s="54">
        <f t="shared" si="168"/>
        <v>1000</v>
      </c>
      <c r="Q1018" s="54"/>
      <c r="R1018" s="53">
        <v>1000</v>
      </c>
      <c r="S1018" s="53">
        <f t="shared" si="162"/>
        <v>0</v>
      </c>
      <c r="T1018" s="315">
        <f t="shared" si="163"/>
        <v>720</v>
      </c>
      <c r="U1018" s="84">
        <f t="shared" si="164"/>
        <v>0</v>
      </c>
      <c r="V1018" s="84">
        <f t="shared" si="165"/>
        <v>0</v>
      </c>
      <c r="W1018" s="84">
        <v>0</v>
      </c>
      <c r="X1018" s="55">
        <f t="shared" si="166"/>
        <v>46153.899999999994</v>
      </c>
    </row>
    <row r="1019" spans="1:24" hidden="1" x14ac:dyDescent="0.35">
      <c r="A1019" s="46">
        <f t="shared" si="167"/>
        <v>46153.899999999994</v>
      </c>
      <c r="B1019" s="46"/>
      <c r="C1019" s="46"/>
      <c r="D1019" s="46"/>
      <c r="E1019" s="296" t="s">
        <v>249</v>
      </c>
      <c r="F1019" s="366" t="s">
        <v>14</v>
      </c>
      <c r="G1019" s="366"/>
      <c r="H1019" s="366" t="s">
        <v>14</v>
      </c>
      <c r="I1019" s="495" t="s">
        <v>1353</v>
      </c>
      <c r="J1019" s="351" t="s">
        <v>140</v>
      </c>
      <c r="K1019" s="352">
        <v>0</v>
      </c>
      <c r="L1019" s="352">
        <v>0</v>
      </c>
      <c r="M1019" s="353">
        <v>100</v>
      </c>
      <c r="N1019" s="354">
        <v>50</v>
      </c>
      <c r="O1019" s="355">
        <v>1</v>
      </c>
      <c r="P1019" s="354">
        <f t="shared" si="168"/>
        <v>50</v>
      </c>
      <c r="Q1019" s="354"/>
      <c r="R1019" s="353">
        <v>50</v>
      </c>
      <c r="S1019" s="353">
        <f t="shared" si="162"/>
        <v>0</v>
      </c>
      <c r="T1019" s="356">
        <f t="shared" si="163"/>
        <v>864</v>
      </c>
      <c r="U1019" s="352">
        <f t="shared" si="164"/>
        <v>0</v>
      </c>
      <c r="V1019" s="352">
        <f t="shared" si="165"/>
        <v>0</v>
      </c>
      <c r="W1019" s="352">
        <v>0</v>
      </c>
      <c r="X1019" s="55">
        <f t="shared" si="166"/>
        <v>46153.899999999994</v>
      </c>
    </row>
    <row r="1020" spans="1:24" s="221" customFormat="1" hidden="1" x14ac:dyDescent="0.35">
      <c r="A1020" s="46">
        <f t="shared" si="167"/>
        <v>46153.899999999994</v>
      </c>
      <c r="B1020" s="46"/>
      <c r="C1020" s="46"/>
      <c r="D1020" s="46"/>
      <c r="E1020" s="47" t="s">
        <v>249</v>
      </c>
      <c r="F1020" s="82" t="s">
        <v>1452</v>
      </c>
      <c r="G1020" s="82"/>
      <c r="H1020" s="98" t="s">
        <v>1744</v>
      </c>
      <c r="I1020" s="82" t="s">
        <v>536</v>
      </c>
      <c r="J1020" s="51" t="s">
        <v>140</v>
      </c>
      <c r="K1020" s="91">
        <v>0</v>
      </c>
      <c r="L1020" s="91">
        <v>0</v>
      </c>
      <c r="M1020" s="92">
        <v>120</v>
      </c>
      <c r="N1020" s="94">
        <v>1400</v>
      </c>
      <c r="O1020" s="253">
        <v>1</v>
      </c>
      <c r="P1020" s="94">
        <f t="shared" si="168"/>
        <v>1400</v>
      </c>
      <c r="Q1020" s="94"/>
      <c r="R1020" s="92">
        <v>1400</v>
      </c>
      <c r="S1020" s="92">
        <f t="shared" si="162"/>
        <v>0</v>
      </c>
      <c r="T1020" s="254">
        <f t="shared" si="163"/>
        <v>720</v>
      </c>
      <c r="U1020" s="91">
        <f t="shared" si="164"/>
        <v>0</v>
      </c>
      <c r="V1020" s="91">
        <f t="shared" si="165"/>
        <v>0</v>
      </c>
      <c r="W1020" s="91">
        <v>0</v>
      </c>
      <c r="X1020" s="55">
        <f t="shared" si="166"/>
        <v>46153.899999999994</v>
      </c>
    </row>
    <row r="1021" spans="1:24" s="487" customFormat="1" hidden="1" x14ac:dyDescent="0.35">
      <c r="A1021" s="46">
        <f t="shared" si="167"/>
        <v>46153.899999999994</v>
      </c>
      <c r="B1021" s="46"/>
      <c r="C1021" s="46"/>
      <c r="D1021" s="46"/>
      <c r="E1021" s="119" t="s">
        <v>195</v>
      </c>
      <c r="F1021" s="82" t="s">
        <v>1745</v>
      </c>
      <c r="G1021" s="82"/>
      <c r="H1021" s="98" t="s">
        <v>1746</v>
      </c>
      <c r="I1021" s="99" t="s">
        <v>97</v>
      </c>
      <c r="J1021" s="51" t="s">
        <v>140</v>
      </c>
      <c r="K1021" s="91">
        <v>0</v>
      </c>
      <c r="L1021" s="91">
        <v>0</v>
      </c>
      <c r="M1021" s="92">
        <v>110</v>
      </c>
      <c r="N1021" s="94">
        <v>4000</v>
      </c>
      <c r="O1021" s="253">
        <v>1</v>
      </c>
      <c r="P1021" s="94">
        <f t="shared" si="168"/>
        <v>4000</v>
      </c>
      <c r="Q1021" s="94"/>
      <c r="R1021" s="92">
        <v>4000</v>
      </c>
      <c r="S1021" s="92">
        <f t="shared" si="162"/>
        <v>0</v>
      </c>
      <c r="T1021" s="254">
        <f t="shared" si="163"/>
        <v>785.4545454545455</v>
      </c>
      <c r="U1021" s="91">
        <f t="shared" si="164"/>
        <v>0</v>
      </c>
      <c r="V1021" s="91">
        <f t="shared" si="165"/>
        <v>0</v>
      </c>
      <c r="W1021" s="426">
        <v>0</v>
      </c>
      <c r="X1021" s="55">
        <f t="shared" si="166"/>
        <v>46153.899999999994</v>
      </c>
    </row>
    <row r="1022" spans="1:24" s="221" customFormat="1" hidden="1" x14ac:dyDescent="0.35">
      <c r="A1022" s="46">
        <f t="shared" si="167"/>
        <v>46153.899999999994</v>
      </c>
      <c r="B1022" s="46"/>
      <c r="C1022" s="46"/>
      <c r="D1022" s="46"/>
      <c r="E1022" s="119" t="s">
        <v>195</v>
      </c>
      <c r="F1022" s="48" t="s">
        <v>1747</v>
      </c>
      <c r="G1022" s="48"/>
      <c r="H1022" s="59" t="s">
        <v>1748</v>
      </c>
      <c r="I1022" s="97" t="s">
        <v>143</v>
      </c>
      <c r="J1022" s="51" t="s">
        <v>140</v>
      </c>
      <c r="K1022" s="52">
        <v>0</v>
      </c>
      <c r="L1022" s="52">
        <v>0</v>
      </c>
      <c r="M1022" s="53">
        <v>100</v>
      </c>
      <c r="N1022" s="54">
        <v>3000</v>
      </c>
      <c r="O1022" s="341">
        <v>1</v>
      </c>
      <c r="P1022" s="54">
        <f t="shared" si="168"/>
        <v>3000</v>
      </c>
      <c r="Q1022" s="54"/>
      <c r="R1022" s="53">
        <v>3000</v>
      </c>
      <c r="S1022" s="53">
        <f t="shared" si="162"/>
        <v>0</v>
      </c>
      <c r="T1022" s="343">
        <f t="shared" si="163"/>
        <v>864</v>
      </c>
      <c r="U1022" s="52">
        <f t="shared" si="164"/>
        <v>0</v>
      </c>
      <c r="V1022" s="52">
        <f t="shared" si="165"/>
        <v>0</v>
      </c>
      <c r="W1022" s="52">
        <v>0</v>
      </c>
      <c r="X1022" s="55">
        <f t="shared" si="166"/>
        <v>46153.899999999994</v>
      </c>
    </row>
    <row r="1023" spans="1:24" hidden="1" x14ac:dyDescent="0.35">
      <c r="A1023" s="46">
        <f t="shared" si="167"/>
        <v>46153.899999999994</v>
      </c>
      <c r="B1023" s="46"/>
      <c r="C1023" s="46"/>
      <c r="D1023" s="46"/>
      <c r="E1023" s="119" t="s">
        <v>195</v>
      </c>
      <c r="F1023" s="48" t="s">
        <v>1749</v>
      </c>
      <c r="G1023" s="48"/>
      <c r="H1023" s="49" t="s">
        <v>1750</v>
      </c>
      <c r="I1023" s="82" t="s">
        <v>457</v>
      </c>
      <c r="J1023" s="51" t="s">
        <v>140</v>
      </c>
      <c r="K1023" s="52">
        <v>0</v>
      </c>
      <c r="L1023" s="52">
        <v>0</v>
      </c>
      <c r="M1023" s="53">
        <v>90</v>
      </c>
      <c r="N1023" s="54">
        <v>1500</v>
      </c>
      <c r="O1023" s="341">
        <v>1</v>
      </c>
      <c r="P1023" s="54">
        <f t="shared" si="168"/>
        <v>1500</v>
      </c>
      <c r="Q1023" s="54"/>
      <c r="R1023" s="53">
        <v>1500</v>
      </c>
      <c r="S1023" s="53">
        <f t="shared" si="162"/>
        <v>0</v>
      </c>
      <c r="T1023" s="343">
        <f t="shared" si="163"/>
        <v>960</v>
      </c>
      <c r="U1023" s="52">
        <f t="shared" si="164"/>
        <v>0</v>
      </c>
      <c r="V1023" s="52">
        <f t="shared" si="165"/>
        <v>0</v>
      </c>
      <c r="W1023" s="52">
        <v>0</v>
      </c>
      <c r="X1023" s="55">
        <f t="shared" si="166"/>
        <v>46153.899999999994</v>
      </c>
    </row>
    <row r="1024" spans="1:24" hidden="1" x14ac:dyDescent="0.35">
      <c r="A1024" s="46">
        <f t="shared" si="167"/>
        <v>46153.899999999994</v>
      </c>
      <c r="B1024" s="46"/>
      <c r="C1024" s="46"/>
      <c r="D1024" s="46"/>
      <c r="E1024" s="119" t="s">
        <v>195</v>
      </c>
      <c r="F1024" s="48" t="s">
        <v>1749</v>
      </c>
      <c r="G1024" s="48"/>
      <c r="H1024" s="49" t="s">
        <v>1751</v>
      </c>
      <c r="I1024" s="82" t="s">
        <v>536</v>
      </c>
      <c r="J1024" s="51" t="s">
        <v>140</v>
      </c>
      <c r="K1024" s="52">
        <v>0</v>
      </c>
      <c r="L1024" s="52">
        <v>0</v>
      </c>
      <c r="M1024" s="53">
        <v>120</v>
      </c>
      <c r="N1024" s="54">
        <v>1500</v>
      </c>
      <c r="O1024" s="341">
        <v>1</v>
      </c>
      <c r="P1024" s="54">
        <f t="shared" si="168"/>
        <v>1500</v>
      </c>
      <c r="Q1024" s="54"/>
      <c r="R1024" s="53">
        <v>1500</v>
      </c>
      <c r="S1024" s="53">
        <f t="shared" si="162"/>
        <v>0</v>
      </c>
      <c r="T1024" s="343">
        <f t="shared" si="163"/>
        <v>720</v>
      </c>
      <c r="U1024" s="52">
        <f t="shared" si="164"/>
        <v>0</v>
      </c>
      <c r="V1024" s="52">
        <f t="shared" si="165"/>
        <v>0</v>
      </c>
      <c r="W1024" s="52">
        <v>0</v>
      </c>
      <c r="X1024" s="55">
        <f t="shared" si="166"/>
        <v>46153.899999999994</v>
      </c>
    </row>
    <row r="1025" spans="1:24" hidden="1" x14ac:dyDescent="0.35">
      <c r="A1025" s="46">
        <f t="shared" si="167"/>
        <v>46153.899999999994</v>
      </c>
      <c r="B1025" s="46"/>
      <c r="C1025" s="46"/>
      <c r="D1025" s="46"/>
      <c r="E1025" s="119" t="s">
        <v>195</v>
      </c>
      <c r="F1025" s="48" t="s">
        <v>1752</v>
      </c>
      <c r="G1025" s="48"/>
      <c r="H1025" s="59" t="s">
        <v>1753</v>
      </c>
      <c r="I1025" s="97" t="s">
        <v>143</v>
      </c>
      <c r="J1025" s="51" t="s">
        <v>140</v>
      </c>
      <c r="K1025" s="52">
        <v>0</v>
      </c>
      <c r="L1025" s="52">
        <v>0</v>
      </c>
      <c r="M1025" s="53">
        <v>100</v>
      </c>
      <c r="N1025" s="54">
        <v>1000</v>
      </c>
      <c r="O1025" s="341">
        <v>1</v>
      </c>
      <c r="P1025" s="54">
        <f t="shared" si="168"/>
        <v>1000</v>
      </c>
      <c r="Q1025" s="54"/>
      <c r="R1025" s="53">
        <v>1000</v>
      </c>
      <c r="S1025" s="53">
        <f t="shared" si="162"/>
        <v>0</v>
      </c>
      <c r="T1025" s="343">
        <f t="shared" si="163"/>
        <v>864</v>
      </c>
      <c r="U1025" s="52">
        <f t="shared" si="164"/>
        <v>0</v>
      </c>
      <c r="V1025" s="52">
        <f t="shared" si="165"/>
        <v>0</v>
      </c>
      <c r="W1025" s="52">
        <v>0</v>
      </c>
      <c r="X1025" s="55">
        <f t="shared" si="166"/>
        <v>46153.899999999994</v>
      </c>
    </row>
    <row r="1026" spans="1:24" ht="26.5" hidden="1" x14ac:dyDescent="0.35">
      <c r="A1026" s="46">
        <f t="shared" si="167"/>
        <v>46153.899999999994</v>
      </c>
      <c r="B1026" s="46"/>
      <c r="C1026" s="46"/>
      <c r="D1026" s="46"/>
      <c r="E1026" s="47" t="s">
        <v>195</v>
      </c>
      <c r="F1026" s="82" t="s">
        <v>1754</v>
      </c>
      <c r="G1026" s="82"/>
      <c r="H1026" s="59" t="s">
        <v>1755</v>
      </c>
      <c r="I1026" s="106" t="s">
        <v>236</v>
      </c>
      <c r="J1026" s="100" t="s">
        <v>140</v>
      </c>
      <c r="K1026" s="52">
        <v>0</v>
      </c>
      <c r="L1026" s="52">
        <v>0</v>
      </c>
      <c r="M1026" s="53">
        <v>105</v>
      </c>
      <c r="N1026" s="54">
        <v>100</v>
      </c>
      <c r="O1026" s="341">
        <v>1</v>
      </c>
      <c r="P1026" s="54">
        <f t="shared" si="168"/>
        <v>100</v>
      </c>
      <c r="Q1026" s="54"/>
      <c r="R1026" s="53">
        <v>100</v>
      </c>
      <c r="S1026" s="53">
        <f t="shared" si="162"/>
        <v>0</v>
      </c>
      <c r="T1026" s="315">
        <f t="shared" si="163"/>
        <v>822.85714285714289</v>
      </c>
      <c r="U1026" s="84">
        <f t="shared" si="164"/>
        <v>0</v>
      </c>
      <c r="V1026" s="84">
        <f t="shared" si="165"/>
        <v>0</v>
      </c>
      <c r="W1026" s="84">
        <v>0</v>
      </c>
      <c r="X1026" s="55">
        <f t="shared" si="166"/>
        <v>46153.899999999994</v>
      </c>
    </row>
    <row r="1027" spans="1:24" ht="26.5" hidden="1" x14ac:dyDescent="0.35">
      <c r="A1027" s="46">
        <f t="shared" si="167"/>
        <v>46153.899999999994</v>
      </c>
      <c r="B1027" s="46"/>
      <c r="C1027" s="46"/>
      <c r="D1027" s="46"/>
      <c r="E1027" s="47" t="s">
        <v>195</v>
      </c>
      <c r="F1027" s="82" t="s">
        <v>1754</v>
      </c>
      <c r="G1027" s="82"/>
      <c r="H1027" s="76" t="s">
        <v>1756</v>
      </c>
      <c r="I1027" s="106" t="s">
        <v>234</v>
      </c>
      <c r="J1027" s="100" t="s">
        <v>140</v>
      </c>
      <c r="K1027" s="52">
        <v>0</v>
      </c>
      <c r="L1027" s="52">
        <v>0</v>
      </c>
      <c r="M1027" s="53">
        <v>105</v>
      </c>
      <c r="N1027" s="54">
        <v>400</v>
      </c>
      <c r="O1027" s="341">
        <v>1</v>
      </c>
      <c r="P1027" s="54">
        <f t="shared" si="168"/>
        <v>400</v>
      </c>
      <c r="Q1027" s="54"/>
      <c r="R1027" s="53">
        <v>400</v>
      </c>
      <c r="S1027" s="53">
        <f t="shared" si="162"/>
        <v>0</v>
      </c>
      <c r="T1027" s="315">
        <f t="shared" si="163"/>
        <v>822.85714285714289</v>
      </c>
      <c r="U1027" s="84">
        <f t="shared" si="164"/>
        <v>0</v>
      </c>
      <c r="V1027" s="84">
        <f t="shared" si="165"/>
        <v>0</v>
      </c>
      <c r="W1027" s="84">
        <v>0</v>
      </c>
      <c r="X1027" s="55">
        <f t="shared" si="166"/>
        <v>46153.899999999994</v>
      </c>
    </row>
    <row r="1028" spans="1:24" hidden="1" x14ac:dyDescent="0.35">
      <c r="A1028" s="46">
        <f t="shared" si="167"/>
        <v>46153.899999999994</v>
      </c>
      <c r="B1028" s="46"/>
      <c r="C1028" s="46"/>
      <c r="D1028" s="46"/>
      <c r="E1028" s="47" t="s">
        <v>249</v>
      </c>
      <c r="F1028" s="99" t="s">
        <v>1757</v>
      </c>
      <c r="G1028" s="99"/>
      <c r="H1028" s="107" t="s">
        <v>1758</v>
      </c>
      <c r="I1028" s="82" t="s">
        <v>305</v>
      </c>
      <c r="J1028" s="51" t="s">
        <v>140</v>
      </c>
      <c r="K1028" s="101">
        <v>0</v>
      </c>
      <c r="L1028" s="101">
        <v>0</v>
      </c>
      <c r="M1028" s="102">
        <v>120</v>
      </c>
      <c r="N1028" s="103">
        <v>850</v>
      </c>
      <c r="O1028" s="171">
        <v>1</v>
      </c>
      <c r="P1028" s="103">
        <f t="shared" si="168"/>
        <v>850</v>
      </c>
      <c r="Q1028" s="103"/>
      <c r="R1028" s="102">
        <v>850</v>
      </c>
      <c r="S1028" s="102">
        <f t="shared" si="162"/>
        <v>0</v>
      </c>
      <c r="T1028" s="173">
        <f t="shared" si="163"/>
        <v>720</v>
      </c>
      <c r="U1028" s="101">
        <f t="shared" si="164"/>
        <v>0</v>
      </c>
      <c r="V1028" s="101">
        <f t="shared" si="165"/>
        <v>0</v>
      </c>
      <c r="W1028" s="101">
        <v>0</v>
      </c>
      <c r="X1028" s="55">
        <f t="shared" si="166"/>
        <v>46153.899999999994</v>
      </c>
    </row>
    <row r="1029" spans="1:24" hidden="1" x14ac:dyDescent="0.35">
      <c r="A1029" s="46">
        <f t="shared" si="167"/>
        <v>46153.899999999994</v>
      </c>
      <c r="B1029" s="46"/>
      <c r="C1029" s="46"/>
      <c r="D1029" s="46"/>
      <c r="E1029" s="47" t="s">
        <v>249</v>
      </c>
      <c r="F1029" s="99" t="s">
        <v>1757</v>
      </c>
      <c r="G1029" s="99"/>
      <c r="H1029" s="107" t="s">
        <v>1759</v>
      </c>
      <c r="I1029" s="82" t="s">
        <v>1543</v>
      </c>
      <c r="J1029" s="51" t="s">
        <v>140</v>
      </c>
      <c r="K1029" s="101">
        <v>0</v>
      </c>
      <c r="L1029" s="101">
        <v>0</v>
      </c>
      <c r="M1029" s="102">
        <v>120</v>
      </c>
      <c r="N1029" s="103">
        <v>850</v>
      </c>
      <c r="O1029" s="171">
        <v>1</v>
      </c>
      <c r="P1029" s="103">
        <f t="shared" si="168"/>
        <v>850</v>
      </c>
      <c r="Q1029" s="103"/>
      <c r="R1029" s="102">
        <v>850</v>
      </c>
      <c r="S1029" s="102">
        <f t="shared" si="162"/>
        <v>0</v>
      </c>
      <c r="T1029" s="173">
        <f t="shared" si="163"/>
        <v>720</v>
      </c>
      <c r="U1029" s="101">
        <f t="shared" si="164"/>
        <v>0</v>
      </c>
      <c r="V1029" s="101">
        <f t="shared" si="165"/>
        <v>0</v>
      </c>
      <c r="W1029" s="101">
        <v>0</v>
      </c>
      <c r="X1029" s="55">
        <f t="shared" si="166"/>
        <v>46153.899999999994</v>
      </c>
    </row>
    <row r="1030" spans="1:24" hidden="1" x14ac:dyDescent="0.35">
      <c r="A1030" s="46">
        <f t="shared" si="167"/>
        <v>46153.899999999994</v>
      </c>
      <c r="B1030" s="46"/>
      <c r="C1030" s="46"/>
      <c r="D1030" s="46"/>
      <c r="E1030" s="47" t="s">
        <v>249</v>
      </c>
      <c r="F1030" s="99" t="s">
        <v>1757</v>
      </c>
      <c r="G1030" s="99"/>
      <c r="H1030" s="107" t="s">
        <v>1760</v>
      </c>
      <c r="I1030" s="82" t="s">
        <v>1761</v>
      </c>
      <c r="J1030" s="51" t="s">
        <v>140</v>
      </c>
      <c r="K1030" s="101">
        <v>0</v>
      </c>
      <c r="L1030" s="101">
        <v>0</v>
      </c>
      <c r="M1030" s="102">
        <v>120</v>
      </c>
      <c r="N1030" s="103">
        <v>850</v>
      </c>
      <c r="O1030" s="171">
        <v>1</v>
      </c>
      <c r="P1030" s="103">
        <f t="shared" si="168"/>
        <v>850</v>
      </c>
      <c r="Q1030" s="103"/>
      <c r="R1030" s="102">
        <v>850</v>
      </c>
      <c r="S1030" s="102">
        <f t="shared" si="162"/>
        <v>0</v>
      </c>
      <c r="T1030" s="173">
        <f t="shared" si="163"/>
        <v>720</v>
      </c>
      <c r="U1030" s="101">
        <f t="shared" si="164"/>
        <v>0</v>
      </c>
      <c r="V1030" s="101">
        <f t="shared" si="165"/>
        <v>0</v>
      </c>
      <c r="W1030" s="101">
        <v>0</v>
      </c>
      <c r="X1030" s="55">
        <f t="shared" si="166"/>
        <v>46153.899999999994</v>
      </c>
    </row>
    <row r="1031" spans="1:24" hidden="1" x14ac:dyDescent="0.35">
      <c r="A1031" s="46">
        <f t="shared" si="167"/>
        <v>46153.899999999994</v>
      </c>
      <c r="B1031" s="46"/>
      <c r="C1031" s="46"/>
      <c r="D1031" s="46"/>
      <c r="E1031" s="47" t="s">
        <v>249</v>
      </c>
      <c r="F1031" s="99" t="s">
        <v>1762</v>
      </c>
      <c r="G1031" s="99"/>
      <c r="H1031" s="107" t="s">
        <v>1763</v>
      </c>
      <c r="I1031" s="82" t="s">
        <v>1764</v>
      </c>
      <c r="J1031" s="51" t="s">
        <v>140</v>
      </c>
      <c r="K1031" s="101">
        <v>0</v>
      </c>
      <c r="L1031" s="101">
        <v>0</v>
      </c>
      <c r="M1031" s="102">
        <v>120</v>
      </c>
      <c r="N1031" s="103">
        <v>150</v>
      </c>
      <c r="O1031" s="171">
        <v>1</v>
      </c>
      <c r="P1031" s="103">
        <f t="shared" si="168"/>
        <v>150</v>
      </c>
      <c r="Q1031" s="103"/>
      <c r="R1031" s="102">
        <v>150</v>
      </c>
      <c r="S1031" s="102">
        <f t="shared" si="162"/>
        <v>0</v>
      </c>
      <c r="T1031" s="173">
        <f t="shared" si="163"/>
        <v>720</v>
      </c>
      <c r="U1031" s="101">
        <f t="shared" si="164"/>
        <v>0</v>
      </c>
      <c r="V1031" s="101">
        <f t="shared" si="165"/>
        <v>0</v>
      </c>
      <c r="W1031" s="101">
        <v>0</v>
      </c>
      <c r="X1031" s="55">
        <f t="shared" si="166"/>
        <v>46153.899999999994</v>
      </c>
    </row>
    <row r="1032" spans="1:24" s="221" customFormat="1" hidden="1" x14ac:dyDescent="0.35">
      <c r="A1032" s="46">
        <f t="shared" si="167"/>
        <v>46153.899999999994</v>
      </c>
      <c r="B1032" s="46"/>
      <c r="C1032" s="46"/>
      <c r="D1032" s="46"/>
      <c r="E1032" s="296" t="s">
        <v>249</v>
      </c>
      <c r="F1032" s="297" t="s">
        <v>14</v>
      </c>
      <c r="G1032" s="297"/>
      <c r="H1032" s="349" t="s">
        <v>14</v>
      </c>
      <c r="I1032" s="297" t="s">
        <v>457</v>
      </c>
      <c r="J1032" s="351" t="s">
        <v>140</v>
      </c>
      <c r="K1032" s="399">
        <v>0</v>
      </c>
      <c r="L1032" s="399">
        <v>0</v>
      </c>
      <c r="M1032" s="400">
        <v>90</v>
      </c>
      <c r="N1032" s="401">
        <v>50</v>
      </c>
      <c r="O1032" s="402">
        <v>1</v>
      </c>
      <c r="P1032" s="401">
        <f t="shared" si="168"/>
        <v>50</v>
      </c>
      <c r="Q1032" s="401"/>
      <c r="R1032" s="400">
        <v>50</v>
      </c>
      <c r="S1032" s="400">
        <f t="shared" si="162"/>
        <v>0</v>
      </c>
      <c r="T1032" s="403">
        <f t="shared" si="163"/>
        <v>960</v>
      </c>
      <c r="U1032" s="399">
        <f t="shared" si="164"/>
        <v>0</v>
      </c>
      <c r="V1032" s="399">
        <f t="shared" si="165"/>
        <v>0</v>
      </c>
      <c r="W1032" s="399">
        <v>0</v>
      </c>
      <c r="X1032" s="55">
        <f t="shared" si="166"/>
        <v>46153.899999999994</v>
      </c>
    </row>
    <row r="1033" spans="1:24" hidden="1" x14ac:dyDescent="0.35">
      <c r="A1033" s="46">
        <f t="shared" si="167"/>
        <v>46153.899999999994</v>
      </c>
      <c r="B1033" s="46"/>
      <c r="C1033" s="46"/>
      <c r="D1033" s="46"/>
      <c r="E1033" s="119" t="s">
        <v>195</v>
      </c>
      <c r="F1033" s="48" t="s">
        <v>1765</v>
      </c>
      <c r="G1033" s="48"/>
      <c r="H1033" s="59" t="s">
        <v>1766</v>
      </c>
      <c r="I1033" s="97" t="s">
        <v>143</v>
      </c>
      <c r="J1033" s="51" t="s">
        <v>140</v>
      </c>
      <c r="K1033" s="52">
        <v>0</v>
      </c>
      <c r="L1033" s="52">
        <v>0</v>
      </c>
      <c r="M1033" s="53">
        <v>100</v>
      </c>
      <c r="N1033" s="54">
        <v>500</v>
      </c>
      <c r="O1033" s="341">
        <v>1</v>
      </c>
      <c r="P1033" s="54">
        <f t="shared" si="168"/>
        <v>500</v>
      </c>
      <c r="Q1033" s="54"/>
      <c r="R1033" s="53">
        <v>500</v>
      </c>
      <c r="S1033" s="53">
        <f t="shared" si="162"/>
        <v>0</v>
      </c>
      <c r="T1033" s="343">
        <f t="shared" si="163"/>
        <v>864</v>
      </c>
      <c r="U1033" s="52">
        <f t="shared" si="164"/>
        <v>0</v>
      </c>
      <c r="V1033" s="52">
        <f t="shared" si="165"/>
        <v>0</v>
      </c>
      <c r="W1033" s="52">
        <v>0</v>
      </c>
      <c r="X1033" s="55">
        <f t="shared" si="166"/>
        <v>46153.899999999994</v>
      </c>
    </row>
    <row r="1034" spans="1:24" hidden="1" x14ac:dyDescent="0.35">
      <c r="A1034" s="46">
        <f t="shared" si="167"/>
        <v>46153.899999999994</v>
      </c>
      <c r="B1034" s="46"/>
      <c r="C1034" s="46"/>
      <c r="D1034" s="46"/>
      <c r="E1034" s="47" t="s">
        <v>249</v>
      </c>
      <c r="F1034" s="48" t="s">
        <v>631</v>
      </c>
      <c r="G1034" s="48"/>
      <c r="H1034" s="59" t="s">
        <v>1767</v>
      </c>
      <c r="I1034" s="97" t="s">
        <v>143</v>
      </c>
      <c r="J1034" s="51" t="s">
        <v>140</v>
      </c>
      <c r="K1034" s="52">
        <v>0</v>
      </c>
      <c r="L1034" s="52">
        <v>0</v>
      </c>
      <c r="M1034" s="53">
        <v>100</v>
      </c>
      <c r="N1034" s="54">
        <v>1000</v>
      </c>
      <c r="O1034" s="341">
        <v>1</v>
      </c>
      <c r="P1034" s="54">
        <f t="shared" si="168"/>
        <v>1000</v>
      </c>
      <c r="Q1034" s="54"/>
      <c r="R1034" s="53">
        <v>1000</v>
      </c>
      <c r="S1034" s="53">
        <f t="shared" si="162"/>
        <v>0</v>
      </c>
      <c r="T1034" s="343">
        <f t="shared" si="163"/>
        <v>864</v>
      </c>
      <c r="U1034" s="52">
        <f t="shared" si="164"/>
        <v>0</v>
      </c>
      <c r="V1034" s="52">
        <f t="shared" si="165"/>
        <v>0</v>
      </c>
      <c r="W1034" s="52">
        <v>0</v>
      </c>
      <c r="X1034" s="55">
        <f t="shared" si="166"/>
        <v>46153.899999999994</v>
      </c>
    </row>
    <row r="1035" spans="1:24" ht="26.5" hidden="1" x14ac:dyDescent="0.35">
      <c r="A1035" s="46">
        <f t="shared" si="167"/>
        <v>46153.899999999994</v>
      </c>
      <c r="B1035" s="46"/>
      <c r="C1035" s="46"/>
      <c r="D1035" s="46"/>
      <c r="E1035" s="119" t="s">
        <v>195</v>
      </c>
      <c r="F1035" s="82" t="s">
        <v>1768</v>
      </c>
      <c r="G1035" s="82"/>
      <c r="H1035" s="98" t="s">
        <v>1769</v>
      </c>
      <c r="I1035" s="82" t="s">
        <v>1377</v>
      </c>
      <c r="J1035" s="51" t="s">
        <v>140</v>
      </c>
      <c r="K1035" s="91">
        <v>0</v>
      </c>
      <c r="L1035" s="91">
        <v>0</v>
      </c>
      <c r="M1035" s="92">
        <v>80</v>
      </c>
      <c r="N1035" s="94">
        <v>1000</v>
      </c>
      <c r="O1035" s="253">
        <v>1</v>
      </c>
      <c r="P1035" s="94">
        <f t="shared" si="168"/>
        <v>1000</v>
      </c>
      <c r="Q1035" s="94"/>
      <c r="R1035" s="92">
        <v>1000</v>
      </c>
      <c r="S1035" s="92">
        <f t="shared" si="162"/>
        <v>0</v>
      </c>
      <c r="T1035" s="254">
        <f t="shared" si="163"/>
        <v>1080</v>
      </c>
      <c r="U1035" s="91">
        <f t="shared" si="164"/>
        <v>0</v>
      </c>
      <c r="V1035" s="91">
        <f t="shared" si="165"/>
        <v>0</v>
      </c>
      <c r="W1035" s="91">
        <v>0</v>
      </c>
      <c r="X1035" s="55">
        <f t="shared" si="166"/>
        <v>46153.899999999994</v>
      </c>
    </row>
    <row r="1036" spans="1:24" hidden="1" x14ac:dyDescent="0.35">
      <c r="A1036" s="46">
        <f t="shared" si="167"/>
        <v>46153.899999999994</v>
      </c>
      <c r="B1036" s="46"/>
      <c r="C1036" s="46"/>
      <c r="D1036" s="46"/>
      <c r="E1036" s="496" t="s">
        <v>195</v>
      </c>
      <c r="F1036" s="297" t="s">
        <v>14</v>
      </c>
      <c r="G1036" s="297"/>
      <c r="H1036" s="349" t="s">
        <v>14</v>
      </c>
      <c r="I1036" s="297" t="s">
        <v>536</v>
      </c>
      <c r="J1036" s="351" t="s">
        <v>140</v>
      </c>
      <c r="K1036" s="352">
        <v>0</v>
      </c>
      <c r="L1036" s="352">
        <v>0</v>
      </c>
      <c r="M1036" s="353">
        <v>120</v>
      </c>
      <c r="N1036" s="354">
        <v>50</v>
      </c>
      <c r="O1036" s="355">
        <v>1</v>
      </c>
      <c r="P1036" s="354">
        <f t="shared" si="168"/>
        <v>50</v>
      </c>
      <c r="Q1036" s="354"/>
      <c r="R1036" s="353">
        <v>50</v>
      </c>
      <c r="S1036" s="353">
        <f t="shared" ref="S1036:S1099" si="169">P1036-R1036</f>
        <v>0</v>
      </c>
      <c r="T1036" s="356">
        <f t="shared" ref="T1036:T1099" si="170">((3600/M1036)*O1036)*24</f>
        <v>720</v>
      </c>
      <c r="U1036" s="352">
        <f t="shared" ref="U1036:U1099" si="171">(P1036-R1036)*M1036/3600</f>
        <v>0</v>
      </c>
      <c r="V1036" s="352">
        <f t="shared" ref="V1036:V1099" si="172">(P1036-R1036)*M1036/3600/24</f>
        <v>0</v>
      </c>
      <c r="W1036" s="352">
        <v>0</v>
      </c>
      <c r="X1036" s="55">
        <f t="shared" ref="X1036:X1099" si="173">A1036+K1036+V1036+W1036+L1036</f>
        <v>46153.899999999994</v>
      </c>
    </row>
    <row r="1037" spans="1:24" hidden="1" x14ac:dyDescent="0.35">
      <c r="A1037" s="46">
        <f t="shared" ref="A1037:A1100" si="174">X1036</f>
        <v>46153.899999999994</v>
      </c>
      <c r="B1037" s="46"/>
      <c r="C1037" s="46"/>
      <c r="D1037" s="46"/>
      <c r="E1037" s="119" t="s">
        <v>195</v>
      </c>
      <c r="F1037" s="82" t="s">
        <v>610</v>
      </c>
      <c r="G1037" s="82"/>
      <c r="H1037" s="98" t="s">
        <v>1770</v>
      </c>
      <c r="I1037" s="82" t="s">
        <v>536</v>
      </c>
      <c r="J1037" s="51" t="s">
        <v>140</v>
      </c>
      <c r="K1037" s="91">
        <v>0</v>
      </c>
      <c r="L1037" s="91">
        <v>0</v>
      </c>
      <c r="M1037" s="92">
        <v>120</v>
      </c>
      <c r="N1037" s="94">
        <v>300</v>
      </c>
      <c r="O1037" s="253">
        <v>1</v>
      </c>
      <c r="P1037" s="94">
        <f t="shared" si="168"/>
        <v>300</v>
      </c>
      <c r="Q1037" s="94"/>
      <c r="R1037" s="92">
        <v>300</v>
      </c>
      <c r="S1037" s="92">
        <f t="shared" si="169"/>
        <v>0</v>
      </c>
      <c r="T1037" s="254">
        <f t="shared" si="170"/>
        <v>720</v>
      </c>
      <c r="U1037" s="91">
        <f t="shared" si="171"/>
        <v>0</v>
      </c>
      <c r="V1037" s="91">
        <f t="shared" si="172"/>
        <v>0</v>
      </c>
      <c r="W1037" s="91">
        <v>0</v>
      </c>
      <c r="X1037" s="55">
        <f t="shared" si="173"/>
        <v>46153.899999999994</v>
      </c>
    </row>
    <row r="1038" spans="1:24" hidden="1" x14ac:dyDescent="0.35">
      <c r="A1038" s="46">
        <f t="shared" si="174"/>
        <v>46153.899999999994</v>
      </c>
      <c r="B1038" s="46"/>
      <c r="C1038" s="46"/>
      <c r="D1038" s="46"/>
      <c r="E1038" s="47" t="s">
        <v>195</v>
      </c>
      <c r="F1038" s="82" t="s">
        <v>633</v>
      </c>
      <c r="G1038" s="82"/>
      <c r="H1038" s="107" t="s">
        <v>1771</v>
      </c>
      <c r="I1038" s="97" t="s">
        <v>1772</v>
      </c>
      <c r="J1038" s="51" t="s">
        <v>140</v>
      </c>
      <c r="K1038" s="91">
        <v>0</v>
      </c>
      <c r="L1038" s="91">
        <v>0</v>
      </c>
      <c r="M1038" s="92">
        <v>100</v>
      </c>
      <c r="N1038" s="94">
        <v>1700</v>
      </c>
      <c r="O1038" s="253">
        <v>1</v>
      </c>
      <c r="P1038" s="94">
        <f t="shared" si="168"/>
        <v>1700</v>
      </c>
      <c r="Q1038" s="94"/>
      <c r="R1038" s="92">
        <v>1700</v>
      </c>
      <c r="S1038" s="92">
        <f t="shared" si="169"/>
        <v>0</v>
      </c>
      <c r="T1038" s="254">
        <f t="shared" si="170"/>
        <v>864</v>
      </c>
      <c r="U1038" s="91">
        <f t="shared" si="171"/>
        <v>0</v>
      </c>
      <c r="V1038" s="91">
        <f t="shared" si="172"/>
        <v>0</v>
      </c>
      <c r="W1038" s="91">
        <v>0</v>
      </c>
      <c r="X1038" s="55">
        <f t="shared" si="173"/>
        <v>46153.899999999994</v>
      </c>
    </row>
    <row r="1039" spans="1:24" hidden="1" x14ac:dyDescent="0.35">
      <c r="A1039" s="46">
        <f t="shared" si="174"/>
        <v>46153.899999999994</v>
      </c>
      <c r="B1039" s="46"/>
      <c r="C1039" s="46"/>
      <c r="D1039" s="46"/>
      <c r="E1039" s="119" t="s">
        <v>195</v>
      </c>
      <c r="F1039" s="82" t="s">
        <v>610</v>
      </c>
      <c r="G1039" s="82"/>
      <c r="H1039" s="98" t="s">
        <v>1770</v>
      </c>
      <c r="I1039" s="82" t="s">
        <v>536</v>
      </c>
      <c r="J1039" s="51" t="s">
        <v>140</v>
      </c>
      <c r="K1039" s="91">
        <v>0</v>
      </c>
      <c r="L1039" s="91">
        <v>0</v>
      </c>
      <c r="M1039" s="92">
        <v>120</v>
      </c>
      <c r="N1039" s="94">
        <v>700</v>
      </c>
      <c r="O1039" s="253">
        <v>1</v>
      </c>
      <c r="P1039" s="94">
        <f t="shared" si="168"/>
        <v>700</v>
      </c>
      <c r="Q1039" s="94"/>
      <c r="R1039" s="92">
        <v>700</v>
      </c>
      <c r="S1039" s="92">
        <f t="shared" si="169"/>
        <v>0</v>
      </c>
      <c r="T1039" s="254">
        <f t="shared" si="170"/>
        <v>720</v>
      </c>
      <c r="U1039" s="91">
        <f t="shared" si="171"/>
        <v>0</v>
      </c>
      <c r="V1039" s="91">
        <f t="shared" si="172"/>
        <v>0</v>
      </c>
      <c r="W1039" s="91">
        <v>0</v>
      </c>
      <c r="X1039" s="55">
        <f t="shared" si="173"/>
        <v>46153.899999999994</v>
      </c>
    </row>
    <row r="1040" spans="1:24" hidden="1" x14ac:dyDescent="0.35">
      <c r="A1040" s="46">
        <f t="shared" si="174"/>
        <v>46153.899999999994</v>
      </c>
      <c r="B1040" s="46"/>
      <c r="C1040" s="46"/>
      <c r="D1040" s="46"/>
      <c r="E1040" s="119" t="s">
        <v>195</v>
      </c>
      <c r="F1040" s="82" t="s">
        <v>610</v>
      </c>
      <c r="G1040" s="82"/>
      <c r="H1040" s="98" t="s">
        <v>1770</v>
      </c>
      <c r="I1040" s="82" t="s">
        <v>536</v>
      </c>
      <c r="J1040" s="51" t="s">
        <v>140</v>
      </c>
      <c r="K1040" s="91">
        <v>0</v>
      </c>
      <c r="L1040" s="91">
        <v>0</v>
      </c>
      <c r="M1040" s="92">
        <v>120</v>
      </c>
      <c r="N1040" s="94">
        <v>800</v>
      </c>
      <c r="O1040" s="253">
        <v>1</v>
      </c>
      <c r="P1040" s="94">
        <f t="shared" ref="P1040:P1103" si="175">N1040/O1040</f>
        <v>800</v>
      </c>
      <c r="Q1040" s="94"/>
      <c r="R1040" s="92">
        <v>800</v>
      </c>
      <c r="S1040" s="92">
        <f t="shared" si="169"/>
        <v>0</v>
      </c>
      <c r="T1040" s="254">
        <f t="shared" si="170"/>
        <v>720</v>
      </c>
      <c r="U1040" s="91">
        <f t="shared" si="171"/>
        <v>0</v>
      </c>
      <c r="V1040" s="91">
        <f t="shared" si="172"/>
        <v>0</v>
      </c>
      <c r="W1040" s="91">
        <v>0</v>
      </c>
      <c r="X1040" s="55">
        <f t="shared" si="173"/>
        <v>46153.899999999994</v>
      </c>
    </row>
    <row r="1041" spans="1:24" hidden="1" x14ac:dyDescent="0.35">
      <c r="A1041" s="46">
        <f t="shared" si="174"/>
        <v>46153.899999999994</v>
      </c>
      <c r="B1041" s="46"/>
      <c r="C1041" s="46"/>
      <c r="D1041" s="46"/>
      <c r="E1041" s="119" t="s">
        <v>195</v>
      </c>
      <c r="F1041" s="82" t="s">
        <v>612</v>
      </c>
      <c r="G1041" s="82"/>
      <c r="H1041" s="98" t="s">
        <v>1773</v>
      </c>
      <c r="I1041" s="82" t="s">
        <v>536</v>
      </c>
      <c r="J1041" s="51" t="s">
        <v>140</v>
      </c>
      <c r="K1041" s="91">
        <v>0</v>
      </c>
      <c r="L1041" s="91">
        <v>0</v>
      </c>
      <c r="M1041" s="92">
        <v>120</v>
      </c>
      <c r="N1041" s="94">
        <v>500</v>
      </c>
      <c r="O1041" s="253">
        <v>1</v>
      </c>
      <c r="P1041" s="94">
        <f t="shared" si="175"/>
        <v>500</v>
      </c>
      <c r="Q1041" s="94"/>
      <c r="R1041" s="92">
        <v>500</v>
      </c>
      <c r="S1041" s="92">
        <f t="shared" si="169"/>
        <v>0</v>
      </c>
      <c r="T1041" s="254">
        <f t="shared" si="170"/>
        <v>720</v>
      </c>
      <c r="U1041" s="91">
        <f t="shared" si="171"/>
        <v>0</v>
      </c>
      <c r="V1041" s="91">
        <f t="shared" si="172"/>
        <v>0</v>
      </c>
      <c r="W1041" s="91">
        <v>0</v>
      </c>
      <c r="X1041" s="55">
        <f t="shared" si="173"/>
        <v>46153.899999999994</v>
      </c>
    </row>
    <row r="1042" spans="1:24" hidden="1" x14ac:dyDescent="0.35">
      <c r="A1042" s="46">
        <f t="shared" si="174"/>
        <v>46153.899999999994</v>
      </c>
      <c r="B1042" s="46"/>
      <c r="C1042" s="46"/>
      <c r="D1042" s="46"/>
      <c r="E1042" s="119" t="s">
        <v>195</v>
      </c>
      <c r="F1042" s="82" t="s">
        <v>1166</v>
      </c>
      <c r="G1042" s="82"/>
      <c r="H1042" s="98" t="s">
        <v>1774</v>
      </c>
      <c r="I1042" s="82" t="s">
        <v>536</v>
      </c>
      <c r="J1042" s="51" t="s">
        <v>140</v>
      </c>
      <c r="K1042" s="91">
        <v>0</v>
      </c>
      <c r="L1042" s="91">
        <v>0</v>
      </c>
      <c r="M1042" s="92">
        <v>120</v>
      </c>
      <c r="N1042" s="94">
        <v>2000</v>
      </c>
      <c r="O1042" s="253">
        <v>1</v>
      </c>
      <c r="P1042" s="94">
        <f t="shared" si="175"/>
        <v>2000</v>
      </c>
      <c r="Q1042" s="94"/>
      <c r="R1042" s="92">
        <v>2000</v>
      </c>
      <c r="S1042" s="92">
        <f t="shared" si="169"/>
        <v>0</v>
      </c>
      <c r="T1042" s="254">
        <f t="shared" si="170"/>
        <v>720</v>
      </c>
      <c r="U1042" s="91">
        <f t="shared" si="171"/>
        <v>0</v>
      </c>
      <c r="V1042" s="91">
        <f t="shared" si="172"/>
        <v>0</v>
      </c>
      <c r="W1042" s="91">
        <v>0</v>
      </c>
      <c r="X1042" s="55">
        <f t="shared" si="173"/>
        <v>46153.899999999994</v>
      </c>
    </row>
    <row r="1043" spans="1:24" hidden="1" x14ac:dyDescent="0.35">
      <c r="A1043" s="46">
        <f t="shared" si="174"/>
        <v>46153.899999999994</v>
      </c>
      <c r="B1043" s="46"/>
      <c r="C1043" s="46"/>
      <c r="D1043" s="46"/>
      <c r="E1043" s="119" t="s">
        <v>195</v>
      </c>
      <c r="F1043" s="82" t="s">
        <v>1517</v>
      </c>
      <c r="G1043" s="82"/>
      <c r="H1043" s="98" t="s">
        <v>1775</v>
      </c>
      <c r="I1043" s="82" t="s">
        <v>536</v>
      </c>
      <c r="J1043" s="51" t="s">
        <v>140</v>
      </c>
      <c r="K1043" s="91">
        <v>0</v>
      </c>
      <c r="L1043" s="91">
        <v>0</v>
      </c>
      <c r="M1043" s="92">
        <v>120</v>
      </c>
      <c r="N1043" s="94">
        <v>300</v>
      </c>
      <c r="O1043" s="253">
        <v>1</v>
      </c>
      <c r="P1043" s="94">
        <f t="shared" si="175"/>
        <v>300</v>
      </c>
      <c r="Q1043" s="94"/>
      <c r="R1043" s="92">
        <v>300</v>
      </c>
      <c r="S1043" s="92">
        <f t="shared" si="169"/>
        <v>0</v>
      </c>
      <c r="T1043" s="254">
        <f t="shared" si="170"/>
        <v>720</v>
      </c>
      <c r="U1043" s="91">
        <f t="shared" si="171"/>
        <v>0</v>
      </c>
      <c r="V1043" s="91">
        <f t="shared" si="172"/>
        <v>0</v>
      </c>
      <c r="W1043" s="91">
        <v>0</v>
      </c>
      <c r="X1043" s="55">
        <f t="shared" si="173"/>
        <v>46153.899999999994</v>
      </c>
    </row>
    <row r="1044" spans="1:24" hidden="1" x14ac:dyDescent="0.35">
      <c r="A1044" s="46">
        <f t="shared" si="174"/>
        <v>46153.899999999994</v>
      </c>
      <c r="B1044" s="46"/>
      <c r="C1044" s="46"/>
      <c r="D1044" s="46"/>
      <c r="E1044" s="47" t="s">
        <v>195</v>
      </c>
      <c r="F1044" s="48" t="s">
        <v>1158</v>
      </c>
      <c r="G1044" s="48"/>
      <c r="H1044" s="59" t="s">
        <v>1776</v>
      </c>
      <c r="I1044" s="97" t="s">
        <v>143</v>
      </c>
      <c r="J1044" s="51" t="s">
        <v>140</v>
      </c>
      <c r="K1044" s="52">
        <v>0</v>
      </c>
      <c r="L1044" s="52">
        <v>0</v>
      </c>
      <c r="M1044" s="53">
        <v>100</v>
      </c>
      <c r="N1044" s="54">
        <v>1000</v>
      </c>
      <c r="O1044" s="341">
        <v>1</v>
      </c>
      <c r="P1044" s="54">
        <f t="shared" si="175"/>
        <v>1000</v>
      </c>
      <c r="Q1044" s="54"/>
      <c r="R1044" s="53">
        <v>1000</v>
      </c>
      <c r="S1044" s="53">
        <f t="shared" si="169"/>
        <v>0</v>
      </c>
      <c r="T1044" s="343">
        <f t="shared" si="170"/>
        <v>864</v>
      </c>
      <c r="U1044" s="52">
        <f t="shared" si="171"/>
        <v>0</v>
      </c>
      <c r="V1044" s="52">
        <f t="shared" si="172"/>
        <v>0</v>
      </c>
      <c r="W1044" s="52">
        <v>0</v>
      </c>
      <c r="X1044" s="55">
        <f t="shared" si="173"/>
        <v>46153.899999999994</v>
      </c>
    </row>
    <row r="1045" spans="1:24" hidden="1" x14ac:dyDescent="0.35">
      <c r="A1045" s="46">
        <f t="shared" si="174"/>
        <v>46153.899999999994</v>
      </c>
      <c r="B1045" s="46"/>
      <c r="C1045" s="46"/>
      <c r="D1045" s="46"/>
      <c r="E1045" s="47" t="s">
        <v>195</v>
      </c>
      <c r="F1045" s="48" t="s">
        <v>1160</v>
      </c>
      <c r="G1045" s="48"/>
      <c r="H1045" s="59" t="s">
        <v>1777</v>
      </c>
      <c r="I1045" s="97" t="s">
        <v>143</v>
      </c>
      <c r="J1045" s="51" t="s">
        <v>283</v>
      </c>
      <c r="K1045" s="52">
        <v>0</v>
      </c>
      <c r="L1045" s="52">
        <v>0</v>
      </c>
      <c r="M1045" s="53">
        <v>100</v>
      </c>
      <c r="N1045" s="54">
        <v>2016</v>
      </c>
      <c r="O1045" s="341">
        <v>1</v>
      </c>
      <c r="P1045" s="54">
        <f t="shared" si="175"/>
        <v>2016</v>
      </c>
      <c r="Q1045" s="54"/>
      <c r="R1045" s="53">
        <v>2016</v>
      </c>
      <c r="S1045" s="53">
        <f t="shared" si="169"/>
        <v>0</v>
      </c>
      <c r="T1045" s="343">
        <f t="shared" si="170"/>
        <v>864</v>
      </c>
      <c r="U1045" s="52">
        <f t="shared" si="171"/>
        <v>0</v>
      </c>
      <c r="V1045" s="52">
        <f t="shared" si="172"/>
        <v>0</v>
      </c>
      <c r="W1045" s="52">
        <v>0</v>
      </c>
      <c r="X1045" s="55">
        <f t="shared" si="173"/>
        <v>46153.899999999994</v>
      </c>
    </row>
    <row r="1046" spans="1:24" hidden="1" x14ac:dyDescent="0.35">
      <c r="A1046" s="46">
        <f t="shared" si="174"/>
        <v>46153.899999999994</v>
      </c>
      <c r="B1046" s="46"/>
      <c r="C1046" s="46"/>
      <c r="D1046" s="46"/>
      <c r="E1046" s="47" t="s">
        <v>195</v>
      </c>
      <c r="F1046" s="82" t="s">
        <v>1517</v>
      </c>
      <c r="G1046" s="82"/>
      <c r="H1046" s="98" t="s">
        <v>1778</v>
      </c>
      <c r="I1046" s="82" t="s">
        <v>457</v>
      </c>
      <c r="J1046" s="100" t="s">
        <v>140</v>
      </c>
      <c r="K1046" s="91">
        <v>0</v>
      </c>
      <c r="L1046" s="91">
        <v>0</v>
      </c>
      <c r="M1046" s="92">
        <v>90</v>
      </c>
      <c r="N1046" s="94">
        <v>1000</v>
      </c>
      <c r="O1046" s="253">
        <v>1</v>
      </c>
      <c r="P1046" s="94">
        <f t="shared" si="175"/>
        <v>1000</v>
      </c>
      <c r="Q1046" s="94"/>
      <c r="R1046" s="92">
        <v>1000</v>
      </c>
      <c r="S1046" s="92">
        <f t="shared" si="169"/>
        <v>0</v>
      </c>
      <c r="T1046" s="173">
        <f t="shared" si="170"/>
        <v>960</v>
      </c>
      <c r="U1046" s="101">
        <f t="shared" si="171"/>
        <v>0</v>
      </c>
      <c r="V1046" s="101">
        <f t="shared" si="172"/>
        <v>0</v>
      </c>
      <c r="W1046" s="101">
        <v>0</v>
      </c>
      <c r="X1046" s="55">
        <f t="shared" si="173"/>
        <v>46153.899999999994</v>
      </c>
    </row>
    <row r="1047" spans="1:24" hidden="1" x14ac:dyDescent="0.35">
      <c r="A1047" s="46">
        <f t="shared" si="174"/>
        <v>46153.899999999994</v>
      </c>
      <c r="B1047" s="46"/>
      <c r="C1047" s="46"/>
      <c r="D1047" s="46"/>
      <c r="E1047" s="119" t="s">
        <v>195</v>
      </c>
      <c r="F1047" s="82" t="s">
        <v>1517</v>
      </c>
      <c r="G1047" s="82"/>
      <c r="H1047" s="98" t="s">
        <v>1775</v>
      </c>
      <c r="I1047" s="82" t="s">
        <v>536</v>
      </c>
      <c r="J1047" s="51" t="s">
        <v>140</v>
      </c>
      <c r="K1047" s="91">
        <v>0</v>
      </c>
      <c r="L1047" s="91">
        <v>0</v>
      </c>
      <c r="M1047" s="92">
        <v>120</v>
      </c>
      <c r="N1047" s="94">
        <v>620</v>
      </c>
      <c r="O1047" s="253">
        <v>1</v>
      </c>
      <c r="P1047" s="94">
        <f t="shared" si="175"/>
        <v>620</v>
      </c>
      <c r="Q1047" s="94"/>
      <c r="R1047" s="92">
        <v>620</v>
      </c>
      <c r="S1047" s="92">
        <f t="shared" si="169"/>
        <v>0</v>
      </c>
      <c r="T1047" s="254">
        <f t="shared" si="170"/>
        <v>720</v>
      </c>
      <c r="U1047" s="91">
        <f t="shared" si="171"/>
        <v>0</v>
      </c>
      <c r="V1047" s="91">
        <f t="shared" si="172"/>
        <v>0</v>
      </c>
      <c r="W1047" s="91">
        <v>0</v>
      </c>
      <c r="X1047" s="55">
        <f t="shared" si="173"/>
        <v>46153.899999999994</v>
      </c>
    </row>
    <row r="1048" spans="1:24" ht="26.5" hidden="1" x14ac:dyDescent="0.35">
      <c r="A1048" s="46">
        <f t="shared" si="174"/>
        <v>46153.899999999994</v>
      </c>
      <c r="B1048" s="46"/>
      <c r="C1048" s="46"/>
      <c r="D1048" s="46"/>
      <c r="E1048" s="119" t="s">
        <v>195</v>
      </c>
      <c r="F1048" s="82" t="s">
        <v>1779</v>
      </c>
      <c r="G1048" s="82"/>
      <c r="H1048" s="98" t="s">
        <v>1780</v>
      </c>
      <c r="I1048" s="82" t="s">
        <v>1377</v>
      </c>
      <c r="J1048" s="51" t="s">
        <v>140</v>
      </c>
      <c r="K1048" s="91">
        <v>0</v>
      </c>
      <c r="L1048" s="91">
        <v>0</v>
      </c>
      <c r="M1048" s="92">
        <v>80</v>
      </c>
      <c r="N1048" s="94">
        <v>1600</v>
      </c>
      <c r="O1048" s="253">
        <v>1</v>
      </c>
      <c r="P1048" s="94">
        <f t="shared" si="175"/>
        <v>1600</v>
      </c>
      <c r="Q1048" s="94"/>
      <c r="R1048" s="92">
        <v>1600</v>
      </c>
      <c r="S1048" s="92">
        <f t="shared" si="169"/>
        <v>0</v>
      </c>
      <c r="T1048" s="254">
        <f t="shared" si="170"/>
        <v>1080</v>
      </c>
      <c r="U1048" s="91">
        <f t="shared" si="171"/>
        <v>0</v>
      </c>
      <c r="V1048" s="91">
        <f t="shared" si="172"/>
        <v>0</v>
      </c>
      <c r="W1048" s="91">
        <v>0</v>
      </c>
      <c r="X1048" s="55">
        <f t="shared" si="173"/>
        <v>46153.899999999994</v>
      </c>
    </row>
    <row r="1049" spans="1:24" ht="26.5" hidden="1" x14ac:dyDescent="0.35">
      <c r="A1049" s="46">
        <f t="shared" si="174"/>
        <v>46153.899999999994</v>
      </c>
      <c r="B1049" s="46"/>
      <c r="C1049" s="46"/>
      <c r="D1049" s="46"/>
      <c r="E1049" s="119" t="s">
        <v>195</v>
      </c>
      <c r="F1049" s="82" t="s">
        <v>1781</v>
      </c>
      <c r="G1049" s="82"/>
      <c r="H1049" s="98" t="s">
        <v>1782</v>
      </c>
      <c r="I1049" s="82" t="s">
        <v>1377</v>
      </c>
      <c r="J1049" s="51" t="s">
        <v>140</v>
      </c>
      <c r="K1049" s="91">
        <v>0</v>
      </c>
      <c r="L1049" s="91">
        <v>0</v>
      </c>
      <c r="M1049" s="92">
        <v>80</v>
      </c>
      <c r="N1049" s="94">
        <v>1500</v>
      </c>
      <c r="O1049" s="253">
        <v>1</v>
      </c>
      <c r="P1049" s="94">
        <f t="shared" si="175"/>
        <v>1500</v>
      </c>
      <c r="Q1049" s="94"/>
      <c r="R1049" s="92">
        <v>1500</v>
      </c>
      <c r="S1049" s="92">
        <f t="shared" si="169"/>
        <v>0</v>
      </c>
      <c r="T1049" s="254">
        <f t="shared" si="170"/>
        <v>1080</v>
      </c>
      <c r="U1049" s="91">
        <f t="shared" si="171"/>
        <v>0</v>
      </c>
      <c r="V1049" s="91">
        <f t="shared" si="172"/>
        <v>0</v>
      </c>
      <c r="W1049" s="91">
        <v>0</v>
      </c>
      <c r="X1049" s="55">
        <f t="shared" si="173"/>
        <v>46153.899999999994</v>
      </c>
    </row>
    <row r="1050" spans="1:24" ht="26.5" hidden="1" x14ac:dyDescent="0.35">
      <c r="A1050" s="46">
        <f t="shared" si="174"/>
        <v>46153.899999999994</v>
      </c>
      <c r="B1050" s="46"/>
      <c r="C1050" s="46"/>
      <c r="D1050" s="46"/>
      <c r="E1050" s="47" t="s">
        <v>195</v>
      </c>
      <c r="F1050" s="82" t="s">
        <v>1783</v>
      </c>
      <c r="G1050" s="82"/>
      <c r="H1050" s="107" t="s">
        <v>1784</v>
      </c>
      <c r="I1050" s="106" t="s">
        <v>236</v>
      </c>
      <c r="J1050" s="100" t="s">
        <v>140</v>
      </c>
      <c r="K1050" s="91">
        <v>0</v>
      </c>
      <c r="L1050" s="91">
        <v>0</v>
      </c>
      <c r="M1050" s="92">
        <v>105</v>
      </c>
      <c r="N1050" s="94">
        <v>150</v>
      </c>
      <c r="O1050" s="253">
        <v>1</v>
      </c>
      <c r="P1050" s="94">
        <f t="shared" si="175"/>
        <v>150</v>
      </c>
      <c r="Q1050" s="94"/>
      <c r="R1050" s="92">
        <v>150</v>
      </c>
      <c r="S1050" s="92">
        <f t="shared" si="169"/>
        <v>0</v>
      </c>
      <c r="T1050" s="173">
        <f t="shared" si="170"/>
        <v>822.85714285714289</v>
      </c>
      <c r="U1050" s="101">
        <f t="shared" si="171"/>
        <v>0</v>
      </c>
      <c r="V1050" s="101">
        <f t="shared" si="172"/>
        <v>0</v>
      </c>
      <c r="W1050" s="101">
        <v>0</v>
      </c>
      <c r="X1050" s="55">
        <f t="shared" si="173"/>
        <v>46153.899999999994</v>
      </c>
    </row>
    <row r="1051" spans="1:24" ht="26.5" hidden="1" x14ac:dyDescent="0.35">
      <c r="A1051" s="46">
        <f t="shared" si="174"/>
        <v>46153.899999999994</v>
      </c>
      <c r="B1051" s="46"/>
      <c r="C1051" s="46"/>
      <c r="D1051" s="46"/>
      <c r="E1051" s="47" t="s">
        <v>195</v>
      </c>
      <c r="F1051" s="82" t="s">
        <v>1783</v>
      </c>
      <c r="G1051" s="82"/>
      <c r="H1051" s="105" t="s">
        <v>1785</v>
      </c>
      <c r="I1051" s="106" t="s">
        <v>751</v>
      </c>
      <c r="J1051" s="100" t="s">
        <v>140</v>
      </c>
      <c r="K1051" s="91">
        <v>0</v>
      </c>
      <c r="L1051" s="91">
        <v>0</v>
      </c>
      <c r="M1051" s="92">
        <v>105</v>
      </c>
      <c r="N1051" s="94">
        <v>150</v>
      </c>
      <c r="O1051" s="253">
        <v>1</v>
      </c>
      <c r="P1051" s="94">
        <f t="shared" si="175"/>
        <v>150</v>
      </c>
      <c r="Q1051" s="94"/>
      <c r="R1051" s="92">
        <v>150</v>
      </c>
      <c r="S1051" s="92">
        <f t="shared" si="169"/>
        <v>0</v>
      </c>
      <c r="T1051" s="173">
        <f t="shared" si="170"/>
        <v>822.85714285714289</v>
      </c>
      <c r="U1051" s="101">
        <f t="shared" si="171"/>
        <v>0</v>
      </c>
      <c r="V1051" s="101">
        <f t="shared" si="172"/>
        <v>0</v>
      </c>
      <c r="W1051" s="101">
        <v>0</v>
      </c>
      <c r="X1051" s="55">
        <f t="shared" si="173"/>
        <v>46153.899999999994</v>
      </c>
    </row>
    <row r="1052" spans="1:24" ht="26.5" hidden="1" x14ac:dyDescent="0.35">
      <c r="A1052" s="46">
        <f t="shared" si="174"/>
        <v>46153.899999999994</v>
      </c>
      <c r="B1052" s="46"/>
      <c r="C1052" s="46"/>
      <c r="D1052" s="46"/>
      <c r="E1052" s="47" t="s">
        <v>195</v>
      </c>
      <c r="F1052" s="82" t="s">
        <v>1783</v>
      </c>
      <c r="G1052" s="82"/>
      <c r="H1052" s="105" t="s">
        <v>1786</v>
      </c>
      <c r="I1052" s="106" t="s">
        <v>238</v>
      </c>
      <c r="J1052" s="100" t="s">
        <v>140</v>
      </c>
      <c r="K1052" s="91">
        <v>0</v>
      </c>
      <c r="L1052" s="91">
        <v>0</v>
      </c>
      <c r="M1052" s="92">
        <v>105</v>
      </c>
      <c r="N1052" s="94">
        <v>250</v>
      </c>
      <c r="O1052" s="253">
        <v>1</v>
      </c>
      <c r="P1052" s="94">
        <f t="shared" si="175"/>
        <v>250</v>
      </c>
      <c r="Q1052" s="94"/>
      <c r="R1052" s="92">
        <v>250</v>
      </c>
      <c r="S1052" s="92">
        <f t="shared" si="169"/>
        <v>0</v>
      </c>
      <c r="T1052" s="173">
        <f t="shared" si="170"/>
        <v>822.85714285714289</v>
      </c>
      <c r="U1052" s="101">
        <f t="shared" si="171"/>
        <v>0</v>
      </c>
      <c r="V1052" s="101">
        <f t="shared" si="172"/>
        <v>0</v>
      </c>
      <c r="W1052" s="101">
        <v>0</v>
      </c>
      <c r="X1052" s="55">
        <f t="shared" si="173"/>
        <v>46153.899999999994</v>
      </c>
    </row>
    <row r="1053" spans="1:24" ht="26.5" hidden="1" x14ac:dyDescent="0.35">
      <c r="A1053" s="46">
        <f t="shared" si="174"/>
        <v>46153.899999999994</v>
      </c>
      <c r="B1053" s="46"/>
      <c r="C1053" s="46"/>
      <c r="D1053" s="46"/>
      <c r="E1053" s="47" t="s">
        <v>195</v>
      </c>
      <c r="F1053" s="82" t="s">
        <v>1783</v>
      </c>
      <c r="G1053" s="82"/>
      <c r="H1053" s="105" t="s">
        <v>1787</v>
      </c>
      <c r="I1053" s="106" t="s">
        <v>234</v>
      </c>
      <c r="J1053" s="100" t="s">
        <v>140</v>
      </c>
      <c r="K1053" s="91">
        <v>0</v>
      </c>
      <c r="L1053" s="91">
        <v>0</v>
      </c>
      <c r="M1053" s="92">
        <v>105</v>
      </c>
      <c r="N1053" s="94">
        <v>250</v>
      </c>
      <c r="O1053" s="253">
        <v>1</v>
      </c>
      <c r="P1053" s="94">
        <f t="shared" si="175"/>
        <v>250</v>
      </c>
      <c r="Q1053" s="94"/>
      <c r="R1053" s="92">
        <v>250</v>
      </c>
      <c r="S1053" s="92">
        <f t="shared" si="169"/>
        <v>0</v>
      </c>
      <c r="T1053" s="173">
        <f t="shared" si="170"/>
        <v>822.85714285714289</v>
      </c>
      <c r="U1053" s="101">
        <f t="shared" si="171"/>
        <v>0</v>
      </c>
      <c r="V1053" s="101">
        <f t="shared" si="172"/>
        <v>0</v>
      </c>
      <c r="W1053" s="101">
        <v>0</v>
      </c>
      <c r="X1053" s="55">
        <f t="shared" si="173"/>
        <v>46153.899999999994</v>
      </c>
    </row>
    <row r="1054" spans="1:24" hidden="1" x14ac:dyDescent="0.35">
      <c r="A1054" s="46">
        <f t="shared" si="174"/>
        <v>46153.899999999994</v>
      </c>
      <c r="B1054" s="46"/>
      <c r="C1054" s="46"/>
      <c r="D1054" s="46"/>
      <c r="E1054" s="47" t="s">
        <v>195</v>
      </c>
      <c r="F1054" s="48" t="s">
        <v>1788</v>
      </c>
      <c r="G1054" s="48"/>
      <c r="H1054" s="59" t="s">
        <v>1789</v>
      </c>
      <c r="I1054" s="97" t="s">
        <v>1562</v>
      </c>
      <c r="J1054" s="51" t="s">
        <v>283</v>
      </c>
      <c r="K1054" s="52">
        <v>0</v>
      </c>
      <c r="L1054" s="52">
        <v>0</v>
      </c>
      <c r="M1054" s="53">
        <v>100</v>
      </c>
      <c r="N1054" s="54">
        <v>1000</v>
      </c>
      <c r="O1054" s="341">
        <v>1</v>
      </c>
      <c r="P1054" s="54">
        <f t="shared" si="175"/>
        <v>1000</v>
      </c>
      <c r="Q1054" s="54"/>
      <c r="R1054" s="53">
        <v>1000</v>
      </c>
      <c r="S1054" s="53">
        <f t="shared" si="169"/>
        <v>0</v>
      </c>
      <c r="T1054" s="343">
        <f t="shared" si="170"/>
        <v>864</v>
      </c>
      <c r="U1054" s="52">
        <f t="shared" si="171"/>
        <v>0</v>
      </c>
      <c r="V1054" s="52">
        <f t="shared" si="172"/>
        <v>0</v>
      </c>
      <c r="W1054" s="52">
        <v>0</v>
      </c>
      <c r="X1054" s="55">
        <f t="shared" si="173"/>
        <v>46153.899999999994</v>
      </c>
    </row>
    <row r="1055" spans="1:24" hidden="1" x14ac:dyDescent="0.35">
      <c r="A1055" s="46">
        <f t="shared" si="174"/>
        <v>46153.899999999994</v>
      </c>
      <c r="B1055" s="46"/>
      <c r="C1055" s="46"/>
      <c r="D1055" s="46"/>
      <c r="E1055" s="47" t="s">
        <v>195</v>
      </c>
      <c r="F1055" s="82" t="s">
        <v>1790</v>
      </c>
      <c r="G1055" s="82"/>
      <c r="H1055" s="59" t="s">
        <v>1791</v>
      </c>
      <c r="I1055" s="97" t="s">
        <v>1562</v>
      </c>
      <c r="J1055" s="51" t="s">
        <v>140</v>
      </c>
      <c r="K1055" s="52">
        <v>0</v>
      </c>
      <c r="L1055" s="52">
        <v>0</v>
      </c>
      <c r="M1055" s="53">
        <v>100</v>
      </c>
      <c r="N1055" s="54">
        <v>2000</v>
      </c>
      <c r="O1055" s="341">
        <v>1</v>
      </c>
      <c r="P1055" s="54">
        <f t="shared" si="175"/>
        <v>2000</v>
      </c>
      <c r="Q1055" s="54"/>
      <c r="R1055" s="53">
        <v>2000</v>
      </c>
      <c r="S1055" s="53">
        <f t="shared" si="169"/>
        <v>0</v>
      </c>
      <c r="T1055" s="343">
        <f t="shared" si="170"/>
        <v>864</v>
      </c>
      <c r="U1055" s="52">
        <f t="shared" si="171"/>
        <v>0</v>
      </c>
      <c r="V1055" s="52">
        <f t="shared" si="172"/>
        <v>0</v>
      </c>
      <c r="W1055" s="52">
        <v>0</v>
      </c>
      <c r="X1055" s="55">
        <f t="shared" si="173"/>
        <v>46153.899999999994</v>
      </c>
    </row>
    <row r="1056" spans="1:24" hidden="1" x14ac:dyDescent="0.35">
      <c r="A1056" s="46">
        <f t="shared" si="174"/>
        <v>46153.899999999994</v>
      </c>
      <c r="B1056" s="46"/>
      <c r="C1056" s="46"/>
      <c r="D1056" s="46"/>
      <c r="E1056" s="47" t="s">
        <v>195</v>
      </c>
      <c r="F1056" s="48" t="s">
        <v>633</v>
      </c>
      <c r="G1056" s="48"/>
      <c r="H1056" s="59" t="s">
        <v>1792</v>
      </c>
      <c r="I1056" s="97" t="s">
        <v>1562</v>
      </c>
      <c r="J1056" s="51" t="s">
        <v>283</v>
      </c>
      <c r="K1056" s="52">
        <v>0</v>
      </c>
      <c r="L1056" s="52">
        <v>0</v>
      </c>
      <c r="M1056" s="53">
        <v>100</v>
      </c>
      <c r="N1056" s="54">
        <v>2520</v>
      </c>
      <c r="O1056" s="341">
        <v>1</v>
      </c>
      <c r="P1056" s="54">
        <f t="shared" si="175"/>
        <v>2520</v>
      </c>
      <c r="Q1056" s="54"/>
      <c r="R1056" s="53">
        <v>2520</v>
      </c>
      <c r="S1056" s="53">
        <f t="shared" si="169"/>
        <v>0</v>
      </c>
      <c r="T1056" s="343">
        <f t="shared" si="170"/>
        <v>864</v>
      </c>
      <c r="U1056" s="52">
        <f t="shared" si="171"/>
        <v>0</v>
      </c>
      <c r="V1056" s="52">
        <f t="shared" si="172"/>
        <v>0</v>
      </c>
      <c r="W1056" s="52">
        <v>0</v>
      </c>
      <c r="X1056" s="55">
        <f t="shared" si="173"/>
        <v>46153.899999999994</v>
      </c>
    </row>
    <row r="1057" spans="1:24" hidden="1" x14ac:dyDescent="0.35">
      <c r="A1057" s="46">
        <f t="shared" si="174"/>
        <v>46153.899999999994</v>
      </c>
      <c r="B1057" s="46"/>
      <c r="C1057" s="46"/>
      <c r="D1057" s="46"/>
      <c r="E1057" s="47" t="s">
        <v>195</v>
      </c>
      <c r="F1057" s="82" t="s">
        <v>1790</v>
      </c>
      <c r="G1057" s="82"/>
      <c r="H1057" s="59" t="s">
        <v>1793</v>
      </c>
      <c r="I1057" s="97" t="s">
        <v>1562</v>
      </c>
      <c r="J1057" s="51" t="s">
        <v>140</v>
      </c>
      <c r="K1057" s="52">
        <v>0</v>
      </c>
      <c r="L1057" s="52">
        <v>0</v>
      </c>
      <c r="M1057" s="53">
        <v>100</v>
      </c>
      <c r="N1057" s="54">
        <v>3437</v>
      </c>
      <c r="O1057" s="341">
        <v>1</v>
      </c>
      <c r="P1057" s="54">
        <f t="shared" si="175"/>
        <v>3437</v>
      </c>
      <c r="Q1057" s="54"/>
      <c r="R1057" s="53">
        <v>3437</v>
      </c>
      <c r="S1057" s="53">
        <f t="shared" si="169"/>
        <v>0</v>
      </c>
      <c r="T1057" s="343">
        <f t="shared" si="170"/>
        <v>864</v>
      </c>
      <c r="U1057" s="52">
        <f t="shared" si="171"/>
        <v>0</v>
      </c>
      <c r="V1057" s="52">
        <f t="shared" si="172"/>
        <v>0</v>
      </c>
      <c r="W1057" s="52">
        <v>0</v>
      </c>
      <c r="X1057" s="55">
        <f t="shared" si="173"/>
        <v>46153.899999999994</v>
      </c>
    </row>
    <row r="1058" spans="1:24" hidden="1" x14ac:dyDescent="0.35">
      <c r="A1058" s="46">
        <f t="shared" si="174"/>
        <v>46153.899999999994</v>
      </c>
      <c r="B1058" s="46"/>
      <c r="C1058" s="46"/>
      <c r="D1058" s="46"/>
      <c r="E1058" s="47" t="s">
        <v>195</v>
      </c>
      <c r="F1058" s="82" t="s">
        <v>1794</v>
      </c>
      <c r="G1058" s="82"/>
      <c r="H1058" s="59" t="s">
        <v>1795</v>
      </c>
      <c r="I1058" s="97" t="s">
        <v>1562</v>
      </c>
      <c r="J1058" s="51" t="s">
        <v>283</v>
      </c>
      <c r="K1058" s="52">
        <v>0</v>
      </c>
      <c r="L1058" s="52">
        <v>0</v>
      </c>
      <c r="M1058" s="53">
        <v>100</v>
      </c>
      <c r="N1058" s="54">
        <v>2250</v>
      </c>
      <c r="O1058" s="341">
        <v>1</v>
      </c>
      <c r="P1058" s="54">
        <f t="shared" si="175"/>
        <v>2250</v>
      </c>
      <c r="Q1058" s="54"/>
      <c r="R1058" s="53">
        <v>2250</v>
      </c>
      <c r="S1058" s="53">
        <f t="shared" si="169"/>
        <v>0</v>
      </c>
      <c r="T1058" s="343">
        <f t="shared" si="170"/>
        <v>864</v>
      </c>
      <c r="U1058" s="52">
        <f t="shared" si="171"/>
        <v>0</v>
      </c>
      <c r="V1058" s="52">
        <f t="shared" si="172"/>
        <v>0</v>
      </c>
      <c r="W1058" s="52">
        <v>0</v>
      </c>
      <c r="X1058" s="55">
        <f t="shared" si="173"/>
        <v>46153.899999999994</v>
      </c>
    </row>
    <row r="1059" spans="1:24" hidden="1" x14ac:dyDescent="0.35">
      <c r="A1059" s="46">
        <f t="shared" si="174"/>
        <v>46153.899999999994</v>
      </c>
      <c r="B1059" s="46"/>
      <c r="C1059" s="46"/>
      <c r="D1059" s="46"/>
      <c r="E1059" s="47" t="s">
        <v>195</v>
      </c>
      <c r="F1059" s="82" t="s">
        <v>1794</v>
      </c>
      <c r="G1059" s="82"/>
      <c r="H1059" s="59" t="s">
        <v>1795</v>
      </c>
      <c r="I1059" s="97" t="s">
        <v>1562</v>
      </c>
      <c r="J1059" s="51" t="s">
        <v>283</v>
      </c>
      <c r="K1059" s="52">
        <v>0</v>
      </c>
      <c r="L1059" s="52">
        <v>0</v>
      </c>
      <c r="M1059" s="53">
        <v>100</v>
      </c>
      <c r="N1059" s="54">
        <v>2250</v>
      </c>
      <c r="O1059" s="341">
        <v>1</v>
      </c>
      <c r="P1059" s="54">
        <f t="shared" si="175"/>
        <v>2250</v>
      </c>
      <c r="Q1059" s="54"/>
      <c r="R1059" s="53">
        <v>2250</v>
      </c>
      <c r="S1059" s="53">
        <f t="shared" si="169"/>
        <v>0</v>
      </c>
      <c r="T1059" s="343">
        <f t="shared" si="170"/>
        <v>864</v>
      </c>
      <c r="U1059" s="52">
        <f t="shared" si="171"/>
        <v>0</v>
      </c>
      <c r="V1059" s="52">
        <f t="shared" si="172"/>
        <v>0</v>
      </c>
      <c r="W1059" s="52">
        <v>0</v>
      </c>
      <c r="X1059" s="55">
        <f t="shared" si="173"/>
        <v>46153.899999999994</v>
      </c>
    </row>
    <row r="1060" spans="1:24" hidden="1" x14ac:dyDescent="0.35">
      <c r="A1060" s="46">
        <f t="shared" si="174"/>
        <v>46153.899999999994</v>
      </c>
      <c r="B1060" s="46"/>
      <c r="C1060" s="46"/>
      <c r="D1060" s="46"/>
      <c r="E1060" s="47" t="s">
        <v>195</v>
      </c>
      <c r="F1060" s="82" t="s">
        <v>1794</v>
      </c>
      <c r="G1060" s="82"/>
      <c r="H1060" s="59" t="s">
        <v>1795</v>
      </c>
      <c r="I1060" s="97" t="s">
        <v>1562</v>
      </c>
      <c r="J1060" s="51" t="s">
        <v>283</v>
      </c>
      <c r="K1060" s="52">
        <v>0</v>
      </c>
      <c r="L1060" s="52">
        <v>0</v>
      </c>
      <c r="M1060" s="53">
        <v>100</v>
      </c>
      <c r="N1060" s="54">
        <v>2250</v>
      </c>
      <c r="O1060" s="341">
        <v>1</v>
      </c>
      <c r="P1060" s="54">
        <f t="shared" si="175"/>
        <v>2250</v>
      </c>
      <c r="Q1060" s="54"/>
      <c r="R1060" s="53">
        <v>2250</v>
      </c>
      <c r="S1060" s="53">
        <f t="shared" si="169"/>
        <v>0</v>
      </c>
      <c r="T1060" s="343">
        <f t="shared" si="170"/>
        <v>864</v>
      </c>
      <c r="U1060" s="52">
        <f t="shared" si="171"/>
        <v>0</v>
      </c>
      <c r="V1060" s="52">
        <f t="shared" si="172"/>
        <v>0</v>
      </c>
      <c r="W1060" s="52">
        <v>0</v>
      </c>
      <c r="X1060" s="55">
        <f t="shared" si="173"/>
        <v>46153.899999999994</v>
      </c>
    </row>
    <row r="1061" spans="1:24" hidden="1" x14ac:dyDescent="0.35">
      <c r="A1061" s="46">
        <f t="shared" si="174"/>
        <v>46153.899999999994</v>
      </c>
      <c r="B1061" s="46"/>
      <c r="C1061" s="46"/>
      <c r="D1061" s="46"/>
      <c r="E1061" s="47" t="s">
        <v>249</v>
      </c>
      <c r="F1061" s="99" t="s">
        <v>1549</v>
      </c>
      <c r="G1061" s="99"/>
      <c r="H1061" s="98" t="s">
        <v>1796</v>
      </c>
      <c r="I1061" s="82" t="s">
        <v>536</v>
      </c>
      <c r="J1061" s="51" t="s">
        <v>140</v>
      </c>
      <c r="K1061" s="91">
        <v>0</v>
      </c>
      <c r="L1061" s="91">
        <v>0</v>
      </c>
      <c r="M1061" s="92">
        <v>120</v>
      </c>
      <c r="N1061" s="94">
        <v>1500</v>
      </c>
      <c r="O1061" s="253">
        <v>1</v>
      </c>
      <c r="P1061" s="94">
        <f t="shared" si="175"/>
        <v>1500</v>
      </c>
      <c r="Q1061" s="94"/>
      <c r="R1061" s="92">
        <v>1500</v>
      </c>
      <c r="S1061" s="92">
        <f t="shared" si="169"/>
        <v>0</v>
      </c>
      <c r="T1061" s="254">
        <f t="shared" si="170"/>
        <v>720</v>
      </c>
      <c r="U1061" s="91">
        <f t="shared" si="171"/>
        <v>0</v>
      </c>
      <c r="V1061" s="91">
        <f t="shared" si="172"/>
        <v>0</v>
      </c>
      <c r="W1061" s="91">
        <v>0</v>
      </c>
      <c r="X1061" s="55">
        <f t="shared" si="173"/>
        <v>46153.899999999994</v>
      </c>
    </row>
    <row r="1062" spans="1:24" hidden="1" x14ac:dyDescent="0.35">
      <c r="A1062" s="46">
        <f t="shared" si="174"/>
        <v>46153.899999999994</v>
      </c>
      <c r="B1062" s="46"/>
      <c r="C1062" s="46"/>
      <c r="D1062" s="46"/>
      <c r="E1062" s="47" t="s">
        <v>249</v>
      </c>
      <c r="F1062" s="99" t="s">
        <v>1211</v>
      </c>
      <c r="G1062" s="99"/>
      <c r="H1062" s="98" t="s">
        <v>1797</v>
      </c>
      <c r="I1062" s="82" t="s">
        <v>536</v>
      </c>
      <c r="J1062" s="51" t="s">
        <v>140</v>
      </c>
      <c r="K1062" s="91">
        <v>0</v>
      </c>
      <c r="L1062" s="91">
        <v>0</v>
      </c>
      <c r="M1062" s="92">
        <v>120</v>
      </c>
      <c r="N1062" s="94">
        <v>1200</v>
      </c>
      <c r="O1062" s="253">
        <v>1</v>
      </c>
      <c r="P1062" s="94">
        <f t="shared" si="175"/>
        <v>1200</v>
      </c>
      <c r="Q1062" s="94"/>
      <c r="R1062" s="92">
        <v>1200</v>
      </c>
      <c r="S1062" s="92">
        <f t="shared" si="169"/>
        <v>0</v>
      </c>
      <c r="T1062" s="254">
        <f t="shared" si="170"/>
        <v>720</v>
      </c>
      <c r="U1062" s="91">
        <f t="shared" si="171"/>
        <v>0</v>
      </c>
      <c r="V1062" s="91">
        <f t="shared" si="172"/>
        <v>0</v>
      </c>
      <c r="W1062" s="91">
        <v>0</v>
      </c>
      <c r="X1062" s="55">
        <f t="shared" si="173"/>
        <v>46153.899999999994</v>
      </c>
    </row>
    <row r="1063" spans="1:24" ht="26" hidden="1" x14ac:dyDescent="0.35">
      <c r="A1063" s="46">
        <f t="shared" si="174"/>
        <v>46153.899999999994</v>
      </c>
      <c r="B1063" s="431"/>
      <c r="C1063" s="431"/>
      <c r="D1063" s="431"/>
      <c r="E1063" s="432" t="s">
        <v>249</v>
      </c>
      <c r="F1063" s="433" t="s">
        <v>1798</v>
      </c>
      <c r="G1063" s="433"/>
      <c r="H1063" s="434" t="s">
        <v>1799</v>
      </c>
      <c r="I1063" s="435" t="s">
        <v>1470</v>
      </c>
      <c r="J1063" s="436" t="s">
        <v>140</v>
      </c>
      <c r="K1063" s="437">
        <v>0</v>
      </c>
      <c r="L1063" s="437">
        <v>0</v>
      </c>
      <c r="M1063" s="438">
        <v>80</v>
      </c>
      <c r="N1063" s="439">
        <v>2000</v>
      </c>
      <c r="O1063" s="440">
        <v>1</v>
      </c>
      <c r="P1063" s="94">
        <f t="shared" si="175"/>
        <v>2000</v>
      </c>
      <c r="Q1063" s="439"/>
      <c r="R1063" s="438">
        <v>2000</v>
      </c>
      <c r="S1063" s="92">
        <f t="shared" si="169"/>
        <v>0</v>
      </c>
      <c r="T1063" s="441">
        <f t="shared" si="170"/>
        <v>1080</v>
      </c>
      <c r="U1063" s="437">
        <f t="shared" si="171"/>
        <v>0</v>
      </c>
      <c r="V1063" s="437">
        <f t="shared" si="172"/>
        <v>0</v>
      </c>
      <c r="W1063" s="437">
        <v>0</v>
      </c>
      <c r="X1063" s="55">
        <f t="shared" si="173"/>
        <v>46153.899999999994</v>
      </c>
    </row>
    <row r="1064" spans="1:24" ht="26.5" hidden="1" x14ac:dyDescent="0.35">
      <c r="A1064" s="46">
        <f t="shared" si="174"/>
        <v>46153.899999999994</v>
      </c>
      <c r="B1064" s="431"/>
      <c r="C1064" s="431"/>
      <c r="D1064" s="431"/>
      <c r="E1064" s="432" t="s">
        <v>249</v>
      </c>
      <c r="F1064" s="433" t="s">
        <v>1084</v>
      </c>
      <c r="G1064" s="433"/>
      <c r="H1064" s="434" t="s">
        <v>1800</v>
      </c>
      <c r="I1064" s="435" t="s">
        <v>1470</v>
      </c>
      <c r="J1064" s="436" t="s">
        <v>140</v>
      </c>
      <c r="K1064" s="437">
        <v>0</v>
      </c>
      <c r="L1064" s="437">
        <v>0</v>
      </c>
      <c r="M1064" s="438">
        <v>80</v>
      </c>
      <c r="N1064" s="439">
        <v>940</v>
      </c>
      <c r="O1064" s="440">
        <v>1</v>
      </c>
      <c r="P1064" s="94">
        <f t="shared" si="175"/>
        <v>940</v>
      </c>
      <c r="Q1064" s="439"/>
      <c r="R1064" s="438">
        <v>940</v>
      </c>
      <c r="S1064" s="92">
        <f t="shared" si="169"/>
        <v>0</v>
      </c>
      <c r="T1064" s="441">
        <f t="shared" si="170"/>
        <v>1080</v>
      </c>
      <c r="U1064" s="437">
        <f t="shared" si="171"/>
        <v>0</v>
      </c>
      <c r="V1064" s="437">
        <f t="shared" si="172"/>
        <v>0</v>
      </c>
      <c r="W1064" s="437">
        <v>0</v>
      </c>
      <c r="X1064" s="55">
        <f t="shared" si="173"/>
        <v>46153.899999999994</v>
      </c>
    </row>
    <row r="1065" spans="1:24" hidden="1" x14ac:dyDescent="0.35">
      <c r="A1065" s="46">
        <f t="shared" si="174"/>
        <v>46153.899999999994</v>
      </c>
      <c r="B1065" s="46"/>
      <c r="C1065" s="46"/>
      <c r="D1065" s="46"/>
      <c r="E1065" s="47" t="s">
        <v>249</v>
      </c>
      <c r="F1065" s="452" t="s">
        <v>1801</v>
      </c>
      <c r="G1065" s="452"/>
      <c r="H1065" s="452">
        <v>11708</v>
      </c>
      <c r="I1065" s="104" t="s">
        <v>1627</v>
      </c>
      <c r="J1065" s="51" t="s">
        <v>140</v>
      </c>
      <c r="K1065" s="91">
        <v>0</v>
      </c>
      <c r="L1065" s="91">
        <v>0</v>
      </c>
      <c r="M1065" s="92">
        <v>60</v>
      </c>
      <c r="N1065" s="94">
        <v>2000</v>
      </c>
      <c r="O1065" s="253">
        <v>1</v>
      </c>
      <c r="P1065" s="94">
        <f t="shared" si="175"/>
        <v>2000</v>
      </c>
      <c r="Q1065" s="94"/>
      <c r="R1065" s="92">
        <v>2000</v>
      </c>
      <c r="S1065" s="92">
        <f t="shared" si="169"/>
        <v>0</v>
      </c>
      <c r="T1065" s="254">
        <f t="shared" si="170"/>
        <v>1440</v>
      </c>
      <c r="U1065" s="91">
        <f t="shared" si="171"/>
        <v>0</v>
      </c>
      <c r="V1065" s="91">
        <f t="shared" si="172"/>
        <v>0</v>
      </c>
      <c r="W1065" s="91">
        <v>0</v>
      </c>
      <c r="X1065" s="55">
        <f t="shared" si="173"/>
        <v>46153.899999999994</v>
      </c>
    </row>
    <row r="1066" spans="1:24" ht="26.5" hidden="1" x14ac:dyDescent="0.35">
      <c r="A1066" s="46">
        <f t="shared" si="174"/>
        <v>46153.899999999994</v>
      </c>
      <c r="B1066" s="46"/>
      <c r="C1066" s="46"/>
      <c r="D1066" s="46"/>
      <c r="E1066" s="47" t="s">
        <v>1563</v>
      </c>
      <c r="F1066" s="82" t="s">
        <v>693</v>
      </c>
      <c r="G1066" s="82"/>
      <c r="H1066" s="107" t="s">
        <v>1802</v>
      </c>
      <c r="I1066" s="82" t="s">
        <v>1573</v>
      </c>
      <c r="J1066" s="100" t="s">
        <v>140</v>
      </c>
      <c r="K1066" s="91">
        <v>0</v>
      </c>
      <c r="L1066" s="91">
        <v>0</v>
      </c>
      <c r="M1066" s="92">
        <v>100</v>
      </c>
      <c r="N1066" s="94">
        <v>600</v>
      </c>
      <c r="O1066" s="253">
        <v>1</v>
      </c>
      <c r="P1066" s="94">
        <f t="shared" si="175"/>
        <v>600</v>
      </c>
      <c r="Q1066" s="94"/>
      <c r="R1066" s="92">
        <v>600</v>
      </c>
      <c r="S1066" s="92">
        <f t="shared" si="169"/>
        <v>0</v>
      </c>
      <c r="T1066" s="173">
        <f t="shared" si="170"/>
        <v>864</v>
      </c>
      <c r="U1066" s="101">
        <f t="shared" si="171"/>
        <v>0</v>
      </c>
      <c r="V1066" s="101">
        <f t="shared" si="172"/>
        <v>0</v>
      </c>
      <c r="W1066" s="101">
        <v>0</v>
      </c>
      <c r="X1066" s="55">
        <f t="shared" si="173"/>
        <v>46153.899999999994</v>
      </c>
    </row>
    <row r="1067" spans="1:24" hidden="1" x14ac:dyDescent="0.35">
      <c r="A1067" s="46">
        <f t="shared" si="174"/>
        <v>46153.899999999994</v>
      </c>
      <c r="B1067" s="46"/>
      <c r="C1067" s="46"/>
      <c r="D1067" s="46"/>
      <c r="E1067" s="47" t="s">
        <v>1563</v>
      </c>
      <c r="F1067" s="82" t="s">
        <v>1564</v>
      </c>
      <c r="G1067" s="82"/>
      <c r="H1067" s="452">
        <v>11714</v>
      </c>
      <c r="I1067" s="82" t="s">
        <v>1803</v>
      </c>
      <c r="J1067" s="100" t="s">
        <v>140</v>
      </c>
      <c r="K1067" s="91">
        <v>0</v>
      </c>
      <c r="L1067" s="91">
        <v>0</v>
      </c>
      <c r="M1067" s="92">
        <v>60</v>
      </c>
      <c r="N1067" s="94">
        <v>1670</v>
      </c>
      <c r="O1067" s="253">
        <v>1</v>
      </c>
      <c r="P1067" s="94">
        <f t="shared" si="175"/>
        <v>1670</v>
      </c>
      <c r="Q1067" s="94"/>
      <c r="R1067" s="92">
        <v>1670</v>
      </c>
      <c r="S1067" s="92">
        <f t="shared" si="169"/>
        <v>0</v>
      </c>
      <c r="T1067" s="173">
        <f t="shared" si="170"/>
        <v>1440</v>
      </c>
      <c r="U1067" s="101">
        <f t="shared" si="171"/>
        <v>0</v>
      </c>
      <c r="V1067" s="101">
        <f t="shared" si="172"/>
        <v>0</v>
      </c>
      <c r="W1067" s="101">
        <v>0</v>
      </c>
      <c r="X1067" s="55">
        <f t="shared" si="173"/>
        <v>46153.899999999994</v>
      </c>
    </row>
    <row r="1068" spans="1:24" ht="26.5" hidden="1" x14ac:dyDescent="0.35">
      <c r="A1068" s="46">
        <f t="shared" si="174"/>
        <v>46153.899999999994</v>
      </c>
      <c r="B1068" s="431"/>
      <c r="C1068" s="431"/>
      <c r="D1068" s="431"/>
      <c r="E1068" s="432" t="s">
        <v>249</v>
      </c>
      <c r="F1068" s="433" t="s">
        <v>1084</v>
      </c>
      <c r="G1068" s="433"/>
      <c r="H1068" s="434" t="s">
        <v>1800</v>
      </c>
      <c r="I1068" s="435" t="s">
        <v>1470</v>
      </c>
      <c r="J1068" s="436" t="s">
        <v>140</v>
      </c>
      <c r="K1068" s="437">
        <v>0</v>
      </c>
      <c r="L1068" s="437">
        <v>0</v>
      </c>
      <c r="M1068" s="438">
        <v>80</v>
      </c>
      <c r="N1068" s="439">
        <v>1060</v>
      </c>
      <c r="O1068" s="440">
        <v>1</v>
      </c>
      <c r="P1068" s="94">
        <f t="shared" si="175"/>
        <v>1060</v>
      </c>
      <c r="Q1068" s="439"/>
      <c r="R1068" s="438">
        <v>1060</v>
      </c>
      <c r="S1068" s="92">
        <f t="shared" si="169"/>
        <v>0</v>
      </c>
      <c r="T1068" s="441">
        <f t="shared" si="170"/>
        <v>1080</v>
      </c>
      <c r="U1068" s="437">
        <f t="shared" si="171"/>
        <v>0</v>
      </c>
      <c r="V1068" s="437">
        <f t="shared" si="172"/>
        <v>0</v>
      </c>
      <c r="W1068" s="437">
        <v>0</v>
      </c>
      <c r="X1068" s="55">
        <f t="shared" si="173"/>
        <v>46153.899999999994</v>
      </c>
    </row>
    <row r="1069" spans="1:24" hidden="1" x14ac:dyDescent="0.35">
      <c r="A1069" s="46">
        <f t="shared" si="174"/>
        <v>46153.899999999994</v>
      </c>
      <c r="B1069" s="46"/>
      <c r="C1069" s="46"/>
      <c r="D1069" s="46"/>
      <c r="E1069" s="47" t="s">
        <v>249</v>
      </c>
      <c r="F1069" s="316" t="s">
        <v>1804</v>
      </c>
      <c r="G1069" s="316"/>
      <c r="H1069" s="98" t="s">
        <v>1805</v>
      </c>
      <c r="I1069" s="316" t="s">
        <v>1686</v>
      </c>
      <c r="J1069" s="100" t="s">
        <v>140</v>
      </c>
      <c r="K1069" s="91">
        <v>0</v>
      </c>
      <c r="L1069" s="91">
        <v>0</v>
      </c>
      <c r="M1069" s="92">
        <v>280</v>
      </c>
      <c r="N1069" s="94">
        <v>420</v>
      </c>
      <c r="O1069" s="253">
        <v>1</v>
      </c>
      <c r="P1069" s="94">
        <f t="shared" si="175"/>
        <v>420</v>
      </c>
      <c r="Q1069" s="94"/>
      <c r="R1069" s="92">
        <v>420</v>
      </c>
      <c r="S1069" s="92">
        <f t="shared" si="169"/>
        <v>0</v>
      </c>
      <c r="T1069" s="173">
        <f t="shared" si="170"/>
        <v>308.57142857142856</v>
      </c>
      <c r="U1069" s="101">
        <f t="shared" si="171"/>
        <v>0</v>
      </c>
      <c r="V1069" s="101">
        <f t="shared" si="172"/>
        <v>0</v>
      </c>
      <c r="W1069" s="101">
        <v>0</v>
      </c>
      <c r="X1069" s="55">
        <f t="shared" si="173"/>
        <v>46153.899999999994</v>
      </c>
    </row>
    <row r="1070" spans="1:24" hidden="1" x14ac:dyDescent="0.35">
      <c r="A1070" s="46">
        <f t="shared" si="174"/>
        <v>46153.899999999994</v>
      </c>
      <c r="B1070" s="46"/>
      <c r="C1070" s="46"/>
      <c r="D1070" s="46"/>
      <c r="E1070" s="47" t="s">
        <v>249</v>
      </c>
      <c r="F1070" s="99" t="s">
        <v>1804</v>
      </c>
      <c r="G1070" s="99"/>
      <c r="H1070" s="98" t="s">
        <v>1806</v>
      </c>
      <c r="I1070" s="99" t="s">
        <v>1807</v>
      </c>
      <c r="J1070" s="100" t="s">
        <v>140</v>
      </c>
      <c r="K1070" s="91">
        <v>0</v>
      </c>
      <c r="L1070" s="91">
        <v>0</v>
      </c>
      <c r="M1070" s="92">
        <v>250</v>
      </c>
      <c r="N1070" s="94">
        <v>420</v>
      </c>
      <c r="O1070" s="253">
        <v>1</v>
      </c>
      <c r="P1070" s="94">
        <f t="shared" si="175"/>
        <v>420</v>
      </c>
      <c r="Q1070" s="94"/>
      <c r="R1070" s="92">
        <v>420</v>
      </c>
      <c r="S1070" s="92">
        <f t="shared" si="169"/>
        <v>0</v>
      </c>
      <c r="T1070" s="173">
        <f t="shared" si="170"/>
        <v>345.6</v>
      </c>
      <c r="U1070" s="101">
        <f t="shared" si="171"/>
        <v>0</v>
      </c>
      <c r="V1070" s="101">
        <f t="shared" si="172"/>
        <v>0</v>
      </c>
      <c r="W1070" s="101">
        <v>0</v>
      </c>
      <c r="X1070" s="55">
        <f t="shared" si="173"/>
        <v>46153.899999999994</v>
      </c>
    </row>
    <row r="1071" spans="1:24" ht="26.5" hidden="1" x14ac:dyDescent="0.35">
      <c r="A1071" s="46">
        <f t="shared" si="174"/>
        <v>46153.899999999994</v>
      </c>
      <c r="B1071" s="46"/>
      <c r="C1071" s="46"/>
      <c r="D1071" s="46"/>
      <c r="E1071" s="47" t="s">
        <v>195</v>
      </c>
      <c r="F1071" s="82" t="s">
        <v>1808</v>
      </c>
      <c r="G1071" s="82"/>
      <c r="H1071" s="105" t="s">
        <v>1809</v>
      </c>
      <c r="I1071" s="77" t="s">
        <v>1414</v>
      </c>
      <c r="J1071" s="60" t="s">
        <v>140</v>
      </c>
      <c r="K1071" s="110">
        <v>0</v>
      </c>
      <c r="L1071" s="110">
        <v>0</v>
      </c>
      <c r="M1071" s="427">
        <v>120</v>
      </c>
      <c r="N1071" s="428">
        <v>3000</v>
      </c>
      <c r="O1071" s="429">
        <v>1</v>
      </c>
      <c r="P1071" s="428">
        <f t="shared" si="175"/>
        <v>3000</v>
      </c>
      <c r="Q1071" s="428"/>
      <c r="R1071" s="427">
        <v>3000</v>
      </c>
      <c r="S1071" s="92">
        <f t="shared" si="169"/>
        <v>0</v>
      </c>
      <c r="T1071" s="430">
        <f t="shared" si="170"/>
        <v>720</v>
      </c>
      <c r="U1071" s="110">
        <f t="shared" si="171"/>
        <v>0</v>
      </c>
      <c r="V1071" s="110">
        <f t="shared" si="172"/>
        <v>0</v>
      </c>
      <c r="W1071" s="110">
        <v>0</v>
      </c>
      <c r="X1071" s="55">
        <f t="shared" si="173"/>
        <v>46153.899999999994</v>
      </c>
    </row>
    <row r="1072" spans="1:24" hidden="1" x14ac:dyDescent="0.35">
      <c r="A1072" s="46">
        <f t="shared" si="174"/>
        <v>46153.899999999994</v>
      </c>
      <c r="B1072" s="46"/>
      <c r="C1072" s="46"/>
      <c r="D1072" s="46"/>
      <c r="E1072" s="47" t="s">
        <v>195</v>
      </c>
      <c r="F1072" s="99" t="s">
        <v>227</v>
      </c>
      <c r="G1072" s="99"/>
      <c r="H1072" s="98" t="s">
        <v>1810</v>
      </c>
      <c r="I1072" s="82" t="s">
        <v>536</v>
      </c>
      <c r="J1072" s="51" t="s">
        <v>140</v>
      </c>
      <c r="K1072" s="91">
        <v>0</v>
      </c>
      <c r="L1072" s="91">
        <v>0</v>
      </c>
      <c r="M1072" s="92">
        <v>120</v>
      </c>
      <c r="N1072" s="94">
        <v>1500</v>
      </c>
      <c r="O1072" s="253">
        <v>1</v>
      </c>
      <c r="P1072" s="94">
        <f t="shared" si="175"/>
        <v>1500</v>
      </c>
      <c r="Q1072" s="94"/>
      <c r="R1072" s="92">
        <v>1500</v>
      </c>
      <c r="S1072" s="92">
        <f t="shared" si="169"/>
        <v>0</v>
      </c>
      <c r="T1072" s="254">
        <f t="shared" si="170"/>
        <v>720</v>
      </c>
      <c r="U1072" s="91">
        <f t="shared" si="171"/>
        <v>0</v>
      </c>
      <c r="V1072" s="91">
        <f t="shared" si="172"/>
        <v>0</v>
      </c>
      <c r="W1072" s="91">
        <v>0</v>
      </c>
      <c r="X1072" s="55">
        <f t="shared" si="173"/>
        <v>46153.899999999994</v>
      </c>
    </row>
    <row r="1073" spans="1:24" hidden="1" x14ac:dyDescent="0.35">
      <c r="A1073" s="46">
        <f t="shared" si="174"/>
        <v>46153.899999999994</v>
      </c>
      <c r="B1073" s="46"/>
      <c r="C1073" s="46"/>
      <c r="D1073" s="46"/>
      <c r="E1073" s="47" t="s">
        <v>195</v>
      </c>
      <c r="F1073" s="99" t="s">
        <v>227</v>
      </c>
      <c r="G1073" s="99"/>
      <c r="H1073" s="98" t="s">
        <v>1811</v>
      </c>
      <c r="I1073" s="82" t="s">
        <v>536</v>
      </c>
      <c r="J1073" s="51" t="s">
        <v>140</v>
      </c>
      <c r="K1073" s="91">
        <v>0</v>
      </c>
      <c r="L1073" s="91">
        <v>0</v>
      </c>
      <c r="M1073" s="92">
        <v>120</v>
      </c>
      <c r="N1073" s="94">
        <v>1500</v>
      </c>
      <c r="O1073" s="253">
        <v>1</v>
      </c>
      <c r="P1073" s="94">
        <f t="shared" si="175"/>
        <v>1500</v>
      </c>
      <c r="Q1073" s="94"/>
      <c r="R1073" s="92">
        <v>1500</v>
      </c>
      <c r="S1073" s="92">
        <f t="shared" si="169"/>
        <v>0</v>
      </c>
      <c r="T1073" s="254">
        <f t="shared" si="170"/>
        <v>720</v>
      </c>
      <c r="U1073" s="91">
        <f t="shared" si="171"/>
        <v>0</v>
      </c>
      <c r="V1073" s="91">
        <f t="shared" si="172"/>
        <v>0</v>
      </c>
      <c r="W1073" s="91">
        <v>0</v>
      </c>
      <c r="X1073" s="55">
        <f t="shared" si="173"/>
        <v>46153.899999999994</v>
      </c>
    </row>
    <row r="1074" spans="1:24" hidden="1" x14ac:dyDescent="0.35">
      <c r="A1074" s="46">
        <f t="shared" si="174"/>
        <v>46153.899999999994</v>
      </c>
      <c r="B1074" s="46"/>
      <c r="C1074" s="46"/>
      <c r="D1074" s="46"/>
      <c r="E1074" s="47" t="s">
        <v>195</v>
      </c>
      <c r="F1074" s="99" t="s">
        <v>265</v>
      </c>
      <c r="G1074" s="99"/>
      <c r="H1074" s="98" t="s">
        <v>1812</v>
      </c>
      <c r="I1074" s="82" t="s">
        <v>536</v>
      </c>
      <c r="J1074" s="51" t="s">
        <v>140</v>
      </c>
      <c r="K1074" s="91">
        <v>0</v>
      </c>
      <c r="L1074" s="91">
        <v>0</v>
      </c>
      <c r="M1074" s="92">
        <v>120</v>
      </c>
      <c r="N1074" s="94">
        <v>1500</v>
      </c>
      <c r="O1074" s="253">
        <v>1</v>
      </c>
      <c r="P1074" s="94">
        <f t="shared" si="175"/>
        <v>1500</v>
      </c>
      <c r="Q1074" s="94"/>
      <c r="R1074" s="92">
        <v>1500</v>
      </c>
      <c r="S1074" s="92">
        <f t="shared" si="169"/>
        <v>0</v>
      </c>
      <c r="T1074" s="254">
        <f t="shared" si="170"/>
        <v>720</v>
      </c>
      <c r="U1074" s="91">
        <f t="shared" si="171"/>
        <v>0</v>
      </c>
      <c r="V1074" s="91">
        <f t="shared" si="172"/>
        <v>0</v>
      </c>
      <c r="W1074" s="91">
        <v>0</v>
      </c>
      <c r="X1074" s="55">
        <f t="shared" si="173"/>
        <v>46153.899999999994</v>
      </c>
    </row>
    <row r="1075" spans="1:24" ht="26.5" hidden="1" x14ac:dyDescent="0.35">
      <c r="A1075" s="46">
        <f t="shared" si="174"/>
        <v>46153.899999999994</v>
      </c>
      <c r="B1075" s="46"/>
      <c r="C1075" s="46"/>
      <c r="D1075" s="46"/>
      <c r="E1075" s="47" t="s">
        <v>195</v>
      </c>
      <c r="F1075" s="82" t="s">
        <v>714</v>
      </c>
      <c r="G1075" s="82"/>
      <c r="H1075" s="107" t="s">
        <v>1813</v>
      </c>
      <c r="I1075" s="82" t="s">
        <v>198</v>
      </c>
      <c r="J1075" s="100" t="s">
        <v>140</v>
      </c>
      <c r="K1075" s="91">
        <v>0</v>
      </c>
      <c r="L1075" s="91">
        <v>0</v>
      </c>
      <c r="M1075" s="92">
        <v>190</v>
      </c>
      <c r="N1075" s="94">
        <v>2000</v>
      </c>
      <c r="O1075" s="253">
        <v>1</v>
      </c>
      <c r="P1075" s="94">
        <f t="shared" si="175"/>
        <v>2000</v>
      </c>
      <c r="Q1075" s="94"/>
      <c r="R1075" s="92">
        <v>2000</v>
      </c>
      <c r="S1075" s="92">
        <f t="shared" si="169"/>
        <v>0</v>
      </c>
      <c r="T1075" s="173">
        <f t="shared" si="170"/>
        <v>454.73684210526312</v>
      </c>
      <c r="U1075" s="101">
        <f t="shared" si="171"/>
        <v>0</v>
      </c>
      <c r="V1075" s="101">
        <f t="shared" si="172"/>
        <v>0</v>
      </c>
      <c r="W1075" s="110">
        <v>0</v>
      </c>
      <c r="X1075" s="55">
        <f t="shared" si="173"/>
        <v>46153.899999999994</v>
      </c>
    </row>
    <row r="1076" spans="1:24" hidden="1" x14ac:dyDescent="0.35">
      <c r="A1076" s="46">
        <f t="shared" si="174"/>
        <v>46153.899999999994</v>
      </c>
      <c r="B1076" s="46"/>
      <c r="C1076" s="46"/>
      <c r="D1076" s="46"/>
      <c r="E1076" s="47" t="s">
        <v>195</v>
      </c>
      <c r="F1076" s="82" t="s">
        <v>1814</v>
      </c>
      <c r="G1076" s="82"/>
      <c r="H1076" s="452">
        <v>11988</v>
      </c>
      <c r="I1076" s="82" t="s">
        <v>1578</v>
      </c>
      <c r="J1076" s="51" t="s">
        <v>140</v>
      </c>
      <c r="K1076" s="91">
        <v>0</v>
      </c>
      <c r="L1076" s="91">
        <v>0</v>
      </c>
      <c r="M1076" s="92">
        <v>120</v>
      </c>
      <c r="N1076" s="94">
        <v>1820</v>
      </c>
      <c r="O1076" s="253">
        <v>1</v>
      </c>
      <c r="P1076" s="94">
        <f t="shared" si="175"/>
        <v>1820</v>
      </c>
      <c r="Q1076" s="94"/>
      <c r="R1076" s="92">
        <v>1820</v>
      </c>
      <c r="S1076" s="92">
        <f t="shared" si="169"/>
        <v>0</v>
      </c>
      <c r="T1076" s="254">
        <f t="shared" si="170"/>
        <v>720</v>
      </c>
      <c r="U1076" s="91">
        <f t="shared" si="171"/>
        <v>0</v>
      </c>
      <c r="V1076" s="91">
        <f t="shared" si="172"/>
        <v>0</v>
      </c>
      <c r="W1076" s="91">
        <v>0</v>
      </c>
      <c r="X1076" s="55">
        <f t="shared" si="173"/>
        <v>46153.899999999994</v>
      </c>
    </row>
    <row r="1077" spans="1:24" hidden="1" x14ac:dyDescent="0.35">
      <c r="A1077" s="46">
        <f t="shared" si="174"/>
        <v>46153.899999999994</v>
      </c>
      <c r="B1077" s="46"/>
      <c r="C1077" s="46"/>
      <c r="D1077" s="46"/>
      <c r="E1077" s="296" t="s">
        <v>1243</v>
      </c>
      <c r="F1077" s="366" t="s">
        <v>14</v>
      </c>
      <c r="G1077" s="366"/>
      <c r="H1077" s="298" t="s">
        <v>14</v>
      </c>
      <c r="I1077" s="297" t="s">
        <v>1579</v>
      </c>
      <c r="J1077" s="351" t="s">
        <v>140</v>
      </c>
      <c r="K1077" s="352">
        <v>0</v>
      </c>
      <c r="L1077" s="352">
        <v>0</v>
      </c>
      <c r="M1077" s="353">
        <v>60</v>
      </c>
      <c r="N1077" s="354">
        <v>50</v>
      </c>
      <c r="O1077" s="355">
        <v>2</v>
      </c>
      <c r="P1077" s="354">
        <f t="shared" si="175"/>
        <v>25</v>
      </c>
      <c r="Q1077" s="354"/>
      <c r="R1077" s="353">
        <v>25</v>
      </c>
      <c r="S1077" s="353">
        <f t="shared" si="169"/>
        <v>0</v>
      </c>
      <c r="T1077" s="356">
        <f t="shared" si="170"/>
        <v>2880</v>
      </c>
      <c r="U1077" s="352">
        <f t="shared" si="171"/>
        <v>0</v>
      </c>
      <c r="V1077" s="352">
        <f t="shared" si="172"/>
        <v>0</v>
      </c>
      <c r="W1077" s="352">
        <v>0</v>
      </c>
      <c r="X1077" s="55">
        <f t="shared" si="173"/>
        <v>46153.899999999994</v>
      </c>
    </row>
    <row r="1078" spans="1:24" hidden="1" x14ac:dyDescent="0.35">
      <c r="A1078" s="46">
        <f t="shared" si="174"/>
        <v>46153.899999999994</v>
      </c>
      <c r="B1078" s="46"/>
      <c r="C1078" s="46"/>
      <c r="D1078" s="46"/>
      <c r="E1078" s="47" t="s">
        <v>1243</v>
      </c>
      <c r="F1078" s="97" t="s">
        <v>14</v>
      </c>
      <c r="G1078" s="97"/>
      <c r="H1078" s="98" t="s">
        <v>14</v>
      </c>
      <c r="I1078" s="82" t="s">
        <v>1244</v>
      </c>
      <c r="J1078" s="51" t="s">
        <v>140</v>
      </c>
      <c r="K1078" s="91">
        <v>0</v>
      </c>
      <c r="L1078" s="91">
        <v>0</v>
      </c>
      <c r="M1078" s="92">
        <v>60</v>
      </c>
      <c r="N1078" s="94">
        <v>50</v>
      </c>
      <c r="O1078" s="253">
        <v>2</v>
      </c>
      <c r="P1078" s="94">
        <f t="shared" si="175"/>
        <v>25</v>
      </c>
      <c r="Q1078" s="94"/>
      <c r="R1078" s="92">
        <v>25</v>
      </c>
      <c r="S1078" s="92">
        <f t="shared" si="169"/>
        <v>0</v>
      </c>
      <c r="T1078" s="254">
        <f t="shared" si="170"/>
        <v>2880</v>
      </c>
      <c r="U1078" s="91">
        <f t="shared" si="171"/>
        <v>0</v>
      </c>
      <c r="V1078" s="91">
        <f t="shared" si="172"/>
        <v>0</v>
      </c>
      <c r="W1078" s="91">
        <v>0</v>
      </c>
      <c r="X1078" s="55">
        <f t="shared" si="173"/>
        <v>46153.899999999994</v>
      </c>
    </row>
    <row r="1079" spans="1:24" ht="26.5" hidden="1" x14ac:dyDescent="0.35">
      <c r="A1079" s="46">
        <f t="shared" si="174"/>
        <v>46153.899999999994</v>
      </c>
      <c r="B1079" s="46"/>
      <c r="C1079" s="46"/>
      <c r="D1079" s="46"/>
      <c r="E1079" s="47" t="s">
        <v>195</v>
      </c>
      <c r="F1079" s="99" t="s">
        <v>1588</v>
      </c>
      <c r="G1079" s="99"/>
      <c r="H1079" s="105" t="s">
        <v>1589</v>
      </c>
      <c r="I1079" s="77" t="s">
        <v>1414</v>
      </c>
      <c r="J1079" s="60" t="s">
        <v>140</v>
      </c>
      <c r="K1079" s="110">
        <v>0</v>
      </c>
      <c r="L1079" s="110">
        <v>0</v>
      </c>
      <c r="M1079" s="427">
        <v>120</v>
      </c>
      <c r="N1079" s="428">
        <v>3000</v>
      </c>
      <c r="O1079" s="429">
        <v>1</v>
      </c>
      <c r="P1079" s="428">
        <f t="shared" si="175"/>
        <v>3000</v>
      </c>
      <c r="Q1079" s="428"/>
      <c r="R1079" s="427">
        <v>3000</v>
      </c>
      <c r="S1079" s="92">
        <f t="shared" si="169"/>
        <v>0</v>
      </c>
      <c r="T1079" s="430">
        <f t="shared" si="170"/>
        <v>720</v>
      </c>
      <c r="U1079" s="110">
        <f t="shared" si="171"/>
        <v>0</v>
      </c>
      <c r="V1079" s="110">
        <f t="shared" si="172"/>
        <v>0</v>
      </c>
      <c r="W1079" s="110">
        <v>0</v>
      </c>
      <c r="X1079" s="55">
        <f t="shared" si="173"/>
        <v>46153.899999999994</v>
      </c>
    </row>
    <row r="1080" spans="1:24" hidden="1" x14ac:dyDescent="0.35">
      <c r="A1080" s="46">
        <f t="shared" si="174"/>
        <v>46153.899999999994</v>
      </c>
      <c r="B1080" s="46"/>
      <c r="C1080" s="46"/>
      <c r="D1080" s="46"/>
      <c r="E1080" s="47" t="s">
        <v>195</v>
      </c>
      <c r="F1080" s="99" t="s">
        <v>250</v>
      </c>
      <c r="G1080" s="99"/>
      <c r="H1080" s="107" t="s">
        <v>1815</v>
      </c>
      <c r="I1080" s="82" t="s">
        <v>1543</v>
      </c>
      <c r="J1080" s="51" t="s">
        <v>140</v>
      </c>
      <c r="K1080" s="101">
        <v>0</v>
      </c>
      <c r="L1080" s="101">
        <v>0</v>
      </c>
      <c r="M1080" s="102">
        <v>120</v>
      </c>
      <c r="N1080" s="103">
        <v>500</v>
      </c>
      <c r="O1080" s="171">
        <v>1</v>
      </c>
      <c r="P1080" s="103">
        <f t="shared" si="175"/>
        <v>500</v>
      </c>
      <c r="Q1080" s="103"/>
      <c r="R1080" s="102">
        <v>500</v>
      </c>
      <c r="S1080" s="102">
        <f t="shared" si="169"/>
        <v>0</v>
      </c>
      <c r="T1080" s="173">
        <f t="shared" si="170"/>
        <v>720</v>
      </c>
      <c r="U1080" s="101">
        <f t="shared" si="171"/>
        <v>0</v>
      </c>
      <c r="V1080" s="101">
        <f t="shared" si="172"/>
        <v>0</v>
      </c>
      <c r="W1080" s="101">
        <v>0</v>
      </c>
      <c r="X1080" s="55">
        <f t="shared" si="173"/>
        <v>46153.899999999994</v>
      </c>
    </row>
    <row r="1081" spans="1:24" hidden="1" x14ac:dyDescent="0.35">
      <c r="A1081" s="46">
        <f t="shared" si="174"/>
        <v>46153.899999999994</v>
      </c>
      <c r="B1081" s="46"/>
      <c r="C1081" s="46"/>
      <c r="D1081" s="46"/>
      <c r="E1081" s="47" t="s">
        <v>195</v>
      </c>
      <c r="F1081" s="99" t="s">
        <v>250</v>
      </c>
      <c r="G1081" s="99"/>
      <c r="H1081" s="107" t="s">
        <v>1816</v>
      </c>
      <c r="I1081" s="82" t="s">
        <v>303</v>
      </c>
      <c r="J1081" s="51" t="s">
        <v>140</v>
      </c>
      <c r="K1081" s="101">
        <v>0</v>
      </c>
      <c r="L1081" s="101">
        <v>0</v>
      </c>
      <c r="M1081" s="102">
        <v>120</v>
      </c>
      <c r="N1081" s="103">
        <v>500</v>
      </c>
      <c r="O1081" s="171">
        <v>1</v>
      </c>
      <c r="P1081" s="103">
        <f t="shared" si="175"/>
        <v>500</v>
      </c>
      <c r="Q1081" s="103"/>
      <c r="R1081" s="102">
        <v>500</v>
      </c>
      <c r="S1081" s="102">
        <f t="shared" si="169"/>
        <v>0</v>
      </c>
      <c r="T1081" s="173">
        <f t="shared" si="170"/>
        <v>720</v>
      </c>
      <c r="U1081" s="101">
        <f t="shared" si="171"/>
        <v>0</v>
      </c>
      <c r="V1081" s="101">
        <f t="shared" si="172"/>
        <v>0</v>
      </c>
      <c r="W1081" s="101">
        <v>0</v>
      </c>
      <c r="X1081" s="55">
        <f t="shared" si="173"/>
        <v>46153.899999999994</v>
      </c>
    </row>
    <row r="1082" spans="1:24" hidden="1" x14ac:dyDescent="0.35">
      <c r="A1082" s="46">
        <f t="shared" si="174"/>
        <v>46153.899999999994</v>
      </c>
      <c r="B1082" s="46"/>
      <c r="C1082" s="46"/>
      <c r="D1082" s="46"/>
      <c r="E1082" s="47" t="s">
        <v>195</v>
      </c>
      <c r="F1082" s="99" t="s">
        <v>250</v>
      </c>
      <c r="G1082" s="99"/>
      <c r="H1082" s="107" t="s">
        <v>1816</v>
      </c>
      <c r="I1082" s="82" t="s">
        <v>303</v>
      </c>
      <c r="J1082" s="51" t="s">
        <v>140</v>
      </c>
      <c r="K1082" s="101">
        <v>0</v>
      </c>
      <c r="L1082" s="101">
        <v>0</v>
      </c>
      <c r="M1082" s="102">
        <v>120</v>
      </c>
      <c r="N1082" s="103">
        <v>500</v>
      </c>
      <c r="O1082" s="171">
        <v>1</v>
      </c>
      <c r="P1082" s="103">
        <f t="shared" si="175"/>
        <v>500</v>
      </c>
      <c r="Q1082" s="103"/>
      <c r="R1082" s="102">
        <v>500</v>
      </c>
      <c r="S1082" s="102">
        <f t="shared" si="169"/>
        <v>0</v>
      </c>
      <c r="T1082" s="173">
        <f t="shared" si="170"/>
        <v>720</v>
      </c>
      <c r="U1082" s="101">
        <f t="shared" si="171"/>
        <v>0</v>
      </c>
      <c r="V1082" s="101">
        <f t="shared" si="172"/>
        <v>0</v>
      </c>
      <c r="W1082" s="101">
        <v>0</v>
      </c>
      <c r="X1082" s="55">
        <f t="shared" si="173"/>
        <v>46153.899999999994</v>
      </c>
    </row>
    <row r="1083" spans="1:24" hidden="1" x14ac:dyDescent="0.35">
      <c r="A1083" s="46">
        <f t="shared" si="174"/>
        <v>46153.899999999994</v>
      </c>
      <c r="B1083" s="46"/>
      <c r="C1083" s="46"/>
      <c r="D1083" s="46"/>
      <c r="E1083" s="47" t="s">
        <v>195</v>
      </c>
      <c r="F1083" s="99" t="s">
        <v>250</v>
      </c>
      <c r="G1083" s="99"/>
      <c r="H1083" s="107" t="s">
        <v>1817</v>
      </c>
      <c r="I1083" s="82" t="s">
        <v>305</v>
      </c>
      <c r="J1083" s="51" t="s">
        <v>140</v>
      </c>
      <c r="K1083" s="101">
        <v>0</v>
      </c>
      <c r="L1083" s="101">
        <v>0</v>
      </c>
      <c r="M1083" s="102">
        <v>120</v>
      </c>
      <c r="N1083" s="103">
        <v>150</v>
      </c>
      <c r="O1083" s="171">
        <v>1</v>
      </c>
      <c r="P1083" s="103">
        <f t="shared" si="175"/>
        <v>150</v>
      </c>
      <c r="Q1083" s="103"/>
      <c r="R1083" s="102">
        <v>150</v>
      </c>
      <c r="S1083" s="102">
        <f t="shared" si="169"/>
        <v>0</v>
      </c>
      <c r="T1083" s="173">
        <f t="shared" si="170"/>
        <v>720</v>
      </c>
      <c r="U1083" s="101">
        <f t="shared" si="171"/>
        <v>0</v>
      </c>
      <c r="V1083" s="101">
        <f t="shared" si="172"/>
        <v>0</v>
      </c>
      <c r="W1083" s="101">
        <v>0</v>
      </c>
      <c r="X1083" s="55">
        <f t="shared" si="173"/>
        <v>46153.899999999994</v>
      </c>
    </row>
    <row r="1084" spans="1:24" ht="26.5" hidden="1" x14ac:dyDescent="0.35">
      <c r="A1084" s="46">
        <f t="shared" si="174"/>
        <v>46153.899999999994</v>
      </c>
      <c r="B1084" s="46"/>
      <c r="C1084" s="46"/>
      <c r="D1084" s="46"/>
      <c r="E1084" s="47" t="s">
        <v>195</v>
      </c>
      <c r="F1084" s="82" t="s">
        <v>727</v>
      </c>
      <c r="G1084" s="82"/>
      <c r="H1084" s="107" t="s">
        <v>1818</v>
      </c>
      <c r="I1084" s="82" t="s">
        <v>1573</v>
      </c>
      <c r="J1084" s="100" t="s">
        <v>140</v>
      </c>
      <c r="K1084" s="91">
        <v>0</v>
      </c>
      <c r="L1084" s="91">
        <v>0</v>
      </c>
      <c r="M1084" s="92">
        <v>100</v>
      </c>
      <c r="N1084" s="94">
        <v>2000</v>
      </c>
      <c r="O1084" s="253">
        <v>1</v>
      </c>
      <c r="P1084" s="94">
        <f t="shared" si="175"/>
        <v>2000</v>
      </c>
      <c r="Q1084" s="94"/>
      <c r="R1084" s="92">
        <v>2000</v>
      </c>
      <c r="S1084" s="92">
        <f t="shared" si="169"/>
        <v>0</v>
      </c>
      <c r="T1084" s="173">
        <f t="shared" si="170"/>
        <v>864</v>
      </c>
      <c r="U1084" s="101">
        <f t="shared" si="171"/>
        <v>0</v>
      </c>
      <c r="V1084" s="101">
        <f t="shared" si="172"/>
        <v>0</v>
      </c>
      <c r="W1084" s="101">
        <v>0</v>
      </c>
      <c r="X1084" s="55">
        <f t="shared" si="173"/>
        <v>46153.899999999994</v>
      </c>
    </row>
    <row r="1085" spans="1:24" s="468" customFormat="1" hidden="1" x14ac:dyDescent="0.35">
      <c r="A1085" s="46">
        <f t="shared" si="174"/>
        <v>46153.899999999994</v>
      </c>
      <c r="B1085" s="46"/>
      <c r="C1085" s="46"/>
      <c r="D1085" s="46"/>
      <c r="E1085" s="47" t="s">
        <v>195</v>
      </c>
      <c r="F1085" s="82" t="s">
        <v>1564</v>
      </c>
      <c r="G1085" s="82"/>
      <c r="H1085" s="108">
        <v>12203</v>
      </c>
      <c r="I1085" s="82" t="s">
        <v>1578</v>
      </c>
      <c r="J1085" s="51" t="s">
        <v>140</v>
      </c>
      <c r="K1085" s="91">
        <v>0</v>
      </c>
      <c r="L1085" s="91">
        <v>0</v>
      </c>
      <c r="M1085" s="92">
        <v>120</v>
      </c>
      <c r="N1085" s="94">
        <v>1000</v>
      </c>
      <c r="O1085" s="253">
        <v>1</v>
      </c>
      <c r="P1085" s="94">
        <f t="shared" si="175"/>
        <v>1000</v>
      </c>
      <c r="Q1085" s="94"/>
      <c r="R1085" s="92">
        <v>1000</v>
      </c>
      <c r="S1085" s="92">
        <f t="shared" si="169"/>
        <v>0</v>
      </c>
      <c r="T1085" s="254">
        <f t="shared" si="170"/>
        <v>720</v>
      </c>
      <c r="U1085" s="91">
        <f t="shared" si="171"/>
        <v>0</v>
      </c>
      <c r="V1085" s="91">
        <f t="shared" si="172"/>
        <v>0</v>
      </c>
      <c r="W1085" s="91">
        <v>0</v>
      </c>
      <c r="X1085" s="55">
        <f t="shared" si="173"/>
        <v>46153.899999999994</v>
      </c>
    </row>
    <row r="1086" spans="1:24" ht="26.5" hidden="1" x14ac:dyDescent="0.35">
      <c r="A1086" s="46">
        <f t="shared" si="174"/>
        <v>46153.899999999994</v>
      </c>
      <c r="B1086" s="46"/>
      <c r="C1086" s="46"/>
      <c r="D1086" s="46"/>
      <c r="E1086" s="47" t="s">
        <v>195</v>
      </c>
      <c r="F1086" s="97" t="s">
        <v>1557</v>
      </c>
      <c r="G1086" s="97"/>
      <c r="H1086" s="348">
        <v>12192</v>
      </c>
      <c r="I1086" s="69" t="s">
        <v>556</v>
      </c>
      <c r="J1086" s="64" t="s">
        <v>140</v>
      </c>
      <c r="K1086" s="91">
        <v>0</v>
      </c>
      <c r="L1086" s="91">
        <v>0</v>
      </c>
      <c r="M1086" s="92">
        <v>95</v>
      </c>
      <c r="N1086" s="344">
        <v>1000</v>
      </c>
      <c r="O1086" s="253">
        <v>1</v>
      </c>
      <c r="P1086" s="94">
        <f t="shared" si="175"/>
        <v>1000</v>
      </c>
      <c r="Q1086" s="94"/>
      <c r="R1086" s="345">
        <v>1000</v>
      </c>
      <c r="S1086" s="92">
        <f t="shared" si="169"/>
        <v>0</v>
      </c>
      <c r="T1086" s="254">
        <f t="shared" si="170"/>
        <v>909.47368421052624</v>
      </c>
      <c r="U1086" s="91">
        <f t="shared" si="171"/>
        <v>0</v>
      </c>
      <c r="V1086" s="91">
        <f t="shared" si="172"/>
        <v>0</v>
      </c>
      <c r="W1086" s="91">
        <v>0</v>
      </c>
      <c r="X1086" s="55">
        <f t="shared" si="173"/>
        <v>46153.899999999994</v>
      </c>
    </row>
    <row r="1087" spans="1:24" s="498" customFormat="1" hidden="1" x14ac:dyDescent="0.35">
      <c r="A1087" s="46">
        <f t="shared" si="174"/>
        <v>46153.899999999994</v>
      </c>
      <c r="B1087" s="46"/>
      <c r="C1087" s="46"/>
      <c r="D1087" s="46"/>
      <c r="E1087" s="47" t="s">
        <v>1684</v>
      </c>
      <c r="F1087" s="497" t="s">
        <v>900</v>
      </c>
      <c r="G1087" s="497"/>
      <c r="H1087" s="107" t="s">
        <v>1819</v>
      </c>
      <c r="I1087" s="106" t="s">
        <v>1663</v>
      </c>
      <c r="J1087" s="100" t="s">
        <v>140</v>
      </c>
      <c r="K1087" s="91">
        <v>0</v>
      </c>
      <c r="L1087" s="91">
        <v>0</v>
      </c>
      <c r="M1087" s="92">
        <v>60</v>
      </c>
      <c r="N1087" s="94">
        <v>1000</v>
      </c>
      <c r="O1087" s="253">
        <v>1</v>
      </c>
      <c r="P1087" s="94">
        <f t="shared" si="175"/>
        <v>1000</v>
      </c>
      <c r="Q1087" s="94"/>
      <c r="R1087" s="92">
        <v>1000</v>
      </c>
      <c r="S1087" s="92">
        <f t="shared" si="169"/>
        <v>0</v>
      </c>
      <c r="T1087" s="173">
        <f t="shared" si="170"/>
        <v>1440</v>
      </c>
      <c r="U1087" s="101">
        <f t="shared" si="171"/>
        <v>0</v>
      </c>
      <c r="V1087" s="101">
        <f t="shared" si="172"/>
        <v>0</v>
      </c>
      <c r="W1087" s="101">
        <v>0</v>
      </c>
      <c r="X1087" s="55">
        <f t="shared" si="173"/>
        <v>46153.899999999994</v>
      </c>
    </row>
    <row r="1088" spans="1:24" ht="26.5" hidden="1" x14ac:dyDescent="0.35">
      <c r="A1088" s="46">
        <f t="shared" si="174"/>
        <v>46153.899999999994</v>
      </c>
      <c r="B1088" s="46"/>
      <c r="C1088" s="46"/>
      <c r="D1088" s="46"/>
      <c r="E1088" s="47" t="s">
        <v>195</v>
      </c>
      <c r="F1088" s="82" t="s">
        <v>743</v>
      </c>
      <c r="G1088" s="82"/>
      <c r="H1088" s="107" t="s">
        <v>1820</v>
      </c>
      <c r="I1088" s="82" t="s">
        <v>1573</v>
      </c>
      <c r="J1088" s="100" t="s">
        <v>140</v>
      </c>
      <c r="K1088" s="91">
        <v>0</v>
      </c>
      <c r="L1088" s="91">
        <v>0</v>
      </c>
      <c r="M1088" s="92">
        <v>100</v>
      </c>
      <c r="N1088" s="94">
        <v>700</v>
      </c>
      <c r="O1088" s="253">
        <v>1</v>
      </c>
      <c r="P1088" s="94">
        <f t="shared" si="175"/>
        <v>700</v>
      </c>
      <c r="Q1088" s="94"/>
      <c r="R1088" s="92">
        <v>700</v>
      </c>
      <c r="S1088" s="92">
        <f t="shared" si="169"/>
        <v>0</v>
      </c>
      <c r="T1088" s="173">
        <f t="shared" si="170"/>
        <v>864</v>
      </c>
      <c r="U1088" s="101">
        <f t="shared" si="171"/>
        <v>0</v>
      </c>
      <c r="V1088" s="101">
        <f t="shared" si="172"/>
        <v>0</v>
      </c>
      <c r="W1088" s="101">
        <v>0</v>
      </c>
      <c r="X1088" s="55">
        <f t="shared" si="173"/>
        <v>46153.899999999994</v>
      </c>
    </row>
    <row r="1089" spans="1:24" s="109" customFormat="1" ht="13" hidden="1" x14ac:dyDescent="0.3">
      <c r="A1089" s="46">
        <f t="shared" si="174"/>
        <v>46153.899999999994</v>
      </c>
      <c r="B1089" s="46"/>
      <c r="C1089" s="46"/>
      <c r="D1089" s="46"/>
      <c r="E1089" s="47" t="s">
        <v>195</v>
      </c>
      <c r="F1089" s="316" t="s">
        <v>1821</v>
      </c>
      <c r="G1089" s="316"/>
      <c r="H1089" s="98" t="s">
        <v>1822</v>
      </c>
      <c r="I1089" s="316" t="s">
        <v>1686</v>
      </c>
      <c r="J1089" s="100" t="s">
        <v>140</v>
      </c>
      <c r="K1089" s="91">
        <v>0</v>
      </c>
      <c r="L1089" s="91">
        <v>0</v>
      </c>
      <c r="M1089" s="92">
        <v>280</v>
      </c>
      <c r="N1089" s="94">
        <v>500</v>
      </c>
      <c r="O1089" s="253">
        <v>1</v>
      </c>
      <c r="P1089" s="94">
        <f t="shared" si="175"/>
        <v>500</v>
      </c>
      <c r="Q1089" s="94"/>
      <c r="R1089" s="92">
        <v>500</v>
      </c>
      <c r="S1089" s="92">
        <f t="shared" si="169"/>
        <v>0</v>
      </c>
      <c r="T1089" s="173">
        <f t="shared" si="170"/>
        <v>308.57142857142856</v>
      </c>
      <c r="U1089" s="101">
        <f t="shared" si="171"/>
        <v>0</v>
      </c>
      <c r="V1089" s="101">
        <f t="shared" si="172"/>
        <v>0</v>
      </c>
      <c r="W1089" s="101">
        <v>0</v>
      </c>
      <c r="X1089" s="55">
        <f t="shared" si="173"/>
        <v>46153.899999999994</v>
      </c>
    </row>
    <row r="1090" spans="1:24" s="109" customFormat="1" ht="13" hidden="1" x14ac:dyDescent="0.3">
      <c r="A1090" s="46">
        <f t="shared" si="174"/>
        <v>46153.899999999994</v>
      </c>
      <c r="B1090" s="46"/>
      <c r="C1090" s="46"/>
      <c r="D1090" s="46"/>
      <c r="E1090" s="47" t="s">
        <v>195</v>
      </c>
      <c r="F1090" s="316" t="s">
        <v>1821</v>
      </c>
      <c r="G1090" s="316"/>
      <c r="H1090" s="98" t="s">
        <v>1823</v>
      </c>
      <c r="I1090" s="316" t="s">
        <v>1807</v>
      </c>
      <c r="J1090" s="100" t="s">
        <v>140</v>
      </c>
      <c r="K1090" s="91">
        <v>0</v>
      </c>
      <c r="L1090" s="91">
        <v>0</v>
      </c>
      <c r="M1090" s="92">
        <v>280</v>
      </c>
      <c r="N1090" s="94">
        <v>500</v>
      </c>
      <c r="O1090" s="253">
        <v>1</v>
      </c>
      <c r="P1090" s="94">
        <f t="shared" si="175"/>
        <v>500</v>
      </c>
      <c r="Q1090" s="94"/>
      <c r="R1090" s="92">
        <v>500</v>
      </c>
      <c r="S1090" s="92">
        <f t="shared" si="169"/>
        <v>0</v>
      </c>
      <c r="T1090" s="173">
        <f t="shared" si="170"/>
        <v>308.57142857142856</v>
      </c>
      <c r="U1090" s="101">
        <f t="shared" si="171"/>
        <v>0</v>
      </c>
      <c r="V1090" s="101">
        <f t="shared" si="172"/>
        <v>0</v>
      </c>
      <c r="W1090" s="101">
        <v>0</v>
      </c>
      <c r="X1090" s="55">
        <f t="shared" si="173"/>
        <v>46153.899999999994</v>
      </c>
    </row>
    <row r="1091" spans="1:24" s="109" customFormat="1" ht="13" hidden="1" x14ac:dyDescent="0.3">
      <c r="A1091" s="46">
        <f t="shared" si="174"/>
        <v>46153.899999999994</v>
      </c>
      <c r="B1091" s="46"/>
      <c r="C1091" s="46"/>
      <c r="D1091" s="46"/>
      <c r="E1091" s="47" t="s">
        <v>195</v>
      </c>
      <c r="F1091" s="316" t="s">
        <v>1824</v>
      </c>
      <c r="G1091" s="316"/>
      <c r="H1091" s="98" t="s">
        <v>1825</v>
      </c>
      <c r="I1091" s="316" t="s">
        <v>1807</v>
      </c>
      <c r="J1091" s="100" t="s">
        <v>140</v>
      </c>
      <c r="K1091" s="91">
        <v>0</v>
      </c>
      <c r="L1091" s="91">
        <v>0</v>
      </c>
      <c r="M1091" s="92">
        <v>280</v>
      </c>
      <c r="N1091" s="94">
        <v>200</v>
      </c>
      <c r="O1091" s="253">
        <v>1</v>
      </c>
      <c r="P1091" s="94">
        <f t="shared" si="175"/>
        <v>200</v>
      </c>
      <c r="Q1091" s="94"/>
      <c r="R1091" s="92">
        <v>200</v>
      </c>
      <c r="S1091" s="92">
        <f t="shared" si="169"/>
        <v>0</v>
      </c>
      <c r="T1091" s="173">
        <f t="shared" si="170"/>
        <v>308.57142857142856</v>
      </c>
      <c r="U1091" s="101">
        <f t="shared" si="171"/>
        <v>0</v>
      </c>
      <c r="V1091" s="101">
        <f t="shared" si="172"/>
        <v>0</v>
      </c>
      <c r="W1091" s="101">
        <v>0</v>
      </c>
      <c r="X1091" s="55">
        <f t="shared" si="173"/>
        <v>46153.899999999994</v>
      </c>
    </row>
    <row r="1092" spans="1:24" s="109" customFormat="1" ht="13" hidden="1" x14ac:dyDescent="0.3">
      <c r="A1092" s="46">
        <f t="shared" si="174"/>
        <v>46153.899999999994</v>
      </c>
      <c r="B1092" s="46"/>
      <c r="C1092" s="46"/>
      <c r="D1092" s="46"/>
      <c r="E1092" s="47" t="s">
        <v>195</v>
      </c>
      <c r="F1092" s="316" t="s">
        <v>1824</v>
      </c>
      <c r="G1092" s="316"/>
      <c r="H1092" s="98" t="s">
        <v>1826</v>
      </c>
      <c r="I1092" s="316" t="s">
        <v>1686</v>
      </c>
      <c r="J1092" s="100" t="s">
        <v>140</v>
      </c>
      <c r="K1092" s="91">
        <v>0</v>
      </c>
      <c r="L1092" s="91">
        <v>0</v>
      </c>
      <c r="M1092" s="92">
        <v>280</v>
      </c>
      <c r="N1092" s="94">
        <v>200</v>
      </c>
      <c r="O1092" s="253">
        <v>1</v>
      </c>
      <c r="P1092" s="94">
        <f t="shared" si="175"/>
        <v>200</v>
      </c>
      <c r="Q1092" s="94"/>
      <c r="R1092" s="92">
        <v>200</v>
      </c>
      <c r="S1092" s="92">
        <f t="shared" si="169"/>
        <v>0</v>
      </c>
      <c r="T1092" s="173">
        <f t="shared" si="170"/>
        <v>308.57142857142856</v>
      </c>
      <c r="U1092" s="101">
        <f t="shared" si="171"/>
        <v>0</v>
      </c>
      <c r="V1092" s="101">
        <f t="shared" si="172"/>
        <v>0</v>
      </c>
      <c r="W1092" s="101">
        <v>0</v>
      </c>
      <c r="X1092" s="55">
        <f t="shared" si="173"/>
        <v>46153.899999999994</v>
      </c>
    </row>
    <row r="1093" spans="1:24" hidden="1" x14ac:dyDescent="0.35">
      <c r="A1093" s="46">
        <f t="shared" si="174"/>
        <v>46153.899999999994</v>
      </c>
      <c r="B1093" s="46"/>
      <c r="C1093" s="46"/>
      <c r="D1093" s="46"/>
      <c r="E1093" s="296" t="s">
        <v>195</v>
      </c>
      <c r="F1093" s="366" t="s">
        <v>14</v>
      </c>
      <c r="G1093" s="366"/>
      <c r="H1093" s="298" t="s">
        <v>14</v>
      </c>
      <c r="I1093" s="297" t="s">
        <v>1651</v>
      </c>
      <c r="J1093" s="351" t="s">
        <v>140</v>
      </c>
      <c r="K1093" s="352">
        <v>0</v>
      </c>
      <c r="L1093" s="352">
        <v>0</v>
      </c>
      <c r="M1093" s="353">
        <v>60</v>
      </c>
      <c r="N1093" s="354">
        <v>50</v>
      </c>
      <c r="O1093" s="355">
        <v>2</v>
      </c>
      <c r="P1093" s="354">
        <f t="shared" si="175"/>
        <v>25</v>
      </c>
      <c r="Q1093" s="354"/>
      <c r="R1093" s="353">
        <v>25</v>
      </c>
      <c r="S1093" s="353">
        <f t="shared" si="169"/>
        <v>0</v>
      </c>
      <c r="T1093" s="356">
        <f t="shared" si="170"/>
        <v>2880</v>
      </c>
      <c r="U1093" s="352">
        <f t="shared" si="171"/>
        <v>0</v>
      </c>
      <c r="V1093" s="352">
        <f t="shared" si="172"/>
        <v>0</v>
      </c>
      <c r="W1093" s="352">
        <v>0</v>
      </c>
      <c r="X1093" s="55">
        <f t="shared" si="173"/>
        <v>46153.899999999994</v>
      </c>
    </row>
    <row r="1094" spans="1:24" hidden="1" x14ac:dyDescent="0.35">
      <c r="A1094" s="46">
        <f t="shared" si="174"/>
        <v>46153.899999999994</v>
      </c>
      <c r="B1094" s="46"/>
      <c r="C1094" s="46"/>
      <c r="D1094" s="46"/>
      <c r="E1094" s="47" t="s">
        <v>195</v>
      </c>
      <c r="F1094" s="97" t="s">
        <v>900</v>
      </c>
      <c r="G1094" s="97"/>
      <c r="H1094" s="98" t="s">
        <v>1827</v>
      </c>
      <c r="I1094" s="82" t="s">
        <v>1651</v>
      </c>
      <c r="J1094" s="51" t="s">
        <v>140</v>
      </c>
      <c r="K1094" s="91">
        <v>0</v>
      </c>
      <c r="L1094" s="91">
        <v>0</v>
      </c>
      <c r="M1094" s="92">
        <v>94</v>
      </c>
      <c r="N1094" s="94">
        <v>1332</v>
      </c>
      <c r="O1094" s="253">
        <v>1</v>
      </c>
      <c r="P1094" s="94">
        <f t="shared" si="175"/>
        <v>1332</v>
      </c>
      <c r="Q1094" s="94"/>
      <c r="R1094" s="92">
        <v>1332</v>
      </c>
      <c r="S1094" s="92">
        <f t="shared" si="169"/>
        <v>0</v>
      </c>
      <c r="T1094" s="254">
        <f t="shared" si="170"/>
        <v>919.14893617021289</v>
      </c>
      <c r="U1094" s="91">
        <f t="shared" si="171"/>
        <v>0</v>
      </c>
      <c r="V1094" s="91">
        <f t="shared" si="172"/>
        <v>0</v>
      </c>
      <c r="W1094" s="91">
        <v>0</v>
      </c>
      <c r="X1094" s="55">
        <f t="shared" si="173"/>
        <v>46153.899999999994</v>
      </c>
    </row>
    <row r="1095" spans="1:24" ht="26" hidden="1" x14ac:dyDescent="0.35">
      <c r="A1095" s="46">
        <f t="shared" si="174"/>
        <v>46153.899999999994</v>
      </c>
      <c r="B1095" s="431"/>
      <c r="C1095" s="431"/>
      <c r="D1095" s="431"/>
      <c r="E1095" s="432" t="s">
        <v>249</v>
      </c>
      <c r="F1095" s="433" t="s">
        <v>1828</v>
      </c>
      <c r="G1095" s="433"/>
      <c r="H1095" s="434" t="s">
        <v>1829</v>
      </c>
      <c r="I1095" s="435" t="s">
        <v>1470</v>
      </c>
      <c r="J1095" s="436" t="s">
        <v>140</v>
      </c>
      <c r="K1095" s="437">
        <v>0</v>
      </c>
      <c r="L1095" s="437">
        <v>0</v>
      </c>
      <c r="M1095" s="438">
        <v>80</v>
      </c>
      <c r="N1095" s="439">
        <v>2500</v>
      </c>
      <c r="O1095" s="440">
        <v>1</v>
      </c>
      <c r="P1095" s="94">
        <f t="shared" si="175"/>
        <v>2500</v>
      </c>
      <c r="Q1095" s="439"/>
      <c r="R1095" s="438">
        <v>2500</v>
      </c>
      <c r="S1095" s="92">
        <f t="shared" si="169"/>
        <v>0</v>
      </c>
      <c r="T1095" s="441">
        <f t="shared" si="170"/>
        <v>1080</v>
      </c>
      <c r="U1095" s="437">
        <f t="shared" si="171"/>
        <v>0</v>
      </c>
      <c r="V1095" s="437">
        <f t="shared" si="172"/>
        <v>0</v>
      </c>
      <c r="W1095" s="437">
        <v>0</v>
      </c>
      <c r="X1095" s="55">
        <f t="shared" si="173"/>
        <v>46153.899999999994</v>
      </c>
    </row>
    <row r="1096" spans="1:24" hidden="1" x14ac:dyDescent="0.35">
      <c r="A1096" s="46">
        <f t="shared" si="174"/>
        <v>46153.899999999994</v>
      </c>
      <c r="B1096" s="46"/>
      <c r="C1096" s="46"/>
      <c r="D1096" s="46"/>
      <c r="E1096" s="47" t="s">
        <v>195</v>
      </c>
      <c r="F1096" s="82" t="s">
        <v>1564</v>
      </c>
      <c r="G1096" s="82"/>
      <c r="H1096" s="108">
        <v>12451</v>
      </c>
      <c r="I1096" s="82" t="s">
        <v>1830</v>
      </c>
      <c r="J1096" s="51" t="s">
        <v>140</v>
      </c>
      <c r="K1096" s="91">
        <v>0</v>
      </c>
      <c r="L1096" s="91">
        <v>0</v>
      </c>
      <c r="M1096" s="92">
        <v>40</v>
      </c>
      <c r="N1096" s="94">
        <v>2000</v>
      </c>
      <c r="O1096" s="253">
        <v>1</v>
      </c>
      <c r="P1096" s="94">
        <f t="shared" si="175"/>
        <v>2000</v>
      </c>
      <c r="Q1096" s="94"/>
      <c r="R1096" s="92">
        <v>2000</v>
      </c>
      <c r="S1096" s="92">
        <f t="shared" si="169"/>
        <v>0</v>
      </c>
      <c r="T1096" s="254">
        <f t="shared" si="170"/>
        <v>2160</v>
      </c>
      <c r="U1096" s="91">
        <f t="shared" si="171"/>
        <v>0</v>
      </c>
      <c r="V1096" s="91">
        <f t="shared" si="172"/>
        <v>0</v>
      </c>
      <c r="W1096" s="91">
        <v>0</v>
      </c>
      <c r="X1096" s="55">
        <f t="shared" si="173"/>
        <v>46153.899999999994</v>
      </c>
    </row>
    <row r="1097" spans="1:24" s="118" customFormat="1" hidden="1" x14ac:dyDescent="0.35">
      <c r="A1097" s="46">
        <f t="shared" si="174"/>
        <v>46153.899999999994</v>
      </c>
      <c r="B1097" s="46"/>
      <c r="C1097" s="46"/>
      <c r="D1097" s="46"/>
      <c r="E1097" s="47" t="s">
        <v>195</v>
      </c>
      <c r="F1097" s="82" t="s">
        <v>1831</v>
      </c>
      <c r="G1097" s="82"/>
      <c r="H1097" s="98" t="s">
        <v>1832</v>
      </c>
      <c r="I1097" s="82" t="s">
        <v>1833</v>
      </c>
      <c r="J1097" s="51" t="s">
        <v>140</v>
      </c>
      <c r="K1097" s="91">
        <v>0</v>
      </c>
      <c r="L1097" s="91">
        <v>0</v>
      </c>
      <c r="M1097" s="92">
        <v>120</v>
      </c>
      <c r="N1097" s="94">
        <v>100</v>
      </c>
      <c r="O1097" s="253">
        <v>1</v>
      </c>
      <c r="P1097" s="94">
        <f t="shared" si="175"/>
        <v>100</v>
      </c>
      <c r="Q1097" s="94"/>
      <c r="R1097" s="92">
        <v>100</v>
      </c>
      <c r="S1097" s="92">
        <f t="shared" si="169"/>
        <v>0</v>
      </c>
      <c r="T1097" s="254">
        <f t="shared" si="170"/>
        <v>720</v>
      </c>
      <c r="U1097" s="91">
        <f t="shared" si="171"/>
        <v>0</v>
      </c>
      <c r="V1097" s="91">
        <f t="shared" si="172"/>
        <v>0</v>
      </c>
      <c r="W1097" s="91">
        <v>0</v>
      </c>
      <c r="X1097" s="55">
        <f t="shared" si="173"/>
        <v>46153.899999999994</v>
      </c>
    </row>
    <row r="1098" spans="1:24" s="118" customFormat="1" hidden="1" x14ac:dyDescent="0.35">
      <c r="A1098" s="46">
        <f t="shared" si="174"/>
        <v>46153.899999999994</v>
      </c>
      <c r="B1098" s="46"/>
      <c r="C1098" s="46"/>
      <c r="D1098" s="46"/>
      <c r="E1098" s="47" t="s">
        <v>195</v>
      </c>
      <c r="F1098" s="82" t="s">
        <v>1831</v>
      </c>
      <c r="G1098" s="82"/>
      <c r="H1098" s="98" t="s">
        <v>1834</v>
      </c>
      <c r="I1098" s="82" t="s">
        <v>1332</v>
      </c>
      <c r="J1098" s="51" t="s">
        <v>140</v>
      </c>
      <c r="K1098" s="91">
        <v>0</v>
      </c>
      <c r="L1098" s="91">
        <v>0</v>
      </c>
      <c r="M1098" s="92">
        <v>120</v>
      </c>
      <c r="N1098" s="94">
        <v>400</v>
      </c>
      <c r="O1098" s="253">
        <v>1</v>
      </c>
      <c r="P1098" s="94">
        <f t="shared" si="175"/>
        <v>400</v>
      </c>
      <c r="Q1098" s="94"/>
      <c r="R1098" s="92">
        <v>400</v>
      </c>
      <c r="S1098" s="92">
        <f t="shared" si="169"/>
        <v>0</v>
      </c>
      <c r="T1098" s="254">
        <f t="shared" si="170"/>
        <v>720</v>
      </c>
      <c r="U1098" s="91">
        <f t="shared" si="171"/>
        <v>0</v>
      </c>
      <c r="V1098" s="91">
        <f t="shared" si="172"/>
        <v>0</v>
      </c>
      <c r="W1098" s="91">
        <v>0</v>
      </c>
      <c r="X1098" s="55">
        <f t="shared" si="173"/>
        <v>46153.899999999994</v>
      </c>
    </row>
    <row r="1099" spans="1:24" hidden="1" x14ac:dyDescent="0.35">
      <c r="A1099" s="46">
        <f t="shared" si="174"/>
        <v>46153.899999999994</v>
      </c>
      <c r="B1099" s="46"/>
      <c r="C1099" s="46"/>
      <c r="D1099" s="46"/>
      <c r="E1099" s="47" t="s">
        <v>195</v>
      </c>
      <c r="F1099" s="97" t="s">
        <v>900</v>
      </c>
      <c r="G1099" s="97"/>
      <c r="H1099" s="98" t="s">
        <v>1835</v>
      </c>
      <c r="I1099" s="82" t="s">
        <v>1651</v>
      </c>
      <c r="J1099" s="51" t="s">
        <v>140</v>
      </c>
      <c r="K1099" s="91">
        <v>0</v>
      </c>
      <c r="L1099" s="91">
        <v>0</v>
      </c>
      <c r="M1099" s="92">
        <v>94</v>
      </c>
      <c r="N1099" s="94">
        <v>5000</v>
      </c>
      <c r="O1099" s="253">
        <v>1</v>
      </c>
      <c r="P1099" s="94">
        <f t="shared" si="175"/>
        <v>5000</v>
      </c>
      <c r="Q1099" s="94"/>
      <c r="R1099" s="92">
        <v>5000</v>
      </c>
      <c r="S1099" s="92">
        <f t="shared" si="169"/>
        <v>0</v>
      </c>
      <c r="T1099" s="254">
        <f t="shared" si="170"/>
        <v>919.14893617021289</v>
      </c>
      <c r="U1099" s="91">
        <f t="shared" si="171"/>
        <v>0</v>
      </c>
      <c r="V1099" s="91">
        <f t="shared" si="172"/>
        <v>0</v>
      </c>
      <c r="W1099" s="91">
        <v>0</v>
      </c>
      <c r="X1099" s="55">
        <f t="shared" si="173"/>
        <v>46153.899999999994</v>
      </c>
    </row>
    <row r="1100" spans="1:24" hidden="1" x14ac:dyDescent="0.35">
      <c r="A1100" s="46">
        <f t="shared" si="174"/>
        <v>46153.899999999994</v>
      </c>
      <c r="B1100" s="46"/>
      <c r="C1100" s="46"/>
      <c r="D1100" s="46"/>
      <c r="E1100" s="47" t="s">
        <v>195</v>
      </c>
      <c r="F1100" s="316" t="s">
        <v>1836</v>
      </c>
      <c r="G1100" s="316"/>
      <c r="H1100" s="98" t="s">
        <v>1837</v>
      </c>
      <c r="I1100" s="316" t="s">
        <v>1686</v>
      </c>
      <c r="J1100" s="100" t="s">
        <v>140</v>
      </c>
      <c r="K1100" s="91">
        <v>0</v>
      </c>
      <c r="L1100" s="91">
        <v>0</v>
      </c>
      <c r="M1100" s="92">
        <v>280</v>
      </c>
      <c r="N1100" s="94">
        <v>500</v>
      </c>
      <c r="O1100" s="253">
        <v>1</v>
      </c>
      <c r="P1100" s="94">
        <f t="shared" si="175"/>
        <v>500</v>
      </c>
      <c r="Q1100" s="94"/>
      <c r="R1100" s="92">
        <v>500</v>
      </c>
      <c r="S1100" s="92">
        <f t="shared" ref="S1100:S1163" si="176">P1100-R1100</f>
        <v>0</v>
      </c>
      <c r="T1100" s="173">
        <f t="shared" ref="T1100:T1141" si="177">((3600/M1100)*O1100)*24</f>
        <v>308.57142857142856</v>
      </c>
      <c r="U1100" s="101">
        <f t="shared" ref="U1100:U1141" si="178">(P1100-R1100)*M1100/3600</f>
        <v>0</v>
      </c>
      <c r="V1100" s="101">
        <f t="shared" ref="V1100:V1141" si="179">(P1100-R1100)*M1100/3600/24</f>
        <v>0</v>
      </c>
      <c r="W1100" s="101">
        <v>0</v>
      </c>
      <c r="X1100" s="55">
        <f t="shared" ref="X1100:X1114" si="180">A1100+K1100+V1100+W1100+L1100</f>
        <v>46153.899999999994</v>
      </c>
    </row>
    <row r="1101" spans="1:24" hidden="1" x14ac:dyDescent="0.35">
      <c r="A1101" s="46">
        <f t="shared" ref="A1101:A1142" si="181">X1100</f>
        <v>46153.899999999994</v>
      </c>
      <c r="B1101" s="46"/>
      <c r="C1101" s="46"/>
      <c r="D1101" s="46"/>
      <c r="E1101" s="47" t="s">
        <v>195</v>
      </c>
      <c r="F1101" s="316" t="s">
        <v>1836</v>
      </c>
      <c r="G1101" s="316"/>
      <c r="H1101" s="98" t="s">
        <v>1838</v>
      </c>
      <c r="I1101" s="316" t="s">
        <v>1807</v>
      </c>
      <c r="J1101" s="100" t="s">
        <v>140</v>
      </c>
      <c r="K1101" s="91">
        <v>0</v>
      </c>
      <c r="L1101" s="91">
        <v>0</v>
      </c>
      <c r="M1101" s="92">
        <v>280</v>
      </c>
      <c r="N1101" s="94">
        <v>500</v>
      </c>
      <c r="O1101" s="253">
        <v>1</v>
      </c>
      <c r="P1101" s="94">
        <f t="shared" si="175"/>
        <v>500</v>
      </c>
      <c r="Q1101" s="94"/>
      <c r="R1101" s="92">
        <v>500</v>
      </c>
      <c r="S1101" s="92">
        <f t="shared" si="176"/>
        <v>0</v>
      </c>
      <c r="T1101" s="173">
        <f t="shared" si="177"/>
        <v>308.57142857142856</v>
      </c>
      <c r="U1101" s="101">
        <f t="shared" si="178"/>
        <v>0</v>
      </c>
      <c r="V1101" s="101">
        <f t="shared" si="179"/>
        <v>0</v>
      </c>
      <c r="W1101" s="101">
        <v>0</v>
      </c>
      <c r="X1101" s="55">
        <f t="shared" si="180"/>
        <v>46153.899999999994</v>
      </c>
    </row>
    <row r="1102" spans="1:24" s="109" customFormat="1" ht="13" hidden="1" x14ac:dyDescent="0.3">
      <c r="A1102" s="46">
        <f t="shared" si="181"/>
        <v>46153.899999999994</v>
      </c>
      <c r="B1102" s="46"/>
      <c r="C1102" s="46"/>
      <c r="D1102" s="46"/>
      <c r="E1102" s="47" t="s">
        <v>195</v>
      </c>
      <c r="F1102" s="97" t="s">
        <v>900</v>
      </c>
      <c r="G1102" s="97"/>
      <c r="H1102" s="107" t="s">
        <v>1839</v>
      </c>
      <c r="I1102" s="71" t="s">
        <v>1840</v>
      </c>
      <c r="J1102" s="100" t="s">
        <v>140</v>
      </c>
      <c r="K1102" s="91">
        <v>0</v>
      </c>
      <c r="L1102" s="91">
        <v>0</v>
      </c>
      <c r="M1102" s="92">
        <v>730</v>
      </c>
      <c r="N1102" s="94">
        <v>100</v>
      </c>
      <c r="O1102" s="253">
        <v>1</v>
      </c>
      <c r="P1102" s="94">
        <f t="shared" si="175"/>
        <v>100</v>
      </c>
      <c r="Q1102" s="94"/>
      <c r="R1102" s="92">
        <v>100</v>
      </c>
      <c r="S1102" s="92">
        <f t="shared" si="176"/>
        <v>0</v>
      </c>
      <c r="T1102" s="173">
        <f t="shared" si="177"/>
        <v>118.35616438356165</v>
      </c>
      <c r="U1102" s="101">
        <f t="shared" si="178"/>
        <v>0</v>
      </c>
      <c r="V1102" s="101">
        <f t="shared" si="179"/>
        <v>0</v>
      </c>
      <c r="W1102" s="101">
        <v>0</v>
      </c>
      <c r="X1102" s="55">
        <f t="shared" si="180"/>
        <v>46153.899999999994</v>
      </c>
    </row>
    <row r="1103" spans="1:24" s="109" customFormat="1" ht="13" hidden="1" x14ac:dyDescent="0.3">
      <c r="A1103" s="46">
        <f t="shared" si="181"/>
        <v>46153.899999999994</v>
      </c>
      <c r="B1103" s="46"/>
      <c r="C1103" s="46"/>
      <c r="D1103" s="46"/>
      <c r="E1103" s="47" t="s">
        <v>195</v>
      </c>
      <c r="F1103" s="97" t="s">
        <v>900</v>
      </c>
      <c r="G1103" s="97"/>
      <c r="H1103" s="107" t="s">
        <v>1841</v>
      </c>
      <c r="I1103" s="71" t="s">
        <v>1842</v>
      </c>
      <c r="J1103" s="100" t="s">
        <v>140</v>
      </c>
      <c r="K1103" s="91">
        <v>0</v>
      </c>
      <c r="L1103" s="91">
        <v>0</v>
      </c>
      <c r="M1103" s="92">
        <v>730</v>
      </c>
      <c r="N1103" s="94">
        <v>50</v>
      </c>
      <c r="O1103" s="253">
        <v>1</v>
      </c>
      <c r="P1103" s="94">
        <f t="shared" si="175"/>
        <v>50</v>
      </c>
      <c r="Q1103" s="94"/>
      <c r="R1103" s="92">
        <v>50</v>
      </c>
      <c r="S1103" s="92">
        <f t="shared" si="176"/>
        <v>0</v>
      </c>
      <c r="T1103" s="173">
        <f t="shared" si="177"/>
        <v>118.35616438356165</v>
      </c>
      <c r="U1103" s="101">
        <f t="shared" si="178"/>
        <v>0</v>
      </c>
      <c r="V1103" s="101">
        <f t="shared" si="179"/>
        <v>0</v>
      </c>
      <c r="W1103" s="101">
        <v>0</v>
      </c>
      <c r="X1103" s="55">
        <f t="shared" si="180"/>
        <v>46153.899999999994</v>
      </c>
    </row>
    <row r="1104" spans="1:24" hidden="1" x14ac:dyDescent="0.35">
      <c r="A1104" s="46">
        <f t="shared" si="181"/>
        <v>46153.899999999994</v>
      </c>
      <c r="B1104" s="46"/>
      <c r="C1104" s="46"/>
      <c r="D1104" s="46"/>
      <c r="E1104" s="47" t="s">
        <v>195</v>
      </c>
      <c r="F1104" s="97" t="s">
        <v>1843</v>
      </c>
      <c r="G1104" s="97"/>
      <c r="H1104" s="107" t="s">
        <v>1844</v>
      </c>
      <c r="I1104" s="71" t="s">
        <v>1845</v>
      </c>
      <c r="J1104" s="100" t="s">
        <v>140</v>
      </c>
      <c r="K1104" s="91">
        <v>0</v>
      </c>
      <c r="L1104" s="91">
        <v>0</v>
      </c>
      <c r="M1104" s="92">
        <v>730</v>
      </c>
      <c r="N1104" s="94">
        <v>150</v>
      </c>
      <c r="O1104" s="253">
        <v>1</v>
      </c>
      <c r="P1104" s="94">
        <f t="shared" ref="P1104:P1164" si="182">N1104/O1104</f>
        <v>150</v>
      </c>
      <c r="Q1104" s="94"/>
      <c r="R1104" s="92">
        <v>150</v>
      </c>
      <c r="S1104" s="92">
        <f t="shared" si="176"/>
        <v>0</v>
      </c>
      <c r="T1104" s="173">
        <f t="shared" si="177"/>
        <v>118.35616438356165</v>
      </c>
      <c r="U1104" s="101">
        <f t="shared" si="178"/>
        <v>0</v>
      </c>
      <c r="V1104" s="101">
        <f t="shared" si="179"/>
        <v>0</v>
      </c>
      <c r="W1104" s="101">
        <v>0</v>
      </c>
      <c r="X1104" s="55">
        <f t="shared" si="180"/>
        <v>46153.899999999994</v>
      </c>
    </row>
    <row r="1105" spans="1:24" hidden="1" x14ac:dyDescent="0.35">
      <c r="A1105" s="46">
        <f t="shared" si="181"/>
        <v>46153.899999999994</v>
      </c>
      <c r="B1105" s="46"/>
      <c r="C1105" s="46"/>
      <c r="D1105" s="46"/>
      <c r="E1105" s="47" t="s">
        <v>195</v>
      </c>
      <c r="F1105" s="97" t="s">
        <v>1846</v>
      </c>
      <c r="G1105" s="97"/>
      <c r="H1105" s="107" t="s">
        <v>1847</v>
      </c>
      <c r="I1105" s="71" t="s">
        <v>1848</v>
      </c>
      <c r="J1105" s="100" t="s">
        <v>140</v>
      </c>
      <c r="K1105" s="91">
        <v>0</v>
      </c>
      <c r="L1105" s="91">
        <v>0</v>
      </c>
      <c r="M1105" s="92">
        <v>730</v>
      </c>
      <c r="N1105" s="94">
        <v>100</v>
      </c>
      <c r="O1105" s="253">
        <v>1</v>
      </c>
      <c r="P1105" s="94">
        <f t="shared" si="182"/>
        <v>100</v>
      </c>
      <c r="Q1105" s="94"/>
      <c r="R1105" s="92">
        <v>100</v>
      </c>
      <c r="S1105" s="92">
        <f t="shared" si="176"/>
        <v>0</v>
      </c>
      <c r="T1105" s="173">
        <f t="shared" si="177"/>
        <v>118.35616438356165</v>
      </c>
      <c r="U1105" s="101">
        <f t="shared" si="178"/>
        <v>0</v>
      </c>
      <c r="V1105" s="101">
        <f t="shared" si="179"/>
        <v>0</v>
      </c>
      <c r="W1105" s="101">
        <v>0</v>
      </c>
      <c r="X1105" s="55">
        <f t="shared" si="180"/>
        <v>46153.899999999994</v>
      </c>
    </row>
    <row r="1106" spans="1:24" hidden="1" x14ac:dyDescent="0.35">
      <c r="A1106" s="46">
        <f t="shared" si="181"/>
        <v>46153.899999999994</v>
      </c>
      <c r="B1106" s="46"/>
      <c r="C1106" s="46"/>
      <c r="D1106" s="46"/>
      <c r="E1106" s="47" t="s">
        <v>195</v>
      </c>
      <c r="F1106" s="97" t="s">
        <v>1849</v>
      </c>
      <c r="G1106" s="97"/>
      <c r="H1106" s="107" t="s">
        <v>1850</v>
      </c>
      <c r="I1106" s="71" t="s">
        <v>1598</v>
      </c>
      <c r="J1106" s="100" t="s">
        <v>140</v>
      </c>
      <c r="K1106" s="91">
        <v>0</v>
      </c>
      <c r="L1106" s="91">
        <v>0</v>
      </c>
      <c r="M1106" s="92">
        <v>730</v>
      </c>
      <c r="N1106" s="94">
        <v>104</v>
      </c>
      <c r="O1106" s="253">
        <v>1</v>
      </c>
      <c r="P1106" s="94">
        <f t="shared" si="182"/>
        <v>104</v>
      </c>
      <c r="Q1106" s="94"/>
      <c r="R1106" s="92">
        <v>104</v>
      </c>
      <c r="S1106" s="92">
        <f t="shared" si="176"/>
        <v>0</v>
      </c>
      <c r="T1106" s="173">
        <f t="shared" si="177"/>
        <v>118.35616438356165</v>
      </c>
      <c r="U1106" s="101">
        <f t="shared" si="178"/>
        <v>0</v>
      </c>
      <c r="V1106" s="101">
        <f t="shared" si="179"/>
        <v>0</v>
      </c>
      <c r="W1106" s="101">
        <v>0</v>
      </c>
      <c r="X1106" s="55">
        <f t="shared" si="180"/>
        <v>46153.899999999994</v>
      </c>
    </row>
    <row r="1107" spans="1:24" hidden="1" x14ac:dyDescent="0.35">
      <c r="A1107" s="46">
        <f t="shared" si="181"/>
        <v>46153.899999999994</v>
      </c>
      <c r="B1107" s="46"/>
      <c r="C1107" s="46"/>
      <c r="D1107" s="46"/>
      <c r="E1107" s="47" t="s">
        <v>195</v>
      </c>
      <c r="F1107" s="82" t="s">
        <v>1851</v>
      </c>
      <c r="G1107" s="82"/>
      <c r="H1107" s="98" t="s">
        <v>1852</v>
      </c>
      <c r="I1107" s="82" t="s">
        <v>1187</v>
      </c>
      <c r="J1107" s="51" t="s">
        <v>140</v>
      </c>
      <c r="K1107" s="91">
        <v>0</v>
      </c>
      <c r="L1107" s="91">
        <v>0</v>
      </c>
      <c r="M1107" s="92">
        <v>120</v>
      </c>
      <c r="N1107" s="94">
        <v>2000</v>
      </c>
      <c r="O1107" s="253">
        <v>4</v>
      </c>
      <c r="P1107" s="94">
        <f t="shared" si="182"/>
        <v>500</v>
      </c>
      <c r="Q1107" s="94"/>
      <c r="R1107" s="92">
        <v>500</v>
      </c>
      <c r="S1107" s="92">
        <f t="shared" si="176"/>
        <v>0</v>
      </c>
      <c r="T1107" s="254">
        <f t="shared" si="177"/>
        <v>2880</v>
      </c>
      <c r="U1107" s="91">
        <f t="shared" si="178"/>
        <v>0</v>
      </c>
      <c r="V1107" s="91">
        <f t="shared" si="179"/>
        <v>0</v>
      </c>
      <c r="W1107" s="91">
        <v>0</v>
      </c>
      <c r="X1107" s="55">
        <f t="shared" si="180"/>
        <v>46153.899999999994</v>
      </c>
    </row>
    <row r="1108" spans="1:24" hidden="1" x14ac:dyDescent="0.35">
      <c r="A1108" s="46">
        <f t="shared" si="181"/>
        <v>46153.899999999994</v>
      </c>
      <c r="B1108" s="46"/>
      <c r="C1108" s="46"/>
      <c r="D1108" s="46"/>
      <c r="E1108" s="47" t="s">
        <v>195</v>
      </c>
      <c r="F1108" s="97" t="s">
        <v>900</v>
      </c>
      <c r="G1108" s="97"/>
      <c r="H1108" s="98" t="s">
        <v>1853</v>
      </c>
      <c r="I1108" s="99" t="s">
        <v>1644</v>
      </c>
      <c r="J1108" s="100" t="s">
        <v>140</v>
      </c>
      <c r="K1108" s="91">
        <v>0</v>
      </c>
      <c r="L1108" s="91">
        <v>0</v>
      </c>
      <c r="M1108" s="92">
        <v>60</v>
      </c>
      <c r="N1108" s="94">
        <v>5000</v>
      </c>
      <c r="O1108" s="253">
        <v>2</v>
      </c>
      <c r="P1108" s="94">
        <f t="shared" si="182"/>
        <v>2500</v>
      </c>
      <c r="Q1108" s="94"/>
      <c r="R1108" s="92">
        <v>2500</v>
      </c>
      <c r="S1108" s="92">
        <f t="shared" si="176"/>
        <v>0</v>
      </c>
      <c r="T1108" s="173">
        <f t="shared" si="177"/>
        <v>2880</v>
      </c>
      <c r="U1108" s="101">
        <f t="shared" si="178"/>
        <v>0</v>
      </c>
      <c r="V1108" s="101">
        <f t="shared" si="179"/>
        <v>0</v>
      </c>
      <c r="W1108" s="101">
        <v>0</v>
      </c>
      <c r="X1108" s="55">
        <f t="shared" si="180"/>
        <v>46153.899999999994</v>
      </c>
    </row>
    <row r="1109" spans="1:24" ht="26.5" hidden="1" x14ac:dyDescent="0.35">
      <c r="A1109" s="46">
        <f t="shared" si="181"/>
        <v>46153.899999999994</v>
      </c>
      <c r="B1109" s="46"/>
      <c r="C1109" s="46"/>
      <c r="D1109" s="46"/>
      <c r="E1109" s="47" t="s">
        <v>195</v>
      </c>
      <c r="F1109" s="82" t="s">
        <v>314</v>
      </c>
      <c r="G1109" s="82" t="s">
        <v>315</v>
      </c>
      <c r="H1109" s="98" t="s">
        <v>1854</v>
      </c>
      <c r="I1109" s="97" t="s">
        <v>1855</v>
      </c>
      <c r="J1109" s="170" t="s">
        <v>140</v>
      </c>
      <c r="K1109" s="91">
        <v>0</v>
      </c>
      <c r="L1109" s="91">
        <v>0</v>
      </c>
      <c r="M1109" s="92">
        <v>60</v>
      </c>
      <c r="N1109" s="94">
        <v>8000</v>
      </c>
      <c r="O1109" s="253">
        <v>1</v>
      </c>
      <c r="P1109" s="94">
        <f t="shared" si="182"/>
        <v>8000</v>
      </c>
      <c r="Q1109" s="94"/>
      <c r="R1109" s="92">
        <v>8000</v>
      </c>
      <c r="S1109" s="92">
        <f t="shared" si="176"/>
        <v>0</v>
      </c>
      <c r="T1109" s="173">
        <f t="shared" si="177"/>
        <v>1440</v>
      </c>
      <c r="U1109" s="101">
        <f t="shared" si="178"/>
        <v>0</v>
      </c>
      <c r="V1109" s="101">
        <f t="shared" si="179"/>
        <v>0</v>
      </c>
      <c r="W1109" s="101">
        <v>0</v>
      </c>
      <c r="X1109" s="55">
        <f t="shared" si="180"/>
        <v>46153.899999999994</v>
      </c>
    </row>
    <row r="1110" spans="1:24" hidden="1" x14ac:dyDescent="0.35">
      <c r="A1110" s="46">
        <f t="shared" si="181"/>
        <v>46153.899999999994</v>
      </c>
      <c r="B1110" s="46"/>
      <c r="C1110" s="46"/>
      <c r="D1110" s="46"/>
      <c r="E1110" s="47" t="s">
        <v>195</v>
      </c>
      <c r="F1110" s="99" t="s">
        <v>1856</v>
      </c>
      <c r="G1110" s="99" t="s">
        <v>315</v>
      </c>
      <c r="H1110" s="98" t="s">
        <v>1857</v>
      </c>
      <c r="I1110" s="82" t="s">
        <v>536</v>
      </c>
      <c r="J1110" s="51" t="s">
        <v>140</v>
      </c>
      <c r="K1110" s="91">
        <v>0</v>
      </c>
      <c r="L1110" s="91">
        <v>0</v>
      </c>
      <c r="M1110" s="92">
        <v>120</v>
      </c>
      <c r="N1110" s="94">
        <v>400</v>
      </c>
      <c r="O1110" s="253">
        <v>1</v>
      </c>
      <c r="P1110" s="94">
        <f t="shared" si="182"/>
        <v>400</v>
      </c>
      <c r="Q1110" s="94"/>
      <c r="R1110" s="92">
        <v>400</v>
      </c>
      <c r="S1110" s="92">
        <f t="shared" si="176"/>
        <v>0</v>
      </c>
      <c r="T1110" s="254">
        <f t="shared" si="177"/>
        <v>720</v>
      </c>
      <c r="U1110" s="91">
        <f t="shared" si="178"/>
        <v>0</v>
      </c>
      <c r="V1110" s="91">
        <f t="shared" si="179"/>
        <v>0</v>
      </c>
      <c r="W1110" s="91">
        <v>0</v>
      </c>
      <c r="X1110" s="55">
        <f t="shared" si="180"/>
        <v>46153.899999999994</v>
      </c>
    </row>
    <row r="1111" spans="1:24" s="468" customFormat="1" hidden="1" x14ac:dyDescent="0.35">
      <c r="A1111" s="46">
        <f t="shared" si="181"/>
        <v>46153.899999999994</v>
      </c>
      <c r="B1111" s="46"/>
      <c r="C1111" s="46"/>
      <c r="D1111" s="46"/>
      <c r="E1111" s="195" t="s">
        <v>195</v>
      </c>
      <c r="F1111" s="197" t="s">
        <v>1856</v>
      </c>
      <c r="G1111" s="197" t="s">
        <v>315</v>
      </c>
      <c r="H1111" s="113" t="s">
        <v>1858</v>
      </c>
      <c r="I1111" s="196" t="s">
        <v>457</v>
      </c>
      <c r="J1111" s="114" t="s">
        <v>140</v>
      </c>
      <c r="K1111" s="482">
        <v>0</v>
      </c>
      <c r="L1111" s="482">
        <v>0</v>
      </c>
      <c r="M1111" s="199">
        <v>90</v>
      </c>
      <c r="N1111" s="483">
        <v>1600</v>
      </c>
      <c r="O1111" s="484">
        <v>1</v>
      </c>
      <c r="P1111" s="483">
        <f t="shared" si="182"/>
        <v>1600</v>
      </c>
      <c r="Q1111" s="483"/>
      <c r="R1111" s="199">
        <v>1600</v>
      </c>
      <c r="S1111" s="199">
        <f t="shared" si="176"/>
        <v>0</v>
      </c>
      <c r="T1111" s="200">
        <f t="shared" si="177"/>
        <v>960</v>
      </c>
      <c r="U1111" s="115">
        <f t="shared" si="178"/>
        <v>0</v>
      </c>
      <c r="V1111" s="115">
        <f t="shared" si="179"/>
        <v>0</v>
      </c>
      <c r="W1111" s="115">
        <v>0</v>
      </c>
      <c r="X1111" s="55">
        <f t="shared" si="180"/>
        <v>46153.899999999994</v>
      </c>
    </row>
    <row r="1112" spans="1:24" s="468" customFormat="1" ht="26.5" hidden="1" x14ac:dyDescent="0.35">
      <c r="A1112" s="46">
        <f t="shared" si="181"/>
        <v>46153.899999999994</v>
      </c>
      <c r="B1112" s="46"/>
      <c r="C1112" s="46"/>
      <c r="D1112" s="46"/>
      <c r="E1112" s="296" t="s">
        <v>195</v>
      </c>
      <c r="F1112" s="499" t="s">
        <v>1213</v>
      </c>
      <c r="G1112" s="499" t="s">
        <v>315</v>
      </c>
      <c r="H1112" s="298" t="s">
        <v>1859</v>
      </c>
      <c r="I1112" s="297" t="s">
        <v>457</v>
      </c>
      <c r="J1112" s="300" t="s">
        <v>140</v>
      </c>
      <c r="K1112" s="352">
        <v>0</v>
      </c>
      <c r="L1112" s="352">
        <v>0</v>
      </c>
      <c r="M1112" s="353">
        <v>90</v>
      </c>
      <c r="N1112" s="354">
        <v>50</v>
      </c>
      <c r="O1112" s="355">
        <v>1</v>
      </c>
      <c r="P1112" s="354">
        <f t="shared" si="182"/>
        <v>50</v>
      </c>
      <c r="Q1112" s="354"/>
      <c r="R1112" s="353">
        <v>50</v>
      </c>
      <c r="S1112" s="353">
        <f t="shared" si="176"/>
        <v>0</v>
      </c>
      <c r="T1112" s="307">
        <f t="shared" si="177"/>
        <v>960</v>
      </c>
      <c r="U1112" s="301">
        <f t="shared" si="178"/>
        <v>0</v>
      </c>
      <c r="V1112" s="301">
        <f t="shared" si="179"/>
        <v>0</v>
      </c>
      <c r="W1112" s="301">
        <v>0</v>
      </c>
      <c r="X1112" s="55">
        <f t="shared" si="180"/>
        <v>46153.899999999994</v>
      </c>
    </row>
    <row r="1113" spans="1:24" s="500" customFormat="1" ht="13" hidden="1" x14ac:dyDescent="0.3">
      <c r="A1113" s="123">
        <f t="shared" si="181"/>
        <v>46153.899999999994</v>
      </c>
      <c r="B1113" s="123"/>
      <c r="C1113" s="123"/>
      <c r="D1113" s="123"/>
      <c r="E1113" s="124" t="s">
        <v>195</v>
      </c>
      <c r="F1113" s="125" t="s">
        <v>1860</v>
      </c>
      <c r="G1113" s="125" t="s">
        <v>327</v>
      </c>
      <c r="H1113" s="126" t="s">
        <v>1861</v>
      </c>
      <c r="I1113" s="159" t="s">
        <v>1635</v>
      </c>
      <c r="J1113" s="128" t="s">
        <v>140</v>
      </c>
      <c r="K1113" s="129">
        <v>0</v>
      </c>
      <c r="L1113" s="129">
        <v>0</v>
      </c>
      <c r="M1113" s="130">
        <v>68</v>
      </c>
      <c r="N1113" s="131">
        <v>1700</v>
      </c>
      <c r="O1113" s="189">
        <v>1</v>
      </c>
      <c r="P1113" s="131">
        <f t="shared" si="182"/>
        <v>1700</v>
      </c>
      <c r="Q1113" s="131"/>
      <c r="R1113" s="176">
        <v>1700</v>
      </c>
      <c r="S1113" s="130">
        <f t="shared" si="176"/>
        <v>0</v>
      </c>
      <c r="T1113" s="242">
        <f t="shared" si="177"/>
        <v>1270.5882352941176</v>
      </c>
      <c r="U1113" s="129">
        <f t="shared" si="178"/>
        <v>0</v>
      </c>
      <c r="V1113" s="129">
        <f t="shared" si="179"/>
        <v>0</v>
      </c>
      <c r="W1113" s="129">
        <v>0</v>
      </c>
      <c r="X1113" s="137">
        <f t="shared" si="180"/>
        <v>46153.899999999994</v>
      </c>
    </row>
    <row r="1114" spans="1:24" s="109" customFormat="1" ht="13" hidden="1" x14ac:dyDescent="0.3">
      <c r="A1114" s="123">
        <f t="shared" si="181"/>
        <v>46153.899999999994</v>
      </c>
      <c r="B1114" s="123"/>
      <c r="C1114" s="123"/>
      <c r="D1114" s="123"/>
      <c r="E1114" s="124" t="s">
        <v>195</v>
      </c>
      <c r="F1114" s="125" t="s">
        <v>1860</v>
      </c>
      <c r="G1114" s="125" t="s">
        <v>327</v>
      </c>
      <c r="H1114" s="126" t="s">
        <v>1861</v>
      </c>
      <c r="I1114" s="159" t="s">
        <v>1635</v>
      </c>
      <c r="J1114" s="128" t="s">
        <v>140</v>
      </c>
      <c r="K1114" s="129">
        <v>0</v>
      </c>
      <c r="L1114" s="129">
        <v>0</v>
      </c>
      <c r="M1114" s="130">
        <v>68</v>
      </c>
      <c r="N1114" s="131">
        <v>2500</v>
      </c>
      <c r="O1114" s="189">
        <v>1</v>
      </c>
      <c r="P1114" s="131">
        <f t="shared" si="182"/>
        <v>2500</v>
      </c>
      <c r="Q1114" s="131"/>
      <c r="R1114" s="176">
        <v>2500</v>
      </c>
      <c r="S1114" s="130">
        <f t="shared" si="176"/>
        <v>0</v>
      </c>
      <c r="T1114" s="242">
        <f t="shared" si="177"/>
        <v>1270.5882352941176</v>
      </c>
      <c r="U1114" s="129">
        <f t="shared" si="178"/>
        <v>0</v>
      </c>
      <c r="V1114" s="129">
        <f t="shared" si="179"/>
        <v>0</v>
      </c>
      <c r="W1114" s="129">
        <v>0</v>
      </c>
      <c r="X1114" s="137">
        <f t="shared" si="180"/>
        <v>46153.899999999994</v>
      </c>
    </row>
    <row r="1115" spans="1:24" hidden="1" x14ac:dyDescent="0.35">
      <c r="A1115" s="123">
        <f t="shared" si="181"/>
        <v>46153.899999999994</v>
      </c>
      <c r="B1115" s="123"/>
      <c r="C1115" s="123"/>
      <c r="D1115" s="123"/>
      <c r="E1115" s="124" t="s">
        <v>249</v>
      </c>
      <c r="F1115" s="125" t="s">
        <v>1860</v>
      </c>
      <c r="G1115" s="125" t="s">
        <v>327</v>
      </c>
      <c r="H1115" s="126" t="s">
        <v>1862</v>
      </c>
      <c r="I1115" s="159" t="s">
        <v>1591</v>
      </c>
      <c r="J1115" s="128" t="s">
        <v>140</v>
      </c>
      <c r="K1115" s="129">
        <v>0</v>
      </c>
      <c r="L1115" s="129">
        <v>0</v>
      </c>
      <c r="M1115" s="130">
        <v>60</v>
      </c>
      <c r="N1115" s="131">
        <v>5000</v>
      </c>
      <c r="O1115" s="189">
        <v>1</v>
      </c>
      <c r="P1115" s="131">
        <f t="shared" si="182"/>
        <v>5000</v>
      </c>
      <c r="Q1115" s="131"/>
      <c r="R1115" s="176">
        <v>5000</v>
      </c>
      <c r="S1115" s="130">
        <f t="shared" si="176"/>
        <v>0</v>
      </c>
      <c r="T1115" s="242">
        <f t="shared" si="177"/>
        <v>1440</v>
      </c>
      <c r="U1115" s="129">
        <f t="shared" si="178"/>
        <v>0</v>
      </c>
      <c r="V1115" s="129">
        <f t="shared" si="179"/>
        <v>0</v>
      </c>
      <c r="W1115" s="129">
        <v>0</v>
      </c>
      <c r="X1115" s="137">
        <f>A1115+K1115+L1115+V1115+W1115</f>
        <v>46153.899999999994</v>
      </c>
    </row>
    <row r="1116" spans="1:24" ht="26.5" hidden="1" x14ac:dyDescent="0.35">
      <c r="A1116" s="123">
        <f t="shared" si="181"/>
        <v>46153.899999999994</v>
      </c>
      <c r="B1116" s="123"/>
      <c r="C1116" s="123"/>
      <c r="D1116" s="123"/>
      <c r="E1116" s="124" t="s">
        <v>195</v>
      </c>
      <c r="F1116" s="159"/>
      <c r="G1116" s="159" t="s">
        <v>327</v>
      </c>
      <c r="H1116" s="188" t="s">
        <v>1863</v>
      </c>
      <c r="I1116" s="159" t="s">
        <v>1864</v>
      </c>
      <c r="J1116" s="175" t="s">
        <v>140</v>
      </c>
      <c r="K1116" s="129">
        <v>0</v>
      </c>
      <c r="L1116" s="129">
        <v>0</v>
      </c>
      <c r="M1116" s="130">
        <v>90</v>
      </c>
      <c r="N1116" s="131">
        <v>3000</v>
      </c>
      <c r="O1116" s="130">
        <v>2</v>
      </c>
      <c r="P1116" s="131">
        <f t="shared" si="182"/>
        <v>1500</v>
      </c>
      <c r="Q1116" s="131"/>
      <c r="R1116" s="164">
        <v>1500</v>
      </c>
      <c r="S1116" s="130">
        <f t="shared" si="176"/>
        <v>0</v>
      </c>
      <c r="T1116" s="164">
        <f t="shared" si="177"/>
        <v>1920</v>
      </c>
      <c r="U1116" s="163">
        <f t="shared" si="178"/>
        <v>0</v>
      </c>
      <c r="V1116" s="163">
        <f t="shared" si="179"/>
        <v>0</v>
      </c>
      <c r="W1116" s="163">
        <v>0</v>
      </c>
      <c r="X1116" s="137">
        <f t="shared" ref="X1116:X1121" si="183">A1116+K1116+V1116+W1116+L1116</f>
        <v>46153.899999999994</v>
      </c>
    </row>
    <row r="1117" spans="1:24" hidden="1" x14ac:dyDescent="0.35">
      <c r="A1117" s="123">
        <f t="shared" si="181"/>
        <v>46153.899999999994</v>
      </c>
      <c r="B1117" s="123"/>
      <c r="C1117" s="123"/>
      <c r="D1117" s="123"/>
      <c r="E1117" s="124" t="s">
        <v>195</v>
      </c>
      <c r="F1117" s="501" t="s">
        <v>1865</v>
      </c>
      <c r="G1117" s="125" t="s">
        <v>327</v>
      </c>
      <c r="H1117" s="126" t="s">
        <v>1866</v>
      </c>
      <c r="I1117" s="501" t="s">
        <v>1686</v>
      </c>
      <c r="J1117" s="175" t="s">
        <v>140</v>
      </c>
      <c r="K1117" s="129">
        <v>0</v>
      </c>
      <c r="L1117" s="129">
        <v>0</v>
      </c>
      <c r="M1117" s="130">
        <v>280</v>
      </c>
      <c r="N1117" s="131">
        <v>300</v>
      </c>
      <c r="O1117" s="189">
        <v>1</v>
      </c>
      <c r="P1117" s="131">
        <f t="shared" si="182"/>
        <v>300</v>
      </c>
      <c r="Q1117" s="131"/>
      <c r="R1117" s="130">
        <v>300</v>
      </c>
      <c r="S1117" s="130">
        <f t="shared" si="176"/>
        <v>0</v>
      </c>
      <c r="T1117" s="168">
        <f t="shared" si="177"/>
        <v>308.57142857142856</v>
      </c>
      <c r="U1117" s="163">
        <f t="shared" si="178"/>
        <v>0</v>
      </c>
      <c r="V1117" s="163">
        <f t="shared" si="179"/>
        <v>0</v>
      </c>
      <c r="W1117" s="163">
        <v>0</v>
      </c>
      <c r="X1117" s="137">
        <f t="shared" si="183"/>
        <v>46153.899999999994</v>
      </c>
    </row>
    <row r="1118" spans="1:24" hidden="1" x14ac:dyDescent="0.35">
      <c r="A1118" s="123">
        <f t="shared" si="181"/>
        <v>46153.899999999994</v>
      </c>
      <c r="B1118" s="123"/>
      <c r="C1118" s="123"/>
      <c r="D1118" s="123"/>
      <c r="E1118" s="124" t="s">
        <v>195</v>
      </c>
      <c r="F1118" s="125" t="s">
        <v>1860</v>
      </c>
      <c r="G1118" s="125" t="s">
        <v>327</v>
      </c>
      <c r="H1118" s="126" t="s">
        <v>1867</v>
      </c>
      <c r="I1118" s="159" t="s">
        <v>1651</v>
      </c>
      <c r="J1118" s="128" t="s">
        <v>140</v>
      </c>
      <c r="K1118" s="129">
        <v>0</v>
      </c>
      <c r="L1118" s="129">
        <v>0</v>
      </c>
      <c r="M1118" s="130">
        <v>94</v>
      </c>
      <c r="N1118" s="131">
        <v>1252</v>
      </c>
      <c r="O1118" s="189">
        <v>1</v>
      </c>
      <c r="P1118" s="131">
        <f t="shared" si="182"/>
        <v>1252</v>
      </c>
      <c r="Q1118" s="131"/>
      <c r="R1118" s="176">
        <v>1252</v>
      </c>
      <c r="S1118" s="130">
        <f t="shared" si="176"/>
        <v>0</v>
      </c>
      <c r="T1118" s="242">
        <f t="shared" si="177"/>
        <v>919.14893617021289</v>
      </c>
      <c r="U1118" s="129">
        <f t="shared" si="178"/>
        <v>0</v>
      </c>
      <c r="V1118" s="129">
        <f t="shared" si="179"/>
        <v>0</v>
      </c>
      <c r="W1118" s="129">
        <v>0</v>
      </c>
      <c r="X1118" s="137">
        <f t="shared" si="183"/>
        <v>46153.899999999994</v>
      </c>
    </row>
    <row r="1119" spans="1:24" s="118" customFormat="1" ht="52.5" hidden="1" x14ac:dyDescent="0.35">
      <c r="A1119" s="123">
        <f t="shared" si="181"/>
        <v>46153.899999999994</v>
      </c>
      <c r="B1119" s="123"/>
      <c r="C1119" s="123"/>
      <c r="D1119" s="123"/>
      <c r="E1119" s="124" t="s">
        <v>195</v>
      </c>
      <c r="F1119" s="125" t="s">
        <v>1868</v>
      </c>
      <c r="G1119" s="125" t="s">
        <v>327</v>
      </c>
      <c r="H1119" s="126" t="s">
        <v>1869</v>
      </c>
      <c r="I1119" s="161" t="s">
        <v>1870</v>
      </c>
      <c r="J1119" s="175" t="s">
        <v>140</v>
      </c>
      <c r="K1119" s="163">
        <v>0</v>
      </c>
      <c r="L1119" s="163">
        <v>0</v>
      </c>
      <c r="M1119" s="164">
        <v>90</v>
      </c>
      <c r="N1119" s="165">
        <v>3000</v>
      </c>
      <c r="O1119" s="164">
        <v>1</v>
      </c>
      <c r="P1119" s="165">
        <f t="shared" si="182"/>
        <v>3000</v>
      </c>
      <c r="Q1119" s="165"/>
      <c r="R1119" s="165">
        <v>3000</v>
      </c>
      <c r="S1119" s="165">
        <f t="shared" si="176"/>
        <v>0</v>
      </c>
      <c r="T1119" s="164">
        <f t="shared" si="177"/>
        <v>960</v>
      </c>
      <c r="U1119" s="163">
        <f t="shared" si="178"/>
        <v>0</v>
      </c>
      <c r="V1119" s="163">
        <f t="shared" si="179"/>
        <v>0</v>
      </c>
      <c r="W1119" s="163">
        <v>0</v>
      </c>
      <c r="X1119" s="169">
        <f t="shared" si="183"/>
        <v>46153.899999999994</v>
      </c>
    </row>
    <row r="1120" spans="1:24" hidden="1" x14ac:dyDescent="0.35">
      <c r="A1120" s="161">
        <f t="shared" si="181"/>
        <v>46153.899999999994</v>
      </c>
      <c r="B1120" s="161"/>
      <c r="C1120" s="161"/>
      <c r="D1120" s="161"/>
      <c r="E1120" s="124" t="s">
        <v>195</v>
      </c>
      <c r="F1120" s="125" t="s">
        <v>1264</v>
      </c>
      <c r="G1120" s="125" t="s">
        <v>327</v>
      </c>
      <c r="H1120" s="126" t="s">
        <v>1871</v>
      </c>
      <c r="I1120" s="159" t="s">
        <v>1651</v>
      </c>
      <c r="J1120" s="128" t="s">
        <v>140</v>
      </c>
      <c r="K1120" s="129">
        <v>0</v>
      </c>
      <c r="L1120" s="129">
        <v>0</v>
      </c>
      <c r="M1120" s="130">
        <v>94</v>
      </c>
      <c r="N1120" s="131">
        <v>8250</v>
      </c>
      <c r="O1120" s="189">
        <v>1</v>
      </c>
      <c r="P1120" s="131">
        <f t="shared" si="182"/>
        <v>8250</v>
      </c>
      <c r="Q1120" s="131"/>
      <c r="R1120" s="176">
        <v>8250</v>
      </c>
      <c r="S1120" s="130">
        <f t="shared" si="176"/>
        <v>0</v>
      </c>
      <c r="T1120" s="242">
        <f t="shared" si="177"/>
        <v>919.14893617021289</v>
      </c>
      <c r="U1120" s="129">
        <f t="shared" si="178"/>
        <v>0</v>
      </c>
      <c r="V1120" s="129">
        <f t="shared" si="179"/>
        <v>0</v>
      </c>
      <c r="W1120" s="129">
        <v>0</v>
      </c>
      <c r="X1120" s="137">
        <f t="shared" si="183"/>
        <v>46153.899999999994</v>
      </c>
    </row>
    <row r="1121" spans="1:24" s="109" customFormat="1" ht="26" hidden="1" x14ac:dyDescent="0.3">
      <c r="A1121" s="123">
        <f t="shared" si="181"/>
        <v>46153.899999999994</v>
      </c>
      <c r="B1121" s="123"/>
      <c r="C1121" s="123"/>
      <c r="D1121" s="123"/>
      <c r="E1121" s="124" t="s">
        <v>1872</v>
      </c>
      <c r="F1121" s="159" t="s">
        <v>355</v>
      </c>
      <c r="G1121" s="159" t="s">
        <v>327</v>
      </c>
      <c r="H1121" s="188" t="s">
        <v>1863</v>
      </c>
      <c r="I1121" s="159" t="s">
        <v>1864</v>
      </c>
      <c r="J1121" s="175" t="s">
        <v>140</v>
      </c>
      <c r="K1121" s="129">
        <v>0</v>
      </c>
      <c r="L1121" s="129">
        <v>0</v>
      </c>
      <c r="M1121" s="130">
        <v>90</v>
      </c>
      <c r="N1121" s="131">
        <v>9000</v>
      </c>
      <c r="O1121" s="130">
        <v>2</v>
      </c>
      <c r="P1121" s="131">
        <f t="shared" si="182"/>
        <v>4500</v>
      </c>
      <c r="Q1121" s="131"/>
      <c r="R1121" s="164">
        <v>4500</v>
      </c>
      <c r="S1121" s="130">
        <f t="shared" si="176"/>
        <v>0</v>
      </c>
      <c r="T1121" s="164">
        <f t="shared" si="177"/>
        <v>1920</v>
      </c>
      <c r="U1121" s="163">
        <f t="shared" si="178"/>
        <v>0</v>
      </c>
      <c r="V1121" s="163">
        <f t="shared" si="179"/>
        <v>0</v>
      </c>
      <c r="W1121" s="163">
        <v>0</v>
      </c>
      <c r="X1121" s="137">
        <f t="shared" si="183"/>
        <v>46153.899999999994</v>
      </c>
    </row>
    <row r="1122" spans="1:24" s="202" customFormat="1" hidden="1" x14ac:dyDescent="0.35">
      <c r="A1122" s="123">
        <f t="shared" si="181"/>
        <v>46153.899999999994</v>
      </c>
      <c r="B1122" s="123"/>
      <c r="C1122" s="123"/>
      <c r="D1122" s="123"/>
      <c r="E1122" s="124" t="s">
        <v>195</v>
      </c>
      <c r="F1122" s="159" t="s">
        <v>1873</v>
      </c>
      <c r="G1122" s="159" t="s">
        <v>792</v>
      </c>
      <c r="H1122" s="188" t="s">
        <v>1874</v>
      </c>
      <c r="I1122" s="159" t="s">
        <v>4222</v>
      </c>
      <c r="J1122" s="175" t="s">
        <v>140</v>
      </c>
      <c r="K1122" s="129">
        <v>0</v>
      </c>
      <c r="L1122" s="129">
        <v>0</v>
      </c>
      <c r="M1122" s="130">
        <v>50</v>
      </c>
      <c r="N1122" s="131">
        <v>1000</v>
      </c>
      <c r="O1122" s="130">
        <v>2</v>
      </c>
      <c r="P1122" s="131">
        <f t="shared" si="182"/>
        <v>500</v>
      </c>
      <c r="Q1122" s="131"/>
      <c r="R1122" s="164">
        <v>500</v>
      </c>
      <c r="S1122" s="130">
        <f t="shared" si="176"/>
        <v>0</v>
      </c>
      <c r="T1122" s="164">
        <f t="shared" si="177"/>
        <v>3456</v>
      </c>
      <c r="U1122" s="163">
        <f t="shared" si="178"/>
        <v>0</v>
      </c>
      <c r="V1122" s="163">
        <f t="shared" si="179"/>
        <v>0</v>
      </c>
      <c r="W1122" s="163">
        <v>0</v>
      </c>
      <c r="X1122" s="137">
        <f>A1122+K1122+L1122+V1122+W1122</f>
        <v>46153.899999999994</v>
      </c>
    </row>
    <row r="1123" spans="1:24" s="487" customFormat="1" hidden="1" x14ac:dyDescent="0.35">
      <c r="A1123" s="71">
        <f t="shared" si="181"/>
        <v>46153.899999999994</v>
      </c>
      <c r="B1123" s="71"/>
      <c r="C1123" s="71"/>
      <c r="D1123" s="71"/>
      <c r="E1123" s="47" t="s">
        <v>195</v>
      </c>
      <c r="F1123" s="97" t="s">
        <v>1264</v>
      </c>
      <c r="G1123" s="97" t="s">
        <v>327</v>
      </c>
      <c r="H1123" s="98" t="s">
        <v>1871</v>
      </c>
      <c r="I1123" s="82" t="s">
        <v>1651</v>
      </c>
      <c r="J1123" s="51" t="s">
        <v>140</v>
      </c>
      <c r="K1123" s="91">
        <v>0</v>
      </c>
      <c r="L1123" s="91">
        <v>0</v>
      </c>
      <c r="M1123" s="92">
        <v>94</v>
      </c>
      <c r="N1123" s="94">
        <v>3100</v>
      </c>
      <c r="O1123" s="253">
        <v>1</v>
      </c>
      <c r="P1123" s="94">
        <f t="shared" si="182"/>
        <v>3100</v>
      </c>
      <c r="Q1123" s="94"/>
      <c r="R1123" s="182">
        <v>3100</v>
      </c>
      <c r="S1123" s="92">
        <f t="shared" si="176"/>
        <v>0</v>
      </c>
      <c r="T1123" s="254">
        <f t="shared" si="177"/>
        <v>919.14893617021289</v>
      </c>
      <c r="U1123" s="91">
        <f t="shared" si="178"/>
        <v>0</v>
      </c>
      <c r="V1123" s="91">
        <f t="shared" si="179"/>
        <v>0</v>
      </c>
      <c r="W1123" s="91">
        <v>0</v>
      </c>
      <c r="X1123" s="55">
        <f t="shared" ref="X1123:X1133" si="184">A1123+K1123+V1123+W1123+L1123</f>
        <v>46153.899999999994</v>
      </c>
    </row>
    <row r="1124" spans="1:24" s="118" customFormat="1" ht="26.5" hidden="1" x14ac:dyDescent="0.35">
      <c r="A1124" s="123">
        <f t="shared" si="181"/>
        <v>46153.899999999994</v>
      </c>
      <c r="B1124" s="123"/>
      <c r="C1124" s="123"/>
      <c r="D1124" s="123"/>
      <c r="E1124" s="124" t="s">
        <v>195</v>
      </c>
      <c r="F1124" s="159" t="s">
        <v>1875</v>
      </c>
      <c r="G1124" s="159" t="s">
        <v>359</v>
      </c>
      <c r="H1124" s="188" t="s">
        <v>1876</v>
      </c>
      <c r="I1124" s="125" t="s">
        <v>765</v>
      </c>
      <c r="J1124" s="175" t="s">
        <v>140</v>
      </c>
      <c r="K1124" s="129">
        <v>0</v>
      </c>
      <c r="L1124" s="129">
        <v>0</v>
      </c>
      <c r="M1124" s="130">
        <v>100</v>
      </c>
      <c r="N1124" s="131">
        <v>1000</v>
      </c>
      <c r="O1124" s="189">
        <v>1</v>
      </c>
      <c r="P1124" s="131">
        <f t="shared" si="182"/>
        <v>1000</v>
      </c>
      <c r="Q1124" s="131"/>
      <c r="R1124" s="130">
        <v>1000</v>
      </c>
      <c r="S1124" s="130">
        <f t="shared" si="176"/>
        <v>0</v>
      </c>
      <c r="T1124" s="168">
        <f t="shared" si="177"/>
        <v>864</v>
      </c>
      <c r="U1124" s="163">
        <f t="shared" si="178"/>
        <v>0</v>
      </c>
      <c r="V1124" s="163">
        <f t="shared" si="179"/>
        <v>0</v>
      </c>
      <c r="W1124" s="163">
        <v>0</v>
      </c>
      <c r="X1124" s="137">
        <f t="shared" si="184"/>
        <v>46153.899999999994</v>
      </c>
    </row>
    <row r="1125" spans="1:24" s="502" customFormat="1" ht="13" hidden="1" x14ac:dyDescent="0.3">
      <c r="A1125" s="123">
        <f t="shared" si="181"/>
        <v>46153.899999999994</v>
      </c>
      <c r="B1125" s="123"/>
      <c r="C1125" s="123"/>
      <c r="D1125" s="123"/>
      <c r="E1125" s="124" t="s">
        <v>195</v>
      </c>
      <c r="F1125" s="125" t="s">
        <v>367</v>
      </c>
      <c r="G1125" s="125" t="s">
        <v>359</v>
      </c>
      <c r="H1125" s="126" t="s">
        <v>1877</v>
      </c>
      <c r="I1125" s="159" t="s">
        <v>673</v>
      </c>
      <c r="J1125" s="128" t="s">
        <v>283</v>
      </c>
      <c r="K1125" s="129">
        <v>0</v>
      </c>
      <c r="L1125" s="129">
        <v>0</v>
      </c>
      <c r="M1125" s="130">
        <v>67</v>
      </c>
      <c r="N1125" s="131">
        <v>720</v>
      </c>
      <c r="O1125" s="130">
        <v>1</v>
      </c>
      <c r="P1125" s="131">
        <f t="shared" si="182"/>
        <v>720</v>
      </c>
      <c r="Q1125" s="131"/>
      <c r="R1125" s="130">
        <v>720</v>
      </c>
      <c r="S1125" s="130">
        <f t="shared" si="176"/>
        <v>0</v>
      </c>
      <c r="T1125" s="130">
        <f t="shared" si="177"/>
        <v>1289.5522388059703</v>
      </c>
      <c r="U1125" s="129">
        <f t="shared" si="178"/>
        <v>0</v>
      </c>
      <c r="V1125" s="129">
        <f t="shared" si="179"/>
        <v>0</v>
      </c>
      <c r="W1125" s="129">
        <v>0</v>
      </c>
      <c r="X1125" s="137">
        <f t="shared" si="184"/>
        <v>46153.899999999994</v>
      </c>
    </row>
    <row r="1126" spans="1:24" s="502" customFormat="1" ht="13" hidden="1" x14ac:dyDescent="0.3">
      <c r="A1126" s="123">
        <f t="shared" si="181"/>
        <v>46153.899999999994</v>
      </c>
      <c r="B1126" s="123"/>
      <c r="C1126" s="123"/>
      <c r="D1126" s="123"/>
      <c r="E1126" s="124" t="s">
        <v>195</v>
      </c>
      <c r="F1126" s="125" t="s">
        <v>364</v>
      </c>
      <c r="G1126" s="125" t="s">
        <v>359</v>
      </c>
      <c r="H1126" s="126" t="s">
        <v>1878</v>
      </c>
      <c r="I1126" s="159" t="s">
        <v>673</v>
      </c>
      <c r="J1126" s="128" t="s">
        <v>283</v>
      </c>
      <c r="K1126" s="129">
        <v>0</v>
      </c>
      <c r="L1126" s="129">
        <v>0</v>
      </c>
      <c r="M1126" s="130">
        <v>67</v>
      </c>
      <c r="N1126" s="131">
        <v>1440</v>
      </c>
      <c r="O1126" s="130">
        <v>1</v>
      </c>
      <c r="P1126" s="131">
        <f t="shared" si="182"/>
        <v>1440</v>
      </c>
      <c r="Q1126" s="131"/>
      <c r="R1126" s="130">
        <v>1440</v>
      </c>
      <c r="S1126" s="130">
        <f t="shared" si="176"/>
        <v>0</v>
      </c>
      <c r="T1126" s="130">
        <f t="shared" si="177"/>
        <v>1289.5522388059703</v>
      </c>
      <c r="U1126" s="129">
        <f t="shared" si="178"/>
        <v>0</v>
      </c>
      <c r="V1126" s="129">
        <f t="shared" si="179"/>
        <v>0</v>
      </c>
      <c r="W1126" s="129">
        <v>0</v>
      </c>
      <c r="X1126" s="137">
        <f t="shared" si="184"/>
        <v>46153.899999999994</v>
      </c>
    </row>
    <row r="1127" spans="1:24" s="504" customFormat="1" ht="26" hidden="1" x14ac:dyDescent="0.3">
      <c r="A1127" s="123">
        <f t="shared" si="181"/>
        <v>46153.899999999994</v>
      </c>
      <c r="B1127" s="123"/>
      <c r="C1127" s="123"/>
      <c r="D1127" s="123"/>
      <c r="E1127" s="124" t="s">
        <v>195</v>
      </c>
      <c r="F1127" s="160" t="s">
        <v>1879</v>
      </c>
      <c r="G1127" s="125" t="s">
        <v>359</v>
      </c>
      <c r="H1127" s="503" t="s">
        <v>1880</v>
      </c>
      <c r="I1127" s="159" t="s">
        <v>4223</v>
      </c>
      <c r="J1127" s="175" t="s">
        <v>140</v>
      </c>
      <c r="K1127" s="129">
        <v>0</v>
      </c>
      <c r="L1127" s="129">
        <v>0</v>
      </c>
      <c r="M1127" s="130">
        <v>85</v>
      </c>
      <c r="N1127" s="131">
        <v>300</v>
      </c>
      <c r="O1127" s="189">
        <v>1</v>
      </c>
      <c r="P1127" s="131">
        <f t="shared" si="182"/>
        <v>300</v>
      </c>
      <c r="Q1127" s="131"/>
      <c r="R1127" s="176">
        <v>300</v>
      </c>
      <c r="S1127" s="130">
        <f t="shared" si="176"/>
        <v>0</v>
      </c>
      <c r="T1127" s="168">
        <f t="shared" si="177"/>
        <v>1016.4705882352941</v>
      </c>
      <c r="U1127" s="163">
        <f t="shared" si="178"/>
        <v>0</v>
      </c>
      <c r="V1127" s="163">
        <f t="shared" si="179"/>
        <v>0</v>
      </c>
      <c r="W1127" s="163">
        <v>0</v>
      </c>
      <c r="X1127" s="137">
        <f t="shared" si="184"/>
        <v>46153.899999999994</v>
      </c>
    </row>
    <row r="1128" spans="1:24" s="504" customFormat="1" ht="26" hidden="1" x14ac:dyDescent="0.3">
      <c r="A1128" s="123">
        <f t="shared" si="181"/>
        <v>46153.899999999994</v>
      </c>
      <c r="B1128" s="123"/>
      <c r="C1128" s="123"/>
      <c r="D1128" s="123"/>
      <c r="E1128" s="124" t="s">
        <v>195</v>
      </c>
      <c r="F1128" s="160" t="s">
        <v>1879</v>
      </c>
      <c r="G1128" s="125" t="s">
        <v>359</v>
      </c>
      <c r="H1128" s="503" t="s">
        <v>1881</v>
      </c>
      <c r="I1128" s="159" t="s">
        <v>4224</v>
      </c>
      <c r="J1128" s="175" t="s">
        <v>140</v>
      </c>
      <c r="K1128" s="129">
        <v>0</v>
      </c>
      <c r="L1128" s="129">
        <v>0</v>
      </c>
      <c r="M1128" s="130">
        <v>85</v>
      </c>
      <c r="N1128" s="131">
        <v>250</v>
      </c>
      <c r="O1128" s="189">
        <v>1</v>
      </c>
      <c r="P1128" s="131">
        <f t="shared" si="182"/>
        <v>250</v>
      </c>
      <c r="Q1128" s="131"/>
      <c r="R1128" s="176">
        <v>250</v>
      </c>
      <c r="S1128" s="130">
        <f t="shared" si="176"/>
        <v>0</v>
      </c>
      <c r="T1128" s="168">
        <f t="shared" si="177"/>
        <v>1016.4705882352941</v>
      </c>
      <c r="U1128" s="163">
        <f t="shared" si="178"/>
        <v>0</v>
      </c>
      <c r="V1128" s="163">
        <f t="shared" si="179"/>
        <v>0</v>
      </c>
      <c r="W1128" s="163">
        <v>0</v>
      </c>
      <c r="X1128" s="137">
        <f t="shared" si="184"/>
        <v>46153.899999999994</v>
      </c>
    </row>
    <row r="1129" spans="1:24" s="504" customFormat="1" ht="39" hidden="1" x14ac:dyDescent="0.3">
      <c r="A1129" s="123">
        <f t="shared" si="181"/>
        <v>46153.899999999994</v>
      </c>
      <c r="B1129" s="123"/>
      <c r="C1129" s="123"/>
      <c r="D1129" s="123"/>
      <c r="E1129" s="124" t="s">
        <v>195</v>
      </c>
      <c r="F1129" s="160" t="s">
        <v>1879</v>
      </c>
      <c r="G1129" s="125" t="s">
        <v>359</v>
      </c>
      <c r="H1129" s="503" t="s">
        <v>1882</v>
      </c>
      <c r="I1129" s="159" t="s">
        <v>4225</v>
      </c>
      <c r="J1129" s="175" t="s">
        <v>140</v>
      </c>
      <c r="K1129" s="129">
        <v>0</v>
      </c>
      <c r="L1129" s="129">
        <v>0</v>
      </c>
      <c r="M1129" s="130">
        <v>85</v>
      </c>
      <c r="N1129" s="131">
        <v>600</v>
      </c>
      <c r="O1129" s="189">
        <v>1</v>
      </c>
      <c r="P1129" s="131">
        <f t="shared" si="182"/>
        <v>600</v>
      </c>
      <c r="Q1129" s="131"/>
      <c r="R1129" s="130">
        <v>600</v>
      </c>
      <c r="S1129" s="130">
        <f t="shared" si="176"/>
        <v>0</v>
      </c>
      <c r="T1129" s="168">
        <f t="shared" si="177"/>
        <v>1016.4705882352941</v>
      </c>
      <c r="U1129" s="163">
        <f t="shared" si="178"/>
        <v>0</v>
      </c>
      <c r="V1129" s="163">
        <f t="shared" si="179"/>
        <v>0</v>
      </c>
      <c r="W1129" s="163">
        <v>0</v>
      </c>
      <c r="X1129" s="137">
        <f t="shared" si="184"/>
        <v>46153.899999999994</v>
      </c>
    </row>
    <row r="1130" spans="1:24" s="118" customFormat="1" ht="26.5" hidden="1" x14ac:dyDescent="0.35">
      <c r="A1130" s="123">
        <f t="shared" si="181"/>
        <v>46153.899999999994</v>
      </c>
      <c r="B1130" s="123"/>
      <c r="C1130" s="123"/>
      <c r="D1130" s="123"/>
      <c r="E1130" s="124" t="s">
        <v>195</v>
      </c>
      <c r="F1130" s="159" t="s">
        <v>827</v>
      </c>
      <c r="G1130" s="251" t="s">
        <v>359</v>
      </c>
      <c r="H1130" s="505" t="s">
        <v>1883</v>
      </c>
      <c r="I1130" s="251" t="s">
        <v>1414</v>
      </c>
      <c r="J1130" s="506" t="s">
        <v>140</v>
      </c>
      <c r="K1130" s="258">
        <v>0</v>
      </c>
      <c r="L1130" s="258">
        <v>0</v>
      </c>
      <c r="M1130" s="507">
        <v>120</v>
      </c>
      <c r="N1130" s="508">
        <v>1600</v>
      </c>
      <c r="O1130" s="509">
        <v>1</v>
      </c>
      <c r="P1130" s="508">
        <f t="shared" si="182"/>
        <v>1600</v>
      </c>
      <c r="Q1130" s="508"/>
      <c r="R1130" s="507">
        <v>1600</v>
      </c>
      <c r="S1130" s="130">
        <f t="shared" si="176"/>
        <v>0</v>
      </c>
      <c r="T1130" s="510">
        <f t="shared" si="177"/>
        <v>720</v>
      </c>
      <c r="U1130" s="258">
        <f t="shared" si="178"/>
        <v>0</v>
      </c>
      <c r="V1130" s="258">
        <f t="shared" si="179"/>
        <v>0</v>
      </c>
      <c r="W1130" s="258">
        <v>0</v>
      </c>
      <c r="X1130" s="137">
        <f t="shared" si="184"/>
        <v>46153.899999999994</v>
      </c>
    </row>
    <row r="1131" spans="1:24" ht="39.5" hidden="1" x14ac:dyDescent="0.35">
      <c r="A1131" s="123">
        <f t="shared" si="181"/>
        <v>46153.899999999994</v>
      </c>
      <c r="B1131" s="123"/>
      <c r="C1131" s="123"/>
      <c r="D1131" s="123"/>
      <c r="E1131" s="124" t="s">
        <v>195</v>
      </c>
      <c r="F1131" s="160" t="s">
        <v>1299</v>
      </c>
      <c r="G1131" s="160" t="s">
        <v>830</v>
      </c>
      <c r="H1131" s="503" t="s">
        <v>1884</v>
      </c>
      <c r="I1131" s="159" t="s">
        <v>4226</v>
      </c>
      <c r="J1131" s="175" t="s">
        <v>140</v>
      </c>
      <c r="K1131" s="129">
        <v>0</v>
      </c>
      <c r="L1131" s="129">
        <v>0</v>
      </c>
      <c r="M1131" s="130">
        <v>85</v>
      </c>
      <c r="N1131" s="131">
        <v>150</v>
      </c>
      <c r="O1131" s="130">
        <v>1</v>
      </c>
      <c r="P1131" s="131">
        <f t="shared" si="182"/>
        <v>150</v>
      </c>
      <c r="Q1131" s="131"/>
      <c r="R1131" s="130">
        <v>150</v>
      </c>
      <c r="S1131" s="130">
        <f t="shared" si="176"/>
        <v>0</v>
      </c>
      <c r="T1131" s="164">
        <f t="shared" si="177"/>
        <v>1016.4705882352941</v>
      </c>
      <c r="U1131" s="163">
        <f t="shared" si="178"/>
        <v>0</v>
      </c>
      <c r="V1131" s="163">
        <f t="shared" si="179"/>
        <v>0</v>
      </c>
      <c r="W1131" s="163">
        <v>0</v>
      </c>
      <c r="X1131" s="137">
        <f t="shared" si="184"/>
        <v>46153.899999999994</v>
      </c>
    </row>
    <row r="1132" spans="1:24" s="186" customFormat="1" hidden="1" x14ac:dyDescent="0.35">
      <c r="A1132" s="123">
        <f t="shared" si="181"/>
        <v>46153.899999999994</v>
      </c>
      <c r="B1132" s="123"/>
      <c r="C1132" s="123"/>
      <c r="D1132" s="123"/>
      <c r="E1132" s="124" t="s">
        <v>195</v>
      </c>
      <c r="F1132" s="159" t="s">
        <v>1564</v>
      </c>
      <c r="G1132" s="159" t="s">
        <v>830</v>
      </c>
      <c r="H1132" s="467">
        <v>13389</v>
      </c>
      <c r="I1132" s="159" t="s">
        <v>1578</v>
      </c>
      <c r="J1132" s="128" t="s">
        <v>140</v>
      </c>
      <c r="K1132" s="129">
        <v>0</v>
      </c>
      <c r="L1132" s="129">
        <v>0</v>
      </c>
      <c r="M1132" s="130">
        <v>120</v>
      </c>
      <c r="N1132" s="131">
        <v>3000</v>
      </c>
      <c r="O1132" s="189">
        <v>1</v>
      </c>
      <c r="P1132" s="131">
        <f t="shared" si="182"/>
        <v>3000</v>
      </c>
      <c r="Q1132" s="131"/>
      <c r="R1132" s="130">
        <v>3000</v>
      </c>
      <c r="S1132" s="130">
        <f t="shared" si="176"/>
        <v>0</v>
      </c>
      <c r="T1132" s="242">
        <f t="shared" si="177"/>
        <v>720</v>
      </c>
      <c r="U1132" s="129">
        <f t="shared" si="178"/>
        <v>0</v>
      </c>
      <c r="V1132" s="129">
        <f t="shared" si="179"/>
        <v>0</v>
      </c>
      <c r="W1132" s="129">
        <v>0</v>
      </c>
      <c r="X1132" s="137">
        <f t="shared" si="184"/>
        <v>46153.899999999994</v>
      </c>
    </row>
    <row r="1133" spans="1:24" s="511" customFormat="1" hidden="1" x14ac:dyDescent="0.35">
      <c r="A1133" s="46">
        <f t="shared" si="181"/>
        <v>46153.899999999994</v>
      </c>
      <c r="B1133" s="46"/>
      <c r="C1133" s="46"/>
      <c r="D1133" s="46"/>
      <c r="E1133" s="47" t="s">
        <v>195</v>
      </c>
      <c r="F1133" s="97" t="s">
        <v>1264</v>
      </c>
      <c r="G1133" s="97" t="s">
        <v>327</v>
      </c>
      <c r="H1133" s="98" t="s">
        <v>1885</v>
      </c>
      <c r="I1133" s="82" t="s">
        <v>1635</v>
      </c>
      <c r="J1133" s="51" t="s">
        <v>140</v>
      </c>
      <c r="K1133" s="91">
        <v>0</v>
      </c>
      <c r="L1133" s="91">
        <v>0</v>
      </c>
      <c r="M1133" s="92">
        <v>68</v>
      </c>
      <c r="N1133" s="94">
        <v>3490</v>
      </c>
      <c r="O1133" s="253">
        <v>1</v>
      </c>
      <c r="P1133" s="94">
        <f t="shared" si="182"/>
        <v>3490</v>
      </c>
      <c r="Q1133" s="94"/>
      <c r="R1133" s="182">
        <v>3490</v>
      </c>
      <c r="S1133" s="92">
        <f t="shared" si="176"/>
        <v>0</v>
      </c>
      <c r="T1133" s="254">
        <f t="shared" si="177"/>
        <v>1270.5882352941176</v>
      </c>
      <c r="U1133" s="91">
        <f t="shared" si="178"/>
        <v>0</v>
      </c>
      <c r="V1133" s="91">
        <f t="shared" si="179"/>
        <v>0</v>
      </c>
      <c r="W1133" s="91">
        <v>0</v>
      </c>
      <c r="X1133" s="55">
        <f t="shared" si="184"/>
        <v>46153.899999999994</v>
      </c>
    </row>
    <row r="1134" spans="1:24" s="186" customFormat="1" hidden="1" x14ac:dyDescent="0.35">
      <c r="A1134" s="123">
        <f t="shared" si="181"/>
        <v>46153.899999999994</v>
      </c>
      <c r="B1134" s="123"/>
      <c r="C1134" s="123"/>
      <c r="D1134" s="123"/>
      <c r="E1134" s="124" t="s">
        <v>195</v>
      </c>
      <c r="F1134" s="125" t="s">
        <v>355</v>
      </c>
      <c r="G1134" s="125" t="s">
        <v>839</v>
      </c>
      <c r="H1134" s="126" t="s">
        <v>1886</v>
      </c>
      <c r="I1134" s="159" t="s">
        <v>1591</v>
      </c>
      <c r="J1134" s="128" t="s">
        <v>140</v>
      </c>
      <c r="K1134" s="129">
        <v>0</v>
      </c>
      <c r="L1134" s="129">
        <v>0</v>
      </c>
      <c r="M1134" s="130">
        <v>60</v>
      </c>
      <c r="N1134" s="131">
        <v>3000</v>
      </c>
      <c r="O1134" s="189">
        <v>1</v>
      </c>
      <c r="P1134" s="131">
        <f t="shared" si="182"/>
        <v>3000</v>
      </c>
      <c r="Q1134" s="131"/>
      <c r="R1134" s="176">
        <v>3000</v>
      </c>
      <c r="S1134" s="130">
        <f t="shared" si="176"/>
        <v>0</v>
      </c>
      <c r="T1134" s="242">
        <f t="shared" si="177"/>
        <v>1440</v>
      </c>
      <c r="U1134" s="129">
        <f t="shared" si="178"/>
        <v>0</v>
      </c>
      <c r="V1134" s="129">
        <f t="shared" si="179"/>
        <v>0</v>
      </c>
      <c r="W1134" s="129">
        <v>0</v>
      </c>
      <c r="X1134" s="137">
        <f>A1134+K1134+L1134+V1134+W1134</f>
        <v>46153.899999999994</v>
      </c>
    </row>
    <row r="1135" spans="1:24" s="186" customFormat="1" hidden="1" x14ac:dyDescent="0.35">
      <c r="A1135" s="123">
        <f t="shared" si="181"/>
        <v>46153.899999999994</v>
      </c>
      <c r="B1135" s="123"/>
      <c r="C1135" s="123"/>
      <c r="D1135" s="123"/>
      <c r="E1135" s="124" t="s">
        <v>195</v>
      </c>
      <c r="F1135" s="187" t="s">
        <v>1652</v>
      </c>
      <c r="G1135" s="187" t="s">
        <v>839</v>
      </c>
      <c r="H1135" s="126" t="s">
        <v>1887</v>
      </c>
      <c r="I1135" s="159" t="s">
        <v>536</v>
      </c>
      <c r="J1135" s="128" t="s">
        <v>140</v>
      </c>
      <c r="K1135" s="129">
        <v>0</v>
      </c>
      <c r="L1135" s="129">
        <v>0</v>
      </c>
      <c r="M1135" s="130">
        <v>120</v>
      </c>
      <c r="N1135" s="131">
        <v>1000</v>
      </c>
      <c r="O1135" s="189">
        <v>1</v>
      </c>
      <c r="P1135" s="131">
        <f t="shared" si="182"/>
        <v>1000</v>
      </c>
      <c r="Q1135" s="131"/>
      <c r="R1135" s="130">
        <v>1000</v>
      </c>
      <c r="S1135" s="130">
        <f t="shared" si="176"/>
        <v>0</v>
      </c>
      <c r="T1135" s="242">
        <f t="shared" si="177"/>
        <v>720</v>
      </c>
      <c r="U1135" s="129">
        <f t="shared" si="178"/>
        <v>0</v>
      </c>
      <c r="V1135" s="129">
        <f t="shared" si="179"/>
        <v>0</v>
      </c>
      <c r="W1135" s="129">
        <v>0</v>
      </c>
      <c r="X1135" s="137">
        <f>A1135+K1135+V1135+W1135+L1135</f>
        <v>46153.899999999994</v>
      </c>
    </row>
    <row r="1136" spans="1:24" s="186" customFormat="1" ht="26.5" hidden="1" x14ac:dyDescent="0.35">
      <c r="A1136" s="123">
        <f t="shared" si="181"/>
        <v>46153.899999999994</v>
      </c>
      <c r="B1136" s="123"/>
      <c r="C1136" s="123"/>
      <c r="D1136" s="123"/>
      <c r="E1136" s="124" t="s">
        <v>195</v>
      </c>
      <c r="F1136" s="159" t="s">
        <v>841</v>
      </c>
      <c r="G1136" s="159" t="s">
        <v>839</v>
      </c>
      <c r="H1136" s="188" t="s">
        <v>1888</v>
      </c>
      <c r="I1136" s="159" t="s">
        <v>1573</v>
      </c>
      <c r="J1136" s="175" t="s">
        <v>140</v>
      </c>
      <c r="K1136" s="163">
        <v>0</v>
      </c>
      <c r="L1136" s="129">
        <v>0</v>
      </c>
      <c r="M1136" s="130">
        <v>100</v>
      </c>
      <c r="N1136" s="131">
        <v>1000</v>
      </c>
      <c r="O1136" s="189">
        <v>1</v>
      </c>
      <c r="P1136" s="131">
        <f t="shared" si="182"/>
        <v>1000</v>
      </c>
      <c r="Q1136" s="131"/>
      <c r="R1136" s="130">
        <v>1000</v>
      </c>
      <c r="S1136" s="130">
        <f t="shared" si="176"/>
        <v>0</v>
      </c>
      <c r="T1136" s="168">
        <f t="shared" si="177"/>
        <v>864</v>
      </c>
      <c r="U1136" s="163">
        <f t="shared" si="178"/>
        <v>0</v>
      </c>
      <c r="V1136" s="163">
        <f t="shared" si="179"/>
        <v>0</v>
      </c>
      <c r="W1136" s="163">
        <v>0</v>
      </c>
      <c r="X1136" s="137">
        <f>A1136+K1136+L1136+V1136+W1136</f>
        <v>46153.899999999994</v>
      </c>
    </row>
    <row r="1137" spans="1:24" s="186" customFormat="1" ht="26.5" hidden="1" x14ac:dyDescent="0.35">
      <c r="A1137" s="123">
        <f t="shared" si="181"/>
        <v>46153.899999999994</v>
      </c>
      <c r="B1137" s="123"/>
      <c r="C1137" s="123"/>
      <c r="D1137" s="123"/>
      <c r="E1137" s="124" t="s">
        <v>195</v>
      </c>
      <c r="F1137" s="159" t="s">
        <v>843</v>
      </c>
      <c r="G1137" s="159" t="s">
        <v>839</v>
      </c>
      <c r="H1137" s="188" t="s">
        <v>1889</v>
      </c>
      <c r="I1137" s="159" t="s">
        <v>1573</v>
      </c>
      <c r="J1137" s="175" t="s">
        <v>140</v>
      </c>
      <c r="K1137" s="163">
        <v>0</v>
      </c>
      <c r="L1137" s="129">
        <v>0</v>
      </c>
      <c r="M1137" s="130">
        <v>100</v>
      </c>
      <c r="N1137" s="131">
        <v>250</v>
      </c>
      <c r="O1137" s="189">
        <v>1</v>
      </c>
      <c r="P1137" s="131">
        <f t="shared" si="182"/>
        <v>250</v>
      </c>
      <c r="Q1137" s="131"/>
      <c r="R1137" s="130">
        <v>250</v>
      </c>
      <c r="S1137" s="130">
        <f t="shared" si="176"/>
        <v>0</v>
      </c>
      <c r="T1137" s="168">
        <f t="shared" si="177"/>
        <v>864</v>
      </c>
      <c r="U1137" s="163">
        <f t="shared" si="178"/>
        <v>0</v>
      </c>
      <c r="V1137" s="163">
        <f t="shared" si="179"/>
        <v>0</v>
      </c>
      <c r="W1137" s="163">
        <v>0</v>
      </c>
      <c r="X1137" s="137">
        <f>A1137+K1137+L1137+V1137+W1137</f>
        <v>46153.899999999994</v>
      </c>
    </row>
    <row r="1138" spans="1:24" s="186" customFormat="1" hidden="1" x14ac:dyDescent="0.35">
      <c r="A1138" s="123">
        <f t="shared" si="181"/>
        <v>46153.899999999994</v>
      </c>
      <c r="B1138" s="123"/>
      <c r="C1138" s="123"/>
      <c r="D1138" s="123"/>
      <c r="E1138" s="124" t="s">
        <v>249</v>
      </c>
      <c r="F1138" s="159" t="s">
        <v>1890</v>
      </c>
      <c r="G1138" s="159" t="s">
        <v>386</v>
      </c>
      <c r="H1138" s="126" t="s">
        <v>1891</v>
      </c>
      <c r="I1138" s="159" t="s">
        <v>1332</v>
      </c>
      <c r="J1138" s="128" t="s">
        <v>140</v>
      </c>
      <c r="K1138" s="129">
        <v>0</v>
      </c>
      <c r="L1138" s="129">
        <v>0</v>
      </c>
      <c r="M1138" s="130">
        <v>120</v>
      </c>
      <c r="N1138" s="131">
        <v>500</v>
      </c>
      <c r="O1138" s="189">
        <v>1</v>
      </c>
      <c r="P1138" s="131">
        <f t="shared" si="182"/>
        <v>500</v>
      </c>
      <c r="Q1138" s="131"/>
      <c r="R1138" s="130">
        <v>500</v>
      </c>
      <c r="S1138" s="130">
        <f t="shared" si="176"/>
        <v>0</v>
      </c>
      <c r="T1138" s="242">
        <f t="shared" si="177"/>
        <v>720</v>
      </c>
      <c r="U1138" s="129">
        <f t="shared" si="178"/>
        <v>0</v>
      </c>
      <c r="V1138" s="129">
        <f t="shared" si="179"/>
        <v>0</v>
      </c>
      <c r="W1138" s="129">
        <v>0</v>
      </c>
      <c r="X1138" s="137">
        <f t="shared" ref="X1138:X1153" si="185">A1138+K1138+V1138+W1138+L1138</f>
        <v>46153.899999999994</v>
      </c>
    </row>
    <row r="1139" spans="1:24" s="186" customFormat="1" hidden="1" x14ac:dyDescent="0.35">
      <c r="A1139" s="123">
        <f t="shared" si="181"/>
        <v>46153.899999999994</v>
      </c>
      <c r="B1139" s="123"/>
      <c r="C1139" s="123"/>
      <c r="D1139" s="123"/>
      <c r="E1139" s="124" t="s">
        <v>249</v>
      </c>
      <c r="F1139" s="159" t="s">
        <v>1890</v>
      </c>
      <c r="G1139" s="159" t="s">
        <v>386</v>
      </c>
      <c r="H1139" s="126" t="s">
        <v>1892</v>
      </c>
      <c r="I1139" s="159" t="s">
        <v>1330</v>
      </c>
      <c r="J1139" s="128" t="s">
        <v>140</v>
      </c>
      <c r="K1139" s="129">
        <v>0</v>
      </c>
      <c r="L1139" s="129">
        <v>0</v>
      </c>
      <c r="M1139" s="130">
        <v>120</v>
      </c>
      <c r="N1139" s="131">
        <v>100</v>
      </c>
      <c r="O1139" s="189">
        <v>1</v>
      </c>
      <c r="P1139" s="131">
        <f t="shared" si="182"/>
        <v>100</v>
      </c>
      <c r="Q1139" s="131"/>
      <c r="R1139" s="130">
        <v>100</v>
      </c>
      <c r="S1139" s="130">
        <f t="shared" si="176"/>
        <v>0</v>
      </c>
      <c r="T1139" s="242">
        <f t="shared" si="177"/>
        <v>720</v>
      </c>
      <c r="U1139" s="129">
        <f t="shared" si="178"/>
        <v>0</v>
      </c>
      <c r="V1139" s="129">
        <f t="shared" si="179"/>
        <v>0</v>
      </c>
      <c r="W1139" s="129">
        <v>0</v>
      </c>
      <c r="X1139" s="137">
        <f t="shared" si="185"/>
        <v>46153.899999999994</v>
      </c>
    </row>
    <row r="1140" spans="1:24" s="186" customFormat="1" hidden="1" x14ac:dyDescent="0.35">
      <c r="A1140" s="123">
        <f t="shared" si="181"/>
        <v>46153.899999999994</v>
      </c>
      <c r="B1140" s="123"/>
      <c r="C1140" s="123"/>
      <c r="D1140" s="123"/>
      <c r="E1140" s="124" t="s">
        <v>249</v>
      </c>
      <c r="F1140" s="159" t="s">
        <v>1890</v>
      </c>
      <c r="G1140" s="159" t="s">
        <v>386</v>
      </c>
      <c r="H1140" s="126" t="s">
        <v>1893</v>
      </c>
      <c r="I1140" s="159" t="s">
        <v>1833</v>
      </c>
      <c r="J1140" s="128" t="s">
        <v>140</v>
      </c>
      <c r="K1140" s="129">
        <v>0</v>
      </c>
      <c r="L1140" s="129">
        <v>0</v>
      </c>
      <c r="M1140" s="130">
        <v>120</v>
      </c>
      <c r="N1140" s="131">
        <v>200</v>
      </c>
      <c r="O1140" s="189">
        <v>1</v>
      </c>
      <c r="P1140" s="131">
        <f t="shared" si="182"/>
        <v>200</v>
      </c>
      <c r="Q1140" s="131"/>
      <c r="R1140" s="130">
        <v>200</v>
      </c>
      <c r="S1140" s="130">
        <f t="shared" si="176"/>
        <v>0</v>
      </c>
      <c r="T1140" s="242">
        <f t="shared" si="177"/>
        <v>720</v>
      </c>
      <c r="U1140" s="129">
        <f t="shared" si="178"/>
        <v>0</v>
      </c>
      <c r="V1140" s="129">
        <f t="shared" si="179"/>
        <v>0</v>
      </c>
      <c r="W1140" s="129">
        <v>0</v>
      </c>
      <c r="X1140" s="137">
        <f t="shared" si="185"/>
        <v>46153.899999999994</v>
      </c>
    </row>
    <row r="1141" spans="1:24" s="202" customFormat="1" hidden="1" x14ac:dyDescent="0.35">
      <c r="A1141" s="295">
        <f t="shared" si="181"/>
        <v>46153.899999999994</v>
      </c>
      <c r="B1141" s="512"/>
      <c r="C1141" s="512"/>
      <c r="D1141" s="512"/>
      <c r="E1141" s="457" t="s">
        <v>249</v>
      </c>
      <c r="F1141" s="458" t="s">
        <v>14</v>
      </c>
      <c r="G1141" s="458"/>
      <c r="H1141" s="459" t="s">
        <v>14</v>
      </c>
      <c r="I1141" s="460" t="s">
        <v>1894</v>
      </c>
      <c r="J1141" s="461" t="s">
        <v>140</v>
      </c>
      <c r="K1141" s="462">
        <v>0</v>
      </c>
      <c r="L1141" s="462">
        <v>0</v>
      </c>
      <c r="M1141" s="463">
        <v>90</v>
      </c>
      <c r="N1141" s="464">
        <v>90</v>
      </c>
      <c r="O1141" s="465">
        <v>1</v>
      </c>
      <c r="P1141" s="354">
        <f t="shared" si="182"/>
        <v>90</v>
      </c>
      <c r="Q1141" s="464"/>
      <c r="R1141" s="463">
        <v>90</v>
      </c>
      <c r="S1141" s="353">
        <f t="shared" si="176"/>
        <v>0</v>
      </c>
      <c r="T1141" s="466">
        <f t="shared" si="177"/>
        <v>960</v>
      </c>
      <c r="U1141" s="462">
        <f t="shared" si="178"/>
        <v>0</v>
      </c>
      <c r="V1141" s="462">
        <f t="shared" si="179"/>
        <v>0</v>
      </c>
      <c r="W1141" s="462">
        <v>0</v>
      </c>
      <c r="X1141" s="308">
        <f t="shared" si="185"/>
        <v>46153.899999999994</v>
      </c>
    </row>
    <row r="1142" spans="1:24" s="186" customFormat="1" ht="26.5" hidden="1" x14ac:dyDescent="0.35">
      <c r="A1142" s="123">
        <f t="shared" si="181"/>
        <v>46153.899999999994</v>
      </c>
      <c r="B1142" s="161">
        <v>46059</v>
      </c>
      <c r="C1142" s="183">
        <f t="shared" ref="C1142:C1164" si="186">B1142-A1142</f>
        <v>-94.899999999994179</v>
      </c>
      <c r="D1142" s="183"/>
      <c r="E1142" s="124" t="s">
        <v>195</v>
      </c>
      <c r="F1142" s="159" t="s">
        <v>355</v>
      </c>
      <c r="G1142" s="159"/>
      <c r="H1142" s="188" t="s">
        <v>1895</v>
      </c>
      <c r="I1142" s="159" t="s">
        <v>1864</v>
      </c>
      <c r="J1142" s="175" t="s">
        <v>140</v>
      </c>
      <c r="K1142" s="129">
        <v>0</v>
      </c>
      <c r="L1142" s="129">
        <v>0</v>
      </c>
      <c r="M1142" s="130">
        <v>90</v>
      </c>
      <c r="N1142" s="131">
        <v>15000</v>
      </c>
      <c r="O1142" s="130">
        <v>2</v>
      </c>
      <c r="P1142" s="131">
        <f t="shared" si="182"/>
        <v>7500</v>
      </c>
      <c r="Q1142" s="185">
        <v>0.8</v>
      </c>
      <c r="R1142" s="164">
        <v>7500</v>
      </c>
      <c r="S1142" s="164">
        <f t="shared" si="176"/>
        <v>0</v>
      </c>
      <c r="T1142" s="168">
        <f t="shared" ref="T1142:T1164" si="187">((3600/M1142)*O1142)*24*Q1142</f>
        <v>1536</v>
      </c>
      <c r="U1142" s="163">
        <f t="shared" ref="U1142:U1164" si="188">(P1142-R1142)*M1142/3600/Q1142</f>
        <v>0</v>
      </c>
      <c r="V1142" s="163">
        <f t="shared" ref="V1142:V1164" si="189">U1142/24</f>
        <v>0</v>
      </c>
      <c r="W1142" s="163">
        <v>0</v>
      </c>
      <c r="X1142" s="137">
        <f t="shared" si="185"/>
        <v>46153.899999999994</v>
      </c>
    </row>
    <row r="1143" spans="1:24" s="186" customFormat="1" hidden="1" x14ac:dyDescent="0.35">
      <c r="A1143" s="123">
        <f>X958</f>
        <v>46153.865277777775</v>
      </c>
      <c r="B1143" s="123">
        <v>46067</v>
      </c>
      <c r="C1143" s="190">
        <f t="shared" si="186"/>
        <v>-86.865277777775191</v>
      </c>
      <c r="D1143" s="190"/>
      <c r="E1143" s="124" t="s">
        <v>1896</v>
      </c>
      <c r="F1143" s="187" t="s">
        <v>900</v>
      </c>
      <c r="G1143" s="187"/>
      <c r="H1143" s="188" t="s">
        <v>1897</v>
      </c>
      <c r="I1143" s="259" t="s">
        <v>1898</v>
      </c>
      <c r="J1143" s="175" t="s">
        <v>140</v>
      </c>
      <c r="K1143" s="163">
        <v>0</v>
      </c>
      <c r="L1143" s="163">
        <v>0</v>
      </c>
      <c r="M1143" s="164">
        <v>70</v>
      </c>
      <c r="N1143" s="165">
        <v>1000</v>
      </c>
      <c r="O1143" s="164">
        <v>1</v>
      </c>
      <c r="P1143" s="165">
        <f t="shared" si="182"/>
        <v>1000</v>
      </c>
      <c r="Q1143" s="185">
        <v>0.8</v>
      </c>
      <c r="R1143" s="165">
        <v>1000</v>
      </c>
      <c r="S1143" s="165">
        <f t="shared" si="176"/>
        <v>0</v>
      </c>
      <c r="T1143" s="168">
        <f t="shared" si="187"/>
        <v>987.42857142857144</v>
      </c>
      <c r="U1143" s="163">
        <f t="shared" si="188"/>
        <v>0</v>
      </c>
      <c r="V1143" s="163">
        <f t="shared" si="189"/>
        <v>0</v>
      </c>
      <c r="W1143" s="163">
        <v>0</v>
      </c>
      <c r="X1143" s="169">
        <f t="shared" si="185"/>
        <v>46153.865277777775</v>
      </c>
    </row>
    <row r="1144" spans="1:24" s="186" customFormat="1" ht="26.5" hidden="1" x14ac:dyDescent="0.35">
      <c r="A1144" s="123">
        <f>X1142</f>
        <v>46153.899999999994</v>
      </c>
      <c r="B1144" s="123">
        <f>'[4]Factory 3'!X421</f>
        <v>46098.604861111104</v>
      </c>
      <c r="C1144" s="190">
        <f t="shared" si="186"/>
        <v>-55.295138888890506</v>
      </c>
      <c r="D1144" s="190"/>
      <c r="E1144" s="124" t="s">
        <v>195</v>
      </c>
      <c r="F1144" s="187" t="s">
        <v>1652</v>
      </c>
      <c r="G1144" s="187" t="s">
        <v>839</v>
      </c>
      <c r="H1144" s="505" t="s">
        <v>1899</v>
      </c>
      <c r="I1144" s="251" t="s">
        <v>1414</v>
      </c>
      <c r="J1144" s="506" t="s">
        <v>140</v>
      </c>
      <c r="K1144" s="258">
        <v>0</v>
      </c>
      <c r="L1144" s="258">
        <v>0</v>
      </c>
      <c r="M1144" s="507">
        <v>120</v>
      </c>
      <c r="N1144" s="508">
        <v>1000</v>
      </c>
      <c r="O1144" s="509">
        <v>1</v>
      </c>
      <c r="P1144" s="508">
        <f t="shared" si="182"/>
        <v>1000</v>
      </c>
      <c r="Q1144" s="185">
        <v>0.8</v>
      </c>
      <c r="R1144" s="507">
        <v>1000</v>
      </c>
      <c r="S1144" s="164">
        <f t="shared" si="176"/>
        <v>0</v>
      </c>
      <c r="T1144" s="168">
        <f t="shared" si="187"/>
        <v>576</v>
      </c>
      <c r="U1144" s="163">
        <f t="shared" si="188"/>
        <v>0</v>
      </c>
      <c r="V1144" s="163">
        <f t="shared" si="189"/>
        <v>0</v>
      </c>
      <c r="W1144" s="163">
        <v>0</v>
      </c>
      <c r="X1144" s="137">
        <f t="shared" si="185"/>
        <v>46153.899999999994</v>
      </c>
    </row>
    <row r="1145" spans="1:24" s="186" customFormat="1" ht="26.5" hidden="1" x14ac:dyDescent="0.35">
      <c r="A1145" s="123">
        <f t="shared" ref="A1145:A1155" si="190">X1144</f>
        <v>46153.899999999994</v>
      </c>
      <c r="B1145" s="123">
        <f>X1144</f>
        <v>46153.899999999994</v>
      </c>
      <c r="C1145" s="183">
        <f t="shared" si="186"/>
        <v>0</v>
      </c>
      <c r="D1145" s="183"/>
      <c r="E1145" s="124" t="s">
        <v>195</v>
      </c>
      <c r="F1145" s="159" t="s">
        <v>397</v>
      </c>
      <c r="G1145" s="159" t="s">
        <v>1900</v>
      </c>
      <c r="H1145" s="505" t="s">
        <v>1901</v>
      </c>
      <c r="I1145" s="251" t="s">
        <v>1414</v>
      </c>
      <c r="J1145" s="506" t="s">
        <v>140</v>
      </c>
      <c r="K1145" s="258">
        <v>0</v>
      </c>
      <c r="L1145" s="258">
        <v>0</v>
      </c>
      <c r="M1145" s="507">
        <v>120</v>
      </c>
      <c r="N1145" s="508">
        <v>1280</v>
      </c>
      <c r="O1145" s="509">
        <v>1</v>
      </c>
      <c r="P1145" s="508">
        <f t="shared" si="182"/>
        <v>1280</v>
      </c>
      <c r="Q1145" s="185">
        <v>0.8</v>
      </c>
      <c r="R1145" s="507">
        <v>1280</v>
      </c>
      <c r="S1145" s="164">
        <f t="shared" si="176"/>
        <v>0</v>
      </c>
      <c r="T1145" s="168">
        <f t="shared" si="187"/>
        <v>576</v>
      </c>
      <c r="U1145" s="163">
        <f t="shared" si="188"/>
        <v>0</v>
      </c>
      <c r="V1145" s="163">
        <f t="shared" si="189"/>
        <v>0</v>
      </c>
      <c r="W1145" s="163">
        <v>0</v>
      </c>
      <c r="X1145" s="137">
        <f t="shared" si="185"/>
        <v>46153.899999999994</v>
      </c>
    </row>
    <row r="1146" spans="1:24" s="179" customFormat="1" hidden="1" x14ac:dyDescent="0.35">
      <c r="A1146" s="161">
        <f t="shared" si="190"/>
        <v>46153.899999999994</v>
      </c>
      <c r="B1146" s="161">
        <v>46085</v>
      </c>
      <c r="C1146" s="190">
        <f t="shared" si="186"/>
        <v>-68.899999999994179</v>
      </c>
      <c r="D1146" s="190" t="s">
        <v>1902</v>
      </c>
      <c r="E1146" s="124" t="s">
        <v>64</v>
      </c>
      <c r="F1146" s="159" t="s">
        <v>1669</v>
      </c>
      <c r="G1146" s="159" t="s">
        <v>398</v>
      </c>
      <c r="H1146" s="126" t="s">
        <v>1903</v>
      </c>
      <c r="I1146" s="159" t="s">
        <v>804</v>
      </c>
      <c r="J1146" s="175" t="s">
        <v>140</v>
      </c>
      <c r="K1146" s="163">
        <v>0</v>
      </c>
      <c r="L1146" s="163">
        <v>0</v>
      </c>
      <c r="M1146" s="130">
        <v>100</v>
      </c>
      <c r="N1146" s="131">
        <v>1750</v>
      </c>
      <c r="O1146" s="189">
        <v>1</v>
      </c>
      <c r="P1146" s="131">
        <f t="shared" si="182"/>
        <v>1750</v>
      </c>
      <c r="Q1146" s="185">
        <v>0.8</v>
      </c>
      <c r="R1146" s="176">
        <v>1750</v>
      </c>
      <c r="S1146" s="164">
        <f t="shared" si="176"/>
        <v>0</v>
      </c>
      <c r="T1146" s="168">
        <f t="shared" si="187"/>
        <v>691.2</v>
      </c>
      <c r="U1146" s="163">
        <f t="shared" si="188"/>
        <v>0</v>
      </c>
      <c r="V1146" s="163">
        <f t="shared" si="189"/>
        <v>0</v>
      </c>
      <c r="W1146" s="163">
        <v>0</v>
      </c>
      <c r="X1146" s="137">
        <f t="shared" si="185"/>
        <v>46153.899999999994</v>
      </c>
    </row>
    <row r="1147" spans="1:24" s="202" customFormat="1" hidden="1" x14ac:dyDescent="0.35">
      <c r="A1147" s="513">
        <f t="shared" si="190"/>
        <v>46153.899999999994</v>
      </c>
      <c r="B1147" s="513">
        <v>46094</v>
      </c>
      <c r="C1147" s="514">
        <f t="shared" si="186"/>
        <v>-59.899999999994179</v>
      </c>
      <c r="D1147" s="514" t="s">
        <v>404</v>
      </c>
      <c r="E1147" s="515" t="s">
        <v>195</v>
      </c>
      <c r="F1147" s="516" t="s">
        <v>1213</v>
      </c>
      <c r="G1147" s="517"/>
      <c r="H1147" s="516" t="s">
        <v>14</v>
      </c>
      <c r="I1147" s="518" t="s">
        <v>1904</v>
      </c>
      <c r="J1147" s="519" t="s">
        <v>140</v>
      </c>
      <c r="K1147" s="520">
        <v>0</v>
      </c>
      <c r="L1147" s="520">
        <v>0</v>
      </c>
      <c r="M1147" s="521">
        <v>60</v>
      </c>
      <c r="N1147" s="522">
        <v>20</v>
      </c>
      <c r="O1147" s="521">
        <v>1</v>
      </c>
      <c r="P1147" s="522">
        <f t="shared" si="182"/>
        <v>20</v>
      </c>
      <c r="Q1147" s="305">
        <v>0.8</v>
      </c>
      <c r="R1147" s="521">
        <v>20</v>
      </c>
      <c r="S1147" s="302">
        <f t="shared" si="176"/>
        <v>0</v>
      </c>
      <c r="T1147" s="307">
        <f t="shared" si="187"/>
        <v>1152</v>
      </c>
      <c r="U1147" s="301">
        <f t="shared" si="188"/>
        <v>0</v>
      </c>
      <c r="V1147" s="301">
        <f t="shared" si="189"/>
        <v>0</v>
      </c>
      <c r="W1147" s="301">
        <v>0</v>
      </c>
      <c r="X1147" s="523">
        <f t="shared" si="185"/>
        <v>46153.899999999994</v>
      </c>
    </row>
    <row r="1148" spans="1:24" s="202" customFormat="1" hidden="1" x14ac:dyDescent="0.35">
      <c r="A1148" s="513">
        <f t="shared" si="190"/>
        <v>46153.899999999994</v>
      </c>
      <c r="B1148" s="513">
        <v>46092</v>
      </c>
      <c r="C1148" s="514">
        <f t="shared" si="186"/>
        <v>-61.899999999994179</v>
      </c>
      <c r="D1148" s="514" t="s">
        <v>404</v>
      </c>
      <c r="E1148" s="515" t="s">
        <v>195</v>
      </c>
      <c r="F1148" s="516" t="s">
        <v>1213</v>
      </c>
      <c r="G1148" s="517"/>
      <c r="H1148" s="516" t="s">
        <v>14</v>
      </c>
      <c r="I1148" s="518" t="s">
        <v>1244</v>
      </c>
      <c r="J1148" s="519" t="s">
        <v>140</v>
      </c>
      <c r="K1148" s="520">
        <v>0</v>
      </c>
      <c r="L1148" s="520">
        <v>0</v>
      </c>
      <c r="M1148" s="521">
        <v>60</v>
      </c>
      <c r="N1148" s="522">
        <v>100</v>
      </c>
      <c r="O1148" s="521">
        <v>1</v>
      </c>
      <c r="P1148" s="522">
        <f t="shared" si="182"/>
        <v>100</v>
      </c>
      <c r="Q1148" s="305">
        <v>0.8</v>
      </c>
      <c r="R1148" s="521">
        <v>100</v>
      </c>
      <c r="S1148" s="302">
        <f t="shared" si="176"/>
        <v>0</v>
      </c>
      <c r="T1148" s="307">
        <f t="shared" si="187"/>
        <v>1152</v>
      </c>
      <c r="U1148" s="301">
        <f t="shared" si="188"/>
        <v>0</v>
      </c>
      <c r="V1148" s="301">
        <f t="shared" si="189"/>
        <v>0</v>
      </c>
      <c r="W1148" s="301">
        <v>0</v>
      </c>
      <c r="X1148" s="523">
        <f t="shared" si="185"/>
        <v>46153.899999999994</v>
      </c>
    </row>
    <row r="1149" spans="1:24" s="191" customFormat="1" ht="13" hidden="1" x14ac:dyDescent="0.3">
      <c r="A1149" s="161">
        <f t="shared" si="190"/>
        <v>46153.899999999994</v>
      </c>
      <c r="B1149" s="123">
        <v>46093</v>
      </c>
      <c r="C1149" s="190">
        <f t="shared" si="186"/>
        <v>-60.899999999994179</v>
      </c>
      <c r="D1149" s="190" t="s">
        <v>1905</v>
      </c>
      <c r="E1149" s="124" t="s">
        <v>195</v>
      </c>
      <c r="F1149" s="159" t="s">
        <v>397</v>
      </c>
      <c r="G1149" s="159" t="s">
        <v>398</v>
      </c>
      <c r="H1149" s="188" t="s">
        <v>1906</v>
      </c>
      <c r="I1149" s="125" t="s">
        <v>143</v>
      </c>
      <c r="J1149" s="128" t="s">
        <v>140</v>
      </c>
      <c r="K1149" s="129">
        <v>0</v>
      </c>
      <c r="L1149" s="129">
        <v>0</v>
      </c>
      <c r="M1149" s="130">
        <v>85</v>
      </c>
      <c r="N1149" s="131">
        <v>3700</v>
      </c>
      <c r="O1149" s="130">
        <v>1</v>
      </c>
      <c r="P1149" s="131">
        <f t="shared" si="182"/>
        <v>3700</v>
      </c>
      <c r="Q1149" s="185">
        <v>0.8</v>
      </c>
      <c r="R1149" s="176">
        <v>3700</v>
      </c>
      <c r="S1149" s="164">
        <f t="shared" si="176"/>
        <v>0</v>
      </c>
      <c r="T1149" s="164">
        <f t="shared" si="187"/>
        <v>813.17647058823536</v>
      </c>
      <c r="U1149" s="163">
        <f t="shared" si="188"/>
        <v>0</v>
      </c>
      <c r="V1149" s="163">
        <f t="shared" si="189"/>
        <v>0</v>
      </c>
      <c r="W1149" s="163">
        <v>0</v>
      </c>
      <c r="X1149" s="137">
        <f t="shared" si="185"/>
        <v>46153.899999999994</v>
      </c>
    </row>
    <row r="1150" spans="1:24" s="186" customFormat="1" hidden="1" x14ac:dyDescent="0.35">
      <c r="A1150" s="123">
        <f t="shared" si="190"/>
        <v>46153.899999999994</v>
      </c>
      <c r="B1150" s="123">
        <v>46105</v>
      </c>
      <c r="C1150" s="190">
        <f t="shared" si="186"/>
        <v>-48.899999999994179</v>
      </c>
      <c r="D1150" s="123"/>
      <c r="E1150" s="124" t="s">
        <v>195</v>
      </c>
      <c r="F1150" s="159" t="s">
        <v>1721</v>
      </c>
      <c r="G1150" s="159" t="s">
        <v>398</v>
      </c>
      <c r="H1150" s="188" t="s">
        <v>1907</v>
      </c>
      <c r="I1150" s="159" t="s">
        <v>1326</v>
      </c>
      <c r="J1150" s="175" t="s">
        <v>140</v>
      </c>
      <c r="K1150" s="129">
        <v>0</v>
      </c>
      <c r="L1150" s="129">
        <v>0</v>
      </c>
      <c r="M1150" s="130">
        <v>110</v>
      </c>
      <c r="N1150" s="131">
        <v>1000</v>
      </c>
      <c r="O1150" s="189">
        <v>1</v>
      </c>
      <c r="P1150" s="131">
        <f t="shared" si="182"/>
        <v>1000</v>
      </c>
      <c r="Q1150" s="185">
        <v>0.8</v>
      </c>
      <c r="R1150" s="176">
        <v>1000</v>
      </c>
      <c r="S1150" s="164">
        <f t="shared" si="176"/>
        <v>0</v>
      </c>
      <c r="T1150" s="164">
        <f t="shared" si="187"/>
        <v>628.36363636363649</v>
      </c>
      <c r="U1150" s="163">
        <f t="shared" si="188"/>
        <v>0</v>
      </c>
      <c r="V1150" s="163">
        <f t="shared" si="189"/>
        <v>0</v>
      </c>
      <c r="W1150" s="163">
        <v>0</v>
      </c>
      <c r="X1150" s="137">
        <f t="shared" si="185"/>
        <v>46153.899999999994</v>
      </c>
    </row>
    <row r="1151" spans="1:24" s="191" customFormat="1" ht="13" hidden="1" x14ac:dyDescent="0.3">
      <c r="A1151" s="123">
        <f t="shared" si="190"/>
        <v>46153.899999999994</v>
      </c>
      <c r="B1151" s="123">
        <v>46104</v>
      </c>
      <c r="C1151" s="190">
        <f t="shared" si="186"/>
        <v>-49.899999999994179</v>
      </c>
      <c r="D1151" s="123" t="s">
        <v>1908</v>
      </c>
      <c r="E1151" s="124" t="s">
        <v>195</v>
      </c>
      <c r="F1151" s="187" t="s">
        <v>871</v>
      </c>
      <c r="G1151" s="187" t="s">
        <v>398</v>
      </c>
      <c r="H1151" s="126" t="s">
        <v>1909</v>
      </c>
      <c r="I1151" s="177" t="s">
        <v>1443</v>
      </c>
      <c r="J1151" s="128" t="s">
        <v>140</v>
      </c>
      <c r="K1151" s="129">
        <v>0</v>
      </c>
      <c r="L1151" s="129">
        <v>0</v>
      </c>
      <c r="M1151" s="130">
        <v>70</v>
      </c>
      <c r="N1151" s="131">
        <v>450</v>
      </c>
      <c r="O1151" s="189">
        <v>1</v>
      </c>
      <c r="P1151" s="131">
        <f t="shared" si="182"/>
        <v>450</v>
      </c>
      <c r="Q1151" s="185">
        <v>0.8</v>
      </c>
      <c r="R1151" s="176">
        <v>450</v>
      </c>
      <c r="S1151" s="164">
        <f t="shared" si="176"/>
        <v>0</v>
      </c>
      <c r="T1151" s="164">
        <f t="shared" si="187"/>
        <v>987.42857142857144</v>
      </c>
      <c r="U1151" s="163">
        <f t="shared" si="188"/>
        <v>0</v>
      </c>
      <c r="V1151" s="163">
        <f t="shared" si="189"/>
        <v>0</v>
      </c>
      <c r="W1151" s="163">
        <v>0</v>
      </c>
      <c r="X1151" s="137">
        <f t="shared" si="185"/>
        <v>46153.899999999994</v>
      </c>
    </row>
    <row r="1152" spans="1:24" s="191" customFormat="1" ht="13" hidden="1" x14ac:dyDescent="0.3">
      <c r="A1152" s="123">
        <f t="shared" si="190"/>
        <v>46153.899999999994</v>
      </c>
      <c r="B1152" s="123">
        <v>46105</v>
      </c>
      <c r="C1152" s="190">
        <f t="shared" si="186"/>
        <v>-48.899999999994179</v>
      </c>
      <c r="D1152" s="123" t="s">
        <v>1908</v>
      </c>
      <c r="E1152" s="124" t="s">
        <v>195</v>
      </c>
      <c r="F1152" s="187" t="s">
        <v>871</v>
      </c>
      <c r="G1152" s="187" t="s">
        <v>398</v>
      </c>
      <c r="H1152" s="126" t="s">
        <v>1910</v>
      </c>
      <c r="I1152" s="177" t="s">
        <v>1445</v>
      </c>
      <c r="J1152" s="128" t="s">
        <v>140</v>
      </c>
      <c r="K1152" s="129">
        <v>0</v>
      </c>
      <c r="L1152" s="129">
        <v>0</v>
      </c>
      <c r="M1152" s="130">
        <v>70</v>
      </c>
      <c r="N1152" s="131">
        <v>450</v>
      </c>
      <c r="O1152" s="189">
        <v>1</v>
      </c>
      <c r="P1152" s="131">
        <f t="shared" si="182"/>
        <v>450</v>
      </c>
      <c r="Q1152" s="185">
        <v>0.8</v>
      </c>
      <c r="R1152" s="176">
        <v>450</v>
      </c>
      <c r="S1152" s="164">
        <f t="shared" si="176"/>
        <v>0</v>
      </c>
      <c r="T1152" s="164">
        <f t="shared" si="187"/>
        <v>987.42857142857144</v>
      </c>
      <c r="U1152" s="163">
        <f t="shared" si="188"/>
        <v>0</v>
      </c>
      <c r="V1152" s="163">
        <f t="shared" si="189"/>
        <v>0</v>
      </c>
      <c r="W1152" s="163">
        <v>0</v>
      </c>
      <c r="X1152" s="137">
        <f t="shared" si="185"/>
        <v>46153.899999999994</v>
      </c>
    </row>
    <row r="1153" spans="1:24" s="179" customFormat="1" hidden="1" x14ac:dyDescent="0.35">
      <c r="A1153" s="123">
        <f t="shared" si="190"/>
        <v>46153.899999999994</v>
      </c>
      <c r="B1153" s="123">
        <v>46112</v>
      </c>
      <c r="C1153" s="190">
        <f t="shared" si="186"/>
        <v>-41.899999999994179</v>
      </c>
      <c r="D1153" s="190"/>
      <c r="E1153" s="124" t="s">
        <v>195</v>
      </c>
      <c r="F1153" s="159" t="s">
        <v>1911</v>
      </c>
      <c r="G1153" s="159" t="s">
        <v>398</v>
      </c>
      <c r="H1153" s="126" t="s">
        <v>1912</v>
      </c>
      <c r="I1153" s="159" t="s">
        <v>1187</v>
      </c>
      <c r="J1153" s="128" t="s">
        <v>140</v>
      </c>
      <c r="K1153" s="129">
        <v>0</v>
      </c>
      <c r="L1153" s="129">
        <v>0</v>
      </c>
      <c r="M1153" s="130">
        <v>120</v>
      </c>
      <c r="N1153" s="131">
        <v>7680</v>
      </c>
      <c r="O1153" s="189">
        <v>4</v>
      </c>
      <c r="P1153" s="131">
        <f t="shared" si="182"/>
        <v>1920</v>
      </c>
      <c r="Q1153" s="185">
        <v>0.8</v>
      </c>
      <c r="R1153" s="176">
        <v>1920</v>
      </c>
      <c r="S1153" s="164">
        <f t="shared" si="176"/>
        <v>0</v>
      </c>
      <c r="T1153" s="168">
        <f t="shared" si="187"/>
        <v>2304</v>
      </c>
      <c r="U1153" s="163">
        <f t="shared" si="188"/>
        <v>0</v>
      </c>
      <c r="V1153" s="163">
        <f t="shared" si="189"/>
        <v>0</v>
      </c>
      <c r="W1153" s="163">
        <v>0</v>
      </c>
      <c r="X1153" s="137">
        <f t="shared" si="185"/>
        <v>46153.899999999994</v>
      </c>
    </row>
    <row r="1154" spans="1:24" s="191" customFormat="1" ht="26" hidden="1" x14ac:dyDescent="0.3">
      <c r="A1154" s="123">
        <f t="shared" si="190"/>
        <v>46153.899999999994</v>
      </c>
      <c r="B1154" s="123">
        <v>46112</v>
      </c>
      <c r="C1154" s="190">
        <f t="shared" si="186"/>
        <v>-41.899999999994179</v>
      </c>
      <c r="D1154" s="123"/>
      <c r="E1154" s="124" t="s">
        <v>195</v>
      </c>
      <c r="F1154" s="159" t="s">
        <v>1311</v>
      </c>
      <c r="G1154" s="159" t="s">
        <v>411</v>
      </c>
      <c r="H1154" s="188" t="s">
        <v>1913</v>
      </c>
      <c r="I1154" s="159" t="s">
        <v>1573</v>
      </c>
      <c r="J1154" s="175" t="s">
        <v>140</v>
      </c>
      <c r="K1154" s="163">
        <v>0</v>
      </c>
      <c r="L1154" s="129">
        <v>0</v>
      </c>
      <c r="M1154" s="130">
        <v>100</v>
      </c>
      <c r="N1154" s="131">
        <v>2000</v>
      </c>
      <c r="O1154" s="189">
        <v>1</v>
      </c>
      <c r="P1154" s="131">
        <f t="shared" si="182"/>
        <v>2000</v>
      </c>
      <c r="Q1154" s="185">
        <v>0.8</v>
      </c>
      <c r="R1154" s="176">
        <v>2000</v>
      </c>
      <c r="S1154" s="164">
        <f t="shared" si="176"/>
        <v>0</v>
      </c>
      <c r="T1154" s="164">
        <f t="shared" si="187"/>
        <v>691.2</v>
      </c>
      <c r="U1154" s="163">
        <f t="shared" si="188"/>
        <v>0</v>
      </c>
      <c r="V1154" s="163">
        <f t="shared" si="189"/>
        <v>0</v>
      </c>
      <c r="W1154" s="163">
        <v>0</v>
      </c>
      <c r="X1154" s="137">
        <f>A1154+K1154+L1154+V1154+W1154</f>
        <v>46153.899999999994</v>
      </c>
    </row>
    <row r="1155" spans="1:24" s="179" customFormat="1" hidden="1" x14ac:dyDescent="0.35">
      <c r="A1155" s="123">
        <f t="shared" si="190"/>
        <v>46153.899999999994</v>
      </c>
      <c r="B1155" s="123">
        <v>46118</v>
      </c>
      <c r="C1155" s="190">
        <f t="shared" si="186"/>
        <v>-35.899999999994179</v>
      </c>
      <c r="D1155" s="123"/>
      <c r="E1155" s="124" t="s">
        <v>195</v>
      </c>
      <c r="F1155" s="187" t="s">
        <v>1914</v>
      </c>
      <c r="G1155" s="159" t="s">
        <v>398</v>
      </c>
      <c r="H1155" s="188" t="s">
        <v>1915</v>
      </c>
      <c r="I1155" s="159" t="s">
        <v>252</v>
      </c>
      <c r="J1155" s="128" t="s">
        <v>140</v>
      </c>
      <c r="K1155" s="163">
        <v>0</v>
      </c>
      <c r="L1155" s="163">
        <v>0</v>
      </c>
      <c r="M1155" s="164">
        <v>120</v>
      </c>
      <c r="N1155" s="165">
        <v>1000</v>
      </c>
      <c r="O1155" s="166">
        <v>1</v>
      </c>
      <c r="P1155" s="165">
        <f t="shared" si="182"/>
        <v>1000</v>
      </c>
      <c r="Q1155" s="185">
        <v>0.8</v>
      </c>
      <c r="R1155" s="176">
        <v>1000</v>
      </c>
      <c r="S1155" s="164">
        <f t="shared" si="176"/>
        <v>0</v>
      </c>
      <c r="T1155" s="168">
        <f t="shared" si="187"/>
        <v>576</v>
      </c>
      <c r="U1155" s="163">
        <f t="shared" si="188"/>
        <v>0</v>
      </c>
      <c r="V1155" s="163">
        <f t="shared" si="189"/>
        <v>0</v>
      </c>
      <c r="W1155" s="163">
        <v>0</v>
      </c>
      <c r="X1155" s="137">
        <f t="shared" ref="X1155:X1164" si="191">A1155+K1155+V1155+W1155+L1155</f>
        <v>46153.899999999994</v>
      </c>
    </row>
    <row r="1156" spans="1:24" s="121" customFormat="1" hidden="1" x14ac:dyDescent="0.35">
      <c r="A1156" s="46">
        <f>X1154</f>
        <v>46153.899999999994</v>
      </c>
      <c r="B1156" s="46">
        <v>46115</v>
      </c>
      <c r="C1156" s="260">
        <f t="shared" si="186"/>
        <v>-38.899999999994179</v>
      </c>
      <c r="D1156" s="46"/>
      <c r="E1156" s="47" t="s">
        <v>195</v>
      </c>
      <c r="F1156" s="99" t="s">
        <v>1914</v>
      </c>
      <c r="G1156" s="82" t="s">
        <v>398</v>
      </c>
      <c r="H1156" s="107" t="s">
        <v>1916</v>
      </c>
      <c r="I1156" s="82" t="s">
        <v>1543</v>
      </c>
      <c r="J1156" s="51" t="s">
        <v>140</v>
      </c>
      <c r="K1156" s="101">
        <v>0</v>
      </c>
      <c r="L1156" s="101">
        <v>0</v>
      </c>
      <c r="M1156" s="102">
        <v>120</v>
      </c>
      <c r="N1156" s="103">
        <v>1500</v>
      </c>
      <c r="O1156" s="171">
        <v>1</v>
      </c>
      <c r="P1156" s="103">
        <f t="shared" si="182"/>
        <v>1500</v>
      </c>
      <c r="Q1156" s="181">
        <v>0.8</v>
      </c>
      <c r="R1156" s="182">
        <v>1500</v>
      </c>
      <c r="S1156" s="102">
        <f t="shared" si="176"/>
        <v>0</v>
      </c>
      <c r="T1156" s="173">
        <f t="shared" si="187"/>
        <v>576</v>
      </c>
      <c r="U1156" s="101">
        <f t="shared" si="188"/>
        <v>0</v>
      </c>
      <c r="V1156" s="101">
        <f t="shared" si="189"/>
        <v>0</v>
      </c>
      <c r="W1156" s="101">
        <v>0</v>
      </c>
      <c r="X1156" s="55">
        <f t="shared" si="191"/>
        <v>46153.899999999994</v>
      </c>
    </row>
    <row r="1157" spans="1:24" s="243" customFormat="1" ht="25" hidden="1" customHeight="1" x14ac:dyDescent="0.35">
      <c r="A1157" s="513">
        <f t="shared" ref="A1157:A1159" si="192">X1156</f>
        <v>46153.899999999994</v>
      </c>
      <c r="B1157" s="513">
        <v>46128</v>
      </c>
      <c r="C1157" s="514">
        <f t="shared" si="186"/>
        <v>-25.899999999994179</v>
      </c>
      <c r="D1157" s="514"/>
      <c r="E1157" s="515" t="s">
        <v>195</v>
      </c>
      <c r="F1157" s="516" t="s">
        <v>1213</v>
      </c>
      <c r="G1157" s="517"/>
      <c r="H1157" s="516" t="s">
        <v>14</v>
      </c>
      <c r="I1157" s="518" t="s">
        <v>1904</v>
      </c>
      <c r="J1157" s="519" t="s">
        <v>140</v>
      </c>
      <c r="K1157" s="520">
        <v>0</v>
      </c>
      <c r="L1157" s="520">
        <v>0</v>
      </c>
      <c r="M1157" s="521">
        <v>60</v>
      </c>
      <c r="N1157" s="522">
        <v>20</v>
      </c>
      <c r="O1157" s="521">
        <v>1</v>
      </c>
      <c r="P1157" s="522">
        <f t="shared" si="182"/>
        <v>20</v>
      </c>
      <c r="Q1157" s="305">
        <v>0.8</v>
      </c>
      <c r="R1157" s="521">
        <v>20</v>
      </c>
      <c r="S1157" s="302">
        <f t="shared" si="176"/>
        <v>0</v>
      </c>
      <c r="T1157" s="307">
        <f t="shared" si="187"/>
        <v>1152</v>
      </c>
      <c r="U1157" s="301">
        <f t="shared" si="188"/>
        <v>0</v>
      </c>
      <c r="V1157" s="301">
        <f t="shared" si="189"/>
        <v>0</v>
      </c>
      <c r="W1157" s="301">
        <v>0</v>
      </c>
      <c r="X1157" s="523">
        <f t="shared" si="191"/>
        <v>46153.899999999994</v>
      </c>
    </row>
    <row r="1158" spans="1:24" s="179" customFormat="1" hidden="1" x14ac:dyDescent="0.35">
      <c r="A1158" s="123">
        <f t="shared" si="192"/>
        <v>46153.899999999994</v>
      </c>
      <c r="B1158" s="123">
        <v>46129</v>
      </c>
      <c r="C1158" s="190">
        <f t="shared" si="186"/>
        <v>-24.899999999994179</v>
      </c>
      <c r="D1158" s="123"/>
      <c r="E1158" s="124" t="s">
        <v>195</v>
      </c>
      <c r="F1158" s="159" t="s">
        <v>1917</v>
      </c>
      <c r="G1158" s="125" t="s">
        <v>411</v>
      </c>
      <c r="H1158" s="467">
        <v>13950</v>
      </c>
      <c r="I1158" s="159" t="s">
        <v>1578</v>
      </c>
      <c r="J1158" s="128" t="s">
        <v>140</v>
      </c>
      <c r="K1158" s="129">
        <v>0</v>
      </c>
      <c r="L1158" s="129">
        <v>0</v>
      </c>
      <c r="M1158" s="130">
        <v>120</v>
      </c>
      <c r="N1158" s="131">
        <v>7200</v>
      </c>
      <c r="O1158" s="189">
        <v>1</v>
      </c>
      <c r="P1158" s="131">
        <f t="shared" si="182"/>
        <v>7200</v>
      </c>
      <c r="Q1158" s="185">
        <v>0.8</v>
      </c>
      <c r="R1158" s="176">
        <v>7200</v>
      </c>
      <c r="S1158" s="164">
        <f t="shared" si="176"/>
        <v>0</v>
      </c>
      <c r="T1158" s="168">
        <f t="shared" si="187"/>
        <v>576</v>
      </c>
      <c r="U1158" s="163">
        <f t="shared" si="188"/>
        <v>0</v>
      </c>
      <c r="V1158" s="163">
        <f t="shared" si="189"/>
        <v>0</v>
      </c>
      <c r="W1158" s="163">
        <v>0</v>
      </c>
      <c r="X1158" s="137">
        <f t="shared" si="191"/>
        <v>46153.899999999994</v>
      </c>
    </row>
    <row r="1159" spans="1:24" s="202" customFormat="1" ht="25" customHeight="1" x14ac:dyDescent="0.35">
      <c r="A1159" s="193">
        <f t="shared" si="192"/>
        <v>46153.899999999994</v>
      </c>
      <c r="B1159" s="193">
        <v>46147</v>
      </c>
      <c r="C1159" s="194">
        <f>B1159-A1159</f>
        <v>-6.8999999999941792</v>
      </c>
      <c r="D1159" s="193"/>
      <c r="E1159" s="195" t="s">
        <v>249</v>
      </c>
      <c r="F1159" s="196" t="s">
        <v>1314</v>
      </c>
      <c r="G1159" s="196" t="s">
        <v>414</v>
      </c>
      <c r="H1159" s="524" t="s">
        <v>1918</v>
      </c>
      <c r="I1159" s="196" t="s">
        <v>1573</v>
      </c>
      <c r="J1159" s="114" t="s">
        <v>140</v>
      </c>
      <c r="K1159" s="115">
        <v>0</v>
      </c>
      <c r="L1159" s="482">
        <v>0</v>
      </c>
      <c r="M1159" s="199">
        <v>100</v>
      </c>
      <c r="N1159" s="483">
        <v>2000</v>
      </c>
      <c r="O1159" s="484">
        <v>1</v>
      </c>
      <c r="P1159" s="483">
        <f>N1159/O1159</f>
        <v>2000</v>
      </c>
      <c r="Q1159" s="198">
        <v>0.8</v>
      </c>
      <c r="R1159" s="270">
        <v>1902</v>
      </c>
      <c r="S1159" s="116">
        <f>P1159-R1159</f>
        <v>98</v>
      </c>
      <c r="T1159" s="116">
        <f>((3600/M1159)*O1159)*24*Q1159</f>
        <v>691.2</v>
      </c>
      <c r="U1159" s="115">
        <f>(P1159-R1159)*M1159/3600/Q1159</f>
        <v>3.4027777777777777</v>
      </c>
      <c r="V1159" s="115">
        <f>U1159/24</f>
        <v>0.14178240740740741</v>
      </c>
      <c r="W1159" s="115">
        <v>0</v>
      </c>
      <c r="X1159" s="201">
        <f>A1159+K1159+L1159+V1159+W1159</f>
        <v>46154.041782407403</v>
      </c>
    </row>
    <row r="1160" spans="1:24" s="487" customFormat="1" ht="25" customHeight="1" x14ac:dyDescent="0.35">
      <c r="A1160" s="203">
        <f>X1159</f>
        <v>46154.041782407403</v>
      </c>
      <c r="B1160" s="203">
        <v>46150</v>
      </c>
      <c r="C1160" s="385">
        <f>B1160-A1160</f>
        <v>-4.041782407402934</v>
      </c>
      <c r="D1160" s="385"/>
      <c r="E1160" s="204" t="s">
        <v>249</v>
      </c>
      <c r="F1160" s="205" t="s">
        <v>1681</v>
      </c>
      <c r="G1160" s="205" t="s">
        <v>414</v>
      </c>
      <c r="H1160" s="206" t="s">
        <v>1919</v>
      </c>
      <c r="I1160" s="205" t="s">
        <v>536</v>
      </c>
      <c r="J1160" s="207" t="s">
        <v>140</v>
      </c>
      <c r="K1160" s="208">
        <v>0.25</v>
      </c>
      <c r="L1160" s="208">
        <v>0.2</v>
      </c>
      <c r="M1160" s="209">
        <v>120</v>
      </c>
      <c r="N1160" s="210">
        <v>2000</v>
      </c>
      <c r="O1160" s="486">
        <v>1</v>
      </c>
      <c r="P1160" s="210">
        <f>N1160/O1160</f>
        <v>2000</v>
      </c>
      <c r="Q1160" s="293">
        <v>0.8</v>
      </c>
      <c r="R1160" s="209"/>
      <c r="S1160" s="290">
        <f t="shared" ref="S1160:S1161" si="193">P1160-R1160</f>
        <v>2000</v>
      </c>
      <c r="T1160" s="294">
        <f t="shared" ref="T1160" si="194">((3600/M1160)*O1160)*24*Q1160</f>
        <v>576</v>
      </c>
      <c r="U1160" s="289">
        <f t="shared" ref="U1160:U1161" si="195">(P1160-R1160)*M1160/3600/Q1160</f>
        <v>83.333333333333329</v>
      </c>
      <c r="V1160" s="289">
        <f t="shared" ref="V1160:V1162" si="196">U1160/24</f>
        <v>3.4722222222222219</v>
      </c>
      <c r="W1160" s="289">
        <v>0</v>
      </c>
      <c r="X1160" s="212">
        <f t="shared" ref="X1160:X1161" si="197">A1160+K1160+V1160+W1160+L1160</f>
        <v>46157.964004629619</v>
      </c>
    </row>
    <row r="1161" spans="1:24" s="178" customFormat="1" ht="25" customHeight="1" x14ac:dyDescent="0.35">
      <c r="A1161" s="203">
        <f t="shared" ref="A1161:A1164" si="198">X1160</f>
        <v>46157.964004629619</v>
      </c>
      <c r="B1161" s="203">
        <v>46155</v>
      </c>
      <c r="C1161" s="385">
        <f>B1161-A1161</f>
        <v>-2.9640046296190121</v>
      </c>
      <c r="D1161" s="203"/>
      <c r="E1161" s="204" t="s">
        <v>195</v>
      </c>
      <c r="F1161" s="205" t="s">
        <v>1681</v>
      </c>
      <c r="G1161" s="205" t="s">
        <v>414</v>
      </c>
      <c r="H1161" s="525" t="s">
        <v>1920</v>
      </c>
      <c r="I1161" s="526" t="s">
        <v>1414</v>
      </c>
      <c r="J1161" s="527" t="s">
        <v>140</v>
      </c>
      <c r="K1161" s="489">
        <v>0</v>
      </c>
      <c r="L1161" s="489">
        <v>0</v>
      </c>
      <c r="M1161" s="528">
        <v>120</v>
      </c>
      <c r="N1161" s="529">
        <v>1000</v>
      </c>
      <c r="O1161" s="530">
        <v>1</v>
      </c>
      <c r="P1161" s="291">
        <f>N1161/O1161</f>
        <v>1000</v>
      </c>
      <c r="Q1161" s="293">
        <v>0.8</v>
      </c>
      <c r="R1161" s="209"/>
      <c r="S1161" s="290">
        <f t="shared" si="193"/>
        <v>1000</v>
      </c>
      <c r="T1161" s="294">
        <f>((3600/M1161)*O1161)*21*Q1161</f>
        <v>504</v>
      </c>
      <c r="U1161" s="289">
        <f t="shared" si="195"/>
        <v>41.666666666666664</v>
      </c>
      <c r="V1161" s="289">
        <f t="shared" si="196"/>
        <v>1.7361111111111109</v>
      </c>
      <c r="W1161" s="289">
        <v>0</v>
      </c>
      <c r="X1161" s="212">
        <f t="shared" si="197"/>
        <v>46159.700115740729</v>
      </c>
    </row>
    <row r="1162" spans="1:24" s="178" customFormat="1" ht="25" customHeight="1" x14ac:dyDescent="0.35">
      <c r="A1162" s="203">
        <f t="shared" si="198"/>
        <v>46159.700115740729</v>
      </c>
      <c r="B1162" s="203">
        <v>46149</v>
      </c>
      <c r="C1162" s="286">
        <f t="shared" si="186"/>
        <v>-10.700115740728506</v>
      </c>
      <c r="D1162" s="286"/>
      <c r="E1162" s="204" t="s">
        <v>195</v>
      </c>
      <c r="F1162" s="205" t="s">
        <v>1921</v>
      </c>
      <c r="G1162" s="205" t="s">
        <v>414</v>
      </c>
      <c r="H1162" s="206" t="s">
        <v>1922</v>
      </c>
      <c r="I1162" s="531" t="s">
        <v>282</v>
      </c>
      <c r="J1162" s="207" t="s">
        <v>140</v>
      </c>
      <c r="K1162" s="208">
        <v>0.25</v>
      </c>
      <c r="L1162" s="208">
        <v>0.2</v>
      </c>
      <c r="M1162" s="209">
        <v>67</v>
      </c>
      <c r="N1162" s="210">
        <v>1260</v>
      </c>
      <c r="O1162" s="486">
        <v>2</v>
      </c>
      <c r="P1162" s="210">
        <f t="shared" ref="P1162" si="199">N1162/O1162</f>
        <v>630</v>
      </c>
      <c r="Q1162" s="293">
        <v>0.8</v>
      </c>
      <c r="R1162" s="211"/>
      <c r="S1162" s="290">
        <f t="shared" si="176"/>
        <v>630</v>
      </c>
      <c r="T1162" s="294">
        <f t="shared" si="187"/>
        <v>2063.2835820895525</v>
      </c>
      <c r="U1162" s="289">
        <f t="shared" si="188"/>
        <v>14.656249999999998</v>
      </c>
      <c r="V1162" s="289">
        <f t="shared" si="196"/>
        <v>0.61067708333333326</v>
      </c>
      <c r="W1162" s="289">
        <v>0</v>
      </c>
      <c r="X1162" s="212">
        <f t="shared" si="191"/>
        <v>46160.760792824061</v>
      </c>
    </row>
    <row r="1163" spans="1:24" s="178" customFormat="1" ht="25" customHeight="1" x14ac:dyDescent="0.35">
      <c r="A1163" s="203">
        <f t="shared" si="198"/>
        <v>46160.760792824061</v>
      </c>
      <c r="B1163" s="203">
        <v>46148</v>
      </c>
      <c r="C1163" s="286">
        <f t="shared" si="186"/>
        <v>-12.760792824061355</v>
      </c>
      <c r="D1163" s="203"/>
      <c r="E1163" s="204" t="s">
        <v>249</v>
      </c>
      <c r="F1163" s="287" t="s">
        <v>1923</v>
      </c>
      <c r="G1163" s="205" t="s">
        <v>414</v>
      </c>
      <c r="H1163" s="206" t="s">
        <v>1924</v>
      </c>
      <c r="I1163" s="531" t="s">
        <v>282</v>
      </c>
      <c r="J1163" s="207" t="s">
        <v>283</v>
      </c>
      <c r="K1163" s="208">
        <v>0.25</v>
      </c>
      <c r="L1163" s="208">
        <v>0.2</v>
      </c>
      <c r="M1163" s="209">
        <v>67</v>
      </c>
      <c r="N1163" s="210">
        <v>3240</v>
      </c>
      <c r="O1163" s="486">
        <v>2</v>
      </c>
      <c r="P1163" s="210">
        <f t="shared" si="182"/>
        <v>1620</v>
      </c>
      <c r="Q1163" s="293">
        <v>0.8</v>
      </c>
      <c r="R1163" s="211"/>
      <c r="S1163" s="290">
        <f t="shared" si="176"/>
        <v>1620</v>
      </c>
      <c r="T1163" s="294">
        <f t="shared" si="187"/>
        <v>2063.2835820895525</v>
      </c>
      <c r="U1163" s="289">
        <f t="shared" si="188"/>
        <v>37.687499999999993</v>
      </c>
      <c r="V1163" s="289">
        <f t="shared" si="189"/>
        <v>1.5703124999999998</v>
      </c>
      <c r="W1163" s="289">
        <v>0</v>
      </c>
      <c r="X1163" s="212">
        <f t="shared" si="191"/>
        <v>46162.781105324058</v>
      </c>
    </row>
    <row r="1164" spans="1:24" s="178" customFormat="1" ht="25" customHeight="1" x14ac:dyDescent="0.35">
      <c r="A1164" s="203">
        <f t="shared" si="198"/>
        <v>46162.781105324058</v>
      </c>
      <c r="B1164" s="203">
        <v>46150</v>
      </c>
      <c r="C1164" s="286">
        <f t="shared" si="186"/>
        <v>-12.781105324058444</v>
      </c>
      <c r="D1164" s="203"/>
      <c r="E1164" s="204" t="s">
        <v>249</v>
      </c>
      <c r="F1164" s="287" t="s">
        <v>1923</v>
      </c>
      <c r="G1164" s="205" t="s">
        <v>414</v>
      </c>
      <c r="H1164" s="206" t="s">
        <v>1925</v>
      </c>
      <c r="I1164" s="531" t="s">
        <v>1926</v>
      </c>
      <c r="J1164" s="207" t="s">
        <v>283</v>
      </c>
      <c r="K1164" s="208">
        <v>0</v>
      </c>
      <c r="L1164" s="208">
        <v>0</v>
      </c>
      <c r="M1164" s="209">
        <v>67</v>
      </c>
      <c r="N1164" s="210">
        <v>1080</v>
      </c>
      <c r="O1164" s="486">
        <v>2</v>
      </c>
      <c r="P1164" s="210">
        <f t="shared" si="182"/>
        <v>540</v>
      </c>
      <c r="Q1164" s="293">
        <v>0.8</v>
      </c>
      <c r="R1164" s="211"/>
      <c r="S1164" s="290">
        <f t="shared" ref="S1164" si="200">P1164-R1164</f>
        <v>540</v>
      </c>
      <c r="T1164" s="294">
        <f t="shared" si="187"/>
        <v>2063.2835820895525</v>
      </c>
      <c r="U1164" s="289">
        <f t="shared" si="188"/>
        <v>12.5625</v>
      </c>
      <c r="V1164" s="289">
        <f t="shared" si="189"/>
        <v>0.5234375</v>
      </c>
      <c r="W1164" s="289">
        <v>0</v>
      </c>
      <c r="X1164" s="212">
        <f t="shared" si="191"/>
        <v>46163.304542824058</v>
      </c>
    </row>
    <row r="1165" spans="1:24" s="178" customFormat="1" ht="25" customHeight="1" x14ac:dyDescent="0.35">
      <c r="A1165" s="203"/>
      <c r="B1165" s="203"/>
      <c r="C1165" s="203"/>
      <c r="D1165" s="203"/>
      <c r="E1165" s="204"/>
      <c r="F1165" s="488"/>
      <c r="G1165" s="488"/>
      <c r="H1165" s="525"/>
      <c r="I1165" s="526"/>
      <c r="J1165" s="527"/>
      <c r="K1165" s="489"/>
      <c r="L1165" s="489"/>
      <c r="M1165" s="528"/>
      <c r="N1165" s="529"/>
      <c r="O1165" s="530"/>
      <c r="P1165" s="291"/>
      <c r="Q1165" s="291"/>
      <c r="R1165" s="528"/>
      <c r="S1165" s="209"/>
      <c r="T1165" s="532"/>
      <c r="U1165" s="489"/>
      <c r="V1165" s="489"/>
      <c r="W1165" s="489"/>
      <c r="X1165" s="212"/>
    </row>
    <row r="1166" spans="1:24" ht="34.5" x14ac:dyDescent="0.8">
      <c r="A1166" s="35" t="s">
        <v>467</v>
      </c>
      <c r="B1166" s="35"/>
      <c r="C1166" s="35"/>
      <c r="D1166" s="35"/>
      <c r="E1166" s="36"/>
      <c r="F1166" s="37"/>
      <c r="G1166" s="37"/>
      <c r="H1166" s="311"/>
      <c r="I1166" s="214"/>
      <c r="J1166" s="40"/>
      <c r="K1166" s="41"/>
      <c r="L1166" s="41"/>
      <c r="M1166" s="42"/>
      <c r="N1166" s="43"/>
      <c r="O1166" s="312"/>
      <c r="P1166" s="44"/>
      <c r="Q1166" s="44"/>
      <c r="R1166" s="45"/>
      <c r="S1166" s="44"/>
      <c r="T1166" s="313"/>
      <c r="U1166" s="44"/>
      <c r="V1166" s="44"/>
      <c r="W1166" s="44"/>
      <c r="X1166" s="45"/>
    </row>
    <row r="1167" spans="1:24" hidden="1" x14ac:dyDescent="0.35">
      <c r="A1167" s="46">
        <f>S7</f>
        <v>46153</v>
      </c>
      <c r="B1167" s="46"/>
      <c r="C1167" s="46"/>
      <c r="D1167" s="46"/>
      <c r="E1167" s="119" t="s">
        <v>467</v>
      </c>
      <c r="F1167" s="48" t="s">
        <v>1927</v>
      </c>
      <c r="G1167" s="48"/>
      <c r="H1167" s="49">
        <v>7172</v>
      </c>
      <c r="I1167" s="106" t="s">
        <v>929</v>
      </c>
      <c r="J1167" s="51"/>
      <c r="K1167" s="52">
        <v>0</v>
      </c>
      <c r="L1167" s="52">
        <v>0</v>
      </c>
      <c r="M1167" s="53">
        <v>100</v>
      </c>
      <c r="N1167" s="54">
        <v>2500</v>
      </c>
      <c r="O1167" s="341">
        <v>1</v>
      </c>
      <c r="P1167" s="54">
        <v>2500</v>
      </c>
      <c r="Q1167" s="54"/>
      <c r="R1167" s="92">
        <v>2500</v>
      </c>
      <c r="S1167" s="53">
        <f t="shared" ref="S1167:S1190" si="201">P1167-R1167</f>
        <v>0</v>
      </c>
      <c r="T1167" s="343">
        <f t="shared" ref="T1167:T1230" si="202">((3600/M1167)*O1167)*24</f>
        <v>864</v>
      </c>
      <c r="U1167" s="52">
        <f t="shared" ref="U1167:U1230" si="203">(P1167-R1167)*M1167/3600</f>
        <v>0</v>
      </c>
      <c r="V1167" s="52">
        <f t="shared" ref="V1167:V1190" si="204">(P1167-R1167)*M1167/3600/24</f>
        <v>0</v>
      </c>
      <c r="W1167" s="52">
        <v>0</v>
      </c>
      <c r="X1167" s="55">
        <f t="shared" ref="X1167:X1230" si="205">A1167+K1167+V1167+W1167+L1167</f>
        <v>46153</v>
      </c>
    </row>
    <row r="1168" spans="1:24" hidden="1" x14ac:dyDescent="0.35">
      <c r="A1168" s="46">
        <f t="shared" ref="A1168:A1231" si="206">X1167</f>
        <v>46153</v>
      </c>
      <c r="B1168" s="46"/>
      <c r="C1168" s="46"/>
      <c r="D1168" s="46"/>
      <c r="E1168" s="119" t="s">
        <v>467</v>
      </c>
      <c r="F1168" s="48" t="s">
        <v>48</v>
      </c>
      <c r="G1168" s="48"/>
      <c r="H1168" s="49">
        <v>6585</v>
      </c>
      <c r="I1168" s="82" t="s">
        <v>1928</v>
      </c>
      <c r="J1168" s="51"/>
      <c r="K1168" s="52">
        <v>0</v>
      </c>
      <c r="L1168" s="52">
        <v>0</v>
      </c>
      <c r="M1168" s="53">
        <v>67</v>
      </c>
      <c r="N1168" s="54">
        <v>2880</v>
      </c>
      <c r="O1168" s="341">
        <v>1</v>
      </c>
      <c r="P1168" s="54">
        <f>N1168/O1168</f>
        <v>2880</v>
      </c>
      <c r="Q1168" s="54"/>
      <c r="R1168" s="92">
        <v>2880</v>
      </c>
      <c r="S1168" s="53">
        <f t="shared" si="201"/>
        <v>0</v>
      </c>
      <c r="T1168" s="343">
        <f t="shared" si="202"/>
        <v>1289.5522388059703</v>
      </c>
      <c r="U1168" s="52">
        <f t="shared" si="203"/>
        <v>0</v>
      </c>
      <c r="V1168" s="52">
        <f t="shared" si="204"/>
        <v>0</v>
      </c>
      <c r="W1168" s="52">
        <v>0</v>
      </c>
      <c r="X1168" s="55">
        <f t="shared" si="205"/>
        <v>46153</v>
      </c>
    </row>
    <row r="1169" spans="1:24" ht="29" hidden="1" x14ac:dyDescent="0.35">
      <c r="A1169" s="46">
        <f t="shared" si="206"/>
        <v>46153</v>
      </c>
      <c r="B1169" s="46"/>
      <c r="C1169" s="46"/>
      <c r="D1169" s="46"/>
      <c r="E1169" s="119" t="s">
        <v>64</v>
      </c>
      <c r="F1169" s="48" t="s">
        <v>1929</v>
      </c>
      <c r="G1169" s="48"/>
      <c r="H1169" s="49" t="s">
        <v>1930</v>
      </c>
      <c r="I1169" s="82" t="s">
        <v>111</v>
      </c>
      <c r="J1169" s="51"/>
      <c r="K1169" s="52">
        <v>0</v>
      </c>
      <c r="L1169" s="52">
        <v>0</v>
      </c>
      <c r="M1169" s="53">
        <v>110</v>
      </c>
      <c r="N1169" s="54">
        <v>1001</v>
      </c>
      <c r="O1169" s="341">
        <v>1</v>
      </c>
      <c r="P1169" s="54">
        <v>1007</v>
      </c>
      <c r="Q1169" s="54"/>
      <c r="R1169" s="92">
        <v>1001</v>
      </c>
      <c r="S1169" s="53">
        <f t="shared" si="201"/>
        <v>6</v>
      </c>
      <c r="T1169" s="343">
        <f t="shared" si="202"/>
        <v>785.4545454545455</v>
      </c>
      <c r="U1169" s="52">
        <f t="shared" si="203"/>
        <v>0.18333333333333332</v>
      </c>
      <c r="V1169" s="52">
        <f t="shared" si="204"/>
        <v>7.6388888888888886E-3</v>
      </c>
      <c r="W1169" s="52">
        <v>0</v>
      </c>
      <c r="X1169" s="55">
        <f t="shared" si="205"/>
        <v>46153.007638888892</v>
      </c>
    </row>
    <row r="1170" spans="1:24" ht="29" hidden="1" x14ac:dyDescent="0.35">
      <c r="A1170" s="46">
        <f t="shared" si="206"/>
        <v>46153.007638888892</v>
      </c>
      <c r="B1170" s="46"/>
      <c r="C1170" s="46"/>
      <c r="D1170" s="46"/>
      <c r="E1170" s="119" t="s">
        <v>64</v>
      </c>
      <c r="F1170" s="48" t="s">
        <v>1931</v>
      </c>
      <c r="G1170" s="48"/>
      <c r="H1170" s="59" t="s">
        <v>1932</v>
      </c>
      <c r="I1170" s="82" t="s">
        <v>103</v>
      </c>
      <c r="J1170" s="51"/>
      <c r="K1170" s="52">
        <v>0</v>
      </c>
      <c r="L1170" s="52">
        <v>0</v>
      </c>
      <c r="M1170" s="53">
        <v>190</v>
      </c>
      <c r="N1170" s="54">
        <v>850</v>
      </c>
      <c r="O1170" s="341">
        <v>1</v>
      </c>
      <c r="P1170" s="54">
        <v>850</v>
      </c>
      <c r="Q1170" s="54"/>
      <c r="R1170" s="92">
        <v>850</v>
      </c>
      <c r="S1170" s="53">
        <f t="shared" si="201"/>
        <v>0</v>
      </c>
      <c r="T1170" s="343">
        <f t="shared" si="202"/>
        <v>454.73684210526312</v>
      </c>
      <c r="U1170" s="52">
        <f t="shared" si="203"/>
        <v>0</v>
      </c>
      <c r="V1170" s="52">
        <f t="shared" si="204"/>
        <v>0</v>
      </c>
      <c r="W1170" s="52">
        <v>0</v>
      </c>
      <c r="X1170" s="55">
        <f t="shared" si="205"/>
        <v>46153.007638888892</v>
      </c>
    </row>
    <row r="1171" spans="1:24" ht="29" hidden="1" x14ac:dyDescent="0.35">
      <c r="A1171" s="46">
        <f t="shared" si="206"/>
        <v>46153.007638888892</v>
      </c>
      <c r="B1171" s="46"/>
      <c r="C1171" s="46"/>
      <c r="D1171" s="46"/>
      <c r="E1171" s="119" t="s">
        <v>64</v>
      </c>
      <c r="F1171" s="48" t="s">
        <v>1933</v>
      </c>
      <c r="G1171" s="48"/>
      <c r="H1171" s="59" t="s">
        <v>1932</v>
      </c>
      <c r="I1171" s="533" t="s">
        <v>103</v>
      </c>
      <c r="J1171" s="51"/>
      <c r="K1171" s="52">
        <v>0</v>
      </c>
      <c r="L1171" s="52">
        <v>0</v>
      </c>
      <c r="M1171" s="53">
        <v>190</v>
      </c>
      <c r="N1171" s="54">
        <v>2000</v>
      </c>
      <c r="O1171" s="341">
        <v>1</v>
      </c>
      <c r="P1171" s="54">
        <f t="shared" ref="P1171:P1184" si="207">N1171/O1171</f>
        <v>2000</v>
      </c>
      <c r="Q1171" s="54"/>
      <c r="R1171" s="92">
        <v>2000</v>
      </c>
      <c r="S1171" s="53">
        <f t="shared" si="201"/>
        <v>0</v>
      </c>
      <c r="T1171" s="343">
        <f t="shared" si="202"/>
        <v>454.73684210526312</v>
      </c>
      <c r="U1171" s="52">
        <f t="shared" si="203"/>
        <v>0</v>
      </c>
      <c r="V1171" s="52">
        <f t="shared" si="204"/>
        <v>0</v>
      </c>
      <c r="W1171" s="52">
        <v>0</v>
      </c>
      <c r="X1171" s="55">
        <f t="shared" si="205"/>
        <v>46153.007638888892</v>
      </c>
    </row>
    <row r="1172" spans="1:24" ht="29" hidden="1" x14ac:dyDescent="0.35">
      <c r="A1172" s="46">
        <f t="shared" si="206"/>
        <v>46153.007638888892</v>
      </c>
      <c r="B1172" s="46"/>
      <c r="C1172" s="46"/>
      <c r="D1172" s="46"/>
      <c r="E1172" s="119" t="s">
        <v>467</v>
      </c>
      <c r="F1172" s="48" t="s">
        <v>1934</v>
      </c>
      <c r="G1172" s="48"/>
      <c r="H1172" s="49" t="s">
        <v>1935</v>
      </c>
      <c r="I1172" s="99" t="s">
        <v>488</v>
      </c>
      <c r="J1172" s="51"/>
      <c r="K1172" s="52">
        <v>0</v>
      </c>
      <c r="L1172" s="52">
        <v>0</v>
      </c>
      <c r="M1172" s="53">
        <v>65</v>
      </c>
      <c r="N1172" s="54">
        <v>500</v>
      </c>
      <c r="O1172" s="341">
        <v>1</v>
      </c>
      <c r="P1172" s="54">
        <f t="shared" si="207"/>
        <v>500</v>
      </c>
      <c r="Q1172" s="54"/>
      <c r="R1172" s="92">
        <v>500</v>
      </c>
      <c r="S1172" s="53">
        <f t="shared" si="201"/>
        <v>0</v>
      </c>
      <c r="T1172" s="343">
        <f t="shared" si="202"/>
        <v>1329.2307692307693</v>
      </c>
      <c r="U1172" s="52">
        <f t="shared" si="203"/>
        <v>0</v>
      </c>
      <c r="V1172" s="52">
        <f t="shared" si="204"/>
        <v>0</v>
      </c>
      <c r="W1172" s="52">
        <v>0</v>
      </c>
      <c r="X1172" s="55">
        <f t="shared" si="205"/>
        <v>46153.007638888892</v>
      </c>
    </row>
    <row r="1173" spans="1:24" ht="29" hidden="1" x14ac:dyDescent="0.35">
      <c r="A1173" s="46">
        <f t="shared" si="206"/>
        <v>46153.007638888892</v>
      </c>
      <c r="B1173" s="46"/>
      <c r="C1173" s="46"/>
      <c r="D1173" s="46"/>
      <c r="E1173" s="119" t="s">
        <v>467</v>
      </c>
      <c r="F1173" s="48" t="s">
        <v>1936</v>
      </c>
      <c r="G1173" s="48"/>
      <c r="H1173" s="49" t="s">
        <v>1935</v>
      </c>
      <c r="I1173" s="99" t="s">
        <v>488</v>
      </c>
      <c r="J1173" s="51"/>
      <c r="K1173" s="52">
        <v>0</v>
      </c>
      <c r="L1173" s="52">
        <v>0</v>
      </c>
      <c r="M1173" s="53">
        <v>65</v>
      </c>
      <c r="N1173" s="54">
        <v>220</v>
      </c>
      <c r="O1173" s="341">
        <v>1</v>
      </c>
      <c r="P1173" s="54">
        <f t="shared" si="207"/>
        <v>220</v>
      </c>
      <c r="Q1173" s="54"/>
      <c r="R1173" s="92">
        <v>220</v>
      </c>
      <c r="S1173" s="53">
        <f t="shared" si="201"/>
        <v>0</v>
      </c>
      <c r="T1173" s="343">
        <f t="shared" si="202"/>
        <v>1329.2307692307693</v>
      </c>
      <c r="U1173" s="52">
        <f t="shared" si="203"/>
        <v>0</v>
      </c>
      <c r="V1173" s="52">
        <f t="shared" si="204"/>
        <v>0</v>
      </c>
      <c r="W1173" s="52">
        <v>0</v>
      </c>
      <c r="X1173" s="55">
        <f t="shared" si="205"/>
        <v>46153.007638888892</v>
      </c>
    </row>
    <row r="1174" spans="1:24" ht="29" hidden="1" x14ac:dyDescent="0.35">
      <c r="A1174" s="46">
        <f t="shared" si="206"/>
        <v>46153.007638888892</v>
      </c>
      <c r="B1174" s="46"/>
      <c r="C1174" s="46"/>
      <c r="D1174" s="46"/>
      <c r="E1174" s="119" t="s">
        <v>467</v>
      </c>
      <c r="F1174" s="48" t="s">
        <v>1937</v>
      </c>
      <c r="G1174" s="48"/>
      <c r="H1174" s="49" t="s">
        <v>1935</v>
      </c>
      <c r="I1174" s="99" t="s">
        <v>488</v>
      </c>
      <c r="J1174" s="51"/>
      <c r="K1174" s="52">
        <v>0</v>
      </c>
      <c r="L1174" s="52">
        <v>0</v>
      </c>
      <c r="M1174" s="53">
        <v>65</v>
      </c>
      <c r="N1174" s="54">
        <v>220</v>
      </c>
      <c r="O1174" s="341">
        <v>1</v>
      </c>
      <c r="P1174" s="54">
        <f t="shared" si="207"/>
        <v>220</v>
      </c>
      <c r="Q1174" s="54"/>
      <c r="R1174" s="92">
        <v>220</v>
      </c>
      <c r="S1174" s="53">
        <f t="shared" si="201"/>
        <v>0</v>
      </c>
      <c r="T1174" s="343">
        <f t="shared" si="202"/>
        <v>1329.2307692307693</v>
      </c>
      <c r="U1174" s="52">
        <f t="shared" si="203"/>
        <v>0</v>
      </c>
      <c r="V1174" s="52">
        <f t="shared" si="204"/>
        <v>0</v>
      </c>
      <c r="W1174" s="52">
        <v>0</v>
      </c>
      <c r="X1174" s="55">
        <f t="shared" si="205"/>
        <v>46153.007638888892</v>
      </c>
    </row>
    <row r="1175" spans="1:24" hidden="1" x14ac:dyDescent="0.35">
      <c r="A1175" s="46">
        <f t="shared" si="206"/>
        <v>46153.007638888892</v>
      </c>
      <c r="B1175" s="46"/>
      <c r="C1175" s="46"/>
      <c r="D1175" s="46"/>
      <c r="E1175" s="119" t="s">
        <v>467</v>
      </c>
      <c r="F1175" s="48" t="s">
        <v>1938</v>
      </c>
      <c r="G1175" s="48"/>
      <c r="H1175" s="49" t="s">
        <v>1939</v>
      </c>
      <c r="I1175" s="99" t="s">
        <v>483</v>
      </c>
      <c r="J1175" s="51"/>
      <c r="K1175" s="52">
        <v>0</v>
      </c>
      <c r="L1175" s="52">
        <v>0</v>
      </c>
      <c r="M1175" s="53">
        <v>65</v>
      </c>
      <c r="N1175" s="54">
        <v>650</v>
      </c>
      <c r="O1175" s="341">
        <v>1</v>
      </c>
      <c r="P1175" s="54">
        <f t="shared" si="207"/>
        <v>650</v>
      </c>
      <c r="Q1175" s="54"/>
      <c r="R1175" s="92">
        <v>650</v>
      </c>
      <c r="S1175" s="53">
        <f t="shared" si="201"/>
        <v>0</v>
      </c>
      <c r="T1175" s="343">
        <f t="shared" si="202"/>
        <v>1329.2307692307693</v>
      </c>
      <c r="U1175" s="52">
        <f t="shared" si="203"/>
        <v>0</v>
      </c>
      <c r="V1175" s="52">
        <f t="shared" si="204"/>
        <v>0</v>
      </c>
      <c r="W1175" s="52">
        <v>0</v>
      </c>
      <c r="X1175" s="55">
        <f t="shared" si="205"/>
        <v>46153.007638888892</v>
      </c>
    </row>
    <row r="1176" spans="1:24" hidden="1" x14ac:dyDescent="0.35">
      <c r="A1176" s="46">
        <f t="shared" si="206"/>
        <v>46153.007638888892</v>
      </c>
      <c r="B1176" s="46"/>
      <c r="C1176" s="46"/>
      <c r="D1176" s="46"/>
      <c r="E1176" s="119" t="s">
        <v>467</v>
      </c>
      <c r="F1176" s="48" t="s">
        <v>1940</v>
      </c>
      <c r="G1176" s="48"/>
      <c r="H1176" s="49" t="s">
        <v>1939</v>
      </c>
      <c r="I1176" s="99" t="s">
        <v>483</v>
      </c>
      <c r="J1176" s="51"/>
      <c r="K1176" s="52">
        <v>0</v>
      </c>
      <c r="L1176" s="52">
        <v>0</v>
      </c>
      <c r="M1176" s="53">
        <v>65</v>
      </c>
      <c r="N1176" s="54">
        <v>650</v>
      </c>
      <c r="O1176" s="341">
        <v>1</v>
      </c>
      <c r="P1176" s="54">
        <f t="shared" si="207"/>
        <v>650</v>
      </c>
      <c r="Q1176" s="54"/>
      <c r="R1176" s="92">
        <v>650</v>
      </c>
      <c r="S1176" s="53">
        <f t="shared" si="201"/>
        <v>0</v>
      </c>
      <c r="T1176" s="343">
        <f t="shared" si="202"/>
        <v>1329.2307692307693</v>
      </c>
      <c r="U1176" s="52">
        <f t="shared" si="203"/>
        <v>0</v>
      </c>
      <c r="V1176" s="52">
        <f t="shared" si="204"/>
        <v>0</v>
      </c>
      <c r="W1176" s="52">
        <v>0</v>
      </c>
      <c r="X1176" s="55">
        <f t="shared" si="205"/>
        <v>46153.007638888892</v>
      </c>
    </row>
    <row r="1177" spans="1:24" hidden="1" x14ac:dyDescent="0.35">
      <c r="A1177" s="46">
        <f t="shared" si="206"/>
        <v>46153.007638888892</v>
      </c>
      <c r="B1177" s="46"/>
      <c r="C1177" s="46"/>
      <c r="D1177" s="46"/>
      <c r="E1177" s="119" t="s">
        <v>467</v>
      </c>
      <c r="F1177" s="48" t="s">
        <v>1941</v>
      </c>
      <c r="G1177" s="48"/>
      <c r="H1177" s="49" t="s">
        <v>1942</v>
      </c>
      <c r="I1177" s="99" t="s">
        <v>486</v>
      </c>
      <c r="J1177" s="51"/>
      <c r="K1177" s="52">
        <v>0</v>
      </c>
      <c r="L1177" s="52">
        <v>0</v>
      </c>
      <c r="M1177" s="53">
        <v>65</v>
      </c>
      <c r="N1177" s="54">
        <v>560</v>
      </c>
      <c r="O1177" s="341">
        <v>1</v>
      </c>
      <c r="P1177" s="54">
        <f t="shared" si="207"/>
        <v>560</v>
      </c>
      <c r="Q1177" s="54"/>
      <c r="R1177" s="92">
        <v>560</v>
      </c>
      <c r="S1177" s="53">
        <f t="shared" si="201"/>
        <v>0</v>
      </c>
      <c r="T1177" s="343">
        <f t="shared" si="202"/>
        <v>1329.2307692307693</v>
      </c>
      <c r="U1177" s="52">
        <f t="shared" si="203"/>
        <v>0</v>
      </c>
      <c r="V1177" s="52">
        <f t="shared" si="204"/>
        <v>0</v>
      </c>
      <c r="W1177" s="52">
        <v>0</v>
      </c>
      <c r="X1177" s="55">
        <f t="shared" si="205"/>
        <v>46153.007638888892</v>
      </c>
    </row>
    <row r="1178" spans="1:24" hidden="1" x14ac:dyDescent="0.35">
      <c r="A1178" s="46">
        <f t="shared" si="206"/>
        <v>46153.007638888892</v>
      </c>
      <c r="B1178" s="46"/>
      <c r="C1178" s="46"/>
      <c r="D1178" s="46"/>
      <c r="E1178" s="119" t="s">
        <v>467</v>
      </c>
      <c r="F1178" s="48" t="s">
        <v>1943</v>
      </c>
      <c r="G1178" s="48"/>
      <c r="H1178" s="49" t="s">
        <v>1942</v>
      </c>
      <c r="I1178" s="99" t="s">
        <v>486</v>
      </c>
      <c r="J1178" s="51"/>
      <c r="K1178" s="52">
        <v>0</v>
      </c>
      <c r="L1178" s="52">
        <v>0</v>
      </c>
      <c r="M1178" s="53">
        <v>65</v>
      </c>
      <c r="N1178" s="54">
        <v>510</v>
      </c>
      <c r="O1178" s="341">
        <v>1</v>
      </c>
      <c r="P1178" s="54">
        <f t="shared" si="207"/>
        <v>510</v>
      </c>
      <c r="Q1178" s="54"/>
      <c r="R1178" s="92">
        <v>510</v>
      </c>
      <c r="S1178" s="53">
        <f t="shared" si="201"/>
        <v>0</v>
      </c>
      <c r="T1178" s="343">
        <f t="shared" si="202"/>
        <v>1329.2307692307693</v>
      </c>
      <c r="U1178" s="52">
        <f t="shared" si="203"/>
        <v>0</v>
      </c>
      <c r="V1178" s="52">
        <f t="shared" si="204"/>
        <v>0</v>
      </c>
      <c r="W1178" s="52">
        <v>0</v>
      </c>
      <c r="X1178" s="55">
        <f t="shared" si="205"/>
        <v>46153.007638888892</v>
      </c>
    </row>
    <row r="1179" spans="1:24" hidden="1" x14ac:dyDescent="0.35">
      <c r="A1179" s="46">
        <f t="shared" si="206"/>
        <v>46153.007638888892</v>
      </c>
      <c r="B1179" s="46"/>
      <c r="C1179" s="46"/>
      <c r="D1179" s="46"/>
      <c r="E1179" s="119" t="s">
        <v>467</v>
      </c>
      <c r="F1179" s="48" t="s">
        <v>1944</v>
      </c>
      <c r="G1179" s="48"/>
      <c r="H1179" s="49" t="s">
        <v>1945</v>
      </c>
      <c r="I1179" s="99" t="s">
        <v>480</v>
      </c>
      <c r="J1179" s="51"/>
      <c r="K1179" s="52">
        <v>0</v>
      </c>
      <c r="L1179" s="52">
        <v>0</v>
      </c>
      <c r="M1179" s="53">
        <v>65</v>
      </c>
      <c r="N1179" s="54">
        <v>40</v>
      </c>
      <c r="O1179" s="341">
        <v>1</v>
      </c>
      <c r="P1179" s="54">
        <f t="shared" si="207"/>
        <v>40</v>
      </c>
      <c r="Q1179" s="54"/>
      <c r="R1179" s="92">
        <v>40</v>
      </c>
      <c r="S1179" s="53">
        <f t="shared" si="201"/>
        <v>0</v>
      </c>
      <c r="T1179" s="343">
        <f t="shared" si="202"/>
        <v>1329.2307692307693</v>
      </c>
      <c r="U1179" s="52">
        <f t="shared" si="203"/>
        <v>0</v>
      </c>
      <c r="V1179" s="52">
        <f t="shared" si="204"/>
        <v>0</v>
      </c>
      <c r="W1179" s="52">
        <v>0</v>
      </c>
      <c r="X1179" s="55">
        <f t="shared" si="205"/>
        <v>46153.007638888892</v>
      </c>
    </row>
    <row r="1180" spans="1:24" hidden="1" x14ac:dyDescent="0.35">
      <c r="A1180" s="46">
        <f t="shared" si="206"/>
        <v>46153.007638888892</v>
      </c>
      <c r="B1180" s="46"/>
      <c r="C1180" s="46"/>
      <c r="D1180" s="46"/>
      <c r="E1180" s="119" t="s">
        <v>467</v>
      </c>
      <c r="F1180" s="48" t="s">
        <v>1946</v>
      </c>
      <c r="G1180" s="48"/>
      <c r="H1180" s="49" t="s">
        <v>1945</v>
      </c>
      <c r="I1180" s="99" t="s">
        <v>480</v>
      </c>
      <c r="J1180" s="51"/>
      <c r="K1180" s="52">
        <v>0</v>
      </c>
      <c r="L1180" s="52">
        <v>0</v>
      </c>
      <c r="M1180" s="53">
        <v>65</v>
      </c>
      <c r="N1180" s="54">
        <v>40</v>
      </c>
      <c r="O1180" s="341">
        <v>1</v>
      </c>
      <c r="P1180" s="54">
        <f t="shared" si="207"/>
        <v>40</v>
      </c>
      <c r="Q1180" s="54"/>
      <c r="R1180" s="92">
        <v>40</v>
      </c>
      <c r="S1180" s="53">
        <f t="shared" si="201"/>
        <v>0</v>
      </c>
      <c r="T1180" s="343">
        <f t="shared" si="202"/>
        <v>1329.2307692307693</v>
      </c>
      <c r="U1180" s="52">
        <f t="shared" si="203"/>
        <v>0</v>
      </c>
      <c r="V1180" s="52">
        <f t="shared" si="204"/>
        <v>0</v>
      </c>
      <c r="W1180" s="52">
        <v>0</v>
      </c>
      <c r="X1180" s="55">
        <f t="shared" si="205"/>
        <v>46153.007638888892</v>
      </c>
    </row>
    <row r="1181" spans="1:24" hidden="1" x14ac:dyDescent="0.35">
      <c r="A1181" s="46">
        <f t="shared" si="206"/>
        <v>46153.007638888892</v>
      </c>
      <c r="B1181" s="46"/>
      <c r="C1181" s="46"/>
      <c r="D1181" s="46"/>
      <c r="E1181" s="119" t="s">
        <v>467</v>
      </c>
      <c r="F1181" s="48" t="s">
        <v>1947</v>
      </c>
      <c r="G1181" s="48"/>
      <c r="H1181" s="49" t="s">
        <v>1948</v>
      </c>
      <c r="I1181" s="99" t="s">
        <v>493</v>
      </c>
      <c r="J1181" s="51"/>
      <c r="K1181" s="52">
        <v>0</v>
      </c>
      <c r="L1181" s="52">
        <v>0</v>
      </c>
      <c r="M1181" s="53">
        <v>65</v>
      </c>
      <c r="N1181" s="54">
        <v>120</v>
      </c>
      <c r="O1181" s="341">
        <v>1</v>
      </c>
      <c r="P1181" s="54">
        <f t="shared" si="207"/>
        <v>120</v>
      </c>
      <c r="Q1181" s="54"/>
      <c r="R1181" s="92">
        <v>120</v>
      </c>
      <c r="S1181" s="53">
        <f t="shared" si="201"/>
        <v>0</v>
      </c>
      <c r="T1181" s="343">
        <f t="shared" si="202"/>
        <v>1329.2307692307693</v>
      </c>
      <c r="U1181" s="52">
        <f t="shared" si="203"/>
        <v>0</v>
      </c>
      <c r="V1181" s="52">
        <f t="shared" si="204"/>
        <v>0</v>
      </c>
      <c r="W1181" s="52">
        <v>0</v>
      </c>
      <c r="X1181" s="55">
        <f t="shared" si="205"/>
        <v>46153.007638888892</v>
      </c>
    </row>
    <row r="1182" spans="1:24" hidden="1" x14ac:dyDescent="0.35">
      <c r="A1182" s="46">
        <f t="shared" si="206"/>
        <v>46153.007638888892</v>
      </c>
      <c r="B1182" s="46"/>
      <c r="C1182" s="46"/>
      <c r="D1182" s="46"/>
      <c r="E1182" s="119" t="s">
        <v>467</v>
      </c>
      <c r="F1182" s="48" t="s">
        <v>1949</v>
      </c>
      <c r="G1182" s="48"/>
      <c r="H1182" s="49" t="s">
        <v>1948</v>
      </c>
      <c r="I1182" s="99" t="s">
        <v>493</v>
      </c>
      <c r="J1182" s="51"/>
      <c r="K1182" s="52">
        <v>0</v>
      </c>
      <c r="L1182" s="52">
        <v>0</v>
      </c>
      <c r="M1182" s="53">
        <v>65</v>
      </c>
      <c r="N1182" s="54">
        <v>120</v>
      </c>
      <c r="O1182" s="341">
        <v>1</v>
      </c>
      <c r="P1182" s="54">
        <f t="shared" si="207"/>
        <v>120</v>
      </c>
      <c r="Q1182" s="54"/>
      <c r="R1182" s="92">
        <v>120</v>
      </c>
      <c r="S1182" s="53">
        <f t="shared" si="201"/>
        <v>0</v>
      </c>
      <c r="T1182" s="343">
        <f t="shared" si="202"/>
        <v>1329.2307692307693</v>
      </c>
      <c r="U1182" s="52">
        <f t="shared" si="203"/>
        <v>0</v>
      </c>
      <c r="V1182" s="52">
        <f t="shared" si="204"/>
        <v>0</v>
      </c>
      <c r="W1182" s="52">
        <v>0</v>
      </c>
      <c r="X1182" s="55">
        <f t="shared" si="205"/>
        <v>46153.007638888892</v>
      </c>
    </row>
    <row r="1183" spans="1:24" hidden="1" x14ac:dyDescent="0.35">
      <c r="A1183" s="46">
        <f t="shared" si="206"/>
        <v>46153.007638888892</v>
      </c>
      <c r="B1183" s="46"/>
      <c r="C1183" s="46"/>
      <c r="D1183" s="46"/>
      <c r="E1183" s="119" t="s">
        <v>467</v>
      </c>
      <c r="F1183" s="48" t="s">
        <v>1950</v>
      </c>
      <c r="G1183" s="48"/>
      <c r="H1183" s="49" t="s">
        <v>1951</v>
      </c>
      <c r="I1183" s="99" t="s">
        <v>495</v>
      </c>
      <c r="J1183" s="51"/>
      <c r="K1183" s="52">
        <v>0</v>
      </c>
      <c r="L1183" s="52">
        <v>0</v>
      </c>
      <c r="M1183" s="53">
        <v>65</v>
      </c>
      <c r="N1183" s="54">
        <v>100</v>
      </c>
      <c r="O1183" s="341">
        <v>1</v>
      </c>
      <c r="P1183" s="54">
        <f t="shared" si="207"/>
        <v>100</v>
      </c>
      <c r="Q1183" s="54"/>
      <c r="R1183" s="92">
        <v>100</v>
      </c>
      <c r="S1183" s="53">
        <f t="shared" si="201"/>
        <v>0</v>
      </c>
      <c r="T1183" s="343">
        <f t="shared" si="202"/>
        <v>1329.2307692307693</v>
      </c>
      <c r="U1183" s="52">
        <f t="shared" si="203"/>
        <v>0</v>
      </c>
      <c r="V1183" s="52">
        <f t="shared" si="204"/>
        <v>0</v>
      </c>
      <c r="W1183" s="52">
        <v>0</v>
      </c>
      <c r="X1183" s="55">
        <f t="shared" si="205"/>
        <v>46153.007638888892</v>
      </c>
    </row>
    <row r="1184" spans="1:24" hidden="1" x14ac:dyDescent="0.35">
      <c r="A1184" s="46">
        <f t="shared" si="206"/>
        <v>46153.007638888892</v>
      </c>
      <c r="B1184" s="46"/>
      <c r="C1184" s="46"/>
      <c r="D1184" s="46"/>
      <c r="E1184" s="119" t="s">
        <v>467</v>
      </c>
      <c r="F1184" s="48" t="s">
        <v>1952</v>
      </c>
      <c r="G1184" s="48"/>
      <c r="H1184" s="49" t="s">
        <v>1951</v>
      </c>
      <c r="I1184" s="99" t="s">
        <v>495</v>
      </c>
      <c r="J1184" s="51"/>
      <c r="K1184" s="52">
        <v>0</v>
      </c>
      <c r="L1184" s="52">
        <v>0</v>
      </c>
      <c r="M1184" s="53">
        <v>65</v>
      </c>
      <c r="N1184" s="54">
        <v>100</v>
      </c>
      <c r="O1184" s="341">
        <v>1</v>
      </c>
      <c r="P1184" s="54">
        <f t="shared" si="207"/>
        <v>100</v>
      </c>
      <c r="Q1184" s="54"/>
      <c r="R1184" s="92">
        <v>100</v>
      </c>
      <c r="S1184" s="53">
        <f t="shared" si="201"/>
        <v>0</v>
      </c>
      <c r="T1184" s="343">
        <f t="shared" si="202"/>
        <v>1329.2307692307693</v>
      </c>
      <c r="U1184" s="52">
        <f t="shared" si="203"/>
        <v>0</v>
      </c>
      <c r="V1184" s="52">
        <f t="shared" si="204"/>
        <v>0</v>
      </c>
      <c r="W1184" s="52">
        <v>0</v>
      </c>
      <c r="X1184" s="55">
        <f t="shared" si="205"/>
        <v>46153.007638888892</v>
      </c>
    </row>
    <row r="1185" spans="1:24" ht="29" hidden="1" x14ac:dyDescent="0.35">
      <c r="A1185" s="46">
        <f t="shared" si="206"/>
        <v>46153.007638888892</v>
      </c>
      <c r="B1185" s="46"/>
      <c r="C1185" s="46"/>
      <c r="D1185" s="46"/>
      <c r="E1185" s="119" t="s">
        <v>467</v>
      </c>
      <c r="F1185" s="48" t="s">
        <v>1953</v>
      </c>
      <c r="G1185" s="48"/>
      <c r="H1185" s="59" t="s">
        <v>102</v>
      </c>
      <c r="I1185" s="82" t="s">
        <v>103</v>
      </c>
      <c r="J1185" s="51"/>
      <c r="K1185" s="52">
        <v>0</v>
      </c>
      <c r="L1185" s="52">
        <v>0</v>
      </c>
      <c r="M1185" s="53">
        <v>190</v>
      </c>
      <c r="N1185" s="54">
        <v>4000</v>
      </c>
      <c r="O1185" s="341">
        <v>1</v>
      </c>
      <c r="P1185" s="54">
        <v>1085</v>
      </c>
      <c r="Q1185" s="54"/>
      <c r="R1185" s="92">
        <v>1085</v>
      </c>
      <c r="S1185" s="53">
        <f t="shared" si="201"/>
        <v>0</v>
      </c>
      <c r="T1185" s="343">
        <f t="shared" si="202"/>
        <v>454.73684210526312</v>
      </c>
      <c r="U1185" s="52">
        <f t="shared" si="203"/>
        <v>0</v>
      </c>
      <c r="V1185" s="52">
        <f t="shared" si="204"/>
        <v>0</v>
      </c>
      <c r="W1185" s="52">
        <v>0</v>
      </c>
      <c r="X1185" s="55">
        <f t="shared" si="205"/>
        <v>46153.007638888892</v>
      </c>
    </row>
    <row r="1186" spans="1:24" hidden="1" x14ac:dyDescent="0.35">
      <c r="A1186" s="46">
        <f t="shared" si="206"/>
        <v>46153.007638888892</v>
      </c>
      <c r="B1186" s="46"/>
      <c r="C1186" s="46"/>
      <c r="D1186" s="46"/>
      <c r="E1186" s="119"/>
      <c r="F1186" s="48" t="s">
        <v>74</v>
      </c>
      <c r="G1186" s="48"/>
      <c r="H1186" s="49" t="s">
        <v>1954</v>
      </c>
      <c r="I1186" s="82" t="s">
        <v>111</v>
      </c>
      <c r="J1186" s="51"/>
      <c r="K1186" s="52">
        <v>0</v>
      </c>
      <c r="L1186" s="52">
        <v>0</v>
      </c>
      <c r="M1186" s="53">
        <v>120</v>
      </c>
      <c r="N1186" s="54">
        <v>2000</v>
      </c>
      <c r="O1186" s="341">
        <v>1</v>
      </c>
      <c r="P1186" s="54">
        <v>2023</v>
      </c>
      <c r="Q1186" s="54"/>
      <c r="R1186" s="92">
        <v>2023</v>
      </c>
      <c r="S1186" s="53">
        <f t="shared" si="201"/>
        <v>0</v>
      </c>
      <c r="T1186" s="343">
        <f t="shared" si="202"/>
        <v>720</v>
      </c>
      <c r="U1186" s="52">
        <f t="shared" si="203"/>
        <v>0</v>
      </c>
      <c r="V1186" s="52">
        <f t="shared" si="204"/>
        <v>0</v>
      </c>
      <c r="W1186" s="52">
        <v>0</v>
      </c>
      <c r="X1186" s="55">
        <f t="shared" si="205"/>
        <v>46153.007638888892</v>
      </c>
    </row>
    <row r="1187" spans="1:24" hidden="1" x14ac:dyDescent="0.35">
      <c r="A1187" s="46">
        <f t="shared" si="206"/>
        <v>46153.007638888892</v>
      </c>
      <c r="B1187" s="46"/>
      <c r="C1187" s="46"/>
      <c r="D1187" s="46"/>
      <c r="E1187" s="119" t="s">
        <v>64</v>
      </c>
      <c r="F1187" s="48" t="s">
        <v>72</v>
      </c>
      <c r="G1187" s="48"/>
      <c r="H1187" s="49" t="s">
        <v>1955</v>
      </c>
      <c r="I1187" s="82" t="s">
        <v>1956</v>
      </c>
      <c r="J1187" s="51"/>
      <c r="K1187" s="52">
        <v>0</v>
      </c>
      <c r="L1187" s="52">
        <v>0</v>
      </c>
      <c r="M1187" s="53">
        <v>110</v>
      </c>
      <c r="N1187" s="54">
        <v>1500</v>
      </c>
      <c r="O1187" s="341">
        <v>1</v>
      </c>
      <c r="P1187" s="54">
        <f>N1187/O1187</f>
        <v>1500</v>
      </c>
      <c r="Q1187" s="54"/>
      <c r="R1187" s="92">
        <v>1500</v>
      </c>
      <c r="S1187" s="53">
        <f t="shared" si="201"/>
        <v>0</v>
      </c>
      <c r="T1187" s="343">
        <f t="shared" si="202"/>
        <v>785.4545454545455</v>
      </c>
      <c r="U1187" s="52">
        <f t="shared" si="203"/>
        <v>0</v>
      </c>
      <c r="V1187" s="52">
        <f t="shared" si="204"/>
        <v>0</v>
      </c>
      <c r="W1187" s="52">
        <v>0</v>
      </c>
      <c r="X1187" s="55">
        <f t="shared" si="205"/>
        <v>46153.007638888892</v>
      </c>
    </row>
    <row r="1188" spans="1:24" hidden="1" x14ac:dyDescent="0.35">
      <c r="A1188" s="46">
        <f t="shared" si="206"/>
        <v>46153.007638888892</v>
      </c>
      <c r="B1188" s="46"/>
      <c r="C1188" s="46"/>
      <c r="D1188" s="46"/>
      <c r="E1188" s="119" t="s">
        <v>64</v>
      </c>
      <c r="F1188" s="57" t="s">
        <v>84</v>
      </c>
      <c r="G1188" s="57"/>
      <c r="H1188" s="49" t="s">
        <v>1957</v>
      </c>
      <c r="I1188" s="82" t="s">
        <v>1958</v>
      </c>
      <c r="J1188" s="51"/>
      <c r="K1188" s="52">
        <v>0</v>
      </c>
      <c r="L1188" s="52">
        <v>0</v>
      </c>
      <c r="M1188" s="53">
        <v>90</v>
      </c>
      <c r="N1188" s="54">
        <v>5500</v>
      </c>
      <c r="O1188" s="341">
        <v>1</v>
      </c>
      <c r="P1188" s="54">
        <v>5520</v>
      </c>
      <c r="Q1188" s="54"/>
      <c r="R1188" s="92">
        <v>5520</v>
      </c>
      <c r="S1188" s="53">
        <f t="shared" si="201"/>
        <v>0</v>
      </c>
      <c r="T1188" s="343">
        <f t="shared" si="202"/>
        <v>960</v>
      </c>
      <c r="U1188" s="52">
        <f t="shared" si="203"/>
        <v>0</v>
      </c>
      <c r="V1188" s="52">
        <f t="shared" si="204"/>
        <v>0</v>
      </c>
      <c r="W1188" s="52">
        <v>0</v>
      </c>
      <c r="X1188" s="55">
        <f t="shared" si="205"/>
        <v>46153.007638888892</v>
      </c>
    </row>
    <row r="1189" spans="1:24" hidden="1" x14ac:dyDescent="0.35">
      <c r="A1189" s="46">
        <f t="shared" si="206"/>
        <v>46153.007638888892</v>
      </c>
      <c r="B1189" s="46"/>
      <c r="C1189" s="46"/>
      <c r="D1189" s="46"/>
      <c r="E1189" s="119" t="s">
        <v>64</v>
      </c>
      <c r="F1189" s="57" t="s">
        <v>84</v>
      </c>
      <c r="G1189" s="57"/>
      <c r="H1189" s="49" t="s">
        <v>1959</v>
      </c>
      <c r="I1189" s="82" t="s">
        <v>1960</v>
      </c>
      <c r="J1189" s="51"/>
      <c r="K1189" s="52">
        <v>0</v>
      </c>
      <c r="L1189" s="52">
        <v>0</v>
      </c>
      <c r="M1189" s="53">
        <v>84</v>
      </c>
      <c r="N1189" s="54">
        <v>2000</v>
      </c>
      <c r="O1189" s="341">
        <v>1</v>
      </c>
      <c r="P1189" s="54">
        <f>N1189/O1189</f>
        <v>2000</v>
      </c>
      <c r="Q1189" s="54"/>
      <c r="R1189" s="92">
        <v>2000</v>
      </c>
      <c r="S1189" s="53">
        <f t="shared" si="201"/>
        <v>0</v>
      </c>
      <c r="T1189" s="343">
        <f t="shared" si="202"/>
        <v>1028.5714285714284</v>
      </c>
      <c r="U1189" s="52">
        <f t="shared" si="203"/>
        <v>0</v>
      </c>
      <c r="V1189" s="52">
        <f t="shared" si="204"/>
        <v>0</v>
      </c>
      <c r="W1189" s="52">
        <v>0</v>
      </c>
      <c r="X1189" s="55">
        <f t="shared" si="205"/>
        <v>46153.007638888892</v>
      </c>
    </row>
    <row r="1190" spans="1:24" hidden="1" x14ac:dyDescent="0.35">
      <c r="A1190" s="46">
        <f t="shared" si="206"/>
        <v>46153.007638888892</v>
      </c>
      <c r="B1190" s="46"/>
      <c r="C1190" s="46"/>
      <c r="D1190" s="46"/>
      <c r="E1190" s="119" t="s">
        <v>64</v>
      </c>
      <c r="F1190" s="57" t="s">
        <v>1961</v>
      </c>
      <c r="G1190" s="57"/>
      <c r="H1190" s="49" t="s">
        <v>1962</v>
      </c>
      <c r="I1190" s="453" t="s">
        <v>933</v>
      </c>
      <c r="J1190" s="51"/>
      <c r="K1190" s="52">
        <v>0</v>
      </c>
      <c r="L1190" s="52">
        <v>0</v>
      </c>
      <c r="M1190" s="53">
        <v>84</v>
      </c>
      <c r="N1190" s="54">
        <v>50</v>
      </c>
      <c r="O1190" s="341">
        <v>1</v>
      </c>
      <c r="P1190" s="54">
        <v>55</v>
      </c>
      <c r="Q1190" s="54"/>
      <c r="R1190" s="92">
        <v>55</v>
      </c>
      <c r="S1190" s="53">
        <f t="shared" si="201"/>
        <v>0</v>
      </c>
      <c r="T1190" s="343">
        <f t="shared" si="202"/>
        <v>1028.5714285714284</v>
      </c>
      <c r="U1190" s="52">
        <f t="shared" si="203"/>
        <v>0</v>
      </c>
      <c r="V1190" s="52">
        <f t="shared" si="204"/>
        <v>0</v>
      </c>
      <c r="W1190" s="52">
        <v>0</v>
      </c>
      <c r="X1190" s="55">
        <f t="shared" si="205"/>
        <v>46153.007638888892</v>
      </c>
    </row>
    <row r="1191" spans="1:24" ht="29" hidden="1" x14ac:dyDescent="0.35">
      <c r="A1191" s="46">
        <f t="shared" si="206"/>
        <v>46153.007638888892</v>
      </c>
      <c r="B1191" s="46"/>
      <c r="C1191" s="46"/>
      <c r="D1191" s="46"/>
      <c r="E1191" s="119"/>
      <c r="F1191" s="48" t="s">
        <v>937</v>
      </c>
      <c r="G1191" s="48"/>
      <c r="H1191" s="49" t="s">
        <v>1963</v>
      </c>
      <c r="I1191" s="82" t="s">
        <v>111</v>
      </c>
      <c r="J1191" s="51"/>
      <c r="K1191" s="52">
        <v>0</v>
      </c>
      <c r="L1191" s="52">
        <v>0</v>
      </c>
      <c r="M1191" s="53">
        <v>90</v>
      </c>
      <c r="N1191" s="54">
        <v>2000</v>
      </c>
      <c r="O1191" s="341">
        <v>1</v>
      </c>
      <c r="P1191" s="54">
        <v>2204</v>
      </c>
      <c r="Q1191" s="54"/>
      <c r="R1191" s="92">
        <v>2000</v>
      </c>
      <c r="S1191" s="53">
        <v>0</v>
      </c>
      <c r="T1191" s="343">
        <f t="shared" si="202"/>
        <v>960</v>
      </c>
      <c r="U1191" s="52">
        <f t="shared" si="203"/>
        <v>5.0999999999999996</v>
      </c>
      <c r="V1191" s="52">
        <v>0</v>
      </c>
      <c r="W1191" s="52">
        <v>0</v>
      </c>
      <c r="X1191" s="55">
        <f t="shared" si="205"/>
        <v>46153.007638888892</v>
      </c>
    </row>
    <row r="1192" spans="1:24" ht="43.5" hidden="1" x14ac:dyDescent="0.35">
      <c r="A1192" s="46">
        <f t="shared" si="206"/>
        <v>46153.007638888892</v>
      </c>
      <c r="B1192" s="46"/>
      <c r="C1192" s="46"/>
      <c r="D1192" s="46"/>
      <c r="E1192" s="119" t="s">
        <v>1964</v>
      </c>
      <c r="F1192" s="57" t="s">
        <v>1965</v>
      </c>
      <c r="G1192" s="57"/>
      <c r="H1192" s="49" t="s">
        <v>1966</v>
      </c>
      <c r="I1192" s="82" t="s">
        <v>1967</v>
      </c>
      <c r="J1192" s="51"/>
      <c r="K1192" s="52">
        <v>0</v>
      </c>
      <c r="L1192" s="52">
        <v>0</v>
      </c>
      <c r="M1192" s="53">
        <v>68</v>
      </c>
      <c r="N1192" s="54">
        <v>27130</v>
      </c>
      <c r="O1192" s="341">
        <v>1</v>
      </c>
      <c r="P1192" s="54">
        <v>27267</v>
      </c>
      <c r="Q1192" s="54"/>
      <c r="R1192" s="92">
        <v>27267</v>
      </c>
      <c r="S1192" s="53">
        <f t="shared" ref="S1192:S1255" si="208">P1192-R1192</f>
        <v>0</v>
      </c>
      <c r="T1192" s="343">
        <f t="shared" si="202"/>
        <v>1270.5882352941176</v>
      </c>
      <c r="U1192" s="52">
        <f t="shared" si="203"/>
        <v>0</v>
      </c>
      <c r="V1192" s="52">
        <f t="shared" ref="V1192:V1255" si="209">(P1192-R1192)*M1192/3600/24</f>
        <v>0</v>
      </c>
      <c r="W1192" s="52">
        <v>0</v>
      </c>
      <c r="X1192" s="55">
        <f t="shared" si="205"/>
        <v>46153.007638888892</v>
      </c>
    </row>
    <row r="1193" spans="1:24" ht="29" hidden="1" x14ac:dyDescent="0.35">
      <c r="A1193" s="46">
        <f t="shared" si="206"/>
        <v>46153.007638888892</v>
      </c>
      <c r="B1193" s="46"/>
      <c r="C1193" s="46"/>
      <c r="D1193" s="46"/>
      <c r="E1193" s="119" t="s">
        <v>1964</v>
      </c>
      <c r="F1193" s="57" t="s">
        <v>1968</v>
      </c>
      <c r="G1193" s="57"/>
      <c r="H1193" s="49" t="s">
        <v>1969</v>
      </c>
      <c r="I1193" s="82" t="s">
        <v>1970</v>
      </c>
      <c r="J1193" s="51"/>
      <c r="K1193" s="52">
        <v>0</v>
      </c>
      <c r="L1193" s="52">
        <v>0</v>
      </c>
      <c r="M1193" s="53">
        <v>68</v>
      </c>
      <c r="N1193" s="54">
        <v>1000</v>
      </c>
      <c r="O1193" s="341">
        <v>1</v>
      </c>
      <c r="P1193" s="54">
        <v>1034</v>
      </c>
      <c r="Q1193" s="54"/>
      <c r="R1193" s="92">
        <v>1034</v>
      </c>
      <c r="S1193" s="53">
        <f t="shared" si="208"/>
        <v>0</v>
      </c>
      <c r="T1193" s="343">
        <f t="shared" si="202"/>
        <v>1270.5882352941176</v>
      </c>
      <c r="U1193" s="52">
        <f t="shared" si="203"/>
        <v>0</v>
      </c>
      <c r="V1193" s="52">
        <f t="shared" si="209"/>
        <v>0</v>
      </c>
      <c r="W1193" s="52">
        <v>0</v>
      </c>
      <c r="X1193" s="55">
        <f t="shared" si="205"/>
        <v>46153.007638888892</v>
      </c>
    </row>
    <row r="1194" spans="1:24" hidden="1" x14ac:dyDescent="0.35">
      <c r="A1194" s="46">
        <f t="shared" si="206"/>
        <v>46153.007638888892</v>
      </c>
      <c r="B1194" s="46"/>
      <c r="C1194" s="46"/>
      <c r="D1194" s="46"/>
      <c r="E1194" s="119"/>
      <c r="F1194" s="57" t="s">
        <v>1971</v>
      </c>
      <c r="G1194" s="57"/>
      <c r="H1194" s="49" t="s">
        <v>1972</v>
      </c>
      <c r="I1194" s="85" t="s">
        <v>1967</v>
      </c>
      <c r="J1194" s="51"/>
      <c r="K1194" s="52">
        <v>0</v>
      </c>
      <c r="L1194" s="52">
        <v>0</v>
      </c>
      <c r="M1194" s="53">
        <v>68</v>
      </c>
      <c r="N1194" s="54">
        <v>50</v>
      </c>
      <c r="O1194" s="341">
        <v>1</v>
      </c>
      <c r="P1194" s="54">
        <f>N1194/O1194</f>
        <v>50</v>
      </c>
      <c r="Q1194" s="54"/>
      <c r="R1194" s="92">
        <v>50</v>
      </c>
      <c r="S1194" s="53">
        <f t="shared" si="208"/>
        <v>0</v>
      </c>
      <c r="T1194" s="343">
        <f t="shared" si="202"/>
        <v>1270.5882352941176</v>
      </c>
      <c r="U1194" s="52">
        <f t="shared" si="203"/>
        <v>0</v>
      </c>
      <c r="V1194" s="52">
        <f t="shared" si="209"/>
        <v>0</v>
      </c>
      <c r="W1194" s="52">
        <v>0</v>
      </c>
      <c r="X1194" s="55">
        <f t="shared" si="205"/>
        <v>46153.007638888892</v>
      </c>
    </row>
    <row r="1195" spans="1:24" hidden="1" x14ac:dyDescent="0.35">
      <c r="A1195" s="46">
        <f t="shared" si="206"/>
        <v>46153.007638888892</v>
      </c>
      <c r="B1195" s="46"/>
      <c r="C1195" s="46"/>
      <c r="D1195" s="46"/>
      <c r="E1195" s="119"/>
      <c r="F1195" s="57" t="s">
        <v>1971</v>
      </c>
      <c r="G1195" s="57"/>
      <c r="H1195" s="49" t="s">
        <v>1973</v>
      </c>
      <c r="I1195" s="85" t="s">
        <v>1967</v>
      </c>
      <c r="J1195" s="51"/>
      <c r="K1195" s="52">
        <v>0</v>
      </c>
      <c r="L1195" s="52">
        <v>0</v>
      </c>
      <c r="M1195" s="53">
        <v>68</v>
      </c>
      <c r="N1195" s="54">
        <v>50</v>
      </c>
      <c r="O1195" s="341">
        <v>1</v>
      </c>
      <c r="P1195" s="54">
        <f>N1195/O1195</f>
        <v>50</v>
      </c>
      <c r="Q1195" s="54"/>
      <c r="R1195" s="92">
        <v>50</v>
      </c>
      <c r="S1195" s="53">
        <f t="shared" si="208"/>
        <v>0</v>
      </c>
      <c r="T1195" s="343">
        <f t="shared" si="202"/>
        <v>1270.5882352941176</v>
      </c>
      <c r="U1195" s="52">
        <f t="shared" si="203"/>
        <v>0</v>
      </c>
      <c r="V1195" s="52">
        <f t="shared" si="209"/>
        <v>0</v>
      </c>
      <c r="W1195" s="52">
        <v>0</v>
      </c>
      <c r="X1195" s="55">
        <f t="shared" si="205"/>
        <v>46153.007638888892</v>
      </c>
    </row>
    <row r="1196" spans="1:24" ht="29" hidden="1" x14ac:dyDescent="0.35">
      <c r="A1196" s="46">
        <f t="shared" si="206"/>
        <v>46153.007638888892</v>
      </c>
      <c r="B1196" s="46"/>
      <c r="C1196" s="46"/>
      <c r="D1196" s="46"/>
      <c r="E1196" s="119"/>
      <c r="F1196" s="57" t="s">
        <v>1971</v>
      </c>
      <c r="G1196" s="57"/>
      <c r="H1196" s="49" t="s">
        <v>1974</v>
      </c>
      <c r="I1196" s="85" t="s">
        <v>1967</v>
      </c>
      <c r="J1196" s="51"/>
      <c r="K1196" s="52">
        <v>0</v>
      </c>
      <c r="L1196" s="52">
        <v>0</v>
      </c>
      <c r="M1196" s="53">
        <v>68</v>
      </c>
      <c r="N1196" s="54">
        <v>50</v>
      </c>
      <c r="O1196" s="341">
        <v>1</v>
      </c>
      <c r="P1196" s="54">
        <f>N1196/O1196</f>
        <v>50</v>
      </c>
      <c r="Q1196" s="54"/>
      <c r="R1196" s="92">
        <v>50</v>
      </c>
      <c r="S1196" s="53">
        <f t="shared" si="208"/>
        <v>0</v>
      </c>
      <c r="T1196" s="343">
        <f t="shared" si="202"/>
        <v>1270.5882352941176</v>
      </c>
      <c r="U1196" s="52">
        <f t="shared" si="203"/>
        <v>0</v>
      </c>
      <c r="V1196" s="52">
        <f t="shared" si="209"/>
        <v>0</v>
      </c>
      <c r="W1196" s="52">
        <v>0</v>
      </c>
      <c r="X1196" s="55">
        <f t="shared" si="205"/>
        <v>46153.007638888892</v>
      </c>
    </row>
    <row r="1197" spans="1:24" hidden="1" x14ac:dyDescent="0.35">
      <c r="A1197" s="46">
        <f t="shared" si="206"/>
        <v>46153.007638888892</v>
      </c>
      <c r="B1197" s="46"/>
      <c r="C1197" s="46"/>
      <c r="D1197" s="46"/>
      <c r="E1197" s="119" t="s">
        <v>467</v>
      </c>
      <c r="F1197" s="48" t="s">
        <v>101</v>
      </c>
      <c r="G1197" s="48"/>
      <c r="H1197" s="49" t="s">
        <v>1975</v>
      </c>
      <c r="I1197" s="99" t="s">
        <v>477</v>
      </c>
      <c r="J1197" s="51"/>
      <c r="K1197" s="52">
        <v>0</v>
      </c>
      <c r="L1197" s="52">
        <v>0</v>
      </c>
      <c r="M1197" s="53">
        <v>65</v>
      </c>
      <c r="N1197" s="54">
        <v>600</v>
      </c>
      <c r="O1197" s="341">
        <v>1</v>
      </c>
      <c r="P1197" s="54">
        <v>607</v>
      </c>
      <c r="Q1197" s="54"/>
      <c r="R1197" s="92">
        <v>607</v>
      </c>
      <c r="S1197" s="53">
        <f t="shared" si="208"/>
        <v>0</v>
      </c>
      <c r="T1197" s="343">
        <f t="shared" si="202"/>
        <v>1329.2307692307693</v>
      </c>
      <c r="U1197" s="52">
        <f t="shared" si="203"/>
        <v>0</v>
      </c>
      <c r="V1197" s="52">
        <f t="shared" si="209"/>
        <v>0</v>
      </c>
      <c r="W1197" s="52">
        <v>0</v>
      </c>
      <c r="X1197" s="55">
        <f t="shared" si="205"/>
        <v>46153.007638888892</v>
      </c>
    </row>
    <row r="1198" spans="1:24" hidden="1" x14ac:dyDescent="0.35">
      <c r="A1198" s="46">
        <f t="shared" si="206"/>
        <v>46153.007638888892</v>
      </c>
      <c r="B1198" s="46"/>
      <c r="C1198" s="46"/>
      <c r="D1198" s="46"/>
      <c r="E1198" s="119" t="s">
        <v>467</v>
      </c>
      <c r="F1198" s="48" t="s">
        <v>101</v>
      </c>
      <c r="G1198" s="48"/>
      <c r="H1198" s="49" t="s">
        <v>1976</v>
      </c>
      <c r="I1198" s="99" t="s">
        <v>480</v>
      </c>
      <c r="J1198" s="51"/>
      <c r="K1198" s="52">
        <v>0</v>
      </c>
      <c r="L1198" s="52">
        <v>0</v>
      </c>
      <c r="M1198" s="53">
        <v>65</v>
      </c>
      <c r="N1198" s="54">
        <v>200</v>
      </c>
      <c r="O1198" s="341">
        <v>1</v>
      </c>
      <c r="P1198" s="54">
        <f>N1198/O1198</f>
        <v>200</v>
      </c>
      <c r="Q1198" s="54"/>
      <c r="R1198" s="92">
        <v>200</v>
      </c>
      <c r="S1198" s="53">
        <f t="shared" si="208"/>
        <v>0</v>
      </c>
      <c r="T1198" s="343">
        <f t="shared" si="202"/>
        <v>1329.2307692307693</v>
      </c>
      <c r="U1198" s="52">
        <f t="shared" si="203"/>
        <v>0</v>
      </c>
      <c r="V1198" s="52">
        <f t="shared" si="209"/>
        <v>0</v>
      </c>
      <c r="W1198" s="52">
        <v>0</v>
      </c>
      <c r="X1198" s="55">
        <f t="shared" si="205"/>
        <v>46153.007638888892</v>
      </c>
    </row>
    <row r="1199" spans="1:24" hidden="1" x14ac:dyDescent="0.35">
      <c r="A1199" s="46">
        <f t="shared" si="206"/>
        <v>46153.007638888892</v>
      </c>
      <c r="B1199" s="46"/>
      <c r="C1199" s="46"/>
      <c r="D1199" s="46"/>
      <c r="E1199" s="119" t="s">
        <v>467</v>
      </c>
      <c r="F1199" s="57" t="s">
        <v>101</v>
      </c>
      <c r="G1199" s="57"/>
      <c r="H1199" s="49" t="s">
        <v>1977</v>
      </c>
      <c r="I1199" s="82" t="s">
        <v>1978</v>
      </c>
      <c r="J1199" s="51"/>
      <c r="K1199" s="52">
        <v>0</v>
      </c>
      <c r="L1199" s="52">
        <v>0</v>
      </c>
      <c r="M1199" s="53">
        <v>110</v>
      </c>
      <c r="N1199" s="54">
        <v>70</v>
      </c>
      <c r="O1199" s="341">
        <v>1</v>
      </c>
      <c r="P1199" s="54">
        <v>89</v>
      </c>
      <c r="Q1199" s="54"/>
      <c r="R1199" s="92">
        <v>70</v>
      </c>
      <c r="S1199" s="53">
        <f t="shared" si="208"/>
        <v>19</v>
      </c>
      <c r="T1199" s="343">
        <f t="shared" si="202"/>
        <v>785.4545454545455</v>
      </c>
      <c r="U1199" s="52">
        <f t="shared" si="203"/>
        <v>0.5805555555555556</v>
      </c>
      <c r="V1199" s="52">
        <f t="shared" si="209"/>
        <v>2.4189814814814817E-2</v>
      </c>
      <c r="W1199" s="52">
        <v>0</v>
      </c>
      <c r="X1199" s="55">
        <f t="shared" si="205"/>
        <v>46153.031828703708</v>
      </c>
    </row>
    <row r="1200" spans="1:24" hidden="1" x14ac:dyDescent="0.35">
      <c r="A1200" s="46">
        <f t="shared" si="206"/>
        <v>46153.031828703708</v>
      </c>
      <c r="B1200" s="46"/>
      <c r="C1200" s="46"/>
      <c r="D1200" s="46"/>
      <c r="E1200" s="119" t="s">
        <v>467</v>
      </c>
      <c r="F1200" s="57" t="s">
        <v>104</v>
      </c>
      <c r="G1200" s="57"/>
      <c r="H1200" s="49" t="s">
        <v>1979</v>
      </c>
      <c r="I1200" s="82" t="s">
        <v>1980</v>
      </c>
      <c r="J1200" s="51"/>
      <c r="K1200" s="52">
        <v>0</v>
      </c>
      <c r="L1200" s="52">
        <v>0</v>
      </c>
      <c r="M1200" s="53">
        <v>110</v>
      </c>
      <c r="N1200" s="54">
        <v>60</v>
      </c>
      <c r="O1200" s="341">
        <v>1</v>
      </c>
      <c r="P1200" s="54">
        <v>78</v>
      </c>
      <c r="Q1200" s="54"/>
      <c r="R1200" s="92">
        <v>60</v>
      </c>
      <c r="S1200" s="53">
        <f t="shared" si="208"/>
        <v>18</v>
      </c>
      <c r="T1200" s="343">
        <f t="shared" si="202"/>
        <v>785.4545454545455</v>
      </c>
      <c r="U1200" s="52">
        <f t="shared" si="203"/>
        <v>0.55000000000000004</v>
      </c>
      <c r="V1200" s="52">
        <f t="shared" si="209"/>
        <v>2.2916666666666669E-2</v>
      </c>
      <c r="W1200" s="52">
        <v>0</v>
      </c>
      <c r="X1200" s="55">
        <f t="shared" si="205"/>
        <v>46153.054745370377</v>
      </c>
    </row>
    <row r="1201" spans="1:24" hidden="1" x14ac:dyDescent="0.35">
      <c r="A1201" s="46">
        <f t="shared" si="206"/>
        <v>46153.054745370377</v>
      </c>
      <c r="B1201" s="46"/>
      <c r="C1201" s="46"/>
      <c r="D1201" s="46"/>
      <c r="E1201" s="119" t="s">
        <v>467</v>
      </c>
      <c r="F1201" s="57" t="s">
        <v>104</v>
      </c>
      <c r="G1201" s="57"/>
      <c r="H1201" s="49" t="s">
        <v>1981</v>
      </c>
      <c r="I1201" s="82" t="s">
        <v>1982</v>
      </c>
      <c r="J1201" s="51"/>
      <c r="K1201" s="52">
        <v>0</v>
      </c>
      <c r="L1201" s="52">
        <v>0</v>
      </c>
      <c r="M1201" s="53">
        <v>110</v>
      </c>
      <c r="N1201" s="54">
        <v>200</v>
      </c>
      <c r="O1201" s="341">
        <v>1</v>
      </c>
      <c r="P1201" s="54">
        <v>68</v>
      </c>
      <c r="Q1201" s="54"/>
      <c r="R1201" s="92">
        <v>68</v>
      </c>
      <c r="S1201" s="53">
        <f t="shared" si="208"/>
        <v>0</v>
      </c>
      <c r="T1201" s="343">
        <f t="shared" si="202"/>
        <v>785.4545454545455</v>
      </c>
      <c r="U1201" s="52">
        <f t="shared" si="203"/>
        <v>0</v>
      </c>
      <c r="V1201" s="52">
        <f t="shared" si="209"/>
        <v>0</v>
      </c>
      <c r="W1201" s="52">
        <v>0</v>
      </c>
      <c r="X1201" s="55">
        <f t="shared" si="205"/>
        <v>46153.054745370377</v>
      </c>
    </row>
    <row r="1202" spans="1:24" ht="29" hidden="1" x14ac:dyDescent="0.35">
      <c r="A1202" s="46">
        <f t="shared" si="206"/>
        <v>46153.054745370377</v>
      </c>
      <c r="B1202" s="46"/>
      <c r="C1202" s="46"/>
      <c r="D1202" s="46"/>
      <c r="E1202" s="119" t="s">
        <v>467</v>
      </c>
      <c r="F1202" s="48" t="s">
        <v>101</v>
      </c>
      <c r="G1202" s="48"/>
      <c r="H1202" s="49" t="s">
        <v>1983</v>
      </c>
      <c r="I1202" s="82" t="s">
        <v>111</v>
      </c>
      <c r="J1202" s="51"/>
      <c r="K1202" s="52">
        <v>0</v>
      </c>
      <c r="L1202" s="52">
        <v>0</v>
      </c>
      <c r="M1202" s="53">
        <v>120</v>
      </c>
      <c r="N1202" s="54">
        <v>1700</v>
      </c>
      <c r="O1202" s="341">
        <v>1</v>
      </c>
      <c r="P1202" s="54">
        <f t="shared" ref="P1202:P1265" si="210">N1202/O1202</f>
        <v>1700</v>
      </c>
      <c r="Q1202" s="54"/>
      <c r="R1202" s="92">
        <v>1700</v>
      </c>
      <c r="S1202" s="53">
        <f t="shared" si="208"/>
        <v>0</v>
      </c>
      <c r="T1202" s="343">
        <f t="shared" si="202"/>
        <v>720</v>
      </c>
      <c r="U1202" s="52">
        <f t="shared" si="203"/>
        <v>0</v>
      </c>
      <c r="V1202" s="52">
        <f t="shared" si="209"/>
        <v>0</v>
      </c>
      <c r="W1202" s="52">
        <v>0</v>
      </c>
      <c r="X1202" s="55">
        <f t="shared" si="205"/>
        <v>46153.054745370377</v>
      </c>
    </row>
    <row r="1203" spans="1:24" ht="29" hidden="1" x14ac:dyDescent="0.35">
      <c r="A1203" s="46">
        <f t="shared" si="206"/>
        <v>46153.054745370377</v>
      </c>
      <c r="B1203" s="46"/>
      <c r="C1203" s="46"/>
      <c r="D1203" s="46"/>
      <c r="E1203" s="119" t="s">
        <v>467</v>
      </c>
      <c r="F1203" s="48" t="s">
        <v>1984</v>
      </c>
      <c r="G1203" s="48"/>
      <c r="H1203" s="49" t="s">
        <v>1985</v>
      </c>
      <c r="I1203" s="99" t="s">
        <v>1986</v>
      </c>
      <c r="J1203" s="51"/>
      <c r="K1203" s="52">
        <v>0</v>
      </c>
      <c r="L1203" s="52">
        <v>0</v>
      </c>
      <c r="M1203" s="53">
        <v>65</v>
      </c>
      <c r="N1203" s="54">
        <v>12000</v>
      </c>
      <c r="O1203" s="341">
        <v>1</v>
      </c>
      <c r="P1203" s="54">
        <f t="shared" si="210"/>
        <v>12000</v>
      </c>
      <c r="Q1203" s="54"/>
      <c r="R1203" s="92">
        <v>12000</v>
      </c>
      <c r="S1203" s="53">
        <f t="shared" si="208"/>
        <v>0</v>
      </c>
      <c r="T1203" s="343">
        <f t="shared" si="202"/>
        <v>1329.2307692307693</v>
      </c>
      <c r="U1203" s="52">
        <f t="shared" si="203"/>
        <v>0</v>
      </c>
      <c r="V1203" s="52">
        <f t="shared" si="209"/>
        <v>0</v>
      </c>
      <c r="W1203" s="52">
        <v>0</v>
      </c>
      <c r="X1203" s="55">
        <f t="shared" si="205"/>
        <v>46153.054745370377</v>
      </c>
    </row>
    <row r="1204" spans="1:24" ht="116" hidden="1" x14ac:dyDescent="0.35">
      <c r="A1204" s="46">
        <f t="shared" si="206"/>
        <v>46153.054745370377</v>
      </c>
      <c r="B1204" s="46"/>
      <c r="C1204" s="46"/>
      <c r="D1204" s="46"/>
      <c r="E1204" s="119" t="s">
        <v>467</v>
      </c>
      <c r="F1204" s="48" t="s">
        <v>4227</v>
      </c>
      <c r="G1204" s="48"/>
      <c r="H1204" s="49" t="s">
        <v>1987</v>
      </c>
      <c r="I1204" s="533" t="s">
        <v>1988</v>
      </c>
      <c r="J1204" s="51"/>
      <c r="K1204" s="52">
        <v>0</v>
      </c>
      <c r="L1204" s="52">
        <v>0</v>
      </c>
      <c r="M1204" s="53">
        <v>65</v>
      </c>
      <c r="N1204" s="54">
        <v>10012</v>
      </c>
      <c r="O1204" s="341">
        <v>1</v>
      </c>
      <c r="P1204" s="54">
        <f t="shared" si="210"/>
        <v>10012</v>
      </c>
      <c r="Q1204" s="54"/>
      <c r="R1204" s="92">
        <v>10012</v>
      </c>
      <c r="S1204" s="53">
        <f t="shared" si="208"/>
        <v>0</v>
      </c>
      <c r="T1204" s="343">
        <f t="shared" si="202"/>
        <v>1329.2307692307693</v>
      </c>
      <c r="U1204" s="52">
        <f t="shared" si="203"/>
        <v>0</v>
      </c>
      <c r="V1204" s="52">
        <f t="shared" si="209"/>
        <v>0</v>
      </c>
      <c r="W1204" s="52">
        <v>0</v>
      </c>
      <c r="X1204" s="55">
        <f t="shared" si="205"/>
        <v>46153.054745370377</v>
      </c>
    </row>
    <row r="1205" spans="1:24" ht="101.5" hidden="1" x14ac:dyDescent="0.35">
      <c r="A1205" s="46">
        <f t="shared" si="206"/>
        <v>46153.054745370377</v>
      </c>
      <c r="B1205" s="46"/>
      <c r="C1205" s="46"/>
      <c r="D1205" s="46"/>
      <c r="E1205" s="119" t="s">
        <v>467</v>
      </c>
      <c r="F1205" s="62" t="s">
        <v>1989</v>
      </c>
      <c r="G1205" s="62"/>
      <c r="H1205" s="49" t="s">
        <v>1990</v>
      </c>
      <c r="I1205" s="316" t="s">
        <v>1991</v>
      </c>
      <c r="J1205" s="51"/>
      <c r="K1205" s="52">
        <v>0</v>
      </c>
      <c r="L1205" s="52">
        <v>0</v>
      </c>
      <c r="M1205" s="53">
        <v>65</v>
      </c>
      <c r="N1205" s="54">
        <v>12000</v>
      </c>
      <c r="O1205" s="341">
        <v>1</v>
      </c>
      <c r="P1205" s="54">
        <f t="shared" si="210"/>
        <v>12000</v>
      </c>
      <c r="Q1205" s="54"/>
      <c r="R1205" s="92">
        <v>12000</v>
      </c>
      <c r="S1205" s="53">
        <f t="shared" si="208"/>
        <v>0</v>
      </c>
      <c r="T1205" s="343">
        <f t="shared" si="202"/>
        <v>1329.2307692307693</v>
      </c>
      <c r="U1205" s="52">
        <f t="shared" si="203"/>
        <v>0</v>
      </c>
      <c r="V1205" s="52">
        <f t="shared" si="209"/>
        <v>0</v>
      </c>
      <c r="W1205" s="52">
        <v>0</v>
      </c>
      <c r="X1205" s="55">
        <f t="shared" si="205"/>
        <v>46153.054745370377</v>
      </c>
    </row>
    <row r="1206" spans="1:24" ht="101.5" hidden="1" x14ac:dyDescent="0.35">
      <c r="A1206" s="46">
        <f t="shared" si="206"/>
        <v>46153.054745370377</v>
      </c>
      <c r="B1206" s="46"/>
      <c r="C1206" s="46"/>
      <c r="D1206" s="46"/>
      <c r="E1206" s="119" t="s">
        <v>467</v>
      </c>
      <c r="F1206" s="62" t="s">
        <v>1992</v>
      </c>
      <c r="G1206" s="62"/>
      <c r="H1206" s="49" t="s">
        <v>1993</v>
      </c>
      <c r="I1206" s="316" t="s">
        <v>1994</v>
      </c>
      <c r="J1206" s="51"/>
      <c r="K1206" s="52">
        <v>0</v>
      </c>
      <c r="L1206" s="52">
        <v>0</v>
      </c>
      <c r="M1206" s="53">
        <v>65</v>
      </c>
      <c r="N1206" s="54">
        <v>1000</v>
      </c>
      <c r="O1206" s="341">
        <v>1</v>
      </c>
      <c r="P1206" s="54">
        <f t="shared" si="210"/>
        <v>1000</v>
      </c>
      <c r="Q1206" s="54"/>
      <c r="R1206" s="92">
        <v>1000</v>
      </c>
      <c r="S1206" s="53">
        <f t="shared" si="208"/>
        <v>0</v>
      </c>
      <c r="T1206" s="343">
        <f t="shared" si="202"/>
        <v>1329.2307692307693</v>
      </c>
      <c r="U1206" s="52">
        <f t="shared" si="203"/>
        <v>0</v>
      </c>
      <c r="V1206" s="52">
        <f t="shared" si="209"/>
        <v>0</v>
      </c>
      <c r="W1206" s="52">
        <v>0</v>
      </c>
      <c r="X1206" s="55">
        <f t="shared" si="205"/>
        <v>46153.054745370377</v>
      </c>
    </row>
    <row r="1207" spans="1:24" hidden="1" x14ac:dyDescent="0.35">
      <c r="A1207" s="46">
        <f t="shared" si="206"/>
        <v>46153.054745370377</v>
      </c>
      <c r="B1207" s="46"/>
      <c r="C1207" s="46"/>
      <c r="D1207" s="46"/>
      <c r="E1207" s="119" t="s">
        <v>467</v>
      </c>
      <c r="F1207" s="57" t="s">
        <v>1995</v>
      </c>
      <c r="G1207" s="57"/>
      <c r="H1207" s="49" t="s">
        <v>1996</v>
      </c>
      <c r="I1207" s="82" t="s">
        <v>78</v>
      </c>
      <c r="J1207" s="51" t="s">
        <v>140</v>
      </c>
      <c r="K1207" s="52">
        <v>0</v>
      </c>
      <c r="L1207" s="52">
        <v>0</v>
      </c>
      <c r="M1207" s="53">
        <v>100</v>
      </c>
      <c r="N1207" s="54">
        <v>1100</v>
      </c>
      <c r="O1207" s="341">
        <v>1</v>
      </c>
      <c r="P1207" s="54">
        <f t="shared" si="210"/>
        <v>1100</v>
      </c>
      <c r="Q1207" s="54"/>
      <c r="R1207" s="92">
        <v>1100</v>
      </c>
      <c r="S1207" s="53">
        <f t="shared" si="208"/>
        <v>0</v>
      </c>
      <c r="T1207" s="343">
        <f t="shared" si="202"/>
        <v>864</v>
      </c>
      <c r="U1207" s="52">
        <f t="shared" si="203"/>
        <v>0</v>
      </c>
      <c r="V1207" s="52">
        <f t="shared" si="209"/>
        <v>0</v>
      </c>
      <c r="W1207" s="52"/>
      <c r="X1207" s="55">
        <f t="shared" si="205"/>
        <v>46153.054745370377</v>
      </c>
    </row>
    <row r="1208" spans="1:24" hidden="1" x14ac:dyDescent="0.35">
      <c r="A1208" s="46">
        <f t="shared" si="206"/>
        <v>46153.054745370377</v>
      </c>
      <c r="B1208" s="46"/>
      <c r="C1208" s="46"/>
      <c r="D1208" s="46"/>
      <c r="E1208" s="119" t="s">
        <v>467</v>
      </c>
      <c r="F1208" s="57" t="s">
        <v>1997</v>
      </c>
      <c r="G1208" s="57"/>
      <c r="H1208" s="216" t="s">
        <v>1998</v>
      </c>
      <c r="I1208" s="82" t="s">
        <v>470</v>
      </c>
      <c r="J1208" s="51" t="s">
        <v>140</v>
      </c>
      <c r="K1208" s="52">
        <v>0</v>
      </c>
      <c r="L1208" s="52">
        <v>0</v>
      </c>
      <c r="M1208" s="53">
        <v>207</v>
      </c>
      <c r="N1208" s="54">
        <v>4320</v>
      </c>
      <c r="O1208" s="341">
        <v>2</v>
      </c>
      <c r="P1208" s="54">
        <f t="shared" si="210"/>
        <v>2160</v>
      </c>
      <c r="Q1208" s="54"/>
      <c r="R1208" s="92">
        <v>2160</v>
      </c>
      <c r="S1208" s="53">
        <f t="shared" si="208"/>
        <v>0</v>
      </c>
      <c r="T1208" s="343">
        <f t="shared" si="202"/>
        <v>834.78260869565213</v>
      </c>
      <c r="U1208" s="52">
        <f t="shared" si="203"/>
        <v>0</v>
      </c>
      <c r="V1208" s="52">
        <f t="shared" si="209"/>
        <v>0</v>
      </c>
      <c r="W1208" s="52">
        <v>0</v>
      </c>
      <c r="X1208" s="55">
        <f t="shared" si="205"/>
        <v>46153.054745370377</v>
      </c>
    </row>
    <row r="1209" spans="1:24" ht="116" hidden="1" x14ac:dyDescent="0.35">
      <c r="A1209" s="46">
        <f t="shared" si="206"/>
        <v>46153.054745370377</v>
      </c>
      <c r="B1209" s="46"/>
      <c r="C1209" s="46"/>
      <c r="D1209" s="46"/>
      <c r="E1209" s="119" t="s">
        <v>467</v>
      </c>
      <c r="F1209" s="62" t="s">
        <v>1999</v>
      </c>
      <c r="G1209" s="62"/>
      <c r="H1209" s="49" t="s">
        <v>2000</v>
      </c>
      <c r="I1209" s="316" t="s">
        <v>2001</v>
      </c>
      <c r="J1209" s="51" t="s">
        <v>140</v>
      </c>
      <c r="K1209" s="52">
        <v>0</v>
      </c>
      <c r="L1209" s="52">
        <v>0</v>
      </c>
      <c r="M1209" s="53">
        <v>65</v>
      </c>
      <c r="N1209" s="54">
        <v>5487</v>
      </c>
      <c r="O1209" s="341">
        <v>1</v>
      </c>
      <c r="P1209" s="54">
        <f t="shared" si="210"/>
        <v>5487</v>
      </c>
      <c r="Q1209" s="54"/>
      <c r="R1209" s="92">
        <v>5487</v>
      </c>
      <c r="S1209" s="53">
        <f t="shared" si="208"/>
        <v>0</v>
      </c>
      <c r="T1209" s="343">
        <f t="shared" si="202"/>
        <v>1329.2307692307693</v>
      </c>
      <c r="U1209" s="52">
        <f t="shared" si="203"/>
        <v>0</v>
      </c>
      <c r="V1209" s="52">
        <f t="shared" si="209"/>
        <v>0</v>
      </c>
      <c r="W1209" s="52">
        <v>0</v>
      </c>
      <c r="X1209" s="55">
        <f t="shared" si="205"/>
        <v>46153.054745370377</v>
      </c>
    </row>
    <row r="1210" spans="1:24" ht="116" hidden="1" x14ac:dyDescent="0.35">
      <c r="A1210" s="46">
        <f t="shared" si="206"/>
        <v>46153.054745370377</v>
      </c>
      <c r="B1210" s="46"/>
      <c r="C1210" s="46"/>
      <c r="D1210" s="46"/>
      <c r="E1210" s="119" t="s">
        <v>467</v>
      </c>
      <c r="F1210" s="62" t="s">
        <v>1999</v>
      </c>
      <c r="G1210" s="62"/>
      <c r="H1210" s="49" t="s">
        <v>2000</v>
      </c>
      <c r="I1210" s="316" t="s">
        <v>2001</v>
      </c>
      <c r="J1210" s="51" t="s">
        <v>140</v>
      </c>
      <c r="K1210" s="52">
        <v>0</v>
      </c>
      <c r="L1210" s="52">
        <v>0</v>
      </c>
      <c r="M1210" s="53">
        <v>65</v>
      </c>
      <c r="N1210" s="54">
        <v>6513</v>
      </c>
      <c r="O1210" s="341">
        <v>1</v>
      </c>
      <c r="P1210" s="54">
        <f t="shared" si="210"/>
        <v>6513</v>
      </c>
      <c r="Q1210" s="54"/>
      <c r="R1210" s="92">
        <v>6513</v>
      </c>
      <c r="S1210" s="53">
        <f t="shared" si="208"/>
        <v>0</v>
      </c>
      <c r="T1210" s="343">
        <f t="shared" si="202"/>
        <v>1329.2307692307693</v>
      </c>
      <c r="U1210" s="52">
        <f t="shared" si="203"/>
        <v>0</v>
      </c>
      <c r="V1210" s="52">
        <f t="shared" si="209"/>
        <v>0</v>
      </c>
      <c r="W1210" s="52">
        <v>0</v>
      </c>
      <c r="X1210" s="55">
        <f t="shared" si="205"/>
        <v>46153.054745370377</v>
      </c>
    </row>
    <row r="1211" spans="1:24" ht="101.5" hidden="1" x14ac:dyDescent="0.35">
      <c r="A1211" s="46">
        <f t="shared" si="206"/>
        <v>46153.054745370377</v>
      </c>
      <c r="B1211" s="46"/>
      <c r="C1211" s="46"/>
      <c r="D1211" s="46"/>
      <c r="E1211" s="119" t="s">
        <v>467</v>
      </c>
      <c r="F1211" s="62" t="s">
        <v>2002</v>
      </c>
      <c r="G1211" s="62"/>
      <c r="H1211" s="49" t="s">
        <v>2003</v>
      </c>
      <c r="I1211" s="316" t="s">
        <v>2004</v>
      </c>
      <c r="J1211" s="51" t="s">
        <v>140</v>
      </c>
      <c r="K1211" s="52">
        <v>0</v>
      </c>
      <c r="L1211" s="52">
        <v>0</v>
      </c>
      <c r="M1211" s="53">
        <v>65</v>
      </c>
      <c r="N1211" s="54">
        <v>10000</v>
      </c>
      <c r="O1211" s="341">
        <v>1</v>
      </c>
      <c r="P1211" s="54">
        <f t="shared" si="210"/>
        <v>10000</v>
      </c>
      <c r="Q1211" s="54"/>
      <c r="R1211" s="92">
        <v>10000</v>
      </c>
      <c r="S1211" s="53">
        <f t="shared" si="208"/>
        <v>0</v>
      </c>
      <c r="T1211" s="343">
        <f t="shared" si="202"/>
        <v>1329.2307692307693</v>
      </c>
      <c r="U1211" s="52">
        <f t="shared" si="203"/>
        <v>0</v>
      </c>
      <c r="V1211" s="52">
        <f t="shared" si="209"/>
        <v>0</v>
      </c>
      <c r="W1211" s="52">
        <v>0</v>
      </c>
      <c r="X1211" s="55">
        <f t="shared" si="205"/>
        <v>46153.054745370377</v>
      </c>
    </row>
    <row r="1212" spans="1:24" ht="29" hidden="1" x14ac:dyDescent="0.35">
      <c r="A1212" s="46">
        <f t="shared" si="206"/>
        <v>46153.054745370377</v>
      </c>
      <c r="B1212" s="46"/>
      <c r="C1212" s="46"/>
      <c r="D1212" s="46"/>
      <c r="E1212" s="119" t="s">
        <v>467</v>
      </c>
      <c r="F1212" s="57" t="s">
        <v>177</v>
      </c>
      <c r="G1212" s="57"/>
      <c r="H1212" s="216" t="s">
        <v>471</v>
      </c>
      <c r="I1212" s="82" t="s">
        <v>470</v>
      </c>
      <c r="J1212" s="51" t="s">
        <v>140</v>
      </c>
      <c r="K1212" s="52">
        <v>0</v>
      </c>
      <c r="L1212" s="52">
        <v>0</v>
      </c>
      <c r="M1212" s="53">
        <v>207</v>
      </c>
      <c r="N1212" s="54">
        <v>4320</v>
      </c>
      <c r="O1212" s="341">
        <v>2</v>
      </c>
      <c r="P1212" s="54">
        <f t="shared" si="210"/>
        <v>2160</v>
      </c>
      <c r="Q1212" s="54"/>
      <c r="R1212" s="92">
        <v>2160</v>
      </c>
      <c r="S1212" s="53">
        <f t="shared" si="208"/>
        <v>0</v>
      </c>
      <c r="T1212" s="343">
        <f t="shared" si="202"/>
        <v>834.78260869565213</v>
      </c>
      <c r="U1212" s="52">
        <f t="shared" si="203"/>
        <v>0</v>
      </c>
      <c r="V1212" s="52">
        <f t="shared" si="209"/>
        <v>0</v>
      </c>
      <c r="W1212" s="52">
        <v>0</v>
      </c>
      <c r="X1212" s="55">
        <f t="shared" si="205"/>
        <v>46153.054745370377</v>
      </c>
    </row>
    <row r="1213" spans="1:24" ht="29" hidden="1" x14ac:dyDescent="0.35">
      <c r="A1213" s="46">
        <f t="shared" si="206"/>
        <v>46153.054745370377</v>
      </c>
      <c r="B1213" s="46"/>
      <c r="C1213" s="46"/>
      <c r="D1213" s="46"/>
      <c r="E1213" s="119" t="s">
        <v>467</v>
      </c>
      <c r="F1213" s="62" t="s">
        <v>1379</v>
      </c>
      <c r="G1213" s="62"/>
      <c r="H1213" s="66" t="s">
        <v>2005</v>
      </c>
      <c r="I1213" s="82" t="s">
        <v>164</v>
      </c>
      <c r="J1213" s="51" t="s">
        <v>140</v>
      </c>
      <c r="K1213" s="52">
        <v>0</v>
      </c>
      <c r="L1213" s="52">
        <v>0</v>
      </c>
      <c r="M1213" s="53">
        <v>120</v>
      </c>
      <c r="N1213" s="54">
        <v>963</v>
      </c>
      <c r="O1213" s="341">
        <v>1</v>
      </c>
      <c r="P1213" s="54">
        <f t="shared" si="210"/>
        <v>963</v>
      </c>
      <c r="Q1213" s="54"/>
      <c r="R1213" s="92">
        <v>963</v>
      </c>
      <c r="S1213" s="53">
        <f t="shared" si="208"/>
        <v>0</v>
      </c>
      <c r="T1213" s="343">
        <f t="shared" si="202"/>
        <v>720</v>
      </c>
      <c r="U1213" s="52">
        <f t="shared" si="203"/>
        <v>0</v>
      </c>
      <c r="V1213" s="52">
        <f t="shared" si="209"/>
        <v>0</v>
      </c>
      <c r="W1213" s="52">
        <v>0</v>
      </c>
      <c r="X1213" s="55">
        <f t="shared" si="205"/>
        <v>46153.054745370377</v>
      </c>
    </row>
    <row r="1214" spans="1:24" ht="29" hidden="1" x14ac:dyDescent="0.35">
      <c r="A1214" s="46">
        <f t="shared" si="206"/>
        <v>46153.054745370377</v>
      </c>
      <c r="B1214" s="46"/>
      <c r="C1214" s="46"/>
      <c r="D1214" s="46"/>
      <c r="E1214" s="119" t="s">
        <v>467</v>
      </c>
      <c r="F1214" s="62" t="s">
        <v>1379</v>
      </c>
      <c r="G1214" s="62"/>
      <c r="H1214" s="66" t="s">
        <v>2005</v>
      </c>
      <c r="I1214" s="82" t="s">
        <v>164</v>
      </c>
      <c r="J1214" s="51" t="s">
        <v>140</v>
      </c>
      <c r="K1214" s="52">
        <v>0</v>
      </c>
      <c r="L1214" s="52">
        <v>0</v>
      </c>
      <c r="M1214" s="53">
        <v>120</v>
      </c>
      <c r="N1214" s="54">
        <v>3037</v>
      </c>
      <c r="O1214" s="341">
        <v>1</v>
      </c>
      <c r="P1214" s="54">
        <f t="shared" si="210"/>
        <v>3037</v>
      </c>
      <c r="Q1214" s="54"/>
      <c r="R1214" s="92">
        <v>3037</v>
      </c>
      <c r="S1214" s="53">
        <f t="shared" si="208"/>
        <v>0</v>
      </c>
      <c r="T1214" s="343">
        <f t="shared" si="202"/>
        <v>720</v>
      </c>
      <c r="U1214" s="52">
        <f t="shared" si="203"/>
        <v>0</v>
      </c>
      <c r="V1214" s="52">
        <f t="shared" si="209"/>
        <v>0</v>
      </c>
      <c r="W1214" s="52">
        <v>0</v>
      </c>
      <c r="X1214" s="55">
        <f t="shared" si="205"/>
        <v>46153.054745370377</v>
      </c>
    </row>
    <row r="1215" spans="1:24" ht="26.5" hidden="1" x14ac:dyDescent="0.35">
      <c r="A1215" s="46">
        <f t="shared" si="206"/>
        <v>46153.054745370377</v>
      </c>
      <c r="B1215" s="46"/>
      <c r="C1215" s="46"/>
      <c r="D1215" s="46"/>
      <c r="E1215" s="119" t="s">
        <v>467</v>
      </c>
      <c r="F1215" s="48" t="s">
        <v>2006</v>
      </c>
      <c r="G1215" s="48"/>
      <c r="H1215" s="59" t="s">
        <v>2007</v>
      </c>
      <c r="I1215" s="106" t="s">
        <v>1047</v>
      </c>
      <c r="J1215" s="51" t="s">
        <v>140</v>
      </c>
      <c r="K1215" s="52">
        <v>0</v>
      </c>
      <c r="L1215" s="52">
        <v>0</v>
      </c>
      <c r="M1215" s="53">
        <v>100</v>
      </c>
      <c r="N1215" s="54">
        <v>2000</v>
      </c>
      <c r="O1215" s="341">
        <v>1</v>
      </c>
      <c r="P1215" s="54">
        <f t="shared" si="210"/>
        <v>2000</v>
      </c>
      <c r="Q1215" s="54"/>
      <c r="R1215" s="92">
        <v>2000</v>
      </c>
      <c r="S1215" s="53">
        <f t="shared" si="208"/>
        <v>0</v>
      </c>
      <c r="T1215" s="343">
        <f t="shared" si="202"/>
        <v>864</v>
      </c>
      <c r="U1215" s="52">
        <f t="shared" si="203"/>
        <v>0</v>
      </c>
      <c r="V1215" s="52">
        <f t="shared" si="209"/>
        <v>0</v>
      </c>
      <c r="W1215" s="52">
        <v>0</v>
      </c>
      <c r="X1215" s="55">
        <f t="shared" si="205"/>
        <v>46153.054745370377</v>
      </c>
    </row>
    <row r="1216" spans="1:24" ht="26.5" hidden="1" x14ac:dyDescent="0.35">
      <c r="A1216" s="46">
        <f t="shared" si="206"/>
        <v>46153.054745370377</v>
      </c>
      <c r="B1216" s="46"/>
      <c r="C1216" s="46"/>
      <c r="D1216" s="46"/>
      <c r="E1216" s="119" t="s">
        <v>467</v>
      </c>
      <c r="F1216" s="48" t="s">
        <v>2008</v>
      </c>
      <c r="G1216" s="48"/>
      <c r="H1216" s="59" t="s">
        <v>2009</v>
      </c>
      <c r="I1216" s="106" t="s">
        <v>1047</v>
      </c>
      <c r="J1216" s="51" t="s">
        <v>140</v>
      </c>
      <c r="K1216" s="52">
        <v>0</v>
      </c>
      <c r="L1216" s="52">
        <v>0</v>
      </c>
      <c r="M1216" s="53">
        <v>100</v>
      </c>
      <c r="N1216" s="54">
        <v>1000</v>
      </c>
      <c r="O1216" s="341">
        <v>1</v>
      </c>
      <c r="P1216" s="54">
        <f t="shared" si="210"/>
        <v>1000</v>
      </c>
      <c r="Q1216" s="54"/>
      <c r="R1216" s="92">
        <v>1000</v>
      </c>
      <c r="S1216" s="53">
        <f t="shared" si="208"/>
        <v>0</v>
      </c>
      <c r="T1216" s="343">
        <f t="shared" si="202"/>
        <v>864</v>
      </c>
      <c r="U1216" s="52">
        <f t="shared" si="203"/>
        <v>0</v>
      </c>
      <c r="V1216" s="52">
        <f t="shared" si="209"/>
        <v>0</v>
      </c>
      <c r="W1216" s="52">
        <v>0</v>
      </c>
      <c r="X1216" s="55">
        <f t="shared" si="205"/>
        <v>46153.054745370377</v>
      </c>
    </row>
    <row r="1217" spans="1:24" hidden="1" x14ac:dyDescent="0.35">
      <c r="A1217" s="46">
        <f t="shared" si="206"/>
        <v>46153.054745370377</v>
      </c>
      <c r="B1217" s="46"/>
      <c r="C1217" s="46"/>
      <c r="D1217" s="46"/>
      <c r="E1217" s="119" t="s">
        <v>467</v>
      </c>
      <c r="F1217" s="48" t="s">
        <v>2010</v>
      </c>
      <c r="G1217" s="48"/>
      <c r="H1217" s="59" t="s">
        <v>2011</v>
      </c>
      <c r="I1217" s="69" t="s">
        <v>143</v>
      </c>
      <c r="J1217" s="64" t="s">
        <v>140</v>
      </c>
      <c r="K1217" s="52">
        <v>0</v>
      </c>
      <c r="L1217" s="52">
        <v>0</v>
      </c>
      <c r="M1217" s="53">
        <v>100</v>
      </c>
      <c r="N1217" s="54">
        <v>2000</v>
      </c>
      <c r="O1217" s="341">
        <v>1</v>
      </c>
      <c r="P1217" s="54">
        <f t="shared" si="210"/>
        <v>2000</v>
      </c>
      <c r="Q1217" s="54"/>
      <c r="R1217" s="92">
        <v>2000</v>
      </c>
      <c r="S1217" s="53">
        <f t="shared" si="208"/>
        <v>0</v>
      </c>
      <c r="T1217" s="343">
        <f t="shared" si="202"/>
        <v>864</v>
      </c>
      <c r="U1217" s="52">
        <f t="shared" si="203"/>
        <v>0</v>
      </c>
      <c r="V1217" s="52">
        <f t="shared" si="209"/>
        <v>0</v>
      </c>
      <c r="W1217" s="52">
        <v>0</v>
      </c>
      <c r="X1217" s="55">
        <f t="shared" si="205"/>
        <v>46153.054745370377</v>
      </c>
    </row>
    <row r="1218" spans="1:24" ht="26" hidden="1" x14ac:dyDescent="0.35">
      <c r="A1218" s="46">
        <f t="shared" si="206"/>
        <v>46153.054745370377</v>
      </c>
      <c r="B1218" s="46"/>
      <c r="C1218" s="46"/>
      <c r="D1218" s="46"/>
      <c r="E1218" s="119" t="s">
        <v>467</v>
      </c>
      <c r="F1218" s="48" t="s">
        <v>2010</v>
      </c>
      <c r="G1218" s="48"/>
      <c r="H1218" s="59" t="s">
        <v>2012</v>
      </c>
      <c r="I1218" s="534" t="s">
        <v>164</v>
      </c>
      <c r="J1218" s="51" t="s">
        <v>140</v>
      </c>
      <c r="K1218" s="52">
        <v>0</v>
      </c>
      <c r="L1218" s="52">
        <v>0</v>
      </c>
      <c r="M1218" s="53">
        <v>120</v>
      </c>
      <c r="N1218" s="54">
        <v>2000</v>
      </c>
      <c r="O1218" s="341">
        <v>1</v>
      </c>
      <c r="P1218" s="54">
        <f t="shared" si="210"/>
        <v>2000</v>
      </c>
      <c r="Q1218" s="54"/>
      <c r="R1218" s="92">
        <v>2000</v>
      </c>
      <c r="S1218" s="53">
        <f t="shared" si="208"/>
        <v>0</v>
      </c>
      <c r="T1218" s="343">
        <f t="shared" si="202"/>
        <v>720</v>
      </c>
      <c r="U1218" s="52">
        <f t="shared" si="203"/>
        <v>0</v>
      </c>
      <c r="V1218" s="52">
        <f t="shared" si="209"/>
        <v>0</v>
      </c>
      <c r="W1218" s="52">
        <v>0</v>
      </c>
      <c r="X1218" s="55">
        <f t="shared" si="205"/>
        <v>46153.054745370377</v>
      </c>
    </row>
    <row r="1219" spans="1:24" hidden="1" x14ac:dyDescent="0.35">
      <c r="A1219" s="46">
        <f t="shared" si="206"/>
        <v>46153.054745370377</v>
      </c>
      <c r="B1219" s="46"/>
      <c r="C1219" s="46"/>
      <c r="D1219" s="46"/>
      <c r="E1219" s="119" t="s">
        <v>467</v>
      </c>
      <c r="F1219" s="48" t="s">
        <v>1395</v>
      </c>
      <c r="G1219" s="48"/>
      <c r="H1219" s="49" t="s">
        <v>2013</v>
      </c>
      <c r="I1219" s="534" t="s">
        <v>463</v>
      </c>
      <c r="J1219" s="51" t="s">
        <v>140</v>
      </c>
      <c r="K1219" s="52">
        <v>0</v>
      </c>
      <c r="L1219" s="52">
        <v>0</v>
      </c>
      <c r="M1219" s="53">
        <v>95</v>
      </c>
      <c r="N1219" s="54">
        <v>1000</v>
      </c>
      <c r="O1219" s="341">
        <v>1</v>
      </c>
      <c r="P1219" s="54">
        <f t="shared" si="210"/>
        <v>1000</v>
      </c>
      <c r="Q1219" s="54"/>
      <c r="R1219" s="92">
        <v>1000</v>
      </c>
      <c r="S1219" s="53">
        <f t="shared" si="208"/>
        <v>0</v>
      </c>
      <c r="T1219" s="343">
        <f t="shared" si="202"/>
        <v>909.47368421052624</v>
      </c>
      <c r="U1219" s="52">
        <f t="shared" si="203"/>
        <v>0</v>
      </c>
      <c r="V1219" s="52">
        <f t="shared" si="209"/>
        <v>0</v>
      </c>
      <c r="W1219" s="52">
        <v>0</v>
      </c>
      <c r="X1219" s="55">
        <f t="shared" si="205"/>
        <v>46153.054745370377</v>
      </c>
    </row>
    <row r="1220" spans="1:24" hidden="1" x14ac:dyDescent="0.35">
      <c r="A1220" s="46">
        <f t="shared" si="206"/>
        <v>46153.054745370377</v>
      </c>
      <c r="B1220" s="46"/>
      <c r="C1220" s="46"/>
      <c r="D1220" s="46"/>
      <c r="E1220" s="119" t="s">
        <v>467</v>
      </c>
      <c r="F1220" s="58" t="s">
        <v>1389</v>
      </c>
      <c r="G1220" s="58"/>
      <c r="H1220" s="49" t="s">
        <v>2014</v>
      </c>
      <c r="I1220" s="395" t="s">
        <v>2015</v>
      </c>
      <c r="J1220" s="51" t="s">
        <v>140</v>
      </c>
      <c r="K1220" s="52">
        <v>0</v>
      </c>
      <c r="L1220" s="52">
        <v>0</v>
      </c>
      <c r="M1220" s="53">
        <v>95</v>
      </c>
      <c r="N1220" s="54">
        <v>1000</v>
      </c>
      <c r="O1220" s="341">
        <v>1</v>
      </c>
      <c r="P1220" s="54">
        <f t="shared" si="210"/>
        <v>1000</v>
      </c>
      <c r="Q1220" s="54"/>
      <c r="R1220" s="92">
        <v>1000</v>
      </c>
      <c r="S1220" s="53">
        <f t="shared" si="208"/>
        <v>0</v>
      </c>
      <c r="T1220" s="343">
        <f t="shared" si="202"/>
        <v>909.47368421052624</v>
      </c>
      <c r="U1220" s="52">
        <f t="shared" si="203"/>
        <v>0</v>
      </c>
      <c r="V1220" s="52">
        <f t="shared" si="209"/>
        <v>0</v>
      </c>
      <c r="W1220" s="52">
        <v>0</v>
      </c>
      <c r="X1220" s="55">
        <f t="shared" si="205"/>
        <v>46153.054745370377</v>
      </c>
    </row>
    <row r="1221" spans="1:24" hidden="1" x14ac:dyDescent="0.35">
      <c r="A1221" s="46">
        <f t="shared" si="206"/>
        <v>46153.054745370377</v>
      </c>
      <c r="B1221" s="46"/>
      <c r="C1221" s="46"/>
      <c r="D1221" s="46"/>
      <c r="E1221" s="119" t="s">
        <v>467</v>
      </c>
      <c r="F1221" s="48" t="s">
        <v>2016</v>
      </c>
      <c r="G1221" s="48"/>
      <c r="H1221" s="49" t="s">
        <v>2017</v>
      </c>
      <c r="I1221" s="535" t="s">
        <v>2018</v>
      </c>
      <c r="J1221" s="51" t="s">
        <v>140</v>
      </c>
      <c r="K1221" s="52">
        <v>0</v>
      </c>
      <c r="L1221" s="52">
        <v>0</v>
      </c>
      <c r="M1221" s="53">
        <v>90</v>
      </c>
      <c r="N1221" s="54">
        <v>2800</v>
      </c>
      <c r="O1221" s="341">
        <v>1</v>
      </c>
      <c r="P1221" s="54">
        <f t="shared" si="210"/>
        <v>2800</v>
      </c>
      <c r="Q1221" s="54"/>
      <c r="R1221" s="92">
        <v>2800</v>
      </c>
      <c r="S1221" s="53">
        <f t="shared" si="208"/>
        <v>0</v>
      </c>
      <c r="T1221" s="343">
        <f t="shared" si="202"/>
        <v>960</v>
      </c>
      <c r="U1221" s="52">
        <f t="shared" si="203"/>
        <v>0</v>
      </c>
      <c r="V1221" s="52">
        <f t="shared" si="209"/>
        <v>0</v>
      </c>
      <c r="W1221" s="52">
        <v>0</v>
      </c>
      <c r="X1221" s="55">
        <f t="shared" si="205"/>
        <v>46153.054745370377</v>
      </c>
    </row>
    <row r="1222" spans="1:24" hidden="1" x14ac:dyDescent="0.35">
      <c r="A1222" s="46">
        <f t="shared" si="206"/>
        <v>46153.054745370377</v>
      </c>
      <c r="B1222" s="46"/>
      <c r="C1222" s="46"/>
      <c r="D1222" s="46"/>
      <c r="E1222" s="119" t="s">
        <v>467</v>
      </c>
      <c r="F1222" s="48" t="s">
        <v>2019</v>
      </c>
      <c r="G1222" s="48"/>
      <c r="H1222" s="49" t="s">
        <v>2020</v>
      </c>
      <c r="I1222" s="239" t="s">
        <v>1023</v>
      </c>
      <c r="J1222" s="51" t="s">
        <v>140</v>
      </c>
      <c r="K1222" s="52">
        <v>0</v>
      </c>
      <c r="L1222" s="52">
        <v>0</v>
      </c>
      <c r="M1222" s="53">
        <v>95</v>
      </c>
      <c r="N1222" s="54">
        <v>65</v>
      </c>
      <c r="O1222" s="341">
        <v>1</v>
      </c>
      <c r="P1222" s="54">
        <f t="shared" si="210"/>
        <v>65</v>
      </c>
      <c r="Q1222" s="54"/>
      <c r="R1222" s="92">
        <v>65</v>
      </c>
      <c r="S1222" s="53">
        <f t="shared" si="208"/>
        <v>0</v>
      </c>
      <c r="T1222" s="343">
        <f t="shared" si="202"/>
        <v>909.47368421052624</v>
      </c>
      <c r="U1222" s="52">
        <f t="shared" si="203"/>
        <v>0</v>
      </c>
      <c r="V1222" s="52">
        <f t="shared" si="209"/>
        <v>0</v>
      </c>
      <c r="W1222" s="52">
        <v>0</v>
      </c>
      <c r="X1222" s="55">
        <f t="shared" si="205"/>
        <v>46153.054745370377</v>
      </c>
    </row>
    <row r="1223" spans="1:24" hidden="1" x14ac:dyDescent="0.35">
      <c r="A1223" s="46">
        <f t="shared" si="206"/>
        <v>46153.054745370377</v>
      </c>
      <c r="B1223" s="46"/>
      <c r="C1223" s="46"/>
      <c r="D1223" s="46"/>
      <c r="E1223" s="119" t="s">
        <v>467</v>
      </c>
      <c r="F1223" s="48" t="s">
        <v>2021</v>
      </c>
      <c r="G1223" s="48"/>
      <c r="H1223" s="49" t="s">
        <v>2022</v>
      </c>
      <c r="I1223" s="239" t="s">
        <v>2023</v>
      </c>
      <c r="J1223" s="51" t="s">
        <v>140</v>
      </c>
      <c r="K1223" s="52">
        <v>0</v>
      </c>
      <c r="L1223" s="52">
        <v>0</v>
      </c>
      <c r="M1223" s="53">
        <v>95</v>
      </c>
      <c r="N1223" s="54">
        <v>1000</v>
      </c>
      <c r="O1223" s="341">
        <v>1</v>
      </c>
      <c r="P1223" s="54">
        <f t="shared" si="210"/>
        <v>1000</v>
      </c>
      <c r="Q1223" s="54"/>
      <c r="R1223" s="92">
        <v>1000</v>
      </c>
      <c r="S1223" s="53">
        <f t="shared" si="208"/>
        <v>0</v>
      </c>
      <c r="T1223" s="343">
        <f t="shared" si="202"/>
        <v>909.47368421052624</v>
      </c>
      <c r="U1223" s="52">
        <f t="shared" si="203"/>
        <v>0</v>
      </c>
      <c r="V1223" s="52">
        <f t="shared" si="209"/>
        <v>0</v>
      </c>
      <c r="W1223" s="52">
        <v>0</v>
      </c>
      <c r="X1223" s="55">
        <f t="shared" si="205"/>
        <v>46153.054745370377</v>
      </c>
    </row>
    <row r="1224" spans="1:24" hidden="1" x14ac:dyDescent="0.35">
      <c r="A1224" s="46">
        <f t="shared" si="206"/>
        <v>46153.054745370377</v>
      </c>
      <c r="B1224" s="46"/>
      <c r="C1224" s="46"/>
      <c r="D1224" s="46"/>
      <c r="E1224" s="119" t="s">
        <v>467</v>
      </c>
      <c r="F1224" s="48" t="s">
        <v>2021</v>
      </c>
      <c r="G1224" s="48"/>
      <c r="H1224" s="49" t="s">
        <v>2024</v>
      </c>
      <c r="I1224" s="396" t="s">
        <v>2025</v>
      </c>
      <c r="J1224" s="51" t="s">
        <v>140</v>
      </c>
      <c r="K1224" s="52">
        <v>0</v>
      </c>
      <c r="L1224" s="52">
        <v>0</v>
      </c>
      <c r="M1224" s="53">
        <v>90</v>
      </c>
      <c r="N1224" s="54">
        <v>200</v>
      </c>
      <c r="O1224" s="341">
        <v>1</v>
      </c>
      <c r="P1224" s="54">
        <f t="shared" si="210"/>
        <v>200</v>
      </c>
      <c r="Q1224" s="54"/>
      <c r="R1224" s="92">
        <v>200</v>
      </c>
      <c r="S1224" s="53">
        <f t="shared" si="208"/>
        <v>0</v>
      </c>
      <c r="T1224" s="343">
        <f t="shared" si="202"/>
        <v>960</v>
      </c>
      <c r="U1224" s="52">
        <f t="shared" si="203"/>
        <v>0</v>
      </c>
      <c r="V1224" s="52">
        <f t="shared" si="209"/>
        <v>0</v>
      </c>
      <c r="W1224" s="52">
        <v>0</v>
      </c>
      <c r="X1224" s="55">
        <f t="shared" si="205"/>
        <v>46153.054745370377</v>
      </c>
    </row>
    <row r="1225" spans="1:24" hidden="1" x14ac:dyDescent="0.35">
      <c r="A1225" s="46">
        <f t="shared" si="206"/>
        <v>46153.054745370377</v>
      </c>
      <c r="B1225" s="46"/>
      <c r="C1225" s="46"/>
      <c r="D1225" s="46"/>
      <c r="E1225" s="119" t="s">
        <v>467</v>
      </c>
      <c r="F1225" s="48" t="s">
        <v>2021</v>
      </c>
      <c r="G1225" s="48"/>
      <c r="H1225" s="49" t="s">
        <v>2026</v>
      </c>
      <c r="I1225" s="239" t="s">
        <v>2023</v>
      </c>
      <c r="J1225" s="51" t="s">
        <v>140</v>
      </c>
      <c r="K1225" s="52">
        <v>0</v>
      </c>
      <c r="L1225" s="52">
        <v>0</v>
      </c>
      <c r="M1225" s="53">
        <v>95</v>
      </c>
      <c r="N1225" s="54">
        <v>1949</v>
      </c>
      <c r="O1225" s="341">
        <v>1</v>
      </c>
      <c r="P1225" s="54">
        <f t="shared" si="210"/>
        <v>1949</v>
      </c>
      <c r="Q1225" s="54"/>
      <c r="R1225" s="92">
        <v>1949</v>
      </c>
      <c r="S1225" s="53">
        <f t="shared" si="208"/>
        <v>0</v>
      </c>
      <c r="T1225" s="343">
        <f t="shared" si="202"/>
        <v>909.47368421052624</v>
      </c>
      <c r="U1225" s="52">
        <f t="shared" si="203"/>
        <v>0</v>
      </c>
      <c r="V1225" s="52">
        <f t="shared" si="209"/>
        <v>0</v>
      </c>
      <c r="W1225" s="52">
        <v>0</v>
      </c>
      <c r="X1225" s="55">
        <f t="shared" si="205"/>
        <v>46153.054745370377</v>
      </c>
    </row>
    <row r="1226" spans="1:24" hidden="1" x14ac:dyDescent="0.35">
      <c r="A1226" s="46">
        <f t="shared" si="206"/>
        <v>46153.054745370377</v>
      </c>
      <c r="B1226" s="46"/>
      <c r="C1226" s="46"/>
      <c r="D1226" s="46"/>
      <c r="E1226" s="119" t="s">
        <v>467</v>
      </c>
      <c r="F1226" s="48" t="s">
        <v>2027</v>
      </c>
      <c r="G1226" s="48"/>
      <c r="H1226" s="49" t="s">
        <v>2028</v>
      </c>
      <c r="I1226" s="82" t="s">
        <v>964</v>
      </c>
      <c r="J1226" s="51" t="s">
        <v>140</v>
      </c>
      <c r="K1226" s="52">
        <v>0</v>
      </c>
      <c r="L1226" s="52">
        <v>0</v>
      </c>
      <c r="M1226" s="53">
        <v>90</v>
      </c>
      <c r="N1226" s="54">
        <v>200</v>
      </c>
      <c r="O1226" s="341">
        <v>1</v>
      </c>
      <c r="P1226" s="54">
        <f t="shared" si="210"/>
        <v>200</v>
      </c>
      <c r="Q1226" s="54"/>
      <c r="R1226" s="92">
        <v>200</v>
      </c>
      <c r="S1226" s="53">
        <f t="shared" si="208"/>
        <v>0</v>
      </c>
      <c r="T1226" s="343">
        <f t="shared" si="202"/>
        <v>960</v>
      </c>
      <c r="U1226" s="52">
        <f t="shared" si="203"/>
        <v>0</v>
      </c>
      <c r="V1226" s="52">
        <f t="shared" si="209"/>
        <v>0</v>
      </c>
      <c r="W1226" s="52">
        <v>0</v>
      </c>
      <c r="X1226" s="55">
        <f t="shared" si="205"/>
        <v>46153.054745370377</v>
      </c>
    </row>
    <row r="1227" spans="1:24" hidden="1" x14ac:dyDescent="0.35">
      <c r="A1227" s="46">
        <f t="shared" si="206"/>
        <v>46153.054745370377</v>
      </c>
      <c r="B1227" s="46"/>
      <c r="C1227" s="46"/>
      <c r="D1227" s="46"/>
      <c r="E1227" s="119" t="s">
        <v>467</v>
      </c>
      <c r="F1227" s="48" t="s">
        <v>2021</v>
      </c>
      <c r="G1227" s="48"/>
      <c r="H1227" s="49" t="s">
        <v>2026</v>
      </c>
      <c r="I1227" s="239" t="s">
        <v>2023</v>
      </c>
      <c r="J1227" s="51" t="s">
        <v>140</v>
      </c>
      <c r="K1227" s="52">
        <v>0</v>
      </c>
      <c r="L1227" s="52">
        <v>0</v>
      </c>
      <c r="M1227" s="53">
        <v>95</v>
      </c>
      <c r="N1227" s="54">
        <v>2093</v>
      </c>
      <c r="O1227" s="341">
        <v>1</v>
      </c>
      <c r="P1227" s="54">
        <f t="shared" si="210"/>
        <v>2093</v>
      </c>
      <c r="Q1227" s="54"/>
      <c r="R1227" s="92">
        <v>2093</v>
      </c>
      <c r="S1227" s="53">
        <f t="shared" si="208"/>
        <v>0</v>
      </c>
      <c r="T1227" s="343">
        <f t="shared" si="202"/>
        <v>909.47368421052624</v>
      </c>
      <c r="U1227" s="52">
        <f t="shared" si="203"/>
        <v>0</v>
      </c>
      <c r="V1227" s="52">
        <f t="shared" si="209"/>
        <v>0</v>
      </c>
      <c r="W1227" s="52">
        <v>0</v>
      </c>
      <c r="X1227" s="55">
        <f t="shared" si="205"/>
        <v>46153.054745370377</v>
      </c>
    </row>
    <row r="1228" spans="1:24" hidden="1" x14ac:dyDescent="0.35">
      <c r="A1228" s="46">
        <f t="shared" si="206"/>
        <v>46153.054745370377</v>
      </c>
      <c r="B1228" s="46"/>
      <c r="C1228" s="46"/>
      <c r="D1228" s="46"/>
      <c r="E1228" s="119" t="s">
        <v>467</v>
      </c>
      <c r="F1228" s="48" t="s">
        <v>2021</v>
      </c>
      <c r="G1228" s="48"/>
      <c r="H1228" s="49" t="s">
        <v>2024</v>
      </c>
      <c r="I1228" s="396" t="s">
        <v>2025</v>
      </c>
      <c r="J1228" s="51" t="s">
        <v>140</v>
      </c>
      <c r="K1228" s="52">
        <v>0</v>
      </c>
      <c r="L1228" s="52">
        <v>0</v>
      </c>
      <c r="M1228" s="53">
        <v>95</v>
      </c>
      <c r="N1228" s="54">
        <v>3800</v>
      </c>
      <c r="O1228" s="341">
        <v>1</v>
      </c>
      <c r="P1228" s="54">
        <f t="shared" si="210"/>
        <v>3800</v>
      </c>
      <c r="Q1228" s="54"/>
      <c r="R1228" s="92">
        <v>3800</v>
      </c>
      <c r="S1228" s="53">
        <f t="shared" si="208"/>
        <v>0</v>
      </c>
      <c r="T1228" s="343">
        <f t="shared" si="202"/>
        <v>909.47368421052624</v>
      </c>
      <c r="U1228" s="52">
        <f t="shared" si="203"/>
        <v>0</v>
      </c>
      <c r="V1228" s="52">
        <f t="shared" si="209"/>
        <v>0</v>
      </c>
      <c r="W1228" s="52">
        <v>0</v>
      </c>
      <c r="X1228" s="55">
        <f t="shared" si="205"/>
        <v>46153.054745370377</v>
      </c>
    </row>
    <row r="1229" spans="1:24" hidden="1" x14ac:dyDescent="0.35">
      <c r="A1229" s="46">
        <f t="shared" si="206"/>
        <v>46153.054745370377</v>
      </c>
      <c r="B1229" s="46"/>
      <c r="C1229" s="46"/>
      <c r="D1229" s="46"/>
      <c r="E1229" s="119" t="s">
        <v>467</v>
      </c>
      <c r="F1229" s="48" t="s">
        <v>534</v>
      </c>
      <c r="G1229" s="48"/>
      <c r="H1229" s="49" t="s">
        <v>2029</v>
      </c>
      <c r="I1229" s="99" t="s">
        <v>97</v>
      </c>
      <c r="J1229" s="51" t="s">
        <v>140</v>
      </c>
      <c r="K1229" s="52">
        <v>0</v>
      </c>
      <c r="L1229" s="52">
        <v>0</v>
      </c>
      <c r="M1229" s="53">
        <v>110</v>
      </c>
      <c r="N1229" s="54">
        <v>3000</v>
      </c>
      <c r="O1229" s="341">
        <v>1</v>
      </c>
      <c r="P1229" s="54">
        <f t="shared" si="210"/>
        <v>3000</v>
      </c>
      <c r="Q1229" s="54"/>
      <c r="R1229" s="92">
        <v>3000</v>
      </c>
      <c r="S1229" s="53">
        <f t="shared" si="208"/>
        <v>0</v>
      </c>
      <c r="T1229" s="343">
        <f t="shared" si="202"/>
        <v>785.4545454545455</v>
      </c>
      <c r="U1229" s="52">
        <f t="shared" si="203"/>
        <v>0</v>
      </c>
      <c r="V1229" s="52">
        <f t="shared" si="209"/>
        <v>0</v>
      </c>
      <c r="W1229" s="52">
        <v>0</v>
      </c>
      <c r="X1229" s="55">
        <f t="shared" si="205"/>
        <v>46153.054745370377</v>
      </c>
    </row>
    <row r="1230" spans="1:24" ht="29" hidden="1" x14ac:dyDescent="0.35">
      <c r="A1230" s="46">
        <f t="shared" si="206"/>
        <v>46153.054745370377</v>
      </c>
      <c r="B1230" s="46"/>
      <c r="C1230" s="46"/>
      <c r="D1230" s="46"/>
      <c r="E1230" s="119" t="s">
        <v>467</v>
      </c>
      <c r="F1230" s="48" t="s">
        <v>534</v>
      </c>
      <c r="G1230" s="48"/>
      <c r="H1230" s="59" t="s">
        <v>2030</v>
      </c>
      <c r="I1230" s="82" t="s">
        <v>198</v>
      </c>
      <c r="J1230" s="51" t="s">
        <v>140</v>
      </c>
      <c r="K1230" s="52">
        <v>0</v>
      </c>
      <c r="L1230" s="52">
        <v>0</v>
      </c>
      <c r="M1230" s="53">
        <v>190</v>
      </c>
      <c r="N1230" s="54">
        <v>2000</v>
      </c>
      <c r="O1230" s="341">
        <v>1</v>
      </c>
      <c r="P1230" s="54">
        <f t="shared" si="210"/>
        <v>2000</v>
      </c>
      <c r="Q1230" s="54"/>
      <c r="R1230" s="92">
        <v>2000</v>
      </c>
      <c r="S1230" s="53">
        <f t="shared" si="208"/>
        <v>0</v>
      </c>
      <c r="T1230" s="343">
        <f t="shared" si="202"/>
        <v>454.73684210526312</v>
      </c>
      <c r="U1230" s="52">
        <f t="shared" si="203"/>
        <v>0</v>
      </c>
      <c r="V1230" s="52">
        <f t="shared" si="209"/>
        <v>0</v>
      </c>
      <c r="W1230" s="52">
        <v>0</v>
      </c>
      <c r="X1230" s="55">
        <f t="shared" si="205"/>
        <v>46153.054745370377</v>
      </c>
    </row>
    <row r="1231" spans="1:24" hidden="1" x14ac:dyDescent="0.35">
      <c r="A1231" s="46">
        <f t="shared" si="206"/>
        <v>46153.054745370377</v>
      </c>
      <c r="B1231" s="46"/>
      <c r="C1231" s="46"/>
      <c r="D1231" s="46"/>
      <c r="E1231" s="119" t="s">
        <v>467</v>
      </c>
      <c r="F1231" s="48" t="s">
        <v>2027</v>
      </c>
      <c r="G1231" s="48"/>
      <c r="H1231" s="49" t="s">
        <v>2031</v>
      </c>
      <c r="I1231" s="82" t="s">
        <v>964</v>
      </c>
      <c r="J1231" s="51" t="s">
        <v>140</v>
      </c>
      <c r="K1231" s="52">
        <v>0</v>
      </c>
      <c r="L1231" s="52">
        <v>0</v>
      </c>
      <c r="M1231" s="53">
        <v>90</v>
      </c>
      <c r="N1231" s="54">
        <v>300</v>
      </c>
      <c r="O1231" s="341">
        <v>1</v>
      </c>
      <c r="P1231" s="54">
        <f t="shared" si="210"/>
        <v>300</v>
      </c>
      <c r="Q1231" s="54"/>
      <c r="R1231" s="92">
        <v>300</v>
      </c>
      <c r="S1231" s="53">
        <f t="shared" si="208"/>
        <v>0</v>
      </c>
      <c r="T1231" s="343">
        <f t="shared" ref="T1231:T1294" si="211">((3600/M1231)*O1231)*24</f>
        <v>960</v>
      </c>
      <c r="U1231" s="52">
        <f t="shared" ref="U1231:U1294" si="212">(P1231-R1231)*M1231/3600</f>
        <v>0</v>
      </c>
      <c r="V1231" s="52">
        <f t="shared" si="209"/>
        <v>0</v>
      </c>
      <c r="W1231" s="52">
        <v>0</v>
      </c>
      <c r="X1231" s="55">
        <f t="shared" ref="X1231:X1294" si="213">A1231+K1231+V1231+W1231+L1231</f>
        <v>46153.054745370377</v>
      </c>
    </row>
    <row r="1232" spans="1:24" ht="72.5" hidden="1" x14ac:dyDescent="0.35">
      <c r="A1232" s="46">
        <f t="shared" ref="A1232:A1295" si="214">X1231</f>
        <v>46153.054745370377</v>
      </c>
      <c r="B1232" s="46"/>
      <c r="C1232" s="46"/>
      <c r="D1232" s="46"/>
      <c r="E1232" s="119" t="s">
        <v>467</v>
      </c>
      <c r="F1232" s="536" t="s">
        <v>2032</v>
      </c>
      <c r="G1232" s="536"/>
      <c r="H1232" s="49" t="s">
        <v>2033</v>
      </c>
      <c r="I1232" s="316" t="s">
        <v>2001</v>
      </c>
      <c r="J1232" s="51" t="s">
        <v>140</v>
      </c>
      <c r="K1232" s="52">
        <v>0</v>
      </c>
      <c r="L1232" s="52">
        <v>0</v>
      </c>
      <c r="M1232" s="53">
        <v>65</v>
      </c>
      <c r="N1232" s="54">
        <v>1470</v>
      </c>
      <c r="O1232" s="341">
        <v>1</v>
      </c>
      <c r="P1232" s="54">
        <f t="shared" si="210"/>
        <v>1470</v>
      </c>
      <c r="Q1232" s="54"/>
      <c r="R1232" s="92">
        <v>1470</v>
      </c>
      <c r="S1232" s="53">
        <f t="shared" si="208"/>
        <v>0</v>
      </c>
      <c r="T1232" s="343">
        <f t="shared" si="211"/>
        <v>1329.2307692307693</v>
      </c>
      <c r="U1232" s="52">
        <f t="shared" si="212"/>
        <v>0</v>
      </c>
      <c r="V1232" s="52">
        <f t="shared" si="209"/>
        <v>0</v>
      </c>
      <c r="W1232" s="52">
        <v>0</v>
      </c>
      <c r="X1232" s="55">
        <f t="shared" si="213"/>
        <v>46153.054745370377</v>
      </c>
    </row>
    <row r="1233" spans="1:24" hidden="1" x14ac:dyDescent="0.35">
      <c r="A1233" s="46">
        <f t="shared" si="214"/>
        <v>46153.054745370377</v>
      </c>
      <c r="B1233" s="46"/>
      <c r="C1233" s="46"/>
      <c r="D1233" s="46"/>
      <c r="E1233" s="119" t="s">
        <v>467</v>
      </c>
      <c r="F1233" s="48" t="s">
        <v>1339</v>
      </c>
      <c r="G1233" s="48"/>
      <c r="H1233" s="49" t="s">
        <v>2034</v>
      </c>
      <c r="I1233" s="82" t="s">
        <v>1341</v>
      </c>
      <c r="J1233" s="51" t="s">
        <v>140</v>
      </c>
      <c r="K1233" s="52">
        <v>0.25</v>
      </c>
      <c r="L1233" s="52">
        <v>0.2</v>
      </c>
      <c r="M1233" s="53">
        <v>80</v>
      </c>
      <c r="N1233" s="54">
        <v>300</v>
      </c>
      <c r="O1233" s="341">
        <v>1</v>
      </c>
      <c r="P1233" s="54">
        <f t="shared" si="210"/>
        <v>300</v>
      </c>
      <c r="Q1233" s="54"/>
      <c r="R1233" s="92">
        <v>300</v>
      </c>
      <c r="S1233" s="53">
        <f t="shared" si="208"/>
        <v>0</v>
      </c>
      <c r="T1233" s="343">
        <f t="shared" si="211"/>
        <v>1080</v>
      </c>
      <c r="U1233" s="52">
        <f t="shared" si="212"/>
        <v>0</v>
      </c>
      <c r="V1233" s="52">
        <f t="shared" si="209"/>
        <v>0</v>
      </c>
      <c r="W1233" s="52">
        <v>0</v>
      </c>
      <c r="X1233" s="55">
        <f t="shared" si="213"/>
        <v>46153.504745370374</v>
      </c>
    </row>
    <row r="1234" spans="1:24" hidden="1" x14ac:dyDescent="0.35">
      <c r="A1234" s="46">
        <f t="shared" si="214"/>
        <v>46153.504745370374</v>
      </c>
      <c r="B1234" s="46"/>
      <c r="C1234" s="46"/>
      <c r="D1234" s="46"/>
      <c r="E1234" s="119" t="s">
        <v>467</v>
      </c>
      <c r="F1234" s="48" t="s">
        <v>1415</v>
      </c>
      <c r="G1234" s="48"/>
      <c r="H1234" s="49" t="s">
        <v>2035</v>
      </c>
      <c r="I1234" s="82" t="s">
        <v>1335</v>
      </c>
      <c r="J1234" s="51" t="s">
        <v>140</v>
      </c>
      <c r="K1234" s="52">
        <v>0</v>
      </c>
      <c r="L1234" s="52">
        <v>0</v>
      </c>
      <c r="M1234" s="53">
        <v>120</v>
      </c>
      <c r="N1234" s="54">
        <v>200</v>
      </c>
      <c r="O1234" s="341">
        <v>1</v>
      </c>
      <c r="P1234" s="54">
        <f t="shared" si="210"/>
        <v>200</v>
      </c>
      <c r="Q1234" s="54"/>
      <c r="R1234" s="92">
        <v>200</v>
      </c>
      <c r="S1234" s="53">
        <f t="shared" si="208"/>
        <v>0</v>
      </c>
      <c r="T1234" s="343">
        <f t="shared" si="211"/>
        <v>720</v>
      </c>
      <c r="U1234" s="52">
        <f t="shared" si="212"/>
        <v>0</v>
      </c>
      <c r="V1234" s="52">
        <f t="shared" si="209"/>
        <v>0</v>
      </c>
      <c r="W1234" s="52">
        <v>0</v>
      </c>
      <c r="X1234" s="55">
        <f t="shared" si="213"/>
        <v>46153.504745370374</v>
      </c>
    </row>
    <row r="1235" spans="1:24" hidden="1" x14ac:dyDescent="0.35">
      <c r="A1235" s="46">
        <f t="shared" si="214"/>
        <v>46153.504745370374</v>
      </c>
      <c r="B1235" s="46"/>
      <c r="C1235" s="46"/>
      <c r="D1235" s="46"/>
      <c r="E1235" s="119" t="s">
        <v>467</v>
      </c>
      <c r="F1235" s="48" t="s">
        <v>1415</v>
      </c>
      <c r="G1235" s="48"/>
      <c r="H1235" s="49" t="s">
        <v>2036</v>
      </c>
      <c r="I1235" s="82" t="s">
        <v>801</v>
      </c>
      <c r="J1235" s="51" t="s">
        <v>140</v>
      </c>
      <c r="K1235" s="52">
        <v>0</v>
      </c>
      <c r="L1235" s="52">
        <v>0</v>
      </c>
      <c r="M1235" s="53">
        <v>120</v>
      </c>
      <c r="N1235" s="54">
        <v>800</v>
      </c>
      <c r="O1235" s="341">
        <v>1</v>
      </c>
      <c r="P1235" s="54">
        <f t="shared" si="210"/>
        <v>800</v>
      </c>
      <c r="Q1235" s="54"/>
      <c r="R1235" s="92">
        <v>800</v>
      </c>
      <c r="S1235" s="53">
        <f t="shared" si="208"/>
        <v>0</v>
      </c>
      <c r="T1235" s="343">
        <f t="shared" si="211"/>
        <v>720</v>
      </c>
      <c r="U1235" s="52">
        <f t="shared" si="212"/>
        <v>0</v>
      </c>
      <c r="V1235" s="52">
        <f t="shared" si="209"/>
        <v>0</v>
      </c>
      <c r="W1235" s="52">
        <v>0</v>
      </c>
      <c r="X1235" s="55">
        <f t="shared" si="213"/>
        <v>46153.504745370374</v>
      </c>
    </row>
    <row r="1236" spans="1:24" ht="72.5" hidden="1" x14ac:dyDescent="0.35">
      <c r="A1236" s="46">
        <f t="shared" si="214"/>
        <v>46153.504745370374</v>
      </c>
      <c r="B1236" s="46"/>
      <c r="C1236" s="46"/>
      <c r="D1236" s="46"/>
      <c r="E1236" s="119" t="s">
        <v>467</v>
      </c>
      <c r="F1236" s="536" t="s">
        <v>2032</v>
      </c>
      <c r="G1236" s="536"/>
      <c r="H1236" s="49" t="s">
        <v>2033</v>
      </c>
      <c r="I1236" s="316" t="s">
        <v>2001</v>
      </c>
      <c r="J1236" s="51" t="s">
        <v>140</v>
      </c>
      <c r="K1236" s="52">
        <v>0</v>
      </c>
      <c r="L1236" s="52">
        <v>0</v>
      </c>
      <c r="M1236" s="53">
        <v>65</v>
      </c>
      <c r="N1236" s="54">
        <v>10530</v>
      </c>
      <c r="O1236" s="341">
        <v>1</v>
      </c>
      <c r="P1236" s="54">
        <f t="shared" si="210"/>
        <v>10530</v>
      </c>
      <c r="Q1236" s="54"/>
      <c r="R1236" s="92">
        <v>10530</v>
      </c>
      <c r="S1236" s="53">
        <f t="shared" si="208"/>
        <v>0</v>
      </c>
      <c r="T1236" s="343">
        <f t="shared" si="211"/>
        <v>1329.2307692307693</v>
      </c>
      <c r="U1236" s="52">
        <f t="shared" si="212"/>
        <v>0</v>
      </c>
      <c r="V1236" s="52">
        <f t="shared" si="209"/>
        <v>0</v>
      </c>
      <c r="W1236" s="52">
        <v>0</v>
      </c>
      <c r="X1236" s="55">
        <f t="shared" si="213"/>
        <v>46153.504745370374</v>
      </c>
    </row>
    <row r="1237" spans="1:24" hidden="1" x14ac:dyDescent="0.35">
      <c r="A1237" s="46">
        <f t="shared" si="214"/>
        <v>46153.504745370374</v>
      </c>
      <c r="B1237" s="46"/>
      <c r="C1237" s="46"/>
      <c r="D1237" s="46"/>
      <c r="E1237" s="119" t="s">
        <v>467</v>
      </c>
      <c r="F1237" s="48" t="s">
        <v>1726</v>
      </c>
      <c r="G1237" s="48"/>
      <c r="H1237" s="49" t="s">
        <v>2037</v>
      </c>
      <c r="I1237" s="82" t="s">
        <v>536</v>
      </c>
      <c r="J1237" s="51" t="s">
        <v>140</v>
      </c>
      <c r="K1237" s="52">
        <v>0</v>
      </c>
      <c r="L1237" s="52">
        <v>0</v>
      </c>
      <c r="M1237" s="53">
        <v>120</v>
      </c>
      <c r="N1237" s="54">
        <v>1000</v>
      </c>
      <c r="O1237" s="341">
        <v>1</v>
      </c>
      <c r="P1237" s="54">
        <f t="shared" si="210"/>
        <v>1000</v>
      </c>
      <c r="Q1237" s="54"/>
      <c r="R1237" s="92">
        <v>1000</v>
      </c>
      <c r="S1237" s="53">
        <f t="shared" si="208"/>
        <v>0</v>
      </c>
      <c r="T1237" s="343">
        <f t="shared" si="211"/>
        <v>720</v>
      </c>
      <c r="U1237" s="52">
        <f t="shared" si="212"/>
        <v>0</v>
      </c>
      <c r="V1237" s="52">
        <f t="shared" si="209"/>
        <v>0</v>
      </c>
      <c r="W1237" s="52">
        <v>0</v>
      </c>
      <c r="X1237" s="55">
        <f t="shared" si="213"/>
        <v>46153.504745370374</v>
      </c>
    </row>
    <row r="1238" spans="1:24" hidden="1" x14ac:dyDescent="0.35">
      <c r="A1238" s="46">
        <f t="shared" si="214"/>
        <v>46153.504745370374</v>
      </c>
      <c r="B1238" s="46"/>
      <c r="C1238" s="46"/>
      <c r="D1238" s="46"/>
      <c r="E1238" s="119" t="s">
        <v>467</v>
      </c>
      <c r="F1238" s="48" t="s">
        <v>541</v>
      </c>
      <c r="G1238" s="48"/>
      <c r="H1238" s="49" t="s">
        <v>542</v>
      </c>
      <c r="I1238" s="82" t="s">
        <v>536</v>
      </c>
      <c r="J1238" s="51" t="s">
        <v>140</v>
      </c>
      <c r="K1238" s="52">
        <v>0</v>
      </c>
      <c r="L1238" s="52">
        <v>0</v>
      </c>
      <c r="M1238" s="53">
        <v>120</v>
      </c>
      <c r="N1238" s="54">
        <v>125</v>
      </c>
      <c r="O1238" s="341">
        <v>1</v>
      </c>
      <c r="P1238" s="54">
        <f t="shared" si="210"/>
        <v>125</v>
      </c>
      <c r="Q1238" s="54"/>
      <c r="R1238" s="92">
        <v>125</v>
      </c>
      <c r="S1238" s="53">
        <f t="shared" si="208"/>
        <v>0</v>
      </c>
      <c r="T1238" s="343">
        <f t="shared" si="211"/>
        <v>720</v>
      </c>
      <c r="U1238" s="52">
        <f t="shared" si="212"/>
        <v>0</v>
      </c>
      <c r="V1238" s="52">
        <f t="shared" si="209"/>
        <v>0</v>
      </c>
      <c r="W1238" s="52">
        <v>0</v>
      </c>
      <c r="X1238" s="55">
        <f t="shared" si="213"/>
        <v>46153.504745370374</v>
      </c>
    </row>
    <row r="1239" spans="1:24" hidden="1" x14ac:dyDescent="0.35">
      <c r="A1239" s="46">
        <f t="shared" si="214"/>
        <v>46153.504745370374</v>
      </c>
      <c r="B1239" s="46"/>
      <c r="C1239" s="46"/>
      <c r="D1239" s="46"/>
      <c r="E1239" s="119" t="s">
        <v>467</v>
      </c>
      <c r="F1239" s="48" t="s">
        <v>541</v>
      </c>
      <c r="G1239" s="48"/>
      <c r="H1239" s="49" t="s">
        <v>2038</v>
      </c>
      <c r="I1239" s="82" t="s">
        <v>388</v>
      </c>
      <c r="J1239" s="51" t="s">
        <v>140</v>
      </c>
      <c r="K1239" s="52">
        <v>0</v>
      </c>
      <c r="L1239" s="52">
        <v>0</v>
      </c>
      <c r="M1239" s="53">
        <v>125</v>
      </c>
      <c r="N1239" s="54">
        <v>500</v>
      </c>
      <c r="O1239" s="341">
        <v>1</v>
      </c>
      <c r="P1239" s="54">
        <f t="shared" si="210"/>
        <v>500</v>
      </c>
      <c r="Q1239" s="54"/>
      <c r="R1239" s="92">
        <v>500</v>
      </c>
      <c r="S1239" s="53">
        <f t="shared" si="208"/>
        <v>0</v>
      </c>
      <c r="T1239" s="343">
        <f t="shared" si="211"/>
        <v>691.2</v>
      </c>
      <c r="U1239" s="52">
        <f t="shared" si="212"/>
        <v>0</v>
      </c>
      <c r="V1239" s="52">
        <f t="shared" si="209"/>
        <v>0</v>
      </c>
      <c r="W1239" s="52">
        <v>0</v>
      </c>
      <c r="X1239" s="55">
        <f t="shared" si="213"/>
        <v>46153.504745370374</v>
      </c>
    </row>
    <row r="1240" spans="1:24" hidden="1" x14ac:dyDescent="0.35">
      <c r="A1240" s="46">
        <f t="shared" si="214"/>
        <v>46153.504745370374</v>
      </c>
      <c r="B1240" s="46"/>
      <c r="C1240" s="46"/>
      <c r="D1240" s="46"/>
      <c r="E1240" s="119" t="s">
        <v>467</v>
      </c>
      <c r="F1240" s="48" t="s">
        <v>563</v>
      </c>
      <c r="G1240" s="48"/>
      <c r="H1240" s="49" t="s">
        <v>2039</v>
      </c>
      <c r="I1240" s="220" t="s">
        <v>463</v>
      </c>
      <c r="J1240" s="51" t="s">
        <v>140</v>
      </c>
      <c r="K1240" s="52">
        <v>0</v>
      </c>
      <c r="L1240" s="52">
        <v>0</v>
      </c>
      <c r="M1240" s="53">
        <v>95</v>
      </c>
      <c r="N1240" s="54">
        <v>2500</v>
      </c>
      <c r="O1240" s="341">
        <v>1</v>
      </c>
      <c r="P1240" s="54">
        <f t="shared" si="210"/>
        <v>2500</v>
      </c>
      <c r="Q1240" s="54"/>
      <c r="R1240" s="92">
        <v>2500</v>
      </c>
      <c r="S1240" s="53">
        <f t="shared" si="208"/>
        <v>0</v>
      </c>
      <c r="T1240" s="343">
        <f t="shared" si="211"/>
        <v>909.47368421052624</v>
      </c>
      <c r="U1240" s="52">
        <f t="shared" si="212"/>
        <v>0</v>
      </c>
      <c r="V1240" s="52">
        <f t="shared" si="209"/>
        <v>0</v>
      </c>
      <c r="W1240" s="52">
        <v>0</v>
      </c>
      <c r="X1240" s="55">
        <f t="shared" si="213"/>
        <v>46153.504745370374</v>
      </c>
    </row>
    <row r="1241" spans="1:24" hidden="1" x14ac:dyDescent="0.35">
      <c r="A1241" s="46">
        <f t="shared" si="214"/>
        <v>46153.504745370374</v>
      </c>
      <c r="B1241" s="46"/>
      <c r="C1241" s="46"/>
      <c r="D1241" s="46"/>
      <c r="E1241" s="119" t="s">
        <v>467</v>
      </c>
      <c r="F1241" s="48" t="s">
        <v>563</v>
      </c>
      <c r="G1241" s="48"/>
      <c r="H1241" s="49" t="s">
        <v>2040</v>
      </c>
      <c r="I1241" s="220" t="s">
        <v>2041</v>
      </c>
      <c r="J1241" s="51" t="s">
        <v>140</v>
      </c>
      <c r="K1241" s="52">
        <v>0</v>
      </c>
      <c r="L1241" s="52">
        <v>0</v>
      </c>
      <c r="M1241" s="53">
        <v>95</v>
      </c>
      <c r="N1241" s="54">
        <v>200</v>
      </c>
      <c r="O1241" s="341">
        <v>1</v>
      </c>
      <c r="P1241" s="54">
        <f t="shared" si="210"/>
        <v>200</v>
      </c>
      <c r="Q1241" s="54"/>
      <c r="R1241" s="92">
        <v>200</v>
      </c>
      <c r="S1241" s="53">
        <f t="shared" si="208"/>
        <v>0</v>
      </c>
      <c r="T1241" s="343">
        <f t="shared" si="211"/>
        <v>909.47368421052624</v>
      </c>
      <c r="U1241" s="52">
        <f t="shared" si="212"/>
        <v>0</v>
      </c>
      <c r="V1241" s="52">
        <f t="shared" si="209"/>
        <v>0</v>
      </c>
      <c r="W1241" s="52">
        <v>0</v>
      </c>
      <c r="X1241" s="55">
        <f t="shared" si="213"/>
        <v>46153.504745370374</v>
      </c>
    </row>
    <row r="1242" spans="1:24" hidden="1" x14ac:dyDescent="0.35">
      <c r="A1242" s="46">
        <f t="shared" si="214"/>
        <v>46153.504745370374</v>
      </c>
      <c r="B1242" s="46"/>
      <c r="C1242" s="46"/>
      <c r="D1242" s="46"/>
      <c r="E1242" s="537" t="s">
        <v>467</v>
      </c>
      <c r="F1242" s="538" t="s">
        <v>2042</v>
      </c>
      <c r="G1242" s="538"/>
      <c r="H1242" s="408" t="s">
        <v>2043</v>
      </c>
      <c r="I1242" s="539" t="s">
        <v>459</v>
      </c>
      <c r="J1242" s="409" t="s">
        <v>140</v>
      </c>
      <c r="K1242" s="410">
        <v>0</v>
      </c>
      <c r="L1242" s="410">
        <v>0</v>
      </c>
      <c r="M1242" s="411">
        <v>95</v>
      </c>
      <c r="N1242" s="412">
        <v>500</v>
      </c>
      <c r="O1242" s="413">
        <v>1</v>
      </c>
      <c r="P1242" s="412">
        <f t="shared" si="210"/>
        <v>500</v>
      </c>
      <c r="Q1242" s="412"/>
      <c r="R1242" s="540">
        <v>500</v>
      </c>
      <c r="S1242" s="411">
        <f t="shared" si="208"/>
        <v>0</v>
      </c>
      <c r="T1242" s="414">
        <f t="shared" si="211"/>
        <v>909.47368421052624</v>
      </c>
      <c r="U1242" s="410">
        <f t="shared" si="212"/>
        <v>0</v>
      </c>
      <c r="V1242" s="410">
        <f t="shared" si="209"/>
        <v>0</v>
      </c>
      <c r="W1242" s="410">
        <v>0</v>
      </c>
      <c r="X1242" s="55">
        <f t="shared" si="213"/>
        <v>46153.504745370374</v>
      </c>
    </row>
    <row r="1243" spans="1:24" hidden="1" x14ac:dyDescent="0.35">
      <c r="A1243" s="46">
        <f t="shared" si="214"/>
        <v>46153.504745370374</v>
      </c>
      <c r="B1243" s="46"/>
      <c r="C1243" s="46"/>
      <c r="D1243" s="46"/>
      <c r="E1243" s="119" t="s">
        <v>467</v>
      </c>
      <c r="F1243" s="48" t="s">
        <v>2044</v>
      </c>
      <c r="G1243" s="48"/>
      <c r="H1243" s="49" t="s">
        <v>2045</v>
      </c>
      <c r="I1243" s="220" t="s">
        <v>605</v>
      </c>
      <c r="J1243" s="51" t="s">
        <v>140</v>
      </c>
      <c r="K1243" s="52">
        <v>0</v>
      </c>
      <c r="L1243" s="52">
        <v>0</v>
      </c>
      <c r="M1243" s="53">
        <v>95</v>
      </c>
      <c r="N1243" s="54">
        <v>4000</v>
      </c>
      <c r="O1243" s="341">
        <v>1</v>
      </c>
      <c r="P1243" s="54">
        <f t="shared" si="210"/>
        <v>4000</v>
      </c>
      <c r="Q1243" s="54"/>
      <c r="R1243" s="92">
        <v>4000</v>
      </c>
      <c r="S1243" s="53">
        <f t="shared" si="208"/>
        <v>0</v>
      </c>
      <c r="T1243" s="343">
        <f t="shared" si="211"/>
        <v>909.47368421052624</v>
      </c>
      <c r="U1243" s="52">
        <f t="shared" si="212"/>
        <v>0</v>
      </c>
      <c r="V1243" s="52">
        <f t="shared" si="209"/>
        <v>0</v>
      </c>
      <c r="W1243" s="52">
        <v>0</v>
      </c>
      <c r="X1243" s="55">
        <f t="shared" si="213"/>
        <v>46153.504745370374</v>
      </c>
    </row>
    <row r="1244" spans="1:24" hidden="1" x14ac:dyDescent="0.35">
      <c r="A1244" s="46">
        <f t="shared" si="214"/>
        <v>46153.504745370374</v>
      </c>
      <c r="B1244" s="46"/>
      <c r="C1244" s="46"/>
      <c r="D1244" s="46"/>
      <c r="E1244" s="119" t="s">
        <v>467</v>
      </c>
      <c r="F1244" s="48" t="s">
        <v>2046</v>
      </c>
      <c r="G1244" s="48"/>
      <c r="H1244" s="49" t="s">
        <v>2047</v>
      </c>
      <c r="I1244" s="220" t="s">
        <v>597</v>
      </c>
      <c r="J1244" s="51" t="s">
        <v>140</v>
      </c>
      <c r="K1244" s="52">
        <v>0</v>
      </c>
      <c r="L1244" s="52">
        <v>0</v>
      </c>
      <c r="M1244" s="53">
        <v>95</v>
      </c>
      <c r="N1244" s="54">
        <v>572</v>
      </c>
      <c r="O1244" s="341">
        <v>1</v>
      </c>
      <c r="P1244" s="54">
        <f t="shared" si="210"/>
        <v>572</v>
      </c>
      <c r="Q1244" s="54"/>
      <c r="R1244" s="92">
        <v>572</v>
      </c>
      <c r="S1244" s="53">
        <f t="shared" si="208"/>
        <v>0</v>
      </c>
      <c r="T1244" s="343">
        <f t="shared" si="211"/>
        <v>909.47368421052624</v>
      </c>
      <c r="U1244" s="52">
        <f t="shared" si="212"/>
        <v>0</v>
      </c>
      <c r="V1244" s="52">
        <f t="shared" si="209"/>
        <v>0</v>
      </c>
      <c r="W1244" s="52">
        <v>0</v>
      </c>
      <c r="X1244" s="55">
        <f t="shared" si="213"/>
        <v>46153.504745370374</v>
      </c>
    </row>
    <row r="1245" spans="1:24" hidden="1" x14ac:dyDescent="0.35">
      <c r="A1245" s="46">
        <f t="shared" si="214"/>
        <v>46153.504745370374</v>
      </c>
      <c r="B1245" s="46"/>
      <c r="C1245" s="46"/>
      <c r="D1245" s="46"/>
      <c r="E1245" s="119" t="s">
        <v>43</v>
      </c>
      <c r="F1245" s="48" t="s">
        <v>2048</v>
      </c>
      <c r="G1245" s="48"/>
      <c r="H1245" s="49" t="s">
        <v>2049</v>
      </c>
      <c r="I1245" s="71" t="s">
        <v>133</v>
      </c>
      <c r="J1245" s="51" t="s">
        <v>140</v>
      </c>
      <c r="K1245" s="52">
        <v>0</v>
      </c>
      <c r="L1245" s="52">
        <v>0</v>
      </c>
      <c r="M1245" s="53">
        <v>90</v>
      </c>
      <c r="N1245" s="54">
        <v>2000</v>
      </c>
      <c r="O1245" s="341">
        <v>1</v>
      </c>
      <c r="P1245" s="54">
        <f t="shared" si="210"/>
        <v>2000</v>
      </c>
      <c r="Q1245" s="54"/>
      <c r="R1245" s="92">
        <v>2000</v>
      </c>
      <c r="S1245" s="53">
        <f t="shared" si="208"/>
        <v>0</v>
      </c>
      <c r="T1245" s="343">
        <f t="shared" si="211"/>
        <v>960</v>
      </c>
      <c r="U1245" s="52">
        <f t="shared" si="212"/>
        <v>0</v>
      </c>
      <c r="V1245" s="52">
        <f t="shared" si="209"/>
        <v>0</v>
      </c>
      <c r="W1245" s="52">
        <v>0</v>
      </c>
      <c r="X1245" s="55">
        <f t="shared" si="213"/>
        <v>46153.504745370374</v>
      </c>
    </row>
    <row r="1246" spans="1:24" hidden="1" x14ac:dyDescent="0.35">
      <c r="A1246" s="46">
        <f t="shared" si="214"/>
        <v>46153.504745370374</v>
      </c>
      <c r="B1246" s="46"/>
      <c r="C1246" s="46"/>
      <c r="D1246" s="46"/>
      <c r="E1246" s="119" t="s">
        <v>43</v>
      </c>
      <c r="F1246" s="48" t="s">
        <v>2048</v>
      </c>
      <c r="G1246" s="48"/>
      <c r="H1246" s="49" t="s">
        <v>2050</v>
      </c>
      <c r="I1246" s="71" t="s">
        <v>2051</v>
      </c>
      <c r="J1246" s="51" t="s">
        <v>140</v>
      </c>
      <c r="K1246" s="52">
        <v>0</v>
      </c>
      <c r="L1246" s="52">
        <v>0</v>
      </c>
      <c r="M1246" s="53">
        <v>90</v>
      </c>
      <c r="N1246" s="54">
        <v>1000</v>
      </c>
      <c r="O1246" s="341">
        <v>1</v>
      </c>
      <c r="P1246" s="54">
        <f t="shared" si="210"/>
        <v>1000</v>
      </c>
      <c r="Q1246" s="54"/>
      <c r="R1246" s="92">
        <v>1000</v>
      </c>
      <c r="S1246" s="53">
        <f t="shared" si="208"/>
        <v>0</v>
      </c>
      <c r="T1246" s="343">
        <f t="shared" si="211"/>
        <v>960</v>
      </c>
      <c r="U1246" s="52">
        <f t="shared" si="212"/>
        <v>0</v>
      </c>
      <c r="V1246" s="52">
        <f t="shared" si="209"/>
        <v>0</v>
      </c>
      <c r="W1246" s="52">
        <v>0</v>
      </c>
      <c r="X1246" s="55">
        <f t="shared" si="213"/>
        <v>46153.504745370374</v>
      </c>
    </row>
    <row r="1247" spans="1:24" hidden="1" x14ac:dyDescent="0.35">
      <c r="A1247" s="46">
        <f t="shared" si="214"/>
        <v>46153.504745370374</v>
      </c>
      <c r="B1247" s="46"/>
      <c r="C1247" s="46"/>
      <c r="D1247" s="46"/>
      <c r="E1247" s="119" t="s">
        <v>43</v>
      </c>
      <c r="F1247" s="48" t="s">
        <v>2052</v>
      </c>
      <c r="G1247" s="48"/>
      <c r="H1247" s="49" t="s">
        <v>2050</v>
      </c>
      <c r="I1247" s="71" t="s">
        <v>2051</v>
      </c>
      <c r="J1247" s="51" t="s">
        <v>140</v>
      </c>
      <c r="K1247" s="52">
        <v>0</v>
      </c>
      <c r="L1247" s="52">
        <v>0</v>
      </c>
      <c r="M1247" s="53">
        <v>90</v>
      </c>
      <c r="N1247" s="54">
        <v>1500</v>
      </c>
      <c r="O1247" s="341">
        <v>1</v>
      </c>
      <c r="P1247" s="54">
        <f t="shared" si="210"/>
        <v>1500</v>
      </c>
      <c r="Q1247" s="54"/>
      <c r="R1247" s="92">
        <v>1500</v>
      </c>
      <c r="S1247" s="53">
        <f t="shared" si="208"/>
        <v>0</v>
      </c>
      <c r="T1247" s="343">
        <f t="shared" si="211"/>
        <v>960</v>
      </c>
      <c r="U1247" s="52">
        <f t="shared" si="212"/>
        <v>0</v>
      </c>
      <c r="V1247" s="52">
        <f t="shared" si="209"/>
        <v>0</v>
      </c>
      <c r="W1247" s="52">
        <v>0</v>
      </c>
      <c r="X1247" s="55">
        <f t="shared" si="213"/>
        <v>46153.504745370374</v>
      </c>
    </row>
    <row r="1248" spans="1:24" hidden="1" x14ac:dyDescent="0.35">
      <c r="A1248" s="46">
        <f t="shared" si="214"/>
        <v>46153.504745370374</v>
      </c>
      <c r="B1248" s="46"/>
      <c r="C1248" s="46"/>
      <c r="D1248" s="46"/>
      <c r="E1248" s="119" t="s">
        <v>467</v>
      </c>
      <c r="F1248" s="48" t="s">
        <v>2053</v>
      </c>
      <c r="G1248" s="48"/>
      <c r="H1248" s="66">
        <v>10199</v>
      </c>
      <c r="I1248" s="56" t="s">
        <v>148</v>
      </c>
      <c r="J1248" s="51" t="s">
        <v>140</v>
      </c>
      <c r="K1248" s="52">
        <v>0</v>
      </c>
      <c r="L1248" s="52">
        <v>0</v>
      </c>
      <c r="M1248" s="53">
        <v>90</v>
      </c>
      <c r="N1248" s="54">
        <v>1500</v>
      </c>
      <c r="O1248" s="341">
        <v>1</v>
      </c>
      <c r="P1248" s="54">
        <f t="shared" si="210"/>
        <v>1500</v>
      </c>
      <c r="Q1248" s="54"/>
      <c r="R1248" s="92">
        <v>1500</v>
      </c>
      <c r="S1248" s="53">
        <f t="shared" si="208"/>
        <v>0</v>
      </c>
      <c r="T1248" s="343">
        <f t="shared" si="211"/>
        <v>960</v>
      </c>
      <c r="U1248" s="52">
        <f t="shared" si="212"/>
        <v>0</v>
      </c>
      <c r="V1248" s="52">
        <f t="shared" si="209"/>
        <v>0</v>
      </c>
      <c r="W1248" s="52">
        <v>0</v>
      </c>
      <c r="X1248" s="55">
        <f t="shared" si="213"/>
        <v>46153.504745370374</v>
      </c>
    </row>
    <row r="1249" spans="1:24" hidden="1" x14ac:dyDescent="0.35">
      <c r="A1249" s="46">
        <f t="shared" si="214"/>
        <v>46153.504745370374</v>
      </c>
      <c r="B1249" s="46"/>
      <c r="C1249" s="46"/>
      <c r="D1249" s="46"/>
      <c r="E1249" s="119" t="s">
        <v>467</v>
      </c>
      <c r="F1249" s="48" t="s">
        <v>2052</v>
      </c>
      <c r="G1249" s="48"/>
      <c r="H1249" s="49" t="s">
        <v>2054</v>
      </c>
      <c r="I1249" s="99" t="s">
        <v>463</v>
      </c>
      <c r="J1249" s="51" t="s">
        <v>140</v>
      </c>
      <c r="K1249" s="52">
        <v>0</v>
      </c>
      <c r="L1249" s="52">
        <v>0</v>
      </c>
      <c r="M1249" s="53">
        <v>95</v>
      </c>
      <c r="N1249" s="54">
        <v>1500</v>
      </c>
      <c r="O1249" s="341">
        <v>1</v>
      </c>
      <c r="P1249" s="54">
        <f t="shared" si="210"/>
        <v>1500</v>
      </c>
      <c r="Q1249" s="54"/>
      <c r="R1249" s="92">
        <v>1500</v>
      </c>
      <c r="S1249" s="53">
        <f t="shared" si="208"/>
        <v>0</v>
      </c>
      <c r="T1249" s="343">
        <f t="shared" si="211"/>
        <v>909.47368421052624</v>
      </c>
      <c r="U1249" s="52">
        <f t="shared" si="212"/>
        <v>0</v>
      </c>
      <c r="V1249" s="52">
        <f t="shared" si="209"/>
        <v>0</v>
      </c>
      <c r="W1249" s="52">
        <v>0</v>
      </c>
      <c r="X1249" s="55">
        <f t="shared" si="213"/>
        <v>46153.504745370374</v>
      </c>
    </row>
    <row r="1250" spans="1:24" ht="29" hidden="1" x14ac:dyDescent="0.35">
      <c r="A1250" s="46">
        <f t="shared" si="214"/>
        <v>46153.504745370374</v>
      </c>
      <c r="B1250" s="46"/>
      <c r="C1250" s="46"/>
      <c r="D1250" s="46"/>
      <c r="E1250" s="119" t="s">
        <v>467</v>
      </c>
      <c r="F1250" s="57" t="s">
        <v>2055</v>
      </c>
      <c r="G1250" s="57"/>
      <c r="H1250" s="49" t="s">
        <v>2056</v>
      </c>
      <c r="I1250" s="82" t="s">
        <v>470</v>
      </c>
      <c r="J1250" s="51" t="s">
        <v>140</v>
      </c>
      <c r="K1250" s="52">
        <v>0</v>
      </c>
      <c r="L1250" s="52">
        <v>0</v>
      </c>
      <c r="M1250" s="53">
        <v>207</v>
      </c>
      <c r="N1250" s="54">
        <v>8160</v>
      </c>
      <c r="O1250" s="341">
        <v>2</v>
      </c>
      <c r="P1250" s="54">
        <f t="shared" si="210"/>
        <v>4080</v>
      </c>
      <c r="Q1250" s="54"/>
      <c r="R1250" s="92">
        <v>4080</v>
      </c>
      <c r="S1250" s="53">
        <f t="shared" si="208"/>
        <v>0</v>
      </c>
      <c r="T1250" s="343">
        <f t="shared" si="211"/>
        <v>834.78260869565213</v>
      </c>
      <c r="U1250" s="52">
        <f t="shared" si="212"/>
        <v>0</v>
      </c>
      <c r="V1250" s="52">
        <f t="shared" si="209"/>
        <v>0</v>
      </c>
      <c r="W1250" s="52">
        <v>0</v>
      </c>
      <c r="X1250" s="55">
        <f t="shared" si="213"/>
        <v>46153.504745370374</v>
      </c>
    </row>
    <row r="1251" spans="1:24" s="487" customFormat="1" ht="39.5" hidden="1" x14ac:dyDescent="0.35">
      <c r="A1251" s="46">
        <f t="shared" si="214"/>
        <v>46153.504745370374</v>
      </c>
      <c r="B1251" s="46"/>
      <c r="C1251" s="46"/>
      <c r="D1251" s="46"/>
      <c r="E1251" s="119" t="s">
        <v>134</v>
      </c>
      <c r="F1251" s="82" t="s">
        <v>2057</v>
      </c>
      <c r="G1251" s="82"/>
      <c r="H1251" s="59" t="s">
        <v>2058</v>
      </c>
      <c r="I1251" s="99" t="s">
        <v>1066</v>
      </c>
      <c r="J1251" s="51" t="s">
        <v>140</v>
      </c>
      <c r="K1251" s="52">
        <v>0</v>
      </c>
      <c r="L1251" s="52">
        <v>0</v>
      </c>
      <c r="M1251" s="53">
        <v>65</v>
      </c>
      <c r="N1251" s="54">
        <v>120</v>
      </c>
      <c r="O1251" s="341">
        <v>1</v>
      </c>
      <c r="P1251" s="54">
        <f t="shared" si="210"/>
        <v>120</v>
      </c>
      <c r="Q1251" s="54"/>
      <c r="R1251" s="92">
        <v>120</v>
      </c>
      <c r="S1251" s="53">
        <f t="shared" si="208"/>
        <v>0</v>
      </c>
      <c r="T1251" s="343">
        <f t="shared" si="211"/>
        <v>1329.2307692307693</v>
      </c>
      <c r="U1251" s="52">
        <f t="shared" si="212"/>
        <v>0</v>
      </c>
      <c r="V1251" s="52">
        <f t="shared" si="209"/>
        <v>0</v>
      </c>
      <c r="W1251" s="52">
        <v>0</v>
      </c>
      <c r="X1251" s="55">
        <f t="shared" si="213"/>
        <v>46153.504745370374</v>
      </c>
    </row>
    <row r="1252" spans="1:24" s="221" customFormat="1" ht="39.5" hidden="1" x14ac:dyDescent="0.35">
      <c r="A1252" s="46">
        <f t="shared" si="214"/>
        <v>46153.504745370374</v>
      </c>
      <c r="B1252" s="46"/>
      <c r="C1252" s="46"/>
      <c r="D1252" s="46"/>
      <c r="E1252" s="119" t="s">
        <v>134</v>
      </c>
      <c r="F1252" s="82" t="s">
        <v>2059</v>
      </c>
      <c r="G1252" s="82"/>
      <c r="H1252" s="59" t="s">
        <v>2060</v>
      </c>
      <c r="I1252" s="99" t="s">
        <v>351</v>
      </c>
      <c r="J1252" s="51" t="s">
        <v>140</v>
      </c>
      <c r="K1252" s="52">
        <v>0</v>
      </c>
      <c r="L1252" s="52">
        <v>0</v>
      </c>
      <c r="M1252" s="53">
        <v>65</v>
      </c>
      <c r="N1252" s="54">
        <v>450</v>
      </c>
      <c r="O1252" s="341">
        <v>1</v>
      </c>
      <c r="P1252" s="54">
        <f t="shared" si="210"/>
        <v>450</v>
      </c>
      <c r="Q1252" s="54"/>
      <c r="R1252" s="92">
        <v>450</v>
      </c>
      <c r="S1252" s="53">
        <f t="shared" si="208"/>
        <v>0</v>
      </c>
      <c r="T1252" s="343">
        <f t="shared" si="211"/>
        <v>1329.2307692307693</v>
      </c>
      <c r="U1252" s="52">
        <f t="shared" si="212"/>
        <v>0</v>
      </c>
      <c r="V1252" s="52">
        <f t="shared" si="209"/>
        <v>0</v>
      </c>
      <c r="W1252" s="52">
        <v>0</v>
      </c>
      <c r="X1252" s="55">
        <f t="shared" si="213"/>
        <v>46153.504745370374</v>
      </c>
    </row>
    <row r="1253" spans="1:24" s="221" customFormat="1" ht="39.5" hidden="1" x14ac:dyDescent="0.35">
      <c r="A1253" s="46">
        <f t="shared" si="214"/>
        <v>46153.504745370374</v>
      </c>
      <c r="B1253" s="46"/>
      <c r="C1253" s="46"/>
      <c r="D1253" s="46"/>
      <c r="E1253" s="119" t="s">
        <v>134</v>
      </c>
      <c r="F1253" s="82" t="s">
        <v>2061</v>
      </c>
      <c r="G1253" s="82"/>
      <c r="H1253" s="59" t="s">
        <v>2062</v>
      </c>
      <c r="I1253" s="99" t="s">
        <v>1073</v>
      </c>
      <c r="J1253" s="51" t="s">
        <v>140</v>
      </c>
      <c r="K1253" s="52">
        <v>0</v>
      </c>
      <c r="L1253" s="52">
        <v>0</v>
      </c>
      <c r="M1253" s="53">
        <v>65</v>
      </c>
      <c r="N1253" s="54">
        <v>300</v>
      </c>
      <c r="O1253" s="341">
        <v>1</v>
      </c>
      <c r="P1253" s="54">
        <f t="shared" si="210"/>
        <v>300</v>
      </c>
      <c r="Q1253" s="54"/>
      <c r="R1253" s="92">
        <v>300</v>
      </c>
      <c r="S1253" s="53">
        <f t="shared" si="208"/>
        <v>0</v>
      </c>
      <c r="T1253" s="343">
        <f t="shared" si="211"/>
        <v>1329.2307692307693</v>
      </c>
      <c r="U1253" s="52">
        <f t="shared" si="212"/>
        <v>0</v>
      </c>
      <c r="V1253" s="52">
        <f t="shared" si="209"/>
        <v>0</v>
      </c>
      <c r="W1253" s="52">
        <v>0</v>
      </c>
      <c r="X1253" s="55">
        <f t="shared" si="213"/>
        <v>46153.504745370374</v>
      </c>
    </row>
    <row r="1254" spans="1:24" s="221" customFormat="1" ht="39.5" hidden="1" x14ac:dyDescent="0.35">
      <c r="A1254" s="46">
        <f t="shared" si="214"/>
        <v>46153.504745370374</v>
      </c>
      <c r="B1254" s="46"/>
      <c r="C1254" s="46"/>
      <c r="D1254" s="46"/>
      <c r="E1254" s="119" t="s">
        <v>134</v>
      </c>
      <c r="F1254" s="82" t="s">
        <v>2063</v>
      </c>
      <c r="G1254" s="82"/>
      <c r="H1254" s="59" t="s">
        <v>2064</v>
      </c>
      <c r="I1254" s="99" t="s">
        <v>2065</v>
      </c>
      <c r="J1254" s="51" t="s">
        <v>140</v>
      </c>
      <c r="K1254" s="52">
        <v>0</v>
      </c>
      <c r="L1254" s="52">
        <v>0</v>
      </c>
      <c r="M1254" s="53">
        <v>65</v>
      </c>
      <c r="N1254" s="54">
        <v>840</v>
      </c>
      <c r="O1254" s="341">
        <v>1</v>
      </c>
      <c r="P1254" s="54">
        <f t="shared" si="210"/>
        <v>840</v>
      </c>
      <c r="Q1254" s="54"/>
      <c r="R1254" s="92">
        <v>840</v>
      </c>
      <c r="S1254" s="53">
        <f t="shared" si="208"/>
        <v>0</v>
      </c>
      <c r="T1254" s="343">
        <f t="shared" si="211"/>
        <v>1329.2307692307693</v>
      </c>
      <c r="U1254" s="52">
        <f t="shared" si="212"/>
        <v>0</v>
      </c>
      <c r="V1254" s="52">
        <f t="shared" si="209"/>
        <v>0</v>
      </c>
      <c r="W1254" s="52">
        <v>0</v>
      </c>
      <c r="X1254" s="55">
        <f t="shared" si="213"/>
        <v>46153.504745370374</v>
      </c>
    </row>
    <row r="1255" spans="1:24" s="221" customFormat="1" ht="29" hidden="1" x14ac:dyDescent="0.35">
      <c r="A1255" s="46">
        <f t="shared" si="214"/>
        <v>46153.504745370374</v>
      </c>
      <c r="B1255" s="46"/>
      <c r="C1255" s="46"/>
      <c r="D1255" s="46"/>
      <c r="E1255" s="119" t="s">
        <v>467</v>
      </c>
      <c r="F1255" s="57" t="s">
        <v>2066</v>
      </c>
      <c r="G1255" s="57"/>
      <c r="H1255" s="49" t="s">
        <v>2067</v>
      </c>
      <c r="I1255" s="82" t="s">
        <v>470</v>
      </c>
      <c r="J1255" s="51" t="s">
        <v>140</v>
      </c>
      <c r="K1255" s="52">
        <v>0</v>
      </c>
      <c r="L1255" s="52">
        <v>0</v>
      </c>
      <c r="M1255" s="53">
        <v>207</v>
      </c>
      <c r="N1255" s="54">
        <v>4800</v>
      </c>
      <c r="O1255" s="341">
        <v>2</v>
      </c>
      <c r="P1255" s="54">
        <f t="shared" si="210"/>
        <v>2400</v>
      </c>
      <c r="Q1255" s="54"/>
      <c r="R1255" s="92">
        <v>2400</v>
      </c>
      <c r="S1255" s="53">
        <f t="shared" si="208"/>
        <v>0</v>
      </c>
      <c r="T1255" s="343">
        <f t="shared" si="211"/>
        <v>834.78260869565213</v>
      </c>
      <c r="U1255" s="52">
        <f t="shared" si="212"/>
        <v>0</v>
      </c>
      <c r="V1255" s="52">
        <f t="shared" si="209"/>
        <v>0</v>
      </c>
      <c r="W1255" s="52">
        <v>0</v>
      </c>
      <c r="X1255" s="55">
        <f t="shared" si="213"/>
        <v>46153.504745370374</v>
      </c>
    </row>
    <row r="1256" spans="1:24" s="221" customFormat="1" hidden="1" x14ac:dyDescent="0.35">
      <c r="A1256" s="46">
        <f t="shared" si="214"/>
        <v>46153.504745370374</v>
      </c>
      <c r="B1256" s="46"/>
      <c r="C1256" s="46"/>
      <c r="D1256" s="46"/>
      <c r="E1256" s="119" t="s">
        <v>467</v>
      </c>
      <c r="F1256" s="82" t="s">
        <v>2068</v>
      </c>
      <c r="G1256" s="82"/>
      <c r="H1256" s="49" t="s">
        <v>2069</v>
      </c>
      <c r="I1256" s="82" t="s">
        <v>108</v>
      </c>
      <c r="J1256" s="100" t="s">
        <v>140</v>
      </c>
      <c r="K1256" s="52">
        <v>0</v>
      </c>
      <c r="L1256" s="52">
        <v>0</v>
      </c>
      <c r="M1256" s="53">
        <v>800</v>
      </c>
      <c r="N1256" s="54">
        <v>21</v>
      </c>
      <c r="O1256" s="341">
        <v>1</v>
      </c>
      <c r="P1256" s="54">
        <f t="shared" si="210"/>
        <v>21</v>
      </c>
      <c r="Q1256" s="54"/>
      <c r="R1256" s="92">
        <v>21</v>
      </c>
      <c r="S1256" s="53">
        <f t="shared" ref="S1256:S1319" si="215">P1256-R1256</f>
        <v>0</v>
      </c>
      <c r="T1256" s="315">
        <f t="shared" si="211"/>
        <v>108</v>
      </c>
      <c r="U1256" s="84">
        <f t="shared" si="212"/>
        <v>0</v>
      </c>
      <c r="V1256" s="84">
        <f t="shared" ref="V1256:V1319" si="216">(P1256-R1256)*M1256/3600/24</f>
        <v>0</v>
      </c>
      <c r="W1256" s="84">
        <v>0</v>
      </c>
      <c r="X1256" s="55">
        <f t="shared" si="213"/>
        <v>46153.504745370374</v>
      </c>
    </row>
    <row r="1257" spans="1:24" s="221" customFormat="1" hidden="1" x14ac:dyDescent="0.35">
      <c r="A1257" s="46">
        <f t="shared" si="214"/>
        <v>46153.504745370374</v>
      </c>
      <c r="B1257" s="46"/>
      <c r="C1257" s="46"/>
      <c r="D1257" s="46"/>
      <c r="E1257" s="119" t="s">
        <v>467</v>
      </c>
      <c r="F1257" s="82" t="s">
        <v>2068</v>
      </c>
      <c r="G1257" s="82"/>
      <c r="H1257" s="49" t="s">
        <v>2070</v>
      </c>
      <c r="I1257" s="82" t="s">
        <v>108</v>
      </c>
      <c r="J1257" s="100" t="s">
        <v>140</v>
      </c>
      <c r="K1257" s="52">
        <v>0</v>
      </c>
      <c r="L1257" s="52">
        <v>0</v>
      </c>
      <c r="M1257" s="53">
        <v>800</v>
      </c>
      <c r="N1257" s="54">
        <v>50</v>
      </c>
      <c r="O1257" s="341">
        <v>1</v>
      </c>
      <c r="P1257" s="54">
        <f t="shared" si="210"/>
        <v>50</v>
      </c>
      <c r="Q1257" s="54"/>
      <c r="R1257" s="92">
        <v>50</v>
      </c>
      <c r="S1257" s="53">
        <f t="shared" si="215"/>
        <v>0</v>
      </c>
      <c r="T1257" s="315">
        <f t="shared" si="211"/>
        <v>108</v>
      </c>
      <c r="U1257" s="84">
        <f t="shared" si="212"/>
        <v>0</v>
      </c>
      <c r="V1257" s="84">
        <f t="shared" si="216"/>
        <v>0</v>
      </c>
      <c r="W1257" s="84">
        <v>0</v>
      </c>
      <c r="X1257" s="55">
        <f t="shared" si="213"/>
        <v>46153.504745370374</v>
      </c>
    </row>
    <row r="1258" spans="1:24" s="221" customFormat="1" hidden="1" x14ac:dyDescent="0.35">
      <c r="A1258" s="46">
        <f t="shared" si="214"/>
        <v>46153.504745370374</v>
      </c>
      <c r="B1258" s="46"/>
      <c r="C1258" s="46"/>
      <c r="D1258" s="46"/>
      <c r="E1258" s="119" t="s">
        <v>467</v>
      </c>
      <c r="F1258" s="82" t="s">
        <v>2071</v>
      </c>
      <c r="G1258" s="82"/>
      <c r="H1258" s="49" t="s">
        <v>2072</v>
      </c>
      <c r="I1258" s="82" t="s">
        <v>108</v>
      </c>
      <c r="J1258" s="100" t="s">
        <v>140</v>
      </c>
      <c r="K1258" s="52">
        <v>0</v>
      </c>
      <c r="L1258" s="52">
        <v>0</v>
      </c>
      <c r="M1258" s="53">
        <v>800</v>
      </c>
      <c r="N1258" s="54">
        <v>175</v>
      </c>
      <c r="O1258" s="341">
        <v>1</v>
      </c>
      <c r="P1258" s="54">
        <f t="shared" si="210"/>
        <v>175</v>
      </c>
      <c r="Q1258" s="54"/>
      <c r="R1258" s="92">
        <v>175</v>
      </c>
      <c r="S1258" s="53">
        <f t="shared" si="215"/>
        <v>0</v>
      </c>
      <c r="T1258" s="315">
        <f t="shared" si="211"/>
        <v>108</v>
      </c>
      <c r="U1258" s="84">
        <f t="shared" si="212"/>
        <v>0</v>
      </c>
      <c r="V1258" s="84">
        <f t="shared" si="216"/>
        <v>0</v>
      </c>
      <c r="W1258" s="84">
        <v>0</v>
      </c>
      <c r="X1258" s="55">
        <f t="shared" si="213"/>
        <v>46153.504745370374</v>
      </c>
    </row>
    <row r="1259" spans="1:24" s="221" customFormat="1" hidden="1" x14ac:dyDescent="0.35">
      <c r="A1259" s="46">
        <f t="shared" si="214"/>
        <v>46153.504745370374</v>
      </c>
      <c r="B1259" s="46"/>
      <c r="C1259" s="46"/>
      <c r="D1259" s="46"/>
      <c r="E1259" s="119" t="s">
        <v>467</v>
      </c>
      <c r="F1259" s="82" t="s">
        <v>2073</v>
      </c>
      <c r="G1259" s="82"/>
      <c r="H1259" s="49" t="s">
        <v>2074</v>
      </c>
      <c r="I1259" s="82" t="s">
        <v>108</v>
      </c>
      <c r="J1259" s="100" t="s">
        <v>140</v>
      </c>
      <c r="K1259" s="52">
        <v>0</v>
      </c>
      <c r="L1259" s="52">
        <v>0</v>
      </c>
      <c r="M1259" s="53">
        <v>800</v>
      </c>
      <c r="N1259" s="54">
        <v>50</v>
      </c>
      <c r="O1259" s="341">
        <v>1</v>
      </c>
      <c r="P1259" s="54">
        <f t="shared" si="210"/>
        <v>50</v>
      </c>
      <c r="Q1259" s="54"/>
      <c r="R1259" s="92">
        <v>50</v>
      </c>
      <c r="S1259" s="53">
        <f t="shared" si="215"/>
        <v>0</v>
      </c>
      <c r="T1259" s="315">
        <f t="shared" si="211"/>
        <v>108</v>
      </c>
      <c r="U1259" s="84">
        <f t="shared" si="212"/>
        <v>0</v>
      </c>
      <c r="V1259" s="84">
        <f t="shared" si="216"/>
        <v>0</v>
      </c>
      <c r="W1259" s="84">
        <v>0</v>
      </c>
      <c r="X1259" s="55">
        <f t="shared" si="213"/>
        <v>46153.504745370374</v>
      </c>
    </row>
    <row r="1260" spans="1:24" s="221" customFormat="1" ht="29" hidden="1" x14ac:dyDescent="0.35">
      <c r="A1260" s="46">
        <f t="shared" si="214"/>
        <v>46153.504745370374</v>
      </c>
      <c r="B1260" s="46"/>
      <c r="C1260" s="46"/>
      <c r="D1260" s="46"/>
      <c r="E1260" s="119" t="s">
        <v>467</v>
      </c>
      <c r="F1260" s="48" t="s">
        <v>513</v>
      </c>
      <c r="G1260" s="48"/>
      <c r="H1260" s="49" t="s">
        <v>2075</v>
      </c>
      <c r="I1260" s="82" t="s">
        <v>108</v>
      </c>
      <c r="J1260" s="100" t="s">
        <v>140</v>
      </c>
      <c r="K1260" s="52">
        <v>0</v>
      </c>
      <c r="L1260" s="52">
        <v>0</v>
      </c>
      <c r="M1260" s="53">
        <v>800</v>
      </c>
      <c r="N1260" s="54">
        <v>35</v>
      </c>
      <c r="O1260" s="341">
        <v>1</v>
      </c>
      <c r="P1260" s="54">
        <f t="shared" si="210"/>
        <v>35</v>
      </c>
      <c r="Q1260" s="54"/>
      <c r="R1260" s="92">
        <v>35</v>
      </c>
      <c r="S1260" s="53">
        <f t="shared" si="215"/>
        <v>0</v>
      </c>
      <c r="T1260" s="315">
        <f t="shared" si="211"/>
        <v>108</v>
      </c>
      <c r="U1260" s="84">
        <f t="shared" si="212"/>
        <v>0</v>
      </c>
      <c r="V1260" s="84">
        <f t="shared" si="216"/>
        <v>0</v>
      </c>
      <c r="W1260" s="84">
        <v>0</v>
      </c>
      <c r="X1260" s="55">
        <f t="shared" si="213"/>
        <v>46153.504745370374</v>
      </c>
    </row>
    <row r="1261" spans="1:24" s="221" customFormat="1" ht="29" hidden="1" x14ac:dyDescent="0.35">
      <c r="A1261" s="46">
        <f t="shared" si="214"/>
        <v>46153.504745370374</v>
      </c>
      <c r="B1261" s="46"/>
      <c r="C1261" s="46"/>
      <c r="D1261" s="46"/>
      <c r="E1261" s="119" t="s">
        <v>467</v>
      </c>
      <c r="F1261" s="57" t="s">
        <v>271</v>
      </c>
      <c r="G1261" s="57"/>
      <c r="H1261" s="216" t="s">
        <v>2076</v>
      </c>
      <c r="I1261" s="82" t="s">
        <v>470</v>
      </c>
      <c r="J1261" s="100" t="s">
        <v>140</v>
      </c>
      <c r="K1261" s="84">
        <v>0</v>
      </c>
      <c r="L1261" s="84">
        <v>0</v>
      </c>
      <c r="M1261" s="83">
        <v>187</v>
      </c>
      <c r="N1261" s="223">
        <v>4320</v>
      </c>
      <c r="O1261" s="314">
        <v>2</v>
      </c>
      <c r="P1261" s="223">
        <f t="shared" si="210"/>
        <v>2160</v>
      </c>
      <c r="Q1261" s="223"/>
      <c r="R1261" s="102">
        <v>2160</v>
      </c>
      <c r="S1261" s="83">
        <f t="shared" si="215"/>
        <v>0</v>
      </c>
      <c r="T1261" s="315">
        <f t="shared" si="211"/>
        <v>924.06417112299459</v>
      </c>
      <c r="U1261" s="84">
        <f t="shared" si="212"/>
        <v>0</v>
      </c>
      <c r="V1261" s="84">
        <f t="shared" si="216"/>
        <v>0</v>
      </c>
      <c r="W1261" s="84">
        <v>0</v>
      </c>
      <c r="X1261" s="55">
        <f t="shared" si="213"/>
        <v>46153.504745370374</v>
      </c>
    </row>
    <row r="1262" spans="1:24" s="221" customFormat="1" hidden="1" x14ac:dyDescent="0.35">
      <c r="A1262" s="46">
        <f t="shared" si="214"/>
        <v>46153.504745370374</v>
      </c>
      <c r="B1262" s="46"/>
      <c r="C1262" s="46"/>
      <c r="D1262" s="46"/>
      <c r="E1262" s="119" t="s">
        <v>467</v>
      </c>
      <c r="F1262" s="97" t="s">
        <v>2077</v>
      </c>
      <c r="G1262" s="97"/>
      <c r="H1262" s="340" t="s">
        <v>2078</v>
      </c>
      <c r="I1262" s="82" t="s">
        <v>470</v>
      </c>
      <c r="J1262" s="100" t="s">
        <v>140</v>
      </c>
      <c r="K1262" s="101">
        <v>0</v>
      </c>
      <c r="L1262" s="101">
        <v>0</v>
      </c>
      <c r="M1262" s="102">
        <v>187</v>
      </c>
      <c r="N1262" s="103">
        <v>1680</v>
      </c>
      <c r="O1262" s="171">
        <v>2</v>
      </c>
      <c r="P1262" s="103">
        <f t="shared" si="210"/>
        <v>840</v>
      </c>
      <c r="Q1262" s="103"/>
      <c r="R1262" s="102">
        <v>840</v>
      </c>
      <c r="S1262" s="102">
        <f t="shared" si="215"/>
        <v>0</v>
      </c>
      <c r="T1262" s="173">
        <f t="shared" si="211"/>
        <v>924.06417112299459</v>
      </c>
      <c r="U1262" s="101">
        <f t="shared" si="212"/>
        <v>0</v>
      </c>
      <c r="V1262" s="101">
        <f t="shared" si="216"/>
        <v>0</v>
      </c>
      <c r="W1262" s="101">
        <v>0</v>
      </c>
      <c r="X1262" s="55">
        <f t="shared" si="213"/>
        <v>46153.504745370374</v>
      </c>
    </row>
    <row r="1263" spans="1:24" s="221" customFormat="1" hidden="1" x14ac:dyDescent="0.35">
      <c r="A1263" s="46">
        <f t="shared" si="214"/>
        <v>46153.504745370374</v>
      </c>
      <c r="B1263" s="46"/>
      <c r="C1263" s="46"/>
      <c r="D1263" s="46"/>
      <c r="E1263" s="119" t="s">
        <v>467</v>
      </c>
      <c r="F1263" s="82" t="s">
        <v>595</v>
      </c>
      <c r="G1263" s="82"/>
      <c r="H1263" s="98" t="s">
        <v>2079</v>
      </c>
      <c r="I1263" s="71" t="s">
        <v>183</v>
      </c>
      <c r="J1263" s="51" t="s">
        <v>140</v>
      </c>
      <c r="K1263" s="91">
        <v>0</v>
      </c>
      <c r="L1263" s="91">
        <v>0</v>
      </c>
      <c r="M1263" s="92">
        <v>90</v>
      </c>
      <c r="N1263" s="94">
        <v>2100</v>
      </c>
      <c r="O1263" s="253">
        <v>1</v>
      </c>
      <c r="P1263" s="94">
        <f t="shared" si="210"/>
        <v>2100</v>
      </c>
      <c r="Q1263" s="94"/>
      <c r="R1263" s="92">
        <v>2100</v>
      </c>
      <c r="S1263" s="92">
        <f t="shared" si="215"/>
        <v>0</v>
      </c>
      <c r="T1263" s="254">
        <f t="shared" si="211"/>
        <v>960</v>
      </c>
      <c r="U1263" s="91">
        <f t="shared" si="212"/>
        <v>0</v>
      </c>
      <c r="V1263" s="91">
        <f t="shared" si="216"/>
        <v>0</v>
      </c>
      <c r="W1263" s="91">
        <v>0</v>
      </c>
      <c r="X1263" s="55">
        <f t="shared" si="213"/>
        <v>46153.504745370374</v>
      </c>
    </row>
    <row r="1264" spans="1:24" s="221" customFormat="1" hidden="1" x14ac:dyDescent="0.35">
      <c r="A1264" s="46">
        <f t="shared" si="214"/>
        <v>46153.504745370374</v>
      </c>
      <c r="B1264" s="46"/>
      <c r="C1264" s="46"/>
      <c r="D1264" s="46"/>
      <c r="E1264" s="119" t="s">
        <v>467</v>
      </c>
      <c r="F1264" s="82" t="s">
        <v>2080</v>
      </c>
      <c r="G1264" s="82"/>
      <c r="H1264" s="98" t="s">
        <v>2081</v>
      </c>
      <c r="I1264" s="396" t="s">
        <v>1394</v>
      </c>
      <c r="J1264" s="51" t="s">
        <v>140</v>
      </c>
      <c r="K1264" s="91">
        <v>0</v>
      </c>
      <c r="L1264" s="91">
        <v>0</v>
      </c>
      <c r="M1264" s="92">
        <v>90</v>
      </c>
      <c r="N1264" s="94">
        <v>500</v>
      </c>
      <c r="O1264" s="253">
        <v>1</v>
      </c>
      <c r="P1264" s="94">
        <f t="shared" si="210"/>
        <v>500</v>
      </c>
      <c r="Q1264" s="94"/>
      <c r="R1264" s="92">
        <v>500</v>
      </c>
      <c r="S1264" s="92">
        <f t="shared" si="215"/>
        <v>0</v>
      </c>
      <c r="T1264" s="254">
        <f t="shared" si="211"/>
        <v>960</v>
      </c>
      <c r="U1264" s="91">
        <f t="shared" si="212"/>
        <v>0</v>
      </c>
      <c r="V1264" s="91">
        <f t="shared" si="216"/>
        <v>0</v>
      </c>
      <c r="W1264" s="91">
        <v>0</v>
      </c>
      <c r="X1264" s="55">
        <f t="shared" si="213"/>
        <v>46153.504745370374</v>
      </c>
    </row>
    <row r="1265" spans="1:24" s="228" customFormat="1" hidden="1" x14ac:dyDescent="0.35">
      <c r="A1265" s="46">
        <f t="shared" si="214"/>
        <v>46153.504745370374</v>
      </c>
      <c r="B1265" s="46"/>
      <c r="C1265" s="46"/>
      <c r="D1265" s="46"/>
      <c r="E1265" s="119" t="s">
        <v>467</v>
      </c>
      <c r="F1265" s="82" t="s">
        <v>2082</v>
      </c>
      <c r="G1265" s="82"/>
      <c r="H1265" s="98" t="s">
        <v>2083</v>
      </c>
      <c r="I1265" s="396" t="s">
        <v>1500</v>
      </c>
      <c r="J1265" s="51" t="s">
        <v>140</v>
      </c>
      <c r="K1265" s="91">
        <v>0</v>
      </c>
      <c r="L1265" s="91">
        <v>0.2</v>
      </c>
      <c r="M1265" s="92">
        <v>90</v>
      </c>
      <c r="N1265" s="94">
        <v>900</v>
      </c>
      <c r="O1265" s="253">
        <v>1</v>
      </c>
      <c r="P1265" s="94">
        <f t="shared" si="210"/>
        <v>900</v>
      </c>
      <c r="Q1265" s="94"/>
      <c r="R1265" s="92">
        <v>900</v>
      </c>
      <c r="S1265" s="92">
        <f t="shared" si="215"/>
        <v>0</v>
      </c>
      <c r="T1265" s="254">
        <f t="shared" si="211"/>
        <v>960</v>
      </c>
      <c r="U1265" s="91">
        <f t="shared" si="212"/>
        <v>0</v>
      </c>
      <c r="V1265" s="91">
        <f t="shared" si="216"/>
        <v>0</v>
      </c>
      <c r="W1265" s="91">
        <v>0</v>
      </c>
      <c r="X1265" s="55">
        <f t="shared" si="213"/>
        <v>46153.704745370371</v>
      </c>
    </row>
    <row r="1266" spans="1:24" s="221" customFormat="1" hidden="1" x14ac:dyDescent="0.35">
      <c r="A1266" s="46">
        <f t="shared" si="214"/>
        <v>46153.704745370371</v>
      </c>
      <c r="B1266" s="46"/>
      <c r="C1266" s="46"/>
      <c r="D1266" s="46"/>
      <c r="E1266" s="119" t="s">
        <v>467</v>
      </c>
      <c r="F1266" s="82" t="s">
        <v>2082</v>
      </c>
      <c r="G1266" s="82"/>
      <c r="H1266" s="98" t="s">
        <v>2084</v>
      </c>
      <c r="I1266" s="396" t="s">
        <v>2085</v>
      </c>
      <c r="J1266" s="51" t="s">
        <v>140</v>
      </c>
      <c r="K1266" s="91">
        <v>0</v>
      </c>
      <c r="L1266" s="91">
        <v>0</v>
      </c>
      <c r="M1266" s="92">
        <v>90</v>
      </c>
      <c r="N1266" s="94">
        <v>900</v>
      </c>
      <c r="O1266" s="253">
        <v>1</v>
      </c>
      <c r="P1266" s="94">
        <f t="shared" ref="P1266:P1329" si="217">N1266/O1266</f>
        <v>900</v>
      </c>
      <c r="Q1266" s="94"/>
      <c r="R1266" s="92">
        <v>900</v>
      </c>
      <c r="S1266" s="92">
        <f t="shared" si="215"/>
        <v>0</v>
      </c>
      <c r="T1266" s="254">
        <f t="shared" si="211"/>
        <v>960</v>
      </c>
      <c r="U1266" s="91">
        <f t="shared" si="212"/>
        <v>0</v>
      </c>
      <c r="V1266" s="91">
        <f t="shared" si="216"/>
        <v>0</v>
      </c>
      <c r="W1266" s="91">
        <v>0</v>
      </c>
      <c r="X1266" s="55">
        <f t="shared" si="213"/>
        <v>46153.704745370371</v>
      </c>
    </row>
    <row r="1267" spans="1:24" s="89" customFormat="1" hidden="1" x14ac:dyDescent="0.35">
      <c r="A1267" s="46">
        <f t="shared" si="214"/>
        <v>46153.704745370371</v>
      </c>
      <c r="B1267" s="46"/>
      <c r="C1267" s="46"/>
      <c r="D1267" s="46"/>
      <c r="E1267" s="119" t="s">
        <v>467</v>
      </c>
      <c r="F1267" s="82" t="s">
        <v>2086</v>
      </c>
      <c r="G1267" s="82"/>
      <c r="H1267" s="98" t="s">
        <v>2087</v>
      </c>
      <c r="I1267" s="71" t="s">
        <v>2088</v>
      </c>
      <c r="J1267" s="51" t="s">
        <v>140</v>
      </c>
      <c r="K1267" s="91">
        <v>0</v>
      </c>
      <c r="L1267" s="91">
        <v>0</v>
      </c>
      <c r="M1267" s="92">
        <v>90</v>
      </c>
      <c r="N1267" s="94">
        <v>350</v>
      </c>
      <c r="O1267" s="253">
        <v>1</v>
      </c>
      <c r="P1267" s="94">
        <f t="shared" si="217"/>
        <v>350</v>
      </c>
      <c r="Q1267" s="94"/>
      <c r="R1267" s="92">
        <v>350</v>
      </c>
      <c r="S1267" s="92">
        <f t="shared" si="215"/>
        <v>0</v>
      </c>
      <c r="T1267" s="254">
        <f t="shared" si="211"/>
        <v>960</v>
      </c>
      <c r="U1267" s="91">
        <f t="shared" si="212"/>
        <v>0</v>
      </c>
      <c r="V1267" s="91">
        <f t="shared" si="216"/>
        <v>0</v>
      </c>
      <c r="W1267" s="91">
        <v>0</v>
      </c>
      <c r="X1267" s="55">
        <f t="shared" si="213"/>
        <v>46153.704745370371</v>
      </c>
    </row>
    <row r="1268" spans="1:24" s="89" customFormat="1" hidden="1" x14ac:dyDescent="0.35">
      <c r="A1268" s="46">
        <f t="shared" si="214"/>
        <v>46153.704745370371</v>
      </c>
      <c r="B1268" s="46"/>
      <c r="C1268" s="46"/>
      <c r="D1268" s="46"/>
      <c r="E1268" s="119" t="s">
        <v>467</v>
      </c>
      <c r="F1268" s="82" t="s">
        <v>2086</v>
      </c>
      <c r="G1268" s="82"/>
      <c r="H1268" s="98" t="s">
        <v>2089</v>
      </c>
      <c r="I1268" s="71" t="s">
        <v>2088</v>
      </c>
      <c r="J1268" s="51" t="s">
        <v>140</v>
      </c>
      <c r="K1268" s="91">
        <v>0</v>
      </c>
      <c r="L1268" s="91">
        <v>0</v>
      </c>
      <c r="M1268" s="92">
        <v>90</v>
      </c>
      <c r="N1268" s="94">
        <v>150</v>
      </c>
      <c r="O1268" s="253">
        <v>1</v>
      </c>
      <c r="P1268" s="94">
        <f t="shared" si="217"/>
        <v>150</v>
      </c>
      <c r="Q1268" s="94"/>
      <c r="R1268" s="92">
        <v>150</v>
      </c>
      <c r="S1268" s="92">
        <f t="shared" si="215"/>
        <v>0</v>
      </c>
      <c r="T1268" s="254">
        <f t="shared" si="211"/>
        <v>960</v>
      </c>
      <c r="U1268" s="91">
        <f t="shared" si="212"/>
        <v>0</v>
      </c>
      <c r="V1268" s="91">
        <f t="shared" si="216"/>
        <v>0</v>
      </c>
      <c r="W1268" s="91">
        <v>0</v>
      </c>
      <c r="X1268" s="55">
        <f t="shared" si="213"/>
        <v>46153.704745370371</v>
      </c>
    </row>
    <row r="1269" spans="1:24" s="541" customFormat="1" hidden="1" x14ac:dyDescent="0.35">
      <c r="A1269" s="46">
        <f t="shared" si="214"/>
        <v>46153.704745370371</v>
      </c>
      <c r="B1269" s="46"/>
      <c r="C1269" s="46"/>
      <c r="D1269" s="46"/>
      <c r="E1269" s="119" t="s">
        <v>467</v>
      </c>
      <c r="F1269" s="82" t="s">
        <v>2090</v>
      </c>
      <c r="G1269" s="82"/>
      <c r="H1269" s="98" t="s">
        <v>2091</v>
      </c>
      <c r="I1269" s="71" t="s">
        <v>2092</v>
      </c>
      <c r="J1269" s="51" t="s">
        <v>140</v>
      </c>
      <c r="K1269" s="91">
        <v>0</v>
      </c>
      <c r="L1269" s="91">
        <v>0</v>
      </c>
      <c r="M1269" s="92">
        <v>90</v>
      </c>
      <c r="N1269" s="94">
        <v>500</v>
      </c>
      <c r="O1269" s="253">
        <v>1</v>
      </c>
      <c r="P1269" s="94">
        <f t="shared" si="217"/>
        <v>500</v>
      </c>
      <c r="Q1269" s="94"/>
      <c r="R1269" s="92">
        <v>500</v>
      </c>
      <c r="S1269" s="92">
        <f t="shared" si="215"/>
        <v>0</v>
      </c>
      <c r="T1269" s="254">
        <f t="shared" si="211"/>
        <v>960</v>
      </c>
      <c r="U1269" s="91">
        <f t="shared" si="212"/>
        <v>0</v>
      </c>
      <c r="V1269" s="91">
        <f t="shared" si="216"/>
        <v>0</v>
      </c>
      <c r="W1269" s="91">
        <v>0</v>
      </c>
      <c r="X1269" s="55">
        <f t="shared" si="213"/>
        <v>46153.704745370371</v>
      </c>
    </row>
    <row r="1270" spans="1:24" s="221" customFormat="1" hidden="1" x14ac:dyDescent="0.35">
      <c r="A1270" s="46">
        <f t="shared" si="214"/>
        <v>46153.704745370371</v>
      </c>
      <c r="B1270" s="46"/>
      <c r="C1270" s="46"/>
      <c r="D1270" s="46"/>
      <c r="E1270" s="119" t="s">
        <v>467</v>
      </c>
      <c r="F1270" s="82" t="s">
        <v>595</v>
      </c>
      <c r="G1270" s="82"/>
      <c r="H1270" s="98" t="s">
        <v>2079</v>
      </c>
      <c r="I1270" s="71" t="s">
        <v>183</v>
      </c>
      <c r="J1270" s="51" t="s">
        <v>140</v>
      </c>
      <c r="K1270" s="91">
        <v>0</v>
      </c>
      <c r="L1270" s="91">
        <v>0</v>
      </c>
      <c r="M1270" s="92">
        <v>90</v>
      </c>
      <c r="N1270" s="94">
        <v>15200</v>
      </c>
      <c r="O1270" s="253">
        <v>1</v>
      </c>
      <c r="P1270" s="94">
        <f t="shared" si="217"/>
        <v>15200</v>
      </c>
      <c r="Q1270" s="94"/>
      <c r="R1270" s="92">
        <v>15200</v>
      </c>
      <c r="S1270" s="92">
        <f t="shared" si="215"/>
        <v>0</v>
      </c>
      <c r="T1270" s="254">
        <f t="shared" si="211"/>
        <v>960</v>
      </c>
      <c r="U1270" s="91">
        <f t="shared" si="212"/>
        <v>0</v>
      </c>
      <c r="V1270" s="91">
        <f t="shared" si="216"/>
        <v>0</v>
      </c>
      <c r="W1270" s="225">
        <v>0</v>
      </c>
      <c r="X1270" s="55">
        <f t="shared" si="213"/>
        <v>46153.704745370371</v>
      </c>
    </row>
    <row r="1271" spans="1:24" s="118" customFormat="1" hidden="1" x14ac:dyDescent="0.35">
      <c r="A1271" s="46">
        <f t="shared" si="214"/>
        <v>46153.704745370371</v>
      </c>
      <c r="B1271" s="46"/>
      <c r="C1271" s="46"/>
      <c r="D1271" s="46"/>
      <c r="E1271" s="119" t="s">
        <v>467</v>
      </c>
      <c r="F1271" s="82" t="s">
        <v>2093</v>
      </c>
      <c r="G1271" s="82"/>
      <c r="H1271" s="98" t="s">
        <v>2094</v>
      </c>
      <c r="I1271" s="73" t="s">
        <v>351</v>
      </c>
      <c r="J1271" s="100" t="s">
        <v>140</v>
      </c>
      <c r="K1271" s="84">
        <v>0</v>
      </c>
      <c r="L1271" s="84">
        <v>0</v>
      </c>
      <c r="M1271" s="83">
        <v>65</v>
      </c>
      <c r="N1271" s="223">
        <v>550</v>
      </c>
      <c r="O1271" s="314">
        <v>1</v>
      </c>
      <c r="P1271" s="223">
        <f t="shared" si="217"/>
        <v>550</v>
      </c>
      <c r="Q1271" s="223"/>
      <c r="R1271" s="102">
        <v>550</v>
      </c>
      <c r="S1271" s="83">
        <f t="shared" si="215"/>
        <v>0</v>
      </c>
      <c r="T1271" s="315">
        <f t="shared" si="211"/>
        <v>1329.2307692307693</v>
      </c>
      <c r="U1271" s="84">
        <f t="shared" si="212"/>
        <v>0</v>
      </c>
      <c r="V1271" s="84">
        <f t="shared" si="216"/>
        <v>0</v>
      </c>
      <c r="W1271" s="84">
        <v>0</v>
      </c>
      <c r="X1271" s="55">
        <f t="shared" si="213"/>
        <v>46153.704745370371</v>
      </c>
    </row>
    <row r="1272" spans="1:24" hidden="1" x14ac:dyDescent="0.35">
      <c r="A1272" s="46">
        <f t="shared" si="214"/>
        <v>46153.704745370371</v>
      </c>
      <c r="B1272" s="46"/>
      <c r="C1272" s="46"/>
      <c r="D1272" s="46"/>
      <c r="E1272" s="119" t="s">
        <v>467</v>
      </c>
      <c r="F1272" s="82" t="s">
        <v>2095</v>
      </c>
      <c r="G1272" s="82"/>
      <c r="H1272" s="98" t="s">
        <v>2096</v>
      </c>
      <c r="I1272" s="71" t="s">
        <v>1066</v>
      </c>
      <c r="J1272" s="100" t="s">
        <v>140</v>
      </c>
      <c r="K1272" s="101">
        <v>0</v>
      </c>
      <c r="L1272" s="101">
        <v>0</v>
      </c>
      <c r="M1272" s="102">
        <v>65</v>
      </c>
      <c r="N1272" s="103">
        <v>1095</v>
      </c>
      <c r="O1272" s="171">
        <v>1</v>
      </c>
      <c r="P1272" s="103">
        <f t="shared" si="217"/>
        <v>1095</v>
      </c>
      <c r="Q1272" s="103"/>
      <c r="R1272" s="102">
        <v>1095</v>
      </c>
      <c r="S1272" s="102">
        <f t="shared" si="215"/>
        <v>0</v>
      </c>
      <c r="T1272" s="173">
        <f t="shared" si="211"/>
        <v>1329.2307692307693</v>
      </c>
      <c r="U1272" s="101">
        <f t="shared" si="212"/>
        <v>0</v>
      </c>
      <c r="V1272" s="101">
        <f t="shared" si="216"/>
        <v>0</v>
      </c>
      <c r="W1272" s="101">
        <v>0</v>
      </c>
      <c r="X1272" s="55">
        <f t="shared" si="213"/>
        <v>46153.704745370371</v>
      </c>
    </row>
    <row r="1273" spans="1:24" s="118" customFormat="1" hidden="1" x14ac:dyDescent="0.35">
      <c r="A1273" s="46">
        <f t="shared" si="214"/>
        <v>46153.704745370371</v>
      </c>
      <c r="B1273" s="46"/>
      <c r="C1273" s="46"/>
      <c r="D1273" s="46"/>
      <c r="E1273" s="119" t="s">
        <v>467</v>
      </c>
      <c r="F1273" s="82" t="s">
        <v>2097</v>
      </c>
      <c r="G1273" s="82"/>
      <c r="H1273" s="334" t="s">
        <v>2098</v>
      </c>
      <c r="I1273" s="73" t="s">
        <v>1073</v>
      </c>
      <c r="J1273" s="170" t="s">
        <v>140</v>
      </c>
      <c r="K1273" s="84">
        <v>0</v>
      </c>
      <c r="L1273" s="84">
        <v>0</v>
      </c>
      <c r="M1273" s="102">
        <v>65</v>
      </c>
      <c r="N1273" s="103">
        <v>430</v>
      </c>
      <c r="O1273" s="171">
        <v>1</v>
      </c>
      <c r="P1273" s="103">
        <f t="shared" si="217"/>
        <v>430</v>
      </c>
      <c r="Q1273" s="103"/>
      <c r="R1273" s="102">
        <v>430</v>
      </c>
      <c r="S1273" s="102">
        <f t="shared" si="215"/>
        <v>0</v>
      </c>
      <c r="T1273" s="173">
        <f t="shared" si="211"/>
        <v>1329.2307692307693</v>
      </c>
      <c r="U1273" s="101">
        <f t="shared" si="212"/>
        <v>0</v>
      </c>
      <c r="V1273" s="101">
        <f t="shared" si="216"/>
        <v>0</v>
      </c>
      <c r="W1273" s="101">
        <v>0</v>
      </c>
      <c r="X1273" s="55">
        <f t="shared" si="213"/>
        <v>46153.704745370371</v>
      </c>
    </row>
    <row r="1274" spans="1:24" s="118" customFormat="1" hidden="1" x14ac:dyDescent="0.35">
      <c r="A1274" s="46">
        <f t="shared" si="214"/>
        <v>46153.704745370371</v>
      </c>
      <c r="B1274" s="46"/>
      <c r="C1274" s="46"/>
      <c r="D1274" s="46"/>
      <c r="E1274" s="119" t="s">
        <v>467</v>
      </c>
      <c r="F1274" s="82" t="s">
        <v>2099</v>
      </c>
      <c r="G1274" s="82"/>
      <c r="H1274" s="334" t="s">
        <v>2100</v>
      </c>
      <c r="I1274" s="73" t="s">
        <v>348</v>
      </c>
      <c r="J1274" s="170" t="s">
        <v>140</v>
      </c>
      <c r="K1274" s="84">
        <v>0</v>
      </c>
      <c r="L1274" s="84">
        <v>0</v>
      </c>
      <c r="M1274" s="102">
        <v>65</v>
      </c>
      <c r="N1274" s="103">
        <v>160</v>
      </c>
      <c r="O1274" s="171">
        <v>1</v>
      </c>
      <c r="P1274" s="103">
        <f t="shared" si="217"/>
        <v>160</v>
      </c>
      <c r="Q1274" s="103"/>
      <c r="R1274" s="102">
        <v>160</v>
      </c>
      <c r="S1274" s="102">
        <f t="shared" si="215"/>
        <v>0</v>
      </c>
      <c r="T1274" s="173">
        <f t="shared" si="211"/>
        <v>1329.2307692307693</v>
      </c>
      <c r="U1274" s="101">
        <f t="shared" si="212"/>
        <v>0</v>
      </c>
      <c r="V1274" s="101">
        <f t="shared" si="216"/>
        <v>0</v>
      </c>
      <c r="W1274" s="52">
        <v>0</v>
      </c>
      <c r="X1274" s="55">
        <f t="shared" si="213"/>
        <v>46153.704745370371</v>
      </c>
    </row>
    <row r="1275" spans="1:24" s="118" customFormat="1" hidden="1" x14ac:dyDescent="0.35">
      <c r="A1275" s="46">
        <f t="shared" si="214"/>
        <v>46153.704745370371</v>
      </c>
      <c r="B1275" s="46"/>
      <c r="C1275" s="46"/>
      <c r="D1275" s="46"/>
      <c r="E1275" s="119" t="s">
        <v>467</v>
      </c>
      <c r="F1275" s="82" t="s">
        <v>2101</v>
      </c>
      <c r="G1275" s="82"/>
      <c r="H1275" s="326" t="s">
        <v>2102</v>
      </c>
      <c r="I1275" s="73" t="s">
        <v>2103</v>
      </c>
      <c r="J1275" s="170" t="s">
        <v>140</v>
      </c>
      <c r="K1275" s="84">
        <v>0</v>
      </c>
      <c r="L1275" s="84">
        <v>0</v>
      </c>
      <c r="M1275" s="83">
        <v>65</v>
      </c>
      <c r="N1275" s="223">
        <v>65</v>
      </c>
      <c r="O1275" s="314">
        <v>1</v>
      </c>
      <c r="P1275" s="223">
        <f t="shared" si="217"/>
        <v>65</v>
      </c>
      <c r="Q1275" s="223"/>
      <c r="R1275" s="102">
        <v>65</v>
      </c>
      <c r="S1275" s="83">
        <f t="shared" si="215"/>
        <v>0</v>
      </c>
      <c r="T1275" s="315">
        <f t="shared" si="211"/>
        <v>1329.2307692307693</v>
      </c>
      <c r="U1275" s="84">
        <f t="shared" si="212"/>
        <v>0</v>
      </c>
      <c r="V1275" s="84">
        <f t="shared" si="216"/>
        <v>0</v>
      </c>
      <c r="W1275" s="84">
        <v>0</v>
      </c>
      <c r="X1275" s="55">
        <f t="shared" si="213"/>
        <v>46153.704745370371</v>
      </c>
    </row>
    <row r="1276" spans="1:24" s="221" customFormat="1" hidden="1" x14ac:dyDescent="0.35">
      <c r="A1276" s="46">
        <f t="shared" si="214"/>
        <v>46153.704745370371</v>
      </c>
      <c r="B1276" s="46"/>
      <c r="C1276" s="46"/>
      <c r="D1276" s="46"/>
      <c r="E1276" s="119" t="s">
        <v>467</v>
      </c>
      <c r="F1276" s="82" t="s">
        <v>1749</v>
      </c>
      <c r="G1276" s="82"/>
      <c r="H1276" s="98" t="s">
        <v>2104</v>
      </c>
      <c r="I1276" s="99" t="s">
        <v>97</v>
      </c>
      <c r="J1276" s="51" t="s">
        <v>140</v>
      </c>
      <c r="K1276" s="91">
        <v>0</v>
      </c>
      <c r="L1276" s="91">
        <v>0</v>
      </c>
      <c r="M1276" s="92">
        <v>110</v>
      </c>
      <c r="N1276" s="94">
        <v>4000</v>
      </c>
      <c r="O1276" s="253">
        <v>1</v>
      </c>
      <c r="P1276" s="94">
        <f t="shared" si="217"/>
        <v>4000</v>
      </c>
      <c r="Q1276" s="94"/>
      <c r="R1276" s="92">
        <v>4000</v>
      </c>
      <c r="S1276" s="92">
        <f t="shared" si="215"/>
        <v>0</v>
      </c>
      <c r="T1276" s="254">
        <f t="shared" si="211"/>
        <v>785.4545454545455</v>
      </c>
      <c r="U1276" s="91">
        <f t="shared" si="212"/>
        <v>0</v>
      </c>
      <c r="V1276" s="91">
        <f t="shared" si="216"/>
        <v>0</v>
      </c>
      <c r="W1276" s="426">
        <v>0</v>
      </c>
      <c r="X1276" s="55">
        <f t="shared" si="213"/>
        <v>46153.704745370371</v>
      </c>
    </row>
    <row r="1277" spans="1:24" s="221" customFormat="1" hidden="1" x14ac:dyDescent="0.35">
      <c r="A1277" s="46">
        <f t="shared" si="214"/>
        <v>46153.704745370371</v>
      </c>
      <c r="B1277" s="46"/>
      <c r="C1277" s="46"/>
      <c r="D1277" s="46"/>
      <c r="E1277" s="119" t="s">
        <v>467</v>
      </c>
      <c r="F1277" s="82" t="s">
        <v>2105</v>
      </c>
      <c r="G1277" s="82"/>
      <c r="H1277" s="98" t="s">
        <v>2106</v>
      </c>
      <c r="I1277" s="82" t="s">
        <v>108</v>
      </c>
      <c r="J1277" s="100" t="s">
        <v>140</v>
      </c>
      <c r="K1277" s="101">
        <v>0</v>
      </c>
      <c r="L1277" s="101">
        <v>0</v>
      </c>
      <c r="M1277" s="102">
        <v>800</v>
      </c>
      <c r="N1277" s="103">
        <v>150</v>
      </c>
      <c r="O1277" s="171">
        <v>1</v>
      </c>
      <c r="P1277" s="103">
        <f t="shared" si="217"/>
        <v>150</v>
      </c>
      <c r="Q1277" s="103"/>
      <c r="R1277" s="102">
        <v>150</v>
      </c>
      <c r="S1277" s="102">
        <f t="shared" si="215"/>
        <v>0</v>
      </c>
      <c r="T1277" s="173">
        <f t="shared" si="211"/>
        <v>108</v>
      </c>
      <c r="U1277" s="101">
        <f t="shared" si="212"/>
        <v>0</v>
      </c>
      <c r="V1277" s="101">
        <f t="shared" si="216"/>
        <v>0</v>
      </c>
      <c r="W1277" s="101">
        <v>0</v>
      </c>
      <c r="X1277" s="55">
        <f t="shared" si="213"/>
        <v>46153.704745370371</v>
      </c>
    </row>
    <row r="1278" spans="1:24" hidden="1" x14ac:dyDescent="0.35">
      <c r="A1278" s="46">
        <f t="shared" si="214"/>
        <v>46153.704745370371</v>
      </c>
      <c r="B1278" s="46"/>
      <c r="C1278" s="46"/>
      <c r="D1278" s="46"/>
      <c r="E1278" s="119" t="s">
        <v>467</v>
      </c>
      <c r="F1278" s="97" t="s">
        <v>271</v>
      </c>
      <c r="G1278" s="97"/>
      <c r="H1278" s="49" t="s">
        <v>2107</v>
      </c>
      <c r="I1278" s="82" t="s">
        <v>2108</v>
      </c>
      <c r="J1278" s="100" t="s">
        <v>140</v>
      </c>
      <c r="K1278" s="52">
        <v>0</v>
      </c>
      <c r="L1278" s="52">
        <v>0</v>
      </c>
      <c r="M1278" s="53">
        <v>100</v>
      </c>
      <c r="N1278" s="54">
        <v>400</v>
      </c>
      <c r="O1278" s="341">
        <v>1</v>
      </c>
      <c r="P1278" s="103">
        <f t="shared" si="217"/>
        <v>400</v>
      </c>
      <c r="Q1278" s="103"/>
      <c r="R1278" s="92">
        <v>400</v>
      </c>
      <c r="S1278" s="53">
        <f t="shared" si="215"/>
        <v>0</v>
      </c>
      <c r="T1278" s="315">
        <f t="shared" si="211"/>
        <v>864</v>
      </c>
      <c r="U1278" s="84">
        <f t="shared" si="212"/>
        <v>0</v>
      </c>
      <c r="V1278" s="84">
        <f t="shared" si="216"/>
        <v>0</v>
      </c>
      <c r="W1278" s="84">
        <v>0</v>
      </c>
      <c r="X1278" s="55">
        <f t="shared" si="213"/>
        <v>46153.704745370371</v>
      </c>
    </row>
    <row r="1279" spans="1:24" ht="26.5" hidden="1" x14ac:dyDescent="0.35">
      <c r="A1279" s="46">
        <f t="shared" si="214"/>
        <v>46153.704745370371</v>
      </c>
      <c r="B1279" s="46"/>
      <c r="C1279" s="46"/>
      <c r="D1279" s="46"/>
      <c r="E1279" s="47" t="s">
        <v>249</v>
      </c>
      <c r="F1279" s="97" t="s">
        <v>1557</v>
      </c>
      <c r="G1279" s="97"/>
      <c r="H1279" s="49" t="s">
        <v>2109</v>
      </c>
      <c r="I1279" s="333" t="s">
        <v>1049</v>
      </c>
      <c r="J1279" s="51" t="s">
        <v>140</v>
      </c>
      <c r="K1279" s="52">
        <v>0</v>
      </c>
      <c r="L1279" s="52">
        <v>0</v>
      </c>
      <c r="M1279" s="53">
        <v>95</v>
      </c>
      <c r="N1279" s="54">
        <v>600</v>
      </c>
      <c r="O1279" s="341">
        <v>1</v>
      </c>
      <c r="P1279" s="54">
        <f t="shared" si="217"/>
        <v>600</v>
      </c>
      <c r="Q1279" s="54"/>
      <c r="R1279" s="92">
        <v>600</v>
      </c>
      <c r="S1279" s="53">
        <f t="shared" si="215"/>
        <v>0</v>
      </c>
      <c r="T1279" s="343">
        <f t="shared" si="211"/>
        <v>909.47368421052624</v>
      </c>
      <c r="U1279" s="52">
        <f t="shared" si="212"/>
        <v>0</v>
      </c>
      <c r="V1279" s="52">
        <f t="shared" si="216"/>
        <v>0</v>
      </c>
      <c r="W1279" s="52">
        <v>0</v>
      </c>
      <c r="X1279" s="55">
        <f t="shared" si="213"/>
        <v>46153.704745370371</v>
      </c>
    </row>
    <row r="1280" spans="1:24" ht="26.5" hidden="1" x14ac:dyDescent="0.35">
      <c r="A1280" s="46">
        <f t="shared" si="214"/>
        <v>46153.704745370371</v>
      </c>
      <c r="B1280" s="46"/>
      <c r="C1280" s="46"/>
      <c r="D1280" s="46"/>
      <c r="E1280" s="47" t="s">
        <v>249</v>
      </c>
      <c r="F1280" s="97" t="s">
        <v>1557</v>
      </c>
      <c r="G1280" s="97"/>
      <c r="H1280" s="49" t="s">
        <v>2110</v>
      </c>
      <c r="I1280" s="333" t="s">
        <v>1436</v>
      </c>
      <c r="J1280" s="51" t="s">
        <v>140</v>
      </c>
      <c r="K1280" s="52">
        <v>0</v>
      </c>
      <c r="L1280" s="52">
        <v>0</v>
      </c>
      <c r="M1280" s="53">
        <v>95</v>
      </c>
      <c r="N1280" s="54">
        <v>200</v>
      </c>
      <c r="O1280" s="341">
        <v>1</v>
      </c>
      <c r="P1280" s="54">
        <f t="shared" si="217"/>
        <v>200</v>
      </c>
      <c r="Q1280" s="54"/>
      <c r="R1280" s="92">
        <v>200</v>
      </c>
      <c r="S1280" s="53">
        <f t="shared" si="215"/>
        <v>0</v>
      </c>
      <c r="T1280" s="343">
        <f t="shared" si="211"/>
        <v>909.47368421052624</v>
      </c>
      <c r="U1280" s="52">
        <f t="shared" si="212"/>
        <v>0</v>
      </c>
      <c r="V1280" s="52">
        <f t="shared" si="216"/>
        <v>0</v>
      </c>
      <c r="W1280" s="52">
        <v>0</v>
      </c>
      <c r="X1280" s="55">
        <f t="shared" si="213"/>
        <v>46153.704745370371</v>
      </c>
    </row>
    <row r="1281" spans="1:24" hidden="1" x14ac:dyDescent="0.35">
      <c r="A1281" s="46">
        <f t="shared" si="214"/>
        <v>46153.704745370371</v>
      </c>
      <c r="B1281" s="46"/>
      <c r="C1281" s="46"/>
      <c r="D1281" s="46"/>
      <c r="E1281" s="119" t="s">
        <v>467</v>
      </c>
      <c r="F1281" s="97" t="s">
        <v>2111</v>
      </c>
      <c r="G1281" s="97"/>
      <c r="H1281" s="98" t="s">
        <v>2112</v>
      </c>
      <c r="I1281" s="99" t="s">
        <v>953</v>
      </c>
      <c r="J1281" s="100" t="s">
        <v>140</v>
      </c>
      <c r="K1281" s="101">
        <v>0</v>
      </c>
      <c r="L1281" s="101">
        <v>0</v>
      </c>
      <c r="M1281" s="102">
        <v>100</v>
      </c>
      <c r="N1281" s="103">
        <v>30687</v>
      </c>
      <c r="O1281" s="171">
        <v>1</v>
      </c>
      <c r="P1281" s="103">
        <f t="shared" si="217"/>
        <v>30687</v>
      </c>
      <c r="Q1281" s="103"/>
      <c r="R1281" s="102">
        <v>30687</v>
      </c>
      <c r="S1281" s="102">
        <f t="shared" si="215"/>
        <v>0</v>
      </c>
      <c r="T1281" s="173">
        <f t="shared" si="211"/>
        <v>864</v>
      </c>
      <c r="U1281" s="101">
        <f t="shared" si="212"/>
        <v>0</v>
      </c>
      <c r="V1281" s="101">
        <f t="shared" si="216"/>
        <v>0</v>
      </c>
      <c r="W1281" s="426">
        <v>0</v>
      </c>
      <c r="X1281" s="55">
        <f t="shared" si="213"/>
        <v>46153.704745370371</v>
      </c>
    </row>
    <row r="1282" spans="1:24" s="221" customFormat="1" hidden="1" x14ac:dyDescent="0.35">
      <c r="A1282" s="46">
        <f t="shared" si="214"/>
        <v>46153.704745370371</v>
      </c>
      <c r="B1282" s="46"/>
      <c r="C1282" s="46"/>
      <c r="D1282" s="46"/>
      <c r="E1282" s="47" t="s">
        <v>467</v>
      </c>
      <c r="F1282" s="97" t="s">
        <v>271</v>
      </c>
      <c r="G1282" s="97"/>
      <c r="H1282" s="98" t="s">
        <v>2113</v>
      </c>
      <c r="I1282" s="82" t="s">
        <v>470</v>
      </c>
      <c r="J1282" s="100" t="s">
        <v>140</v>
      </c>
      <c r="K1282" s="101">
        <v>0</v>
      </c>
      <c r="L1282" s="101">
        <v>0</v>
      </c>
      <c r="M1282" s="102">
        <v>187</v>
      </c>
      <c r="N1282" s="103">
        <v>5040</v>
      </c>
      <c r="O1282" s="171">
        <v>2</v>
      </c>
      <c r="P1282" s="103">
        <f t="shared" si="217"/>
        <v>2520</v>
      </c>
      <c r="Q1282" s="103"/>
      <c r="R1282" s="102">
        <v>2520</v>
      </c>
      <c r="S1282" s="102">
        <f t="shared" si="215"/>
        <v>0</v>
      </c>
      <c r="T1282" s="173">
        <f t="shared" si="211"/>
        <v>924.06417112299459</v>
      </c>
      <c r="U1282" s="101">
        <f t="shared" si="212"/>
        <v>0</v>
      </c>
      <c r="V1282" s="101">
        <f t="shared" si="216"/>
        <v>0</v>
      </c>
      <c r="W1282" s="91">
        <v>0</v>
      </c>
      <c r="X1282" s="55">
        <f t="shared" si="213"/>
        <v>46153.704745370371</v>
      </c>
    </row>
    <row r="1283" spans="1:24" s="221" customFormat="1" hidden="1" x14ac:dyDescent="0.35">
      <c r="A1283" s="46">
        <f t="shared" si="214"/>
        <v>46153.704745370371</v>
      </c>
      <c r="B1283" s="46"/>
      <c r="C1283" s="46"/>
      <c r="D1283" s="46"/>
      <c r="E1283" s="119" t="s">
        <v>467</v>
      </c>
      <c r="F1283" s="97" t="s">
        <v>271</v>
      </c>
      <c r="G1283" s="97"/>
      <c r="H1283" s="98" t="s">
        <v>2114</v>
      </c>
      <c r="I1283" s="82" t="s">
        <v>470</v>
      </c>
      <c r="J1283" s="100" t="s">
        <v>140</v>
      </c>
      <c r="K1283" s="101">
        <v>0</v>
      </c>
      <c r="L1283" s="101">
        <v>0</v>
      </c>
      <c r="M1283" s="102">
        <v>187</v>
      </c>
      <c r="N1283" s="103">
        <v>2160</v>
      </c>
      <c r="O1283" s="171">
        <v>2</v>
      </c>
      <c r="P1283" s="103">
        <f t="shared" si="217"/>
        <v>1080</v>
      </c>
      <c r="Q1283" s="103"/>
      <c r="R1283" s="102">
        <v>1080</v>
      </c>
      <c r="S1283" s="102">
        <f t="shared" si="215"/>
        <v>0</v>
      </c>
      <c r="T1283" s="173">
        <f t="shared" si="211"/>
        <v>924.06417112299459</v>
      </c>
      <c r="U1283" s="101">
        <f t="shared" si="212"/>
        <v>0</v>
      </c>
      <c r="V1283" s="101">
        <f t="shared" si="216"/>
        <v>0</v>
      </c>
      <c r="W1283" s="91">
        <v>0</v>
      </c>
      <c r="X1283" s="55">
        <f t="shared" si="213"/>
        <v>46153.704745370371</v>
      </c>
    </row>
    <row r="1284" spans="1:24" hidden="1" x14ac:dyDescent="0.35">
      <c r="A1284" s="46">
        <f t="shared" si="214"/>
        <v>46153.704745370371</v>
      </c>
      <c r="B1284" s="46"/>
      <c r="C1284" s="46"/>
      <c r="D1284" s="46"/>
      <c r="E1284" s="119" t="s">
        <v>467</v>
      </c>
      <c r="F1284" s="97" t="s">
        <v>2115</v>
      </c>
      <c r="G1284" s="97"/>
      <c r="H1284" s="98" t="s">
        <v>2116</v>
      </c>
      <c r="I1284" s="99" t="s">
        <v>2117</v>
      </c>
      <c r="J1284" s="100" t="s">
        <v>140</v>
      </c>
      <c r="K1284" s="101">
        <v>0</v>
      </c>
      <c r="L1284" s="101">
        <v>0</v>
      </c>
      <c r="M1284" s="102">
        <v>100</v>
      </c>
      <c r="N1284" s="103">
        <v>7560</v>
      </c>
      <c r="O1284" s="171">
        <v>1</v>
      </c>
      <c r="P1284" s="103">
        <f t="shared" si="217"/>
        <v>7560</v>
      </c>
      <c r="Q1284" s="103"/>
      <c r="R1284" s="102">
        <v>7560</v>
      </c>
      <c r="S1284" s="102">
        <f t="shared" si="215"/>
        <v>0</v>
      </c>
      <c r="T1284" s="173">
        <f t="shared" si="211"/>
        <v>864</v>
      </c>
      <c r="U1284" s="101">
        <f t="shared" si="212"/>
        <v>0</v>
      </c>
      <c r="V1284" s="101">
        <f t="shared" si="216"/>
        <v>0</v>
      </c>
      <c r="W1284" s="426">
        <v>0</v>
      </c>
      <c r="X1284" s="55">
        <f t="shared" si="213"/>
        <v>46153.704745370371</v>
      </c>
    </row>
    <row r="1285" spans="1:24" ht="26.5" hidden="1" x14ac:dyDescent="0.35">
      <c r="A1285" s="46">
        <f t="shared" si="214"/>
        <v>46153.704745370371</v>
      </c>
      <c r="B1285" s="46"/>
      <c r="C1285" s="46"/>
      <c r="D1285" s="46"/>
      <c r="E1285" s="47" t="s">
        <v>2118</v>
      </c>
      <c r="F1285" s="69" t="s">
        <v>647</v>
      </c>
      <c r="G1285" s="69"/>
      <c r="H1285" s="98" t="s">
        <v>2119</v>
      </c>
      <c r="I1285" s="82" t="s">
        <v>2120</v>
      </c>
      <c r="J1285" s="51" t="s">
        <v>140</v>
      </c>
      <c r="K1285" s="91">
        <v>0</v>
      </c>
      <c r="L1285" s="91">
        <v>0</v>
      </c>
      <c r="M1285" s="92">
        <v>100</v>
      </c>
      <c r="N1285" s="94">
        <v>900</v>
      </c>
      <c r="O1285" s="253">
        <v>1</v>
      </c>
      <c r="P1285" s="94">
        <f t="shared" si="217"/>
        <v>900</v>
      </c>
      <c r="Q1285" s="94"/>
      <c r="R1285" s="92">
        <v>900</v>
      </c>
      <c r="S1285" s="92">
        <f t="shared" si="215"/>
        <v>0</v>
      </c>
      <c r="T1285" s="254">
        <f t="shared" si="211"/>
        <v>864</v>
      </c>
      <c r="U1285" s="91">
        <f t="shared" si="212"/>
        <v>0</v>
      </c>
      <c r="V1285" s="91">
        <f t="shared" si="216"/>
        <v>0</v>
      </c>
      <c r="W1285" s="91">
        <v>0</v>
      </c>
      <c r="X1285" s="55">
        <f t="shared" si="213"/>
        <v>46153.704745370371</v>
      </c>
    </row>
    <row r="1286" spans="1:24" ht="26.5" hidden="1" x14ac:dyDescent="0.35">
      <c r="A1286" s="46">
        <f t="shared" si="214"/>
        <v>46153.704745370371</v>
      </c>
      <c r="B1286" s="46"/>
      <c r="C1286" s="46"/>
      <c r="D1286" s="46"/>
      <c r="E1286" s="47" t="s">
        <v>467</v>
      </c>
      <c r="F1286" s="69" t="s">
        <v>2121</v>
      </c>
      <c r="G1286" s="69"/>
      <c r="H1286" s="98" t="s">
        <v>2122</v>
      </c>
      <c r="I1286" s="82" t="s">
        <v>2123</v>
      </c>
      <c r="J1286" s="51" t="s">
        <v>140</v>
      </c>
      <c r="K1286" s="91">
        <v>0</v>
      </c>
      <c r="L1286" s="91">
        <v>0</v>
      </c>
      <c r="M1286" s="92">
        <v>100</v>
      </c>
      <c r="N1286" s="94">
        <v>500</v>
      </c>
      <c r="O1286" s="253">
        <v>1</v>
      </c>
      <c r="P1286" s="94">
        <f t="shared" si="217"/>
        <v>500</v>
      </c>
      <c r="Q1286" s="94"/>
      <c r="R1286" s="92">
        <v>500</v>
      </c>
      <c r="S1286" s="92">
        <f t="shared" si="215"/>
        <v>0</v>
      </c>
      <c r="T1286" s="254">
        <f t="shared" si="211"/>
        <v>864</v>
      </c>
      <c r="U1286" s="91">
        <f t="shared" si="212"/>
        <v>0</v>
      </c>
      <c r="V1286" s="91">
        <f t="shared" si="216"/>
        <v>0</v>
      </c>
      <c r="W1286" s="91">
        <v>0</v>
      </c>
      <c r="X1286" s="55">
        <f t="shared" si="213"/>
        <v>46153.704745370371</v>
      </c>
    </row>
    <row r="1287" spans="1:24" ht="26.5" hidden="1" x14ac:dyDescent="0.35">
      <c r="A1287" s="46">
        <f t="shared" si="214"/>
        <v>46153.704745370371</v>
      </c>
      <c r="B1287" s="46"/>
      <c r="C1287" s="46"/>
      <c r="D1287" s="46"/>
      <c r="E1287" s="47" t="s">
        <v>467</v>
      </c>
      <c r="F1287" s="69" t="s">
        <v>1498</v>
      </c>
      <c r="G1287" s="69"/>
      <c r="H1287" s="98" t="s">
        <v>2124</v>
      </c>
      <c r="I1287" s="69" t="s">
        <v>2125</v>
      </c>
      <c r="J1287" s="51" t="s">
        <v>140</v>
      </c>
      <c r="K1287" s="91">
        <v>0</v>
      </c>
      <c r="L1287" s="91">
        <v>0</v>
      </c>
      <c r="M1287" s="92">
        <v>100</v>
      </c>
      <c r="N1287" s="94">
        <v>1580</v>
      </c>
      <c r="O1287" s="253">
        <v>1</v>
      </c>
      <c r="P1287" s="94">
        <f t="shared" si="217"/>
        <v>1580</v>
      </c>
      <c r="Q1287" s="94"/>
      <c r="R1287" s="92">
        <v>1580</v>
      </c>
      <c r="S1287" s="92">
        <f t="shared" si="215"/>
        <v>0</v>
      </c>
      <c r="T1287" s="254">
        <f t="shared" si="211"/>
        <v>864</v>
      </c>
      <c r="U1287" s="91">
        <f t="shared" si="212"/>
        <v>0</v>
      </c>
      <c r="V1287" s="91">
        <f t="shared" si="216"/>
        <v>0</v>
      </c>
      <c r="W1287" s="91">
        <v>0</v>
      </c>
      <c r="X1287" s="55">
        <f t="shared" si="213"/>
        <v>46153.704745370371</v>
      </c>
    </row>
    <row r="1288" spans="1:24" s="511" customFormat="1" ht="26.5" hidden="1" x14ac:dyDescent="0.35">
      <c r="A1288" s="46">
        <f t="shared" si="214"/>
        <v>46153.704745370371</v>
      </c>
      <c r="B1288" s="46"/>
      <c r="C1288" s="46"/>
      <c r="D1288" s="46"/>
      <c r="E1288" s="47" t="s">
        <v>467</v>
      </c>
      <c r="F1288" s="69" t="s">
        <v>2126</v>
      </c>
      <c r="G1288" s="69"/>
      <c r="H1288" s="98" t="s">
        <v>2127</v>
      </c>
      <c r="I1288" s="69" t="s">
        <v>2128</v>
      </c>
      <c r="J1288" s="51" t="s">
        <v>140</v>
      </c>
      <c r="K1288" s="91">
        <v>0</v>
      </c>
      <c r="L1288" s="91">
        <v>0</v>
      </c>
      <c r="M1288" s="92">
        <v>100</v>
      </c>
      <c r="N1288" s="94">
        <v>1500</v>
      </c>
      <c r="O1288" s="253">
        <v>1</v>
      </c>
      <c r="P1288" s="94">
        <f t="shared" si="217"/>
        <v>1500</v>
      </c>
      <c r="Q1288" s="94"/>
      <c r="R1288" s="92">
        <v>1500</v>
      </c>
      <c r="S1288" s="92">
        <f t="shared" si="215"/>
        <v>0</v>
      </c>
      <c r="T1288" s="254">
        <f t="shared" si="211"/>
        <v>864</v>
      </c>
      <c r="U1288" s="91">
        <f t="shared" si="212"/>
        <v>0</v>
      </c>
      <c r="V1288" s="91">
        <f t="shared" si="216"/>
        <v>0</v>
      </c>
      <c r="W1288" s="91">
        <v>0</v>
      </c>
      <c r="X1288" s="55">
        <f t="shared" si="213"/>
        <v>46153.704745370371</v>
      </c>
    </row>
    <row r="1289" spans="1:24" ht="26.5" hidden="1" x14ac:dyDescent="0.35">
      <c r="A1289" s="46">
        <f t="shared" si="214"/>
        <v>46153.704745370371</v>
      </c>
      <c r="B1289" s="46"/>
      <c r="C1289" s="46"/>
      <c r="D1289" s="46"/>
      <c r="E1289" s="47" t="s">
        <v>467</v>
      </c>
      <c r="F1289" s="69" t="s">
        <v>1483</v>
      </c>
      <c r="G1289" s="69"/>
      <c r="H1289" s="98" t="s">
        <v>2129</v>
      </c>
      <c r="I1289" s="97" t="s">
        <v>2130</v>
      </c>
      <c r="J1289" s="51" t="s">
        <v>140</v>
      </c>
      <c r="K1289" s="91">
        <v>0</v>
      </c>
      <c r="L1289" s="91">
        <v>0</v>
      </c>
      <c r="M1289" s="92">
        <v>100</v>
      </c>
      <c r="N1289" s="94">
        <v>1500</v>
      </c>
      <c r="O1289" s="253">
        <v>1</v>
      </c>
      <c r="P1289" s="94">
        <f t="shared" si="217"/>
        <v>1500</v>
      </c>
      <c r="Q1289" s="94"/>
      <c r="R1289" s="92">
        <v>1500</v>
      </c>
      <c r="S1289" s="92">
        <f t="shared" si="215"/>
        <v>0</v>
      </c>
      <c r="T1289" s="254">
        <f t="shared" si="211"/>
        <v>864</v>
      </c>
      <c r="U1289" s="91">
        <f t="shared" si="212"/>
        <v>0</v>
      </c>
      <c r="V1289" s="91">
        <f t="shared" si="216"/>
        <v>0</v>
      </c>
      <c r="W1289" s="91">
        <v>0</v>
      </c>
      <c r="X1289" s="55">
        <f t="shared" si="213"/>
        <v>46153.704745370371</v>
      </c>
    </row>
    <row r="1290" spans="1:24" ht="26.5" hidden="1" x14ac:dyDescent="0.35">
      <c r="A1290" s="46">
        <f t="shared" si="214"/>
        <v>46153.704745370371</v>
      </c>
      <c r="B1290" s="46"/>
      <c r="C1290" s="46"/>
      <c r="D1290" s="46"/>
      <c r="E1290" s="47" t="s">
        <v>467</v>
      </c>
      <c r="F1290" s="69" t="s">
        <v>2131</v>
      </c>
      <c r="G1290" s="69"/>
      <c r="H1290" s="98" t="s">
        <v>2132</v>
      </c>
      <c r="I1290" s="82" t="s">
        <v>2133</v>
      </c>
      <c r="J1290" s="51" t="s">
        <v>140</v>
      </c>
      <c r="K1290" s="91">
        <v>0</v>
      </c>
      <c r="L1290" s="91">
        <v>0</v>
      </c>
      <c r="M1290" s="92">
        <v>102</v>
      </c>
      <c r="N1290" s="94">
        <v>6000</v>
      </c>
      <c r="O1290" s="253">
        <v>1</v>
      </c>
      <c r="P1290" s="94">
        <f t="shared" si="217"/>
        <v>6000</v>
      </c>
      <c r="Q1290" s="94"/>
      <c r="R1290" s="92">
        <v>6000</v>
      </c>
      <c r="S1290" s="92">
        <f t="shared" si="215"/>
        <v>0</v>
      </c>
      <c r="T1290" s="254">
        <f t="shared" si="211"/>
        <v>847.05882352941182</v>
      </c>
      <c r="U1290" s="91">
        <f t="shared" si="212"/>
        <v>0</v>
      </c>
      <c r="V1290" s="91">
        <f t="shared" si="216"/>
        <v>0</v>
      </c>
      <c r="W1290" s="91">
        <v>0</v>
      </c>
      <c r="X1290" s="55">
        <f t="shared" si="213"/>
        <v>46153.704745370371</v>
      </c>
    </row>
    <row r="1291" spans="1:24" hidden="1" x14ac:dyDescent="0.35">
      <c r="A1291" s="46">
        <f t="shared" si="214"/>
        <v>46153.704745370371</v>
      </c>
      <c r="B1291" s="46"/>
      <c r="C1291" s="46"/>
      <c r="D1291" s="46"/>
      <c r="E1291" s="47" t="s">
        <v>467</v>
      </c>
      <c r="F1291" s="82" t="s">
        <v>220</v>
      </c>
      <c r="G1291" s="82"/>
      <c r="H1291" s="98" t="s">
        <v>2134</v>
      </c>
      <c r="I1291" s="104" t="s">
        <v>222</v>
      </c>
      <c r="J1291" s="104" t="s">
        <v>140</v>
      </c>
      <c r="K1291" s="91">
        <v>0</v>
      </c>
      <c r="L1291" s="91">
        <v>0</v>
      </c>
      <c r="M1291" s="92">
        <v>100</v>
      </c>
      <c r="N1291" s="94">
        <v>2000</v>
      </c>
      <c r="O1291" s="253">
        <v>1</v>
      </c>
      <c r="P1291" s="94">
        <f t="shared" si="217"/>
        <v>2000</v>
      </c>
      <c r="Q1291" s="94"/>
      <c r="R1291" s="92">
        <v>2000</v>
      </c>
      <c r="S1291" s="92">
        <f t="shared" si="215"/>
        <v>0</v>
      </c>
      <c r="T1291" s="254">
        <f t="shared" si="211"/>
        <v>864</v>
      </c>
      <c r="U1291" s="91">
        <f t="shared" si="212"/>
        <v>0</v>
      </c>
      <c r="V1291" s="91">
        <f t="shared" si="216"/>
        <v>0</v>
      </c>
      <c r="W1291" s="91">
        <v>0</v>
      </c>
      <c r="X1291" s="55">
        <f t="shared" si="213"/>
        <v>46153.704745370371</v>
      </c>
    </row>
    <row r="1292" spans="1:24" hidden="1" x14ac:dyDescent="0.35">
      <c r="A1292" s="46">
        <f t="shared" si="214"/>
        <v>46153.704745370371</v>
      </c>
      <c r="B1292" s="46"/>
      <c r="C1292" s="46"/>
      <c r="D1292" s="46"/>
      <c r="E1292" s="47" t="s">
        <v>467</v>
      </c>
      <c r="F1292" s="82" t="s">
        <v>220</v>
      </c>
      <c r="G1292" s="82"/>
      <c r="H1292" s="98" t="s">
        <v>2135</v>
      </c>
      <c r="I1292" s="104" t="s">
        <v>2108</v>
      </c>
      <c r="J1292" s="104" t="s">
        <v>140</v>
      </c>
      <c r="K1292" s="91">
        <v>0</v>
      </c>
      <c r="L1292" s="91">
        <v>0</v>
      </c>
      <c r="M1292" s="92">
        <v>100</v>
      </c>
      <c r="N1292" s="94">
        <v>400</v>
      </c>
      <c r="O1292" s="253">
        <v>1</v>
      </c>
      <c r="P1292" s="94">
        <f t="shared" si="217"/>
        <v>400</v>
      </c>
      <c r="Q1292" s="94"/>
      <c r="R1292" s="92">
        <v>400</v>
      </c>
      <c r="S1292" s="92">
        <f t="shared" si="215"/>
        <v>0</v>
      </c>
      <c r="T1292" s="254">
        <f t="shared" si="211"/>
        <v>864</v>
      </c>
      <c r="U1292" s="91">
        <f t="shared" si="212"/>
        <v>0</v>
      </c>
      <c r="V1292" s="91">
        <f t="shared" si="216"/>
        <v>0</v>
      </c>
      <c r="W1292" s="91">
        <v>0</v>
      </c>
      <c r="X1292" s="55">
        <f t="shared" si="213"/>
        <v>46153.704745370371</v>
      </c>
    </row>
    <row r="1293" spans="1:24" hidden="1" x14ac:dyDescent="0.35">
      <c r="A1293" s="46">
        <f t="shared" si="214"/>
        <v>46153.704745370371</v>
      </c>
      <c r="B1293" s="46"/>
      <c r="C1293" s="46"/>
      <c r="D1293" s="46"/>
      <c r="E1293" s="119" t="s">
        <v>467</v>
      </c>
      <c r="F1293" s="99" t="s">
        <v>1517</v>
      </c>
      <c r="G1293" s="99"/>
      <c r="H1293" s="98" t="s">
        <v>2136</v>
      </c>
      <c r="I1293" s="99" t="s">
        <v>97</v>
      </c>
      <c r="J1293" s="104" t="s">
        <v>140</v>
      </c>
      <c r="K1293" s="91">
        <v>0</v>
      </c>
      <c r="L1293" s="91">
        <v>0</v>
      </c>
      <c r="M1293" s="92">
        <v>110</v>
      </c>
      <c r="N1293" s="94">
        <v>5000</v>
      </c>
      <c r="O1293" s="253">
        <v>1</v>
      </c>
      <c r="P1293" s="94">
        <f t="shared" si="217"/>
        <v>5000</v>
      </c>
      <c r="Q1293" s="94"/>
      <c r="R1293" s="92">
        <v>5000</v>
      </c>
      <c r="S1293" s="92">
        <f t="shared" si="215"/>
        <v>0</v>
      </c>
      <c r="T1293" s="173">
        <f t="shared" si="211"/>
        <v>785.4545454545455</v>
      </c>
      <c r="U1293" s="101">
        <f t="shared" si="212"/>
        <v>0</v>
      </c>
      <c r="V1293" s="101">
        <f t="shared" si="216"/>
        <v>0</v>
      </c>
      <c r="W1293" s="101">
        <v>0</v>
      </c>
      <c r="X1293" s="55">
        <f t="shared" si="213"/>
        <v>46153.704745370371</v>
      </c>
    </row>
    <row r="1294" spans="1:24" hidden="1" x14ac:dyDescent="0.35">
      <c r="A1294" s="46">
        <f t="shared" si="214"/>
        <v>46153.704745370371</v>
      </c>
      <c r="B1294" s="46"/>
      <c r="C1294" s="46"/>
      <c r="D1294" s="46"/>
      <c r="E1294" s="119" t="s">
        <v>467</v>
      </c>
      <c r="F1294" s="99" t="s">
        <v>1549</v>
      </c>
      <c r="G1294" s="99"/>
      <c r="H1294" s="98" t="s">
        <v>2137</v>
      </c>
      <c r="I1294" s="99" t="s">
        <v>97</v>
      </c>
      <c r="J1294" s="104" t="s">
        <v>140</v>
      </c>
      <c r="K1294" s="91">
        <v>0</v>
      </c>
      <c r="L1294" s="91">
        <v>0</v>
      </c>
      <c r="M1294" s="92">
        <v>110</v>
      </c>
      <c r="N1294" s="94">
        <v>2500</v>
      </c>
      <c r="O1294" s="253">
        <v>1</v>
      </c>
      <c r="P1294" s="94">
        <f t="shared" si="217"/>
        <v>2500</v>
      </c>
      <c r="Q1294" s="94"/>
      <c r="R1294" s="92">
        <v>2500</v>
      </c>
      <c r="S1294" s="92">
        <f t="shared" si="215"/>
        <v>0</v>
      </c>
      <c r="T1294" s="173">
        <f t="shared" si="211"/>
        <v>785.4545454545455</v>
      </c>
      <c r="U1294" s="101">
        <f t="shared" si="212"/>
        <v>0</v>
      </c>
      <c r="V1294" s="101">
        <f t="shared" si="216"/>
        <v>0</v>
      </c>
      <c r="W1294" s="101">
        <v>0</v>
      </c>
      <c r="X1294" s="55">
        <f t="shared" si="213"/>
        <v>46153.704745370371</v>
      </c>
    </row>
    <row r="1295" spans="1:24" hidden="1" x14ac:dyDescent="0.35">
      <c r="A1295" s="46">
        <f t="shared" si="214"/>
        <v>46153.704745370371</v>
      </c>
      <c r="B1295" s="46"/>
      <c r="C1295" s="46"/>
      <c r="D1295" s="46"/>
      <c r="E1295" s="47" t="s">
        <v>467</v>
      </c>
      <c r="F1295" s="69" t="s">
        <v>2138</v>
      </c>
      <c r="G1295" s="69"/>
      <c r="H1295" s="98" t="s">
        <v>2139</v>
      </c>
      <c r="I1295" s="71" t="s">
        <v>2140</v>
      </c>
      <c r="J1295" s="51" t="s">
        <v>140</v>
      </c>
      <c r="K1295" s="91">
        <v>0</v>
      </c>
      <c r="L1295" s="91">
        <v>0</v>
      </c>
      <c r="M1295" s="92">
        <v>90</v>
      </c>
      <c r="N1295" s="94">
        <v>1500</v>
      </c>
      <c r="O1295" s="253">
        <v>1</v>
      </c>
      <c r="P1295" s="94">
        <f t="shared" si="217"/>
        <v>1500</v>
      </c>
      <c r="Q1295" s="94"/>
      <c r="R1295" s="92">
        <v>1500</v>
      </c>
      <c r="S1295" s="92">
        <f t="shared" si="215"/>
        <v>0</v>
      </c>
      <c r="T1295" s="254">
        <f t="shared" ref="T1295:T1355" si="218">((3600/M1295)*O1295)*24</f>
        <v>960</v>
      </c>
      <c r="U1295" s="91">
        <f t="shared" ref="U1295:U1355" si="219">(P1295-R1295)*M1295/3600</f>
        <v>0</v>
      </c>
      <c r="V1295" s="91">
        <f t="shared" si="216"/>
        <v>0</v>
      </c>
      <c r="W1295" s="101">
        <v>0</v>
      </c>
      <c r="X1295" s="55">
        <f t="shared" ref="X1295:X1339" si="220">A1295+K1295+V1295+W1295+L1295</f>
        <v>46153.704745370371</v>
      </c>
    </row>
    <row r="1296" spans="1:24" hidden="1" x14ac:dyDescent="0.35">
      <c r="A1296" s="46">
        <f t="shared" ref="A1296:A1359" si="221">X1295</f>
        <v>46153.704745370371</v>
      </c>
      <c r="B1296" s="46"/>
      <c r="C1296" s="46"/>
      <c r="D1296" s="46"/>
      <c r="E1296" s="47" t="s">
        <v>467</v>
      </c>
      <c r="F1296" s="69" t="s">
        <v>2141</v>
      </c>
      <c r="G1296" s="69"/>
      <c r="H1296" s="98" t="s">
        <v>2142</v>
      </c>
      <c r="I1296" s="71" t="s">
        <v>2092</v>
      </c>
      <c r="J1296" s="51" t="s">
        <v>140</v>
      </c>
      <c r="K1296" s="91">
        <v>0</v>
      </c>
      <c r="L1296" s="91">
        <v>0</v>
      </c>
      <c r="M1296" s="92">
        <v>90</v>
      </c>
      <c r="N1296" s="94">
        <v>500</v>
      </c>
      <c r="O1296" s="253">
        <v>1</v>
      </c>
      <c r="P1296" s="94">
        <f t="shared" si="217"/>
        <v>500</v>
      </c>
      <c r="Q1296" s="94"/>
      <c r="R1296" s="92">
        <v>500</v>
      </c>
      <c r="S1296" s="92">
        <f t="shared" si="215"/>
        <v>0</v>
      </c>
      <c r="T1296" s="254">
        <f t="shared" si="218"/>
        <v>960</v>
      </c>
      <c r="U1296" s="91">
        <f t="shared" si="219"/>
        <v>0</v>
      </c>
      <c r="V1296" s="91">
        <f t="shared" si="216"/>
        <v>0</v>
      </c>
      <c r="W1296" s="101">
        <v>0</v>
      </c>
      <c r="X1296" s="55">
        <f t="shared" si="220"/>
        <v>46153.704745370371</v>
      </c>
    </row>
    <row r="1297" spans="1:24" s="221" customFormat="1" hidden="1" x14ac:dyDescent="0.35">
      <c r="A1297" s="46">
        <f t="shared" si="221"/>
        <v>46153.704745370371</v>
      </c>
      <c r="B1297" s="46"/>
      <c r="C1297" s="46"/>
      <c r="D1297" s="46"/>
      <c r="E1297" s="47" t="s">
        <v>467</v>
      </c>
      <c r="F1297" s="97" t="s">
        <v>633</v>
      </c>
      <c r="G1297" s="97"/>
      <c r="H1297" s="98" t="s">
        <v>2143</v>
      </c>
      <c r="I1297" s="71" t="s">
        <v>2144</v>
      </c>
      <c r="J1297" s="51" t="s">
        <v>140</v>
      </c>
      <c r="K1297" s="91">
        <v>0</v>
      </c>
      <c r="L1297" s="91">
        <v>0</v>
      </c>
      <c r="M1297" s="92">
        <v>90</v>
      </c>
      <c r="N1297" s="94">
        <v>100</v>
      </c>
      <c r="O1297" s="253">
        <v>1</v>
      </c>
      <c r="P1297" s="94">
        <f t="shared" si="217"/>
        <v>100</v>
      </c>
      <c r="Q1297" s="94"/>
      <c r="R1297" s="92">
        <v>100</v>
      </c>
      <c r="S1297" s="92">
        <f t="shared" si="215"/>
        <v>0</v>
      </c>
      <c r="T1297" s="254">
        <f t="shared" si="218"/>
        <v>960</v>
      </c>
      <c r="U1297" s="91">
        <f t="shared" si="219"/>
        <v>0</v>
      </c>
      <c r="V1297" s="91">
        <f t="shared" si="216"/>
        <v>0</v>
      </c>
      <c r="W1297" s="101">
        <v>0</v>
      </c>
      <c r="X1297" s="55">
        <f t="shared" si="220"/>
        <v>46153.704745370371</v>
      </c>
    </row>
    <row r="1298" spans="1:24" s="221" customFormat="1" ht="26.5" hidden="1" x14ac:dyDescent="0.35">
      <c r="A1298" s="46">
        <f t="shared" si="221"/>
        <v>46153.704745370371</v>
      </c>
      <c r="B1298" s="46"/>
      <c r="C1298" s="46"/>
      <c r="D1298" s="46"/>
      <c r="E1298" s="47" t="s">
        <v>467</v>
      </c>
      <c r="F1298" s="97" t="s">
        <v>633</v>
      </c>
      <c r="G1298" s="97"/>
      <c r="H1298" s="98" t="s">
        <v>2145</v>
      </c>
      <c r="I1298" s="542" t="s">
        <v>2146</v>
      </c>
      <c r="J1298" s="51" t="s">
        <v>140</v>
      </c>
      <c r="K1298" s="91">
        <v>0</v>
      </c>
      <c r="L1298" s="91">
        <v>0</v>
      </c>
      <c r="M1298" s="92">
        <v>90</v>
      </c>
      <c r="N1298" s="94">
        <v>100</v>
      </c>
      <c r="O1298" s="253">
        <v>1</v>
      </c>
      <c r="P1298" s="94">
        <f t="shared" si="217"/>
        <v>100</v>
      </c>
      <c r="Q1298" s="94"/>
      <c r="R1298" s="92">
        <v>100</v>
      </c>
      <c r="S1298" s="92">
        <f t="shared" si="215"/>
        <v>0</v>
      </c>
      <c r="T1298" s="254">
        <f t="shared" si="218"/>
        <v>960</v>
      </c>
      <c r="U1298" s="91">
        <f t="shared" si="219"/>
        <v>0</v>
      </c>
      <c r="V1298" s="91">
        <f t="shared" si="216"/>
        <v>0</v>
      </c>
      <c r="W1298" s="101">
        <v>0</v>
      </c>
      <c r="X1298" s="55">
        <f t="shared" si="220"/>
        <v>46153.704745370371</v>
      </c>
    </row>
    <row r="1299" spans="1:24" s="221" customFormat="1" hidden="1" x14ac:dyDescent="0.35">
      <c r="A1299" s="46">
        <f t="shared" si="221"/>
        <v>46153.704745370371</v>
      </c>
      <c r="B1299" s="46"/>
      <c r="C1299" s="46"/>
      <c r="D1299" s="46"/>
      <c r="E1299" s="47" t="s">
        <v>467</v>
      </c>
      <c r="F1299" s="97" t="s">
        <v>271</v>
      </c>
      <c r="G1299" s="97"/>
      <c r="H1299" s="98" t="s">
        <v>2147</v>
      </c>
      <c r="I1299" s="82" t="s">
        <v>470</v>
      </c>
      <c r="J1299" s="100" t="s">
        <v>140</v>
      </c>
      <c r="K1299" s="101">
        <v>0</v>
      </c>
      <c r="L1299" s="101">
        <v>0</v>
      </c>
      <c r="M1299" s="102">
        <v>221</v>
      </c>
      <c r="N1299" s="103">
        <v>5040</v>
      </c>
      <c r="O1299" s="171">
        <v>2</v>
      </c>
      <c r="P1299" s="103">
        <f t="shared" si="217"/>
        <v>2520</v>
      </c>
      <c r="Q1299" s="103"/>
      <c r="R1299" s="102">
        <v>2520</v>
      </c>
      <c r="S1299" s="102">
        <f t="shared" si="215"/>
        <v>0</v>
      </c>
      <c r="T1299" s="173">
        <f t="shared" si="218"/>
        <v>781.90045248868773</v>
      </c>
      <c r="U1299" s="101">
        <f t="shared" si="219"/>
        <v>0</v>
      </c>
      <c r="V1299" s="101">
        <f t="shared" si="216"/>
        <v>0</v>
      </c>
      <c r="W1299" s="91">
        <v>0</v>
      </c>
      <c r="X1299" s="55">
        <f t="shared" si="220"/>
        <v>46153.704745370371</v>
      </c>
    </row>
    <row r="1300" spans="1:24" hidden="1" x14ac:dyDescent="0.35">
      <c r="A1300" s="46">
        <f t="shared" si="221"/>
        <v>46153.704745370371</v>
      </c>
      <c r="B1300" s="46"/>
      <c r="C1300" s="46"/>
      <c r="D1300" s="46"/>
      <c r="E1300" s="47" t="s">
        <v>467</v>
      </c>
      <c r="F1300" s="82" t="s">
        <v>1583</v>
      </c>
      <c r="G1300" s="82"/>
      <c r="H1300" s="334" t="s">
        <v>2148</v>
      </c>
      <c r="I1300" s="71" t="s">
        <v>891</v>
      </c>
      <c r="J1300" s="170" t="s">
        <v>140</v>
      </c>
      <c r="K1300" s="101">
        <v>0</v>
      </c>
      <c r="L1300" s="101">
        <v>0</v>
      </c>
      <c r="M1300" s="102">
        <v>65</v>
      </c>
      <c r="N1300" s="103">
        <v>550</v>
      </c>
      <c r="O1300" s="171">
        <v>1</v>
      </c>
      <c r="P1300" s="103">
        <f t="shared" si="217"/>
        <v>550</v>
      </c>
      <c r="Q1300" s="103"/>
      <c r="R1300" s="102">
        <v>550</v>
      </c>
      <c r="S1300" s="102">
        <f t="shared" si="215"/>
        <v>0</v>
      </c>
      <c r="T1300" s="173">
        <f t="shared" si="218"/>
        <v>1329.2307692307693</v>
      </c>
      <c r="U1300" s="101">
        <f t="shared" si="219"/>
        <v>0</v>
      </c>
      <c r="V1300" s="101">
        <f t="shared" si="216"/>
        <v>0</v>
      </c>
      <c r="W1300" s="101">
        <v>0</v>
      </c>
      <c r="X1300" s="55">
        <f t="shared" si="220"/>
        <v>46153.704745370371</v>
      </c>
    </row>
    <row r="1301" spans="1:24" hidden="1" x14ac:dyDescent="0.35">
      <c r="A1301" s="46">
        <f t="shared" si="221"/>
        <v>46153.704745370371</v>
      </c>
      <c r="B1301" s="46"/>
      <c r="C1301" s="46"/>
      <c r="D1301" s="46"/>
      <c r="E1301" s="47" t="s">
        <v>467</v>
      </c>
      <c r="F1301" s="82" t="s">
        <v>1583</v>
      </c>
      <c r="G1301" s="82"/>
      <c r="H1301" s="334" t="s">
        <v>2149</v>
      </c>
      <c r="I1301" s="71" t="s">
        <v>351</v>
      </c>
      <c r="J1301" s="170" t="s">
        <v>140</v>
      </c>
      <c r="K1301" s="101">
        <v>0</v>
      </c>
      <c r="L1301" s="101">
        <v>0</v>
      </c>
      <c r="M1301" s="102">
        <v>65</v>
      </c>
      <c r="N1301" s="103">
        <v>400</v>
      </c>
      <c r="O1301" s="171">
        <v>1</v>
      </c>
      <c r="P1301" s="103">
        <f t="shared" si="217"/>
        <v>400</v>
      </c>
      <c r="Q1301" s="103"/>
      <c r="R1301" s="102">
        <v>400</v>
      </c>
      <c r="S1301" s="102">
        <f t="shared" si="215"/>
        <v>0</v>
      </c>
      <c r="T1301" s="173">
        <f t="shared" si="218"/>
        <v>1329.2307692307693</v>
      </c>
      <c r="U1301" s="101">
        <f t="shared" si="219"/>
        <v>0</v>
      </c>
      <c r="V1301" s="101">
        <f t="shared" si="216"/>
        <v>0</v>
      </c>
      <c r="W1301" s="101">
        <v>0</v>
      </c>
      <c r="X1301" s="55">
        <f t="shared" si="220"/>
        <v>46153.704745370371</v>
      </c>
    </row>
    <row r="1302" spans="1:24" hidden="1" x14ac:dyDescent="0.35">
      <c r="A1302" s="46">
        <f t="shared" si="221"/>
        <v>46153.704745370371</v>
      </c>
      <c r="B1302" s="46"/>
      <c r="C1302" s="46"/>
      <c r="D1302" s="46"/>
      <c r="E1302" s="47" t="s">
        <v>467</v>
      </c>
      <c r="F1302" s="82" t="s">
        <v>2150</v>
      </c>
      <c r="G1302" s="82"/>
      <c r="H1302" s="334" t="s">
        <v>2151</v>
      </c>
      <c r="I1302" s="71" t="s">
        <v>2152</v>
      </c>
      <c r="J1302" s="170" t="s">
        <v>140</v>
      </c>
      <c r="K1302" s="101">
        <v>0</v>
      </c>
      <c r="L1302" s="101">
        <v>0</v>
      </c>
      <c r="M1302" s="102">
        <v>65</v>
      </c>
      <c r="N1302" s="103">
        <v>250</v>
      </c>
      <c r="O1302" s="171">
        <v>1</v>
      </c>
      <c r="P1302" s="103">
        <f t="shared" si="217"/>
        <v>250</v>
      </c>
      <c r="Q1302" s="103"/>
      <c r="R1302" s="102">
        <v>250</v>
      </c>
      <c r="S1302" s="102">
        <f t="shared" si="215"/>
        <v>0</v>
      </c>
      <c r="T1302" s="173">
        <f t="shared" si="218"/>
        <v>1329.2307692307693</v>
      </c>
      <c r="U1302" s="101">
        <f t="shared" si="219"/>
        <v>0</v>
      </c>
      <c r="V1302" s="101">
        <f t="shared" si="216"/>
        <v>0</v>
      </c>
      <c r="W1302" s="101">
        <v>0</v>
      </c>
      <c r="X1302" s="55">
        <f t="shared" si="220"/>
        <v>46153.704745370371</v>
      </c>
    </row>
    <row r="1303" spans="1:24" hidden="1" x14ac:dyDescent="0.35">
      <c r="A1303" s="46">
        <f t="shared" si="221"/>
        <v>46153.704745370371</v>
      </c>
      <c r="B1303" s="46"/>
      <c r="C1303" s="46"/>
      <c r="D1303" s="46"/>
      <c r="E1303" s="47" t="s">
        <v>467</v>
      </c>
      <c r="F1303" s="82" t="s">
        <v>1583</v>
      </c>
      <c r="G1303" s="82"/>
      <c r="H1303" s="334" t="s">
        <v>2153</v>
      </c>
      <c r="I1303" s="71" t="s">
        <v>345</v>
      </c>
      <c r="J1303" s="170" t="s">
        <v>140</v>
      </c>
      <c r="K1303" s="101">
        <v>0</v>
      </c>
      <c r="L1303" s="101">
        <v>0</v>
      </c>
      <c r="M1303" s="102">
        <v>65</v>
      </c>
      <c r="N1303" s="103">
        <v>100</v>
      </c>
      <c r="O1303" s="171">
        <v>1</v>
      </c>
      <c r="P1303" s="103">
        <f t="shared" si="217"/>
        <v>100</v>
      </c>
      <c r="Q1303" s="103"/>
      <c r="R1303" s="102">
        <v>100</v>
      </c>
      <c r="S1303" s="102">
        <f t="shared" si="215"/>
        <v>0</v>
      </c>
      <c r="T1303" s="173">
        <f t="shared" si="218"/>
        <v>1329.2307692307693</v>
      </c>
      <c r="U1303" s="101">
        <f t="shared" si="219"/>
        <v>0</v>
      </c>
      <c r="V1303" s="101">
        <f t="shared" si="216"/>
        <v>0</v>
      </c>
      <c r="W1303" s="101">
        <v>0</v>
      </c>
      <c r="X1303" s="55">
        <f t="shared" si="220"/>
        <v>46153.704745370371</v>
      </c>
    </row>
    <row r="1304" spans="1:24" hidden="1" x14ac:dyDescent="0.35">
      <c r="A1304" s="46">
        <f t="shared" si="221"/>
        <v>46153.704745370371</v>
      </c>
      <c r="B1304" s="46"/>
      <c r="C1304" s="46"/>
      <c r="D1304" s="46"/>
      <c r="E1304" s="47" t="s">
        <v>467</v>
      </c>
      <c r="F1304" s="82" t="s">
        <v>1583</v>
      </c>
      <c r="G1304" s="82"/>
      <c r="H1304" s="334" t="s">
        <v>2154</v>
      </c>
      <c r="I1304" s="71" t="s">
        <v>1073</v>
      </c>
      <c r="J1304" s="170" t="s">
        <v>140</v>
      </c>
      <c r="K1304" s="101">
        <v>0</v>
      </c>
      <c r="L1304" s="101">
        <v>0</v>
      </c>
      <c r="M1304" s="102">
        <v>65</v>
      </c>
      <c r="N1304" s="103">
        <v>350</v>
      </c>
      <c r="O1304" s="171">
        <v>1</v>
      </c>
      <c r="P1304" s="103">
        <f t="shared" si="217"/>
        <v>350</v>
      </c>
      <c r="Q1304" s="103"/>
      <c r="R1304" s="102">
        <v>350</v>
      </c>
      <c r="S1304" s="102">
        <f t="shared" si="215"/>
        <v>0</v>
      </c>
      <c r="T1304" s="173">
        <f t="shared" si="218"/>
        <v>1329.2307692307693</v>
      </c>
      <c r="U1304" s="101">
        <f t="shared" si="219"/>
        <v>0</v>
      </c>
      <c r="V1304" s="101">
        <f t="shared" si="216"/>
        <v>0</v>
      </c>
      <c r="W1304" s="101">
        <v>0</v>
      </c>
      <c r="X1304" s="55">
        <f t="shared" si="220"/>
        <v>46153.704745370371</v>
      </c>
    </row>
    <row r="1305" spans="1:24" hidden="1" x14ac:dyDescent="0.35">
      <c r="A1305" s="46">
        <f t="shared" si="221"/>
        <v>46153.704745370371</v>
      </c>
      <c r="B1305" s="46"/>
      <c r="C1305" s="46"/>
      <c r="D1305" s="46"/>
      <c r="E1305" s="47" t="s">
        <v>467</v>
      </c>
      <c r="F1305" s="82" t="s">
        <v>2155</v>
      </c>
      <c r="G1305" s="82"/>
      <c r="H1305" s="334"/>
      <c r="I1305" s="71" t="s">
        <v>2156</v>
      </c>
      <c r="J1305" s="170" t="s">
        <v>140</v>
      </c>
      <c r="K1305" s="101">
        <v>0</v>
      </c>
      <c r="L1305" s="101">
        <v>0</v>
      </c>
      <c r="M1305" s="102">
        <v>65</v>
      </c>
      <c r="N1305" s="103">
        <v>200</v>
      </c>
      <c r="O1305" s="171">
        <v>1</v>
      </c>
      <c r="P1305" s="103">
        <f t="shared" si="217"/>
        <v>200</v>
      </c>
      <c r="Q1305" s="103"/>
      <c r="R1305" s="102">
        <v>200</v>
      </c>
      <c r="S1305" s="102">
        <f t="shared" si="215"/>
        <v>0</v>
      </c>
      <c r="T1305" s="173">
        <f t="shared" si="218"/>
        <v>1329.2307692307693</v>
      </c>
      <c r="U1305" s="101">
        <f t="shared" si="219"/>
        <v>0</v>
      </c>
      <c r="V1305" s="101">
        <f t="shared" si="216"/>
        <v>0</v>
      </c>
      <c r="W1305" s="101">
        <v>0</v>
      </c>
      <c r="X1305" s="55">
        <f t="shared" si="220"/>
        <v>46153.704745370371</v>
      </c>
    </row>
    <row r="1306" spans="1:24" hidden="1" x14ac:dyDescent="0.35">
      <c r="A1306" s="46">
        <f t="shared" si="221"/>
        <v>46153.704745370371</v>
      </c>
      <c r="B1306" s="46"/>
      <c r="C1306" s="46"/>
      <c r="D1306" s="46"/>
      <c r="E1306" s="47" t="s">
        <v>467</v>
      </c>
      <c r="F1306" s="82" t="s">
        <v>1583</v>
      </c>
      <c r="G1306" s="82"/>
      <c r="H1306" s="334" t="s">
        <v>2157</v>
      </c>
      <c r="I1306" s="71" t="s">
        <v>1203</v>
      </c>
      <c r="J1306" s="170" t="s">
        <v>140</v>
      </c>
      <c r="K1306" s="101">
        <v>0</v>
      </c>
      <c r="L1306" s="101">
        <v>0</v>
      </c>
      <c r="M1306" s="102">
        <v>65</v>
      </c>
      <c r="N1306" s="103">
        <v>300</v>
      </c>
      <c r="O1306" s="171">
        <v>1</v>
      </c>
      <c r="P1306" s="103">
        <f t="shared" si="217"/>
        <v>300</v>
      </c>
      <c r="Q1306" s="103"/>
      <c r="R1306" s="102">
        <v>300</v>
      </c>
      <c r="S1306" s="102">
        <f t="shared" si="215"/>
        <v>0</v>
      </c>
      <c r="T1306" s="173">
        <f t="shared" si="218"/>
        <v>1329.2307692307693</v>
      </c>
      <c r="U1306" s="101">
        <f t="shared" si="219"/>
        <v>0</v>
      </c>
      <c r="V1306" s="101">
        <f t="shared" si="216"/>
        <v>0</v>
      </c>
      <c r="W1306" s="101">
        <v>0</v>
      </c>
      <c r="X1306" s="55">
        <f t="shared" si="220"/>
        <v>46153.704745370371</v>
      </c>
    </row>
    <row r="1307" spans="1:24" hidden="1" x14ac:dyDescent="0.35">
      <c r="A1307" s="46">
        <f t="shared" si="221"/>
        <v>46153.704745370371</v>
      </c>
      <c r="B1307" s="46"/>
      <c r="C1307" s="46"/>
      <c r="D1307" s="46"/>
      <c r="E1307" s="47" t="s">
        <v>467</v>
      </c>
      <c r="F1307" s="82" t="s">
        <v>2150</v>
      </c>
      <c r="G1307" s="82"/>
      <c r="H1307" s="334" t="s">
        <v>2158</v>
      </c>
      <c r="I1307" s="71" t="s">
        <v>1207</v>
      </c>
      <c r="J1307" s="170" t="s">
        <v>140</v>
      </c>
      <c r="K1307" s="101">
        <v>0</v>
      </c>
      <c r="L1307" s="101">
        <v>0</v>
      </c>
      <c r="M1307" s="102">
        <v>65</v>
      </c>
      <c r="N1307" s="103">
        <v>200</v>
      </c>
      <c r="O1307" s="171">
        <v>1</v>
      </c>
      <c r="P1307" s="103">
        <f t="shared" si="217"/>
        <v>200</v>
      </c>
      <c r="Q1307" s="103"/>
      <c r="R1307" s="102">
        <v>200</v>
      </c>
      <c r="S1307" s="102">
        <f t="shared" si="215"/>
        <v>0</v>
      </c>
      <c r="T1307" s="173">
        <f t="shared" si="218"/>
        <v>1329.2307692307693</v>
      </c>
      <c r="U1307" s="101">
        <f t="shared" si="219"/>
        <v>0</v>
      </c>
      <c r="V1307" s="101">
        <f t="shared" si="216"/>
        <v>0</v>
      </c>
      <c r="W1307" s="101">
        <v>0</v>
      </c>
      <c r="X1307" s="55">
        <f t="shared" si="220"/>
        <v>46153.704745370371</v>
      </c>
    </row>
    <row r="1308" spans="1:24" hidden="1" x14ac:dyDescent="0.35">
      <c r="A1308" s="46">
        <f t="shared" si="221"/>
        <v>46153.704745370371</v>
      </c>
      <c r="B1308" s="46"/>
      <c r="C1308" s="46"/>
      <c r="D1308" s="46"/>
      <c r="E1308" s="47" t="s">
        <v>467</v>
      </c>
      <c r="F1308" s="82" t="s">
        <v>2150</v>
      </c>
      <c r="G1308" s="82"/>
      <c r="H1308" s="334" t="s">
        <v>2159</v>
      </c>
      <c r="I1308" s="71" t="s">
        <v>354</v>
      </c>
      <c r="J1308" s="170" t="s">
        <v>140</v>
      </c>
      <c r="K1308" s="101">
        <v>0</v>
      </c>
      <c r="L1308" s="101">
        <v>0</v>
      </c>
      <c r="M1308" s="102">
        <v>65</v>
      </c>
      <c r="N1308" s="103">
        <v>200</v>
      </c>
      <c r="O1308" s="171">
        <v>1</v>
      </c>
      <c r="P1308" s="103">
        <f t="shared" si="217"/>
        <v>200</v>
      </c>
      <c r="Q1308" s="103"/>
      <c r="R1308" s="102">
        <v>200</v>
      </c>
      <c r="S1308" s="102">
        <f t="shared" si="215"/>
        <v>0</v>
      </c>
      <c r="T1308" s="173">
        <f t="shared" si="218"/>
        <v>1329.2307692307693</v>
      </c>
      <c r="U1308" s="101">
        <f t="shared" si="219"/>
        <v>0</v>
      </c>
      <c r="V1308" s="101">
        <f t="shared" si="216"/>
        <v>0</v>
      </c>
      <c r="W1308" s="101">
        <v>0</v>
      </c>
      <c r="X1308" s="55">
        <f t="shared" si="220"/>
        <v>46153.704745370371</v>
      </c>
    </row>
    <row r="1309" spans="1:24" ht="39.5" hidden="1" x14ac:dyDescent="0.35">
      <c r="A1309" s="46">
        <f t="shared" si="221"/>
        <v>46153.704745370371</v>
      </c>
      <c r="B1309" s="46"/>
      <c r="C1309" s="46"/>
      <c r="D1309" s="46"/>
      <c r="E1309" s="47" t="s">
        <v>467</v>
      </c>
      <c r="F1309" s="69" t="s">
        <v>1498</v>
      </c>
      <c r="G1309" s="69"/>
      <c r="H1309" s="107" t="s">
        <v>2160</v>
      </c>
      <c r="I1309" s="82" t="s">
        <v>2161</v>
      </c>
      <c r="J1309" s="100" t="s">
        <v>140</v>
      </c>
      <c r="K1309" s="91">
        <v>0</v>
      </c>
      <c r="L1309" s="91">
        <v>0</v>
      </c>
      <c r="M1309" s="92">
        <v>70</v>
      </c>
      <c r="N1309" s="94">
        <v>302</v>
      </c>
      <c r="O1309" s="253">
        <v>1</v>
      </c>
      <c r="P1309" s="94">
        <f t="shared" si="217"/>
        <v>302</v>
      </c>
      <c r="Q1309" s="94"/>
      <c r="R1309" s="92">
        <v>302</v>
      </c>
      <c r="S1309" s="92">
        <f t="shared" si="215"/>
        <v>0</v>
      </c>
      <c r="T1309" s="173">
        <f t="shared" si="218"/>
        <v>1234.2857142857142</v>
      </c>
      <c r="U1309" s="101">
        <f t="shared" si="219"/>
        <v>0</v>
      </c>
      <c r="V1309" s="101">
        <f t="shared" si="216"/>
        <v>0</v>
      </c>
      <c r="W1309" s="101">
        <v>0</v>
      </c>
      <c r="X1309" s="55">
        <f t="shared" si="220"/>
        <v>46153.704745370371</v>
      </c>
    </row>
    <row r="1310" spans="1:24" ht="26.5" hidden="1" x14ac:dyDescent="0.35">
      <c r="A1310" s="46">
        <f t="shared" si="221"/>
        <v>46153.704745370371</v>
      </c>
      <c r="B1310" s="46"/>
      <c r="C1310" s="46"/>
      <c r="D1310" s="46"/>
      <c r="E1310" s="47" t="s">
        <v>467</v>
      </c>
      <c r="F1310" s="82" t="s">
        <v>1808</v>
      </c>
      <c r="G1310" s="82"/>
      <c r="H1310" s="107" t="s">
        <v>2162</v>
      </c>
      <c r="I1310" s="82" t="s">
        <v>198</v>
      </c>
      <c r="J1310" s="100" t="s">
        <v>140</v>
      </c>
      <c r="K1310" s="91">
        <v>0</v>
      </c>
      <c r="L1310" s="91">
        <v>0</v>
      </c>
      <c r="M1310" s="92">
        <v>190</v>
      </c>
      <c r="N1310" s="94">
        <v>1140</v>
      </c>
      <c r="O1310" s="253">
        <v>1</v>
      </c>
      <c r="P1310" s="94">
        <f t="shared" si="217"/>
        <v>1140</v>
      </c>
      <c r="Q1310" s="94"/>
      <c r="R1310" s="92">
        <v>1140</v>
      </c>
      <c r="S1310" s="92">
        <f t="shared" si="215"/>
        <v>0</v>
      </c>
      <c r="T1310" s="173">
        <f t="shared" si="218"/>
        <v>454.73684210526312</v>
      </c>
      <c r="U1310" s="101">
        <f t="shared" si="219"/>
        <v>0</v>
      </c>
      <c r="V1310" s="101">
        <f t="shared" si="216"/>
        <v>0</v>
      </c>
      <c r="W1310" s="110">
        <v>0</v>
      </c>
      <c r="X1310" s="55">
        <f t="shared" si="220"/>
        <v>46153.704745370371</v>
      </c>
    </row>
    <row r="1311" spans="1:24" ht="26.5" hidden="1" x14ac:dyDescent="0.35">
      <c r="A1311" s="46">
        <f t="shared" si="221"/>
        <v>46153.704745370371</v>
      </c>
      <c r="B1311" s="46"/>
      <c r="C1311" s="46"/>
      <c r="D1311" s="46"/>
      <c r="E1311" s="47" t="s">
        <v>467</v>
      </c>
      <c r="F1311" s="97" t="s">
        <v>555</v>
      </c>
      <c r="G1311" s="97"/>
      <c r="H1311" s="98" t="s">
        <v>2163</v>
      </c>
      <c r="I1311" s="97" t="s">
        <v>1051</v>
      </c>
      <c r="J1311" s="51" t="s">
        <v>140</v>
      </c>
      <c r="K1311" s="91">
        <v>0</v>
      </c>
      <c r="L1311" s="91">
        <v>0</v>
      </c>
      <c r="M1311" s="92">
        <v>95</v>
      </c>
      <c r="N1311" s="94">
        <v>1000</v>
      </c>
      <c r="O1311" s="253">
        <v>1</v>
      </c>
      <c r="P1311" s="94">
        <f t="shared" si="217"/>
        <v>1000</v>
      </c>
      <c r="Q1311" s="94"/>
      <c r="R1311" s="92">
        <v>1000</v>
      </c>
      <c r="S1311" s="92">
        <f t="shared" si="215"/>
        <v>0</v>
      </c>
      <c r="T1311" s="254">
        <f t="shared" si="218"/>
        <v>909.47368421052624</v>
      </c>
      <c r="U1311" s="91">
        <f t="shared" si="219"/>
        <v>0</v>
      </c>
      <c r="V1311" s="91">
        <f t="shared" si="216"/>
        <v>0</v>
      </c>
      <c r="W1311" s="91">
        <v>0</v>
      </c>
      <c r="X1311" s="55">
        <f t="shared" si="220"/>
        <v>46153.704745370371</v>
      </c>
    </row>
    <row r="1312" spans="1:24" ht="26.5" hidden="1" x14ac:dyDescent="0.35">
      <c r="A1312" s="46">
        <f t="shared" si="221"/>
        <v>46153.704745370371</v>
      </c>
      <c r="B1312" s="46"/>
      <c r="C1312" s="46"/>
      <c r="D1312" s="46"/>
      <c r="E1312" s="47" t="s">
        <v>467</v>
      </c>
      <c r="F1312" s="97" t="s">
        <v>555</v>
      </c>
      <c r="G1312" s="97"/>
      <c r="H1312" s="98" t="s">
        <v>2164</v>
      </c>
      <c r="I1312" s="97" t="s">
        <v>1049</v>
      </c>
      <c r="J1312" s="51" t="s">
        <v>140</v>
      </c>
      <c r="K1312" s="91">
        <v>0</v>
      </c>
      <c r="L1312" s="91">
        <v>0</v>
      </c>
      <c r="M1312" s="92">
        <v>95</v>
      </c>
      <c r="N1312" s="94">
        <v>500</v>
      </c>
      <c r="O1312" s="253">
        <v>1</v>
      </c>
      <c r="P1312" s="94">
        <f t="shared" si="217"/>
        <v>500</v>
      </c>
      <c r="Q1312" s="94"/>
      <c r="R1312" s="92">
        <v>500</v>
      </c>
      <c r="S1312" s="92">
        <f t="shared" si="215"/>
        <v>0</v>
      </c>
      <c r="T1312" s="254">
        <f t="shared" si="218"/>
        <v>909.47368421052624</v>
      </c>
      <c r="U1312" s="91">
        <f t="shared" si="219"/>
        <v>0</v>
      </c>
      <c r="V1312" s="91">
        <f t="shared" si="216"/>
        <v>0</v>
      </c>
      <c r="W1312" s="91">
        <v>0</v>
      </c>
      <c r="X1312" s="55">
        <f t="shared" si="220"/>
        <v>46153.704745370371</v>
      </c>
    </row>
    <row r="1313" spans="1:24" s="543" customFormat="1" hidden="1" x14ac:dyDescent="0.35">
      <c r="A1313" s="46">
        <f t="shared" si="221"/>
        <v>46153.704745370371</v>
      </c>
      <c r="B1313" s="46"/>
      <c r="C1313" s="46"/>
      <c r="D1313" s="46"/>
      <c r="E1313" s="47" t="s">
        <v>467</v>
      </c>
      <c r="F1313" s="97" t="s">
        <v>271</v>
      </c>
      <c r="G1313" s="97"/>
      <c r="H1313" s="98" t="s">
        <v>2165</v>
      </c>
      <c r="I1313" s="82" t="s">
        <v>470</v>
      </c>
      <c r="J1313" s="100" t="s">
        <v>140</v>
      </c>
      <c r="K1313" s="101">
        <v>0</v>
      </c>
      <c r="L1313" s="101">
        <v>0</v>
      </c>
      <c r="M1313" s="102">
        <v>221</v>
      </c>
      <c r="N1313" s="103">
        <v>10000</v>
      </c>
      <c r="O1313" s="171">
        <v>2</v>
      </c>
      <c r="P1313" s="103">
        <f t="shared" si="217"/>
        <v>5000</v>
      </c>
      <c r="Q1313" s="103"/>
      <c r="R1313" s="102">
        <v>5000</v>
      </c>
      <c r="S1313" s="102">
        <f t="shared" si="215"/>
        <v>0</v>
      </c>
      <c r="T1313" s="173">
        <f t="shared" si="218"/>
        <v>781.90045248868773</v>
      </c>
      <c r="U1313" s="101">
        <f t="shared" si="219"/>
        <v>0</v>
      </c>
      <c r="V1313" s="101">
        <f t="shared" si="216"/>
        <v>0</v>
      </c>
      <c r="W1313" s="91">
        <v>0</v>
      </c>
      <c r="X1313" s="55">
        <f t="shared" si="220"/>
        <v>46153.704745370371</v>
      </c>
    </row>
    <row r="1314" spans="1:24" ht="26.5" hidden="1" x14ac:dyDescent="0.35">
      <c r="A1314" s="46">
        <f t="shared" si="221"/>
        <v>46153.704745370371</v>
      </c>
      <c r="B1314" s="46"/>
      <c r="C1314" s="46"/>
      <c r="D1314" s="46"/>
      <c r="E1314" s="47" t="s">
        <v>1370</v>
      </c>
      <c r="F1314" s="82" t="s">
        <v>1790</v>
      </c>
      <c r="G1314" s="82"/>
      <c r="H1314" s="98" t="s">
        <v>2166</v>
      </c>
      <c r="I1314" s="82" t="s">
        <v>292</v>
      </c>
      <c r="J1314" s="100" t="s">
        <v>140</v>
      </c>
      <c r="K1314" s="91">
        <v>0</v>
      </c>
      <c r="L1314" s="91">
        <v>0</v>
      </c>
      <c r="M1314" s="92">
        <v>120</v>
      </c>
      <c r="N1314" s="94">
        <v>3437</v>
      </c>
      <c r="O1314" s="253">
        <v>2</v>
      </c>
      <c r="P1314" s="94">
        <f t="shared" si="217"/>
        <v>1718.5</v>
      </c>
      <c r="Q1314" s="94"/>
      <c r="R1314" s="92">
        <v>1718</v>
      </c>
      <c r="S1314" s="92">
        <f t="shared" si="215"/>
        <v>0.5</v>
      </c>
      <c r="T1314" s="173">
        <f t="shared" si="218"/>
        <v>1440</v>
      </c>
      <c r="U1314" s="101">
        <f t="shared" si="219"/>
        <v>1.6666666666666666E-2</v>
      </c>
      <c r="V1314" s="101">
        <f t="shared" si="216"/>
        <v>6.9444444444444447E-4</v>
      </c>
      <c r="W1314" s="101">
        <v>0</v>
      </c>
      <c r="X1314" s="55">
        <f t="shared" si="220"/>
        <v>46153.705439814818</v>
      </c>
    </row>
    <row r="1315" spans="1:24" hidden="1" x14ac:dyDescent="0.35">
      <c r="A1315" s="46">
        <f t="shared" si="221"/>
        <v>46153.705439814818</v>
      </c>
      <c r="B1315" s="46"/>
      <c r="C1315" s="46"/>
      <c r="D1315" s="46"/>
      <c r="E1315" s="47" t="s">
        <v>467</v>
      </c>
      <c r="F1315" s="97" t="s">
        <v>271</v>
      </c>
      <c r="G1315" s="97"/>
      <c r="H1315" s="98" t="s">
        <v>2167</v>
      </c>
      <c r="I1315" s="82" t="s">
        <v>470</v>
      </c>
      <c r="J1315" s="100" t="s">
        <v>140</v>
      </c>
      <c r="K1315" s="101">
        <v>0</v>
      </c>
      <c r="L1315" s="101">
        <v>0</v>
      </c>
      <c r="M1315" s="102">
        <v>221</v>
      </c>
      <c r="N1315" s="103">
        <v>5000</v>
      </c>
      <c r="O1315" s="171">
        <v>2</v>
      </c>
      <c r="P1315" s="103">
        <f t="shared" si="217"/>
        <v>2500</v>
      </c>
      <c r="Q1315" s="103"/>
      <c r="R1315" s="102">
        <v>2500</v>
      </c>
      <c r="S1315" s="102">
        <f t="shared" si="215"/>
        <v>0</v>
      </c>
      <c r="T1315" s="173">
        <f t="shared" si="218"/>
        <v>781.90045248868773</v>
      </c>
      <c r="U1315" s="101">
        <f t="shared" si="219"/>
        <v>0</v>
      </c>
      <c r="V1315" s="101">
        <f t="shared" si="216"/>
        <v>0</v>
      </c>
      <c r="W1315" s="91">
        <v>0</v>
      </c>
      <c r="X1315" s="55">
        <f t="shared" si="220"/>
        <v>46153.705439814818</v>
      </c>
    </row>
    <row r="1316" spans="1:24" hidden="1" x14ac:dyDescent="0.35">
      <c r="A1316" s="46">
        <f t="shared" si="221"/>
        <v>46153.705439814818</v>
      </c>
      <c r="B1316" s="46"/>
      <c r="C1316" s="46"/>
      <c r="D1316" s="46"/>
      <c r="E1316" s="47" t="s">
        <v>467</v>
      </c>
      <c r="F1316" s="82" t="s">
        <v>2168</v>
      </c>
      <c r="G1316" s="82"/>
      <c r="H1316" s="334" t="s">
        <v>2169</v>
      </c>
      <c r="I1316" s="71" t="s">
        <v>345</v>
      </c>
      <c r="J1316" s="170" t="s">
        <v>140</v>
      </c>
      <c r="K1316" s="101">
        <v>0</v>
      </c>
      <c r="L1316" s="101">
        <v>0</v>
      </c>
      <c r="M1316" s="102">
        <v>65</v>
      </c>
      <c r="N1316" s="103">
        <v>150</v>
      </c>
      <c r="O1316" s="171">
        <v>1</v>
      </c>
      <c r="P1316" s="103">
        <f t="shared" si="217"/>
        <v>150</v>
      </c>
      <c r="Q1316" s="103"/>
      <c r="R1316" s="102">
        <v>150</v>
      </c>
      <c r="S1316" s="102">
        <f t="shared" si="215"/>
        <v>0</v>
      </c>
      <c r="T1316" s="173">
        <f t="shared" si="218"/>
        <v>1329.2307692307693</v>
      </c>
      <c r="U1316" s="101">
        <f t="shared" si="219"/>
        <v>0</v>
      </c>
      <c r="V1316" s="101">
        <f t="shared" si="216"/>
        <v>0</v>
      </c>
      <c r="W1316" s="101">
        <v>0</v>
      </c>
      <c r="X1316" s="55">
        <f t="shared" si="220"/>
        <v>46153.705439814818</v>
      </c>
    </row>
    <row r="1317" spans="1:24" hidden="1" x14ac:dyDescent="0.35">
      <c r="A1317" s="46">
        <f t="shared" si="221"/>
        <v>46153.705439814818</v>
      </c>
      <c r="B1317" s="46"/>
      <c r="C1317" s="46"/>
      <c r="D1317" s="46"/>
      <c r="E1317" s="47" t="s">
        <v>467</v>
      </c>
      <c r="F1317" s="82" t="s">
        <v>2168</v>
      </c>
      <c r="G1317" s="82"/>
      <c r="H1317" s="334" t="s">
        <v>2170</v>
      </c>
      <c r="I1317" s="71" t="s">
        <v>351</v>
      </c>
      <c r="J1317" s="170" t="s">
        <v>140</v>
      </c>
      <c r="K1317" s="101">
        <v>0</v>
      </c>
      <c r="L1317" s="101">
        <v>0</v>
      </c>
      <c r="M1317" s="102">
        <v>65</v>
      </c>
      <c r="N1317" s="103">
        <v>500</v>
      </c>
      <c r="O1317" s="171">
        <v>1</v>
      </c>
      <c r="P1317" s="103">
        <f t="shared" si="217"/>
        <v>500</v>
      </c>
      <c r="Q1317" s="103"/>
      <c r="R1317" s="102">
        <v>500</v>
      </c>
      <c r="S1317" s="102">
        <f t="shared" si="215"/>
        <v>0</v>
      </c>
      <c r="T1317" s="173">
        <f t="shared" si="218"/>
        <v>1329.2307692307693</v>
      </c>
      <c r="U1317" s="101">
        <f t="shared" si="219"/>
        <v>0</v>
      </c>
      <c r="V1317" s="101">
        <f t="shared" si="216"/>
        <v>0</v>
      </c>
      <c r="W1317" s="101">
        <v>0</v>
      </c>
      <c r="X1317" s="55">
        <f t="shared" si="220"/>
        <v>46153.705439814818</v>
      </c>
    </row>
    <row r="1318" spans="1:24" hidden="1" x14ac:dyDescent="0.35">
      <c r="A1318" s="46">
        <f t="shared" si="221"/>
        <v>46153.705439814818</v>
      </c>
      <c r="B1318" s="46"/>
      <c r="C1318" s="46"/>
      <c r="D1318" s="46"/>
      <c r="E1318" s="47" t="s">
        <v>467</v>
      </c>
      <c r="F1318" s="82" t="s">
        <v>2168</v>
      </c>
      <c r="G1318" s="82"/>
      <c r="H1318" s="334" t="s">
        <v>2171</v>
      </c>
      <c r="I1318" s="71" t="s">
        <v>1207</v>
      </c>
      <c r="J1318" s="170" t="s">
        <v>140</v>
      </c>
      <c r="K1318" s="101">
        <v>0</v>
      </c>
      <c r="L1318" s="101">
        <v>0</v>
      </c>
      <c r="M1318" s="102">
        <v>65</v>
      </c>
      <c r="N1318" s="103">
        <v>100</v>
      </c>
      <c r="O1318" s="171">
        <v>1</v>
      </c>
      <c r="P1318" s="103">
        <f t="shared" si="217"/>
        <v>100</v>
      </c>
      <c r="Q1318" s="103"/>
      <c r="R1318" s="102">
        <v>100</v>
      </c>
      <c r="S1318" s="102">
        <f t="shared" si="215"/>
        <v>0</v>
      </c>
      <c r="T1318" s="173">
        <f t="shared" si="218"/>
        <v>1329.2307692307693</v>
      </c>
      <c r="U1318" s="101">
        <f t="shared" si="219"/>
        <v>0</v>
      </c>
      <c r="V1318" s="101">
        <f t="shared" si="216"/>
        <v>0</v>
      </c>
      <c r="W1318" s="101">
        <v>0</v>
      </c>
      <c r="X1318" s="55">
        <f t="shared" si="220"/>
        <v>46153.705439814818</v>
      </c>
    </row>
    <row r="1319" spans="1:24" ht="26.5" hidden="1" x14ac:dyDescent="0.35">
      <c r="A1319" s="46">
        <f t="shared" si="221"/>
        <v>46153.705439814818</v>
      </c>
      <c r="B1319" s="46"/>
      <c r="C1319" s="46"/>
      <c r="D1319" s="46"/>
      <c r="E1319" s="47" t="s">
        <v>467</v>
      </c>
      <c r="F1319" s="69" t="s">
        <v>257</v>
      </c>
      <c r="G1319" s="69"/>
      <c r="H1319" s="98" t="s">
        <v>2172</v>
      </c>
      <c r="I1319" s="71" t="s">
        <v>4228</v>
      </c>
      <c r="J1319" s="51" t="s">
        <v>140</v>
      </c>
      <c r="K1319" s="91">
        <v>0</v>
      </c>
      <c r="L1319" s="91">
        <v>0</v>
      </c>
      <c r="M1319" s="92">
        <v>90</v>
      </c>
      <c r="N1319" s="94">
        <v>250</v>
      </c>
      <c r="O1319" s="253">
        <v>1</v>
      </c>
      <c r="P1319" s="94">
        <f t="shared" si="217"/>
        <v>250</v>
      </c>
      <c r="Q1319" s="94"/>
      <c r="R1319" s="92">
        <v>250</v>
      </c>
      <c r="S1319" s="92">
        <f t="shared" si="215"/>
        <v>0</v>
      </c>
      <c r="T1319" s="254">
        <f t="shared" si="218"/>
        <v>960</v>
      </c>
      <c r="U1319" s="91">
        <f t="shared" si="219"/>
        <v>0</v>
      </c>
      <c r="V1319" s="91">
        <f t="shared" si="216"/>
        <v>0</v>
      </c>
      <c r="W1319" s="101">
        <v>0</v>
      </c>
      <c r="X1319" s="55">
        <f t="shared" si="220"/>
        <v>46153.705439814818</v>
      </c>
    </row>
    <row r="1320" spans="1:24" ht="26.5" hidden="1" x14ac:dyDescent="0.35">
      <c r="A1320" s="46">
        <f t="shared" si="221"/>
        <v>46153.705439814818</v>
      </c>
      <c r="B1320" s="46"/>
      <c r="C1320" s="46"/>
      <c r="D1320" s="46"/>
      <c r="E1320" s="47" t="s">
        <v>467</v>
      </c>
      <c r="F1320" s="69" t="s">
        <v>257</v>
      </c>
      <c r="G1320" s="69"/>
      <c r="H1320" s="98" t="s">
        <v>2173</v>
      </c>
      <c r="I1320" s="71" t="s">
        <v>4229</v>
      </c>
      <c r="J1320" s="51" t="s">
        <v>140</v>
      </c>
      <c r="K1320" s="91">
        <v>0</v>
      </c>
      <c r="L1320" s="91">
        <v>0</v>
      </c>
      <c r="M1320" s="92">
        <v>90</v>
      </c>
      <c r="N1320" s="94">
        <v>250</v>
      </c>
      <c r="O1320" s="253">
        <v>1</v>
      </c>
      <c r="P1320" s="94">
        <f t="shared" si="217"/>
        <v>250</v>
      </c>
      <c r="Q1320" s="94"/>
      <c r="R1320" s="92">
        <v>250</v>
      </c>
      <c r="S1320" s="92">
        <f t="shared" ref="S1320:S1364" si="222">P1320-R1320</f>
        <v>0</v>
      </c>
      <c r="T1320" s="254">
        <f t="shared" si="218"/>
        <v>960</v>
      </c>
      <c r="U1320" s="91">
        <f t="shared" si="219"/>
        <v>0</v>
      </c>
      <c r="V1320" s="91">
        <f t="shared" ref="V1320:V1355" si="223">(P1320-R1320)*M1320/3600/24</f>
        <v>0</v>
      </c>
      <c r="W1320" s="101">
        <v>0</v>
      </c>
      <c r="X1320" s="55">
        <f t="shared" si="220"/>
        <v>46153.705439814818</v>
      </c>
    </row>
    <row r="1321" spans="1:24" ht="26.5" hidden="1" x14ac:dyDescent="0.35">
      <c r="A1321" s="46">
        <f t="shared" si="221"/>
        <v>46153.705439814818</v>
      </c>
      <c r="B1321" s="46"/>
      <c r="C1321" s="46"/>
      <c r="D1321" s="46"/>
      <c r="E1321" s="47" t="s">
        <v>467</v>
      </c>
      <c r="F1321" s="82" t="s">
        <v>215</v>
      </c>
      <c r="G1321" s="82"/>
      <c r="H1321" s="98" t="s">
        <v>2174</v>
      </c>
      <c r="I1321" s="333" t="s">
        <v>1051</v>
      </c>
      <c r="J1321" s="100" t="s">
        <v>140</v>
      </c>
      <c r="K1321" s="91">
        <v>0</v>
      </c>
      <c r="L1321" s="91">
        <v>0</v>
      </c>
      <c r="M1321" s="92">
        <v>95</v>
      </c>
      <c r="N1321" s="94">
        <v>1000</v>
      </c>
      <c r="O1321" s="253">
        <v>1</v>
      </c>
      <c r="P1321" s="94">
        <f t="shared" si="217"/>
        <v>1000</v>
      </c>
      <c r="Q1321" s="94"/>
      <c r="R1321" s="92">
        <v>1000</v>
      </c>
      <c r="S1321" s="92">
        <f t="shared" si="222"/>
        <v>0</v>
      </c>
      <c r="T1321" s="173">
        <f t="shared" si="218"/>
        <v>909.47368421052624</v>
      </c>
      <c r="U1321" s="101">
        <f t="shared" si="219"/>
        <v>0</v>
      </c>
      <c r="V1321" s="101">
        <f t="shared" si="223"/>
        <v>0</v>
      </c>
      <c r="W1321" s="101">
        <v>0</v>
      </c>
      <c r="X1321" s="55">
        <f t="shared" si="220"/>
        <v>46153.705439814818</v>
      </c>
    </row>
    <row r="1322" spans="1:24" ht="26.5" hidden="1" x14ac:dyDescent="0.35">
      <c r="A1322" s="46">
        <f t="shared" si="221"/>
        <v>46153.705439814818</v>
      </c>
      <c r="B1322" s="46"/>
      <c r="C1322" s="46"/>
      <c r="D1322" s="46"/>
      <c r="E1322" s="47" t="s">
        <v>467</v>
      </c>
      <c r="F1322" s="82" t="s">
        <v>215</v>
      </c>
      <c r="G1322" s="82"/>
      <c r="H1322" s="98" t="s">
        <v>2175</v>
      </c>
      <c r="I1322" s="333" t="s">
        <v>1049</v>
      </c>
      <c r="J1322" s="100" t="s">
        <v>140</v>
      </c>
      <c r="K1322" s="91">
        <v>0</v>
      </c>
      <c r="L1322" s="91">
        <v>0</v>
      </c>
      <c r="M1322" s="92">
        <v>95</v>
      </c>
      <c r="N1322" s="94">
        <v>500</v>
      </c>
      <c r="O1322" s="253">
        <v>1</v>
      </c>
      <c r="P1322" s="94">
        <f t="shared" si="217"/>
        <v>500</v>
      </c>
      <c r="Q1322" s="94"/>
      <c r="R1322" s="92">
        <v>500</v>
      </c>
      <c r="S1322" s="92">
        <f t="shared" si="222"/>
        <v>0</v>
      </c>
      <c r="T1322" s="173">
        <f t="shared" si="218"/>
        <v>909.47368421052624</v>
      </c>
      <c r="U1322" s="101">
        <f t="shared" si="219"/>
        <v>0</v>
      </c>
      <c r="V1322" s="101">
        <f t="shared" si="223"/>
        <v>0</v>
      </c>
      <c r="W1322" s="101">
        <v>0</v>
      </c>
      <c r="X1322" s="55">
        <f t="shared" si="220"/>
        <v>46153.705439814818</v>
      </c>
    </row>
    <row r="1323" spans="1:24" ht="26.5" hidden="1" x14ac:dyDescent="0.35">
      <c r="A1323" s="46">
        <f t="shared" si="221"/>
        <v>46153.705439814818</v>
      </c>
      <c r="B1323" s="46"/>
      <c r="C1323" s="46"/>
      <c r="D1323" s="46"/>
      <c r="E1323" s="47" t="s">
        <v>467</v>
      </c>
      <c r="F1323" s="82" t="s">
        <v>215</v>
      </c>
      <c r="G1323" s="82"/>
      <c r="H1323" s="98" t="s">
        <v>2176</v>
      </c>
      <c r="I1323" s="333" t="s">
        <v>2177</v>
      </c>
      <c r="J1323" s="100" t="s">
        <v>140</v>
      </c>
      <c r="K1323" s="91">
        <v>0</v>
      </c>
      <c r="L1323" s="91">
        <v>0</v>
      </c>
      <c r="M1323" s="92">
        <v>95</v>
      </c>
      <c r="N1323" s="94">
        <v>1000</v>
      </c>
      <c r="O1323" s="253">
        <v>1</v>
      </c>
      <c r="P1323" s="94">
        <f t="shared" si="217"/>
        <v>1000</v>
      </c>
      <c r="Q1323" s="94"/>
      <c r="R1323" s="92">
        <v>1000</v>
      </c>
      <c r="S1323" s="92">
        <f t="shared" si="222"/>
        <v>0</v>
      </c>
      <c r="T1323" s="173">
        <f t="shared" si="218"/>
        <v>909.47368421052624</v>
      </c>
      <c r="U1323" s="101">
        <f t="shared" si="219"/>
        <v>0</v>
      </c>
      <c r="V1323" s="101">
        <f t="shared" si="223"/>
        <v>0</v>
      </c>
      <c r="W1323" s="101">
        <v>0</v>
      </c>
      <c r="X1323" s="55">
        <f t="shared" si="220"/>
        <v>46153.705439814818</v>
      </c>
    </row>
    <row r="1324" spans="1:24" hidden="1" x14ac:dyDescent="0.35">
      <c r="A1324" s="46">
        <f t="shared" si="221"/>
        <v>46153.705439814818</v>
      </c>
      <c r="B1324" s="46"/>
      <c r="C1324" s="46"/>
      <c r="D1324" s="46"/>
      <c r="E1324" s="119" t="s">
        <v>467</v>
      </c>
      <c r="F1324" s="82" t="s">
        <v>2178</v>
      </c>
      <c r="G1324" s="82"/>
      <c r="H1324" s="98" t="s">
        <v>2179</v>
      </c>
      <c r="I1324" s="82" t="s">
        <v>716</v>
      </c>
      <c r="J1324" s="100" t="s">
        <v>140</v>
      </c>
      <c r="K1324" s="101">
        <v>0</v>
      </c>
      <c r="L1324" s="101">
        <v>0</v>
      </c>
      <c r="M1324" s="102">
        <v>85</v>
      </c>
      <c r="N1324" s="103">
        <v>2300</v>
      </c>
      <c r="O1324" s="171">
        <v>1</v>
      </c>
      <c r="P1324" s="103">
        <f t="shared" si="217"/>
        <v>2300</v>
      </c>
      <c r="Q1324" s="103"/>
      <c r="R1324" s="102">
        <v>2300</v>
      </c>
      <c r="S1324" s="102">
        <f t="shared" si="222"/>
        <v>0</v>
      </c>
      <c r="T1324" s="173">
        <f t="shared" si="218"/>
        <v>1016.4705882352941</v>
      </c>
      <c r="U1324" s="101">
        <f t="shared" si="219"/>
        <v>0</v>
      </c>
      <c r="V1324" s="101">
        <f t="shared" si="223"/>
        <v>0</v>
      </c>
      <c r="W1324" s="101">
        <v>0</v>
      </c>
      <c r="X1324" s="55">
        <f t="shared" si="220"/>
        <v>46153.705439814818</v>
      </c>
    </row>
    <row r="1325" spans="1:24" hidden="1" x14ac:dyDescent="0.35">
      <c r="A1325" s="46">
        <f t="shared" si="221"/>
        <v>46153.705439814818</v>
      </c>
      <c r="B1325" s="46"/>
      <c r="C1325" s="46"/>
      <c r="D1325" s="46"/>
      <c r="E1325" s="119" t="s">
        <v>467</v>
      </c>
      <c r="F1325" s="97" t="s">
        <v>2180</v>
      </c>
      <c r="G1325" s="97"/>
      <c r="H1325" s="98" t="s">
        <v>2181</v>
      </c>
      <c r="I1325" s="99" t="s">
        <v>2117</v>
      </c>
      <c r="J1325" s="100" t="s">
        <v>140</v>
      </c>
      <c r="K1325" s="101">
        <v>0</v>
      </c>
      <c r="L1325" s="101">
        <v>0</v>
      </c>
      <c r="M1325" s="102">
        <v>100</v>
      </c>
      <c r="N1325" s="103">
        <v>2200</v>
      </c>
      <c r="O1325" s="171">
        <v>1</v>
      </c>
      <c r="P1325" s="103">
        <f t="shared" si="217"/>
        <v>2200</v>
      </c>
      <c r="Q1325" s="103"/>
      <c r="R1325" s="102">
        <v>2200</v>
      </c>
      <c r="S1325" s="102">
        <f t="shared" si="222"/>
        <v>0</v>
      </c>
      <c r="T1325" s="173">
        <f t="shared" si="218"/>
        <v>864</v>
      </c>
      <c r="U1325" s="101">
        <f t="shared" si="219"/>
        <v>0</v>
      </c>
      <c r="V1325" s="101">
        <f t="shared" si="223"/>
        <v>0</v>
      </c>
      <c r="W1325" s="101">
        <v>0</v>
      </c>
      <c r="X1325" s="55">
        <f t="shared" si="220"/>
        <v>46153.705439814818</v>
      </c>
    </row>
    <row r="1326" spans="1:24" hidden="1" x14ac:dyDescent="0.35">
      <c r="A1326" s="46">
        <f t="shared" si="221"/>
        <v>46153.705439814818</v>
      </c>
      <c r="B1326" s="46"/>
      <c r="C1326" s="46"/>
      <c r="D1326" s="46"/>
      <c r="E1326" s="47" t="s">
        <v>467</v>
      </c>
      <c r="F1326" s="97" t="s">
        <v>271</v>
      </c>
      <c r="G1326" s="97"/>
      <c r="H1326" s="98" t="s">
        <v>2182</v>
      </c>
      <c r="I1326" s="82" t="s">
        <v>470</v>
      </c>
      <c r="J1326" s="100" t="s">
        <v>140</v>
      </c>
      <c r="K1326" s="101">
        <v>0</v>
      </c>
      <c r="L1326" s="101">
        <v>0</v>
      </c>
      <c r="M1326" s="102">
        <v>221</v>
      </c>
      <c r="N1326" s="103">
        <v>8000</v>
      </c>
      <c r="O1326" s="171">
        <v>2</v>
      </c>
      <c r="P1326" s="103">
        <f t="shared" si="217"/>
        <v>4000</v>
      </c>
      <c r="Q1326" s="103"/>
      <c r="R1326" s="102">
        <v>4000</v>
      </c>
      <c r="S1326" s="102">
        <f t="shared" si="222"/>
        <v>0</v>
      </c>
      <c r="T1326" s="173">
        <f t="shared" si="218"/>
        <v>781.90045248868773</v>
      </c>
      <c r="U1326" s="101">
        <f t="shared" si="219"/>
        <v>0</v>
      </c>
      <c r="V1326" s="101">
        <f t="shared" si="223"/>
        <v>0</v>
      </c>
      <c r="W1326" s="91">
        <v>0</v>
      </c>
      <c r="X1326" s="55">
        <f t="shared" si="220"/>
        <v>46153.705439814818</v>
      </c>
    </row>
    <row r="1327" spans="1:24" hidden="1" x14ac:dyDescent="0.35">
      <c r="A1327" s="46">
        <f t="shared" si="221"/>
        <v>46153.705439814818</v>
      </c>
      <c r="B1327" s="46"/>
      <c r="C1327" s="46"/>
      <c r="D1327" s="46"/>
      <c r="E1327" s="47" t="s">
        <v>467</v>
      </c>
      <c r="F1327" s="97" t="s">
        <v>773</v>
      </c>
      <c r="G1327" s="82" t="s">
        <v>315</v>
      </c>
      <c r="H1327" s="98" t="s">
        <v>2183</v>
      </c>
      <c r="I1327" s="82" t="s">
        <v>470</v>
      </c>
      <c r="J1327" s="100" t="s">
        <v>140</v>
      </c>
      <c r="K1327" s="101">
        <v>0</v>
      </c>
      <c r="L1327" s="101">
        <v>0</v>
      </c>
      <c r="M1327" s="102">
        <v>221</v>
      </c>
      <c r="N1327" s="103">
        <v>4800</v>
      </c>
      <c r="O1327" s="171">
        <v>2</v>
      </c>
      <c r="P1327" s="103">
        <f t="shared" si="217"/>
        <v>2400</v>
      </c>
      <c r="Q1327" s="103"/>
      <c r="R1327" s="102">
        <v>2400</v>
      </c>
      <c r="S1327" s="102">
        <f t="shared" si="222"/>
        <v>0</v>
      </c>
      <c r="T1327" s="173">
        <f t="shared" si="218"/>
        <v>781.90045248868773</v>
      </c>
      <c r="U1327" s="101">
        <f t="shared" si="219"/>
        <v>0</v>
      </c>
      <c r="V1327" s="101">
        <f t="shared" si="223"/>
        <v>0</v>
      </c>
      <c r="W1327" s="91">
        <v>0</v>
      </c>
      <c r="X1327" s="55">
        <f t="shared" si="220"/>
        <v>46153.705439814818</v>
      </c>
    </row>
    <row r="1328" spans="1:24" hidden="1" x14ac:dyDescent="0.35">
      <c r="A1328" s="123">
        <f t="shared" si="221"/>
        <v>46153.705439814818</v>
      </c>
      <c r="B1328" s="123"/>
      <c r="C1328" s="123"/>
      <c r="D1328" s="123"/>
      <c r="E1328" s="124" t="s">
        <v>467</v>
      </c>
      <c r="F1328" s="125" t="s">
        <v>773</v>
      </c>
      <c r="G1328" s="159" t="s">
        <v>327</v>
      </c>
      <c r="H1328" s="126" t="s">
        <v>2183</v>
      </c>
      <c r="I1328" s="159" t="s">
        <v>470</v>
      </c>
      <c r="J1328" s="175" t="s">
        <v>140</v>
      </c>
      <c r="K1328" s="163">
        <v>0</v>
      </c>
      <c r="L1328" s="163">
        <v>0</v>
      </c>
      <c r="M1328" s="164">
        <v>221</v>
      </c>
      <c r="N1328" s="165">
        <v>4080</v>
      </c>
      <c r="O1328" s="166">
        <v>2</v>
      </c>
      <c r="P1328" s="165">
        <f t="shared" si="217"/>
        <v>2040</v>
      </c>
      <c r="Q1328" s="165"/>
      <c r="R1328" s="176">
        <v>2040</v>
      </c>
      <c r="S1328" s="164">
        <f t="shared" si="222"/>
        <v>0</v>
      </c>
      <c r="T1328" s="168">
        <f t="shared" si="218"/>
        <v>781.90045248868773</v>
      </c>
      <c r="U1328" s="163">
        <f t="shared" si="219"/>
        <v>0</v>
      </c>
      <c r="V1328" s="163">
        <f t="shared" si="223"/>
        <v>0</v>
      </c>
      <c r="W1328" s="129">
        <v>0</v>
      </c>
      <c r="X1328" s="137">
        <f t="shared" si="220"/>
        <v>46153.705439814818</v>
      </c>
    </row>
    <row r="1329" spans="1:24" hidden="1" x14ac:dyDescent="0.35">
      <c r="A1329" s="123">
        <f t="shared" si="221"/>
        <v>46153.705439814818</v>
      </c>
      <c r="B1329" s="123"/>
      <c r="C1329" s="123"/>
      <c r="D1329" s="123"/>
      <c r="E1329" s="124" t="s">
        <v>467</v>
      </c>
      <c r="F1329" s="125" t="s">
        <v>2184</v>
      </c>
      <c r="G1329" s="159" t="s">
        <v>327</v>
      </c>
      <c r="H1329" s="126" t="s">
        <v>2185</v>
      </c>
      <c r="I1329" s="159" t="s">
        <v>470</v>
      </c>
      <c r="J1329" s="175" t="s">
        <v>140</v>
      </c>
      <c r="K1329" s="163">
        <v>0</v>
      </c>
      <c r="L1329" s="163">
        <v>0</v>
      </c>
      <c r="M1329" s="164">
        <v>221</v>
      </c>
      <c r="N1329" s="165">
        <f>4080-1918</f>
        <v>2162</v>
      </c>
      <c r="O1329" s="166">
        <v>2</v>
      </c>
      <c r="P1329" s="165">
        <f t="shared" si="217"/>
        <v>1081</v>
      </c>
      <c r="Q1329" s="165"/>
      <c r="R1329" s="176">
        <v>1081</v>
      </c>
      <c r="S1329" s="164">
        <f t="shared" si="222"/>
        <v>0</v>
      </c>
      <c r="T1329" s="168">
        <f t="shared" si="218"/>
        <v>781.90045248868773</v>
      </c>
      <c r="U1329" s="163">
        <f t="shared" si="219"/>
        <v>0</v>
      </c>
      <c r="V1329" s="163">
        <f t="shared" si="223"/>
        <v>0</v>
      </c>
      <c r="W1329" s="129">
        <v>0</v>
      </c>
      <c r="X1329" s="137">
        <f t="shared" si="220"/>
        <v>46153.705439814818</v>
      </c>
    </row>
    <row r="1330" spans="1:24" s="118" customFormat="1" hidden="1" x14ac:dyDescent="0.35">
      <c r="A1330" s="138">
        <f t="shared" si="221"/>
        <v>46153.705439814818</v>
      </c>
      <c r="B1330" s="138"/>
      <c r="C1330" s="138"/>
      <c r="D1330" s="138"/>
      <c r="E1330" s="139" t="s">
        <v>467</v>
      </c>
      <c r="F1330" s="140" t="s">
        <v>271</v>
      </c>
      <c r="G1330" s="151" t="s">
        <v>327</v>
      </c>
      <c r="H1330" s="152" t="s">
        <v>2186</v>
      </c>
      <c r="I1330" s="140" t="s">
        <v>377</v>
      </c>
      <c r="J1330" s="143" t="s">
        <v>140</v>
      </c>
      <c r="K1330" s="149">
        <v>0</v>
      </c>
      <c r="L1330" s="149">
        <v>0</v>
      </c>
      <c r="M1330" s="148">
        <v>67</v>
      </c>
      <c r="N1330" s="155">
        <v>420</v>
      </c>
      <c r="O1330" s="156">
        <v>1</v>
      </c>
      <c r="P1330" s="155">
        <f t="shared" ref="P1330:P1364" si="224">N1330/O1330</f>
        <v>420</v>
      </c>
      <c r="Q1330" s="155"/>
      <c r="R1330" s="544">
        <v>420</v>
      </c>
      <c r="S1330" s="148">
        <f t="shared" si="222"/>
        <v>0</v>
      </c>
      <c r="T1330" s="157">
        <f t="shared" si="218"/>
        <v>1289.5522388059703</v>
      </c>
      <c r="U1330" s="149">
        <f t="shared" si="219"/>
        <v>0</v>
      </c>
      <c r="V1330" s="149">
        <f t="shared" si="223"/>
        <v>0</v>
      </c>
      <c r="W1330" s="149">
        <v>0</v>
      </c>
      <c r="X1330" s="150">
        <f t="shared" si="220"/>
        <v>46153.705439814818</v>
      </c>
    </row>
    <row r="1331" spans="1:24" s="118" customFormat="1" hidden="1" x14ac:dyDescent="0.35">
      <c r="A1331" s="138">
        <f t="shared" si="221"/>
        <v>46153.705439814818</v>
      </c>
      <c r="B1331" s="138"/>
      <c r="C1331" s="138"/>
      <c r="D1331" s="138"/>
      <c r="E1331" s="139" t="s">
        <v>467</v>
      </c>
      <c r="F1331" s="140" t="s">
        <v>271</v>
      </c>
      <c r="G1331" s="151" t="s">
        <v>327</v>
      </c>
      <c r="H1331" s="152" t="s">
        <v>2187</v>
      </c>
      <c r="I1331" s="140" t="s">
        <v>2188</v>
      </c>
      <c r="J1331" s="143" t="s">
        <v>140</v>
      </c>
      <c r="K1331" s="149">
        <v>0</v>
      </c>
      <c r="L1331" s="149">
        <v>0.2</v>
      </c>
      <c r="M1331" s="148">
        <v>67</v>
      </c>
      <c r="N1331" s="155">
        <v>210</v>
      </c>
      <c r="O1331" s="156">
        <v>1</v>
      </c>
      <c r="P1331" s="155">
        <f t="shared" si="224"/>
        <v>210</v>
      </c>
      <c r="Q1331" s="155"/>
      <c r="R1331" s="544">
        <v>210</v>
      </c>
      <c r="S1331" s="148">
        <f t="shared" si="222"/>
        <v>0</v>
      </c>
      <c r="T1331" s="157">
        <f t="shared" si="218"/>
        <v>1289.5522388059703</v>
      </c>
      <c r="U1331" s="149">
        <f t="shared" si="219"/>
        <v>0</v>
      </c>
      <c r="V1331" s="149">
        <f t="shared" si="223"/>
        <v>0</v>
      </c>
      <c r="W1331" s="149">
        <v>0</v>
      </c>
      <c r="X1331" s="150">
        <f t="shared" si="220"/>
        <v>46153.905439814815</v>
      </c>
    </row>
    <row r="1332" spans="1:24" s="118" customFormat="1" hidden="1" x14ac:dyDescent="0.35">
      <c r="A1332" s="123">
        <f t="shared" si="221"/>
        <v>46153.905439814815</v>
      </c>
      <c r="B1332" s="123"/>
      <c r="C1332" s="123"/>
      <c r="D1332" s="123"/>
      <c r="E1332" s="158" t="s">
        <v>467</v>
      </c>
      <c r="F1332" s="159" t="s">
        <v>271</v>
      </c>
      <c r="G1332" s="160" t="s">
        <v>327</v>
      </c>
      <c r="H1332" s="126" t="s">
        <v>2189</v>
      </c>
      <c r="I1332" s="159" t="s">
        <v>400</v>
      </c>
      <c r="J1332" s="175" t="s">
        <v>140</v>
      </c>
      <c r="K1332" s="163">
        <v>0</v>
      </c>
      <c r="L1332" s="163">
        <v>0</v>
      </c>
      <c r="M1332" s="164">
        <v>67</v>
      </c>
      <c r="N1332" s="165">
        <v>1470</v>
      </c>
      <c r="O1332" s="166">
        <v>1</v>
      </c>
      <c r="P1332" s="165">
        <f t="shared" si="224"/>
        <v>1470</v>
      </c>
      <c r="Q1332" s="165"/>
      <c r="R1332" s="176">
        <v>1470</v>
      </c>
      <c r="S1332" s="164">
        <f t="shared" si="222"/>
        <v>0</v>
      </c>
      <c r="T1332" s="168">
        <f t="shared" si="218"/>
        <v>1289.5522388059703</v>
      </c>
      <c r="U1332" s="163">
        <f t="shared" si="219"/>
        <v>0</v>
      </c>
      <c r="V1332" s="163">
        <f t="shared" si="223"/>
        <v>0</v>
      </c>
      <c r="W1332" s="163">
        <v>0</v>
      </c>
      <c r="X1332" s="137">
        <f t="shared" si="220"/>
        <v>46153.905439814815</v>
      </c>
    </row>
    <row r="1333" spans="1:24" hidden="1" x14ac:dyDescent="0.35">
      <c r="A1333" s="123">
        <f t="shared" si="221"/>
        <v>46153.905439814815</v>
      </c>
      <c r="B1333" s="123"/>
      <c r="C1333" s="123"/>
      <c r="D1333" s="123"/>
      <c r="E1333" s="158" t="s">
        <v>467</v>
      </c>
      <c r="F1333" s="125" t="s">
        <v>2190</v>
      </c>
      <c r="G1333" s="160" t="s">
        <v>327</v>
      </c>
      <c r="H1333" s="126" t="s">
        <v>2191</v>
      </c>
      <c r="I1333" s="159" t="s">
        <v>400</v>
      </c>
      <c r="J1333" s="175" t="s">
        <v>140</v>
      </c>
      <c r="K1333" s="163">
        <v>0</v>
      </c>
      <c r="L1333" s="163">
        <v>0</v>
      </c>
      <c r="M1333" s="164">
        <v>67</v>
      </c>
      <c r="N1333" s="165">
        <v>1260</v>
      </c>
      <c r="O1333" s="166">
        <v>1</v>
      </c>
      <c r="P1333" s="165">
        <f t="shared" si="224"/>
        <v>1260</v>
      </c>
      <c r="Q1333" s="165"/>
      <c r="R1333" s="176">
        <v>1260</v>
      </c>
      <c r="S1333" s="164">
        <f t="shared" si="222"/>
        <v>0</v>
      </c>
      <c r="T1333" s="168">
        <f t="shared" si="218"/>
        <v>1289.5522388059703</v>
      </c>
      <c r="U1333" s="163">
        <f t="shared" si="219"/>
        <v>0</v>
      </c>
      <c r="V1333" s="163">
        <f t="shared" si="223"/>
        <v>0</v>
      </c>
      <c r="W1333" s="163">
        <v>0</v>
      </c>
      <c r="X1333" s="137">
        <f t="shared" si="220"/>
        <v>46153.905439814815</v>
      </c>
    </row>
    <row r="1334" spans="1:24" s="118" customFormat="1" hidden="1" x14ac:dyDescent="0.35">
      <c r="A1334" s="46">
        <f t="shared" si="221"/>
        <v>46153.905439814815</v>
      </c>
      <c r="B1334" s="46"/>
      <c r="C1334" s="46"/>
      <c r="D1334" s="46"/>
      <c r="E1334" s="119" t="s">
        <v>467</v>
      </c>
      <c r="F1334" s="82" t="s">
        <v>271</v>
      </c>
      <c r="G1334" s="69" t="s">
        <v>327</v>
      </c>
      <c r="H1334" s="98" t="s">
        <v>2192</v>
      </c>
      <c r="I1334" s="82" t="s">
        <v>191</v>
      </c>
      <c r="J1334" s="100" t="s">
        <v>140</v>
      </c>
      <c r="K1334" s="101">
        <v>0</v>
      </c>
      <c r="L1334" s="101">
        <v>0</v>
      </c>
      <c r="M1334" s="102">
        <v>67</v>
      </c>
      <c r="N1334" s="103">
        <v>2100</v>
      </c>
      <c r="O1334" s="171">
        <v>1</v>
      </c>
      <c r="P1334" s="103">
        <f t="shared" si="224"/>
        <v>2100</v>
      </c>
      <c r="Q1334" s="103"/>
      <c r="R1334" s="182">
        <v>2100</v>
      </c>
      <c r="S1334" s="102">
        <f t="shared" si="222"/>
        <v>0</v>
      </c>
      <c r="T1334" s="173">
        <f t="shared" si="218"/>
        <v>1289.5522388059703</v>
      </c>
      <c r="U1334" s="101">
        <f t="shared" si="219"/>
        <v>0</v>
      </c>
      <c r="V1334" s="101">
        <f t="shared" si="223"/>
        <v>0</v>
      </c>
      <c r="W1334" s="101">
        <v>0</v>
      </c>
      <c r="X1334" s="55">
        <f t="shared" si="220"/>
        <v>46153.905439814815</v>
      </c>
    </row>
    <row r="1335" spans="1:24" ht="26.5" hidden="1" x14ac:dyDescent="0.35">
      <c r="A1335" s="123">
        <f t="shared" si="221"/>
        <v>46153.905439814815</v>
      </c>
      <c r="B1335" s="123"/>
      <c r="C1335" s="123"/>
      <c r="D1335" s="123"/>
      <c r="E1335" s="158" t="s">
        <v>467</v>
      </c>
      <c r="F1335" s="125" t="s">
        <v>2190</v>
      </c>
      <c r="G1335" s="125" t="s">
        <v>2193</v>
      </c>
      <c r="H1335" s="126" t="s">
        <v>2194</v>
      </c>
      <c r="I1335" s="159" t="s">
        <v>191</v>
      </c>
      <c r="J1335" s="175" t="s">
        <v>140</v>
      </c>
      <c r="K1335" s="163">
        <v>0</v>
      </c>
      <c r="L1335" s="163">
        <v>0</v>
      </c>
      <c r="M1335" s="164">
        <v>67</v>
      </c>
      <c r="N1335" s="165">
        <f>6300-4200</f>
        <v>2100</v>
      </c>
      <c r="O1335" s="166">
        <v>1</v>
      </c>
      <c r="P1335" s="165">
        <f t="shared" si="224"/>
        <v>2100</v>
      </c>
      <c r="Q1335" s="165"/>
      <c r="R1335" s="176">
        <v>2100</v>
      </c>
      <c r="S1335" s="164">
        <f t="shared" si="222"/>
        <v>0</v>
      </c>
      <c r="T1335" s="168">
        <f t="shared" si="218"/>
        <v>1289.5522388059703</v>
      </c>
      <c r="U1335" s="163">
        <f t="shared" si="219"/>
        <v>0</v>
      </c>
      <c r="V1335" s="163">
        <f t="shared" si="223"/>
        <v>0</v>
      </c>
      <c r="W1335" s="163">
        <v>0</v>
      </c>
      <c r="X1335" s="137">
        <f t="shared" si="220"/>
        <v>46153.905439814815</v>
      </c>
    </row>
    <row r="1336" spans="1:24" s="118" customFormat="1" hidden="1" x14ac:dyDescent="0.35">
      <c r="A1336" s="123">
        <f t="shared" si="221"/>
        <v>46153.905439814815</v>
      </c>
      <c r="B1336" s="123"/>
      <c r="C1336" s="123"/>
      <c r="D1336" s="123"/>
      <c r="E1336" s="158" t="s">
        <v>467</v>
      </c>
      <c r="F1336" s="159" t="s">
        <v>271</v>
      </c>
      <c r="G1336" s="160" t="s">
        <v>327</v>
      </c>
      <c r="H1336" s="126" t="s">
        <v>2195</v>
      </c>
      <c r="I1336" s="159" t="s">
        <v>274</v>
      </c>
      <c r="J1336" s="175" t="s">
        <v>140</v>
      </c>
      <c r="K1336" s="163">
        <v>0</v>
      </c>
      <c r="L1336" s="163">
        <v>0</v>
      </c>
      <c r="M1336" s="164">
        <v>67</v>
      </c>
      <c r="N1336" s="165">
        <v>1050</v>
      </c>
      <c r="O1336" s="166">
        <v>1</v>
      </c>
      <c r="P1336" s="165">
        <f t="shared" si="224"/>
        <v>1050</v>
      </c>
      <c r="Q1336" s="165"/>
      <c r="R1336" s="176">
        <v>1050</v>
      </c>
      <c r="S1336" s="164">
        <f t="shared" si="222"/>
        <v>0</v>
      </c>
      <c r="T1336" s="168">
        <f t="shared" si="218"/>
        <v>1289.5522388059703</v>
      </c>
      <c r="U1336" s="163">
        <f t="shared" si="219"/>
        <v>0</v>
      </c>
      <c r="V1336" s="163">
        <f t="shared" si="223"/>
        <v>0</v>
      </c>
      <c r="W1336" s="163">
        <v>0</v>
      </c>
      <c r="X1336" s="137">
        <f t="shared" si="220"/>
        <v>46153.905439814815</v>
      </c>
    </row>
    <row r="1337" spans="1:24" ht="26.5" hidden="1" x14ac:dyDescent="0.35">
      <c r="A1337" s="123">
        <f t="shared" si="221"/>
        <v>46153.905439814815</v>
      </c>
      <c r="B1337" s="123"/>
      <c r="C1337" s="123"/>
      <c r="D1337" s="123"/>
      <c r="E1337" s="158" t="s">
        <v>467</v>
      </c>
      <c r="F1337" s="125" t="s">
        <v>2190</v>
      </c>
      <c r="G1337" s="125" t="s">
        <v>2193</v>
      </c>
      <c r="H1337" s="126" t="s">
        <v>2196</v>
      </c>
      <c r="I1337" s="159" t="s">
        <v>274</v>
      </c>
      <c r="J1337" s="175" t="s">
        <v>140</v>
      </c>
      <c r="K1337" s="163">
        <v>0</v>
      </c>
      <c r="L1337" s="163">
        <v>0</v>
      </c>
      <c r="M1337" s="164">
        <v>67</v>
      </c>
      <c r="N1337" s="165">
        <v>2100</v>
      </c>
      <c r="O1337" s="166">
        <v>1</v>
      </c>
      <c r="P1337" s="165">
        <f t="shared" si="224"/>
        <v>2100</v>
      </c>
      <c r="Q1337" s="165"/>
      <c r="R1337" s="176">
        <v>2100</v>
      </c>
      <c r="S1337" s="164">
        <f t="shared" si="222"/>
        <v>0</v>
      </c>
      <c r="T1337" s="168">
        <f t="shared" si="218"/>
        <v>1289.5522388059703</v>
      </c>
      <c r="U1337" s="163">
        <f t="shared" si="219"/>
        <v>0</v>
      </c>
      <c r="V1337" s="163">
        <f t="shared" si="223"/>
        <v>0</v>
      </c>
      <c r="W1337" s="163">
        <v>0</v>
      </c>
      <c r="X1337" s="137">
        <f t="shared" si="220"/>
        <v>46153.905439814815</v>
      </c>
    </row>
    <row r="1338" spans="1:24" hidden="1" x14ac:dyDescent="0.35">
      <c r="A1338" s="123">
        <f t="shared" si="221"/>
        <v>46153.905439814815</v>
      </c>
      <c r="B1338" s="123"/>
      <c r="C1338" s="123"/>
      <c r="D1338" s="123"/>
      <c r="E1338" s="158" t="s">
        <v>467</v>
      </c>
      <c r="F1338" s="159" t="s">
        <v>2197</v>
      </c>
      <c r="G1338" s="160" t="s">
        <v>327</v>
      </c>
      <c r="H1338" s="126" t="s">
        <v>2198</v>
      </c>
      <c r="I1338" s="159" t="s">
        <v>191</v>
      </c>
      <c r="J1338" s="175" t="s">
        <v>140</v>
      </c>
      <c r="K1338" s="163">
        <v>0</v>
      </c>
      <c r="L1338" s="163">
        <v>0</v>
      </c>
      <c r="M1338" s="164">
        <v>67</v>
      </c>
      <c r="N1338" s="165">
        <v>4200</v>
      </c>
      <c r="O1338" s="166">
        <v>1</v>
      </c>
      <c r="P1338" s="165">
        <f t="shared" si="224"/>
        <v>4200</v>
      </c>
      <c r="Q1338" s="165"/>
      <c r="R1338" s="176">
        <v>4200</v>
      </c>
      <c r="S1338" s="164">
        <f t="shared" si="222"/>
        <v>0</v>
      </c>
      <c r="T1338" s="168">
        <f t="shared" si="218"/>
        <v>1289.5522388059703</v>
      </c>
      <c r="U1338" s="163">
        <f t="shared" si="219"/>
        <v>0</v>
      </c>
      <c r="V1338" s="163">
        <f t="shared" si="223"/>
        <v>0</v>
      </c>
      <c r="W1338" s="163">
        <v>0</v>
      </c>
      <c r="X1338" s="137">
        <f t="shared" si="220"/>
        <v>46153.905439814815</v>
      </c>
    </row>
    <row r="1339" spans="1:24" hidden="1" x14ac:dyDescent="0.35">
      <c r="A1339" s="123">
        <f t="shared" si="221"/>
        <v>46153.905439814815</v>
      </c>
      <c r="B1339" s="123"/>
      <c r="C1339" s="123"/>
      <c r="D1339" s="123"/>
      <c r="E1339" s="158" t="s">
        <v>467</v>
      </c>
      <c r="F1339" s="125" t="s">
        <v>2199</v>
      </c>
      <c r="G1339" s="125" t="s">
        <v>327</v>
      </c>
      <c r="H1339" s="126" t="s">
        <v>2200</v>
      </c>
      <c r="I1339" s="187" t="s">
        <v>2201</v>
      </c>
      <c r="J1339" s="175" t="s">
        <v>140</v>
      </c>
      <c r="K1339" s="163">
        <v>0</v>
      </c>
      <c r="L1339" s="163">
        <v>0</v>
      </c>
      <c r="M1339" s="164">
        <v>100</v>
      </c>
      <c r="N1339" s="165">
        <v>4950</v>
      </c>
      <c r="O1339" s="166">
        <v>1</v>
      </c>
      <c r="P1339" s="165">
        <f t="shared" si="224"/>
        <v>4950</v>
      </c>
      <c r="Q1339" s="165"/>
      <c r="R1339" s="164">
        <v>4950</v>
      </c>
      <c r="S1339" s="164">
        <f t="shared" si="222"/>
        <v>0</v>
      </c>
      <c r="T1339" s="168">
        <f t="shared" si="218"/>
        <v>864</v>
      </c>
      <c r="U1339" s="163">
        <f t="shared" si="219"/>
        <v>0</v>
      </c>
      <c r="V1339" s="163">
        <f t="shared" si="223"/>
        <v>0</v>
      </c>
      <c r="W1339" s="545">
        <v>0</v>
      </c>
      <c r="X1339" s="137">
        <f t="shared" si="220"/>
        <v>46153.905439814815</v>
      </c>
    </row>
    <row r="1340" spans="1:24" s="118" customFormat="1" hidden="1" x14ac:dyDescent="0.35">
      <c r="A1340" s="123">
        <f t="shared" si="221"/>
        <v>46153.905439814815</v>
      </c>
      <c r="B1340" s="123"/>
      <c r="C1340" s="123"/>
      <c r="D1340" s="123"/>
      <c r="E1340" s="158" t="s">
        <v>467</v>
      </c>
      <c r="F1340" s="184" t="s">
        <v>802</v>
      </c>
      <c r="G1340" s="184" t="s">
        <v>792</v>
      </c>
      <c r="H1340" s="126" t="s">
        <v>2202</v>
      </c>
      <c r="I1340" s="159" t="s">
        <v>716</v>
      </c>
      <c r="J1340" s="175" t="s">
        <v>140</v>
      </c>
      <c r="K1340" s="163">
        <v>0</v>
      </c>
      <c r="L1340" s="163">
        <v>0</v>
      </c>
      <c r="M1340" s="164">
        <v>85</v>
      </c>
      <c r="N1340" s="165">
        <v>3000</v>
      </c>
      <c r="O1340" s="166">
        <v>1</v>
      </c>
      <c r="P1340" s="165">
        <f t="shared" si="224"/>
        <v>3000</v>
      </c>
      <c r="Q1340" s="165"/>
      <c r="R1340" s="164">
        <v>3000</v>
      </c>
      <c r="S1340" s="164">
        <f t="shared" si="222"/>
        <v>0</v>
      </c>
      <c r="T1340" s="168">
        <f t="shared" si="218"/>
        <v>1016.4705882352941</v>
      </c>
      <c r="U1340" s="163">
        <f t="shared" si="219"/>
        <v>0</v>
      </c>
      <c r="V1340" s="163">
        <f t="shared" si="223"/>
        <v>0</v>
      </c>
      <c r="W1340" s="163">
        <v>0</v>
      </c>
      <c r="X1340" s="137">
        <f>A1340+K1340+L1340+V1340+W1340</f>
        <v>46153.905439814815</v>
      </c>
    </row>
    <row r="1341" spans="1:24" hidden="1" x14ac:dyDescent="0.35">
      <c r="A1341" s="123">
        <f t="shared" si="221"/>
        <v>46153.905439814815</v>
      </c>
      <c r="B1341" s="123"/>
      <c r="C1341" s="123"/>
      <c r="D1341" s="123"/>
      <c r="E1341" s="158" t="s">
        <v>467</v>
      </c>
      <c r="F1341" s="125" t="s">
        <v>513</v>
      </c>
      <c r="G1341" s="159" t="s">
        <v>327</v>
      </c>
      <c r="H1341" s="126" t="s">
        <v>2203</v>
      </c>
      <c r="I1341" s="159" t="s">
        <v>470</v>
      </c>
      <c r="J1341" s="175" t="s">
        <v>140</v>
      </c>
      <c r="K1341" s="163">
        <v>0</v>
      </c>
      <c r="L1341" s="163">
        <v>0</v>
      </c>
      <c r="M1341" s="164">
        <v>221</v>
      </c>
      <c r="N1341" s="165">
        <f>8160-6548</f>
        <v>1612</v>
      </c>
      <c r="O1341" s="166">
        <v>2</v>
      </c>
      <c r="P1341" s="165">
        <f t="shared" si="224"/>
        <v>806</v>
      </c>
      <c r="Q1341" s="165"/>
      <c r="R1341" s="546">
        <v>806</v>
      </c>
      <c r="S1341" s="164">
        <f t="shared" si="222"/>
        <v>0</v>
      </c>
      <c r="T1341" s="168">
        <f t="shared" si="218"/>
        <v>781.90045248868773</v>
      </c>
      <c r="U1341" s="163">
        <f t="shared" si="219"/>
        <v>0</v>
      </c>
      <c r="V1341" s="163">
        <f t="shared" si="223"/>
        <v>0</v>
      </c>
      <c r="W1341" s="129">
        <v>0</v>
      </c>
      <c r="X1341" s="137">
        <f t="shared" ref="X1341:X1364" si="225">A1341+K1341+V1341+W1341+L1341</f>
        <v>46153.905439814815</v>
      </c>
    </row>
    <row r="1342" spans="1:24" s="221" customFormat="1" hidden="1" x14ac:dyDescent="0.35">
      <c r="A1342" s="123">
        <f t="shared" si="221"/>
        <v>46153.905439814815</v>
      </c>
      <c r="B1342" s="123"/>
      <c r="C1342" s="123"/>
      <c r="D1342" s="123"/>
      <c r="E1342" s="124" t="s">
        <v>467</v>
      </c>
      <c r="F1342" s="125" t="s">
        <v>2184</v>
      </c>
      <c r="G1342" s="159" t="s">
        <v>327</v>
      </c>
      <c r="H1342" s="126" t="s">
        <v>2185</v>
      </c>
      <c r="I1342" s="159" t="s">
        <v>470</v>
      </c>
      <c r="J1342" s="175" t="s">
        <v>140</v>
      </c>
      <c r="K1342" s="163">
        <v>0</v>
      </c>
      <c r="L1342" s="163">
        <v>0</v>
      </c>
      <c r="M1342" s="164">
        <v>221</v>
      </c>
      <c r="N1342" s="165">
        <f>4080-2162</f>
        <v>1918</v>
      </c>
      <c r="O1342" s="166">
        <v>2</v>
      </c>
      <c r="P1342" s="165">
        <f t="shared" si="224"/>
        <v>959</v>
      </c>
      <c r="Q1342" s="165"/>
      <c r="R1342" s="176">
        <v>959</v>
      </c>
      <c r="S1342" s="164">
        <f t="shared" si="222"/>
        <v>0</v>
      </c>
      <c r="T1342" s="168">
        <f t="shared" si="218"/>
        <v>781.90045248868773</v>
      </c>
      <c r="U1342" s="163">
        <f t="shared" si="219"/>
        <v>0</v>
      </c>
      <c r="V1342" s="163">
        <f t="shared" si="223"/>
        <v>0</v>
      </c>
      <c r="W1342" s="129">
        <v>0</v>
      </c>
      <c r="X1342" s="137">
        <f t="shared" si="225"/>
        <v>46153.905439814815</v>
      </c>
    </row>
    <row r="1343" spans="1:24" s="221" customFormat="1" hidden="1" x14ac:dyDescent="0.35">
      <c r="A1343" s="123">
        <f t="shared" si="221"/>
        <v>46153.905439814815</v>
      </c>
      <c r="B1343" s="123"/>
      <c r="C1343" s="123"/>
      <c r="D1343" s="123"/>
      <c r="E1343" s="158" t="s">
        <v>467</v>
      </c>
      <c r="F1343" s="125" t="s">
        <v>2204</v>
      </c>
      <c r="G1343" s="159" t="s">
        <v>792</v>
      </c>
      <c r="H1343" s="126" t="s">
        <v>2205</v>
      </c>
      <c r="I1343" s="159" t="s">
        <v>470</v>
      </c>
      <c r="J1343" s="175" t="s">
        <v>140</v>
      </c>
      <c r="K1343" s="163">
        <v>0</v>
      </c>
      <c r="L1343" s="163">
        <v>0</v>
      </c>
      <c r="M1343" s="164">
        <v>221</v>
      </c>
      <c r="N1343" s="165">
        <v>8160</v>
      </c>
      <c r="O1343" s="166">
        <v>2</v>
      </c>
      <c r="P1343" s="165">
        <f t="shared" si="224"/>
        <v>4080</v>
      </c>
      <c r="Q1343" s="165"/>
      <c r="R1343" s="546">
        <v>4080</v>
      </c>
      <c r="S1343" s="164">
        <f t="shared" si="222"/>
        <v>0</v>
      </c>
      <c r="T1343" s="168">
        <f t="shared" si="218"/>
        <v>781.90045248868773</v>
      </c>
      <c r="U1343" s="163">
        <f t="shared" si="219"/>
        <v>0</v>
      </c>
      <c r="V1343" s="163">
        <f t="shared" si="223"/>
        <v>0</v>
      </c>
      <c r="W1343" s="129">
        <v>0</v>
      </c>
      <c r="X1343" s="137">
        <f t="shared" si="225"/>
        <v>46153.905439814815</v>
      </c>
    </row>
    <row r="1344" spans="1:24" s="221" customFormat="1" hidden="1" x14ac:dyDescent="0.35">
      <c r="A1344" s="123">
        <f t="shared" si="221"/>
        <v>46153.905439814815</v>
      </c>
      <c r="B1344" s="123"/>
      <c r="C1344" s="123"/>
      <c r="D1344" s="123"/>
      <c r="E1344" s="158" t="s">
        <v>467</v>
      </c>
      <c r="F1344" s="125" t="s">
        <v>361</v>
      </c>
      <c r="G1344" s="159" t="s">
        <v>792</v>
      </c>
      <c r="H1344" s="126" t="s">
        <v>2206</v>
      </c>
      <c r="I1344" s="159" t="s">
        <v>470</v>
      </c>
      <c r="J1344" s="175" t="s">
        <v>140</v>
      </c>
      <c r="K1344" s="163">
        <v>0</v>
      </c>
      <c r="L1344" s="163">
        <v>0</v>
      </c>
      <c r="M1344" s="164">
        <v>221</v>
      </c>
      <c r="N1344" s="165">
        <v>4080</v>
      </c>
      <c r="O1344" s="166">
        <v>2</v>
      </c>
      <c r="P1344" s="165">
        <f t="shared" si="224"/>
        <v>2040</v>
      </c>
      <c r="Q1344" s="165"/>
      <c r="R1344" s="546">
        <v>2040</v>
      </c>
      <c r="S1344" s="164">
        <f t="shared" si="222"/>
        <v>0</v>
      </c>
      <c r="T1344" s="168">
        <f t="shared" si="218"/>
        <v>781.90045248868773</v>
      </c>
      <c r="U1344" s="163">
        <f t="shared" si="219"/>
        <v>0</v>
      </c>
      <c r="V1344" s="163">
        <f t="shared" si="223"/>
        <v>0</v>
      </c>
      <c r="W1344" s="129">
        <v>0</v>
      </c>
      <c r="X1344" s="137">
        <f t="shared" si="225"/>
        <v>46153.905439814815</v>
      </c>
    </row>
    <row r="1345" spans="1:24" s="118" customFormat="1" hidden="1" x14ac:dyDescent="0.35">
      <c r="A1345" s="123">
        <f t="shared" si="221"/>
        <v>46153.905439814815</v>
      </c>
      <c r="B1345" s="123"/>
      <c r="C1345" s="123"/>
      <c r="D1345" s="123"/>
      <c r="E1345" s="158" t="s">
        <v>467</v>
      </c>
      <c r="F1345" s="159" t="s">
        <v>2207</v>
      </c>
      <c r="G1345" s="159" t="s">
        <v>359</v>
      </c>
      <c r="H1345" s="126" t="s">
        <v>2208</v>
      </c>
      <c r="I1345" s="547" t="s">
        <v>1482</v>
      </c>
      <c r="J1345" s="128" t="s">
        <v>140</v>
      </c>
      <c r="K1345" s="129">
        <v>0</v>
      </c>
      <c r="L1345" s="129">
        <v>0</v>
      </c>
      <c r="M1345" s="130">
        <v>90</v>
      </c>
      <c r="N1345" s="131">
        <v>2000</v>
      </c>
      <c r="O1345" s="189">
        <v>1</v>
      </c>
      <c r="P1345" s="131">
        <f t="shared" si="224"/>
        <v>2000</v>
      </c>
      <c r="Q1345" s="131"/>
      <c r="R1345" s="130">
        <v>2000</v>
      </c>
      <c r="S1345" s="130">
        <f t="shared" si="222"/>
        <v>0</v>
      </c>
      <c r="T1345" s="242">
        <f t="shared" si="218"/>
        <v>960</v>
      </c>
      <c r="U1345" s="129">
        <f t="shared" si="219"/>
        <v>0</v>
      </c>
      <c r="V1345" s="129">
        <f t="shared" si="223"/>
        <v>0</v>
      </c>
      <c r="W1345" s="129">
        <v>0</v>
      </c>
      <c r="X1345" s="137">
        <f t="shared" si="225"/>
        <v>46153.905439814815</v>
      </c>
    </row>
    <row r="1346" spans="1:24" s="118" customFormat="1" hidden="1" x14ac:dyDescent="0.35">
      <c r="A1346" s="123">
        <f t="shared" si="221"/>
        <v>46153.905439814815</v>
      </c>
      <c r="B1346" s="123"/>
      <c r="C1346" s="123"/>
      <c r="D1346" s="123"/>
      <c r="E1346" s="158" t="s">
        <v>467</v>
      </c>
      <c r="F1346" s="159" t="s">
        <v>1879</v>
      </c>
      <c r="G1346" s="159" t="s">
        <v>359</v>
      </c>
      <c r="H1346" s="126" t="s">
        <v>2209</v>
      </c>
      <c r="I1346" s="159" t="s">
        <v>2210</v>
      </c>
      <c r="J1346" s="128" t="s">
        <v>140</v>
      </c>
      <c r="K1346" s="129">
        <v>0</v>
      </c>
      <c r="L1346" s="129">
        <v>0</v>
      </c>
      <c r="M1346" s="130">
        <v>75</v>
      </c>
      <c r="N1346" s="131">
        <v>400</v>
      </c>
      <c r="O1346" s="189">
        <v>1</v>
      </c>
      <c r="P1346" s="131">
        <f t="shared" si="224"/>
        <v>400</v>
      </c>
      <c r="Q1346" s="131"/>
      <c r="R1346" s="130">
        <v>400</v>
      </c>
      <c r="S1346" s="130">
        <f t="shared" si="222"/>
        <v>0</v>
      </c>
      <c r="T1346" s="242">
        <f t="shared" si="218"/>
        <v>1152</v>
      </c>
      <c r="U1346" s="129">
        <f t="shared" si="219"/>
        <v>0</v>
      </c>
      <c r="V1346" s="129">
        <f t="shared" si="223"/>
        <v>0</v>
      </c>
      <c r="W1346" s="129">
        <v>0</v>
      </c>
      <c r="X1346" s="137">
        <f t="shared" si="225"/>
        <v>46153.905439814815</v>
      </c>
    </row>
    <row r="1347" spans="1:24" s="118" customFormat="1" hidden="1" x14ac:dyDescent="0.35">
      <c r="A1347" s="123">
        <f t="shared" si="221"/>
        <v>46153.905439814815</v>
      </c>
      <c r="B1347" s="123"/>
      <c r="C1347" s="123"/>
      <c r="D1347" s="123"/>
      <c r="E1347" s="158" t="s">
        <v>467</v>
      </c>
      <c r="F1347" s="159" t="s">
        <v>1879</v>
      </c>
      <c r="G1347" s="159" t="s">
        <v>359</v>
      </c>
      <c r="H1347" s="126" t="s">
        <v>2211</v>
      </c>
      <c r="I1347" s="187" t="s">
        <v>2092</v>
      </c>
      <c r="J1347" s="128" t="s">
        <v>140</v>
      </c>
      <c r="K1347" s="129">
        <v>0</v>
      </c>
      <c r="L1347" s="129">
        <v>0</v>
      </c>
      <c r="M1347" s="130">
        <v>75</v>
      </c>
      <c r="N1347" s="131">
        <v>450</v>
      </c>
      <c r="O1347" s="189">
        <v>1</v>
      </c>
      <c r="P1347" s="131">
        <f t="shared" si="224"/>
        <v>450</v>
      </c>
      <c r="Q1347" s="131"/>
      <c r="R1347" s="130">
        <v>450</v>
      </c>
      <c r="S1347" s="130">
        <f t="shared" si="222"/>
        <v>0</v>
      </c>
      <c r="T1347" s="242">
        <f t="shared" si="218"/>
        <v>1152</v>
      </c>
      <c r="U1347" s="129">
        <f t="shared" si="219"/>
        <v>0</v>
      </c>
      <c r="V1347" s="129">
        <f t="shared" si="223"/>
        <v>0</v>
      </c>
      <c r="W1347" s="129">
        <v>0</v>
      </c>
      <c r="X1347" s="137">
        <f t="shared" si="225"/>
        <v>46153.905439814815</v>
      </c>
    </row>
    <row r="1348" spans="1:24" s="118" customFormat="1" ht="26.5" hidden="1" x14ac:dyDescent="0.35">
      <c r="A1348" s="123">
        <f t="shared" si="221"/>
        <v>46153.905439814815</v>
      </c>
      <c r="B1348" s="123"/>
      <c r="C1348" s="123"/>
      <c r="D1348" s="123"/>
      <c r="E1348" s="158" t="s">
        <v>467</v>
      </c>
      <c r="F1348" s="159" t="s">
        <v>2212</v>
      </c>
      <c r="G1348" s="159" t="s">
        <v>359</v>
      </c>
      <c r="H1348" s="126" t="s">
        <v>2213</v>
      </c>
      <c r="I1348" s="547" t="s">
        <v>4230</v>
      </c>
      <c r="J1348" s="128" t="s">
        <v>140</v>
      </c>
      <c r="K1348" s="129">
        <v>0</v>
      </c>
      <c r="L1348" s="129">
        <v>0</v>
      </c>
      <c r="M1348" s="130">
        <v>75</v>
      </c>
      <c r="N1348" s="131">
        <v>1200</v>
      </c>
      <c r="O1348" s="189">
        <v>1</v>
      </c>
      <c r="P1348" s="131">
        <f t="shared" si="224"/>
        <v>1200</v>
      </c>
      <c r="Q1348" s="131"/>
      <c r="R1348" s="130">
        <v>1200</v>
      </c>
      <c r="S1348" s="130">
        <f t="shared" si="222"/>
        <v>0</v>
      </c>
      <c r="T1348" s="242">
        <f t="shared" si="218"/>
        <v>1152</v>
      </c>
      <c r="U1348" s="129">
        <f t="shared" si="219"/>
        <v>0</v>
      </c>
      <c r="V1348" s="129">
        <f t="shared" si="223"/>
        <v>0</v>
      </c>
      <c r="W1348" s="129">
        <v>0</v>
      </c>
      <c r="X1348" s="137">
        <f t="shared" si="225"/>
        <v>46153.905439814815</v>
      </c>
    </row>
    <row r="1349" spans="1:24" s="118" customFormat="1" hidden="1" x14ac:dyDescent="0.35">
      <c r="A1349" s="123">
        <f t="shared" si="221"/>
        <v>46153.905439814815</v>
      </c>
      <c r="B1349" s="123"/>
      <c r="C1349" s="123"/>
      <c r="D1349" s="123"/>
      <c r="E1349" s="158" t="s">
        <v>467</v>
      </c>
      <c r="F1349" s="159" t="s">
        <v>2207</v>
      </c>
      <c r="G1349" s="159" t="s">
        <v>359</v>
      </c>
      <c r="H1349" s="126" t="s">
        <v>2214</v>
      </c>
      <c r="I1349" s="547" t="s">
        <v>1394</v>
      </c>
      <c r="J1349" s="128" t="s">
        <v>140</v>
      </c>
      <c r="K1349" s="129">
        <v>0</v>
      </c>
      <c r="L1349" s="129">
        <v>0</v>
      </c>
      <c r="M1349" s="130">
        <v>75</v>
      </c>
      <c r="N1349" s="131">
        <v>2109</v>
      </c>
      <c r="O1349" s="189">
        <v>1</v>
      </c>
      <c r="P1349" s="131">
        <f t="shared" si="224"/>
        <v>2109</v>
      </c>
      <c r="Q1349" s="131"/>
      <c r="R1349" s="130">
        <v>2109</v>
      </c>
      <c r="S1349" s="130">
        <f t="shared" si="222"/>
        <v>0</v>
      </c>
      <c r="T1349" s="242">
        <f t="shared" si="218"/>
        <v>1152</v>
      </c>
      <c r="U1349" s="129">
        <f t="shared" si="219"/>
        <v>0</v>
      </c>
      <c r="V1349" s="129">
        <f t="shared" si="223"/>
        <v>0</v>
      </c>
      <c r="W1349" s="129">
        <v>0</v>
      </c>
      <c r="X1349" s="137">
        <f t="shared" si="225"/>
        <v>46153.905439814815</v>
      </c>
    </row>
    <row r="1350" spans="1:24" s="118" customFormat="1" hidden="1" x14ac:dyDescent="0.35">
      <c r="A1350" s="123">
        <f t="shared" si="221"/>
        <v>46153.905439814815</v>
      </c>
      <c r="B1350" s="123"/>
      <c r="C1350" s="123"/>
      <c r="D1350" s="123"/>
      <c r="E1350" s="158" t="s">
        <v>467</v>
      </c>
      <c r="F1350" s="159" t="s">
        <v>1879</v>
      </c>
      <c r="G1350" s="159" t="s">
        <v>359</v>
      </c>
      <c r="H1350" s="126" t="s">
        <v>2215</v>
      </c>
      <c r="I1350" s="547" t="s">
        <v>1394</v>
      </c>
      <c r="J1350" s="128" t="s">
        <v>140</v>
      </c>
      <c r="K1350" s="129">
        <v>0</v>
      </c>
      <c r="L1350" s="129">
        <v>0</v>
      </c>
      <c r="M1350" s="130">
        <v>75</v>
      </c>
      <c r="N1350" s="131">
        <v>550</v>
      </c>
      <c r="O1350" s="189">
        <v>1</v>
      </c>
      <c r="P1350" s="131">
        <f t="shared" si="224"/>
        <v>550</v>
      </c>
      <c r="Q1350" s="131"/>
      <c r="R1350" s="130">
        <v>550</v>
      </c>
      <c r="S1350" s="130">
        <f t="shared" si="222"/>
        <v>0</v>
      </c>
      <c r="T1350" s="242">
        <f t="shared" si="218"/>
        <v>1152</v>
      </c>
      <c r="U1350" s="129">
        <f t="shared" si="219"/>
        <v>0</v>
      </c>
      <c r="V1350" s="129">
        <f t="shared" si="223"/>
        <v>0</v>
      </c>
      <c r="W1350" s="129">
        <v>0</v>
      </c>
      <c r="X1350" s="137">
        <f t="shared" si="225"/>
        <v>46153.905439814815</v>
      </c>
    </row>
    <row r="1351" spans="1:24" s="118" customFormat="1" hidden="1" x14ac:dyDescent="0.35">
      <c r="A1351" s="123">
        <f t="shared" si="221"/>
        <v>46153.905439814815</v>
      </c>
      <c r="B1351" s="123"/>
      <c r="C1351" s="123"/>
      <c r="D1351" s="123"/>
      <c r="E1351" s="158" t="s">
        <v>467</v>
      </c>
      <c r="F1351" s="159" t="s">
        <v>1299</v>
      </c>
      <c r="G1351" s="159" t="s">
        <v>830</v>
      </c>
      <c r="H1351" s="126" t="s">
        <v>2216</v>
      </c>
      <c r="I1351" s="547" t="s">
        <v>1394</v>
      </c>
      <c r="J1351" s="128" t="s">
        <v>140</v>
      </c>
      <c r="K1351" s="129">
        <v>0</v>
      </c>
      <c r="L1351" s="129">
        <v>0</v>
      </c>
      <c r="M1351" s="130">
        <v>75</v>
      </c>
      <c r="N1351" s="131">
        <v>200</v>
      </c>
      <c r="O1351" s="189">
        <v>1</v>
      </c>
      <c r="P1351" s="131">
        <f t="shared" si="224"/>
        <v>200</v>
      </c>
      <c r="Q1351" s="131"/>
      <c r="R1351" s="130">
        <v>200</v>
      </c>
      <c r="S1351" s="130">
        <f t="shared" si="222"/>
        <v>0</v>
      </c>
      <c r="T1351" s="242">
        <f t="shared" si="218"/>
        <v>1152</v>
      </c>
      <c r="U1351" s="129">
        <f t="shared" si="219"/>
        <v>0</v>
      </c>
      <c r="V1351" s="129">
        <f t="shared" si="223"/>
        <v>0</v>
      </c>
      <c r="W1351" s="129">
        <v>0</v>
      </c>
      <c r="X1351" s="137">
        <f t="shared" si="225"/>
        <v>46153.905439814815</v>
      </c>
    </row>
    <row r="1352" spans="1:24" s="118" customFormat="1" hidden="1" x14ac:dyDescent="0.35">
      <c r="A1352" s="123">
        <f t="shared" si="221"/>
        <v>46153.905439814815</v>
      </c>
      <c r="B1352" s="123"/>
      <c r="C1352" s="123"/>
      <c r="D1352" s="123"/>
      <c r="E1352" s="158" t="s">
        <v>467</v>
      </c>
      <c r="F1352" s="159" t="s">
        <v>1299</v>
      </c>
      <c r="G1352" s="159" t="s">
        <v>830</v>
      </c>
      <c r="H1352" s="126" t="s">
        <v>2217</v>
      </c>
      <c r="I1352" s="547" t="s">
        <v>2092</v>
      </c>
      <c r="J1352" s="128" t="s">
        <v>140</v>
      </c>
      <c r="K1352" s="129">
        <v>0</v>
      </c>
      <c r="L1352" s="129">
        <v>0</v>
      </c>
      <c r="M1352" s="130">
        <v>75</v>
      </c>
      <c r="N1352" s="131">
        <v>300</v>
      </c>
      <c r="O1352" s="189">
        <v>1</v>
      </c>
      <c r="P1352" s="131">
        <f t="shared" si="224"/>
        <v>300</v>
      </c>
      <c r="Q1352" s="131"/>
      <c r="R1352" s="130">
        <v>300</v>
      </c>
      <c r="S1352" s="130">
        <f t="shared" si="222"/>
        <v>0</v>
      </c>
      <c r="T1352" s="242">
        <f t="shared" si="218"/>
        <v>1152</v>
      </c>
      <c r="U1352" s="129">
        <f t="shared" si="219"/>
        <v>0</v>
      </c>
      <c r="V1352" s="129">
        <f t="shared" si="223"/>
        <v>0</v>
      </c>
      <c r="W1352" s="129">
        <v>0</v>
      </c>
      <c r="X1352" s="137">
        <f t="shared" si="225"/>
        <v>46153.905439814815</v>
      </c>
    </row>
    <row r="1353" spans="1:24" s="186" customFormat="1" hidden="1" x14ac:dyDescent="0.35">
      <c r="A1353" s="123">
        <f t="shared" si="221"/>
        <v>46153.905439814815</v>
      </c>
      <c r="B1353" s="123"/>
      <c r="C1353" s="123"/>
      <c r="D1353" s="123"/>
      <c r="E1353" s="158" t="s">
        <v>467</v>
      </c>
      <c r="F1353" s="125"/>
      <c r="G1353" s="159"/>
      <c r="H1353" s="126" t="s">
        <v>2218</v>
      </c>
      <c r="I1353" s="159" t="s">
        <v>470</v>
      </c>
      <c r="J1353" s="175" t="s">
        <v>140</v>
      </c>
      <c r="K1353" s="163">
        <v>0</v>
      </c>
      <c r="L1353" s="163">
        <v>0</v>
      </c>
      <c r="M1353" s="164">
        <v>221</v>
      </c>
      <c r="N1353" s="165">
        <v>6800</v>
      </c>
      <c r="O1353" s="164">
        <v>2</v>
      </c>
      <c r="P1353" s="165">
        <f t="shared" si="224"/>
        <v>3400</v>
      </c>
      <c r="Q1353" s="165"/>
      <c r="R1353" s="546">
        <v>3400</v>
      </c>
      <c r="S1353" s="164">
        <f t="shared" si="222"/>
        <v>0</v>
      </c>
      <c r="T1353" s="164">
        <f t="shared" si="218"/>
        <v>781.90045248868773</v>
      </c>
      <c r="U1353" s="163">
        <f t="shared" si="219"/>
        <v>0</v>
      </c>
      <c r="V1353" s="163">
        <f t="shared" si="223"/>
        <v>0</v>
      </c>
      <c r="W1353" s="129">
        <v>0</v>
      </c>
      <c r="X1353" s="137">
        <f t="shared" si="225"/>
        <v>46153.905439814815</v>
      </c>
    </row>
    <row r="1354" spans="1:24" s="186" customFormat="1" hidden="1" x14ac:dyDescent="0.35">
      <c r="A1354" s="161">
        <f t="shared" si="221"/>
        <v>46153.905439814815</v>
      </c>
      <c r="B1354" s="161"/>
      <c r="C1354" s="161"/>
      <c r="D1354" s="161"/>
      <c r="E1354" s="158" t="s">
        <v>467</v>
      </c>
      <c r="F1354" s="125"/>
      <c r="G1354" s="159"/>
      <c r="H1354" s="126" t="s">
        <v>2218</v>
      </c>
      <c r="I1354" s="159" t="s">
        <v>470</v>
      </c>
      <c r="J1354" s="175" t="s">
        <v>140</v>
      </c>
      <c r="K1354" s="163">
        <v>0</v>
      </c>
      <c r="L1354" s="163">
        <v>0</v>
      </c>
      <c r="M1354" s="164">
        <v>221</v>
      </c>
      <c r="N1354" s="165">
        <f>5200+6800</f>
        <v>12000</v>
      </c>
      <c r="O1354" s="164">
        <v>2</v>
      </c>
      <c r="P1354" s="165">
        <f t="shared" si="224"/>
        <v>6000</v>
      </c>
      <c r="Q1354" s="165"/>
      <c r="R1354" s="546">
        <v>6000</v>
      </c>
      <c r="S1354" s="164">
        <f t="shared" si="222"/>
        <v>0</v>
      </c>
      <c r="T1354" s="164">
        <f t="shared" si="218"/>
        <v>781.90045248868773</v>
      </c>
      <c r="U1354" s="163">
        <f t="shared" si="219"/>
        <v>0</v>
      </c>
      <c r="V1354" s="163">
        <f t="shared" si="223"/>
        <v>0</v>
      </c>
      <c r="W1354" s="129">
        <v>0</v>
      </c>
      <c r="X1354" s="137">
        <f t="shared" si="225"/>
        <v>46153.905439814815</v>
      </c>
    </row>
    <row r="1355" spans="1:24" s="186" customFormat="1" hidden="1" x14ac:dyDescent="0.35">
      <c r="A1355" s="123">
        <f t="shared" si="221"/>
        <v>46153.905439814815</v>
      </c>
      <c r="B1355" s="123"/>
      <c r="C1355" s="123"/>
      <c r="D1355" s="123"/>
      <c r="E1355" s="124" t="s">
        <v>467</v>
      </c>
      <c r="F1355" s="159" t="s">
        <v>220</v>
      </c>
      <c r="G1355" s="159" t="s">
        <v>2219</v>
      </c>
      <c r="H1355" s="126" t="s">
        <v>2220</v>
      </c>
      <c r="I1355" s="184" t="s">
        <v>222</v>
      </c>
      <c r="J1355" s="184" t="s">
        <v>140</v>
      </c>
      <c r="K1355" s="129">
        <v>0</v>
      </c>
      <c r="L1355" s="129">
        <v>0</v>
      </c>
      <c r="M1355" s="130">
        <v>100</v>
      </c>
      <c r="N1355" s="131">
        <v>4000</v>
      </c>
      <c r="O1355" s="130">
        <v>1</v>
      </c>
      <c r="P1355" s="131">
        <f t="shared" si="224"/>
        <v>4000</v>
      </c>
      <c r="Q1355" s="131"/>
      <c r="R1355" s="130">
        <v>4000</v>
      </c>
      <c r="S1355" s="130">
        <f t="shared" si="222"/>
        <v>0</v>
      </c>
      <c r="T1355" s="130">
        <f t="shared" si="218"/>
        <v>864</v>
      </c>
      <c r="U1355" s="129">
        <f t="shared" si="219"/>
        <v>0</v>
      </c>
      <c r="V1355" s="129">
        <f t="shared" si="223"/>
        <v>0</v>
      </c>
      <c r="W1355" s="129">
        <v>0</v>
      </c>
      <c r="X1355" s="137">
        <f t="shared" si="225"/>
        <v>46153.905439814815</v>
      </c>
    </row>
    <row r="1356" spans="1:24" s="186" customFormat="1" hidden="1" x14ac:dyDescent="0.35">
      <c r="A1356" s="161">
        <f t="shared" si="221"/>
        <v>46153.905439814815</v>
      </c>
      <c r="B1356" s="161">
        <v>46059</v>
      </c>
      <c r="C1356" s="183">
        <f t="shared" ref="C1356:C1364" si="226">B1356-A1356</f>
        <v>-94.905439814814599</v>
      </c>
      <c r="D1356" s="183"/>
      <c r="E1356" s="158" t="s">
        <v>467</v>
      </c>
      <c r="F1356" s="125" t="s">
        <v>2221</v>
      </c>
      <c r="G1356" s="159" t="s">
        <v>386</v>
      </c>
      <c r="H1356" s="126" t="s">
        <v>2222</v>
      </c>
      <c r="I1356" s="159" t="s">
        <v>470</v>
      </c>
      <c r="J1356" s="175" t="s">
        <v>140</v>
      </c>
      <c r="K1356" s="163">
        <v>0</v>
      </c>
      <c r="L1356" s="163">
        <v>0</v>
      </c>
      <c r="M1356" s="164">
        <v>221</v>
      </c>
      <c r="N1356" s="165">
        <v>7000</v>
      </c>
      <c r="O1356" s="164">
        <v>2</v>
      </c>
      <c r="P1356" s="165">
        <f t="shared" si="224"/>
        <v>3500</v>
      </c>
      <c r="Q1356" s="185">
        <v>0.8</v>
      </c>
      <c r="R1356" s="546">
        <v>3500</v>
      </c>
      <c r="S1356" s="164">
        <f t="shared" si="222"/>
        <v>0</v>
      </c>
      <c r="T1356" s="168">
        <f t="shared" ref="T1356:T1361" si="227">((3600/M1356)*O1356)*24*Q1356</f>
        <v>625.52036199095028</v>
      </c>
      <c r="U1356" s="163">
        <f t="shared" ref="U1356:U1364" si="228">(P1356-R1356)*M1356/3600/Q1356</f>
        <v>0</v>
      </c>
      <c r="V1356" s="163">
        <f t="shared" ref="V1356:V1364" si="229">U1356/24</f>
        <v>0</v>
      </c>
      <c r="W1356" s="163">
        <v>0</v>
      </c>
      <c r="X1356" s="137">
        <f t="shared" si="225"/>
        <v>46153.905439814815</v>
      </c>
    </row>
    <row r="1357" spans="1:24" s="179" customFormat="1" ht="26.5" hidden="1" x14ac:dyDescent="0.35">
      <c r="A1357" s="161">
        <f t="shared" si="221"/>
        <v>46153.905439814815</v>
      </c>
      <c r="B1357" s="161">
        <f>X1356</f>
        <v>46153.905439814815</v>
      </c>
      <c r="C1357" s="190">
        <f t="shared" si="226"/>
        <v>0</v>
      </c>
      <c r="D1357" s="190"/>
      <c r="E1357" s="158" t="s">
        <v>467</v>
      </c>
      <c r="F1357" s="159" t="s">
        <v>389</v>
      </c>
      <c r="G1357" s="125" t="s">
        <v>386</v>
      </c>
      <c r="H1357" s="126" t="s">
        <v>2223</v>
      </c>
      <c r="I1357" s="125" t="s">
        <v>4231</v>
      </c>
      <c r="J1357" s="128" t="s">
        <v>140</v>
      </c>
      <c r="K1357" s="129">
        <v>0</v>
      </c>
      <c r="L1357" s="129">
        <v>0</v>
      </c>
      <c r="M1357" s="130">
        <v>100</v>
      </c>
      <c r="N1357" s="131">
        <v>3000</v>
      </c>
      <c r="O1357" s="189">
        <v>1</v>
      </c>
      <c r="P1357" s="131">
        <f t="shared" si="224"/>
        <v>3000</v>
      </c>
      <c r="Q1357" s="185">
        <v>0.8</v>
      </c>
      <c r="R1357" s="130">
        <v>3000</v>
      </c>
      <c r="S1357" s="164">
        <f t="shared" si="222"/>
        <v>0</v>
      </c>
      <c r="T1357" s="168">
        <f t="shared" si="227"/>
        <v>691.2</v>
      </c>
      <c r="U1357" s="163">
        <f t="shared" si="228"/>
        <v>0</v>
      </c>
      <c r="V1357" s="163">
        <f t="shared" si="229"/>
        <v>0</v>
      </c>
      <c r="W1357" s="163">
        <v>0</v>
      </c>
      <c r="X1357" s="137">
        <f t="shared" si="225"/>
        <v>46153.905439814815</v>
      </c>
    </row>
    <row r="1358" spans="1:24" s="118" customFormat="1" ht="39.5" hidden="1" x14ac:dyDescent="0.35">
      <c r="A1358" s="161">
        <f t="shared" si="221"/>
        <v>46153.905439814815</v>
      </c>
      <c r="B1358" s="123">
        <v>46085</v>
      </c>
      <c r="C1358" s="183">
        <f t="shared" si="226"/>
        <v>-68.905439814814599</v>
      </c>
      <c r="D1358" s="183"/>
      <c r="E1358" s="124" t="s">
        <v>467</v>
      </c>
      <c r="F1358" s="159" t="s">
        <v>2224</v>
      </c>
      <c r="G1358" s="159" t="s">
        <v>398</v>
      </c>
      <c r="H1358" s="126" t="s">
        <v>2225</v>
      </c>
      <c r="I1358" s="161" t="s">
        <v>2226</v>
      </c>
      <c r="J1358" s="162" t="s">
        <v>140</v>
      </c>
      <c r="K1358" s="163">
        <v>0</v>
      </c>
      <c r="L1358" s="163">
        <v>0</v>
      </c>
      <c r="M1358" s="164">
        <v>65</v>
      </c>
      <c r="N1358" s="165">
        <v>160</v>
      </c>
      <c r="O1358" s="166">
        <v>1</v>
      </c>
      <c r="P1358" s="165">
        <f t="shared" si="224"/>
        <v>160</v>
      </c>
      <c r="Q1358" s="185">
        <v>0.8</v>
      </c>
      <c r="R1358" s="164">
        <v>160</v>
      </c>
      <c r="S1358" s="164">
        <f t="shared" si="222"/>
        <v>0</v>
      </c>
      <c r="T1358" s="168">
        <f t="shared" si="227"/>
        <v>1063.3846153846155</v>
      </c>
      <c r="U1358" s="163">
        <f t="shared" si="228"/>
        <v>0</v>
      </c>
      <c r="V1358" s="163">
        <f t="shared" si="229"/>
        <v>0</v>
      </c>
      <c r="W1358" s="163">
        <v>0</v>
      </c>
      <c r="X1358" s="169">
        <f t="shared" si="225"/>
        <v>46153.905439814815</v>
      </c>
    </row>
    <row r="1359" spans="1:24" s="118" customFormat="1" hidden="1" x14ac:dyDescent="0.35">
      <c r="A1359" s="161">
        <f t="shared" si="221"/>
        <v>46153.905439814815</v>
      </c>
      <c r="B1359" s="123">
        <v>46084</v>
      </c>
      <c r="C1359" s="183">
        <f t="shared" si="226"/>
        <v>-69.905439814814599</v>
      </c>
      <c r="D1359" s="183"/>
      <c r="E1359" s="158" t="s">
        <v>467</v>
      </c>
      <c r="F1359" s="159" t="s">
        <v>2227</v>
      </c>
      <c r="G1359" s="159" t="s">
        <v>398</v>
      </c>
      <c r="H1359" s="126" t="s">
        <v>2228</v>
      </c>
      <c r="I1359" s="161" t="s">
        <v>348</v>
      </c>
      <c r="J1359" s="175" t="s">
        <v>140</v>
      </c>
      <c r="K1359" s="163">
        <v>0</v>
      </c>
      <c r="L1359" s="163">
        <v>0</v>
      </c>
      <c r="M1359" s="164">
        <v>65</v>
      </c>
      <c r="N1359" s="165">
        <v>26</v>
      </c>
      <c r="O1359" s="166">
        <v>1</v>
      </c>
      <c r="P1359" s="165">
        <f t="shared" si="224"/>
        <v>26</v>
      </c>
      <c r="Q1359" s="185">
        <v>0.8</v>
      </c>
      <c r="R1359" s="164">
        <v>26</v>
      </c>
      <c r="S1359" s="164">
        <f t="shared" si="222"/>
        <v>0</v>
      </c>
      <c r="T1359" s="168">
        <f t="shared" si="227"/>
        <v>1063.3846153846155</v>
      </c>
      <c r="U1359" s="163">
        <f t="shared" si="228"/>
        <v>0</v>
      </c>
      <c r="V1359" s="163">
        <f t="shared" si="229"/>
        <v>0</v>
      </c>
      <c r="W1359" s="163">
        <v>0</v>
      </c>
      <c r="X1359" s="169">
        <f t="shared" si="225"/>
        <v>46153.905439814815</v>
      </c>
    </row>
    <row r="1360" spans="1:24" s="243" customFormat="1" hidden="1" x14ac:dyDescent="0.35">
      <c r="A1360" s="161">
        <f t="shared" ref="A1360:A1369" si="230">X1359</f>
        <v>46153.905439814815</v>
      </c>
      <c r="B1360" s="123">
        <v>46084</v>
      </c>
      <c r="C1360" s="183">
        <f t="shared" si="226"/>
        <v>-69.905439814814599</v>
      </c>
      <c r="D1360" s="183"/>
      <c r="E1360" s="124" t="s">
        <v>467</v>
      </c>
      <c r="F1360" s="159" t="s">
        <v>2229</v>
      </c>
      <c r="G1360" s="159" t="s">
        <v>398</v>
      </c>
      <c r="H1360" s="126" t="s">
        <v>2230</v>
      </c>
      <c r="I1360" s="161" t="s">
        <v>339</v>
      </c>
      <c r="J1360" s="162" t="s">
        <v>140</v>
      </c>
      <c r="K1360" s="163">
        <v>0</v>
      </c>
      <c r="L1360" s="163">
        <v>0</v>
      </c>
      <c r="M1360" s="164">
        <v>65</v>
      </c>
      <c r="N1360" s="165">
        <v>25</v>
      </c>
      <c r="O1360" s="166">
        <v>1</v>
      </c>
      <c r="P1360" s="165">
        <f t="shared" si="224"/>
        <v>25</v>
      </c>
      <c r="Q1360" s="185">
        <v>0.8</v>
      </c>
      <c r="R1360" s="164">
        <v>25</v>
      </c>
      <c r="S1360" s="164">
        <f t="shared" si="222"/>
        <v>0</v>
      </c>
      <c r="T1360" s="168">
        <f t="shared" si="227"/>
        <v>1063.3846153846155</v>
      </c>
      <c r="U1360" s="163">
        <f t="shared" si="228"/>
        <v>0</v>
      </c>
      <c r="V1360" s="163">
        <f t="shared" si="229"/>
        <v>0</v>
      </c>
      <c r="W1360" s="163">
        <v>0</v>
      </c>
      <c r="X1360" s="169">
        <f t="shared" si="225"/>
        <v>46153.905439814815</v>
      </c>
    </row>
    <row r="1361" spans="1:24" s="179" customFormat="1" hidden="1" x14ac:dyDescent="0.35">
      <c r="A1361" s="161">
        <f t="shared" si="230"/>
        <v>46153.905439814815</v>
      </c>
      <c r="B1361" s="161">
        <v>46102</v>
      </c>
      <c r="C1361" s="183">
        <f t="shared" si="226"/>
        <v>-51.905439814814599</v>
      </c>
      <c r="D1361" s="183" t="s">
        <v>2231</v>
      </c>
      <c r="E1361" s="158" t="s">
        <v>64</v>
      </c>
      <c r="F1361" s="159" t="s">
        <v>1669</v>
      </c>
      <c r="G1361" s="159" t="s">
        <v>398</v>
      </c>
      <c r="H1361" s="126" t="s">
        <v>2232</v>
      </c>
      <c r="I1361" s="159" t="s">
        <v>2233</v>
      </c>
      <c r="J1361" s="175" t="s">
        <v>140</v>
      </c>
      <c r="K1361" s="163">
        <v>0</v>
      </c>
      <c r="L1361" s="163">
        <v>0</v>
      </c>
      <c r="M1361" s="164">
        <v>100</v>
      </c>
      <c r="N1361" s="165">
        <v>3000</v>
      </c>
      <c r="O1361" s="166">
        <v>1</v>
      </c>
      <c r="P1361" s="165">
        <f t="shared" si="224"/>
        <v>3000</v>
      </c>
      <c r="Q1361" s="185">
        <v>0.8</v>
      </c>
      <c r="R1361" s="164">
        <v>3000</v>
      </c>
      <c r="S1361" s="164">
        <f t="shared" si="222"/>
        <v>0</v>
      </c>
      <c r="T1361" s="168">
        <f t="shared" si="227"/>
        <v>691.2</v>
      </c>
      <c r="U1361" s="163">
        <f t="shared" si="228"/>
        <v>0</v>
      </c>
      <c r="V1361" s="163">
        <f t="shared" si="229"/>
        <v>0</v>
      </c>
      <c r="W1361" s="163">
        <v>0</v>
      </c>
      <c r="X1361" s="169">
        <f t="shared" si="225"/>
        <v>46153.905439814815</v>
      </c>
    </row>
    <row r="1362" spans="1:24" s="511" customFormat="1" ht="25" hidden="1" customHeight="1" x14ac:dyDescent="0.35">
      <c r="A1362" s="71">
        <f t="shared" si="230"/>
        <v>46153.905439814815</v>
      </c>
      <c r="B1362" s="46">
        <v>46087</v>
      </c>
      <c r="C1362" s="180">
        <f t="shared" si="226"/>
        <v>-66.905439814814599</v>
      </c>
      <c r="D1362" s="46" t="s">
        <v>2234</v>
      </c>
      <c r="E1362" s="119" t="s">
        <v>467</v>
      </c>
      <c r="F1362" s="97" t="s">
        <v>2235</v>
      </c>
      <c r="G1362" s="82" t="s">
        <v>398</v>
      </c>
      <c r="H1362" s="98" t="s">
        <v>2236</v>
      </c>
      <c r="I1362" s="82" t="s">
        <v>470</v>
      </c>
      <c r="J1362" s="100" t="s">
        <v>140</v>
      </c>
      <c r="K1362" s="101">
        <v>0</v>
      </c>
      <c r="L1362" s="101">
        <v>0</v>
      </c>
      <c r="M1362" s="102">
        <v>185</v>
      </c>
      <c r="N1362" s="103">
        <f>420*20</f>
        <v>8400</v>
      </c>
      <c r="O1362" s="171">
        <v>2</v>
      </c>
      <c r="P1362" s="103">
        <f t="shared" si="224"/>
        <v>4200</v>
      </c>
      <c r="Q1362" s="181">
        <v>0.8</v>
      </c>
      <c r="R1362" s="102">
        <v>4200</v>
      </c>
      <c r="S1362" s="102">
        <f t="shared" si="222"/>
        <v>0</v>
      </c>
      <c r="T1362" s="173">
        <f>((3600/M1362)*O1362)*27*Q1362</f>
        <v>840.64864864864876</v>
      </c>
      <c r="U1362" s="101">
        <f t="shared" si="228"/>
        <v>0</v>
      </c>
      <c r="V1362" s="101">
        <f t="shared" si="229"/>
        <v>0</v>
      </c>
      <c r="W1362" s="101">
        <v>0</v>
      </c>
      <c r="X1362" s="55">
        <f t="shared" si="225"/>
        <v>46153.905439814815</v>
      </c>
    </row>
    <row r="1363" spans="1:24" s="186" customFormat="1" ht="25" hidden="1" customHeight="1" x14ac:dyDescent="0.35">
      <c r="A1363" s="161">
        <f t="shared" si="230"/>
        <v>46153.905439814815</v>
      </c>
      <c r="B1363" s="123">
        <v>46121</v>
      </c>
      <c r="C1363" s="183">
        <f t="shared" si="226"/>
        <v>-32.905439814814599</v>
      </c>
      <c r="D1363" s="123"/>
      <c r="E1363" s="158" t="s">
        <v>467</v>
      </c>
      <c r="F1363" s="159" t="s">
        <v>2237</v>
      </c>
      <c r="G1363" s="159" t="s">
        <v>398</v>
      </c>
      <c r="H1363" s="126" t="s">
        <v>2238</v>
      </c>
      <c r="I1363" s="159" t="s">
        <v>108</v>
      </c>
      <c r="J1363" s="175" t="s">
        <v>140</v>
      </c>
      <c r="K1363" s="163">
        <v>0</v>
      </c>
      <c r="L1363" s="163">
        <v>0</v>
      </c>
      <c r="M1363" s="164">
        <v>800</v>
      </c>
      <c r="N1363" s="165">
        <f>75+50</f>
        <v>125</v>
      </c>
      <c r="O1363" s="166">
        <v>1</v>
      </c>
      <c r="P1363" s="165">
        <f t="shared" si="224"/>
        <v>125</v>
      </c>
      <c r="Q1363" s="185">
        <v>0.8</v>
      </c>
      <c r="R1363" s="164">
        <v>125</v>
      </c>
      <c r="S1363" s="164">
        <f t="shared" si="222"/>
        <v>0</v>
      </c>
      <c r="T1363" s="168">
        <f t="shared" ref="T1363:T1369" si="231">((3600/M1363)*O1363)*24*Q1363</f>
        <v>86.4</v>
      </c>
      <c r="U1363" s="163">
        <f t="shared" si="228"/>
        <v>0</v>
      </c>
      <c r="V1363" s="163">
        <f t="shared" si="229"/>
        <v>0</v>
      </c>
      <c r="W1363" s="163">
        <v>0</v>
      </c>
      <c r="X1363" s="169">
        <f t="shared" si="225"/>
        <v>46153.905439814815</v>
      </c>
    </row>
    <row r="1364" spans="1:24" s="186" customFormat="1" ht="25" hidden="1" customHeight="1" x14ac:dyDescent="0.35">
      <c r="A1364" s="161">
        <f t="shared" si="230"/>
        <v>46153.905439814815</v>
      </c>
      <c r="B1364" s="123">
        <v>46129</v>
      </c>
      <c r="C1364" s="183">
        <f t="shared" si="226"/>
        <v>-24.905439814814599</v>
      </c>
      <c r="D1364" s="123"/>
      <c r="E1364" s="158" t="s">
        <v>467</v>
      </c>
      <c r="F1364" s="125" t="s">
        <v>2239</v>
      </c>
      <c r="G1364" s="125" t="s">
        <v>411</v>
      </c>
      <c r="H1364" s="126" t="s">
        <v>2240</v>
      </c>
      <c r="I1364" s="187" t="s">
        <v>953</v>
      </c>
      <c r="J1364" s="175" t="s">
        <v>140</v>
      </c>
      <c r="K1364" s="163">
        <v>0</v>
      </c>
      <c r="L1364" s="163">
        <v>0</v>
      </c>
      <c r="M1364" s="164">
        <v>100</v>
      </c>
      <c r="N1364" s="165">
        <v>5100</v>
      </c>
      <c r="O1364" s="166">
        <v>1</v>
      </c>
      <c r="P1364" s="165">
        <f t="shared" si="224"/>
        <v>5100</v>
      </c>
      <c r="Q1364" s="185">
        <v>0.8</v>
      </c>
      <c r="R1364" s="164">
        <v>5100</v>
      </c>
      <c r="S1364" s="164">
        <f t="shared" si="222"/>
        <v>0</v>
      </c>
      <c r="T1364" s="168">
        <f t="shared" si="231"/>
        <v>691.2</v>
      </c>
      <c r="U1364" s="163">
        <f t="shared" si="228"/>
        <v>0</v>
      </c>
      <c r="V1364" s="163">
        <f t="shared" si="229"/>
        <v>0</v>
      </c>
      <c r="W1364" s="163">
        <v>0</v>
      </c>
      <c r="X1364" s="137">
        <f t="shared" si="225"/>
        <v>46153.905439814815</v>
      </c>
    </row>
    <row r="1365" spans="1:24" s="186" customFormat="1" ht="25" hidden="1" customHeight="1" x14ac:dyDescent="0.35">
      <c r="A1365" s="161">
        <f t="shared" si="230"/>
        <v>46153.905439814815</v>
      </c>
      <c r="B1365" s="161">
        <v>46132</v>
      </c>
      <c r="C1365" s="190">
        <f>B1365-A1365</f>
        <v>-21.905439814814599</v>
      </c>
      <c r="D1365" s="123" t="s">
        <v>2241</v>
      </c>
      <c r="E1365" s="158" t="s">
        <v>467</v>
      </c>
      <c r="F1365" s="159" t="s">
        <v>871</v>
      </c>
      <c r="G1365" s="125" t="s">
        <v>398</v>
      </c>
      <c r="H1365" s="126" t="s">
        <v>2242</v>
      </c>
      <c r="I1365" s="125" t="s">
        <v>4231</v>
      </c>
      <c r="J1365" s="128" t="s">
        <v>140</v>
      </c>
      <c r="K1365" s="129">
        <v>0</v>
      </c>
      <c r="L1365" s="129">
        <v>0</v>
      </c>
      <c r="M1365" s="130">
        <v>100</v>
      </c>
      <c r="N1365" s="131">
        <v>250</v>
      </c>
      <c r="O1365" s="189">
        <v>1</v>
      </c>
      <c r="P1365" s="131">
        <f>N1365/O1365</f>
        <v>250</v>
      </c>
      <c r="Q1365" s="185">
        <v>0.8</v>
      </c>
      <c r="R1365" s="130">
        <v>250</v>
      </c>
      <c r="S1365" s="164">
        <f>P1365-R1365</f>
        <v>0</v>
      </c>
      <c r="T1365" s="168">
        <f t="shared" si="231"/>
        <v>691.2</v>
      </c>
      <c r="U1365" s="163">
        <f>(P1365-R1365)*M1365/3600/Q1365</f>
        <v>0</v>
      </c>
      <c r="V1365" s="163">
        <f>U1365/24</f>
        <v>0</v>
      </c>
      <c r="W1365" s="163">
        <v>0</v>
      </c>
      <c r="X1365" s="137">
        <f>A1365+K1365+V1365+W1365+L1365</f>
        <v>46153.905439814815</v>
      </c>
    </row>
    <row r="1366" spans="1:24" s="186" customFormat="1" ht="40.5" hidden="1" customHeight="1" x14ac:dyDescent="0.35">
      <c r="A1366" s="161">
        <f t="shared" si="230"/>
        <v>46153.905439814815</v>
      </c>
      <c r="B1366" s="161">
        <v>46132</v>
      </c>
      <c r="C1366" s="190">
        <f>B1366-A1366</f>
        <v>-21.905439814814599</v>
      </c>
      <c r="D1366" s="123" t="s">
        <v>2241</v>
      </c>
      <c r="E1366" s="158" t="s">
        <v>467</v>
      </c>
      <c r="F1366" s="159" t="s">
        <v>871</v>
      </c>
      <c r="G1366" s="125" t="s">
        <v>398</v>
      </c>
      <c r="H1366" s="126" t="s">
        <v>2243</v>
      </c>
      <c r="I1366" s="125" t="s">
        <v>4232</v>
      </c>
      <c r="J1366" s="128" t="s">
        <v>140</v>
      </c>
      <c r="K1366" s="129">
        <v>0</v>
      </c>
      <c r="L1366" s="129">
        <v>0</v>
      </c>
      <c r="M1366" s="130">
        <v>100</v>
      </c>
      <c r="N1366" s="131">
        <v>500</v>
      </c>
      <c r="O1366" s="189">
        <v>1</v>
      </c>
      <c r="P1366" s="131">
        <f>N1366/O1366</f>
        <v>500</v>
      </c>
      <c r="Q1366" s="185">
        <v>0.8</v>
      </c>
      <c r="R1366" s="130">
        <v>500</v>
      </c>
      <c r="S1366" s="164">
        <f>P1366-R1366</f>
        <v>0</v>
      </c>
      <c r="T1366" s="168">
        <f t="shared" si="231"/>
        <v>691.2</v>
      </c>
      <c r="U1366" s="163">
        <f>(P1366-R1366)*M1366/3600/Q1366</f>
        <v>0</v>
      </c>
      <c r="V1366" s="163">
        <f>U1366/24</f>
        <v>0</v>
      </c>
      <c r="W1366" s="163">
        <v>0</v>
      </c>
      <c r="X1366" s="137">
        <f>A1366+K1366+V1366+W1366+L1366</f>
        <v>46153.905439814815</v>
      </c>
    </row>
    <row r="1367" spans="1:24" s="202" customFormat="1" ht="25" customHeight="1" x14ac:dyDescent="0.35">
      <c r="A1367" s="192">
        <f t="shared" si="230"/>
        <v>46153.905439814815</v>
      </c>
      <c r="B1367" s="193">
        <v>46133</v>
      </c>
      <c r="C1367" s="194">
        <f>B1367-A1367</f>
        <v>-20.905439814814599</v>
      </c>
      <c r="D1367" s="193"/>
      <c r="E1367" s="111" t="s">
        <v>467</v>
      </c>
      <c r="F1367" s="196" t="s">
        <v>2244</v>
      </c>
      <c r="G1367" s="112" t="s">
        <v>398</v>
      </c>
      <c r="H1367" s="113" t="s">
        <v>2245</v>
      </c>
      <c r="I1367" s="112" t="s">
        <v>4233</v>
      </c>
      <c r="J1367" s="383" t="s">
        <v>140</v>
      </c>
      <c r="K1367" s="482">
        <v>0</v>
      </c>
      <c r="L1367" s="482">
        <v>0</v>
      </c>
      <c r="M1367" s="199">
        <v>100</v>
      </c>
      <c r="N1367" s="483">
        <v>5300</v>
      </c>
      <c r="O1367" s="484">
        <v>1</v>
      </c>
      <c r="P1367" s="483">
        <f>N1367/O1367</f>
        <v>5300</v>
      </c>
      <c r="Q1367" s="198">
        <v>0.8</v>
      </c>
      <c r="R1367" s="199">
        <v>1226</v>
      </c>
      <c r="S1367" s="116">
        <f>P1367-R1367</f>
        <v>4074</v>
      </c>
      <c r="T1367" s="200">
        <f t="shared" si="231"/>
        <v>691.2</v>
      </c>
      <c r="U1367" s="115">
        <f>(P1367-R1367)*M1367/3600/Q1367</f>
        <v>141.45833333333334</v>
      </c>
      <c r="V1367" s="115">
        <f>U1367/24</f>
        <v>5.8940972222222223</v>
      </c>
      <c r="W1367" s="115">
        <v>0</v>
      </c>
      <c r="X1367" s="201">
        <f>A1367+K1367+V1367+W1367+L1367</f>
        <v>46159.799537037034</v>
      </c>
    </row>
    <row r="1368" spans="1:24" s="118" customFormat="1" ht="25" customHeight="1" x14ac:dyDescent="0.35">
      <c r="A1368" s="384">
        <f t="shared" si="230"/>
        <v>46159.799537037034</v>
      </c>
      <c r="B1368" s="384">
        <v>46155</v>
      </c>
      <c r="C1368" s="286">
        <f>B1368-A1368</f>
        <v>-4.7995370370335877</v>
      </c>
      <c r="D1368" s="548"/>
      <c r="E1368" s="386" t="s">
        <v>467</v>
      </c>
      <c r="F1368" s="288" t="s">
        <v>2246</v>
      </c>
      <c r="G1368" s="287" t="s">
        <v>414</v>
      </c>
      <c r="H1368" s="206" t="s">
        <v>2247</v>
      </c>
      <c r="I1368" s="287" t="s">
        <v>4231</v>
      </c>
      <c r="J1368" s="207" t="s">
        <v>140</v>
      </c>
      <c r="K1368" s="208">
        <v>0.25</v>
      </c>
      <c r="L1368" s="208">
        <v>0.2</v>
      </c>
      <c r="M1368" s="209">
        <v>100</v>
      </c>
      <c r="N1368" s="210">
        <v>2000</v>
      </c>
      <c r="O1368" s="486">
        <v>1</v>
      </c>
      <c r="P1368" s="210">
        <f>N1368/O1368</f>
        <v>2000</v>
      </c>
      <c r="Q1368" s="293">
        <v>0.8</v>
      </c>
      <c r="R1368" s="209"/>
      <c r="S1368" s="290">
        <f>P1368-R1368</f>
        <v>2000</v>
      </c>
      <c r="T1368" s="294">
        <f t="shared" si="231"/>
        <v>691.2</v>
      </c>
      <c r="U1368" s="289">
        <f>(P1368-R1368)*M1368/3600/Q1368</f>
        <v>69.444444444444443</v>
      </c>
      <c r="V1368" s="289">
        <f>U1368/24</f>
        <v>2.8935185185185186</v>
      </c>
      <c r="W1368" s="289">
        <v>0</v>
      </c>
      <c r="X1368" s="212">
        <f>A1368+K1368+V1368+W1368+L1368</f>
        <v>46163.143055555549</v>
      </c>
    </row>
    <row r="1369" spans="1:24" s="118" customFormat="1" ht="25" customHeight="1" x14ac:dyDescent="0.35">
      <c r="A1369" s="384">
        <f t="shared" si="230"/>
        <v>46163.143055555549</v>
      </c>
      <c r="B1369" s="384">
        <v>46161</v>
      </c>
      <c r="C1369" s="286">
        <f>B1369-A1369</f>
        <v>-2.1430555555489263</v>
      </c>
      <c r="D1369" s="548"/>
      <c r="E1369" s="386" t="s">
        <v>467</v>
      </c>
      <c r="F1369" s="288" t="s">
        <v>2248</v>
      </c>
      <c r="G1369" s="287" t="s">
        <v>414</v>
      </c>
      <c r="H1369" s="206" t="s">
        <v>2249</v>
      </c>
      <c r="I1369" s="287" t="s">
        <v>4231</v>
      </c>
      <c r="J1369" s="207" t="s">
        <v>140</v>
      </c>
      <c r="K1369" s="208">
        <v>0.25</v>
      </c>
      <c r="L1369" s="208">
        <v>0.2</v>
      </c>
      <c r="M1369" s="209">
        <v>100</v>
      </c>
      <c r="N1369" s="210">
        <v>1000</v>
      </c>
      <c r="O1369" s="486">
        <v>1</v>
      </c>
      <c r="P1369" s="210">
        <f>N1369/O1369</f>
        <v>1000</v>
      </c>
      <c r="Q1369" s="293">
        <v>0.8</v>
      </c>
      <c r="R1369" s="209"/>
      <c r="S1369" s="290">
        <f>P1369-R1369</f>
        <v>1000</v>
      </c>
      <c r="T1369" s="294">
        <f t="shared" si="231"/>
        <v>691.2</v>
      </c>
      <c r="U1369" s="289">
        <f>(P1369-R1369)*M1369/3600/Q1369</f>
        <v>34.722222222222221</v>
      </c>
      <c r="V1369" s="289">
        <f>U1369/24</f>
        <v>1.4467592592592593</v>
      </c>
      <c r="W1369" s="289">
        <v>0</v>
      </c>
      <c r="X1369" s="212">
        <f>A1369+K1369+V1369+W1369+L1369</f>
        <v>46165.039814814809</v>
      </c>
    </row>
    <row r="1370" spans="1:24" s="487" customFormat="1" ht="25" customHeight="1" x14ac:dyDescent="0.35"/>
    <row r="1371" spans="1:24" ht="34.5" x14ac:dyDescent="0.8">
      <c r="A1371" s="35" t="s">
        <v>64</v>
      </c>
      <c r="B1371" s="35"/>
      <c r="C1371" s="35"/>
      <c r="D1371" s="35"/>
      <c r="E1371" s="36"/>
      <c r="F1371" s="37"/>
      <c r="G1371" s="37"/>
      <c r="H1371" s="311"/>
      <c r="I1371" s="39" t="s">
        <v>2250</v>
      </c>
      <c r="J1371" s="40"/>
      <c r="K1371" s="41"/>
      <c r="L1371" s="41"/>
      <c r="M1371" s="42"/>
      <c r="N1371" s="43"/>
      <c r="O1371" s="312"/>
      <c r="P1371" s="44"/>
      <c r="Q1371" s="44"/>
      <c r="R1371" s="45"/>
      <c r="S1371" s="44"/>
      <c r="T1371" s="313"/>
      <c r="U1371" s="44"/>
      <c r="V1371" s="44"/>
      <c r="W1371" s="44"/>
      <c r="X1371" s="45"/>
    </row>
    <row r="1372" spans="1:24" hidden="1" x14ac:dyDescent="0.35">
      <c r="A1372" s="46">
        <f>S7</f>
        <v>46153</v>
      </c>
      <c r="B1372" s="46"/>
      <c r="C1372" s="46"/>
      <c r="D1372" s="46"/>
      <c r="E1372" s="47" t="s">
        <v>64</v>
      </c>
      <c r="F1372" s="48" t="s">
        <v>2251</v>
      </c>
      <c r="G1372" s="48"/>
      <c r="H1372" s="49">
        <v>7488</v>
      </c>
      <c r="I1372" s="82" t="s">
        <v>947</v>
      </c>
      <c r="J1372" s="51"/>
      <c r="K1372" s="52">
        <v>0</v>
      </c>
      <c r="L1372" s="52">
        <v>0</v>
      </c>
      <c r="M1372" s="53">
        <v>85</v>
      </c>
      <c r="N1372" s="54">
        <v>5000</v>
      </c>
      <c r="O1372" s="341">
        <v>1</v>
      </c>
      <c r="P1372" s="54">
        <f>N1372/O1372</f>
        <v>5000</v>
      </c>
      <c r="Q1372" s="54"/>
      <c r="R1372" s="92">
        <v>5000</v>
      </c>
      <c r="S1372" s="53">
        <f t="shared" ref="S1372:S1435" si="232">P1372-R1372</f>
        <v>0</v>
      </c>
      <c r="T1372" s="343">
        <f t="shared" ref="T1372:T1435" si="233">((3600/M1372)*O1372)*24</f>
        <v>1016.4705882352941</v>
      </c>
      <c r="U1372" s="52">
        <f t="shared" ref="U1372:U1435" si="234">(P1372-R1372)*M1372/3600</f>
        <v>0</v>
      </c>
      <c r="V1372" s="52">
        <f t="shared" ref="V1372:V1435" si="235">(P1372-R1372)*M1372/3600/24</f>
        <v>0</v>
      </c>
      <c r="W1372" s="52">
        <v>0</v>
      </c>
      <c r="X1372" s="55">
        <f t="shared" ref="X1372:X1435" si="236">A1372+K1372+V1372+W1372+L1372</f>
        <v>46153</v>
      </c>
    </row>
    <row r="1373" spans="1:24" ht="29" hidden="1" x14ac:dyDescent="0.35">
      <c r="A1373" s="46">
        <f t="shared" ref="A1373:A1436" si="237">X1372</f>
        <v>46153</v>
      </c>
      <c r="B1373" s="46"/>
      <c r="C1373" s="46"/>
      <c r="D1373" s="46"/>
      <c r="E1373" s="47" t="s">
        <v>64</v>
      </c>
      <c r="F1373" s="57" t="s">
        <v>2252</v>
      </c>
      <c r="G1373" s="57"/>
      <c r="H1373" s="49">
        <v>7538</v>
      </c>
      <c r="I1373" s="82" t="s">
        <v>947</v>
      </c>
      <c r="J1373" s="51"/>
      <c r="K1373" s="52">
        <v>0</v>
      </c>
      <c r="L1373" s="52">
        <v>0</v>
      </c>
      <c r="M1373" s="53">
        <v>85</v>
      </c>
      <c r="N1373" s="54">
        <v>2600</v>
      </c>
      <c r="O1373" s="341">
        <v>1</v>
      </c>
      <c r="P1373" s="54">
        <v>2600</v>
      </c>
      <c r="Q1373" s="54"/>
      <c r="R1373" s="92">
        <v>2600</v>
      </c>
      <c r="S1373" s="53">
        <f t="shared" si="232"/>
        <v>0</v>
      </c>
      <c r="T1373" s="343">
        <f t="shared" si="233"/>
        <v>1016.4705882352941</v>
      </c>
      <c r="U1373" s="52">
        <f t="shared" si="234"/>
        <v>0</v>
      </c>
      <c r="V1373" s="52">
        <f t="shared" si="235"/>
        <v>0</v>
      </c>
      <c r="W1373" s="52">
        <v>0</v>
      </c>
      <c r="X1373" s="55">
        <f t="shared" si="236"/>
        <v>46153</v>
      </c>
    </row>
    <row r="1374" spans="1:24" hidden="1" x14ac:dyDescent="0.35">
      <c r="A1374" s="46">
        <f t="shared" si="237"/>
        <v>46153</v>
      </c>
      <c r="B1374" s="46"/>
      <c r="C1374" s="46"/>
      <c r="D1374" s="46"/>
      <c r="E1374" s="47" t="s">
        <v>64</v>
      </c>
      <c r="F1374" s="57" t="s">
        <v>2253</v>
      </c>
      <c r="G1374" s="57"/>
      <c r="H1374" s="49">
        <v>7538</v>
      </c>
      <c r="I1374" s="82" t="s">
        <v>947</v>
      </c>
      <c r="J1374" s="51"/>
      <c r="K1374" s="52">
        <v>0</v>
      </c>
      <c r="L1374" s="52">
        <v>0</v>
      </c>
      <c r="M1374" s="53">
        <v>85</v>
      </c>
      <c r="N1374" s="54">
        <v>1000</v>
      </c>
      <c r="O1374" s="341">
        <v>1</v>
      </c>
      <c r="P1374" s="54">
        <v>1000</v>
      </c>
      <c r="Q1374" s="54"/>
      <c r="R1374" s="92">
        <v>1000</v>
      </c>
      <c r="S1374" s="53">
        <f t="shared" si="232"/>
        <v>0</v>
      </c>
      <c r="T1374" s="343">
        <f t="shared" si="233"/>
        <v>1016.4705882352941</v>
      </c>
      <c r="U1374" s="52">
        <f t="shared" si="234"/>
        <v>0</v>
      </c>
      <c r="V1374" s="52">
        <f t="shared" si="235"/>
        <v>0</v>
      </c>
      <c r="W1374" s="52">
        <v>0</v>
      </c>
      <c r="X1374" s="55">
        <f t="shared" si="236"/>
        <v>46153</v>
      </c>
    </row>
    <row r="1375" spans="1:24" ht="29" hidden="1" x14ac:dyDescent="0.35">
      <c r="A1375" s="46">
        <f t="shared" si="237"/>
        <v>46153</v>
      </c>
      <c r="B1375" s="46"/>
      <c r="C1375" s="46"/>
      <c r="D1375" s="46"/>
      <c r="E1375" s="47" t="s">
        <v>64</v>
      </c>
      <c r="F1375" s="48" t="s">
        <v>1931</v>
      </c>
      <c r="G1375" s="48"/>
      <c r="H1375" s="59" t="s">
        <v>1932</v>
      </c>
      <c r="I1375" s="82" t="s">
        <v>103</v>
      </c>
      <c r="J1375" s="51"/>
      <c r="K1375" s="52">
        <v>0</v>
      </c>
      <c r="L1375" s="52">
        <v>0</v>
      </c>
      <c r="M1375" s="53">
        <v>190</v>
      </c>
      <c r="N1375" s="54">
        <v>2000</v>
      </c>
      <c r="O1375" s="341">
        <v>1</v>
      </c>
      <c r="P1375" s="54">
        <v>1183</v>
      </c>
      <c r="Q1375" s="54"/>
      <c r="R1375" s="92">
        <v>1183</v>
      </c>
      <c r="S1375" s="53">
        <f t="shared" si="232"/>
        <v>0</v>
      </c>
      <c r="T1375" s="343">
        <f t="shared" si="233"/>
        <v>454.73684210526312</v>
      </c>
      <c r="U1375" s="52">
        <f t="shared" si="234"/>
        <v>0</v>
      </c>
      <c r="V1375" s="52">
        <f t="shared" si="235"/>
        <v>0</v>
      </c>
      <c r="W1375" s="52">
        <v>0</v>
      </c>
      <c r="X1375" s="55">
        <f t="shared" si="236"/>
        <v>46153</v>
      </c>
    </row>
    <row r="1376" spans="1:24" hidden="1" x14ac:dyDescent="0.35">
      <c r="A1376" s="46">
        <f t="shared" si="237"/>
        <v>46153</v>
      </c>
      <c r="B1376" s="46"/>
      <c r="C1376" s="46"/>
      <c r="D1376" s="46"/>
      <c r="E1376" s="47" t="s">
        <v>418</v>
      </c>
      <c r="F1376" s="48" t="s">
        <v>926</v>
      </c>
      <c r="G1376" s="48"/>
      <c r="H1376" s="49">
        <v>7415</v>
      </c>
      <c r="I1376" s="82" t="s">
        <v>419</v>
      </c>
      <c r="J1376" s="51"/>
      <c r="K1376" s="52">
        <v>0</v>
      </c>
      <c r="L1376" s="52">
        <v>0</v>
      </c>
      <c r="M1376" s="53">
        <v>120</v>
      </c>
      <c r="N1376" s="54">
        <v>574</v>
      </c>
      <c r="O1376" s="341">
        <v>1</v>
      </c>
      <c r="P1376" s="54">
        <f>N1376/O1376</f>
        <v>574</v>
      </c>
      <c r="Q1376" s="54"/>
      <c r="R1376" s="92">
        <v>574</v>
      </c>
      <c r="S1376" s="53">
        <f t="shared" si="232"/>
        <v>0</v>
      </c>
      <c r="T1376" s="343">
        <f t="shared" si="233"/>
        <v>720</v>
      </c>
      <c r="U1376" s="52">
        <f t="shared" si="234"/>
        <v>0</v>
      </c>
      <c r="V1376" s="52">
        <f t="shared" si="235"/>
        <v>0</v>
      </c>
      <c r="W1376" s="52">
        <v>0</v>
      </c>
      <c r="X1376" s="55">
        <f t="shared" si="236"/>
        <v>46153</v>
      </c>
    </row>
    <row r="1377" spans="1:24" ht="29" hidden="1" x14ac:dyDescent="0.35">
      <c r="A1377" s="46">
        <f t="shared" si="237"/>
        <v>46153</v>
      </c>
      <c r="B1377" s="46"/>
      <c r="C1377" s="46"/>
      <c r="D1377" s="46"/>
      <c r="E1377" s="47" t="s">
        <v>64</v>
      </c>
      <c r="F1377" s="48" t="s">
        <v>2254</v>
      </c>
      <c r="G1377" s="48"/>
      <c r="H1377" s="49" t="s">
        <v>2255</v>
      </c>
      <c r="I1377" s="82" t="s">
        <v>2256</v>
      </c>
      <c r="J1377" s="51"/>
      <c r="K1377" s="52">
        <v>0</v>
      </c>
      <c r="L1377" s="52">
        <v>0</v>
      </c>
      <c r="M1377" s="53">
        <v>90</v>
      </c>
      <c r="N1377" s="54">
        <v>50</v>
      </c>
      <c r="O1377" s="341">
        <v>1</v>
      </c>
      <c r="P1377" s="54">
        <f>N1377/O1377</f>
        <v>50</v>
      </c>
      <c r="Q1377" s="54"/>
      <c r="R1377" s="92">
        <v>50</v>
      </c>
      <c r="S1377" s="53">
        <f t="shared" si="232"/>
        <v>0</v>
      </c>
      <c r="T1377" s="343">
        <f t="shared" si="233"/>
        <v>960</v>
      </c>
      <c r="U1377" s="52">
        <f t="shared" si="234"/>
        <v>0</v>
      </c>
      <c r="V1377" s="52">
        <f t="shared" si="235"/>
        <v>0</v>
      </c>
      <c r="W1377" s="52">
        <v>0</v>
      </c>
      <c r="X1377" s="55">
        <f t="shared" si="236"/>
        <v>46153</v>
      </c>
    </row>
    <row r="1378" spans="1:24" hidden="1" x14ac:dyDescent="0.35">
      <c r="A1378" s="46">
        <f t="shared" si="237"/>
        <v>46153</v>
      </c>
      <c r="B1378" s="46"/>
      <c r="C1378" s="46"/>
      <c r="D1378" s="46"/>
      <c r="E1378" s="47" t="s">
        <v>64</v>
      </c>
      <c r="F1378" s="48" t="s">
        <v>65</v>
      </c>
      <c r="G1378" s="48"/>
      <c r="H1378" s="49" t="s">
        <v>2257</v>
      </c>
      <c r="I1378" s="99" t="s">
        <v>2258</v>
      </c>
      <c r="J1378" s="51"/>
      <c r="K1378" s="52">
        <v>0</v>
      </c>
      <c r="L1378" s="52">
        <v>0</v>
      </c>
      <c r="M1378" s="53">
        <v>70</v>
      </c>
      <c r="N1378" s="54">
        <v>700</v>
      </c>
      <c r="O1378" s="341">
        <v>1</v>
      </c>
      <c r="P1378" s="54">
        <f>N1378/O1378</f>
        <v>700</v>
      </c>
      <c r="Q1378" s="54"/>
      <c r="R1378" s="92">
        <v>700</v>
      </c>
      <c r="S1378" s="53">
        <f t="shared" si="232"/>
        <v>0</v>
      </c>
      <c r="T1378" s="343">
        <f t="shared" si="233"/>
        <v>1234.2857142857142</v>
      </c>
      <c r="U1378" s="52">
        <f t="shared" si="234"/>
        <v>0</v>
      </c>
      <c r="V1378" s="52">
        <f t="shared" si="235"/>
        <v>0</v>
      </c>
      <c r="W1378" s="52">
        <v>0</v>
      </c>
      <c r="X1378" s="55">
        <f t="shared" si="236"/>
        <v>46153</v>
      </c>
    </row>
    <row r="1379" spans="1:24" hidden="1" x14ac:dyDescent="0.35">
      <c r="A1379" s="46">
        <f t="shared" si="237"/>
        <v>46153</v>
      </c>
      <c r="B1379" s="46"/>
      <c r="C1379" s="46"/>
      <c r="D1379" s="46"/>
      <c r="E1379" s="47" t="s">
        <v>64</v>
      </c>
      <c r="F1379" s="48" t="s">
        <v>65</v>
      </c>
      <c r="G1379" s="48"/>
      <c r="H1379" s="49" t="s">
        <v>2259</v>
      </c>
      <c r="I1379" s="99" t="s">
        <v>2260</v>
      </c>
      <c r="J1379" s="51"/>
      <c r="K1379" s="52">
        <v>0</v>
      </c>
      <c r="L1379" s="52">
        <v>0</v>
      </c>
      <c r="M1379" s="53">
        <v>70</v>
      </c>
      <c r="N1379" s="54">
        <v>300</v>
      </c>
      <c r="O1379" s="341">
        <v>1</v>
      </c>
      <c r="P1379" s="54">
        <f>N1379/O1379</f>
        <v>300</v>
      </c>
      <c r="Q1379" s="54"/>
      <c r="R1379" s="92">
        <v>300</v>
      </c>
      <c r="S1379" s="53">
        <f t="shared" si="232"/>
        <v>0</v>
      </c>
      <c r="T1379" s="343">
        <f t="shared" si="233"/>
        <v>1234.2857142857142</v>
      </c>
      <c r="U1379" s="52">
        <f t="shared" si="234"/>
        <v>0</v>
      </c>
      <c r="V1379" s="52">
        <f t="shared" si="235"/>
        <v>0</v>
      </c>
      <c r="W1379" s="52">
        <v>0</v>
      </c>
      <c r="X1379" s="55">
        <f t="shared" si="236"/>
        <v>46153</v>
      </c>
    </row>
    <row r="1380" spans="1:24" hidden="1" x14ac:dyDescent="0.35">
      <c r="A1380" s="46">
        <f t="shared" si="237"/>
        <v>46153</v>
      </c>
      <c r="B1380" s="46"/>
      <c r="C1380" s="46"/>
      <c r="D1380" s="46"/>
      <c r="E1380" s="47" t="s">
        <v>64</v>
      </c>
      <c r="F1380" s="48" t="s">
        <v>65</v>
      </c>
      <c r="G1380" s="48"/>
      <c r="H1380" s="49" t="s">
        <v>2261</v>
      </c>
      <c r="I1380" s="99" t="s">
        <v>2262</v>
      </c>
      <c r="J1380" s="51"/>
      <c r="K1380" s="52">
        <v>0</v>
      </c>
      <c r="L1380" s="52">
        <v>0</v>
      </c>
      <c r="M1380" s="53">
        <v>70</v>
      </c>
      <c r="N1380" s="54">
        <v>1500</v>
      </c>
      <c r="O1380" s="341">
        <v>1</v>
      </c>
      <c r="P1380" s="54">
        <v>1512</v>
      </c>
      <c r="Q1380" s="54"/>
      <c r="R1380" s="92">
        <v>1512</v>
      </c>
      <c r="S1380" s="53">
        <f t="shared" si="232"/>
        <v>0</v>
      </c>
      <c r="T1380" s="343">
        <f t="shared" si="233"/>
        <v>1234.2857142857142</v>
      </c>
      <c r="U1380" s="52">
        <f t="shared" si="234"/>
        <v>0</v>
      </c>
      <c r="V1380" s="52">
        <f t="shared" si="235"/>
        <v>0</v>
      </c>
      <c r="W1380" s="52">
        <v>0</v>
      </c>
      <c r="X1380" s="55">
        <f t="shared" si="236"/>
        <v>46153</v>
      </c>
    </row>
    <row r="1381" spans="1:24" hidden="1" x14ac:dyDescent="0.35">
      <c r="A1381" s="46">
        <f t="shared" si="237"/>
        <v>46153</v>
      </c>
      <c r="B1381" s="46"/>
      <c r="C1381" s="46"/>
      <c r="D1381" s="46"/>
      <c r="E1381" s="47" t="s">
        <v>64</v>
      </c>
      <c r="F1381" s="48" t="s">
        <v>65</v>
      </c>
      <c r="G1381" s="48"/>
      <c r="H1381" s="49" t="s">
        <v>2263</v>
      </c>
      <c r="I1381" s="99" t="s">
        <v>2264</v>
      </c>
      <c r="J1381" s="51"/>
      <c r="K1381" s="52">
        <v>0</v>
      </c>
      <c r="L1381" s="52">
        <v>0</v>
      </c>
      <c r="M1381" s="53">
        <v>90</v>
      </c>
      <c r="N1381" s="54">
        <v>1482</v>
      </c>
      <c r="O1381" s="341">
        <v>1</v>
      </c>
      <c r="P1381" s="54">
        <v>1539</v>
      </c>
      <c r="Q1381" s="54"/>
      <c r="R1381" s="92">
        <v>1539</v>
      </c>
      <c r="S1381" s="53">
        <f t="shared" si="232"/>
        <v>0</v>
      </c>
      <c r="T1381" s="343">
        <f t="shared" si="233"/>
        <v>960</v>
      </c>
      <c r="U1381" s="52">
        <f t="shared" si="234"/>
        <v>0</v>
      </c>
      <c r="V1381" s="52">
        <f t="shared" si="235"/>
        <v>0</v>
      </c>
      <c r="W1381" s="52">
        <v>0</v>
      </c>
      <c r="X1381" s="55">
        <f t="shared" si="236"/>
        <v>46153</v>
      </c>
    </row>
    <row r="1382" spans="1:24" hidden="1" x14ac:dyDescent="0.35">
      <c r="A1382" s="46">
        <f t="shared" si="237"/>
        <v>46153</v>
      </c>
      <c r="B1382" s="46"/>
      <c r="C1382" s="46"/>
      <c r="D1382" s="46"/>
      <c r="E1382" s="47" t="s">
        <v>64</v>
      </c>
      <c r="F1382" s="48" t="s">
        <v>926</v>
      </c>
      <c r="G1382" s="48"/>
      <c r="H1382" s="49">
        <v>7415</v>
      </c>
      <c r="I1382" s="82" t="s">
        <v>419</v>
      </c>
      <c r="J1382" s="51"/>
      <c r="K1382" s="52">
        <v>0</v>
      </c>
      <c r="L1382" s="52">
        <v>0</v>
      </c>
      <c r="M1382" s="53">
        <v>120</v>
      </c>
      <c r="N1382" s="54">
        <v>1311</v>
      </c>
      <c r="O1382" s="341">
        <v>1</v>
      </c>
      <c r="P1382" s="54">
        <f>N1382/O1382</f>
        <v>1311</v>
      </c>
      <c r="Q1382" s="54"/>
      <c r="R1382" s="92">
        <v>1311</v>
      </c>
      <c r="S1382" s="53">
        <f t="shared" si="232"/>
        <v>0</v>
      </c>
      <c r="T1382" s="343">
        <f t="shared" si="233"/>
        <v>720</v>
      </c>
      <c r="U1382" s="52">
        <f t="shared" si="234"/>
        <v>0</v>
      </c>
      <c r="V1382" s="52">
        <f t="shared" si="235"/>
        <v>0</v>
      </c>
      <c r="W1382" s="52">
        <v>0</v>
      </c>
      <c r="X1382" s="55">
        <f t="shared" si="236"/>
        <v>46153</v>
      </c>
    </row>
    <row r="1383" spans="1:24" hidden="1" x14ac:dyDescent="0.35">
      <c r="A1383" s="46">
        <f t="shared" si="237"/>
        <v>46153</v>
      </c>
      <c r="B1383" s="46"/>
      <c r="C1383" s="46"/>
      <c r="D1383" s="46"/>
      <c r="E1383" s="47" t="s">
        <v>64</v>
      </c>
      <c r="F1383" s="48" t="s">
        <v>74</v>
      </c>
      <c r="G1383" s="48"/>
      <c r="H1383" s="49" t="s">
        <v>2265</v>
      </c>
      <c r="I1383" s="82" t="s">
        <v>939</v>
      </c>
      <c r="J1383" s="51"/>
      <c r="K1383" s="52">
        <v>0</v>
      </c>
      <c r="L1383" s="52">
        <v>0</v>
      </c>
      <c r="M1383" s="53">
        <v>120</v>
      </c>
      <c r="N1383" s="54">
        <v>2000</v>
      </c>
      <c r="O1383" s="341">
        <v>2</v>
      </c>
      <c r="P1383" s="54">
        <v>1001</v>
      </c>
      <c r="Q1383" s="54"/>
      <c r="R1383" s="92">
        <v>1001</v>
      </c>
      <c r="S1383" s="53">
        <f t="shared" si="232"/>
        <v>0</v>
      </c>
      <c r="T1383" s="343">
        <f t="shared" si="233"/>
        <v>1440</v>
      </c>
      <c r="U1383" s="52">
        <f t="shared" si="234"/>
        <v>0</v>
      </c>
      <c r="V1383" s="52">
        <f t="shared" si="235"/>
        <v>0</v>
      </c>
      <c r="W1383" s="52">
        <v>0</v>
      </c>
      <c r="X1383" s="55">
        <f t="shared" si="236"/>
        <v>46153</v>
      </c>
    </row>
    <row r="1384" spans="1:24" hidden="1" x14ac:dyDescent="0.35">
      <c r="A1384" s="46">
        <f t="shared" si="237"/>
        <v>46153</v>
      </c>
      <c r="B1384" s="46"/>
      <c r="C1384" s="46"/>
      <c r="D1384" s="46"/>
      <c r="E1384" s="47"/>
      <c r="F1384" s="56" t="s">
        <v>2266</v>
      </c>
      <c r="G1384" s="56"/>
      <c r="H1384" s="49" t="s">
        <v>2267</v>
      </c>
      <c r="I1384" s="99" t="s">
        <v>2268</v>
      </c>
      <c r="J1384" s="51"/>
      <c r="K1384" s="52">
        <v>0</v>
      </c>
      <c r="L1384" s="52">
        <v>0</v>
      </c>
      <c r="M1384" s="53">
        <v>80</v>
      </c>
      <c r="N1384" s="54">
        <v>2000</v>
      </c>
      <c r="O1384" s="341">
        <v>1</v>
      </c>
      <c r="P1384" s="54">
        <f>N1384/O1384</f>
        <v>2000</v>
      </c>
      <c r="Q1384" s="54"/>
      <c r="R1384" s="92">
        <v>2000</v>
      </c>
      <c r="S1384" s="53">
        <f t="shared" si="232"/>
        <v>0</v>
      </c>
      <c r="T1384" s="343">
        <f t="shared" si="233"/>
        <v>1080</v>
      </c>
      <c r="U1384" s="52">
        <f t="shared" si="234"/>
        <v>0</v>
      </c>
      <c r="V1384" s="52">
        <f t="shared" si="235"/>
        <v>0</v>
      </c>
      <c r="W1384" s="52">
        <v>0</v>
      </c>
      <c r="X1384" s="55">
        <f t="shared" si="236"/>
        <v>46153</v>
      </c>
    </row>
    <row r="1385" spans="1:24" hidden="1" x14ac:dyDescent="0.35">
      <c r="A1385" s="46">
        <f t="shared" si="237"/>
        <v>46153</v>
      </c>
      <c r="B1385" s="46"/>
      <c r="C1385" s="46"/>
      <c r="D1385" s="46"/>
      <c r="E1385" s="47"/>
      <c r="F1385" s="48" t="s">
        <v>937</v>
      </c>
      <c r="G1385" s="48"/>
      <c r="H1385" s="49" t="s">
        <v>2269</v>
      </c>
      <c r="I1385" s="82" t="s">
        <v>75</v>
      </c>
      <c r="J1385" s="51"/>
      <c r="K1385" s="52">
        <v>0</v>
      </c>
      <c r="L1385" s="52">
        <v>0</v>
      </c>
      <c r="M1385" s="53">
        <v>90</v>
      </c>
      <c r="N1385" s="54">
        <v>2000</v>
      </c>
      <c r="O1385" s="341">
        <v>1</v>
      </c>
      <c r="P1385" s="54">
        <v>2054</v>
      </c>
      <c r="Q1385" s="54"/>
      <c r="R1385" s="92">
        <v>2054</v>
      </c>
      <c r="S1385" s="53">
        <f t="shared" si="232"/>
        <v>0</v>
      </c>
      <c r="T1385" s="343">
        <f t="shared" si="233"/>
        <v>960</v>
      </c>
      <c r="U1385" s="52">
        <f t="shared" si="234"/>
        <v>0</v>
      </c>
      <c r="V1385" s="52">
        <f t="shared" si="235"/>
        <v>0</v>
      </c>
      <c r="W1385" s="52">
        <v>0</v>
      </c>
      <c r="X1385" s="55">
        <f t="shared" si="236"/>
        <v>46153</v>
      </c>
    </row>
    <row r="1386" spans="1:24" ht="43.5" hidden="1" x14ac:dyDescent="0.35">
      <c r="A1386" s="46">
        <f t="shared" si="237"/>
        <v>46153</v>
      </c>
      <c r="B1386" s="46"/>
      <c r="C1386" s="46"/>
      <c r="D1386" s="46"/>
      <c r="E1386" s="47"/>
      <c r="F1386" s="56" t="s">
        <v>2270</v>
      </c>
      <c r="G1386" s="56"/>
      <c r="H1386" s="49" t="s">
        <v>2271</v>
      </c>
      <c r="I1386" s="99" t="s">
        <v>825</v>
      </c>
      <c r="J1386" s="51"/>
      <c r="K1386" s="52">
        <v>0</v>
      </c>
      <c r="L1386" s="52">
        <v>0</v>
      </c>
      <c r="M1386" s="53">
        <v>50</v>
      </c>
      <c r="N1386" s="54">
        <v>5920</v>
      </c>
      <c r="O1386" s="341">
        <v>1</v>
      </c>
      <c r="P1386" s="54">
        <v>6068</v>
      </c>
      <c r="Q1386" s="54"/>
      <c r="R1386" s="92">
        <v>6068</v>
      </c>
      <c r="S1386" s="53">
        <f t="shared" si="232"/>
        <v>0</v>
      </c>
      <c r="T1386" s="343">
        <f t="shared" si="233"/>
        <v>1728</v>
      </c>
      <c r="U1386" s="52">
        <f t="shared" si="234"/>
        <v>0</v>
      </c>
      <c r="V1386" s="52">
        <f t="shared" si="235"/>
        <v>0</v>
      </c>
      <c r="W1386" s="52">
        <v>0</v>
      </c>
      <c r="X1386" s="55">
        <f t="shared" si="236"/>
        <v>46153</v>
      </c>
    </row>
    <row r="1387" spans="1:24" ht="29" hidden="1" x14ac:dyDescent="0.35">
      <c r="A1387" s="46">
        <f t="shared" si="237"/>
        <v>46153</v>
      </c>
      <c r="B1387" s="46"/>
      <c r="C1387" s="46"/>
      <c r="D1387" s="46"/>
      <c r="E1387" s="47"/>
      <c r="F1387" s="56" t="s">
        <v>2272</v>
      </c>
      <c r="G1387" s="56"/>
      <c r="H1387" s="49" t="s">
        <v>2273</v>
      </c>
      <c r="I1387" s="99" t="s">
        <v>825</v>
      </c>
      <c r="J1387" s="51"/>
      <c r="K1387" s="52">
        <v>0</v>
      </c>
      <c r="L1387" s="52">
        <v>0</v>
      </c>
      <c r="M1387" s="53">
        <v>50</v>
      </c>
      <c r="N1387" s="54">
        <v>440</v>
      </c>
      <c r="O1387" s="341">
        <v>1</v>
      </c>
      <c r="P1387" s="54">
        <f>N1387/O1387</f>
        <v>440</v>
      </c>
      <c r="Q1387" s="54"/>
      <c r="R1387" s="92">
        <v>440</v>
      </c>
      <c r="S1387" s="53">
        <f t="shared" si="232"/>
        <v>0</v>
      </c>
      <c r="T1387" s="343">
        <f t="shared" si="233"/>
        <v>1728</v>
      </c>
      <c r="U1387" s="52">
        <f t="shared" si="234"/>
        <v>0</v>
      </c>
      <c r="V1387" s="52">
        <f t="shared" si="235"/>
        <v>0</v>
      </c>
      <c r="W1387" s="52">
        <v>0</v>
      </c>
      <c r="X1387" s="55">
        <f t="shared" si="236"/>
        <v>46153</v>
      </c>
    </row>
    <row r="1388" spans="1:24" ht="29" hidden="1" x14ac:dyDescent="0.35">
      <c r="A1388" s="46">
        <f t="shared" si="237"/>
        <v>46153</v>
      </c>
      <c r="B1388" s="46"/>
      <c r="C1388" s="46"/>
      <c r="D1388" s="46"/>
      <c r="E1388" s="47"/>
      <c r="F1388" s="56" t="s">
        <v>2274</v>
      </c>
      <c r="G1388" s="56"/>
      <c r="H1388" s="49" t="s">
        <v>2275</v>
      </c>
      <c r="I1388" s="99" t="s">
        <v>1170</v>
      </c>
      <c r="J1388" s="51"/>
      <c r="K1388" s="52">
        <v>0</v>
      </c>
      <c r="L1388" s="52">
        <v>0</v>
      </c>
      <c r="M1388" s="53">
        <v>50</v>
      </c>
      <c r="N1388" s="54">
        <v>3408</v>
      </c>
      <c r="O1388" s="341">
        <v>1</v>
      </c>
      <c r="P1388" s="54">
        <v>3969</v>
      </c>
      <c r="Q1388" s="54"/>
      <c r="R1388" s="92">
        <v>3969</v>
      </c>
      <c r="S1388" s="53">
        <f t="shared" si="232"/>
        <v>0</v>
      </c>
      <c r="T1388" s="343">
        <f t="shared" si="233"/>
        <v>1728</v>
      </c>
      <c r="U1388" s="52">
        <f t="shared" si="234"/>
        <v>0</v>
      </c>
      <c r="V1388" s="52">
        <f t="shared" si="235"/>
        <v>0</v>
      </c>
      <c r="W1388" s="52">
        <v>0</v>
      </c>
      <c r="X1388" s="55">
        <f t="shared" si="236"/>
        <v>46153</v>
      </c>
    </row>
    <row r="1389" spans="1:24" ht="29" hidden="1" x14ac:dyDescent="0.35">
      <c r="A1389" s="46">
        <f t="shared" si="237"/>
        <v>46153</v>
      </c>
      <c r="B1389" s="46"/>
      <c r="C1389" s="46"/>
      <c r="D1389" s="46"/>
      <c r="E1389" s="47"/>
      <c r="F1389" s="56" t="s">
        <v>2272</v>
      </c>
      <c r="G1389" s="56"/>
      <c r="H1389" s="49" t="s">
        <v>2276</v>
      </c>
      <c r="I1389" s="99" t="s">
        <v>825</v>
      </c>
      <c r="J1389" s="51"/>
      <c r="K1389" s="52">
        <v>0</v>
      </c>
      <c r="L1389" s="52">
        <v>0</v>
      </c>
      <c r="M1389" s="53">
        <v>50</v>
      </c>
      <c r="N1389" s="54">
        <v>1200</v>
      </c>
      <c r="O1389" s="341">
        <v>1</v>
      </c>
      <c r="P1389" s="54">
        <v>1216</v>
      </c>
      <c r="Q1389" s="54"/>
      <c r="R1389" s="92">
        <v>1216</v>
      </c>
      <c r="S1389" s="53">
        <f t="shared" si="232"/>
        <v>0</v>
      </c>
      <c r="T1389" s="343">
        <f t="shared" si="233"/>
        <v>1728</v>
      </c>
      <c r="U1389" s="52">
        <f t="shared" si="234"/>
        <v>0</v>
      </c>
      <c r="V1389" s="52">
        <f t="shared" si="235"/>
        <v>0</v>
      </c>
      <c r="W1389" s="52">
        <v>0</v>
      </c>
      <c r="X1389" s="55">
        <f t="shared" si="236"/>
        <v>46153</v>
      </c>
    </row>
    <row r="1390" spans="1:24" hidden="1" x14ac:dyDescent="0.35">
      <c r="A1390" s="46">
        <f t="shared" si="237"/>
        <v>46153</v>
      </c>
      <c r="B1390" s="46"/>
      <c r="C1390" s="46"/>
      <c r="D1390" s="46"/>
      <c r="E1390" s="47"/>
      <c r="F1390" s="48" t="s">
        <v>2277</v>
      </c>
      <c r="G1390" s="48"/>
      <c r="H1390" s="49" t="s">
        <v>2278</v>
      </c>
      <c r="I1390" s="99" t="s">
        <v>488</v>
      </c>
      <c r="J1390" s="51"/>
      <c r="K1390" s="52">
        <v>0</v>
      </c>
      <c r="L1390" s="52">
        <v>0</v>
      </c>
      <c r="M1390" s="53">
        <v>65</v>
      </c>
      <c r="N1390" s="54">
        <v>220</v>
      </c>
      <c r="O1390" s="341">
        <v>1</v>
      </c>
      <c r="P1390" s="54">
        <f>N1390/O1390</f>
        <v>220</v>
      </c>
      <c r="Q1390" s="54"/>
      <c r="R1390" s="92">
        <v>220</v>
      </c>
      <c r="S1390" s="53">
        <f t="shared" si="232"/>
        <v>0</v>
      </c>
      <c r="T1390" s="343">
        <f t="shared" si="233"/>
        <v>1329.2307692307693</v>
      </c>
      <c r="U1390" s="52">
        <f t="shared" si="234"/>
        <v>0</v>
      </c>
      <c r="V1390" s="52">
        <f t="shared" si="235"/>
        <v>0</v>
      </c>
      <c r="W1390" s="52">
        <v>0</v>
      </c>
      <c r="X1390" s="55">
        <f t="shared" si="236"/>
        <v>46153</v>
      </c>
    </row>
    <row r="1391" spans="1:24" hidden="1" x14ac:dyDescent="0.35">
      <c r="A1391" s="46">
        <f t="shared" si="237"/>
        <v>46153</v>
      </c>
      <c r="B1391" s="46"/>
      <c r="C1391" s="46"/>
      <c r="D1391" s="46"/>
      <c r="E1391" s="47"/>
      <c r="F1391" s="48" t="s">
        <v>2279</v>
      </c>
      <c r="G1391" s="48"/>
      <c r="H1391" s="49" t="s">
        <v>2278</v>
      </c>
      <c r="I1391" s="99" t="s">
        <v>488</v>
      </c>
      <c r="J1391" s="51"/>
      <c r="K1391" s="52">
        <v>0</v>
      </c>
      <c r="L1391" s="52">
        <v>0</v>
      </c>
      <c r="M1391" s="53">
        <v>65</v>
      </c>
      <c r="N1391" s="54">
        <v>220</v>
      </c>
      <c r="O1391" s="341">
        <v>1</v>
      </c>
      <c r="P1391" s="54">
        <f>N1391/O1391</f>
        <v>220</v>
      </c>
      <c r="Q1391" s="54"/>
      <c r="R1391" s="92">
        <v>220</v>
      </c>
      <c r="S1391" s="53">
        <f t="shared" si="232"/>
        <v>0</v>
      </c>
      <c r="T1391" s="343">
        <f t="shared" si="233"/>
        <v>1329.2307692307693</v>
      </c>
      <c r="U1391" s="52">
        <f t="shared" si="234"/>
        <v>0</v>
      </c>
      <c r="V1391" s="52">
        <f t="shared" si="235"/>
        <v>0</v>
      </c>
      <c r="W1391" s="52">
        <v>0</v>
      </c>
      <c r="X1391" s="55">
        <f t="shared" si="236"/>
        <v>46153</v>
      </c>
    </row>
    <row r="1392" spans="1:24" hidden="1" x14ac:dyDescent="0.35">
      <c r="A1392" s="46">
        <f t="shared" si="237"/>
        <v>46153</v>
      </c>
      <c r="B1392" s="46"/>
      <c r="C1392" s="46"/>
      <c r="D1392" s="46"/>
      <c r="E1392" s="47"/>
      <c r="F1392" s="48" t="s">
        <v>2280</v>
      </c>
      <c r="G1392" s="48"/>
      <c r="H1392" s="49" t="s">
        <v>2278</v>
      </c>
      <c r="I1392" s="99" t="s">
        <v>488</v>
      </c>
      <c r="J1392" s="51"/>
      <c r="K1392" s="52">
        <v>0</v>
      </c>
      <c r="L1392" s="52">
        <v>0</v>
      </c>
      <c r="M1392" s="53">
        <v>65</v>
      </c>
      <c r="N1392" s="54">
        <v>220</v>
      </c>
      <c r="O1392" s="341">
        <v>1</v>
      </c>
      <c r="P1392" s="54">
        <v>240</v>
      </c>
      <c r="Q1392" s="54"/>
      <c r="R1392" s="92">
        <v>240</v>
      </c>
      <c r="S1392" s="53">
        <f t="shared" si="232"/>
        <v>0</v>
      </c>
      <c r="T1392" s="343">
        <f t="shared" si="233"/>
        <v>1329.2307692307693</v>
      </c>
      <c r="U1392" s="52">
        <f t="shared" si="234"/>
        <v>0</v>
      </c>
      <c r="V1392" s="52">
        <f t="shared" si="235"/>
        <v>0</v>
      </c>
      <c r="W1392" s="52">
        <v>0</v>
      </c>
      <c r="X1392" s="55">
        <f t="shared" si="236"/>
        <v>46153</v>
      </c>
    </row>
    <row r="1393" spans="1:24" hidden="1" x14ac:dyDescent="0.35">
      <c r="A1393" s="46">
        <f t="shared" si="237"/>
        <v>46153</v>
      </c>
      <c r="B1393" s="46"/>
      <c r="C1393" s="46"/>
      <c r="D1393" s="46"/>
      <c r="E1393" s="47"/>
      <c r="F1393" s="48" t="s">
        <v>2281</v>
      </c>
      <c r="G1393" s="48"/>
      <c r="H1393" s="49" t="s">
        <v>2282</v>
      </c>
      <c r="I1393" s="99" t="s">
        <v>483</v>
      </c>
      <c r="J1393" s="51"/>
      <c r="K1393" s="52">
        <v>0</v>
      </c>
      <c r="L1393" s="52">
        <v>0</v>
      </c>
      <c r="M1393" s="53">
        <v>65</v>
      </c>
      <c r="N1393" s="54">
        <v>650</v>
      </c>
      <c r="O1393" s="341">
        <v>1</v>
      </c>
      <c r="P1393" s="54">
        <f>N1393/O1393</f>
        <v>650</v>
      </c>
      <c r="Q1393" s="54"/>
      <c r="R1393" s="92">
        <v>650</v>
      </c>
      <c r="S1393" s="53">
        <f t="shared" si="232"/>
        <v>0</v>
      </c>
      <c r="T1393" s="343">
        <f t="shared" si="233"/>
        <v>1329.2307692307693</v>
      </c>
      <c r="U1393" s="52">
        <f t="shared" si="234"/>
        <v>0</v>
      </c>
      <c r="V1393" s="52">
        <f t="shared" si="235"/>
        <v>0</v>
      </c>
      <c r="W1393" s="52">
        <v>0</v>
      </c>
      <c r="X1393" s="55">
        <f t="shared" si="236"/>
        <v>46153</v>
      </c>
    </row>
    <row r="1394" spans="1:24" hidden="1" x14ac:dyDescent="0.35">
      <c r="A1394" s="46">
        <f t="shared" si="237"/>
        <v>46153</v>
      </c>
      <c r="B1394" s="46"/>
      <c r="C1394" s="46"/>
      <c r="D1394" s="46"/>
      <c r="E1394" s="47"/>
      <c r="F1394" s="48" t="s">
        <v>2283</v>
      </c>
      <c r="G1394" s="48"/>
      <c r="H1394" s="49" t="s">
        <v>2282</v>
      </c>
      <c r="I1394" s="99" t="s">
        <v>483</v>
      </c>
      <c r="J1394" s="51"/>
      <c r="K1394" s="52">
        <v>0</v>
      </c>
      <c r="L1394" s="52">
        <v>0</v>
      </c>
      <c r="M1394" s="53">
        <v>65</v>
      </c>
      <c r="N1394" s="54">
        <v>650</v>
      </c>
      <c r="O1394" s="341">
        <v>1</v>
      </c>
      <c r="P1394" s="54">
        <f>N1394/O1394</f>
        <v>650</v>
      </c>
      <c r="Q1394" s="54"/>
      <c r="R1394" s="92">
        <v>650</v>
      </c>
      <c r="S1394" s="53">
        <f t="shared" si="232"/>
        <v>0</v>
      </c>
      <c r="T1394" s="343">
        <f t="shared" si="233"/>
        <v>1329.2307692307693</v>
      </c>
      <c r="U1394" s="52">
        <f t="shared" si="234"/>
        <v>0</v>
      </c>
      <c r="V1394" s="52">
        <f t="shared" si="235"/>
        <v>0</v>
      </c>
      <c r="W1394" s="52">
        <v>0</v>
      </c>
      <c r="X1394" s="55">
        <f t="shared" si="236"/>
        <v>46153</v>
      </c>
    </row>
    <row r="1395" spans="1:24" hidden="1" x14ac:dyDescent="0.35">
      <c r="A1395" s="46">
        <f t="shared" si="237"/>
        <v>46153</v>
      </c>
      <c r="B1395" s="46"/>
      <c r="C1395" s="46"/>
      <c r="D1395" s="46"/>
      <c r="E1395" s="47"/>
      <c r="F1395" s="48" t="s">
        <v>2284</v>
      </c>
      <c r="G1395" s="48"/>
      <c r="H1395" s="49" t="s">
        <v>2282</v>
      </c>
      <c r="I1395" s="99" t="s">
        <v>483</v>
      </c>
      <c r="J1395" s="51"/>
      <c r="K1395" s="52">
        <v>0</v>
      </c>
      <c r="L1395" s="52">
        <v>0</v>
      </c>
      <c r="M1395" s="53">
        <v>65</v>
      </c>
      <c r="N1395" s="54">
        <v>650</v>
      </c>
      <c r="O1395" s="341">
        <v>1</v>
      </c>
      <c r="P1395" s="54">
        <v>724</v>
      </c>
      <c r="Q1395" s="54"/>
      <c r="R1395" s="92">
        <v>724</v>
      </c>
      <c r="S1395" s="53">
        <f t="shared" si="232"/>
        <v>0</v>
      </c>
      <c r="T1395" s="343">
        <f t="shared" si="233"/>
        <v>1329.2307692307693</v>
      </c>
      <c r="U1395" s="52">
        <f t="shared" si="234"/>
        <v>0</v>
      </c>
      <c r="V1395" s="52">
        <f t="shared" si="235"/>
        <v>0</v>
      </c>
      <c r="W1395" s="52">
        <v>0</v>
      </c>
      <c r="X1395" s="55">
        <f t="shared" si="236"/>
        <v>46153</v>
      </c>
    </row>
    <row r="1396" spans="1:24" ht="29" hidden="1" x14ac:dyDescent="0.35">
      <c r="A1396" s="46">
        <f t="shared" si="237"/>
        <v>46153</v>
      </c>
      <c r="B1396" s="46"/>
      <c r="C1396" s="46"/>
      <c r="D1396" s="46"/>
      <c r="E1396" s="47" t="s">
        <v>467</v>
      </c>
      <c r="F1396" s="48" t="s">
        <v>2285</v>
      </c>
      <c r="G1396" s="48"/>
      <c r="H1396" s="49" t="s">
        <v>2286</v>
      </c>
      <c r="I1396" s="99" t="s">
        <v>486</v>
      </c>
      <c r="J1396" s="51"/>
      <c r="K1396" s="52">
        <v>0</v>
      </c>
      <c r="L1396" s="52">
        <v>0</v>
      </c>
      <c r="M1396" s="53">
        <v>65</v>
      </c>
      <c r="N1396" s="54">
        <v>50</v>
      </c>
      <c r="O1396" s="341">
        <v>1</v>
      </c>
      <c r="P1396" s="54">
        <f>N1396/O1396</f>
        <v>50</v>
      </c>
      <c r="Q1396" s="54"/>
      <c r="R1396" s="92">
        <v>50</v>
      </c>
      <c r="S1396" s="53">
        <f t="shared" si="232"/>
        <v>0</v>
      </c>
      <c r="T1396" s="343">
        <f t="shared" si="233"/>
        <v>1329.2307692307693</v>
      </c>
      <c r="U1396" s="52">
        <f t="shared" si="234"/>
        <v>0</v>
      </c>
      <c r="V1396" s="52">
        <f t="shared" si="235"/>
        <v>0</v>
      </c>
      <c r="W1396" s="52">
        <v>0</v>
      </c>
      <c r="X1396" s="55">
        <f t="shared" si="236"/>
        <v>46153</v>
      </c>
    </row>
    <row r="1397" spans="1:24" hidden="1" x14ac:dyDescent="0.35">
      <c r="A1397" s="46">
        <f t="shared" si="237"/>
        <v>46153</v>
      </c>
      <c r="B1397" s="46"/>
      <c r="C1397" s="46"/>
      <c r="D1397" s="46"/>
      <c r="E1397" s="47"/>
      <c r="F1397" s="48" t="s">
        <v>2287</v>
      </c>
      <c r="G1397" s="48"/>
      <c r="H1397" s="49" t="s">
        <v>2286</v>
      </c>
      <c r="I1397" s="99" t="s">
        <v>486</v>
      </c>
      <c r="J1397" s="51"/>
      <c r="K1397" s="52">
        <v>0</v>
      </c>
      <c r="L1397" s="52">
        <v>0</v>
      </c>
      <c r="M1397" s="53">
        <v>65</v>
      </c>
      <c r="N1397" s="54">
        <v>560</v>
      </c>
      <c r="O1397" s="341">
        <v>1</v>
      </c>
      <c r="P1397" s="54">
        <f>N1397/O1397</f>
        <v>560</v>
      </c>
      <c r="Q1397" s="54"/>
      <c r="R1397" s="92">
        <v>560</v>
      </c>
      <c r="S1397" s="53">
        <f t="shared" si="232"/>
        <v>0</v>
      </c>
      <c r="T1397" s="343">
        <f t="shared" si="233"/>
        <v>1329.2307692307693</v>
      </c>
      <c r="U1397" s="52">
        <f t="shared" si="234"/>
        <v>0</v>
      </c>
      <c r="V1397" s="52">
        <f t="shared" si="235"/>
        <v>0</v>
      </c>
      <c r="W1397" s="52">
        <v>0</v>
      </c>
      <c r="X1397" s="55">
        <f t="shared" si="236"/>
        <v>46153</v>
      </c>
    </row>
    <row r="1398" spans="1:24" hidden="1" x14ac:dyDescent="0.35">
      <c r="A1398" s="46">
        <f t="shared" si="237"/>
        <v>46153</v>
      </c>
      <c r="B1398" s="46"/>
      <c r="C1398" s="46"/>
      <c r="D1398" s="46"/>
      <c r="E1398" s="47"/>
      <c r="F1398" s="48" t="s">
        <v>2288</v>
      </c>
      <c r="G1398" s="48"/>
      <c r="H1398" s="49" t="s">
        <v>2286</v>
      </c>
      <c r="I1398" s="99" t="s">
        <v>486</v>
      </c>
      <c r="J1398" s="51"/>
      <c r="K1398" s="52">
        <v>0</v>
      </c>
      <c r="L1398" s="52">
        <v>0</v>
      </c>
      <c r="M1398" s="53">
        <v>65</v>
      </c>
      <c r="N1398" s="54">
        <v>560</v>
      </c>
      <c r="O1398" s="341">
        <v>1</v>
      </c>
      <c r="P1398" s="54">
        <f>N1398/O1398</f>
        <v>560</v>
      </c>
      <c r="Q1398" s="54"/>
      <c r="R1398" s="92">
        <v>560</v>
      </c>
      <c r="S1398" s="53">
        <f t="shared" si="232"/>
        <v>0</v>
      </c>
      <c r="T1398" s="343">
        <f t="shared" si="233"/>
        <v>1329.2307692307693</v>
      </c>
      <c r="U1398" s="52">
        <f t="shared" si="234"/>
        <v>0</v>
      </c>
      <c r="V1398" s="52">
        <f t="shared" si="235"/>
        <v>0</v>
      </c>
      <c r="W1398" s="52">
        <v>0</v>
      </c>
      <c r="X1398" s="55">
        <f t="shared" si="236"/>
        <v>46153</v>
      </c>
    </row>
    <row r="1399" spans="1:24" hidden="1" x14ac:dyDescent="0.35">
      <c r="A1399" s="46">
        <f t="shared" si="237"/>
        <v>46153</v>
      </c>
      <c r="B1399" s="46"/>
      <c r="C1399" s="46"/>
      <c r="D1399" s="46"/>
      <c r="E1399" s="47"/>
      <c r="F1399" s="48" t="s">
        <v>2289</v>
      </c>
      <c r="G1399" s="48"/>
      <c r="H1399" s="49" t="s">
        <v>2286</v>
      </c>
      <c r="I1399" s="99" t="s">
        <v>486</v>
      </c>
      <c r="J1399" s="51"/>
      <c r="K1399" s="52">
        <v>0</v>
      </c>
      <c r="L1399" s="52">
        <v>0</v>
      </c>
      <c r="M1399" s="53">
        <v>65</v>
      </c>
      <c r="N1399" s="54">
        <v>560</v>
      </c>
      <c r="O1399" s="341">
        <v>1</v>
      </c>
      <c r="P1399" s="54">
        <v>563</v>
      </c>
      <c r="Q1399" s="54"/>
      <c r="R1399" s="92">
        <v>563</v>
      </c>
      <c r="S1399" s="53">
        <f t="shared" si="232"/>
        <v>0</v>
      </c>
      <c r="T1399" s="343">
        <f t="shared" si="233"/>
        <v>1329.2307692307693</v>
      </c>
      <c r="U1399" s="52">
        <f t="shared" si="234"/>
        <v>0</v>
      </c>
      <c r="V1399" s="52">
        <f t="shared" si="235"/>
        <v>0</v>
      </c>
      <c r="W1399" s="52">
        <v>0</v>
      </c>
      <c r="X1399" s="55">
        <f t="shared" si="236"/>
        <v>46153</v>
      </c>
    </row>
    <row r="1400" spans="1:24" hidden="1" x14ac:dyDescent="0.35">
      <c r="A1400" s="46">
        <f t="shared" si="237"/>
        <v>46153</v>
      </c>
      <c r="B1400" s="46"/>
      <c r="C1400" s="46"/>
      <c r="D1400" s="46"/>
      <c r="E1400" s="47"/>
      <c r="F1400" s="48" t="s">
        <v>2290</v>
      </c>
      <c r="G1400" s="48"/>
      <c r="H1400" s="49" t="s">
        <v>2291</v>
      </c>
      <c r="I1400" s="99" t="s">
        <v>480</v>
      </c>
      <c r="J1400" s="51"/>
      <c r="K1400" s="52">
        <v>0</v>
      </c>
      <c r="L1400" s="52">
        <v>0</v>
      </c>
      <c r="M1400" s="53">
        <v>65</v>
      </c>
      <c r="N1400" s="54">
        <v>40</v>
      </c>
      <c r="O1400" s="341">
        <v>1</v>
      </c>
      <c r="P1400" s="54">
        <f>N1400/O1400</f>
        <v>40</v>
      </c>
      <c r="Q1400" s="54"/>
      <c r="R1400" s="92">
        <v>40</v>
      </c>
      <c r="S1400" s="53">
        <f t="shared" si="232"/>
        <v>0</v>
      </c>
      <c r="T1400" s="343">
        <f t="shared" si="233"/>
        <v>1329.2307692307693</v>
      </c>
      <c r="U1400" s="52">
        <f t="shared" si="234"/>
        <v>0</v>
      </c>
      <c r="V1400" s="52">
        <f t="shared" si="235"/>
        <v>0</v>
      </c>
      <c r="W1400" s="52">
        <v>0</v>
      </c>
      <c r="X1400" s="55">
        <f t="shared" si="236"/>
        <v>46153</v>
      </c>
    </row>
    <row r="1401" spans="1:24" hidden="1" x14ac:dyDescent="0.35">
      <c r="A1401" s="46">
        <f t="shared" si="237"/>
        <v>46153</v>
      </c>
      <c r="B1401" s="46"/>
      <c r="C1401" s="46"/>
      <c r="D1401" s="46"/>
      <c r="E1401" s="47"/>
      <c r="F1401" s="48" t="s">
        <v>2292</v>
      </c>
      <c r="G1401" s="48"/>
      <c r="H1401" s="49" t="s">
        <v>2291</v>
      </c>
      <c r="I1401" s="99" t="s">
        <v>480</v>
      </c>
      <c r="J1401" s="51"/>
      <c r="K1401" s="52">
        <v>0</v>
      </c>
      <c r="L1401" s="52">
        <v>0</v>
      </c>
      <c r="M1401" s="53">
        <v>65</v>
      </c>
      <c r="N1401" s="54">
        <v>40</v>
      </c>
      <c r="O1401" s="341">
        <v>1</v>
      </c>
      <c r="P1401" s="54">
        <f>N1401/O1401</f>
        <v>40</v>
      </c>
      <c r="Q1401" s="54"/>
      <c r="R1401" s="92">
        <v>40</v>
      </c>
      <c r="S1401" s="53">
        <f t="shared" si="232"/>
        <v>0</v>
      </c>
      <c r="T1401" s="343">
        <f t="shared" si="233"/>
        <v>1329.2307692307693</v>
      </c>
      <c r="U1401" s="52">
        <f t="shared" si="234"/>
        <v>0</v>
      </c>
      <c r="V1401" s="52">
        <f t="shared" si="235"/>
        <v>0</v>
      </c>
      <c r="W1401" s="52">
        <v>0</v>
      </c>
      <c r="X1401" s="55">
        <f t="shared" si="236"/>
        <v>46153</v>
      </c>
    </row>
    <row r="1402" spans="1:24" hidden="1" x14ac:dyDescent="0.35">
      <c r="A1402" s="46">
        <f t="shared" si="237"/>
        <v>46153</v>
      </c>
      <c r="B1402" s="46"/>
      <c r="C1402" s="46"/>
      <c r="D1402" s="46"/>
      <c r="E1402" s="47"/>
      <c r="F1402" s="48" t="s">
        <v>2293</v>
      </c>
      <c r="G1402" s="48"/>
      <c r="H1402" s="49" t="s">
        <v>2291</v>
      </c>
      <c r="I1402" s="99" t="s">
        <v>480</v>
      </c>
      <c r="J1402" s="51"/>
      <c r="K1402" s="52">
        <v>0</v>
      </c>
      <c r="L1402" s="52">
        <v>0</v>
      </c>
      <c r="M1402" s="53">
        <v>65</v>
      </c>
      <c r="N1402" s="54">
        <v>40</v>
      </c>
      <c r="O1402" s="341">
        <v>1</v>
      </c>
      <c r="P1402" s="54">
        <v>106</v>
      </c>
      <c r="Q1402" s="54"/>
      <c r="R1402" s="92">
        <v>106</v>
      </c>
      <c r="S1402" s="53">
        <f t="shared" si="232"/>
        <v>0</v>
      </c>
      <c r="T1402" s="343">
        <f t="shared" si="233"/>
        <v>1329.2307692307693</v>
      </c>
      <c r="U1402" s="52">
        <f t="shared" si="234"/>
        <v>0</v>
      </c>
      <c r="V1402" s="52">
        <f t="shared" si="235"/>
        <v>0</v>
      </c>
      <c r="W1402" s="52">
        <v>0</v>
      </c>
      <c r="X1402" s="55">
        <f t="shared" si="236"/>
        <v>46153</v>
      </c>
    </row>
    <row r="1403" spans="1:24" hidden="1" x14ac:dyDescent="0.35">
      <c r="A1403" s="46">
        <f t="shared" si="237"/>
        <v>46153</v>
      </c>
      <c r="B1403" s="46"/>
      <c r="C1403" s="46"/>
      <c r="D1403" s="46"/>
      <c r="E1403" s="47"/>
      <c r="F1403" s="48" t="s">
        <v>2294</v>
      </c>
      <c r="G1403" s="48"/>
      <c r="H1403" s="49" t="s">
        <v>2295</v>
      </c>
      <c r="I1403" s="99" t="s">
        <v>493</v>
      </c>
      <c r="J1403" s="51"/>
      <c r="K1403" s="52">
        <v>0</v>
      </c>
      <c r="L1403" s="52">
        <v>0</v>
      </c>
      <c r="M1403" s="53">
        <v>65</v>
      </c>
      <c r="N1403" s="54">
        <v>120</v>
      </c>
      <c r="O1403" s="341">
        <v>1</v>
      </c>
      <c r="P1403" s="54">
        <f>N1403/O1403</f>
        <v>120</v>
      </c>
      <c r="Q1403" s="54"/>
      <c r="R1403" s="92">
        <v>120</v>
      </c>
      <c r="S1403" s="53">
        <f t="shared" si="232"/>
        <v>0</v>
      </c>
      <c r="T1403" s="343">
        <f t="shared" si="233"/>
        <v>1329.2307692307693</v>
      </c>
      <c r="U1403" s="52">
        <f t="shared" si="234"/>
        <v>0</v>
      </c>
      <c r="V1403" s="52">
        <f t="shared" si="235"/>
        <v>0</v>
      </c>
      <c r="W1403" s="52">
        <v>0</v>
      </c>
      <c r="X1403" s="55">
        <f t="shared" si="236"/>
        <v>46153</v>
      </c>
    </row>
    <row r="1404" spans="1:24" hidden="1" x14ac:dyDescent="0.35">
      <c r="A1404" s="46">
        <f t="shared" si="237"/>
        <v>46153</v>
      </c>
      <c r="B1404" s="46"/>
      <c r="C1404" s="46"/>
      <c r="D1404" s="46"/>
      <c r="E1404" s="47"/>
      <c r="F1404" s="48" t="s">
        <v>2296</v>
      </c>
      <c r="G1404" s="48"/>
      <c r="H1404" s="49" t="s">
        <v>2295</v>
      </c>
      <c r="I1404" s="99" t="s">
        <v>493</v>
      </c>
      <c r="J1404" s="51"/>
      <c r="K1404" s="52">
        <v>0</v>
      </c>
      <c r="L1404" s="52">
        <v>0</v>
      </c>
      <c r="M1404" s="53">
        <v>65</v>
      </c>
      <c r="N1404" s="54">
        <v>120</v>
      </c>
      <c r="O1404" s="341">
        <v>1</v>
      </c>
      <c r="P1404" s="54">
        <f>N1404/O1404</f>
        <v>120</v>
      </c>
      <c r="Q1404" s="54"/>
      <c r="R1404" s="92">
        <v>120</v>
      </c>
      <c r="S1404" s="53">
        <f t="shared" si="232"/>
        <v>0</v>
      </c>
      <c r="T1404" s="343">
        <f t="shared" si="233"/>
        <v>1329.2307692307693</v>
      </c>
      <c r="U1404" s="52">
        <f t="shared" si="234"/>
        <v>0</v>
      </c>
      <c r="V1404" s="52">
        <f t="shared" si="235"/>
        <v>0</v>
      </c>
      <c r="W1404" s="52">
        <v>0</v>
      </c>
      <c r="X1404" s="55">
        <f t="shared" si="236"/>
        <v>46153</v>
      </c>
    </row>
    <row r="1405" spans="1:24" hidden="1" x14ac:dyDescent="0.35">
      <c r="A1405" s="46">
        <f t="shared" si="237"/>
        <v>46153</v>
      </c>
      <c r="B1405" s="46"/>
      <c r="C1405" s="46"/>
      <c r="D1405" s="46"/>
      <c r="E1405" s="47"/>
      <c r="F1405" s="48" t="s">
        <v>2297</v>
      </c>
      <c r="G1405" s="48"/>
      <c r="H1405" s="49" t="s">
        <v>2295</v>
      </c>
      <c r="I1405" s="99" t="s">
        <v>493</v>
      </c>
      <c r="J1405" s="51"/>
      <c r="K1405" s="52">
        <v>0</v>
      </c>
      <c r="L1405" s="52">
        <v>0</v>
      </c>
      <c r="M1405" s="53">
        <v>65</v>
      </c>
      <c r="N1405" s="54">
        <v>120</v>
      </c>
      <c r="O1405" s="341">
        <v>1</v>
      </c>
      <c r="P1405" s="54">
        <v>131</v>
      </c>
      <c r="Q1405" s="54"/>
      <c r="R1405" s="92">
        <v>131</v>
      </c>
      <c r="S1405" s="53">
        <f t="shared" si="232"/>
        <v>0</v>
      </c>
      <c r="T1405" s="343">
        <f t="shared" si="233"/>
        <v>1329.2307692307693</v>
      </c>
      <c r="U1405" s="52">
        <f t="shared" si="234"/>
        <v>0</v>
      </c>
      <c r="V1405" s="52">
        <f t="shared" si="235"/>
        <v>0</v>
      </c>
      <c r="W1405" s="52">
        <v>0</v>
      </c>
      <c r="X1405" s="55">
        <f t="shared" si="236"/>
        <v>46153</v>
      </c>
    </row>
    <row r="1406" spans="1:24" hidden="1" x14ac:dyDescent="0.35">
      <c r="A1406" s="46">
        <f t="shared" si="237"/>
        <v>46153</v>
      </c>
      <c r="B1406" s="46"/>
      <c r="C1406" s="46"/>
      <c r="D1406" s="46"/>
      <c r="E1406" s="47"/>
      <c r="F1406" s="48" t="s">
        <v>2298</v>
      </c>
      <c r="G1406" s="48"/>
      <c r="H1406" s="49" t="s">
        <v>2299</v>
      </c>
      <c r="I1406" s="99" t="s">
        <v>495</v>
      </c>
      <c r="J1406" s="51"/>
      <c r="K1406" s="52">
        <v>0</v>
      </c>
      <c r="L1406" s="52">
        <v>0</v>
      </c>
      <c r="M1406" s="53">
        <v>65</v>
      </c>
      <c r="N1406" s="54">
        <v>100</v>
      </c>
      <c r="O1406" s="341">
        <v>1</v>
      </c>
      <c r="P1406" s="54">
        <f>N1406/O1406</f>
        <v>100</v>
      </c>
      <c r="Q1406" s="54"/>
      <c r="R1406" s="92">
        <v>100</v>
      </c>
      <c r="S1406" s="53">
        <f t="shared" si="232"/>
        <v>0</v>
      </c>
      <c r="T1406" s="343">
        <f t="shared" si="233"/>
        <v>1329.2307692307693</v>
      </c>
      <c r="U1406" s="52">
        <f t="shared" si="234"/>
        <v>0</v>
      </c>
      <c r="V1406" s="52">
        <f t="shared" si="235"/>
        <v>0</v>
      </c>
      <c r="W1406" s="52">
        <v>0</v>
      </c>
      <c r="X1406" s="55">
        <f t="shared" si="236"/>
        <v>46153</v>
      </c>
    </row>
    <row r="1407" spans="1:24" hidden="1" x14ac:dyDescent="0.35">
      <c r="A1407" s="46">
        <f t="shared" si="237"/>
        <v>46153</v>
      </c>
      <c r="B1407" s="46"/>
      <c r="C1407" s="46"/>
      <c r="D1407" s="46"/>
      <c r="E1407" s="47"/>
      <c r="F1407" s="48" t="s">
        <v>2300</v>
      </c>
      <c r="G1407" s="48"/>
      <c r="H1407" s="49" t="s">
        <v>2299</v>
      </c>
      <c r="I1407" s="99" t="s">
        <v>495</v>
      </c>
      <c r="J1407" s="51"/>
      <c r="K1407" s="52">
        <v>0</v>
      </c>
      <c r="L1407" s="52">
        <v>0</v>
      </c>
      <c r="M1407" s="53">
        <v>65</v>
      </c>
      <c r="N1407" s="54">
        <v>100</v>
      </c>
      <c r="O1407" s="341">
        <v>1</v>
      </c>
      <c r="P1407" s="54">
        <f>N1407/O1407</f>
        <v>100</v>
      </c>
      <c r="Q1407" s="54"/>
      <c r="R1407" s="92">
        <v>100</v>
      </c>
      <c r="S1407" s="53">
        <f t="shared" si="232"/>
        <v>0</v>
      </c>
      <c r="T1407" s="343">
        <f t="shared" si="233"/>
        <v>1329.2307692307693</v>
      </c>
      <c r="U1407" s="52">
        <f t="shared" si="234"/>
        <v>0</v>
      </c>
      <c r="V1407" s="52">
        <f t="shared" si="235"/>
        <v>0</v>
      </c>
      <c r="W1407" s="52">
        <v>0</v>
      </c>
      <c r="X1407" s="55">
        <f t="shared" si="236"/>
        <v>46153</v>
      </c>
    </row>
    <row r="1408" spans="1:24" hidden="1" x14ac:dyDescent="0.35">
      <c r="A1408" s="46">
        <f t="shared" si="237"/>
        <v>46153</v>
      </c>
      <c r="B1408" s="46"/>
      <c r="C1408" s="46"/>
      <c r="D1408" s="46"/>
      <c r="E1408" s="47"/>
      <c r="F1408" s="48" t="s">
        <v>2301</v>
      </c>
      <c r="G1408" s="48"/>
      <c r="H1408" s="49" t="s">
        <v>2299</v>
      </c>
      <c r="I1408" s="99" t="s">
        <v>495</v>
      </c>
      <c r="J1408" s="51"/>
      <c r="K1408" s="52">
        <v>0</v>
      </c>
      <c r="L1408" s="52">
        <v>0</v>
      </c>
      <c r="M1408" s="53">
        <v>65</v>
      </c>
      <c r="N1408" s="54">
        <v>100</v>
      </c>
      <c r="O1408" s="341">
        <v>1</v>
      </c>
      <c r="P1408" s="54">
        <v>115</v>
      </c>
      <c r="Q1408" s="54"/>
      <c r="R1408" s="92">
        <v>115</v>
      </c>
      <c r="S1408" s="53">
        <f t="shared" si="232"/>
        <v>0</v>
      </c>
      <c r="T1408" s="343">
        <f t="shared" si="233"/>
        <v>1329.2307692307693</v>
      </c>
      <c r="U1408" s="52">
        <f t="shared" si="234"/>
        <v>0</v>
      </c>
      <c r="V1408" s="52">
        <f t="shared" si="235"/>
        <v>0</v>
      </c>
      <c r="W1408" s="52">
        <v>0</v>
      </c>
      <c r="X1408" s="55">
        <f t="shared" si="236"/>
        <v>46153</v>
      </c>
    </row>
    <row r="1409" spans="1:24" hidden="1" x14ac:dyDescent="0.35">
      <c r="A1409" s="46">
        <f t="shared" si="237"/>
        <v>46153</v>
      </c>
      <c r="B1409" s="46"/>
      <c r="C1409" s="46"/>
      <c r="D1409" s="46"/>
      <c r="E1409" s="47"/>
      <c r="F1409" s="48"/>
      <c r="G1409" s="48"/>
      <c r="H1409" s="49" t="s">
        <v>2302</v>
      </c>
      <c r="I1409" s="85" t="s">
        <v>2303</v>
      </c>
      <c r="J1409" s="51"/>
      <c r="K1409" s="52">
        <v>0</v>
      </c>
      <c r="L1409" s="52">
        <v>0</v>
      </c>
      <c r="M1409" s="53">
        <v>70</v>
      </c>
      <c r="N1409" s="54">
        <v>200</v>
      </c>
      <c r="O1409" s="341">
        <v>1</v>
      </c>
      <c r="P1409" s="54">
        <f>N1409/O1409</f>
        <v>200</v>
      </c>
      <c r="Q1409" s="54"/>
      <c r="R1409" s="92">
        <v>200</v>
      </c>
      <c r="S1409" s="53">
        <f t="shared" si="232"/>
        <v>0</v>
      </c>
      <c r="T1409" s="343">
        <f t="shared" si="233"/>
        <v>1234.2857142857142</v>
      </c>
      <c r="U1409" s="52">
        <f t="shared" si="234"/>
        <v>0</v>
      </c>
      <c r="V1409" s="52">
        <f t="shared" si="235"/>
        <v>0</v>
      </c>
      <c r="W1409" s="52">
        <v>0</v>
      </c>
      <c r="X1409" s="55">
        <f t="shared" si="236"/>
        <v>46153</v>
      </c>
    </row>
    <row r="1410" spans="1:24" hidden="1" x14ac:dyDescent="0.35">
      <c r="A1410" s="46">
        <f t="shared" si="237"/>
        <v>46153</v>
      </c>
      <c r="B1410" s="46"/>
      <c r="C1410" s="46"/>
      <c r="D1410" s="46"/>
      <c r="E1410" s="47"/>
      <c r="F1410" s="48"/>
      <c r="G1410" s="48"/>
      <c r="H1410" s="49" t="s">
        <v>2304</v>
      </c>
      <c r="I1410" s="85" t="s">
        <v>933</v>
      </c>
      <c r="J1410" s="51"/>
      <c r="K1410" s="52">
        <v>0</v>
      </c>
      <c r="L1410" s="52">
        <v>0</v>
      </c>
      <c r="M1410" s="53">
        <v>70</v>
      </c>
      <c r="N1410" s="54">
        <v>150</v>
      </c>
      <c r="O1410" s="341">
        <v>1</v>
      </c>
      <c r="P1410" s="54">
        <f>N1410/O1410</f>
        <v>150</v>
      </c>
      <c r="Q1410" s="54"/>
      <c r="R1410" s="92">
        <v>150</v>
      </c>
      <c r="S1410" s="53">
        <f t="shared" si="232"/>
        <v>0</v>
      </c>
      <c r="T1410" s="343">
        <f t="shared" si="233"/>
        <v>1234.2857142857142</v>
      </c>
      <c r="U1410" s="52">
        <f t="shared" si="234"/>
        <v>0</v>
      </c>
      <c r="V1410" s="52">
        <f t="shared" si="235"/>
        <v>0</v>
      </c>
      <c r="W1410" s="52">
        <v>0</v>
      </c>
      <c r="X1410" s="55">
        <f t="shared" si="236"/>
        <v>46153</v>
      </c>
    </row>
    <row r="1411" spans="1:24" hidden="1" x14ac:dyDescent="0.35">
      <c r="A1411" s="46">
        <f t="shared" si="237"/>
        <v>46153</v>
      </c>
      <c r="B1411" s="46"/>
      <c r="C1411" s="46"/>
      <c r="D1411" s="46"/>
      <c r="E1411" s="47"/>
      <c r="F1411" s="48"/>
      <c r="G1411" s="48"/>
      <c r="H1411" s="49" t="s">
        <v>2305</v>
      </c>
      <c r="I1411" s="85" t="s">
        <v>2306</v>
      </c>
      <c r="J1411" s="51"/>
      <c r="K1411" s="52">
        <v>0</v>
      </c>
      <c r="L1411" s="52">
        <v>0</v>
      </c>
      <c r="M1411" s="53">
        <v>70</v>
      </c>
      <c r="N1411" s="54">
        <v>200</v>
      </c>
      <c r="O1411" s="341">
        <v>1</v>
      </c>
      <c r="P1411" s="54">
        <f>N1411/O1411</f>
        <v>200</v>
      </c>
      <c r="Q1411" s="54"/>
      <c r="R1411" s="92">
        <v>200</v>
      </c>
      <c r="S1411" s="53">
        <f t="shared" si="232"/>
        <v>0</v>
      </c>
      <c r="T1411" s="343">
        <f t="shared" si="233"/>
        <v>1234.2857142857142</v>
      </c>
      <c r="U1411" s="52">
        <f t="shared" si="234"/>
        <v>0</v>
      </c>
      <c r="V1411" s="52">
        <f t="shared" si="235"/>
        <v>0</v>
      </c>
      <c r="W1411" s="52">
        <v>0</v>
      </c>
      <c r="X1411" s="55">
        <f t="shared" si="236"/>
        <v>46153</v>
      </c>
    </row>
    <row r="1412" spans="1:24" ht="29" hidden="1" x14ac:dyDescent="0.35">
      <c r="A1412" s="46">
        <f t="shared" si="237"/>
        <v>46153</v>
      </c>
      <c r="B1412" s="46"/>
      <c r="C1412" s="46"/>
      <c r="D1412" s="46"/>
      <c r="E1412" s="47" t="s">
        <v>64</v>
      </c>
      <c r="F1412" s="48" t="s">
        <v>101</v>
      </c>
      <c r="G1412" s="48"/>
      <c r="H1412" s="49" t="s">
        <v>2307</v>
      </c>
      <c r="I1412" s="82" t="s">
        <v>939</v>
      </c>
      <c r="J1412" s="51"/>
      <c r="K1412" s="52">
        <v>0</v>
      </c>
      <c r="L1412" s="52">
        <v>0</v>
      </c>
      <c r="M1412" s="53">
        <v>120</v>
      </c>
      <c r="N1412" s="54">
        <v>4100</v>
      </c>
      <c r="O1412" s="341">
        <v>2</v>
      </c>
      <c r="P1412" s="54">
        <v>2060</v>
      </c>
      <c r="Q1412" s="54"/>
      <c r="R1412" s="92">
        <v>2060</v>
      </c>
      <c r="S1412" s="53">
        <f t="shared" si="232"/>
        <v>0</v>
      </c>
      <c r="T1412" s="343">
        <f t="shared" si="233"/>
        <v>1440</v>
      </c>
      <c r="U1412" s="52">
        <f t="shared" si="234"/>
        <v>0</v>
      </c>
      <c r="V1412" s="52">
        <f t="shared" si="235"/>
        <v>0</v>
      </c>
      <c r="W1412" s="52">
        <v>0</v>
      </c>
      <c r="X1412" s="55">
        <f t="shared" si="236"/>
        <v>46153</v>
      </c>
    </row>
    <row r="1413" spans="1:24" ht="29" hidden="1" x14ac:dyDescent="0.35">
      <c r="A1413" s="46">
        <f t="shared" si="237"/>
        <v>46153</v>
      </c>
      <c r="B1413" s="46"/>
      <c r="C1413" s="46"/>
      <c r="D1413" s="46"/>
      <c r="E1413" s="47" t="s">
        <v>64</v>
      </c>
      <c r="F1413" s="48" t="s">
        <v>101</v>
      </c>
      <c r="G1413" s="48"/>
      <c r="H1413" s="49" t="s">
        <v>1983</v>
      </c>
      <c r="I1413" s="82" t="s">
        <v>111</v>
      </c>
      <c r="J1413" s="51"/>
      <c r="K1413" s="52">
        <v>0</v>
      </c>
      <c r="L1413" s="52">
        <v>0</v>
      </c>
      <c r="M1413" s="53">
        <v>120</v>
      </c>
      <c r="N1413" s="54">
        <v>4100</v>
      </c>
      <c r="O1413" s="341">
        <v>1</v>
      </c>
      <c r="P1413" s="54">
        <v>2496</v>
      </c>
      <c r="Q1413" s="54"/>
      <c r="R1413" s="92">
        <v>2496</v>
      </c>
      <c r="S1413" s="53">
        <f t="shared" si="232"/>
        <v>0</v>
      </c>
      <c r="T1413" s="343">
        <f t="shared" si="233"/>
        <v>720</v>
      </c>
      <c r="U1413" s="52">
        <f t="shared" si="234"/>
        <v>0</v>
      </c>
      <c r="V1413" s="52">
        <f t="shared" si="235"/>
        <v>0</v>
      </c>
      <c r="W1413" s="52">
        <v>0</v>
      </c>
      <c r="X1413" s="55">
        <f t="shared" si="236"/>
        <v>46153</v>
      </c>
    </row>
    <row r="1414" spans="1:24" hidden="1" x14ac:dyDescent="0.35">
      <c r="A1414" s="46">
        <f t="shared" si="237"/>
        <v>46153</v>
      </c>
      <c r="B1414" s="46"/>
      <c r="C1414" s="46"/>
      <c r="D1414" s="46"/>
      <c r="E1414" s="47" t="s">
        <v>64</v>
      </c>
      <c r="F1414" s="48" t="s">
        <v>101</v>
      </c>
      <c r="G1414" s="48"/>
      <c r="H1414" s="49" t="s">
        <v>2308</v>
      </c>
      <c r="I1414" s="106" t="s">
        <v>929</v>
      </c>
      <c r="J1414" s="51"/>
      <c r="K1414" s="52">
        <v>0</v>
      </c>
      <c r="L1414" s="52">
        <v>0</v>
      </c>
      <c r="M1414" s="53">
        <v>100</v>
      </c>
      <c r="N1414" s="54">
        <v>1000</v>
      </c>
      <c r="O1414" s="341">
        <v>1</v>
      </c>
      <c r="P1414" s="54">
        <v>1064</v>
      </c>
      <c r="Q1414" s="54"/>
      <c r="R1414" s="92">
        <v>1064</v>
      </c>
      <c r="S1414" s="53">
        <f t="shared" si="232"/>
        <v>0</v>
      </c>
      <c r="T1414" s="343">
        <f t="shared" si="233"/>
        <v>864</v>
      </c>
      <c r="U1414" s="52">
        <f t="shared" si="234"/>
        <v>0</v>
      </c>
      <c r="V1414" s="52">
        <f t="shared" si="235"/>
        <v>0</v>
      </c>
      <c r="W1414" s="52">
        <v>0</v>
      </c>
      <c r="X1414" s="55">
        <f t="shared" si="236"/>
        <v>46153</v>
      </c>
    </row>
    <row r="1415" spans="1:24" hidden="1" x14ac:dyDescent="0.35">
      <c r="A1415" s="46">
        <f t="shared" si="237"/>
        <v>46153</v>
      </c>
      <c r="B1415" s="46"/>
      <c r="C1415" s="46"/>
      <c r="D1415" s="46"/>
      <c r="E1415" s="47" t="s">
        <v>64</v>
      </c>
      <c r="F1415" s="56" t="s">
        <v>2309</v>
      </c>
      <c r="G1415" s="56"/>
      <c r="H1415" s="49" t="s">
        <v>2310</v>
      </c>
      <c r="I1415" s="82" t="s">
        <v>2311</v>
      </c>
      <c r="J1415" s="51"/>
      <c r="K1415" s="52">
        <v>0</v>
      </c>
      <c r="L1415" s="52">
        <v>0</v>
      </c>
      <c r="M1415" s="53">
        <v>100</v>
      </c>
      <c r="N1415" s="54">
        <v>436</v>
      </c>
      <c r="O1415" s="341">
        <v>1</v>
      </c>
      <c r="P1415" s="54">
        <v>481</v>
      </c>
      <c r="Q1415" s="54"/>
      <c r="R1415" s="92">
        <v>481</v>
      </c>
      <c r="S1415" s="53">
        <f t="shared" si="232"/>
        <v>0</v>
      </c>
      <c r="T1415" s="343">
        <f t="shared" si="233"/>
        <v>864</v>
      </c>
      <c r="U1415" s="52">
        <f t="shared" si="234"/>
        <v>0</v>
      </c>
      <c r="V1415" s="52">
        <f t="shared" si="235"/>
        <v>0</v>
      </c>
      <c r="W1415" s="52">
        <v>0</v>
      </c>
      <c r="X1415" s="55">
        <f t="shared" si="236"/>
        <v>46153</v>
      </c>
    </row>
    <row r="1416" spans="1:24" hidden="1" x14ac:dyDescent="0.35">
      <c r="A1416" s="46">
        <f t="shared" si="237"/>
        <v>46153</v>
      </c>
      <c r="B1416" s="46"/>
      <c r="C1416" s="46"/>
      <c r="D1416" s="46"/>
      <c r="E1416" s="47" t="s">
        <v>64</v>
      </c>
      <c r="F1416" s="56" t="s">
        <v>101</v>
      </c>
      <c r="G1416" s="56"/>
      <c r="H1416" s="49" t="s">
        <v>2312</v>
      </c>
      <c r="I1416" s="82" t="s">
        <v>2313</v>
      </c>
      <c r="J1416" s="51"/>
      <c r="K1416" s="52">
        <v>0</v>
      </c>
      <c r="L1416" s="52">
        <v>0</v>
      </c>
      <c r="M1416" s="53">
        <v>70</v>
      </c>
      <c r="N1416" s="54">
        <v>443</v>
      </c>
      <c r="O1416" s="341">
        <v>1</v>
      </c>
      <c r="P1416" s="54">
        <v>768</v>
      </c>
      <c r="Q1416" s="54"/>
      <c r="R1416" s="92">
        <v>768</v>
      </c>
      <c r="S1416" s="53">
        <f t="shared" si="232"/>
        <v>0</v>
      </c>
      <c r="T1416" s="343">
        <f t="shared" si="233"/>
        <v>1234.2857142857142</v>
      </c>
      <c r="U1416" s="52">
        <f t="shared" si="234"/>
        <v>0</v>
      </c>
      <c r="V1416" s="52">
        <f t="shared" si="235"/>
        <v>0</v>
      </c>
      <c r="W1416" s="52">
        <v>0</v>
      </c>
      <c r="X1416" s="55">
        <f t="shared" si="236"/>
        <v>46153</v>
      </c>
    </row>
    <row r="1417" spans="1:24" hidden="1" x14ac:dyDescent="0.35">
      <c r="A1417" s="46">
        <f t="shared" si="237"/>
        <v>46153</v>
      </c>
      <c r="B1417" s="46"/>
      <c r="C1417" s="46"/>
      <c r="D1417" s="46"/>
      <c r="E1417" s="47" t="s">
        <v>2314</v>
      </c>
      <c r="F1417" s="48" t="s">
        <v>104</v>
      </c>
      <c r="G1417" s="48"/>
      <c r="H1417" s="49" t="s">
        <v>2315</v>
      </c>
      <c r="I1417" s="99" t="s">
        <v>2258</v>
      </c>
      <c r="J1417" s="51"/>
      <c r="K1417" s="52">
        <v>0</v>
      </c>
      <c r="L1417" s="52">
        <v>0</v>
      </c>
      <c r="M1417" s="53">
        <v>95</v>
      </c>
      <c r="N1417" s="54">
        <v>1050</v>
      </c>
      <c r="O1417" s="341">
        <v>1</v>
      </c>
      <c r="P1417" s="54">
        <f t="shared" ref="P1417:P1443" si="238">N1417/O1417</f>
        <v>1050</v>
      </c>
      <c r="Q1417" s="54"/>
      <c r="R1417" s="92">
        <v>1050</v>
      </c>
      <c r="S1417" s="53">
        <f t="shared" si="232"/>
        <v>0</v>
      </c>
      <c r="T1417" s="343">
        <f t="shared" si="233"/>
        <v>909.47368421052624</v>
      </c>
      <c r="U1417" s="52">
        <f t="shared" si="234"/>
        <v>0</v>
      </c>
      <c r="V1417" s="52">
        <f t="shared" si="235"/>
        <v>0</v>
      </c>
      <c r="W1417" s="52">
        <v>0</v>
      </c>
      <c r="X1417" s="55">
        <f t="shared" si="236"/>
        <v>46153</v>
      </c>
    </row>
    <row r="1418" spans="1:24" ht="29" hidden="1" x14ac:dyDescent="0.35">
      <c r="A1418" s="46">
        <f t="shared" si="237"/>
        <v>46153</v>
      </c>
      <c r="B1418" s="46"/>
      <c r="C1418" s="46"/>
      <c r="D1418" s="46"/>
      <c r="E1418" s="47" t="s">
        <v>64</v>
      </c>
      <c r="F1418" s="56" t="s">
        <v>2316</v>
      </c>
      <c r="G1418" s="56"/>
      <c r="H1418" s="49" t="s">
        <v>2317</v>
      </c>
      <c r="I1418" s="99" t="s">
        <v>160</v>
      </c>
      <c r="J1418" s="51"/>
      <c r="K1418" s="52">
        <v>0</v>
      </c>
      <c r="L1418" s="52">
        <v>0</v>
      </c>
      <c r="M1418" s="53">
        <v>50</v>
      </c>
      <c r="N1418" s="54">
        <v>790</v>
      </c>
      <c r="O1418" s="341">
        <v>1</v>
      </c>
      <c r="P1418" s="54">
        <f t="shared" si="238"/>
        <v>790</v>
      </c>
      <c r="Q1418" s="54"/>
      <c r="R1418" s="92">
        <v>790</v>
      </c>
      <c r="S1418" s="53">
        <f t="shared" si="232"/>
        <v>0</v>
      </c>
      <c r="T1418" s="343">
        <f t="shared" si="233"/>
        <v>1728</v>
      </c>
      <c r="U1418" s="52">
        <f t="shared" si="234"/>
        <v>0</v>
      </c>
      <c r="V1418" s="52">
        <f t="shared" si="235"/>
        <v>0</v>
      </c>
      <c r="W1418" s="52">
        <v>0</v>
      </c>
      <c r="X1418" s="55">
        <f t="shared" si="236"/>
        <v>46153</v>
      </c>
    </row>
    <row r="1419" spans="1:24" hidden="1" x14ac:dyDescent="0.35">
      <c r="A1419" s="46">
        <f t="shared" si="237"/>
        <v>46153</v>
      </c>
      <c r="B1419" s="46"/>
      <c r="C1419" s="46"/>
      <c r="D1419" s="46"/>
      <c r="E1419" s="47" t="s">
        <v>64</v>
      </c>
      <c r="F1419" s="56" t="s">
        <v>2318</v>
      </c>
      <c r="G1419" s="56"/>
      <c r="H1419" s="49" t="s">
        <v>2319</v>
      </c>
      <c r="I1419" s="99" t="s">
        <v>825</v>
      </c>
      <c r="J1419" s="51"/>
      <c r="K1419" s="52">
        <v>0</v>
      </c>
      <c r="L1419" s="52">
        <v>0</v>
      </c>
      <c r="M1419" s="53">
        <v>50</v>
      </c>
      <c r="N1419" s="54">
        <v>5920</v>
      </c>
      <c r="O1419" s="341">
        <v>1</v>
      </c>
      <c r="P1419" s="54">
        <f t="shared" si="238"/>
        <v>5920</v>
      </c>
      <c r="Q1419" s="54"/>
      <c r="R1419" s="92">
        <v>5920</v>
      </c>
      <c r="S1419" s="53">
        <f t="shared" si="232"/>
        <v>0</v>
      </c>
      <c r="T1419" s="343">
        <f t="shared" si="233"/>
        <v>1728</v>
      </c>
      <c r="U1419" s="52">
        <f t="shared" si="234"/>
        <v>0</v>
      </c>
      <c r="V1419" s="52">
        <f t="shared" si="235"/>
        <v>0</v>
      </c>
      <c r="W1419" s="52">
        <v>0</v>
      </c>
      <c r="X1419" s="55">
        <f t="shared" si="236"/>
        <v>46153</v>
      </c>
    </row>
    <row r="1420" spans="1:24" hidden="1" x14ac:dyDescent="0.35">
      <c r="A1420" s="46">
        <f t="shared" si="237"/>
        <v>46153</v>
      </c>
      <c r="B1420" s="46"/>
      <c r="C1420" s="46"/>
      <c r="D1420" s="46"/>
      <c r="E1420" s="47" t="s">
        <v>1243</v>
      </c>
      <c r="F1420" s="48" t="s">
        <v>414</v>
      </c>
      <c r="G1420" s="48"/>
      <c r="H1420" s="49" t="s">
        <v>2320</v>
      </c>
      <c r="I1420" s="106" t="s">
        <v>474</v>
      </c>
      <c r="J1420" s="51"/>
      <c r="K1420" s="52">
        <v>0</v>
      </c>
      <c r="L1420" s="52">
        <v>0</v>
      </c>
      <c r="M1420" s="53">
        <v>100</v>
      </c>
      <c r="N1420" s="54">
        <v>740</v>
      </c>
      <c r="O1420" s="341">
        <v>1</v>
      </c>
      <c r="P1420" s="54">
        <f t="shared" si="238"/>
        <v>740</v>
      </c>
      <c r="Q1420" s="54"/>
      <c r="R1420" s="92">
        <v>740</v>
      </c>
      <c r="S1420" s="53">
        <f t="shared" si="232"/>
        <v>0</v>
      </c>
      <c r="T1420" s="343">
        <f t="shared" si="233"/>
        <v>864</v>
      </c>
      <c r="U1420" s="52">
        <f t="shared" si="234"/>
        <v>0</v>
      </c>
      <c r="V1420" s="52">
        <f t="shared" si="235"/>
        <v>0</v>
      </c>
      <c r="W1420" s="52">
        <v>0</v>
      </c>
      <c r="X1420" s="55">
        <f t="shared" si="236"/>
        <v>46153</v>
      </c>
    </row>
    <row r="1421" spans="1:24" hidden="1" x14ac:dyDescent="0.35">
      <c r="A1421" s="46">
        <f t="shared" si="237"/>
        <v>46153</v>
      </c>
      <c r="B1421" s="46"/>
      <c r="C1421" s="46"/>
      <c r="D1421" s="46"/>
      <c r="E1421" s="47" t="s">
        <v>467</v>
      </c>
      <c r="F1421" s="48" t="s">
        <v>104</v>
      </c>
      <c r="G1421" s="48"/>
      <c r="H1421" s="49" t="s">
        <v>2321</v>
      </c>
      <c r="I1421" s="99" t="s">
        <v>2322</v>
      </c>
      <c r="J1421" s="51"/>
      <c r="K1421" s="52">
        <v>0</v>
      </c>
      <c r="L1421" s="52">
        <v>0</v>
      </c>
      <c r="M1421" s="53">
        <v>95</v>
      </c>
      <c r="N1421" s="54">
        <v>1050</v>
      </c>
      <c r="O1421" s="341">
        <v>1</v>
      </c>
      <c r="P1421" s="54">
        <f t="shared" si="238"/>
        <v>1050</v>
      </c>
      <c r="Q1421" s="54"/>
      <c r="R1421" s="92">
        <v>1050</v>
      </c>
      <c r="S1421" s="53">
        <f t="shared" si="232"/>
        <v>0</v>
      </c>
      <c r="T1421" s="343">
        <f t="shared" si="233"/>
        <v>909.47368421052624</v>
      </c>
      <c r="U1421" s="52">
        <f t="shared" si="234"/>
        <v>0</v>
      </c>
      <c r="V1421" s="52">
        <f t="shared" si="235"/>
        <v>0</v>
      </c>
      <c r="W1421" s="52">
        <v>0</v>
      </c>
      <c r="X1421" s="55">
        <f t="shared" si="236"/>
        <v>46153</v>
      </c>
    </row>
    <row r="1422" spans="1:24" hidden="1" x14ac:dyDescent="0.35">
      <c r="A1422" s="46">
        <f t="shared" si="237"/>
        <v>46153</v>
      </c>
      <c r="B1422" s="46"/>
      <c r="C1422" s="46"/>
      <c r="D1422" s="46"/>
      <c r="E1422" s="47" t="s">
        <v>467</v>
      </c>
      <c r="F1422" s="48" t="s">
        <v>2323</v>
      </c>
      <c r="G1422" s="48"/>
      <c r="H1422" s="49" t="s">
        <v>2324</v>
      </c>
      <c r="I1422" s="97" t="s">
        <v>2325</v>
      </c>
      <c r="J1422" s="51"/>
      <c r="K1422" s="52">
        <v>0</v>
      </c>
      <c r="L1422" s="52">
        <v>0</v>
      </c>
      <c r="M1422" s="53">
        <v>95</v>
      </c>
      <c r="N1422" s="54">
        <v>1050</v>
      </c>
      <c r="O1422" s="341">
        <v>1</v>
      </c>
      <c r="P1422" s="54">
        <f t="shared" si="238"/>
        <v>1050</v>
      </c>
      <c r="Q1422" s="54"/>
      <c r="R1422" s="92">
        <v>1050</v>
      </c>
      <c r="S1422" s="53">
        <f t="shared" si="232"/>
        <v>0</v>
      </c>
      <c r="T1422" s="343">
        <f t="shared" si="233"/>
        <v>909.47368421052624</v>
      </c>
      <c r="U1422" s="52">
        <f t="shared" si="234"/>
        <v>0</v>
      </c>
      <c r="V1422" s="52">
        <f t="shared" si="235"/>
        <v>0</v>
      </c>
      <c r="W1422" s="52">
        <v>0</v>
      </c>
      <c r="X1422" s="55">
        <f t="shared" si="236"/>
        <v>46153</v>
      </c>
    </row>
    <row r="1423" spans="1:24" ht="101.5" hidden="1" x14ac:dyDescent="0.35">
      <c r="A1423" s="46">
        <f t="shared" si="237"/>
        <v>46153</v>
      </c>
      <c r="B1423" s="46"/>
      <c r="C1423" s="46"/>
      <c r="D1423" s="46"/>
      <c r="E1423" s="47" t="s">
        <v>467</v>
      </c>
      <c r="F1423" s="48" t="s">
        <v>2326</v>
      </c>
      <c r="G1423" s="48"/>
      <c r="H1423" s="49" t="s">
        <v>2327</v>
      </c>
      <c r="I1423" s="99" t="s">
        <v>825</v>
      </c>
      <c r="J1423" s="51"/>
      <c r="K1423" s="52">
        <v>0</v>
      </c>
      <c r="L1423" s="52">
        <v>0</v>
      </c>
      <c r="M1423" s="53">
        <v>50</v>
      </c>
      <c r="N1423" s="54">
        <v>5920</v>
      </c>
      <c r="O1423" s="341">
        <v>1</v>
      </c>
      <c r="P1423" s="54">
        <f t="shared" si="238"/>
        <v>5920</v>
      </c>
      <c r="Q1423" s="54"/>
      <c r="R1423" s="92">
        <v>5920</v>
      </c>
      <c r="S1423" s="53">
        <f t="shared" si="232"/>
        <v>0</v>
      </c>
      <c r="T1423" s="343">
        <f t="shared" si="233"/>
        <v>1728</v>
      </c>
      <c r="U1423" s="52">
        <f t="shared" si="234"/>
        <v>0</v>
      </c>
      <c r="V1423" s="52">
        <f t="shared" si="235"/>
        <v>0</v>
      </c>
      <c r="W1423" s="52">
        <v>0</v>
      </c>
      <c r="X1423" s="55">
        <f t="shared" si="236"/>
        <v>46153</v>
      </c>
    </row>
    <row r="1424" spans="1:24" ht="116" hidden="1" x14ac:dyDescent="0.35">
      <c r="A1424" s="46">
        <f t="shared" si="237"/>
        <v>46153</v>
      </c>
      <c r="B1424" s="46"/>
      <c r="C1424" s="46"/>
      <c r="D1424" s="46"/>
      <c r="E1424" s="47" t="s">
        <v>64</v>
      </c>
      <c r="F1424" s="48" t="s">
        <v>2328</v>
      </c>
      <c r="G1424" s="48"/>
      <c r="H1424" s="49" t="s">
        <v>2329</v>
      </c>
      <c r="I1424" s="99" t="s">
        <v>825</v>
      </c>
      <c r="J1424" s="51"/>
      <c r="K1424" s="52">
        <v>0</v>
      </c>
      <c r="L1424" s="52">
        <v>0</v>
      </c>
      <c r="M1424" s="53">
        <v>50</v>
      </c>
      <c r="N1424" s="54">
        <v>14784</v>
      </c>
      <c r="O1424" s="341">
        <v>1</v>
      </c>
      <c r="P1424" s="54">
        <f t="shared" si="238"/>
        <v>14784</v>
      </c>
      <c r="Q1424" s="54"/>
      <c r="R1424" s="92">
        <v>14784</v>
      </c>
      <c r="S1424" s="53">
        <f t="shared" si="232"/>
        <v>0</v>
      </c>
      <c r="T1424" s="343">
        <f t="shared" si="233"/>
        <v>1728</v>
      </c>
      <c r="U1424" s="52">
        <f t="shared" si="234"/>
        <v>0</v>
      </c>
      <c r="V1424" s="52">
        <f t="shared" si="235"/>
        <v>0</v>
      </c>
      <c r="W1424" s="52">
        <v>0</v>
      </c>
      <c r="X1424" s="55">
        <f t="shared" si="236"/>
        <v>46153</v>
      </c>
    </row>
    <row r="1425" spans="1:24" ht="26.5" hidden="1" x14ac:dyDescent="0.35">
      <c r="A1425" s="46">
        <f t="shared" si="237"/>
        <v>46153</v>
      </c>
      <c r="B1425" s="46"/>
      <c r="C1425" s="46"/>
      <c r="D1425" s="46"/>
      <c r="E1425" s="47" t="s">
        <v>64</v>
      </c>
      <c r="F1425" s="48" t="s">
        <v>355</v>
      </c>
      <c r="G1425" s="48"/>
      <c r="H1425" s="49" t="s">
        <v>2330</v>
      </c>
      <c r="I1425" s="82" t="s">
        <v>2331</v>
      </c>
      <c r="J1425" s="51"/>
      <c r="K1425" s="52">
        <v>0</v>
      </c>
      <c r="L1425" s="52">
        <v>0</v>
      </c>
      <c r="M1425" s="53">
        <v>95</v>
      </c>
      <c r="N1425" s="54">
        <v>388</v>
      </c>
      <c r="O1425" s="341">
        <v>1</v>
      </c>
      <c r="P1425" s="54">
        <f t="shared" si="238"/>
        <v>388</v>
      </c>
      <c r="Q1425" s="54"/>
      <c r="R1425" s="92">
        <v>388</v>
      </c>
      <c r="S1425" s="53">
        <f t="shared" si="232"/>
        <v>0</v>
      </c>
      <c r="T1425" s="343">
        <f t="shared" si="233"/>
        <v>909.47368421052624</v>
      </c>
      <c r="U1425" s="52">
        <f t="shared" si="234"/>
        <v>0</v>
      </c>
      <c r="V1425" s="52">
        <f t="shared" si="235"/>
        <v>0</v>
      </c>
      <c r="W1425" s="52">
        <v>0</v>
      </c>
      <c r="X1425" s="55">
        <f t="shared" si="236"/>
        <v>46153</v>
      </c>
    </row>
    <row r="1426" spans="1:24" hidden="1" x14ac:dyDescent="0.35">
      <c r="A1426" s="46">
        <f t="shared" si="237"/>
        <v>46153</v>
      </c>
      <c r="B1426" s="46"/>
      <c r="C1426" s="46"/>
      <c r="D1426" s="46"/>
      <c r="E1426" s="47" t="s">
        <v>43</v>
      </c>
      <c r="F1426" s="57" t="s">
        <v>2332</v>
      </c>
      <c r="G1426" s="57"/>
      <c r="H1426" s="49" t="s">
        <v>2333</v>
      </c>
      <c r="I1426" s="82" t="s">
        <v>474</v>
      </c>
      <c r="J1426" s="51"/>
      <c r="K1426" s="52">
        <v>0</v>
      </c>
      <c r="L1426" s="52">
        <v>0</v>
      </c>
      <c r="M1426" s="53">
        <v>100</v>
      </c>
      <c r="N1426" s="54">
        <v>1000</v>
      </c>
      <c r="O1426" s="341">
        <v>1</v>
      </c>
      <c r="P1426" s="54">
        <f t="shared" si="238"/>
        <v>1000</v>
      </c>
      <c r="Q1426" s="54"/>
      <c r="R1426" s="92">
        <v>1000</v>
      </c>
      <c r="S1426" s="53">
        <f t="shared" si="232"/>
        <v>0</v>
      </c>
      <c r="T1426" s="343">
        <f t="shared" si="233"/>
        <v>864</v>
      </c>
      <c r="U1426" s="52">
        <f t="shared" si="234"/>
        <v>0</v>
      </c>
      <c r="V1426" s="52">
        <f t="shared" si="235"/>
        <v>0</v>
      </c>
      <c r="W1426" s="52">
        <v>0</v>
      </c>
      <c r="X1426" s="55">
        <f t="shared" si="236"/>
        <v>46153</v>
      </c>
    </row>
    <row r="1427" spans="1:24" hidden="1" x14ac:dyDescent="0.35">
      <c r="A1427" s="46">
        <f t="shared" si="237"/>
        <v>46153</v>
      </c>
      <c r="B1427" s="46"/>
      <c r="C1427" s="46"/>
      <c r="D1427" s="46"/>
      <c r="E1427" s="47" t="s">
        <v>440</v>
      </c>
      <c r="F1427" s="62" t="s">
        <v>135</v>
      </c>
      <c r="G1427" s="62"/>
      <c r="H1427" s="63" t="s">
        <v>2334</v>
      </c>
      <c r="I1427" s="69" t="s">
        <v>2335</v>
      </c>
      <c r="J1427" s="64"/>
      <c r="K1427" s="52">
        <v>0</v>
      </c>
      <c r="L1427" s="52">
        <v>0</v>
      </c>
      <c r="M1427" s="53">
        <v>95</v>
      </c>
      <c r="N1427" s="65">
        <v>2000</v>
      </c>
      <c r="O1427" s="341">
        <v>1</v>
      </c>
      <c r="P1427" s="54">
        <f t="shared" si="238"/>
        <v>2000</v>
      </c>
      <c r="Q1427" s="54"/>
      <c r="R1427" s="91">
        <v>2000</v>
      </c>
      <c r="S1427" s="53">
        <f t="shared" si="232"/>
        <v>0</v>
      </c>
      <c r="T1427" s="343">
        <f t="shared" si="233"/>
        <v>909.47368421052624</v>
      </c>
      <c r="U1427" s="52">
        <f t="shared" si="234"/>
        <v>0</v>
      </c>
      <c r="V1427" s="52">
        <f t="shared" si="235"/>
        <v>0</v>
      </c>
      <c r="W1427" s="52">
        <v>0</v>
      </c>
      <c r="X1427" s="55">
        <f t="shared" si="236"/>
        <v>46153</v>
      </c>
    </row>
    <row r="1428" spans="1:24" hidden="1" x14ac:dyDescent="0.35">
      <c r="A1428" s="46">
        <f t="shared" si="237"/>
        <v>46153</v>
      </c>
      <c r="B1428" s="46"/>
      <c r="C1428" s="46"/>
      <c r="D1428" s="46"/>
      <c r="E1428" s="47" t="s">
        <v>64</v>
      </c>
      <c r="F1428" s="62" t="s">
        <v>135</v>
      </c>
      <c r="G1428" s="62"/>
      <c r="H1428" s="63" t="s">
        <v>2336</v>
      </c>
      <c r="I1428" s="69" t="s">
        <v>2335</v>
      </c>
      <c r="J1428" s="64" t="s">
        <v>140</v>
      </c>
      <c r="K1428" s="52">
        <v>0</v>
      </c>
      <c r="L1428" s="52">
        <v>0</v>
      </c>
      <c r="M1428" s="53">
        <v>95</v>
      </c>
      <c r="N1428" s="65">
        <v>5000</v>
      </c>
      <c r="O1428" s="341">
        <v>1</v>
      </c>
      <c r="P1428" s="54">
        <f t="shared" si="238"/>
        <v>5000</v>
      </c>
      <c r="Q1428" s="54"/>
      <c r="R1428" s="91">
        <v>5000</v>
      </c>
      <c r="S1428" s="53">
        <f t="shared" si="232"/>
        <v>0</v>
      </c>
      <c r="T1428" s="343">
        <f t="shared" si="233"/>
        <v>909.47368421052624</v>
      </c>
      <c r="U1428" s="52">
        <f t="shared" si="234"/>
        <v>0</v>
      </c>
      <c r="V1428" s="52">
        <f t="shared" si="235"/>
        <v>0</v>
      </c>
      <c r="W1428" s="52">
        <v>0</v>
      </c>
      <c r="X1428" s="55">
        <f t="shared" si="236"/>
        <v>46153</v>
      </c>
    </row>
    <row r="1429" spans="1:24" hidden="1" x14ac:dyDescent="0.35">
      <c r="A1429" s="46">
        <f t="shared" si="237"/>
        <v>46153</v>
      </c>
      <c r="B1429" s="46"/>
      <c r="C1429" s="46"/>
      <c r="D1429" s="46"/>
      <c r="E1429" s="47" t="s">
        <v>64</v>
      </c>
      <c r="F1429" s="48" t="s">
        <v>355</v>
      </c>
      <c r="G1429" s="48"/>
      <c r="H1429" s="49" t="s">
        <v>2330</v>
      </c>
      <c r="I1429" s="82" t="s">
        <v>1049</v>
      </c>
      <c r="J1429" s="64" t="s">
        <v>140</v>
      </c>
      <c r="K1429" s="52">
        <v>0</v>
      </c>
      <c r="L1429" s="52">
        <v>0</v>
      </c>
      <c r="M1429" s="53">
        <v>95</v>
      </c>
      <c r="N1429" s="54">
        <v>408</v>
      </c>
      <c r="O1429" s="341">
        <v>1</v>
      </c>
      <c r="P1429" s="54">
        <f t="shared" si="238"/>
        <v>408</v>
      </c>
      <c r="Q1429" s="54"/>
      <c r="R1429" s="92">
        <v>408</v>
      </c>
      <c r="S1429" s="53">
        <f t="shared" si="232"/>
        <v>0</v>
      </c>
      <c r="T1429" s="343">
        <f t="shared" si="233"/>
        <v>909.47368421052624</v>
      </c>
      <c r="U1429" s="52">
        <f t="shared" si="234"/>
        <v>0</v>
      </c>
      <c r="V1429" s="52">
        <f t="shared" si="235"/>
        <v>0</v>
      </c>
      <c r="W1429" s="52">
        <v>0</v>
      </c>
      <c r="X1429" s="55">
        <f t="shared" si="236"/>
        <v>46153</v>
      </c>
    </row>
    <row r="1430" spans="1:24" ht="26.5" hidden="1" x14ac:dyDescent="0.35">
      <c r="A1430" s="46">
        <f t="shared" si="237"/>
        <v>46153</v>
      </c>
      <c r="B1430" s="46"/>
      <c r="C1430" s="46"/>
      <c r="D1430" s="46"/>
      <c r="E1430" s="47" t="s">
        <v>64</v>
      </c>
      <c r="F1430" s="48" t="s">
        <v>355</v>
      </c>
      <c r="G1430" s="48"/>
      <c r="H1430" s="49" t="s">
        <v>2337</v>
      </c>
      <c r="I1430" s="82" t="s">
        <v>1051</v>
      </c>
      <c r="J1430" s="64" t="s">
        <v>140</v>
      </c>
      <c r="K1430" s="52">
        <v>0</v>
      </c>
      <c r="L1430" s="52">
        <v>0</v>
      </c>
      <c r="M1430" s="53">
        <v>95</v>
      </c>
      <c r="N1430" s="54">
        <v>300</v>
      </c>
      <c r="O1430" s="341">
        <v>1</v>
      </c>
      <c r="P1430" s="54">
        <f t="shared" si="238"/>
        <v>300</v>
      </c>
      <c r="Q1430" s="54"/>
      <c r="R1430" s="92">
        <v>300</v>
      </c>
      <c r="S1430" s="53">
        <f t="shared" si="232"/>
        <v>0</v>
      </c>
      <c r="T1430" s="343">
        <f t="shared" si="233"/>
        <v>909.47368421052624</v>
      </c>
      <c r="U1430" s="52">
        <f t="shared" si="234"/>
        <v>0</v>
      </c>
      <c r="V1430" s="52">
        <f t="shared" si="235"/>
        <v>0</v>
      </c>
      <c r="W1430" s="52">
        <v>0</v>
      </c>
      <c r="X1430" s="55">
        <f t="shared" si="236"/>
        <v>46153</v>
      </c>
    </row>
    <row r="1431" spans="1:24" hidden="1" x14ac:dyDescent="0.35">
      <c r="A1431" s="46">
        <f t="shared" si="237"/>
        <v>46153</v>
      </c>
      <c r="B1431" s="46"/>
      <c r="C1431" s="46"/>
      <c r="D1431" s="46"/>
      <c r="E1431" s="47" t="s">
        <v>64</v>
      </c>
      <c r="F1431" s="62" t="s">
        <v>104</v>
      </c>
      <c r="G1431" s="62"/>
      <c r="H1431" s="216" t="s">
        <v>1981</v>
      </c>
      <c r="I1431" s="82" t="s">
        <v>2338</v>
      </c>
      <c r="J1431" s="64" t="s">
        <v>140</v>
      </c>
      <c r="K1431" s="52">
        <v>0</v>
      </c>
      <c r="L1431" s="52">
        <v>0</v>
      </c>
      <c r="M1431" s="53">
        <v>110</v>
      </c>
      <c r="N1431" s="54">
        <v>372</v>
      </c>
      <c r="O1431" s="341">
        <v>1</v>
      </c>
      <c r="P1431" s="54">
        <f t="shared" si="238"/>
        <v>372</v>
      </c>
      <c r="Q1431" s="54"/>
      <c r="R1431" s="92">
        <v>372</v>
      </c>
      <c r="S1431" s="53">
        <f t="shared" si="232"/>
        <v>0</v>
      </c>
      <c r="T1431" s="343">
        <f t="shared" si="233"/>
        <v>785.4545454545455</v>
      </c>
      <c r="U1431" s="52">
        <f t="shared" si="234"/>
        <v>0</v>
      </c>
      <c r="V1431" s="52">
        <f t="shared" si="235"/>
        <v>0</v>
      </c>
      <c r="W1431" s="52">
        <v>0</v>
      </c>
      <c r="X1431" s="55">
        <f t="shared" si="236"/>
        <v>46153</v>
      </c>
    </row>
    <row r="1432" spans="1:24" hidden="1" x14ac:dyDescent="0.35">
      <c r="A1432" s="46">
        <f t="shared" si="237"/>
        <v>46153</v>
      </c>
      <c r="B1432" s="46"/>
      <c r="C1432" s="46"/>
      <c r="D1432" s="46"/>
      <c r="E1432" s="47" t="s">
        <v>64</v>
      </c>
      <c r="F1432" s="62" t="s">
        <v>113</v>
      </c>
      <c r="G1432" s="62"/>
      <c r="H1432" s="67" t="s">
        <v>2339</v>
      </c>
      <c r="I1432" s="97" t="s">
        <v>2340</v>
      </c>
      <c r="J1432" s="64" t="s">
        <v>140</v>
      </c>
      <c r="K1432" s="52">
        <v>0</v>
      </c>
      <c r="L1432" s="52">
        <v>0</v>
      </c>
      <c r="M1432" s="53">
        <v>110</v>
      </c>
      <c r="N1432" s="54">
        <v>80</v>
      </c>
      <c r="O1432" s="341">
        <v>1</v>
      </c>
      <c r="P1432" s="54">
        <f t="shared" si="238"/>
        <v>80</v>
      </c>
      <c r="Q1432" s="54"/>
      <c r="R1432" s="92">
        <v>80</v>
      </c>
      <c r="S1432" s="53">
        <f t="shared" si="232"/>
        <v>0</v>
      </c>
      <c r="T1432" s="343">
        <f t="shared" si="233"/>
        <v>785.4545454545455</v>
      </c>
      <c r="U1432" s="52">
        <f t="shared" si="234"/>
        <v>0</v>
      </c>
      <c r="V1432" s="52">
        <f t="shared" si="235"/>
        <v>0</v>
      </c>
      <c r="W1432" s="52">
        <v>0</v>
      </c>
      <c r="X1432" s="55">
        <f t="shared" si="236"/>
        <v>46153</v>
      </c>
    </row>
    <row r="1433" spans="1:24" hidden="1" x14ac:dyDescent="0.35">
      <c r="A1433" s="46">
        <f t="shared" si="237"/>
        <v>46153</v>
      </c>
      <c r="B1433" s="46"/>
      <c r="C1433" s="46"/>
      <c r="D1433" s="46"/>
      <c r="E1433" s="47" t="s">
        <v>64</v>
      </c>
      <c r="F1433" s="48" t="s">
        <v>141</v>
      </c>
      <c r="G1433" s="48"/>
      <c r="H1433" s="63" t="s">
        <v>2341</v>
      </c>
      <c r="I1433" s="69" t="s">
        <v>2342</v>
      </c>
      <c r="J1433" s="51" t="s">
        <v>140</v>
      </c>
      <c r="K1433" s="52">
        <v>0</v>
      </c>
      <c r="L1433" s="52">
        <v>0</v>
      </c>
      <c r="M1433" s="53">
        <v>120</v>
      </c>
      <c r="N1433" s="54">
        <v>1500</v>
      </c>
      <c r="O1433" s="341">
        <v>1</v>
      </c>
      <c r="P1433" s="54">
        <f t="shared" si="238"/>
        <v>1500</v>
      </c>
      <c r="Q1433" s="54"/>
      <c r="R1433" s="92">
        <v>1500</v>
      </c>
      <c r="S1433" s="53">
        <f t="shared" si="232"/>
        <v>0</v>
      </c>
      <c r="T1433" s="343">
        <f t="shared" si="233"/>
        <v>720</v>
      </c>
      <c r="U1433" s="52">
        <f t="shared" si="234"/>
        <v>0</v>
      </c>
      <c r="V1433" s="52">
        <f t="shared" si="235"/>
        <v>0</v>
      </c>
      <c r="W1433" s="52">
        <v>0</v>
      </c>
      <c r="X1433" s="55">
        <f t="shared" si="236"/>
        <v>46153</v>
      </c>
    </row>
    <row r="1434" spans="1:24" hidden="1" x14ac:dyDescent="0.35">
      <c r="A1434" s="46">
        <f t="shared" si="237"/>
        <v>46153</v>
      </c>
      <c r="B1434" s="46"/>
      <c r="C1434" s="46"/>
      <c r="D1434" s="46"/>
      <c r="E1434" s="47" t="s">
        <v>64</v>
      </c>
      <c r="F1434" s="48" t="s">
        <v>149</v>
      </c>
      <c r="G1434" s="48"/>
      <c r="H1434" s="63" t="s">
        <v>2343</v>
      </c>
      <c r="I1434" s="69" t="s">
        <v>2342</v>
      </c>
      <c r="J1434" s="51" t="s">
        <v>140</v>
      </c>
      <c r="K1434" s="52">
        <v>0</v>
      </c>
      <c r="L1434" s="52">
        <v>0</v>
      </c>
      <c r="M1434" s="53">
        <v>120</v>
      </c>
      <c r="N1434" s="54">
        <v>2000</v>
      </c>
      <c r="O1434" s="341">
        <v>1</v>
      </c>
      <c r="P1434" s="54">
        <f t="shared" si="238"/>
        <v>2000</v>
      </c>
      <c r="Q1434" s="54"/>
      <c r="R1434" s="92">
        <v>2000</v>
      </c>
      <c r="S1434" s="53">
        <f t="shared" si="232"/>
        <v>0</v>
      </c>
      <c r="T1434" s="343">
        <f t="shared" si="233"/>
        <v>720</v>
      </c>
      <c r="U1434" s="52">
        <f t="shared" si="234"/>
        <v>0</v>
      </c>
      <c r="V1434" s="52">
        <f t="shared" si="235"/>
        <v>0</v>
      </c>
      <c r="W1434" s="52">
        <v>0</v>
      </c>
      <c r="X1434" s="55">
        <f t="shared" si="236"/>
        <v>46153</v>
      </c>
    </row>
    <row r="1435" spans="1:24" hidden="1" x14ac:dyDescent="0.35">
      <c r="A1435" s="46">
        <f t="shared" si="237"/>
        <v>46153</v>
      </c>
      <c r="B1435" s="46"/>
      <c r="C1435" s="46"/>
      <c r="D1435" s="46"/>
      <c r="E1435" s="47" t="s">
        <v>64</v>
      </c>
      <c r="F1435" s="56" t="s">
        <v>2344</v>
      </c>
      <c r="G1435" s="56"/>
      <c r="H1435" s="49" t="s">
        <v>2345</v>
      </c>
      <c r="I1435" s="99" t="s">
        <v>97</v>
      </c>
      <c r="J1435" s="51" t="s">
        <v>140</v>
      </c>
      <c r="K1435" s="52">
        <v>0</v>
      </c>
      <c r="L1435" s="52">
        <v>0</v>
      </c>
      <c r="M1435" s="53">
        <v>110</v>
      </c>
      <c r="N1435" s="54">
        <v>3500</v>
      </c>
      <c r="O1435" s="341">
        <v>1</v>
      </c>
      <c r="P1435" s="54">
        <f t="shared" si="238"/>
        <v>3500</v>
      </c>
      <c r="Q1435" s="54"/>
      <c r="R1435" s="92">
        <v>3500</v>
      </c>
      <c r="S1435" s="53">
        <f t="shared" si="232"/>
        <v>0</v>
      </c>
      <c r="T1435" s="343">
        <f t="shared" si="233"/>
        <v>785.4545454545455</v>
      </c>
      <c r="U1435" s="52">
        <f t="shared" si="234"/>
        <v>0</v>
      </c>
      <c r="V1435" s="52">
        <f t="shared" si="235"/>
        <v>0</v>
      </c>
      <c r="W1435" s="52">
        <v>0</v>
      </c>
      <c r="X1435" s="55">
        <f t="shared" si="236"/>
        <v>46153</v>
      </c>
    </row>
    <row r="1436" spans="1:24" hidden="1" x14ac:dyDescent="0.35">
      <c r="A1436" s="46">
        <f t="shared" si="237"/>
        <v>46153</v>
      </c>
      <c r="B1436" s="46"/>
      <c r="C1436" s="46"/>
      <c r="D1436" s="46"/>
      <c r="E1436" s="47" t="s">
        <v>64</v>
      </c>
      <c r="F1436" s="56" t="s">
        <v>2346</v>
      </c>
      <c r="G1436" s="56"/>
      <c r="H1436" s="49" t="s">
        <v>2347</v>
      </c>
      <c r="I1436" s="99" t="s">
        <v>97</v>
      </c>
      <c r="J1436" s="51" t="s">
        <v>140</v>
      </c>
      <c r="K1436" s="52">
        <v>0</v>
      </c>
      <c r="L1436" s="52">
        <v>0</v>
      </c>
      <c r="M1436" s="53">
        <v>110</v>
      </c>
      <c r="N1436" s="54">
        <v>3500</v>
      </c>
      <c r="O1436" s="341">
        <v>1</v>
      </c>
      <c r="P1436" s="54">
        <f t="shared" si="238"/>
        <v>3500</v>
      </c>
      <c r="Q1436" s="54"/>
      <c r="R1436" s="92">
        <v>3500</v>
      </c>
      <c r="S1436" s="53">
        <f t="shared" ref="S1436:S1499" si="239">P1436-R1436</f>
        <v>0</v>
      </c>
      <c r="T1436" s="343">
        <f t="shared" ref="T1436:T1499" si="240">((3600/M1436)*O1436)*24</f>
        <v>785.4545454545455</v>
      </c>
      <c r="U1436" s="52">
        <f t="shared" ref="U1436:U1499" si="241">(P1436-R1436)*M1436/3600</f>
        <v>0</v>
      </c>
      <c r="V1436" s="52">
        <f t="shared" ref="V1436:V1499" si="242">(P1436-R1436)*M1436/3600/24</f>
        <v>0</v>
      </c>
      <c r="W1436" s="52">
        <v>0</v>
      </c>
      <c r="X1436" s="55">
        <f t="shared" ref="X1436:X1499" si="243">A1436+K1436+V1436+W1436+L1436</f>
        <v>46153</v>
      </c>
    </row>
    <row r="1437" spans="1:24" ht="26.5" hidden="1" x14ac:dyDescent="0.35">
      <c r="A1437" s="46">
        <f t="shared" ref="A1437:A1500" si="244">X1436</f>
        <v>46153</v>
      </c>
      <c r="B1437" s="46"/>
      <c r="C1437" s="46"/>
      <c r="D1437" s="46"/>
      <c r="E1437" s="47" t="s">
        <v>64</v>
      </c>
      <c r="F1437" s="69" t="s">
        <v>1692</v>
      </c>
      <c r="G1437" s="69"/>
      <c r="H1437" s="49" t="s">
        <v>2348</v>
      </c>
      <c r="I1437" s="97" t="s">
        <v>597</v>
      </c>
      <c r="J1437" s="51" t="s">
        <v>140</v>
      </c>
      <c r="K1437" s="52">
        <v>0</v>
      </c>
      <c r="L1437" s="52">
        <v>0</v>
      </c>
      <c r="M1437" s="53">
        <v>95</v>
      </c>
      <c r="N1437" s="54">
        <v>15200</v>
      </c>
      <c r="O1437" s="341">
        <v>1</v>
      </c>
      <c r="P1437" s="54">
        <f t="shared" si="238"/>
        <v>15200</v>
      </c>
      <c r="Q1437" s="54"/>
      <c r="R1437" s="92">
        <v>15200</v>
      </c>
      <c r="S1437" s="53">
        <f t="shared" si="239"/>
        <v>0</v>
      </c>
      <c r="T1437" s="343">
        <f t="shared" si="240"/>
        <v>909.47368421052624</v>
      </c>
      <c r="U1437" s="52">
        <f t="shared" si="241"/>
        <v>0</v>
      </c>
      <c r="V1437" s="52">
        <f t="shared" si="242"/>
        <v>0</v>
      </c>
      <c r="W1437" s="52">
        <v>0</v>
      </c>
      <c r="X1437" s="55">
        <f t="shared" si="243"/>
        <v>46153</v>
      </c>
    </row>
    <row r="1438" spans="1:24" hidden="1" x14ac:dyDescent="0.35">
      <c r="A1438" s="46">
        <f t="shared" si="244"/>
        <v>46153</v>
      </c>
      <c r="B1438" s="46"/>
      <c r="C1438" s="46"/>
      <c r="D1438" s="46"/>
      <c r="E1438" s="47" t="s">
        <v>64</v>
      </c>
      <c r="F1438" s="56" t="s">
        <v>2349</v>
      </c>
      <c r="G1438" s="56"/>
      <c r="H1438" s="49" t="s">
        <v>2350</v>
      </c>
      <c r="I1438" s="82" t="s">
        <v>2311</v>
      </c>
      <c r="J1438" s="51" t="s">
        <v>140</v>
      </c>
      <c r="K1438" s="52">
        <v>0</v>
      </c>
      <c r="L1438" s="52">
        <v>0</v>
      </c>
      <c r="M1438" s="53">
        <v>100</v>
      </c>
      <c r="N1438" s="54">
        <v>500</v>
      </c>
      <c r="O1438" s="341">
        <v>1</v>
      </c>
      <c r="P1438" s="54">
        <f t="shared" si="238"/>
        <v>500</v>
      </c>
      <c r="Q1438" s="54"/>
      <c r="R1438" s="92">
        <v>500</v>
      </c>
      <c r="S1438" s="53">
        <f t="shared" si="239"/>
        <v>0</v>
      </c>
      <c r="T1438" s="343">
        <f t="shared" si="240"/>
        <v>864</v>
      </c>
      <c r="U1438" s="52">
        <f t="shared" si="241"/>
        <v>0</v>
      </c>
      <c r="V1438" s="52">
        <f t="shared" si="242"/>
        <v>0</v>
      </c>
      <c r="W1438" s="52">
        <v>0</v>
      </c>
      <c r="X1438" s="55">
        <f t="shared" si="243"/>
        <v>46153</v>
      </c>
    </row>
    <row r="1439" spans="1:24" ht="43.5" hidden="1" x14ac:dyDescent="0.35">
      <c r="A1439" s="46">
        <f t="shared" si="244"/>
        <v>46153</v>
      </c>
      <c r="B1439" s="46"/>
      <c r="C1439" s="46"/>
      <c r="D1439" s="46"/>
      <c r="E1439" s="47" t="s">
        <v>64</v>
      </c>
      <c r="F1439" s="48" t="s">
        <v>1019</v>
      </c>
      <c r="G1439" s="48"/>
      <c r="H1439" s="49" t="s">
        <v>2351</v>
      </c>
      <c r="I1439" s="82" t="s">
        <v>529</v>
      </c>
      <c r="J1439" s="51" t="s">
        <v>283</v>
      </c>
      <c r="K1439" s="52">
        <v>0</v>
      </c>
      <c r="L1439" s="52">
        <v>0</v>
      </c>
      <c r="M1439" s="53">
        <v>67</v>
      </c>
      <c r="N1439" s="54">
        <v>1080</v>
      </c>
      <c r="O1439" s="341">
        <v>1</v>
      </c>
      <c r="P1439" s="54">
        <f t="shared" si="238"/>
        <v>1080</v>
      </c>
      <c r="Q1439" s="54"/>
      <c r="R1439" s="92">
        <v>1080</v>
      </c>
      <c r="S1439" s="53">
        <f t="shared" si="239"/>
        <v>0</v>
      </c>
      <c r="T1439" s="343">
        <f t="shared" si="240"/>
        <v>1289.5522388059703</v>
      </c>
      <c r="U1439" s="52">
        <f t="shared" si="241"/>
        <v>0</v>
      </c>
      <c r="V1439" s="52">
        <f t="shared" si="242"/>
        <v>0</v>
      </c>
      <c r="W1439" s="52">
        <v>0</v>
      </c>
      <c r="X1439" s="55">
        <f t="shared" si="243"/>
        <v>46153</v>
      </c>
    </row>
    <row r="1440" spans="1:24" hidden="1" x14ac:dyDescent="0.35">
      <c r="A1440" s="46">
        <f t="shared" si="244"/>
        <v>46153</v>
      </c>
      <c r="B1440" s="46"/>
      <c r="C1440" s="46"/>
      <c r="D1440" s="46"/>
      <c r="E1440" s="47" t="s">
        <v>64</v>
      </c>
      <c r="F1440" s="48" t="s">
        <v>2352</v>
      </c>
      <c r="G1440" s="48"/>
      <c r="H1440" s="49" t="s">
        <v>2353</v>
      </c>
      <c r="I1440" s="85" t="s">
        <v>2354</v>
      </c>
      <c r="J1440" s="51" t="s">
        <v>283</v>
      </c>
      <c r="K1440" s="52">
        <v>0</v>
      </c>
      <c r="L1440" s="52">
        <v>0</v>
      </c>
      <c r="M1440" s="53">
        <v>70</v>
      </c>
      <c r="N1440" s="54">
        <v>500</v>
      </c>
      <c r="O1440" s="341">
        <v>1</v>
      </c>
      <c r="P1440" s="54">
        <f t="shared" si="238"/>
        <v>500</v>
      </c>
      <c r="Q1440" s="54"/>
      <c r="R1440" s="92">
        <v>500</v>
      </c>
      <c r="S1440" s="53">
        <f t="shared" si="239"/>
        <v>0</v>
      </c>
      <c r="T1440" s="343">
        <f t="shared" si="240"/>
        <v>1234.2857142857142</v>
      </c>
      <c r="U1440" s="52">
        <f t="shared" si="241"/>
        <v>0</v>
      </c>
      <c r="V1440" s="52">
        <f t="shared" si="242"/>
        <v>0</v>
      </c>
      <c r="W1440" s="52">
        <v>0</v>
      </c>
      <c r="X1440" s="55">
        <f t="shared" si="243"/>
        <v>46153</v>
      </c>
    </row>
    <row r="1441" spans="1:24" hidden="1" x14ac:dyDescent="0.35">
      <c r="A1441" s="46">
        <f t="shared" si="244"/>
        <v>46153</v>
      </c>
      <c r="B1441" s="46"/>
      <c r="C1441" s="46"/>
      <c r="D1441" s="46"/>
      <c r="E1441" s="47" t="s">
        <v>64</v>
      </c>
      <c r="F1441" s="48" t="s">
        <v>1031</v>
      </c>
      <c r="G1441" s="48"/>
      <c r="H1441" s="49" t="s">
        <v>2355</v>
      </c>
      <c r="I1441" s="99" t="s">
        <v>97</v>
      </c>
      <c r="J1441" s="51" t="s">
        <v>140</v>
      </c>
      <c r="K1441" s="52">
        <v>0</v>
      </c>
      <c r="L1441" s="52">
        <v>0</v>
      </c>
      <c r="M1441" s="53">
        <v>110</v>
      </c>
      <c r="N1441" s="54">
        <v>7000</v>
      </c>
      <c r="O1441" s="341">
        <v>1</v>
      </c>
      <c r="P1441" s="54">
        <f t="shared" si="238"/>
        <v>7000</v>
      </c>
      <c r="Q1441" s="54"/>
      <c r="R1441" s="92">
        <v>7000</v>
      </c>
      <c r="S1441" s="53">
        <f t="shared" si="239"/>
        <v>0</v>
      </c>
      <c r="T1441" s="343">
        <f t="shared" si="240"/>
        <v>785.4545454545455</v>
      </c>
      <c r="U1441" s="52">
        <f t="shared" si="241"/>
        <v>0</v>
      </c>
      <c r="V1441" s="52">
        <f t="shared" si="242"/>
        <v>0</v>
      </c>
      <c r="W1441" s="52">
        <v>0</v>
      </c>
      <c r="X1441" s="55">
        <f t="shared" si="243"/>
        <v>46153</v>
      </c>
    </row>
    <row r="1442" spans="1:24" ht="29" hidden="1" x14ac:dyDescent="0.35">
      <c r="A1442" s="46">
        <f t="shared" si="244"/>
        <v>46153</v>
      </c>
      <c r="B1442" s="46"/>
      <c r="C1442" s="46"/>
      <c r="D1442" s="46"/>
      <c r="E1442" s="47" t="s">
        <v>64</v>
      </c>
      <c r="F1442" s="62" t="s">
        <v>501</v>
      </c>
      <c r="G1442" s="62"/>
      <c r="H1442" s="216" t="s">
        <v>2356</v>
      </c>
      <c r="I1442" s="82" t="s">
        <v>2338</v>
      </c>
      <c r="J1442" s="64" t="s">
        <v>140</v>
      </c>
      <c r="K1442" s="52">
        <v>0</v>
      </c>
      <c r="L1442" s="52">
        <v>0</v>
      </c>
      <c r="M1442" s="53">
        <v>110</v>
      </c>
      <c r="N1442" s="54">
        <v>250</v>
      </c>
      <c r="O1442" s="341">
        <v>1</v>
      </c>
      <c r="P1442" s="54">
        <f t="shared" si="238"/>
        <v>250</v>
      </c>
      <c r="Q1442" s="54"/>
      <c r="R1442" s="92">
        <v>250</v>
      </c>
      <c r="S1442" s="53">
        <f t="shared" si="239"/>
        <v>0</v>
      </c>
      <c r="T1442" s="343">
        <f t="shared" si="240"/>
        <v>785.4545454545455</v>
      </c>
      <c r="U1442" s="52">
        <f t="shared" si="241"/>
        <v>0</v>
      </c>
      <c r="V1442" s="52">
        <f t="shared" si="242"/>
        <v>0</v>
      </c>
      <c r="W1442" s="52">
        <v>0</v>
      </c>
      <c r="X1442" s="55">
        <f t="shared" si="243"/>
        <v>46153</v>
      </c>
    </row>
    <row r="1443" spans="1:24" ht="29" hidden="1" x14ac:dyDescent="0.35">
      <c r="A1443" s="46">
        <f t="shared" si="244"/>
        <v>46153</v>
      </c>
      <c r="B1443" s="46"/>
      <c r="C1443" s="46"/>
      <c r="D1443" s="46"/>
      <c r="E1443" s="47" t="s">
        <v>64</v>
      </c>
      <c r="F1443" s="62" t="s">
        <v>501</v>
      </c>
      <c r="G1443" s="62"/>
      <c r="H1443" s="216" t="s">
        <v>2357</v>
      </c>
      <c r="I1443" s="85" t="s">
        <v>848</v>
      </c>
      <c r="J1443" s="64" t="s">
        <v>140</v>
      </c>
      <c r="K1443" s="52">
        <v>0</v>
      </c>
      <c r="L1443" s="52">
        <v>0</v>
      </c>
      <c r="M1443" s="53">
        <v>110</v>
      </c>
      <c r="N1443" s="54">
        <v>100</v>
      </c>
      <c r="O1443" s="341">
        <v>1</v>
      </c>
      <c r="P1443" s="54">
        <f t="shared" si="238"/>
        <v>100</v>
      </c>
      <c r="Q1443" s="54"/>
      <c r="R1443" s="92">
        <v>100</v>
      </c>
      <c r="S1443" s="53">
        <f t="shared" si="239"/>
        <v>0</v>
      </c>
      <c r="T1443" s="343">
        <f t="shared" si="240"/>
        <v>785.4545454545455</v>
      </c>
      <c r="U1443" s="52">
        <f t="shared" si="241"/>
        <v>0</v>
      </c>
      <c r="V1443" s="52">
        <f t="shared" si="242"/>
        <v>0</v>
      </c>
      <c r="W1443" s="52">
        <v>0</v>
      </c>
      <c r="X1443" s="55">
        <f t="shared" si="243"/>
        <v>46153</v>
      </c>
    </row>
    <row r="1444" spans="1:24" ht="29" hidden="1" x14ac:dyDescent="0.35">
      <c r="A1444" s="46">
        <f t="shared" si="244"/>
        <v>46153</v>
      </c>
      <c r="B1444" s="46"/>
      <c r="C1444" s="46"/>
      <c r="D1444" s="46"/>
      <c r="E1444" s="47" t="s">
        <v>64</v>
      </c>
      <c r="F1444" s="62" t="s">
        <v>501</v>
      </c>
      <c r="G1444" s="62"/>
      <c r="H1444" s="49" t="s">
        <v>2358</v>
      </c>
      <c r="I1444" s="82" t="s">
        <v>78</v>
      </c>
      <c r="J1444" s="51" t="s">
        <v>140</v>
      </c>
      <c r="K1444" s="52">
        <v>0</v>
      </c>
      <c r="L1444" s="52">
        <v>0</v>
      </c>
      <c r="M1444" s="53">
        <v>100</v>
      </c>
      <c r="N1444" s="54">
        <v>1000</v>
      </c>
      <c r="O1444" s="341">
        <v>1</v>
      </c>
      <c r="P1444" s="54">
        <v>1000</v>
      </c>
      <c r="Q1444" s="54"/>
      <c r="R1444" s="92">
        <v>1000</v>
      </c>
      <c r="S1444" s="53">
        <f t="shared" si="239"/>
        <v>0</v>
      </c>
      <c r="T1444" s="343">
        <f t="shared" si="240"/>
        <v>864</v>
      </c>
      <c r="U1444" s="52">
        <f t="shared" si="241"/>
        <v>0</v>
      </c>
      <c r="V1444" s="52">
        <f t="shared" si="242"/>
        <v>0</v>
      </c>
      <c r="W1444" s="52">
        <v>0</v>
      </c>
      <c r="X1444" s="55">
        <f t="shared" si="243"/>
        <v>46153</v>
      </c>
    </row>
    <row r="1445" spans="1:24" hidden="1" x14ac:dyDescent="0.35">
      <c r="A1445" s="46">
        <f t="shared" si="244"/>
        <v>46153</v>
      </c>
      <c r="B1445" s="46"/>
      <c r="C1445" s="46"/>
      <c r="D1445" s="46"/>
      <c r="E1445" s="47" t="s">
        <v>64</v>
      </c>
      <c r="F1445" s="48" t="s">
        <v>1389</v>
      </c>
      <c r="G1445" s="48"/>
      <c r="H1445" s="49" t="s">
        <v>1390</v>
      </c>
      <c r="I1445" s="396" t="s">
        <v>1391</v>
      </c>
      <c r="J1445" s="51" t="s">
        <v>140</v>
      </c>
      <c r="K1445" s="52">
        <v>0</v>
      </c>
      <c r="L1445" s="52">
        <v>0</v>
      </c>
      <c r="M1445" s="53">
        <v>90</v>
      </c>
      <c r="N1445" s="54">
        <v>1300</v>
      </c>
      <c r="O1445" s="341">
        <v>1</v>
      </c>
      <c r="P1445" s="54">
        <f t="shared" ref="P1445:P1473" si="245">N1445/O1445</f>
        <v>1300</v>
      </c>
      <c r="Q1445" s="54"/>
      <c r="R1445" s="92">
        <v>1300</v>
      </c>
      <c r="S1445" s="53">
        <f t="shared" si="239"/>
        <v>0</v>
      </c>
      <c r="T1445" s="343">
        <f t="shared" si="240"/>
        <v>960</v>
      </c>
      <c r="U1445" s="52">
        <f t="shared" si="241"/>
        <v>0</v>
      </c>
      <c r="V1445" s="52">
        <f t="shared" si="242"/>
        <v>0</v>
      </c>
      <c r="W1445" s="52">
        <v>0</v>
      </c>
      <c r="X1445" s="55">
        <f t="shared" si="243"/>
        <v>46153</v>
      </c>
    </row>
    <row r="1446" spans="1:24" hidden="1" x14ac:dyDescent="0.35">
      <c r="A1446" s="46">
        <f t="shared" si="244"/>
        <v>46153</v>
      </c>
      <c r="B1446" s="46"/>
      <c r="C1446" s="46"/>
      <c r="D1446" s="46"/>
      <c r="E1446" s="47" t="s">
        <v>64</v>
      </c>
      <c r="F1446" s="48" t="s">
        <v>2016</v>
      </c>
      <c r="G1446" s="48"/>
      <c r="H1446" s="49" t="s">
        <v>2359</v>
      </c>
      <c r="I1446" s="395" t="s">
        <v>2360</v>
      </c>
      <c r="J1446" s="51" t="s">
        <v>140</v>
      </c>
      <c r="K1446" s="52">
        <v>0</v>
      </c>
      <c r="L1446" s="52">
        <v>0</v>
      </c>
      <c r="M1446" s="53">
        <v>90</v>
      </c>
      <c r="N1446" s="54">
        <v>1000</v>
      </c>
      <c r="O1446" s="341">
        <v>1</v>
      </c>
      <c r="P1446" s="54">
        <f t="shared" si="245"/>
        <v>1000</v>
      </c>
      <c r="Q1446" s="54"/>
      <c r="R1446" s="92">
        <v>1000</v>
      </c>
      <c r="S1446" s="53">
        <f t="shared" si="239"/>
        <v>0</v>
      </c>
      <c r="T1446" s="343">
        <f t="shared" si="240"/>
        <v>960</v>
      </c>
      <c r="U1446" s="52">
        <f t="shared" si="241"/>
        <v>0</v>
      </c>
      <c r="V1446" s="52">
        <f t="shared" si="242"/>
        <v>0</v>
      </c>
      <c r="W1446" s="52">
        <v>0</v>
      </c>
      <c r="X1446" s="55">
        <f t="shared" si="243"/>
        <v>46153</v>
      </c>
    </row>
    <row r="1447" spans="1:24" hidden="1" x14ac:dyDescent="0.35">
      <c r="A1447" s="46">
        <f t="shared" si="244"/>
        <v>46153</v>
      </c>
      <c r="B1447" s="46"/>
      <c r="C1447" s="46"/>
      <c r="D1447" s="46"/>
      <c r="E1447" s="47" t="s">
        <v>64</v>
      </c>
      <c r="F1447" s="48" t="s">
        <v>2021</v>
      </c>
      <c r="G1447" s="48"/>
      <c r="H1447" s="49" t="s">
        <v>2361</v>
      </c>
      <c r="I1447" s="396" t="s">
        <v>1482</v>
      </c>
      <c r="J1447" s="51" t="s">
        <v>140</v>
      </c>
      <c r="K1447" s="52">
        <v>0</v>
      </c>
      <c r="L1447" s="52">
        <v>0</v>
      </c>
      <c r="M1447" s="53">
        <v>90</v>
      </c>
      <c r="N1447" s="54">
        <v>4000</v>
      </c>
      <c r="O1447" s="341">
        <v>1</v>
      </c>
      <c r="P1447" s="54">
        <f t="shared" si="245"/>
        <v>4000</v>
      </c>
      <c r="Q1447" s="54"/>
      <c r="R1447" s="92">
        <v>4000</v>
      </c>
      <c r="S1447" s="53">
        <f t="shared" si="239"/>
        <v>0</v>
      </c>
      <c r="T1447" s="343">
        <f t="shared" si="240"/>
        <v>960</v>
      </c>
      <c r="U1447" s="52">
        <f t="shared" si="241"/>
        <v>0</v>
      </c>
      <c r="V1447" s="52">
        <f t="shared" si="242"/>
        <v>0</v>
      </c>
      <c r="W1447" s="52">
        <v>0</v>
      </c>
      <c r="X1447" s="55">
        <f t="shared" si="243"/>
        <v>46153</v>
      </c>
    </row>
    <row r="1448" spans="1:24" hidden="1" x14ac:dyDescent="0.35">
      <c r="A1448" s="46">
        <f t="shared" si="244"/>
        <v>46153</v>
      </c>
      <c r="B1448" s="46"/>
      <c r="C1448" s="46"/>
      <c r="D1448" s="46"/>
      <c r="E1448" s="47" t="s">
        <v>64</v>
      </c>
      <c r="F1448" s="48" t="s">
        <v>2021</v>
      </c>
      <c r="G1448" s="48"/>
      <c r="H1448" s="49" t="s">
        <v>2362</v>
      </c>
      <c r="I1448" s="396" t="s">
        <v>1394</v>
      </c>
      <c r="J1448" s="51" t="s">
        <v>140</v>
      </c>
      <c r="K1448" s="52">
        <v>0</v>
      </c>
      <c r="L1448" s="52">
        <v>0</v>
      </c>
      <c r="M1448" s="53">
        <v>90</v>
      </c>
      <c r="N1448" s="54">
        <v>1000</v>
      </c>
      <c r="O1448" s="341">
        <v>1</v>
      </c>
      <c r="P1448" s="54">
        <f t="shared" si="245"/>
        <v>1000</v>
      </c>
      <c r="Q1448" s="54"/>
      <c r="R1448" s="92">
        <v>1000</v>
      </c>
      <c r="S1448" s="53">
        <f t="shared" si="239"/>
        <v>0</v>
      </c>
      <c r="T1448" s="343">
        <f t="shared" si="240"/>
        <v>960</v>
      </c>
      <c r="U1448" s="52">
        <f t="shared" si="241"/>
        <v>0</v>
      </c>
      <c r="V1448" s="52">
        <f t="shared" si="242"/>
        <v>0</v>
      </c>
      <c r="W1448" s="52">
        <v>0</v>
      </c>
      <c r="X1448" s="55">
        <f t="shared" si="243"/>
        <v>46153</v>
      </c>
    </row>
    <row r="1449" spans="1:24" hidden="1" x14ac:dyDescent="0.35">
      <c r="A1449" s="46">
        <f t="shared" si="244"/>
        <v>46153</v>
      </c>
      <c r="B1449" s="46"/>
      <c r="C1449" s="46"/>
      <c r="D1449" s="46"/>
      <c r="E1449" s="47" t="s">
        <v>64</v>
      </c>
      <c r="F1449" s="48" t="s">
        <v>2027</v>
      </c>
      <c r="G1449" s="48"/>
      <c r="H1449" s="49" t="s">
        <v>2363</v>
      </c>
      <c r="I1449" s="396" t="s">
        <v>1394</v>
      </c>
      <c r="J1449" s="51" t="s">
        <v>140</v>
      </c>
      <c r="K1449" s="52">
        <v>0</v>
      </c>
      <c r="L1449" s="52">
        <v>0</v>
      </c>
      <c r="M1449" s="53">
        <v>75</v>
      </c>
      <c r="N1449" s="54">
        <v>5700</v>
      </c>
      <c r="O1449" s="341">
        <v>1</v>
      </c>
      <c r="P1449" s="54">
        <f t="shared" si="245"/>
        <v>5700</v>
      </c>
      <c r="Q1449" s="54"/>
      <c r="R1449" s="92">
        <v>5700</v>
      </c>
      <c r="S1449" s="53">
        <f t="shared" si="239"/>
        <v>0</v>
      </c>
      <c r="T1449" s="343">
        <f t="shared" si="240"/>
        <v>1152</v>
      </c>
      <c r="U1449" s="52">
        <f t="shared" si="241"/>
        <v>0</v>
      </c>
      <c r="V1449" s="52">
        <f t="shared" si="242"/>
        <v>0</v>
      </c>
      <c r="W1449" s="52">
        <v>0</v>
      </c>
      <c r="X1449" s="55">
        <f t="shared" si="243"/>
        <v>46153</v>
      </c>
    </row>
    <row r="1450" spans="1:24" hidden="1" x14ac:dyDescent="0.35">
      <c r="A1450" s="46">
        <f t="shared" si="244"/>
        <v>46153</v>
      </c>
      <c r="B1450" s="46"/>
      <c r="C1450" s="46"/>
      <c r="D1450" s="46"/>
      <c r="E1450" s="47" t="s">
        <v>64</v>
      </c>
      <c r="F1450" s="48" t="s">
        <v>2027</v>
      </c>
      <c r="G1450" s="48"/>
      <c r="H1450" s="49" t="s">
        <v>2364</v>
      </c>
      <c r="I1450" s="99" t="s">
        <v>1341</v>
      </c>
      <c r="J1450" s="51" t="s">
        <v>140</v>
      </c>
      <c r="K1450" s="52">
        <v>0</v>
      </c>
      <c r="L1450" s="52">
        <v>0</v>
      </c>
      <c r="M1450" s="53">
        <v>75</v>
      </c>
      <c r="N1450" s="54">
        <v>200</v>
      </c>
      <c r="O1450" s="341">
        <v>1</v>
      </c>
      <c r="P1450" s="54">
        <f t="shared" si="245"/>
        <v>200</v>
      </c>
      <c r="Q1450" s="54"/>
      <c r="R1450" s="92">
        <v>200</v>
      </c>
      <c r="S1450" s="53">
        <f t="shared" si="239"/>
        <v>0</v>
      </c>
      <c r="T1450" s="343">
        <f t="shared" si="240"/>
        <v>1152</v>
      </c>
      <c r="U1450" s="52">
        <f t="shared" si="241"/>
        <v>0</v>
      </c>
      <c r="V1450" s="52">
        <f t="shared" si="242"/>
        <v>0</v>
      </c>
      <c r="W1450" s="52">
        <v>0</v>
      </c>
      <c r="X1450" s="55">
        <f t="shared" si="243"/>
        <v>46153</v>
      </c>
    </row>
    <row r="1451" spans="1:24" hidden="1" x14ac:dyDescent="0.35">
      <c r="A1451" s="46">
        <f t="shared" si="244"/>
        <v>46153</v>
      </c>
      <c r="B1451" s="46"/>
      <c r="C1451" s="46"/>
      <c r="D1451" s="46"/>
      <c r="E1451" s="47" t="s">
        <v>64</v>
      </c>
      <c r="F1451" s="48" t="s">
        <v>511</v>
      </c>
      <c r="G1451" s="48"/>
      <c r="H1451" s="49" t="s">
        <v>2365</v>
      </c>
      <c r="I1451" s="99" t="s">
        <v>97</v>
      </c>
      <c r="J1451" s="51" t="s">
        <v>140</v>
      </c>
      <c r="K1451" s="52">
        <v>0</v>
      </c>
      <c r="L1451" s="52">
        <v>0</v>
      </c>
      <c r="M1451" s="53">
        <v>110</v>
      </c>
      <c r="N1451" s="54">
        <v>4500</v>
      </c>
      <c r="O1451" s="341">
        <v>1</v>
      </c>
      <c r="P1451" s="54">
        <f t="shared" si="245"/>
        <v>4500</v>
      </c>
      <c r="Q1451" s="54"/>
      <c r="R1451" s="92">
        <v>4500</v>
      </c>
      <c r="S1451" s="53">
        <f t="shared" si="239"/>
        <v>0</v>
      </c>
      <c r="T1451" s="343">
        <f t="shared" si="240"/>
        <v>785.4545454545455</v>
      </c>
      <c r="U1451" s="52">
        <f t="shared" si="241"/>
        <v>0</v>
      </c>
      <c r="V1451" s="52">
        <f t="shared" si="242"/>
        <v>0</v>
      </c>
      <c r="W1451" s="52">
        <v>0</v>
      </c>
      <c r="X1451" s="55">
        <f t="shared" si="243"/>
        <v>46153</v>
      </c>
    </row>
    <row r="1452" spans="1:24" ht="26.5" hidden="1" x14ac:dyDescent="0.35">
      <c r="A1452" s="46">
        <f t="shared" si="244"/>
        <v>46153</v>
      </c>
      <c r="B1452" s="46"/>
      <c r="C1452" s="46"/>
      <c r="D1452" s="46"/>
      <c r="E1452" s="47" t="s">
        <v>64</v>
      </c>
      <c r="F1452" s="48" t="s">
        <v>2366</v>
      </c>
      <c r="G1452" s="48"/>
      <c r="H1452" s="59" t="s">
        <v>2367</v>
      </c>
      <c r="I1452" s="82" t="s">
        <v>164</v>
      </c>
      <c r="J1452" s="51" t="s">
        <v>140</v>
      </c>
      <c r="K1452" s="52">
        <v>0</v>
      </c>
      <c r="L1452" s="52">
        <v>0</v>
      </c>
      <c r="M1452" s="53">
        <v>120</v>
      </c>
      <c r="N1452" s="54">
        <v>6000</v>
      </c>
      <c r="O1452" s="341">
        <v>1</v>
      </c>
      <c r="P1452" s="54">
        <f t="shared" si="245"/>
        <v>6000</v>
      </c>
      <c r="Q1452" s="54"/>
      <c r="R1452" s="92">
        <v>6000</v>
      </c>
      <c r="S1452" s="53">
        <f t="shared" si="239"/>
        <v>0</v>
      </c>
      <c r="T1452" s="343">
        <f t="shared" si="240"/>
        <v>720</v>
      </c>
      <c r="U1452" s="52">
        <f t="shared" si="241"/>
        <v>0</v>
      </c>
      <c r="V1452" s="52">
        <f t="shared" si="242"/>
        <v>0</v>
      </c>
      <c r="W1452" s="52">
        <v>0</v>
      </c>
      <c r="X1452" s="55">
        <f t="shared" si="243"/>
        <v>46153</v>
      </c>
    </row>
    <row r="1453" spans="1:24" ht="29" hidden="1" x14ac:dyDescent="0.35">
      <c r="A1453" s="46">
        <f t="shared" si="244"/>
        <v>46153</v>
      </c>
      <c r="B1453" s="46"/>
      <c r="C1453" s="46"/>
      <c r="D1453" s="46"/>
      <c r="E1453" s="47" t="s">
        <v>64</v>
      </c>
      <c r="F1453" s="48" t="s">
        <v>1058</v>
      </c>
      <c r="G1453" s="48"/>
      <c r="H1453" s="59" t="s">
        <v>2368</v>
      </c>
      <c r="I1453" s="82" t="s">
        <v>164</v>
      </c>
      <c r="J1453" s="51" t="s">
        <v>140</v>
      </c>
      <c r="K1453" s="52">
        <v>0</v>
      </c>
      <c r="L1453" s="52">
        <v>0</v>
      </c>
      <c r="M1453" s="53">
        <v>120</v>
      </c>
      <c r="N1453" s="54">
        <v>2500</v>
      </c>
      <c r="O1453" s="341">
        <v>1</v>
      </c>
      <c r="P1453" s="54">
        <f t="shared" si="245"/>
        <v>2500</v>
      </c>
      <c r="Q1453" s="54"/>
      <c r="R1453" s="92">
        <v>2500</v>
      </c>
      <c r="S1453" s="53">
        <f t="shared" si="239"/>
        <v>0</v>
      </c>
      <c r="T1453" s="343">
        <f t="shared" si="240"/>
        <v>720</v>
      </c>
      <c r="U1453" s="52">
        <f t="shared" si="241"/>
        <v>0</v>
      </c>
      <c r="V1453" s="52">
        <f t="shared" si="242"/>
        <v>0</v>
      </c>
      <c r="W1453" s="52">
        <v>0</v>
      </c>
      <c r="X1453" s="55">
        <f t="shared" si="243"/>
        <v>46153</v>
      </c>
    </row>
    <row r="1454" spans="1:24" ht="29" hidden="1" x14ac:dyDescent="0.35">
      <c r="A1454" s="46">
        <f t="shared" si="244"/>
        <v>46153</v>
      </c>
      <c r="B1454" s="46"/>
      <c r="C1454" s="46"/>
      <c r="D1454" s="46"/>
      <c r="E1454" s="47" t="s">
        <v>64</v>
      </c>
      <c r="F1454" s="48" t="s">
        <v>1058</v>
      </c>
      <c r="G1454" s="48"/>
      <c r="H1454" s="59" t="s">
        <v>2369</v>
      </c>
      <c r="I1454" s="82" t="s">
        <v>164</v>
      </c>
      <c r="J1454" s="51" t="s">
        <v>140</v>
      </c>
      <c r="K1454" s="52">
        <v>0</v>
      </c>
      <c r="L1454" s="52">
        <v>0</v>
      </c>
      <c r="M1454" s="53">
        <v>120</v>
      </c>
      <c r="N1454" s="54">
        <v>2500</v>
      </c>
      <c r="O1454" s="341">
        <v>1</v>
      </c>
      <c r="P1454" s="54">
        <f t="shared" si="245"/>
        <v>2500</v>
      </c>
      <c r="Q1454" s="54"/>
      <c r="R1454" s="92">
        <v>2500</v>
      </c>
      <c r="S1454" s="53">
        <f t="shared" si="239"/>
        <v>0</v>
      </c>
      <c r="T1454" s="343">
        <f t="shared" si="240"/>
        <v>720</v>
      </c>
      <c r="U1454" s="52">
        <f t="shared" si="241"/>
        <v>0</v>
      </c>
      <c r="V1454" s="52">
        <f t="shared" si="242"/>
        <v>0</v>
      </c>
      <c r="W1454" s="52">
        <v>0</v>
      </c>
      <c r="X1454" s="55">
        <f t="shared" si="243"/>
        <v>46153</v>
      </c>
    </row>
    <row r="1455" spans="1:24" ht="29" hidden="1" x14ac:dyDescent="0.35">
      <c r="A1455" s="46">
        <f t="shared" si="244"/>
        <v>46153</v>
      </c>
      <c r="B1455" s="46"/>
      <c r="C1455" s="46"/>
      <c r="D1455" s="46"/>
      <c r="E1455" s="47" t="s">
        <v>64</v>
      </c>
      <c r="F1455" s="48" t="s">
        <v>1058</v>
      </c>
      <c r="G1455" s="48"/>
      <c r="H1455" s="59" t="s">
        <v>2370</v>
      </c>
      <c r="I1455" s="82" t="s">
        <v>164</v>
      </c>
      <c r="J1455" s="51" t="s">
        <v>140</v>
      </c>
      <c r="K1455" s="52">
        <v>0</v>
      </c>
      <c r="L1455" s="52">
        <v>0</v>
      </c>
      <c r="M1455" s="53">
        <v>120</v>
      </c>
      <c r="N1455" s="54">
        <v>1000</v>
      </c>
      <c r="O1455" s="341">
        <v>1</v>
      </c>
      <c r="P1455" s="54">
        <f t="shared" si="245"/>
        <v>1000</v>
      </c>
      <c r="Q1455" s="54"/>
      <c r="R1455" s="92">
        <v>1000</v>
      </c>
      <c r="S1455" s="53">
        <f t="shared" si="239"/>
        <v>0</v>
      </c>
      <c r="T1455" s="343">
        <f t="shared" si="240"/>
        <v>720</v>
      </c>
      <c r="U1455" s="52">
        <f t="shared" si="241"/>
        <v>0</v>
      </c>
      <c r="V1455" s="52">
        <f t="shared" si="242"/>
        <v>0</v>
      </c>
      <c r="W1455" s="52">
        <v>0</v>
      </c>
      <c r="X1455" s="55">
        <f t="shared" si="243"/>
        <v>46153</v>
      </c>
    </row>
    <row r="1456" spans="1:24" ht="29" hidden="1" x14ac:dyDescent="0.35">
      <c r="A1456" s="46">
        <f t="shared" si="244"/>
        <v>46153</v>
      </c>
      <c r="B1456" s="46"/>
      <c r="C1456" s="46"/>
      <c r="D1456" s="46"/>
      <c r="E1456" s="47" t="s">
        <v>64</v>
      </c>
      <c r="F1456" s="48" t="s">
        <v>1058</v>
      </c>
      <c r="G1456" s="48"/>
      <c r="H1456" s="59" t="s">
        <v>2371</v>
      </c>
      <c r="I1456" s="82" t="s">
        <v>164</v>
      </c>
      <c r="J1456" s="51" t="s">
        <v>140</v>
      </c>
      <c r="K1456" s="52">
        <v>0</v>
      </c>
      <c r="L1456" s="52">
        <v>0</v>
      </c>
      <c r="M1456" s="53">
        <v>120</v>
      </c>
      <c r="N1456" s="54">
        <v>1500</v>
      </c>
      <c r="O1456" s="341">
        <v>1</v>
      </c>
      <c r="P1456" s="54">
        <f t="shared" si="245"/>
        <v>1500</v>
      </c>
      <c r="Q1456" s="54"/>
      <c r="R1456" s="92">
        <v>1500</v>
      </c>
      <c r="S1456" s="53">
        <f t="shared" si="239"/>
        <v>0</v>
      </c>
      <c r="T1456" s="343">
        <f t="shared" si="240"/>
        <v>720</v>
      </c>
      <c r="U1456" s="52">
        <f t="shared" si="241"/>
        <v>0</v>
      </c>
      <c r="V1456" s="52">
        <f t="shared" si="242"/>
        <v>0</v>
      </c>
      <c r="W1456" s="52">
        <v>0</v>
      </c>
      <c r="X1456" s="55">
        <f t="shared" si="243"/>
        <v>46153</v>
      </c>
    </row>
    <row r="1457" spans="1:24" ht="29" hidden="1" x14ac:dyDescent="0.35">
      <c r="A1457" s="46">
        <f t="shared" si="244"/>
        <v>46153</v>
      </c>
      <c r="B1457" s="46"/>
      <c r="C1457" s="46"/>
      <c r="D1457" s="46"/>
      <c r="E1457" s="47" t="s">
        <v>64</v>
      </c>
      <c r="F1457" s="48" t="s">
        <v>1058</v>
      </c>
      <c r="G1457" s="48"/>
      <c r="H1457" s="59" t="s">
        <v>2372</v>
      </c>
      <c r="I1457" s="82" t="s">
        <v>164</v>
      </c>
      <c r="J1457" s="51" t="s">
        <v>140</v>
      </c>
      <c r="K1457" s="52">
        <v>0</v>
      </c>
      <c r="L1457" s="52">
        <v>0</v>
      </c>
      <c r="M1457" s="53">
        <v>120</v>
      </c>
      <c r="N1457" s="54">
        <v>2500</v>
      </c>
      <c r="O1457" s="341">
        <v>1</v>
      </c>
      <c r="P1457" s="54">
        <f t="shared" si="245"/>
        <v>2500</v>
      </c>
      <c r="Q1457" s="54"/>
      <c r="R1457" s="92">
        <v>2500</v>
      </c>
      <c r="S1457" s="53">
        <f t="shared" si="239"/>
        <v>0</v>
      </c>
      <c r="T1457" s="343">
        <f t="shared" si="240"/>
        <v>720</v>
      </c>
      <c r="U1457" s="52">
        <f t="shared" si="241"/>
        <v>0</v>
      </c>
      <c r="V1457" s="52">
        <f t="shared" si="242"/>
        <v>0</v>
      </c>
      <c r="W1457" s="52">
        <v>0</v>
      </c>
      <c r="X1457" s="55">
        <f t="shared" si="243"/>
        <v>46153</v>
      </c>
    </row>
    <row r="1458" spans="1:24" ht="29" hidden="1" x14ac:dyDescent="0.35">
      <c r="A1458" s="46">
        <f t="shared" si="244"/>
        <v>46153</v>
      </c>
      <c r="B1458" s="46"/>
      <c r="C1458" s="46"/>
      <c r="D1458" s="46"/>
      <c r="E1458" s="47" t="s">
        <v>64</v>
      </c>
      <c r="F1458" s="48" t="s">
        <v>1058</v>
      </c>
      <c r="G1458" s="48"/>
      <c r="H1458" s="59" t="s">
        <v>2373</v>
      </c>
      <c r="I1458" s="82" t="s">
        <v>164</v>
      </c>
      <c r="J1458" s="51" t="s">
        <v>140</v>
      </c>
      <c r="K1458" s="52">
        <v>0</v>
      </c>
      <c r="L1458" s="52">
        <v>0</v>
      </c>
      <c r="M1458" s="53">
        <v>120</v>
      </c>
      <c r="N1458" s="54">
        <v>2500</v>
      </c>
      <c r="O1458" s="341">
        <v>1</v>
      </c>
      <c r="P1458" s="54">
        <f t="shared" si="245"/>
        <v>2500</v>
      </c>
      <c r="Q1458" s="54"/>
      <c r="R1458" s="92">
        <v>2500</v>
      </c>
      <c r="S1458" s="53">
        <f t="shared" si="239"/>
        <v>0</v>
      </c>
      <c r="T1458" s="343">
        <f t="shared" si="240"/>
        <v>720</v>
      </c>
      <c r="U1458" s="52">
        <f t="shared" si="241"/>
        <v>0</v>
      </c>
      <c r="V1458" s="52">
        <f t="shared" si="242"/>
        <v>0</v>
      </c>
      <c r="W1458" s="52">
        <v>0</v>
      </c>
      <c r="X1458" s="55">
        <f t="shared" si="243"/>
        <v>46153</v>
      </c>
    </row>
    <row r="1459" spans="1:24" hidden="1" x14ac:dyDescent="0.35">
      <c r="A1459" s="46">
        <f t="shared" si="244"/>
        <v>46153</v>
      </c>
      <c r="B1459" s="46"/>
      <c r="C1459" s="46"/>
      <c r="D1459" s="46"/>
      <c r="E1459" s="47" t="s">
        <v>64</v>
      </c>
      <c r="F1459" s="48" t="s">
        <v>541</v>
      </c>
      <c r="G1459" s="48"/>
      <c r="H1459" s="49" t="s">
        <v>2374</v>
      </c>
      <c r="I1459" s="82" t="s">
        <v>457</v>
      </c>
      <c r="J1459" s="51" t="s">
        <v>140</v>
      </c>
      <c r="K1459" s="52">
        <v>0</v>
      </c>
      <c r="L1459" s="52">
        <v>0</v>
      </c>
      <c r="M1459" s="53">
        <v>90</v>
      </c>
      <c r="N1459" s="54">
        <v>1000</v>
      </c>
      <c r="O1459" s="341">
        <v>1</v>
      </c>
      <c r="P1459" s="54">
        <f t="shared" si="245"/>
        <v>1000</v>
      </c>
      <c r="Q1459" s="54"/>
      <c r="R1459" s="92">
        <v>1000</v>
      </c>
      <c r="S1459" s="53">
        <f t="shared" si="239"/>
        <v>0</v>
      </c>
      <c r="T1459" s="343">
        <f t="shared" si="240"/>
        <v>960</v>
      </c>
      <c r="U1459" s="52">
        <f t="shared" si="241"/>
        <v>0</v>
      </c>
      <c r="V1459" s="52">
        <f t="shared" si="242"/>
        <v>0</v>
      </c>
      <c r="W1459" s="52">
        <v>0</v>
      </c>
      <c r="X1459" s="55">
        <f t="shared" si="243"/>
        <v>46153</v>
      </c>
    </row>
    <row r="1460" spans="1:24" hidden="1" x14ac:dyDescent="0.35">
      <c r="A1460" s="46">
        <f t="shared" si="244"/>
        <v>46153</v>
      </c>
      <c r="B1460" s="46"/>
      <c r="C1460" s="46"/>
      <c r="D1460" s="46"/>
      <c r="E1460" s="47" t="s">
        <v>64</v>
      </c>
      <c r="F1460" s="48" t="s">
        <v>541</v>
      </c>
      <c r="G1460" s="48"/>
      <c r="H1460" s="49" t="s">
        <v>2375</v>
      </c>
      <c r="I1460" s="82" t="s">
        <v>1660</v>
      </c>
      <c r="J1460" s="51" t="s">
        <v>140</v>
      </c>
      <c r="K1460" s="52">
        <v>0</v>
      </c>
      <c r="L1460" s="52">
        <v>0</v>
      </c>
      <c r="M1460" s="53">
        <v>100</v>
      </c>
      <c r="N1460" s="54">
        <v>500</v>
      </c>
      <c r="O1460" s="341">
        <v>1</v>
      </c>
      <c r="P1460" s="54">
        <f t="shared" si="245"/>
        <v>500</v>
      </c>
      <c r="Q1460" s="54"/>
      <c r="R1460" s="92">
        <v>500</v>
      </c>
      <c r="S1460" s="53">
        <f t="shared" si="239"/>
        <v>0</v>
      </c>
      <c r="T1460" s="343">
        <f t="shared" si="240"/>
        <v>864</v>
      </c>
      <c r="U1460" s="52">
        <f t="shared" si="241"/>
        <v>0</v>
      </c>
      <c r="V1460" s="52">
        <f t="shared" si="242"/>
        <v>0</v>
      </c>
      <c r="W1460" s="52">
        <v>0</v>
      </c>
      <c r="X1460" s="55">
        <f t="shared" si="243"/>
        <v>46153</v>
      </c>
    </row>
    <row r="1461" spans="1:24" ht="29" hidden="1" x14ac:dyDescent="0.35">
      <c r="A1461" s="46">
        <f t="shared" si="244"/>
        <v>46153</v>
      </c>
      <c r="B1461" s="46"/>
      <c r="C1461" s="46"/>
      <c r="D1461" s="46"/>
      <c r="E1461" s="47" t="s">
        <v>64</v>
      </c>
      <c r="F1461" s="48" t="s">
        <v>543</v>
      </c>
      <c r="G1461" s="48"/>
      <c r="H1461" s="49" t="s">
        <v>2376</v>
      </c>
      <c r="I1461" s="72" t="s">
        <v>380</v>
      </c>
      <c r="J1461" s="51" t="s">
        <v>140</v>
      </c>
      <c r="K1461" s="52">
        <v>0</v>
      </c>
      <c r="L1461" s="52">
        <v>0</v>
      </c>
      <c r="M1461" s="53">
        <v>67</v>
      </c>
      <c r="N1461" s="54">
        <v>630</v>
      </c>
      <c r="O1461" s="341">
        <v>1</v>
      </c>
      <c r="P1461" s="54">
        <f t="shared" si="245"/>
        <v>630</v>
      </c>
      <c r="Q1461" s="54"/>
      <c r="R1461" s="92">
        <v>630</v>
      </c>
      <c r="S1461" s="53">
        <f t="shared" si="239"/>
        <v>0</v>
      </c>
      <c r="T1461" s="343">
        <f t="shared" si="240"/>
        <v>1289.5522388059703</v>
      </c>
      <c r="U1461" s="52">
        <f t="shared" si="241"/>
        <v>0</v>
      </c>
      <c r="V1461" s="52">
        <f t="shared" si="242"/>
        <v>0</v>
      </c>
      <c r="W1461" s="52">
        <v>0</v>
      </c>
      <c r="X1461" s="55">
        <f t="shared" si="243"/>
        <v>46153</v>
      </c>
    </row>
    <row r="1462" spans="1:24" ht="29" hidden="1" x14ac:dyDescent="0.35">
      <c r="A1462" s="46">
        <f t="shared" si="244"/>
        <v>46153</v>
      </c>
      <c r="B1462" s="46"/>
      <c r="C1462" s="46"/>
      <c r="D1462" s="46"/>
      <c r="E1462" s="47" t="s">
        <v>64</v>
      </c>
      <c r="F1462" s="48" t="s">
        <v>543</v>
      </c>
      <c r="G1462" s="48"/>
      <c r="H1462" s="49" t="s">
        <v>2377</v>
      </c>
      <c r="I1462" s="72" t="s">
        <v>277</v>
      </c>
      <c r="J1462" s="51" t="s">
        <v>140</v>
      </c>
      <c r="K1462" s="52">
        <v>0</v>
      </c>
      <c r="L1462" s="52">
        <v>0</v>
      </c>
      <c r="M1462" s="53">
        <v>67</v>
      </c>
      <c r="N1462" s="54">
        <v>2940</v>
      </c>
      <c r="O1462" s="341">
        <v>1</v>
      </c>
      <c r="P1462" s="54">
        <f t="shared" si="245"/>
        <v>2940</v>
      </c>
      <c r="Q1462" s="54"/>
      <c r="R1462" s="92">
        <v>2940</v>
      </c>
      <c r="S1462" s="53">
        <f t="shared" si="239"/>
        <v>0</v>
      </c>
      <c r="T1462" s="343">
        <f t="shared" si="240"/>
        <v>1289.5522388059703</v>
      </c>
      <c r="U1462" s="52">
        <f t="shared" si="241"/>
        <v>0</v>
      </c>
      <c r="V1462" s="52">
        <f t="shared" si="242"/>
        <v>0</v>
      </c>
      <c r="W1462" s="52">
        <v>0</v>
      </c>
      <c r="X1462" s="55">
        <f t="shared" si="243"/>
        <v>46153</v>
      </c>
    </row>
    <row r="1463" spans="1:24" ht="29" hidden="1" x14ac:dyDescent="0.35">
      <c r="A1463" s="46">
        <f t="shared" si="244"/>
        <v>46153</v>
      </c>
      <c r="B1463" s="46"/>
      <c r="C1463" s="46"/>
      <c r="D1463" s="46"/>
      <c r="E1463" s="47" t="s">
        <v>64</v>
      </c>
      <c r="F1463" s="48" t="s">
        <v>543</v>
      </c>
      <c r="G1463" s="48"/>
      <c r="H1463" s="49" t="s">
        <v>2378</v>
      </c>
      <c r="I1463" s="72" t="s">
        <v>277</v>
      </c>
      <c r="J1463" s="51" t="s">
        <v>140</v>
      </c>
      <c r="K1463" s="52">
        <v>0</v>
      </c>
      <c r="L1463" s="52">
        <v>0</v>
      </c>
      <c r="M1463" s="53">
        <v>67</v>
      </c>
      <c r="N1463" s="54">
        <v>840</v>
      </c>
      <c r="O1463" s="341">
        <v>1</v>
      </c>
      <c r="P1463" s="54">
        <f t="shared" si="245"/>
        <v>840</v>
      </c>
      <c r="Q1463" s="54"/>
      <c r="R1463" s="92">
        <v>840</v>
      </c>
      <c r="S1463" s="53">
        <f t="shared" si="239"/>
        <v>0</v>
      </c>
      <c r="T1463" s="343">
        <f t="shared" si="240"/>
        <v>1289.5522388059703</v>
      </c>
      <c r="U1463" s="52">
        <f t="shared" si="241"/>
        <v>0</v>
      </c>
      <c r="V1463" s="52">
        <f t="shared" si="242"/>
        <v>0</v>
      </c>
      <c r="W1463" s="52">
        <v>0</v>
      </c>
      <c r="X1463" s="55">
        <f t="shared" si="243"/>
        <v>46153</v>
      </c>
    </row>
    <row r="1464" spans="1:24" ht="29" hidden="1" x14ac:dyDescent="0.35">
      <c r="A1464" s="46">
        <f t="shared" si="244"/>
        <v>46153</v>
      </c>
      <c r="B1464" s="46"/>
      <c r="C1464" s="46"/>
      <c r="D1464" s="46"/>
      <c r="E1464" s="47" t="s">
        <v>64</v>
      </c>
      <c r="F1464" s="48" t="s">
        <v>695</v>
      </c>
      <c r="G1464" s="48"/>
      <c r="H1464" s="49" t="s">
        <v>2379</v>
      </c>
      <c r="I1464" s="72" t="s">
        <v>377</v>
      </c>
      <c r="J1464" s="51" t="s">
        <v>140</v>
      </c>
      <c r="K1464" s="52">
        <v>0</v>
      </c>
      <c r="L1464" s="52">
        <v>0</v>
      </c>
      <c r="M1464" s="53">
        <v>67</v>
      </c>
      <c r="N1464" s="54">
        <v>1260</v>
      </c>
      <c r="O1464" s="341">
        <v>1</v>
      </c>
      <c r="P1464" s="54">
        <f t="shared" si="245"/>
        <v>1260</v>
      </c>
      <c r="Q1464" s="54"/>
      <c r="R1464" s="92">
        <v>1260</v>
      </c>
      <c r="S1464" s="53">
        <f t="shared" si="239"/>
        <v>0</v>
      </c>
      <c r="T1464" s="343">
        <f t="shared" si="240"/>
        <v>1289.5522388059703</v>
      </c>
      <c r="U1464" s="52">
        <f t="shared" si="241"/>
        <v>0</v>
      </c>
      <c r="V1464" s="52">
        <f t="shared" si="242"/>
        <v>0</v>
      </c>
      <c r="W1464" s="52">
        <v>0</v>
      </c>
      <c r="X1464" s="55">
        <f t="shared" si="243"/>
        <v>46153</v>
      </c>
    </row>
    <row r="1465" spans="1:24" ht="29" hidden="1" x14ac:dyDescent="0.35">
      <c r="A1465" s="46">
        <f t="shared" si="244"/>
        <v>46153</v>
      </c>
      <c r="B1465" s="46"/>
      <c r="C1465" s="46"/>
      <c r="D1465" s="46"/>
      <c r="E1465" s="47" t="s">
        <v>64</v>
      </c>
      <c r="F1465" s="48" t="s">
        <v>695</v>
      </c>
      <c r="G1465" s="48"/>
      <c r="H1465" s="49" t="s">
        <v>2380</v>
      </c>
      <c r="I1465" s="73" t="s">
        <v>274</v>
      </c>
      <c r="J1465" s="51" t="s">
        <v>140</v>
      </c>
      <c r="K1465" s="52">
        <v>0</v>
      </c>
      <c r="L1465" s="52">
        <v>0</v>
      </c>
      <c r="M1465" s="53">
        <v>67</v>
      </c>
      <c r="N1465" s="54">
        <v>840</v>
      </c>
      <c r="O1465" s="341">
        <v>1</v>
      </c>
      <c r="P1465" s="54">
        <f t="shared" si="245"/>
        <v>840</v>
      </c>
      <c r="Q1465" s="54"/>
      <c r="R1465" s="92">
        <v>840</v>
      </c>
      <c r="S1465" s="53">
        <f t="shared" si="239"/>
        <v>0</v>
      </c>
      <c r="T1465" s="343">
        <f t="shared" si="240"/>
        <v>1289.5522388059703</v>
      </c>
      <c r="U1465" s="52">
        <f t="shared" si="241"/>
        <v>0</v>
      </c>
      <c r="V1465" s="52">
        <f t="shared" si="242"/>
        <v>0</v>
      </c>
      <c r="W1465" s="52">
        <v>0</v>
      </c>
      <c r="X1465" s="55">
        <f t="shared" si="243"/>
        <v>46153</v>
      </c>
    </row>
    <row r="1466" spans="1:24" ht="29" hidden="1" x14ac:dyDescent="0.35">
      <c r="A1466" s="46">
        <f t="shared" si="244"/>
        <v>46153</v>
      </c>
      <c r="B1466" s="46"/>
      <c r="C1466" s="46"/>
      <c r="D1466" s="46"/>
      <c r="E1466" s="47" t="s">
        <v>64</v>
      </c>
      <c r="F1466" s="48" t="s">
        <v>543</v>
      </c>
      <c r="G1466" s="48"/>
      <c r="H1466" s="49" t="s">
        <v>2381</v>
      </c>
      <c r="I1466" s="72" t="s">
        <v>191</v>
      </c>
      <c r="J1466" s="51" t="s">
        <v>140</v>
      </c>
      <c r="K1466" s="52">
        <v>0</v>
      </c>
      <c r="L1466" s="52">
        <v>0</v>
      </c>
      <c r="M1466" s="53">
        <v>67</v>
      </c>
      <c r="N1466" s="54">
        <v>11550</v>
      </c>
      <c r="O1466" s="341">
        <v>1</v>
      </c>
      <c r="P1466" s="54">
        <f t="shared" si="245"/>
        <v>11550</v>
      </c>
      <c r="Q1466" s="54"/>
      <c r="R1466" s="92">
        <v>11550</v>
      </c>
      <c r="S1466" s="53">
        <f t="shared" si="239"/>
        <v>0</v>
      </c>
      <c r="T1466" s="343">
        <f t="shared" si="240"/>
        <v>1289.5522388059703</v>
      </c>
      <c r="U1466" s="52">
        <f t="shared" si="241"/>
        <v>0</v>
      </c>
      <c r="V1466" s="52">
        <f t="shared" si="242"/>
        <v>0</v>
      </c>
      <c r="W1466" s="52">
        <v>0</v>
      </c>
      <c r="X1466" s="55">
        <f t="shared" si="243"/>
        <v>46153</v>
      </c>
    </row>
    <row r="1467" spans="1:24" ht="29" hidden="1" x14ac:dyDescent="0.35">
      <c r="A1467" s="46">
        <f t="shared" si="244"/>
        <v>46153</v>
      </c>
      <c r="B1467" s="46"/>
      <c r="C1467" s="46"/>
      <c r="D1467" s="46"/>
      <c r="E1467" s="47" t="s">
        <v>64</v>
      </c>
      <c r="F1467" s="48" t="s">
        <v>695</v>
      </c>
      <c r="G1467" s="48"/>
      <c r="H1467" s="49" t="s">
        <v>2382</v>
      </c>
      <c r="I1467" s="72" t="s">
        <v>191</v>
      </c>
      <c r="J1467" s="51" t="s">
        <v>140</v>
      </c>
      <c r="K1467" s="52">
        <v>0</v>
      </c>
      <c r="L1467" s="52">
        <v>0</v>
      </c>
      <c r="M1467" s="53">
        <v>67</v>
      </c>
      <c r="N1467" s="54">
        <v>5460</v>
      </c>
      <c r="O1467" s="341">
        <v>1</v>
      </c>
      <c r="P1467" s="54">
        <f t="shared" si="245"/>
        <v>5460</v>
      </c>
      <c r="Q1467" s="54"/>
      <c r="R1467" s="92">
        <v>5460</v>
      </c>
      <c r="S1467" s="53">
        <f t="shared" si="239"/>
        <v>0</v>
      </c>
      <c r="T1467" s="343">
        <f t="shared" si="240"/>
        <v>1289.5522388059703</v>
      </c>
      <c r="U1467" s="52">
        <f t="shared" si="241"/>
        <v>0</v>
      </c>
      <c r="V1467" s="52">
        <f t="shared" si="242"/>
        <v>0</v>
      </c>
      <c r="W1467" s="52">
        <v>0</v>
      </c>
      <c r="X1467" s="55">
        <f t="shared" si="243"/>
        <v>46153</v>
      </c>
    </row>
    <row r="1468" spans="1:24" ht="29" hidden="1" x14ac:dyDescent="0.35">
      <c r="A1468" s="46">
        <f t="shared" si="244"/>
        <v>46153</v>
      </c>
      <c r="B1468" s="46"/>
      <c r="C1468" s="46"/>
      <c r="D1468" s="46"/>
      <c r="E1468" s="47" t="s">
        <v>64</v>
      </c>
      <c r="F1468" s="48" t="s">
        <v>189</v>
      </c>
      <c r="G1468" s="48"/>
      <c r="H1468" s="49" t="s">
        <v>2383</v>
      </c>
      <c r="I1468" s="72" t="s">
        <v>191</v>
      </c>
      <c r="J1468" s="51" t="s">
        <v>140</v>
      </c>
      <c r="K1468" s="52">
        <v>0</v>
      </c>
      <c r="L1468" s="52">
        <v>0</v>
      </c>
      <c r="M1468" s="53">
        <v>67</v>
      </c>
      <c r="N1468" s="54">
        <v>5670</v>
      </c>
      <c r="O1468" s="341">
        <v>1</v>
      </c>
      <c r="P1468" s="54">
        <f t="shared" si="245"/>
        <v>5670</v>
      </c>
      <c r="Q1468" s="54"/>
      <c r="R1468" s="92">
        <v>5670</v>
      </c>
      <c r="S1468" s="53">
        <f t="shared" si="239"/>
        <v>0</v>
      </c>
      <c r="T1468" s="343">
        <f t="shared" si="240"/>
        <v>1289.5522388059703</v>
      </c>
      <c r="U1468" s="52">
        <f t="shared" si="241"/>
        <v>0</v>
      </c>
      <c r="V1468" s="52">
        <f t="shared" si="242"/>
        <v>0</v>
      </c>
      <c r="W1468" s="52">
        <v>0</v>
      </c>
      <c r="X1468" s="55">
        <f t="shared" si="243"/>
        <v>46153</v>
      </c>
    </row>
    <row r="1469" spans="1:24" ht="29" hidden="1" x14ac:dyDescent="0.35">
      <c r="A1469" s="46">
        <f t="shared" si="244"/>
        <v>46153</v>
      </c>
      <c r="B1469" s="46"/>
      <c r="C1469" s="46"/>
      <c r="D1469" s="46"/>
      <c r="E1469" s="47" t="s">
        <v>64</v>
      </c>
      <c r="F1469" s="48" t="s">
        <v>189</v>
      </c>
      <c r="G1469" s="48"/>
      <c r="H1469" s="49" t="s">
        <v>2384</v>
      </c>
      <c r="I1469" s="72" t="s">
        <v>277</v>
      </c>
      <c r="J1469" s="51" t="s">
        <v>140</v>
      </c>
      <c r="K1469" s="52">
        <v>0</v>
      </c>
      <c r="L1469" s="52">
        <v>0</v>
      </c>
      <c r="M1469" s="53">
        <v>67</v>
      </c>
      <c r="N1469" s="54">
        <v>840</v>
      </c>
      <c r="O1469" s="341">
        <v>1</v>
      </c>
      <c r="P1469" s="54">
        <f t="shared" si="245"/>
        <v>840</v>
      </c>
      <c r="Q1469" s="54"/>
      <c r="R1469" s="92">
        <v>840</v>
      </c>
      <c r="S1469" s="53">
        <f t="shared" si="239"/>
        <v>0</v>
      </c>
      <c r="T1469" s="343">
        <f t="shared" si="240"/>
        <v>1289.5522388059703</v>
      </c>
      <c r="U1469" s="52">
        <f t="shared" si="241"/>
        <v>0</v>
      </c>
      <c r="V1469" s="52">
        <f t="shared" si="242"/>
        <v>0</v>
      </c>
      <c r="W1469" s="52">
        <v>0</v>
      </c>
      <c r="X1469" s="55">
        <f t="shared" si="243"/>
        <v>46153</v>
      </c>
    </row>
    <row r="1470" spans="1:24" ht="29" hidden="1" x14ac:dyDescent="0.35">
      <c r="A1470" s="46">
        <f t="shared" si="244"/>
        <v>46153</v>
      </c>
      <c r="B1470" s="46"/>
      <c r="C1470" s="46"/>
      <c r="D1470" s="46"/>
      <c r="E1470" s="47" t="s">
        <v>64</v>
      </c>
      <c r="F1470" s="48" t="s">
        <v>189</v>
      </c>
      <c r="G1470" s="48"/>
      <c r="H1470" s="49" t="s">
        <v>2385</v>
      </c>
      <c r="I1470" s="72" t="s">
        <v>277</v>
      </c>
      <c r="J1470" s="51" t="s">
        <v>140</v>
      </c>
      <c r="K1470" s="52">
        <v>0</v>
      </c>
      <c r="L1470" s="52">
        <v>0</v>
      </c>
      <c r="M1470" s="53">
        <v>67</v>
      </c>
      <c r="N1470" s="54">
        <v>630</v>
      </c>
      <c r="O1470" s="341">
        <v>1</v>
      </c>
      <c r="P1470" s="54">
        <f t="shared" si="245"/>
        <v>630</v>
      </c>
      <c r="Q1470" s="54"/>
      <c r="R1470" s="92">
        <v>630</v>
      </c>
      <c r="S1470" s="53">
        <f t="shared" si="239"/>
        <v>0</v>
      </c>
      <c r="T1470" s="343">
        <f t="shared" si="240"/>
        <v>1289.5522388059703</v>
      </c>
      <c r="U1470" s="52">
        <f t="shared" si="241"/>
        <v>0</v>
      </c>
      <c r="V1470" s="52">
        <f t="shared" si="242"/>
        <v>0</v>
      </c>
      <c r="W1470" s="52">
        <v>0</v>
      </c>
      <c r="X1470" s="55">
        <f t="shared" si="243"/>
        <v>46153</v>
      </c>
    </row>
    <row r="1471" spans="1:24" ht="29" hidden="1" x14ac:dyDescent="0.35">
      <c r="A1471" s="46">
        <f t="shared" si="244"/>
        <v>46153</v>
      </c>
      <c r="B1471" s="46"/>
      <c r="C1471" s="46"/>
      <c r="D1471" s="46"/>
      <c r="E1471" s="47" t="s">
        <v>64</v>
      </c>
      <c r="F1471" s="48" t="s">
        <v>695</v>
      </c>
      <c r="G1471" s="48"/>
      <c r="H1471" s="49" t="s">
        <v>2380</v>
      </c>
      <c r="I1471" s="73" t="s">
        <v>274</v>
      </c>
      <c r="J1471" s="51" t="s">
        <v>140</v>
      </c>
      <c r="K1471" s="52">
        <v>0</v>
      </c>
      <c r="L1471" s="52">
        <v>0</v>
      </c>
      <c r="M1471" s="53">
        <v>67</v>
      </c>
      <c r="N1471" s="54">
        <v>840</v>
      </c>
      <c r="O1471" s="341">
        <v>1</v>
      </c>
      <c r="P1471" s="54">
        <f t="shared" si="245"/>
        <v>840</v>
      </c>
      <c r="Q1471" s="54"/>
      <c r="R1471" s="92">
        <v>840</v>
      </c>
      <c r="S1471" s="53">
        <f t="shared" si="239"/>
        <v>0</v>
      </c>
      <c r="T1471" s="343">
        <f t="shared" si="240"/>
        <v>1289.5522388059703</v>
      </c>
      <c r="U1471" s="52">
        <f t="shared" si="241"/>
        <v>0</v>
      </c>
      <c r="V1471" s="52">
        <f t="shared" si="242"/>
        <v>0</v>
      </c>
      <c r="W1471" s="52">
        <v>0</v>
      </c>
      <c r="X1471" s="55">
        <f t="shared" si="243"/>
        <v>46153</v>
      </c>
    </row>
    <row r="1472" spans="1:24" ht="29" hidden="1" x14ac:dyDescent="0.35">
      <c r="A1472" s="46">
        <f t="shared" si="244"/>
        <v>46153</v>
      </c>
      <c r="B1472" s="46"/>
      <c r="C1472" s="46"/>
      <c r="D1472" s="46"/>
      <c r="E1472" s="47" t="s">
        <v>64</v>
      </c>
      <c r="F1472" s="48" t="s">
        <v>695</v>
      </c>
      <c r="G1472" s="48"/>
      <c r="H1472" s="49" t="s">
        <v>2386</v>
      </c>
      <c r="I1472" s="73" t="s">
        <v>274</v>
      </c>
      <c r="J1472" s="51" t="s">
        <v>140</v>
      </c>
      <c r="K1472" s="52">
        <v>0</v>
      </c>
      <c r="L1472" s="52">
        <v>0</v>
      </c>
      <c r="M1472" s="53">
        <v>67</v>
      </c>
      <c r="N1472" s="54">
        <v>1470</v>
      </c>
      <c r="O1472" s="341">
        <v>1</v>
      </c>
      <c r="P1472" s="54">
        <f t="shared" si="245"/>
        <v>1470</v>
      </c>
      <c r="Q1472" s="54"/>
      <c r="R1472" s="92">
        <v>1470</v>
      </c>
      <c r="S1472" s="53">
        <f t="shared" si="239"/>
        <v>0</v>
      </c>
      <c r="T1472" s="343">
        <f t="shared" si="240"/>
        <v>1289.5522388059703</v>
      </c>
      <c r="U1472" s="52">
        <f t="shared" si="241"/>
        <v>0</v>
      </c>
      <c r="V1472" s="52">
        <f t="shared" si="242"/>
        <v>0</v>
      </c>
      <c r="W1472" s="52">
        <v>0</v>
      </c>
      <c r="X1472" s="55">
        <f t="shared" si="243"/>
        <v>46153</v>
      </c>
    </row>
    <row r="1473" spans="1:24" hidden="1" x14ac:dyDescent="0.35">
      <c r="A1473" s="46">
        <f t="shared" si="244"/>
        <v>46153</v>
      </c>
      <c r="B1473" s="46"/>
      <c r="C1473" s="46"/>
      <c r="D1473" s="46"/>
      <c r="E1473" s="47" t="s">
        <v>64</v>
      </c>
      <c r="F1473" s="56" t="s">
        <v>2387</v>
      </c>
      <c r="G1473" s="56"/>
      <c r="H1473" s="49" t="s">
        <v>2388</v>
      </c>
      <c r="I1473" s="99" t="s">
        <v>2389</v>
      </c>
      <c r="J1473" s="51" t="s">
        <v>140</v>
      </c>
      <c r="K1473" s="52">
        <v>0</v>
      </c>
      <c r="L1473" s="52">
        <v>0</v>
      </c>
      <c r="M1473" s="53">
        <v>50</v>
      </c>
      <c r="N1473" s="54">
        <v>792</v>
      </c>
      <c r="O1473" s="341">
        <v>1</v>
      </c>
      <c r="P1473" s="54">
        <f t="shared" si="245"/>
        <v>792</v>
      </c>
      <c r="Q1473" s="54"/>
      <c r="R1473" s="92">
        <v>792</v>
      </c>
      <c r="S1473" s="53">
        <f t="shared" si="239"/>
        <v>0</v>
      </c>
      <c r="T1473" s="343">
        <f t="shared" si="240"/>
        <v>1728</v>
      </c>
      <c r="U1473" s="52">
        <f t="shared" si="241"/>
        <v>0</v>
      </c>
      <c r="V1473" s="52">
        <f t="shared" si="242"/>
        <v>0</v>
      </c>
      <c r="W1473" s="52">
        <v>0</v>
      </c>
      <c r="X1473" s="55">
        <f t="shared" si="243"/>
        <v>46153</v>
      </c>
    </row>
    <row r="1474" spans="1:24" ht="29" hidden="1" x14ac:dyDescent="0.35">
      <c r="A1474" s="46">
        <f t="shared" si="244"/>
        <v>46153</v>
      </c>
      <c r="B1474" s="46"/>
      <c r="C1474" s="46"/>
      <c r="D1474" s="46"/>
      <c r="E1474" s="47" t="s">
        <v>64</v>
      </c>
      <c r="F1474" s="62" t="s">
        <v>898</v>
      </c>
      <c r="G1474" s="62"/>
      <c r="H1474" s="49" t="s">
        <v>2390</v>
      </c>
      <c r="I1474" s="82" t="s">
        <v>78</v>
      </c>
      <c r="J1474" s="51" t="s">
        <v>140</v>
      </c>
      <c r="K1474" s="52">
        <v>0</v>
      </c>
      <c r="L1474" s="52">
        <v>0</v>
      </c>
      <c r="M1474" s="53">
        <v>100</v>
      </c>
      <c r="N1474" s="54">
        <v>1000</v>
      </c>
      <c r="O1474" s="341">
        <v>1</v>
      </c>
      <c r="P1474" s="54">
        <v>1000</v>
      </c>
      <c r="Q1474" s="54"/>
      <c r="R1474" s="92">
        <v>1000</v>
      </c>
      <c r="S1474" s="53">
        <f t="shared" si="239"/>
        <v>0</v>
      </c>
      <c r="T1474" s="343">
        <f t="shared" si="240"/>
        <v>864</v>
      </c>
      <c r="U1474" s="52">
        <f t="shared" si="241"/>
        <v>0</v>
      </c>
      <c r="V1474" s="52">
        <f t="shared" si="242"/>
        <v>0</v>
      </c>
      <c r="W1474" s="52">
        <v>0</v>
      </c>
      <c r="X1474" s="55">
        <f t="shared" si="243"/>
        <v>46153</v>
      </c>
    </row>
    <row r="1475" spans="1:24" ht="29" hidden="1" x14ac:dyDescent="0.35">
      <c r="A1475" s="46">
        <f t="shared" si="244"/>
        <v>46153</v>
      </c>
      <c r="B1475" s="46"/>
      <c r="C1475" s="46"/>
      <c r="D1475" s="46"/>
      <c r="E1475" s="47" t="s">
        <v>64</v>
      </c>
      <c r="F1475" s="48" t="s">
        <v>202</v>
      </c>
      <c r="G1475" s="48"/>
      <c r="H1475" s="49" t="s">
        <v>2391</v>
      </c>
      <c r="I1475" s="72" t="s">
        <v>277</v>
      </c>
      <c r="J1475" s="51" t="s">
        <v>140</v>
      </c>
      <c r="K1475" s="52">
        <v>0</v>
      </c>
      <c r="L1475" s="52">
        <v>0</v>
      </c>
      <c r="M1475" s="53">
        <v>67</v>
      </c>
      <c r="N1475" s="54">
        <v>630</v>
      </c>
      <c r="O1475" s="341">
        <v>1</v>
      </c>
      <c r="P1475" s="54">
        <f t="shared" ref="P1475:P1533" si="246">N1475/O1475</f>
        <v>630</v>
      </c>
      <c r="Q1475" s="54"/>
      <c r="R1475" s="92">
        <v>630</v>
      </c>
      <c r="S1475" s="53">
        <f t="shared" si="239"/>
        <v>0</v>
      </c>
      <c r="T1475" s="343">
        <f t="shared" si="240"/>
        <v>1289.5522388059703</v>
      </c>
      <c r="U1475" s="52">
        <f t="shared" si="241"/>
        <v>0</v>
      </c>
      <c r="V1475" s="52">
        <f t="shared" si="242"/>
        <v>0</v>
      </c>
      <c r="W1475" s="52">
        <v>0</v>
      </c>
      <c r="X1475" s="55">
        <f t="shared" si="243"/>
        <v>46153</v>
      </c>
    </row>
    <row r="1476" spans="1:24" ht="29" hidden="1" x14ac:dyDescent="0.35">
      <c r="A1476" s="46">
        <f t="shared" si="244"/>
        <v>46153</v>
      </c>
      <c r="B1476" s="46"/>
      <c r="C1476" s="46"/>
      <c r="D1476" s="46"/>
      <c r="E1476" s="47" t="s">
        <v>64</v>
      </c>
      <c r="F1476" s="48" t="s">
        <v>202</v>
      </c>
      <c r="G1476" s="48"/>
      <c r="H1476" s="49" t="s">
        <v>2392</v>
      </c>
      <c r="I1476" s="73" t="s">
        <v>274</v>
      </c>
      <c r="J1476" s="51" t="s">
        <v>140</v>
      </c>
      <c r="K1476" s="52">
        <v>0</v>
      </c>
      <c r="L1476" s="52">
        <v>0</v>
      </c>
      <c r="M1476" s="53">
        <v>67</v>
      </c>
      <c r="N1476" s="54">
        <v>1260</v>
      </c>
      <c r="O1476" s="341">
        <v>1</v>
      </c>
      <c r="P1476" s="54">
        <f t="shared" si="246"/>
        <v>1260</v>
      </c>
      <c r="Q1476" s="54"/>
      <c r="R1476" s="92">
        <v>1260</v>
      </c>
      <c r="S1476" s="53">
        <f t="shared" si="239"/>
        <v>0</v>
      </c>
      <c r="T1476" s="343">
        <f t="shared" si="240"/>
        <v>1289.5522388059703</v>
      </c>
      <c r="U1476" s="52">
        <f t="shared" si="241"/>
        <v>0</v>
      </c>
      <c r="V1476" s="52">
        <f t="shared" si="242"/>
        <v>0</v>
      </c>
      <c r="W1476" s="52">
        <v>0</v>
      </c>
      <c r="X1476" s="55">
        <f t="shared" si="243"/>
        <v>46153</v>
      </c>
    </row>
    <row r="1477" spans="1:24" s="221" customFormat="1" ht="29" hidden="1" x14ac:dyDescent="0.35">
      <c r="A1477" s="46">
        <f t="shared" si="244"/>
        <v>46153</v>
      </c>
      <c r="B1477" s="46"/>
      <c r="C1477" s="46"/>
      <c r="D1477" s="46"/>
      <c r="E1477" s="47" t="s">
        <v>64</v>
      </c>
      <c r="F1477" s="48" t="s">
        <v>202</v>
      </c>
      <c r="G1477" s="48"/>
      <c r="H1477" s="49" t="s">
        <v>2393</v>
      </c>
      <c r="I1477" s="72" t="s">
        <v>274</v>
      </c>
      <c r="J1477" s="51" t="s">
        <v>140</v>
      </c>
      <c r="K1477" s="52">
        <v>0</v>
      </c>
      <c r="L1477" s="52">
        <v>0</v>
      </c>
      <c r="M1477" s="53">
        <v>67</v>
      </c>
      <c r="N1477" s="54">
        <v>840</v>
      </c>
      <c r="O1477" s="341">
        <v>1</v>
      </c>
      <c r="P1477" s="54">
        <f t="shared" si="246"/>
        <v>840</v>
      </c>
      <c r="Q1477" s="54"/>
      <c r="R1477" s="92">
        <v>840</v>
      </c>
      <c r="S1477" s="53">
        <f t="shared" si="239"/>
        <v>0</v>
      </c>
      <c r="T1477" s="343">
        <f t="shared" si="240"/>
        <v>1289.5522388059703</v>
      </c>
      <c r="U1477" s="52">
        <f t="shared" si="241"/>
        <v>0</v>
      </c>
      <c r="V1477" s="52">
        <f t="shared" si="242"/>
        <v>0</v>
      </c>
      <c r="W1477" s="52">
        <v>0</v>
      </c>
      <c r="X1477" s="55">
        <f t="shared" si="243"/>
        <v>46153</v>
      </c>
    </row>
    <row r="1478" spans="1:24" s="221" customFormat="1" ht="29" hidden="1" x14ac:dyDescent="0.35">
      <c r="A1478" s="46">
        <f t="shared" si="244"/>
        <v>46153</v>
      </c>
      <c r="B1478" s="46"/>
      <c r="C1478" s="46"/>
      <c r="D1478" s="46"/>
      <c r="E1478" s="47" t="s">
        <v>64</v>
      </c>
      <c r="F1478" s="48" t="s">
        <v>202</v>
      </c>
      <c r="G1478" s="48"/>
      <c r="H1478" s="49" t="s">
        <v>2394</v>
      </c>
      <c r="I1478" s="73" t="s">
        <v>409</v>
      </c>
      <c r="J1478" s="51" t="s">
        <v>140</v>
      </c>
      <c r="K1478" s="52">
        <v>0</v>
      </c>
      <c r="L1478" s="52">
        <v>0</v>
      </c>
      <c r="M1478" s="53">
        <v>67</v>
      </c>
      <c r="N1478" s="54">
        <v>420</v>
      </c>
      <c r="O1478" s="341">
        <v>1</v>
      </c>
      <c r="P1478" s="54">
        <f t="shared" si="246"/>
        <v>420</v>
      </c>
      <c r="Q1478" s="54"/>
      <c r="R1478" s="92">
        <v>420</v>
      </c>
      <c r="S1478" s="53">
        <f t="shared" si="239"/>
        <v>0</v>
      </c>
      <c r="T1478" s="343">
        <f t="shared" si="240"/>
        <v>1289.5522388059703</v>
      </c>
      <c r="U1478" s="52">
        <f t="shared" si="241"/>
        <v>0</v>
      </c>
      <c r="V1478" s="52">
        <f t="shared" si="242"/>
        <v>0</v>
      </c>
      <c r="W1478" s="52">
        <v>0</v>
      </c>
      <c r="X1478" s="55">
        <f t="shared" si="243"/>
        <v>46153</v>
      </c>
    </row>
    <row r="1479" spans="1:24" s="221" customFormat="1" ht="29" hidden="1" x14ac:dyDescent="0.35">
      <c r="A1479" s="46">
        <f t="shared" si="244"/>
        <v>46153</v>
      </c>
      <c r="B1479" s="46"/>
      <c r="C1479" s="46"/>
      <c r="D1479" s="46"/>
      <c r="E1479" s="47" t="s">
        <v>64</v>
      </c>
      <c r="F1479" s="48" t="s">
        <v>202</v>
      </c>
      <c r="G1479" s="48"/>
      <c r="H1479" s="49" t="s">
        <v>2395</v>
      </c>
      <c r="I1479" s="72" t="s">
        <v>380</v>
      </c>
      <c r="J1479" s="51" t="s">
        <v>140</v>
      </c>
      <c r="K1479" s="52">
        <v>0</v>
      </c>
      <c r="L1479" s="52">
        <v>0</v>
      </c>
      <c r="M1479" s="53">
        <v>67</v>
      </c>
      <c r="N1479" s="54">
        <v>630</v>
      </c>
      <c r="O1479" s="341">
        <v>1</v>
      </c>
      <c r="P1479" s="54">
        <f t="shared" si="246"/>
        <v>630</v>
      </c>
      <c r="Q1479" s="54"/>
      <c r="R1479" s="92">
        <v>630</v>
      </c>
      <c r="S1479" s="53">
        <f t="shared" si="239"/>
        <v>0</v>
      </c>
      <c r="T1479" s="343">
        <f t="shared" si="240"/>
        <v>1289.5522388059703</v>
      </c>
      <c r="U1479" s="52">
        <f t="shared" si="241"/>
        <v>0</v>
      </c>
      <c r="V1479" s="52">
        <f t="shared" si="242"/>
        <v>0</v>
      </c>
      <c r="W1479" s="52">
        <v>0</v>
      </c>
      <c r="X1479" s="55">
        <f t="shared" si="243"/>
        <v>46153</v>
      </c>
    </row>
    <row r="1480" spans="1:24" s="221" customFormat="1" ht="29" hidden="1" x14ac:dyDescent="0.35">
      <c r="A1480" s="46">
        <f t="shared" si="244"/>
        <v>46153</v>
      </c>
      <c r="B1480" s="46"/>
      <c r="C1480" s="46"/>
      <c r="D1480" s="46"/>
      <c r="E1480" s="47" t="s">
        <v>64</v>
      </c>
      <c r="F1480" s="48" t="s">
        <v>202</v>
      </c>
      <c r="G1480" s="48"/>
      <c r="H1480" s="49" t="s">
        <v>2396</v>
      </c>
      <c r="I1480" s="72" t="s">
        <v>377</v>
      </c>
      <c r="J1480" s="51" t="s">
        <v>140</v>
      </c>
      <c r="K1480" s="52">
        <v>0</v>
      </c>
      <c r="L1480" s="52">
        <v>0</v>
      </c>
      <c r="M1480" s="53">
        <v>67</v>
      </c>
      <c r="N1480" s="54">
        <v>630</v>
      </c>
      <c r="O1480" s="341">
        <v>1</v>
      </c>
      <c r="P1480" s="54">
        <f t="shared" si="246"/>
        <v>630</v>
      </c>
      <c r="Q1480" s="54"/>
      <c r="R1480" s="92">
        <v>630</v>
      </c>
      <c r="S1480" s="53">
        <f t="shared" si="239"/>
        <v>0</v>
      </c>
      <c r="T1480" s="343">
        <f t="shared" si="240"/>
        <v>1289.5522388059703</v>
      </c>
      <c r="U1480" s="52">
        <f t="shared" si="241"/>
        <v>0</v>
      </c>
      <c r="V1480" s="52">
        <f t="shared" si="242"/>
        <v>0</v>
      </c>
      <c r="W1480" s="52">
        <v>0</v>
      </c>
      <c r="X1480" s="55">
        <f t="shared" si="243"/>
        <v>46153</v>
      </c>
    </row>
    <row r="1481" spans="1:24" s="221" customFormat="1" ht="43.5" hidden="1" x14ac:dyDescent="0.35">
      <c r="A1481" s="46">
        <f t="shared" si="244"/>
        <v>46153</v>
      </c>
      <c r="B1481" s="46"/>
      <c r="C1481" s="46"/>
      <c r="D1481" s="46"/>
      <c r="E1481" s="47" t="s">
        <v>43</v>
      </c>
      <c r="F1481" s="56" t="s">
        <v>1441</v>
      </c>
      <c r="G1481" s="56"/>
      <c r="H1481" s="59" t="s">
        <v>2397</v>
      </c>
      <c r="I1481" s="56" t="s">
        <v>2398</v>
      </c>
      <c r="J1481" s="100" t="s">
        <v>140</v>
      </c>
      <c r="K1481" s="52">
        <v>0</v>
      </c>
      <c r="L1481" s="52">
        <v>0</v>
      </c>
      <c r="M1481" s="53">
        <v>70</v>
      </c>
      <c r="N1481" s="54">
        <v>250</v>
      </c>
      <c r="O1481" s="341">
        <v>1</v>
      </c>
      <c r="P1481" s="54">
        <f t="shared" si="246"/>
        <v>250</v>
      </c>
      <c r="Q1481" s="54"/>
      <c r="R1481" s="92">
        <v>250</v>
      </c>
      <c r="S1481" s="53">
        <f t="shared" si="239"/>
        <v>0</v>
      </c>
      <c r="T1481" s="315">
        <f t="shared" si="240"/>
        <v>1234.2857142857142</v>
      </c>
      <c r="U1481" s="84">
        <f t="shared" si="241"/>
        <v>0</v>
      </c>
      <c r="V1481" s="84">
        <f t="shared" si="242"/>
        <v>0</v>
      </c>
      <c r="W1481" s="84">
        <v>0</v>
      </c>
      <c r="X1481" s="55">
        <f t="shared" si="243"/>
        <v>46153</v>
      </c>
    </row>
    <row r="1482" spans="1:24" s="221" customFormat="1" ht="43.5" hidden="1" x14ac:dyDescent="0.35">
      <c r="A1482" s="46">
        <f t="shared" si="244"/>
        <v>46153</v>
      </c>
      <c r="B1482" s="46"/>
      <c r="C1482" s="46"/>
      <c r="D1482" s="46"/>
      <c r="E1482" s="47" t="s">
        <v>43</v>
      </c>
      <c r="F1482" s="56" t="s">
        <v>1441</v>
      </c>
      <c r="G1482" s="56"/>
      <c r="H1482" s="59" t="s">
        <v>2399</v>
      </c>
      <c r="I1482" s="56" t="s">
        <v>2400</v>
      </c>
      <c r="J1482" s="100" t="s">
        <v>140</v>
      </c>
      <c r="K1482" s="52">
        <v>0</v>
      </c>
      <c r="L1482" s="52">
        <v>0</v>
      </c>
      <c r="M1482" s="53">
        <v>70</v>
      </c>
      <c r="N1482" s="54">
        <v>250</v>
      </c>
      <c r="O1482" s="341">
        <v>1</v>
      </c>
      <c r="P1482" s="54">
        <f t="shared" si="246"/>
        <v>250</v>
      </c>
      <c r="Q1482" s="54"/>
      <c r="R1482" s="92">
        <v>250</v>
      </c>
      <c r="S1482" s="53">
        <f t="shared" si="239"/>
        <v>0</v>
      </c>
      <c r="T1482" s="315">
        <f t="shared" si="240"/>
        <v>1234.2857142857142</v>
      </c>
      <c r="U1482" s="84">
        <f t="shared" si="241"/>
        <v>0</v>
      </c>
      <c r="V1482" s="84">
        <f t="shared" si="242"/>
        <v>0</v>
      </c>
      <c r="W1482" s="84">
        <v>0</v>
      </c>
      <c r="X1482" s="55">
        <f t="shared" si="243"/>
        <v>46153</v>
      </c>
    </row>
    <row r="1483" spans="1:24" ht="26.5" hidden="1" x14ac:dyDescent="0.35">
      <c r="A1483" s="46">
        <f t="shared" si="244"/>
        <v>46153</v>
      </c>
      <c r="B1483" s="46"/>
      <c r="C1483" s="46"/>
      <c r="D1483" s="46"/>
      <c r="E1483" s="47" t="s">
        <v>64</v>
      </c>
      <c r="F1483" s="48" t="s">
        <v>2401</v>
      </c>
      <c r="G1483" s="48"/>
      <c r="H1483" s="59" t="s">
        <v>2402</v>
      </c>
      <c r="I1483" s="82" t="s">
        <v>164</v>
      </c>
      <c r="J1483" s="51" t="s">
        <v>140</v>
      </c>
      <c r="K1483" s="52">
        <v>0</v>
      </c>
      <c r="L1483" s="52">
        <v>0</v>
      </c>
      <c r="M1483" s="53">
        <v>120</v>
      </c>
      <c r="N1483" s="54">
        <v>350</v>
      </c>
      <c r="O1483" s="341">
        <v>1</v>
      </c>
      <c r="P1483" s="54">
        <f t="shared" si="246"/>
        <v>350</v>
      </c>
      <c r="Q1483" s="54"/>
      <c r="R1483" s="92">
        <v>350</v>
      </c>
      <c r="S1483" s="53">
        <f t="shared" si="239"/>
        <v>0</v>
      </c>
      <c r="T1483" s="343">
        <f t="shared" si="240"/>
        <v>720</v>
      </c>
      <c r="U1483" s="52">
        <f t="shared" si="241"/>
        <v>0</v>
      </c>
      <c r="V1483" s="52">
        <f t="shared" si="242"/>
        <v>0</v>
      </c>
      <c r="W1483" s="52">
        <v>0</v>
      </c>
      <c r="X1483" s="55">
        <f t="shared" si="243"/>
        <v>46153</v>
      </c>
    </row>
    <row r="1484" spans="1:24" hidden="1" x14ac:dyDescent="0.35">
      <c r="A1484" s="46">
        <f t="shared" si="244"/>
        <v>46153</v>
      </c>
      <c r="B1484" s="46"/>
      <c r="C1484" s="46"/>
      <c r="D1484" s="46"/>
      <c r="E1484" s="47" t="s">
        <v>64</v>
      </c>
      <c r="F1484" s="48" t="s">
        <v>2401</v>
      </c>
      <c r="G1484" s="48"/>
      <c r="H1484" s="59" t="s">
        <v>2403</v>
      </c>
      <c r="I1484" s="82" t="s">
        <v>2404</v>
      </c>
      <c r="J1484" s="51" t="s">
        <v>140</v>
      </c>
      <c r="K1484" s="52">
        <v>0</v>
      </c>
      <c r="L1484" s="52">
        <v>0</v>
      </c>
      <c r="M1484" s="53">
        <v>120</v>
      </c>
      <c r="N1484" s="54">
        <v>1000</v>
      </c>
      <c r="O1484" s="341">
        <v>1</v>
      </c>
      <c r="P1484" s="54">
        <f t="shared" si="246"/>
        <v>1000</v>
      </c>
      <c r="Q1484" s="54"/>
      <c r="R1484" s="92">
        <v>1000</v>
      </c>
      <c r="S1484" s="53">
        <f t="shared" si="239"/>
        <v>0</v>
      </c>
      <c r="T1484" s="343">
        <f t="shared" si="240"/>
        <v>720</v>
      </c>
      <c r="U1484" s="52">
        <f t="shared" si="241"/>
        <v>0</v>
      </c>
      <c r="V1484" s="52">
        <f t="shared" si="242"/>
        <v>0</v>
      </c>
      <c r="W1484" s="52">
        <v>0</v>
      </c>
      <c r="X1484" s="55">
        <f t="shared" si="243"/>
        <v>46153</v>
      </c>
    </row>
    <row r="1485" spans="1:24" s="89" customFormat="1" ht="26.5" hidden="1" x14ac:dyDescent="0.35">
      <c r="A1485" s="46">
        <f t="shared" si="244"/>
        <v>46153</v>
      </c>
      <c r="B1485" s="46"/>
      <c r="C1485" s="46"/>
      <c r="D1485" s="46"/>
      <c r="E1485" s="47" t="s">
        <v>64</v>
      </c>
      <c r="F1485" s="56" t="s">
        <v>2405</v>
      </c>
      <c r="G1485" s="56"/>
      <c r="H1485" s="59" t="s">
        <v>2406</v>
      </c>
      <c r="I1485" s="99" t="s">
        <v>2407</v>
      </c>
      <c r="J1485" s="51" t="s">
        <v>140</v>
      </c>
      <c r="K1485" s="52">
        <v>0</v>
      </c>
      <c r="L1485" s="52">
        <v>0</v>
      </c>
      <c r="M1485" s="53">
        <v>90</v>
      </c>
      <c r="N1485" s="54">
        <v>500</v>
      </c>
      <c r="O1485" s="341">
        <v>1</v>
      </c>
      <c r="P1485" s="54">
        <f t="shared" si="246"/>
        <v>500</v>
      </c>
      <c r="Q1485" s="54"/>
      <c r="R1485" s="92">
        <v>500</v>
      </c>
      <c r="S1485" s="53">
        <f t="shared" si="239"/>
        <v>0</v>
      </c>
      <c r="T1485" s="343">
        <f t="shared" si="240"/>
        <v>960</v>
      </c>
      <c r="U1485" s="52">
        <f t="shared" si="241"/>
        <v>0</v>
      </c>
      <c r="V1485" s="52">
        <f t="shared" si="242"/>
        <v>0</v>
      </c>
      <c r="W1485" s="52">
        <v>0</v>
      </c>
      <c r="X1485" s="55">
        <f t="shared" si="243"/>
        <v>46153</v>
      </c>
    </row>
    <row r="1486" spans="1:24" s="89" customFormat="1" hidden="1" x14ac:dyDescent="0.35">
      <c r="A1486" s="46">
        <f t="shared" si="244"/>
        <v>46153</v>
      </c>
      <c r="B1486" s="46"/>
      <c r="C1486" s="46"/>
      <c r="D1486" s="46"/>
      <c r="E1486" s="47" t="s">
        <v>64</v>
      </c>
      <c r="F1486" s="56" t="s">
        <v>2405</v>
      </c>
      <c r="G1486" s="56"/>
      <c r="H1486" s="59" t="s">
        <v>2408</v>
      </c>
      <c r="I1486" s="99" t="s">
        <v>1341</v>
      </c>
      <c r="J1486" s="51" t="s">
        <v>140</v>
      </c>
      <c r="K1486" s="52">
        <v>0</v>
      </c>
      <c r="L1486" s="52">
        <v>0</v>
      </c>
      <c r="M1486" s="53">
        <v>70</v>
      </c>
      <c r="N1486" s="54">
        <v>500</v>
      </c>
      <c r="O1486" s="341">
        <v>1</v>
      </c>
      <c r="P1486" s="54">
        <f t="shared" si="246"/>
        <v>500</v>
      </c>
      <c r="Q1486" s="54"/>
      <c r="R1486" s="92">
        <v>500</v>
      </c>
      <c r="S1486" s="53">
        <f t="shared" si="239"/>
        <v>0</v>
      </c>
      <c r="T1486" s="343">
        <f t="shared" si="240"/>
        <v>1234.2857142857142</v>
      </c>
      <c r="U1486" s="52">
        <f t="shared" si="241"/>
        <v>0</v>
      </c>
      <c r="V1486" s="52">
        <f t="shared" si="242"/>
        <v>0</v>
      </c>
      <c r="W1486" s="52">
        <v>0</v>
      </c>
      <c r="X1486" s="55">
        <f t="shared" si="243"/>
        <v>46153</v>
      </c>
    </row>
    <row r="1487" spans="1:24" s="221" customFormat="1" hidden="1" x14ac:dyDescent="0.35">
      <c r="A1487" s="46">
        <f t="shared" si="244"/>
        <v>46153</v>
      </c>
      <c r="B1487" s="46"/>
      <c r="C1487" s="46"/>
      <c r="D1487" s="46"/>
      <c r="E1487" s="47" t="s">
        <v>43</v>
      </c>
      <c r="F1487" s="56" t="s">
        <v>2405</v>
      </c>
      <c r="G1487" s="56"/>
      <c r="H1487" s="49" t="s">
        <v>2409</v>
      </c>
      <c r="I1487" s="56" t="s">
        <v>97</v>
      </c>
      <c r="J1487" s="104" t="s">
        <v>140</v>
      </c>
      <c r="K1487" s="52">
        <v>0</v>
      </c>
      <c r="L1487" s="52">
        <v>0</v>
      </c>
      <c r="M1487" s="53">
        <v>110</v>
      </c>
      <c r="N1487" s="54">
        <v>3000</v>
      </c>
      <c r="O1487" s="341">
        <v>1</v>
      </c>
      <c r="P1487" s="54">
        <f t="shared" si="246"/>
        <v>3000</v>
      </c>
      <c r="Q1487" s="54"/>
      <c r="R1487" s="92">
        <v>3000</v>
      </c>
      <c r="S1487" s="53">
        <f t="shared" si="239"/>
        <v>0</v>
      </c>
      <c r="T1487" s="315">
        <f t="shared" si="240"/>
        <v>785.4545454545455</v>
      </c>
      <c r="U1487" s="84">
        <f t="shared" si="241"/>
        <v>0</v>
      </c>
      <c r="V1487" s="84">
        <f t="shared" si="242"/>
        <v>0</v>
      </c>
      <c r="W1487" s="84">
        <v>0</v>
      </c>
      <c r="X1487" s="55">
        <f t="shared" si="243"/>
        <v>46153</v>
      </c>
    </row>
    <row r="1488" spans="1:24" s="221" customFormat="1" hidden="1" x14ac:dyDescent="0.35">
      <c r="A1488" s="46">
        <f t="shared" si="244"/>
        <v>46153</v>
      </c>
      <c r="B1488" s="46"/>
      <c r="C1488" s="46"/>
      <c r="D1488" s="46"/>
      <c r="E1488" s="47" t="s">
        <v>43</v>
      </c>
      <c r="F1488" s="56" t="s">
        <v>2410</v>
      </c>
      <c r="G1488" s="56"/>
      <c r="H1488" s="49" t="s">
        <v>2411</v>
      </c>
      <c r="I1488" s="56" t="s">
        <v>97</v>
      </c>
      <c r="J1488" s="104" t="s">
        <v>140</v>
      </c>
      <c r="K1488" s="52">
        <v>0</v>
      </c>
      <c r="L1488" s="52">
        <v>0</v>
      </c>
      <c r="M1488" s="53">
        <v>110</v>
      </c>
      <c r="N1488" s="54">
        <v>1000</v>
      </c>
      <c r="O1488" s="341">
        <v>1</v>
      </c>
      <c r="P1488" s="54">
        <f t="shared" si="246"/>
        <v>1000</v>
      </c>
      <c r="Q1488" s="54"/>
      <c r="R1488" s="92">
        <v>1000</v>
      </c>
      <c r="S1488" s="53">
        <f t="shared" si="239"/>
        <v>0</v>
      </c>
      <c r="T1488" s="315">
        <f t="shared" si="240"/>
        <v>785.4545454545455</v>
      </c>
      <c r="U1488" s="84">
        <f t="shared" si="241"/>
        <v>0</v>
      </c>
      <c r="V1488" s="84">
        <f t="shared" si="242"/>
        <v>0</v>
      </c>
      <c r="W1488" s="84">
        <v>0</v>
      </c>
      <c r="X1488" s="55">
        <f t="shared" si="243"/>
        <v>46153</v>
      </c>
    </row>
    <row r="1489" spans="1:24" s="221" customFormat="1" hidden="1" x14ac:dyDescent="0.35">
      <c r="A1489" s="46">
        <f t="shared" si="244"/>
        <v>46153</v>
      </c>
      <c r="B1489" s="46"/>
      <c r="C1489" s="46"/>
      <c r="D1489" s="46"/>
      <c r="E1489" s="47" t="s">
        <v>43</v>
      </c>
      <c r="F1489" s="56" t="s">
        <v>2412</v>
      </c>
      <c r="G1489" s="56"/>
      <c r="H1489" s="49" t="s">
        <v>2413</v>
      </c>
      <c r="I1489" s="56" t="s">
        <v>97</v>
      </c>
      <c r="J1489" s="104" t="s">
        <v>140</v>
      </c>
      <c r="K1489" s="52">
        <v>0</v>
      </c>
      <c r="L1489" s="52">
        <v>0</v>
      </c>
      <c r="M1489" s="53">
        <v>110</v>
      </c>
      <c r="N1489" s="54">
        <v>3000</v>
      </c>
      <c r="O1489" s="341">
        <v>1</v>
      </c>
      <c r="P1489" s="54">
        <f t="shared" si="246"/>
        <v>3000</v>
      </c>
      <c r="Q1489" s="54"/>
      <c r="R1489" s="92">
        <v>3000</v>
      </c>
      <c r="S1489" s="53">
        <f t="shared" si="239"/>
        <v>0</v>
      </c>
      <c r="T1489" s="315">
        <f t="shared" si="240"/>
        <v>785.4545454545455</v>
      </c>
      <c r="U1489" s="84">
        <f t="shared" si="241"/>
        <v>0</v>
      </c>
      <c r="V1489" s="84">
        <f t="shared" si="242"/>
        <v>0</v>
      </c>
      <c r="W1489" s="84">
        <v>0</v>
      </c>
      <c r="X1489" s="55">
        <f t="shared" si="243"/>
        <v>46153</v>
      </c>
    </row>
    <row r="1490" spans="1:24" s="221" customFormat="1" ht="29" hidden="1" x14ac:dyDescent="0.35">
      <c r="A1490" s="46">
        <f t="shared" si="244"/>
        <v>46153</v>
      </c>
      <c r="B1490" s="46"/>
      <c r="C1490" s="46"/>
      <c r="D1490" s="46"/>
      <c r="E1490" s="47" t="s">
        <v>64</v>
      </c>
      <c r="F1490" s="57" t="s">
        <v>215</v>
      </c>
      <c r="G1490" s="57"/>
      <c r="H1490" s="49" t="s">
        <v>2414</v>
      </c>
      <c r="I1490" s="85" t="s">
        <v>848</v>
      </c>
      <c r="J1490" s="104" t="s">
        <v>140</v>
      </c>
      <c r="K1490" s="52">
        <v>0</v>
      </c>
      <c r="L1490" s="52">
        <v>0</v>
      </c>
      <c r="M1490" s="53">
        <v>110</v>
      </c>
      <c r="N1490" s="54">
        <v>100</v>
      </c>
      <c r="O1490" s="341">
        <v>1</v>
      </c>
      <c r="P1490" s="54">
        <f t="shared" si="246"/>
        <v>100</v>
      </c>
      <c r="Q1490" s="54"/>
      <c r="R1490" s="92">
        <v>100</v>
      </c>
      <c r="S1490" s="53">
        <f t="shared" si="239"/>
        <v>0</v>
      </c>
      <c r="T1490" s="343">
        <f t="shared" si="240"/>
        <v>785.4545454545455</v>
      </c>
      <c r="U1490" s="52">
        <f t="shared" si="241"/>
        <v>0</v>
      </c>
      <c r="V1490" s="52">
        <f t="shared" si="242"/>
        <v>0</v>
      </c>
      <c r="W1490" s="84">
        <v>0</v>
      </c>
      <c r="X1490" s="55">
        <f t="shared" si="243"/>
        <v>46153</v>
      </c>
    </row>
    <row r="1491" spans="1:24" s="221" customFormat="1" ht="29" hidden="1" x14ac:dyDescent="0.35">
      <c r="A1491" s="46">
        <f t="shared" si="244"/>
        <v>46153</v>
      </c>
      <c r="B1491" s="46"/>
      <c r="C1491" s="46"/>
      <c r="D1491" s="46"/>
      <c r="E1491" s="47" t="s">
        <v>64</v>
      </c>
      <c r="F1491" s="57" t="s">
        <v>215</v>
      </c>
      <c r="G1491" s="57"/>
      <c r="H1491" s="49" t="s">
        <v>2415</v>
      </c>
      <c r="I1491" s="82" t="s">
        <v>2338</v>
      </c>
      <c r="J1491" s="104" t="s">
        <v>140</v>
      </c>
      <c r="K1491" s="52">
        <v>0</v>
      </c>
      <c r="L1491" s="52">
        <v>0</v>
      </c>
      <c r="M1491" s="53">
        <v>110</v>
      </c>
      <c r="N1491" s="54">
        <v>500</v>
      </c>
      <c r="O1491" s="341">
        <v>1</v>
      </c>
      <c r="P1491" s="54">
        <f t="shared" si="246"/>
        <v>500</v>
      </c>
      <c r="Q1491" s="54"/>
      <c r="R1491" s="92">
        <v>500</v>
      </c>
      <c r="S1491" s="53">
        <f t="shared" si="239"/>
        <v>0</v>
      </c>
      <c r="T1491" s="343">
        <f t="shared" si="240"/>
        <v>785.4545454545455</v>
      </c>
      <c r="U1491" s="52">
        <f t="shared" si="241"/>
        <v>0</v>
      </c>
      <c r="V1491" s="52">
        <f t="shared" si="242"/>
        <v>0</v>
      </c>
      <c r="W1491" s="84">
        <v>0</v>
      </c>
      <c r="X1491" s="55">
        <f t="shared" si="243"/>
        <v>46153</v>
      </c>
    </row>
    <row r="1492" spans="1:24" ht="26.5" hidden="1" x14ac:dyDescent="0.35">
      <c r="A1492" s="46">
        <f t="shared" si="244"/>
        <v>46153</v>
      </c>
      <c r="B1492" s="46"/>
      <c r="C1492" s="46"/>
      <c r="D1492" s="46"/>
      <c r="E1492" s="47" t="s">
        <v>64</v>
      </c>
      <c r="F1492" s="48" t="s">
        <v>2416</v>
      </c>
      <c r="G1492" s="48"/>
      <c r="H1492" s="59" t="s">
        <v>2417</v>
      </c>
      <c r="I1492" s="82" t="s">
        <v>164</v>
      </c>
      <c r="J1492" s="51" t="s">
        <v>140</v>
      </c>
      <c r="K1492" s="52">
        <v>0</v>
      </c>
      <c r="L1492" s="52">
        <v>0</v>
      </c>
      <c r="M1492" s="53">
        <v>120</v>
      </c>
      <c r="N1492" s="54">
        <v>2300</v>
      </c>
      <c r="O1492" s="341">
        <v>1</v>
      </c>
      <c r="P1492" s="54">
        <f t="shared" si="246"/>
        <v>2300</v>
      </c>
      <c r="Q1492" s="54"/>
      <c r="R1492" s="92">
        <v>2300</v>
      </c>
      <c r="S1492" s="53">
        <f t="shared" si="239"/>
        <v>0</v>
      </c>
      <c r="T1492" s="343">
        <f t="shared" si="240"/>
        <v>720</v>
      </c>
      <c r="U1492" s="52">
        <f t="shared" si="241"/>
        <v>0</v>
      </c>
      <c r="V1492" s="52">
        <f t="shared" si="242"/>
        <v>0</v>
      </c>
      <c r="W1492" s="52">
        <v>0</v>
      </c>
      <c r="X1492" s="55">
        <f t="shared" si="243"/>
        <v>46153</v>
      </c>
    </row>
    <row r="1493" spans="1:24" s="221" customFormat="1" ht="29" hidden="1" x14ac:dyDescent="0.35">
      <c r="A1493" s="46">
        <f t="shared" si="244"/>
        <v>46153</v>
      </c>
      <c r="B1493" s="46"/>
      <c r="C1493" s="46"/>
      <c r="D1493" s="46"/>
      <c r="E1493" s="47" t="s">
        <v>64</v>
      </c>
      <c r="F1493" s="57" t="s">
        <v>215</v>
      </c>
      <c r="G1493" s="57"/>
      <c r="H1493" s="49" t="s">
        <v>2418</v>
      </c>
      <c r="I1493" s="85" t="s">
        <v>380</v>
      </c>
      <c r="J1493" s="104" t="s">
        <v>140</v>
      </c>
      <c r="K1493" s="52">
        <v>0</v>
      </c>
      <c r="L1493" s="52">
        <v>0</v>
      </c>
      <c r="M1493" s="53">
        <v>67</v>
      </c>
      <c r="N1493" s="54">
        <v>210</v>
      </c>
      <c r="O1493" s="341">
        <v>1</v>
      </c>
      <c r="P1493" s="54">
        <f t="shared" si="246"/>
        <v>210</v>
      </c>
      <c r="Q1493" s="54"/>
      <c r="R1493" s="92">
        <v>210</v>
      </c>
      <c r="S1493" s="53">
        <f t="shared" si="239"/>
        <v>0</v>
      </c>
      <c r="T1493" s="343">
        <f t="shared" si="240"/>
        <v>1289.5522388059703</v>
      </c>
      <c r="U1493" s="52">
        <f t="shared" si="241"/>
        <v>0</v>
      </c>
      <c r="V1493" s="52">
        <f t="shared" si="242"/>
        <v>0</v>
      </c>
      <c r="W1493" s="84">
        <v>0</v>
      </c>
      <c r="X1493" s="55">
        <f t="shared" si="243"/>
        <v>46153</v>
      </c>
    </row>
    <row r="1494" spans="1:24" s="221" customFormat="1" ht="29" hidden="1" x14ac:dyDescent="0.35">
      <c r="A1494" s="46">
        <f t="shared" si="244"/>
        <v>46153</v>
      </c>
      <c r="B1494" s="46"/>
      <c r="C1494" s="46"/>
      <c r="D1494" s="46"/>
      <c r="E1494" s="47" t="s">
        <v>64</v>
      </c>
      <c r="F1494" s="57" t="s">
        <v>215</v>
      </c>
      <c r="G1494" s="57"/>
      <c r="H1494" s="49" t="s">
        <v>2419</v>
      </c>
      <c r="I1494" s="85" t="s">
        <v>377</v>
      </c>
      <c r="J1494" s="104" t="s">
        <v>140</v>
      </c>
      <c r="K1494" s="52">
        <v>0</v>
      </c>
      <c r="L1494" s="52">
        <v>0</v>
      </c>
      <c r="M1494" s="53">
        <v>67</v>
      </c>
      <c r="N1494" s="54">
        <v>210</v>
      </c>
      <c r="O1494" s="341">
        <v>1</v>
      </c>
      <c r="P1494" s="54">
        <f t="shared" si="246"/>
        <v>210</v>
      </c>
      <c r="Q1494" s="54"/>
      <c r="R1494" s="92">
        <v>210</v>
      </c>
      <c r="S1494" s="53">
        <f t="shared" si="239"/>
        <v>0</v>
      </c>
      <c r="T1494" s="343">
        <f t="shared" si="240"/>
        <v>1289.5522388059703</v>
      </c>
      <c r="U1494" s="52">
        <f t="shared" si="241"/>
        <v>0</v>
      </c>
      <c r="V1494" s="52">
        <f t="shared" si="242"/>
        <v>0</v>
      </c>
      <c r="W1494" s="84">
        <v>0</v>
      </c>
      <c r="X1494" s="55">
        <f t="shared" si="243"/>
        <v>46153</v>
      </c>
    </row>
    <row r="1495" spans="1:24" s="221" customFormat="1" ht="26.5" hidden="1" x14ac:dyDescent="0.35">
      <c r="A1495" s="46">
        <f t="shared" si="244"/>
        <v>46153</v>
      </c>
      <c r="B1495" s="46"/>
      <c r="C1495" s="46"/>
      <c r="D1495" s="46"/>
      <c r="E1495" s="47" t="s">
        <v>64</v>
      </c>
      <c r="F1495" s="97" t="s">
        <v>215</v>
      </c>
      <c r="G1495" s="97"/>
      <c r="H1495" s="49" t="s">
        <v>2420</v>
      </c>
      <c r="I1495" s="85" t="s">
        <v>274</v>
      </c>
      <c r="J1495" s="104" t="s">
        <v>140</v>
      </c>
      <c r="K1495" s="52">
        <v>0</v>
      </c>
      <c r="L1495" s="52">
        <v>0</v>
      </c>
      <c r="M1495" s="53">
        <v>67</v>
      </c>
      <c r="N1495" s="54">
        <v>650</v>
      </c>
      <c r="O1495" s="341">
        <v>1</v>
      </c>
      <c r="P1495" s="54">
        <f t="shared" si="246"/>
        <v>650</v>
      </c>
      <c r="Q1495" s="54"/>
      <c r="R1495" s="92">
        <v>650</v>
      </c>
      <c r="S1495" s="53">
        <f t="shared" si="239"/>
        <v>0</v>
      </c>
      <c r="T1495" s="343">
        <f t="shared" si="240"/>
        <v>1289.5522388059703</v>
      </c>
      <c r="U1495" s="52">
        <f t="shared" si="241"/>
        <v>0</v>
      </c>
      <c r="V1495" s="52">
        <f t="shared" si="242"/>
        <v>0</v>
      </c>
      <c r="W1495" s="84">
        <v>0</v>
      </c>
      <c r="X1495" s="55">
        <f t="shared" si="243"/>
        <v>46153</v>
      </c>
    </row>
    <row r="1496" spans="1:24" ht="26.5" hidden="1" x14ac:dyDescent="0.35">
      <c r="A1496" s="46">
        <f t="shared" si="244"/>
        <v>46153</v>
      </c>
      <c r="B1496" s="46"/>
      <c r="C1496" s="46"/>
      <c r="D1496" s="46"/>
      <c r="E1496" s="47" t="s">
        <v>1691</v>
      </c>
      <c r="F1496" s="82" t="s">
        <v>215</v>
      </c>
      <c r="G1496" s="82"/>
      <c r="H1496" s="98" t="s">
        <v>2421</v>
      </c>
      <c r="I1496" s="333" t="s">
        <v>1051</v>
      </c>
      <c r="J1496" s="100" t="s">
        <v>140</v>
      </c>
      <c r="K1496" s="91">
        <v>0</v>
      </c>
      <c r="L1496" s="91">
        <v>0.2</v>
      </c>
      <c r="M1496" s="92">
        <v>95</v>
      </c>
      <c r="N1496" s="94">
        <v>1000</v>
      </c>
      <c r="O1496" s="253">
        <v>1</v>
      </c>
      <c r="P1496" s="94">
        <f t="shared" si="246"/>
        <v>1000</v>
      </c>
      <c r="Q1496" s="94"/>
      <c r="R1496" s="92">
        <v>1000</v>
      </c>
      <c r="S1496" s="92">
        <f t="shared" si="239"/>
        <v>0</v>
      </c>
      <c r="T1496" s="173">
        <f t="shared" si="240"/>
        <v>909.47368421052624</v>
      </c>
      <c r="U1496" s="101">
        <f t="shared" si="241"/>
        <v>0</v>
      </c>
      <c r="V1496" s="101">
        <f t="shared" si="242"/>
        <v>0</v>
      </c>
      <c r="W1496" s="101">
        <v>0</v>
      </c>
      <c r="X1496" s="55">
        <f t="shared" si="243"/>
        <v>46153.2</v>
      </c>
    </row>
    <row r="1497" spans="1:24" ht="26.5" hidden="1" x14ac:dyDescent="0.35">
      <c r="A1497" s="46">
        <f t="shared" si="244"/>
        <v>46153.2</v>
      </c>
      <c r="B1497" s="46"/>
      <c r="C1497" s="46"/>
      <c r="D1497" s="46"/>
      <c r="E1497" s="47" t="s">
        <v>1691</v>
      </c>
      <c r="F1497" s="82" t="s">
        <v>215</v>
      </c>
      <c r="G1497" s="82"/>
      <c r="H1497" s="98" t="s">
        <v>2422</v>
      </c>
      <c r="I1497" s="333" t="s">
        <v>1049</v>
      </c>
      <c r="J1497" s="100" t="s">
        <v>140</v>
      </c>
      <c r="K1497" s="91">
        <v>0</v>
      </c>
      <c r="L1497" s="91">
        <v>0</v>
      </c>
      <c r="M1497" s="92">
        <v>95</v>
      </c>
      <c r="N1497" s="94">
        <v>500</v>
      </c>
      <c r="O1497" s="253">
        <v>1</v>
      </c>
      <c r="P1497" s="94">
        <f t="shared" si="246"/>
        <v>500</v>
      </c>
      <c r="Q1497" s="94"/>
      <c r="R1497" s="92">
        <v>500</v>
      </c>
      <c r="S1497" s="92">
        <f t="shared" si="239"/>
        <v>0</v>
      </c>
      <c r="T1497" s="173">
        <f t="shared" si="240"/>
        <v>909.47368421052624</v>
      </c>
      <c r="U1497" s="101">
        <f t="shared" si="241"/>
        <v>0</v>
      </c>
      <c r="V1497" s="101">
        <f t="shared" si="242"/>
        <v>0</v>
      </c>
      <c r="W1497" s="101">
        <v>0</v>
      </c>
      <c r="X1497" s="55">
        <f t="shared" si="243"/>
        <v>46153.2</v>
      </c>
    </row>
    <row r="1498" spans="1:24" hidden="1" x14ac:dyDescent="0.35">
      <c r="A1498" s="46">
        <f t="shared" si="244"/>
        <v>46153.2</v>
      </c>
      <c r="B1498" s="46"/>
      <c r="C1498" s="46"/>
      <c r="D1498" s="46"/>
      <c r="E1498" s="47" t="s">
        <v>64</v>
      </c>
      <c r="F1498" s="97" t="s">
        <v>1455</v>
      </c>
      <c r="G1498" s="97"/>
      <c r="H1498" s="98" t="s">
        <v>2423</v>
      </c>
      <c r="I1498" s="73" t="s">
        <v>194</v>
      </c>
      <c r="J1498" s="51" t="s">
        <v>140</v>
      </c>
      <c r="K1498" s="91">
        <v>0</v>
      </c>
      <c r="L1498" s="91">
        <v>0</v>
      </c>
      <c r="M1498" s="92">
        <v>67</v>
      </c>
      <c r="N1498" s="94">
        <v>2160</v>
      </c>
      <c r="O1498" s="253">
        <v>1</v>
      </c>
      <c r="P1498" s="94">
        <f t="shared" si="246"/>
        <v>2160</v>
      </c>
      <c r="Q1498" s="94"/>
      <c r="R1498" s="92">
        <v>2160</v>
      </c>
      <c r="S1498" s="92">
        <f t="shared" si="239"/>
        <v>0</v>
      </c>
      <c r="T1498" s="254">
        <f t="shared" si="240"/>
        <v>1289.5522388059703</v>
      </c>
      <c r="U1498" s="91">
        <f t="shared" si="241"/>
        <v>0</v>
      </c>
      <c r="V1498" s="91">
        <f t="shared" si="242"/>
        <v>0</v>
      </c>
      <c r="W1498" s="91">
        <v>0</v>
      </c>
      <c r="X1498" s="55">
        <f t="shared" si="243"/>
        <v>46153.2</v>
      </c>
    </row>
    <row r="1499" spans="1:24" hidden="1" x14ac:dyDescent="0.35">
      <c r="A1499" s="46">
        <f t="shared" si="244"/>
        <v>46153.2</v>
      </c>
      <c r="B1499" s="46"/>
      <c r="C1499" s="46"/>
      <c r="D1499" s="46"/>
      <c r="E1499" s="47" t="s">
        <v>64</v>
      </c>
      <c r="F1499" s="82" t="s">
        <v>2082</v>
      </c>
      <c r="G1499" s="82"/>
      <c r="H1499" s="98" t="s">
        <v>2424</v>
      </c>
      <c r="I1499" s="85" t="s">
        <v>2425</v>
      </c>
      <c r="J1499" s="100" t="s">
        <v>140</v>
      </c>
      <c r="K1499" s="91">
        <v>0</v>
      </c>
      <c r="L1499" s="91">
        <v>0</v>
      </c>
      <c r="M1499" s="92">
        <v>70</v>
      </c>
      <c r="N1499" s="94">
        <v>750</v>
      </c>
      <c r="O1499" s="253">
        <v>1</v>
      </c>
      <c r="P1499" s="94">
        <f t="shared" si="246"/>
        <v>750</v>
      </c>
      <c r="Q1499" s="94"/>
      <c r="R1499" s="92">
        <v>750</v>
      </c>
      <c r="S1499" s="92">
        <f t="shared" si="239"/>
        <v>0</v>
      </c>
      <c r="T1499" s="173">
        <f t="shared" si="240"/>
        <v>1234.2857142857142</v>
      </c>
      <c r="U1499" s="101">
        <f t="shared" si="241"/>
        <v>0</v>
      </c>
      <c r="V1499" s="101">
        <f t="shared" si="242"/>
        <v>0</v>
      </c>
      <c r="W1499" s="101">
        <v>0</v>
      </c>
      <c r="X1499" s="55">
        <f t="shared" si="243"/>
        <v>46153.2</v>
      </c>
    </row>
    <row r="1500" spans="1:24" hidden="1" x14ac:dyDescent="0.35">
      <c r="A1500" s="46">
        <f t="shared" si="244"/>
        <v>46153.2</v>
      </c>
      <c r="B1500" s="46"/>
      <c r="C1500" s="46"/>
      <c r="D1500" s="46"/>
      <c r="E1500" s="47" t="s">
        <v>64</v>
      </c>
      <c r="F1500" s="82" t="s">
        <v>2090</v>
      </c>
      <c r="G1500" s="82"/>
      <c r="H1500" s="98" t="s">
        <v>2426</v>
      </c>
      <c r="I1500" s="85" t="s">
        <v>2427</v>
      </c>
      <c r="J1500" s="100" t="s">
        <v>140</v>
      </c>
      <c r="K1500" s="91">
        <v>0</v>
      </c>
      <c r="L1500" s="91">
        <v>0</v>
      </c>
      <c r="M1500" s="92">
        <v>70</v>
      </c>
      <c r="N1500" s="94">
        <v>100</v>
      </c>
      <c r="O1500" s="253">
        <v>1</v>
      </c>
      <c r="P1500" s="94">
        <f t="shared" si="246"/>
        <v>100</v>
      </c>
      <c r="Q1500" s="94"/>
      <c r="R1500" s="92">
        <v>100</v>
      </c>
      <c r="S1500" s="92">
        <f t="shared" ref="S1500:S1563" si="247">P1500-R1500</f>
        <v>0</v>
      </c>
      <c r="T1500" s="173">
        <f t="shared" ref="T1500:T1563" si="248">((3600/M1500)*O1500)*24</f>
        <v>1234.2857142857142</v>
      </c>
      <c r="U1500" s="101">
        <f t="shared" ref="U1500:U1563" si="249">(P1500-R1500)*M1500/3600</f>
        <v>0</v>
      </c>
      <c r="V1500" s="101">
        <f t="shared" ref="V1500:V1563" si="250">(P1500-R1500)*M1500/3600/24</f>
        <v>0</v>
      </c>
      <c r="W1500" s="101">
        <v>0</v>
      </c>
      <c r="X1500" s="55">
        <f t="shared" ref="X1500:X1563" si="251">A1500+K1500+V1500+W1500+L1500</f>
        <v>46153.2</v>
      </c>
    </row>
    <row r="1501" spans="1:24" hidden="1" x14ac:dyDescent="0.35">
      <c r="A1501" s="46">
        <f t="shared" ref="A1501:A1564" si="252">X1500</f>
        <v>46153.2</v>
      </c>
      <c r="B1501" s="46"/>
      <c r="C1501" s="46"/>
      <c r="D1501" s="46"/>
      <c r="E1501" s="47" t="s">
        <v>64</v>
      </c>
      <c r="F1501" s="82" t="s">
        <v>2082</v>
      </c>
      <c r="G1501" s="82"/>
      <c r="H1501" s="98" t="s">
        <v>2428</v>
      </c>
      <c r="I1501" s="85" t="s">
        <v>834</v>
      </c>
      <c r="J1501" s="100" t="s">
        <v>140</v>
      </c>
      <c r="K1501" s="91">
        <v>0</v>
      </c>
      <c r="L1501" s="91">
        <v>0</v>
      </c>
      <c r="M1501" s="92">
        <v>70</v>
      </c>
      <c r="N1501" s="94">
        <v>2500</v>
      </c>
      <c r="O1501" s="253">
        <v>1</v>
      </c>
      <c r="P1501" s="94">
        <f t="shared" si="246"/>
        <v>2500</v>
      </c>
      <c r="Q1501" s="94"/>
      <c r="R1501" s="92">
        <v>2500</v>
      </c>
      <c r="S1501" s="92">
        <f t="shared" si="247"/>
        <v>0</v>
      </c>
      <c r="T1501" s="173">
        <f t="shared" si="248"/>
        <v>1234.2857142857142</v>
      </c>
      <c r="U1501" s="101">
        <f t="shared" si="249"/>
        <v>0</v>
      </c>
      <c r="V1501" s="101">
        <f t="shared" si="250"/>
        <v>0</v>
      </c>
      <c r="W1501" s="101">
        <v>0</v>
      </c>
      <c r="X1501" s="55">
        <f t="shared" si="251"/>
        <v>46153.2</v>
      </c>
    </row>
    <row r="1502" spans="1:24" hidden="1" x14ac:dyDescent="0.35">
      <c r="A1502" s="46">
        <f t="shared" si="252"/>
        <v>46153.2</v>
      </c>
      <c r="B1502" s="46"/>
      <c r="C1502" s="46"/>
      <c r="D1502" s="46"/>
      <c r="E1502" s="47" t="s">
        <v>64</v>
      </c>
      <c r="F1502" s="82" t="s">
        <v>2090</v>
      </c>
      <c r="G1502" s="82"/>
      <c r="H1502" s="98" t="s">
        <v>2429</v>
      </c>
      <c r="I1502" s="85" t="s">
        <v>834</v>
      </c>
      <c r="J1502" s="100" t="s">
        <v>140</v>
      </c>
      <c r="K1502" s="91">
        <v>0</v>
      </c>
      <c r="L1502" s="91">
        <v>0</v>
      </c>
      <c r="M1502" s="92">
        <v>70</v>
      </c>
      <c r="N1502" s="94">
        <v>200</v>
      </c>
      <c r="O1502" s="253">
        <v>1</v>
      </c>
      <c r="P1502" s="94">
        <f t="shared" si="246"/>
        <v>200</v>
      </c>
      <c r="Q1502" s="94"/>
      <c r="R1502" s="92">
        <v>200</v>
      </c>
      <c r="S1502" s="92">
        <f t="shared" si="247"/>
        <v>0</v>
      </c>
      <c r="T1502" s="173">
        <f t="shared" si="248"/>
        <v>1234.2857142857142</v>
      </c>
      <c r="U1502" s="101">
        <f t="shared" si="249"/>
        <v>0</v>
      </c>
      <c r="V1502" s="101">
        <f t="shared" si="250"/>
        <v>0</v>
      </c>
      <c r="W1502" s="101">
        <v>0</v>
      </c>
      <c r="X1502" s="55">
        <f t="shared" si="251"/>
        <v>46153.2</v>
      </c>
    </row>
    <row r="1503" spans="1:24" s="221" customFormat="1" hidden="1" x14ac:dyDescent="0.35">
      <c r="A1503" s="46">
        <f t="shared" si="252"/>
        <v>46153.2</v>
      </c>
      <c r="B1503" s="46"/>
      <c r="C1503" s="46"/>
      <c r="D1503" s="46"/>
      <c r="E1503" s="47" t="s">
        <v>64</v>
      </c>
      <c r="F1503" s="82" t="s">
        <v>2090</v>
      </c>
      <c r="G1503" s="82"/>
      <c r="H1503" s="98" t="s">
        <v>2430</v>
      </c>
      <c r="I1503" s="85" t="s">
        <v>832</v>
      </c>
      <c r="J1503" s="100" t="s">
        <v>140</v>
      </c>
      <c r="K1503" s="91">
        <v>0</v>
      </c>
      <c r="L1503" s="91">
        <v>0</v>
      </c>
      <c r="M1503" s="92">
        <v>70</v>
      </c>
      <c r="N1503" s="94">
        <v>200</v>
      </c>
      <c r="O1503" s="253">
        <v>1</v>
      </c>
      <c r="P1503" s="94">
        <f t="shared" si="246"/>
        <v>200</v>
      </c>
      <c r="Q1503" s="94"/>
      <c r="R1503" s="92">
        <v>200</v>
      </c>
      <c r="S1503" s="92">
        <f t="shared" si="247"/>
        <v>0</v>
      </c>
      <c r="T1503" s="173">
        <f t="shared" si="248"/>
        <v>1234.2857142857142</v>
      </c>
      <c r="U1503" s="101">
        <f t="shared" si="249"/>
        <v>0</v>
      </c>
      <c r="V1503" s="101">
        <f t="shared" si="250"/>
        <v>0</v>
      </c>
      <c r="W1503" s="101">
        <v>0</v>
      </c>
      <c r="X1503" s="55">
        <f t="shared" si="251"/>
        <v>46153.2</v>
      </c>
    </row>
    <row r="1504" spans="1:24" hidden="1" x14ac:dyDescent="0.35">
      <c r="A1504" s="46">
        <f t="shared" si="252"/>
        <v>46153.2</v>
      </c>
      <c r="B1504" s="46"/>
      <c r="C1504" s="46"/>
      <c r="D1504" s="46"/>
      <c r="E1504" s="47" t="s">
        <v>64</v>
      </c>
      <c r="F1504" s="97" t="s">
        <v>271</v>
      </c>
      <c r="G1504" s="97"/>
      <c r="H1504" s="340" t="s">
        <v>2431</v>
      </c>
      <c r="I1504" s="82" t="s">
        <v>470</v>
      </c>
      <c r="J1504" s="100" t="s">
        <v>140</v>
      </c>
      <c r="K1504" s="101">
        <v>0</v>
      </c>
      <c r="L1504" s="101">
        <v>0</v>
      </c>
      <c r="M1504" s="102">
        <v>187</v>
      </c>
      <c r="N1504" s="103">
        <v>2100</v>
      </c>
      <c r="O1504" s="171">
        <v>2</v>
      </c>
      <c r="P1504" s="103">
        <f t="shared" si="246"/>
        <v>1050</v>
      </c>
      <c r="Q1504" s="103"/>
      <c r="R1504" s="102">
        <v>1050</v>
      </c>
      <c r="S1504" s="102">
        <f t="shared" si="247"/>
        <v>0</v>
      </c>
      <c r="T1504" s="173">
        <f t="shared" si="248"/>
        <v>924.06417112299459</v>
      </c>
      <c r="U1504" s="101">
        <f t="shared" si="249"/>
        <v>0</v>
      </c>
      <c r="V1504" s="101">
        <f t="shared" si="250"/>
        <v>0</v>
      </c>
      <c r="W1504" s="101">
        <v>0</v>
      </c>
      <c r="X1504" s="55">
        <f t="shared" si="251"/>
        <v>46153.2</v>
      </c>
    </row>
    <row r="1505" spans="1:24" hidden="1" x14ac:dyDescent="0.35">
      <c r="A1505" s="46">
        <f t="shared" si="252"/>
        <v>46153.2</v>
      </c>
      <c r="B1505" s="46"/>
      <c r="C1505" s="46"/>
      <c r="D1505" s="46"/>
      <c r="E1505" s="47" t="s">
        <v>64</v>
      </c>
      <c r="F1505" s="97" t="s">
        <v>271</v>
      </c>
      <c r="G1505" s="97"/>
      <c r="H1505" s="98" t="s">
        <v>2432</v>
      </c>
      <c r="I1505" s="82" t="s">
        <v>470</v>
      </c>
      <c r="J1505" s="100" t="s">
        <v>140</v>
      </c>
      <c r="K1505" s="101">
        <v>0</v>
      </c>
      <c r="L1505" s="101">
        <v>0</v>
      </c>
      <c r="M1505" s="102">
        <v>187</v>
      </c>
      <c r="N1505" s="103">
        <v>480</v>
      </c>
      <c r="O1505" s="171">
        <v>2</v>
      </c>
      <c r="P1505" s="103">
        <f t="shared" si="246"/>
        <v>240</v>
      </c>
      <c r="Q1505" s="103"/>
      <c r="R1505" s="102">
        <v>240</v>
      </c>
      <c r="S1505" s="102">
        <f t="shared" si="247"/>
        <v>0</v>
      </c>
      <c r="T1505" s="173">
        <f t="shared" si="248"/>
        <v>924.06417112299459</v>
      </c>
      <c r="U1505" s="101">
        <f t="shared" si="249"/>
        <v>0</v>
      </c>
      <c r="V1505" s="101">
        <f t="shared" si="250"/>
        <v>0</v>
      </c>
      <c r="W1505" s="101">
        <v>0</v>
      </c>
      <c r="X1505" s="55">
        <f t="shared" si="251"/>
        <v>46153.2</v>
      </c>
    </row>
    <row r="1506" spans="1:24" s="221" customFormat="1" ht="26" hidden="1" x14ac:dyDescent="0.35">
      <c r="A1506" s="46">
        <f t="shared" si="252"/>
        <v>46153.2</v>
      </c>
      <c r="B1506" s="46"/>
      <c r="C1506" s="46"/>
      <c r="D1506" s="46"/>
      <c r="E1506" s="549" t="s">
        <v>64</v>
      </c>
      <c r="F1506" s="550" t="s">
        <v>2433</v>
      </c>
      <c r="G1506" s="550"/>
      <c r="H1506" s="551" t="s">
        <v>2434</v>
      </c>
      <c r="I1506" s="552" t="s">
        <v>2435</v>
      </c>
      <c r="J1506" s="553" t="s">
        <v>140</v>
      </c>
      <c r="K1506" s="554">
        <v>0</v>
      </c>
      <c r="L1506" s="554">
        <v>0</v>
      </c>
      <c r="M1506" s="555">
        <v>95</v>
      </c>
      <c r="N1506" s="556">
        <v>500</v>
      </c>
      <c r="O1506" s="557">
        <v>1</v>
      </c>
      <c r="P1506" s="556">
        <f t="shared" si="246"/>
        <v>500</v>
      </c>
      <c r="Q1506" s="556"/>
      <c r="R1506" s="555">
        <v>500</v>
      </c>
      <c r="S1506" s="555">
        <f t="shared" si="247"/>
        <v>0</v>
      </c>
      <c r="T1506" s="558">
        <f t="shared" si="248"/>
        <v>909.47368421052624</v>
      </c>
      <c r="U1506" s="554">
        <f t="shared" si="249"/>
        <v>0</v>
      </c>
      <c r="V1506" s="554">
        <f t="shared" si="250"/>
        <v>0</v>
      </c>
      <c r="W1506" s="554">
        <v>0</v>
      </c>
      <c r="X1506" s="55">
        <f t="shared" si="251"/>
        <v>46153.2</v>
      </c>
    </row>
    <row r="1507" spans="1:24" s="221" customFormat="1" ht="39" hidden="1" x14ac:dyDescent="0.35">
      <c r="A1507" s="46">
        <f t="shared" si="252"/>
        <v>46153.2</v>
      </c>
      <c r="B1507" s="46"/>
      <c r="C1507" s="46"/>
      <c r="D1507" s="46"/>
      <c r="E1507" s="47" t="s">
        <v>64</v>
      </c>
      <c r="F1507" s="82" t="s">
        <v>2436</v>
      </c>
      <c r="G1507" s="82"/>
      <c r="H1507" s="98" t="s">
        <v>2437</v>
      </c>
      <c r="I1507" s="239" t="s">
        <v>2438</v>
      </c>
      <c r="J1507" s="51" t="s">
        <v>140</v>
      </c>
      <c r="K1507" s="91">
        <v>0</v>
      </c>
      <c r="L1507" s="91">
        <v>0</v>
      </c>
      <c r="M1507" s="92">
        <v>95</v>
      </c>
      <c r="N1507" s="94">
        <v>900</v>
      </c>
      <c r="O1507" s="253">
        <v>1</v>
      </c>
      <c r="P1507" s="94">
        <f t="shared" si="246"/>
        <v>900</v>
      </c>
      <c r="Q1507" s="94"/>
      <c r="R1507" s="92">
        <v>900</v>
      </c>
      <c r="S1507" s="92">
        <f t="shared" si="247"/>
        <v>0</v>
      </c>
      <c r="T1507" s="254">
        <f t="shared" si="248"/>
        <v>909.47368421052624</v>
      </c>
      <c r="U1507" s="91">
        <f t="shared" si="249"/>
        <v>0</v>
      </c>
      <c r="V1507" s="91">
        <f t="shared" si="250"/>
        <v>0</v>
      </c>
      <c r="W1507" s="91">
        <v>0</v>
      </c>
      <c r="X1507" s="55">
        <f t="shared" si="251"/>
        <v>46153.2</v>
      </c>
    </row>
    <row r="1508" spans="1:24" s="221" customFormat="1" ht="26" hidden="1" x14ac:dyDescent="0.35">
      <c r="A1508" s="46">
        <f t="shared" si="252"/>
        <v>46153.2</v>
      </c>
      <c r="B1508" s="46"/>
      <c r="C1508" s="46"/>
      <c r="D1508" s="46"/>
      <c r="E1508" s="47" t="s">
        <v>64</v>
      </c>
      <c r="F1508" s="82" t="s">
        <v>2436</v>
      </c>
      <c r="G1508" s="82"/>
      <c r="H1508" s="98" t="s">
        <v>2439</v>
      </c>
      <c r="I1508" s="239" t="s">
        <v>2440</v>
      </c>
      <c r="J1508" s="51" t="s">
        <v>140</v>
      </c>
      <c r="K1508" s="91">
        <v>0</v>
      </c>
      <c r="L1508" s="91">
        <v>0</v>
      </c>
      <c r="M1508" s="92">
        <v>95</v>
      </c>
      <c r="N1508" s="94">
        <v>900</v>
      </c>
      <c r="O1508" s="253">
        <v>1</v>
      </c>
      <c r="P1508" s="94">
        <f t="shared" si="246"/>
        <v>900</v>
      </c>
      <c r="Q1508" s="94"/>
      <c r="R1508" s="92">
        <v>900</v>
      </c>
      <c r="S1508" s="92">
        <f t="shared" si="247"/>
        <v>0</v>
      </c>
      <c r="T1508" s="254">
        <f t="shared" si="248"/>
        <v>909.47368421052624</v>
      </c>
      <c r="U1508" s="91">
        <f t="shared" si="249"/>
        <v>0</v>
      </c>
      <c r="V1508" s="91">
        <f t="shared" si="250"/>
        <v>0</v>
      </c>
      <c r="W1508" s="91">
        <v>0</v>
      </c>
      <c r="X1508" s="55">
        <f t="shared" si="251"/>
        <v>46153.2</v>
      </c>
    </row>
    <row r="1509" spans="1:24" s="221" customFormat="1" ht="26" hidden="1" x14ac:dyDescent="0.35">
      <c r="A1509" s="46">
        <f t="shared" si="252"/>
        <v>46153.2</v>
      </c>
      <c r="B1509" s="46"/>
      <c r="C1509" s="46"/>
      <c r="D1509" s="46"/>
      <c r="E1509" s="47" t="s">
        <v>64</v>
      </c>
      <c r="F1509" s="82" t="s">
        <v>2441</v>
      </c>
      <c r="G1509" s="82"/>
      <c r="H1509" s="98" t="s">
        <v>2442</v>
      </c>
      <c r="I1509" s="239" t="s">
        <v>2443</v>
      </c>
      <c r="J1509" s="51" t="s">
        <v>140</v>
      </c>
      <c r="K1509" s="91">
        <v>0</v>
      </c>
      <c r="L1509" s="91">
        <v>0</v>
      </c>
      <c r="M1509" s="92">
        <v>95</v>
      </c>
      <c r="N1509" s="94">
        <v>250</v>
      </c>
      <c r="O1509" s="253">
        <v>1</v>
      </c>
      <c r="P1509" s="94">
        <f t="shared" si="246"/>
        <v>250</v>
      </c>
      <c r="Q1509" s="94"/>
      <c r="R1509" s="92">
        <v>250</v>
      </c>
      <c r="S1509" s="92">
        <f t="shared" si="247"/>
        <v>0</v>
      </c>
      <c r="T1509" s="254">
        <f t="shared" si="248"/>
        <v>909.47368421052624</v>
      </c>
      <c r="U1509" s="91">
        <f t="shared" si="249"/>
        <v>0</v>
      </c>
      <c r="V1509" s="91">
        <f t="shared" si="250"/>
        <v>0</v>
      </c>
      <c r="W1509" s="91">
        <v>0</v>
      </c>
      <c r="X1509" s="55">
        <f t="shared" si="251"/>
        <v>46153.2</v>
      </c>
    </row>
    <row r="1510" spans="1:24" s="221" customFormat="1" ht="39" hidden="1" x14ac:dyDescent="0.35">
      <c r="A1510" s="46">
        <f t="shared" si="252"/>
        <v>46153.2</v>
      </c>
      <c r="B1510" s="46"/>
      <c r="C1510" s="46"/>
      <c r="D1510" s="46"/>
      <c r="E1510" s="47" t="s">
        <v>64</v>
      </c>
      <c r="F1510" s="82" t="s">
        <v>2444</v>
      </c>
      <c r="G1510" s="82"/>
      <c r="H1510" s="98" t="s">
        <v>2445</v>
      </c>
      <c r="I1510" s="239" t="s">
        <v>2446</v>
      </c>
      <c r="J1510" s="51" t="s">
        <v>140</v>
      </c>
      <c r="K1510" s="91">
        <v>0</v>
      </c>
      <c r="L1510" s="91">
        <v>0</v>
      </c>
      <c r="M1510" s="92">
        <v>95</v>
      </c>
      <c r="N1510" s="94">
        <v>500</v>
      </c>
      <c r="O1510" s="253">
        <v>1</v>
      </c>
      <c r="P1510" s="94">
        <f t="shared" si="246"/>
        <v>500</v>
      </c>
      <c r="Q1510" s="94"/>
      <c r="R1510" s="92">
        <v>500</v>
      </c>
      <c r="S1510" s="92">
        <f t="shared" si="247"/>
        <v>0</v>
      </c>
      <c r="T1510" s="254">
        <f t="shared" si="248"/>
        <v>909.47368421052624</v>
      </c>
      <c r="U1510" s="91">
        <f t="shared" si="249"/>
        <v>0</v>
      </c>
      <c r="V1510" s="91">
        <f t="shared" si="250"/>
        <v>0</v>
      </c>
      <c r="W1510" s="91">
        <v>0</v>
      </c>
      <c r="X1510" s="55">
        <f t="shared" si="251"/>
        <v>46153.2</v>
      </c>
    </row>
    <row r="1511" spans="1:24" s="221" customFormat="1" ht="26" hidden="1" x14ac:dyDescent="0.35">
      <c r="A1511" s="46">
        <f t="shared" si="252"/>
        <v>46153.2</v>
      </c>
      <c r="B1511" s="46"/>
      <c r="C1511" s="46"/>
      <c r="D1511" s="46"/>
      <c r="E1511" s="47" t="s">
        <v>64</v>
      </c>
      <c r="F1511" s="82" t="s">
        <v>2447</v>
      </c>
      <c r="G1511" s="82"/>
      <c r="H1511" s="98" t="s">
        <v>2448</v>
      </c>
      <c r="I1511" s="239" t="s">
        <v>2449</v>
      </c>
      <c r="J1511" s="51" t="s">
        <v>140</v>
      </c>
      <c r="K1511" s="91">
        <v>0</v>
      </c>
      <c r="L1511" s="91">
        <v>0</v>
      </c>
      <c r="M1511" s="92">
        <v>95</v>
      </c>
      <c r="N1511" s="94">
        <v>150</v>
      </c>
      <c r="O1511" s="253">
        <v>1</v>
      </c>
      <c r="P1511" s="94">
        <f t="shared" si="246"/>
        <v>150</v>
      </c>
      <c r="Q1511" s="94"/>
      <c r="R1511" s="92">
        <v>150</v>
      </c>
      <c r="S1511" s="92">
        <f t="shared" si="247"/>
        <v>0</v>
      </c>
      <c r="T1511" s="254">
        <f t="shared" si="248"/>
        <v>909.47368421052624</v>
      </c>
      <c r="U1511" s="91">
        <f t="shared" si="249"/>
        <v>0</v>
      </c>
      <c r="V1511" s="91">
        <f t="shared" si="250"/>
        <v>0</v>
      </c>
      <c r="W1511" s="91">
        <v>0</v>
      </c>
      <c r="X1511" s="55">
        <f t="shared" si="251"/>
        <v>46153.2</v>
      </c>
    </row>
    <row r="1512" spans="1:24" s="221" customFormat="1" ht="26" hidden="1" x14ac:dyDescent="0.35">
      <c r="A1512" s="46">
        <f t="shared" si="252"/>
        <v>46153.2</v>
      </c>
      <c r="B1512" s="46"/>
      <c r="C1512" s="46"/>
      <c r="D1512" s="46"/>
      <c r="E1512" s="47" t="s">
        <v>64</v>
      </c>
      <c r="F1512" s="82" t="s">
        <v>2447</v>
      </c>
      <c r="G1512" s="82"/>
      <c r="H1512" s="98" t="s">
        <v>2450</v>
      </c>
      <c r="I1512" s="239" t="s">
        <v>2451</v>
      </c>
      <c r="J1512" s="51" t="s">
        <v>140</v>
      </c>
      <c r="K1512" s="91">
        <v>0</v>
      </c>
      <c r="L1512" s="91">
        <v>0</v>
      </c>
      <c r="M1512" s="92">
        <v>95</v>
      </c>
      <c r="N1512" s="94">
        <v>350</v>
      </c>
      <c r="O1512" s="253">
        <v>1</v>
      </c>
      <c r="P1512" s="94">
        <f t="shared" si="246"/>
        <v>350</v>
      </c>
      <c r="Q1512" s="94"/>
      <c r="R1512" s="92">
        <v>350</v>
      </c>
      <c r="S1512" s="92">
        <f t="shared" si="247"/>
        <v>0</v>
      </c>
      <c r="T1512" s="254">
        <f t="shared" si="248"/>
        <v>909.47368421052624</v>
      </c>
      <c r="U1512" s="91">
        <f t="shared" si="249"/>
        <v>0</v>
      </c>
      <c r="V1512" s="91">
        <f t="shared" si="250"/>
        <v>0</v>
      </c>
      <c r="W1512" s="91">
        <v>0</v>
      </c>
      <c r="X1512" s="55">
        <f t="shared" si="251"/>
        <v>46153.2</v>
      </c>
    </row>
    <row r="1513" spans="1:24" s="221" customFormat="1" hidden="1" x14ac:dyDescent="0.35">
      <c r="A1513" s="46">
        <f t="shared" si="252"/>
        <v>46153.2</v>
      </c>
      <c r="B1513" s="46"/>
      <c r="C1513" s="46"/>
      <c r="D1513" s="46"/>
      <c r="E1513" s="47" t="s">
        <v>64</v>
      </c>
      <c r="F1513" s="97" t="s">
        <v>271</v>
      </c>
      <c r="G1513" s="97"/>
      <c r="H1513" s="98" t="s">
        <v>2432</v>
      </c>
      <c r="I1513" s="82" t="s">
        <v>470</v>
      </c>
      <c r="J1513" s="100" t="s">
        <v>140</v>
      </c>
      <c r="K1513" s="101">
        <v>0</v>
      </c>
      <c r="L1513" s="101">
        <v>0</v>
      </c>
      <c r="M1513" s="102">
        <v>187</v>
      </c>
      <c r="N1513" s="103">
        <v>1440</v>
      </c>
      <c r="O1513" s="171">
        <v>2</v>
      </c>
      <c r="P1513" s="103">
        <f t="shared" si="246"/>
        <v>720</v>
      </c>
      <c r="Q1513" s="103"/>
      <c r="R1513" s="102">
        <v>720</v>
      </c>
      <c r="S1513" s="102">
        <f t="shared" si="247"/>
        <v>0</v>
      </c>
      <c r="T1513" s="173">
        <f t="shared" si="248"/>
        <v>924.06417112299459</v>
      </c>
      <c r="U1513" s="101">
        <f t="shared" si="249"/>
        <v>0</v>
      </c>
      <c r="V1513" s="101">
        <f t="shared" si="250"/>
        <v>0</v>
      </c>
      <c r="W1513" s="52">
        <v>0</v>
      </c>
      <c r="X1513" s="55">
        <f t="shared" si="251"/>
        <v>46153.2</v>
      </c>
    </row>
    <row r="1514" spans="1:24" hidden="1" x14ac:dyDescent="0.35">
      <c r="A1514" s="46">
        <f t="shared" si="252"/>
        <v>46153.2</v>
      </c>
      <c r="B1514" s="46"/>
      <c r="C1514" s="46"/>
      <c r="D1514" s="46"/>
      <c r="E1514" s="195" t="s">
        <v>64</v>
      </c>
      <c r="F1514" s="112" t="s">
        <v>271</v>
      </c>
      <c r="G1514" s="112"/>
      <c r="H1514" s="113" t="s">
        <v>2452</v>
      </c>
      <c r="I1514" s="196" t="s">
        <v>470</v>
      </c>
      <c r="J1514" s="114" t="s">
        <v>140</v>
      </c>
      <c r="K1514" s="115">
        <v>0</v>
      </c>
      <c r="L1514" s="115">
        <v>0</v>
      </c>
      <c r="M1514" s="116">
        <v>187</v>
      </c>
      <c r="N1514" s="117">
        <v>2142</v>
      </c>
      <c r="O1514" s="269">
        <v>2</v>
      </c>
      <c r="P1514" s="117">
        <f t="shared" si="246"/>
        <v>1071</v>
      </c>
      <c r="Q1514" s="117"/>
      <c r="R1514" s="116">
        <v>1071</v>
      </c>
      <c r="S1514" s="116">
        <f t="shared" si="247"/>
        <v>0</v>
      </c>
      <c r="T1514" s="200">
        <f t="shared" si="248"/>
        <v>924.06417112299459</v>
      </c>
      <c r="U1514" s="115">
        <f t="shared" si="249"/>
        <v>0</v>
      </c>
      <c r="V1514" s="115">
        <f t="shared" si="250"/>
        <v>0</v>
      </c>
      <c r="W1514" s="559">
        <v>0</v>
      </c>
      <c r="X1514" s="55">
        <f t="shared" si="251"/>
        <v>46153.2</v>
      </c>
    </row>
    <row r="1515" spans="1:24" ht="26.5" hidden="1" x14ac:dyDescent="0.35">
      <c r="A1515" s="46">
        <f t="shared" si="252"/>
        <v>46153.2</v>
      </c>
      <c r="B1515" s="46"/>
      <c r="C1515" s="46"/>
      <c r="D1515" s="46"/>
      <c r="E1515" s="47" t="s">
        <v>64</v>
      </c>
      <c r="F1515" s="48" t="s">
        <v>1747</v>
      </c>
      <c r="G1515" s="48"/>
      <c r="H1515" s="49" t="s">
        <v>2453</v>
      </c>
      <c r="I1515" s="82" t="s">
        <v>164</v>
      </c>
      <c r="J1515" s="51" t="s">
        <v>140</v>
      </c>
      <c r="K1515" s="52">
        <v>0</v>
      </c>
      <c r="L1515" s="52">
        <v>0</v>
      </c>
      <c r="M1515" s="53">
        <v>120</v>
      </c>
      <c r="N1515" s="54">
        <v>3000</v>
      </c>
      <c r="O1515" s="341">
        <v>1</v>
      </c>
      <c r="P1515" s="54">
        <f t="shared" si="246"/>
        <v>3000</v>
      </c>
      <c r="Q1515" s="54"/>
      <c r="R1515" s="92">
        <v>3000</v>
      </c>
      <c r="S1515" s="53">
        <f t="shared" si="247"/>
        <v>0</v>
      </c>
      <c r="T1515" s="343">
        <f t="shared" si="248"/>
        <v>720</v>
      </c>
      <c r="U1515" s="52">
        <f t="shared" si="249"/>
        <v>0</v>
      </c>
      <c r="V1515" s="52">
        <f t="shared" si="250"/>
        <v>0</v>
      </c>
      <c r="W1515" s="52">
        <v>0</v>
      </c>
      <c r="X1515" s="55">
        <f t="shared" si="251"/>
        <v>46153.2</v>
      </c>
    </row>
    <row r="1516" spans="1:24" hidden="1" x14ac:dyDescent="0.35">
      <c r="A1516" s="46">
        <f t="shared" si="252"/>
        <v>46153.2</v>
      </c>
      <c r="B1516" s="46"/>
      <c r="C1516" s="46"/>
      <c r="D1516" s="46"/>
      <c r="E1516" s="47" t="s">
        <v>64</v>
      </c>
      <c r="F1516" s="97" t="s">
        <v>271</v>
      </c>
      <c r="G1516" s="97"/>
      <c r="H1516" s="98" t="s">
        <v>2452</v>
      </c>
      <c r="I1516" s="82" t="s">
        <v>470</v>
      </c>
      <c r="J1516" s="100" t="s">
        <v>140</v>
      </c>
      <c r="K1516" s="101">
        <v>0</v>
      </c>
      <c r="L1516" s="101">
        <v>0</v>
      </c>
      <c r="M1516" s="102">
        <v>187</v>
      </c>
      <c r="N1516" s="103">
        <v>2178</v>
      </c>
      <c r="O1516" s="171">
        <v>2</v>
      </c>
      <c r="P1516" s="103">
        <f t="shared" si="246"/>
        <v>1089</v>
      </c>
      <c r="Q1516" s="103"/>
      <c r="R1516" s="102">
        <v>1089</v>
      </c>
      <c r="S1516" s="102">
        <f t="shared" si="247"/>
        <v>0</v>
      </c>
      <c r="T1516" s="173">
        <f t="shared" si="248"/>
        <v>924.06417112299459</v>
      </c>
      <c r="U1516" s="101">
        <f t="shared" si="249"/>
        <v>0</v>
      </c>
      <c r="V1516" s="101">
        <f t="shared" si="250"/>
        <v>0</v>
      </c>
      <c r="W1516" s="560">
        <v>0</v>
      </c>
      <c r="X1516" s="55">
        <f t="shared" si="251"/>
        <v>46153.2</v>
      </c>
    </row>
    <row r="1517" spans="1:24" hidden="1" x14ac:dyDescent="0.35">
      <c r="A1517" s="46">
        <f t="shared" si="252"/>
        <v>46153.2</v>
      </c>
      <c r="B1517" s="46"/>
      <c r="C1517" s="46"/>
      <c r="D1517" s="46"/>
      <c r="E1517" s="47" t="s">
        <v>64</v>
      </c>
      <c r="F1517" s="97" t="s">
        <v>271</v>
      </c>
      <c r="G1517" s="97"/>
      <c r="H1517" s="98" t="s">
        <v>1125</v>
      </c>
      <c r="I1517" s="82" t="s">
        <v>470</v>
      </c>
      <c r="J1517" s="100" t="s">
        <v>140</v>
      </c>
      <c r="K1517" s="101">
        <v>0</v>
      </c>
      <c r="L1517" s="101">
        <v>0</v>
      </c>
      <c r="M1517" s="102">
        <v>187</v>
      </c>
      <c r="N1517" s="103">
        <v>3120</v>
      </c>
      <c r="O1517" s="171">
        <v>2</v>
      </c>
      <c r="P1517" s="103">
        <f t="shared" si="246"/>
        <v>1560</v>
      </c>
      <c r="Q1517" s="103"/>
      <c r="R1517" s="102">
        <v>1560</v>
      </c>
      <c r="S1517" s="102">
        <f t="shared" si="247"/>
        <v>0</v>
      </c>
      <c r="T1517" s="173">
        <f t="shared" si="248"/>
        <v>924.06417112299459</v>
      </c>
      <c r="U1517" s="101">
        <f t="shared" si="249"/>
        <v>0</v>
      </c>
      <c r="V1517" s="101">
        <f t="shared" si="250"/>
        <v>0</v>
      </c>
      <c r="W1517" s="52">
        <v>0</v>
      </c>
      <c r="X1517" s="55">
        <f t="shared" si="251"/>
        <v>46153.2</v>
      </c>
    </row>
    <row r="1518" spans="1:24" s="118" customFormat="1" hidden="1" x14ac:dyDescent="0.35">
      <c r="A1518" s="46">
        <f t="shared" si="252"/>
        <v>46153.2</v>
      </c>
      <c r="B1518" s="46"/>
      <c r="C1518" s="46"/>
      <c r="D1518" s="46"/>
      <c r="E1518" s="47" t="s">
        <v>64</v>
      </c>
      <c r="F1518" s="82" t="s">
        <v>2097</v>
      </c>
      <c r="G1518" s="82"/>
      <c r="H1518" s="334" t="s">
        <v>2454</v>
      </c>
      <c r="I1518" s="73" t="s">
        <v>1073</v>
      </c>
      <c r="J1518" s="170" t="s">
        <v>140</v>
      </c>
      <c r="K1518" s="84">
        <v>0</v>
      </c>
      <c r="L1518" s="84">
        <v>0</v>
      </c>
      <c r="M1518" s="102">
        <v>65</v>
      </c>
      <c r="N1518" s="103">
        <v>500</v>
      </c>
      <c r="O1518" s="171">
        <v>1</v>
      </c>
      <c r="P1518" s="103">
        <f t="shared" si="246"/>
        <v>500</v>
      </c>
      <c r="Q1518" s="103"/>
      <c r="R1518" s="102">
        <v>500</v>
      </c>
      <c r="S1518" s="102">
        <f t="shared" si="247"/>
        <v>0</v>
      </c>
      <c r="T1518" s="173">
        <f t="shared" si="248"/>
        <v>1329.2307692307693</v>
      </c>
      <c r="U1518" s="101">
        <f t="shared" si="249"/>
        <v>0</v>
      </c>
      <c r="V1518" s="101">
        <f t="shared" si="250"/>
        <v>0</v>
      </c>
      <c r="W1518" s="101">
        <v>0</v>
      </c>
      <c r="X1518" s="55">
        <f t="shared" si="251"/>
        <v>46153.2</v>
      </c>
    </row>
    <row r="1519" spans="1:24" s="118" customFormat="1" hidden="1" x14ac:dyDescent="0.35">
      <c r="A1519" s="46">
        <f t="shared" si="252"/>
        <v>46153.2</v>
      </c>
      <c r="B1519" s="46"/>
      <c r="C1519" s="46"/>
      <c r="D1519" s="46"/>
      <c r="E1519" s="47" t="s">
        <v>64</v>
      </c>
      <c r="F1519" s="82" t="s">
        <v>2099</v>
      </c>
      <c r="G1519" s="82"/>
      <c r="H1519" s="334" t="s">
        <v>2455</v>
      </c>
      <c r="I1519" s="73" t="s">
        <v>348</v>
      </c>
      <c r="J1519" s="170" t="s">
        <v>140</v>
      </c>
      <c r="K1519" s="84">
        <v>0</v>
      </c>
      <c r="L1519" s="84">
        <v>0</v>
      </c>
      <c r="M1519" s="102">
        <v>65</v>
      </c>
      <c r="N1519" s="103">
        <v>100</v>
      </c>
      <c r="O1519" s="171">
        <v>1</v>
      </c>
      <c r="P1519" s="103">
        <f t="shared" si="246"/>
        <v>100</v>
      </c>
      <c r="Q1519" s="103"/>
      <c r="R1519" s="102">
        <v>100</v>
      </c>
      <c r="S1519" s="102">
        <f t="shared" si="247"/>
        <v>0</v>
      </c>
      <c r="T1519" s="173">
        <f t="shared" si="248"/>
        <v>1329.2307692307693</v>
      </c>
      <c r="U1519" s="101">
        <f t="shared" si="249"/>
        <v>0</v>
      </c>
      <c r="V1519" s="101">
        <f t="shared" si="250"/>
        <v>0</v>
      </c>
      <c r="W1519" s="52">
        <v>0</v>
      </c>
      <c r="X1519" s="55">
        <f t="shared" si="251"/>
        <v>46153.2</v>
      </c>
    </row>
    <row r="1520" spans="1:24" s="118" customFormat="1" hidden="1" x14ac:dyDescent="0.35">
      <c r="A1520" s="46">
        <f t="shared" si="252"/>
        <v>46153.2</v>
      </c>
      <c r="B1520" s="46"/>
      <c r="C1520" s="46"/>
      <c r="D1520" s="46"/>
      <c r="E1520" s="47" t="s">
        <v>64</v>
      </c>
      <c r="F1520" s="82" t="s">
        <v>2093</v>
      </c>
      <c r="G1520" s="82"/>
      <c r="H1520" s="98" t="s">
        <v>2456</v>
      </c>
      <c r="I1520" s="73" t="s">
        <v>351</v>
      </c>
      <c r="J1520" s="100" t="s">
        <v>140</v>
      </c>
      <c r="K1520" s="84">
        <v>0</v>
      </c>
      <c r="L1520" s="84">
        <v>0</v>
      </c>
      <c r="M1520" s="83">
        <v>65</v>
      </c>
      <c r="N1520" s="223">
        <v>250</v>
      </c>
      <c r="O1520" s="314">
        <v>1</v>
      </c>
      <c r="P1520" s="223">
        <f t="shared" si="246"/>
        <v>250</v>
      </c>
      <c r="Q1520" s="223"/>
      <c r="R1520" s="102">
        <v>250</v>
      </c>
      <c r="S1520" s="83">
        <f t="shared" si="247"/>
        <v>0</v>
      </c>
      <c r="T1520" s="315">
        <f t="shared" si="248"/>
        <v>1329.2307692307693</v>
      </c>
      <c r="U1520" s="84">
        <f t="shared" si="249"/>
        <v>0</v>
      </c>
      <c r="V1520" s="84">
        <f t="shared" si="250"/>
        <v>0</v>
      </c>
      <c r="W1520" s="84">
        <v>0</v>
      </c>
      <c r="X1520" s="55">
        <f t="shared" si="251"/>
        <v>46153.2</v>
      </c>
    </row>
    <row r="1521" spans="1:24" s="118" customFormat="1" hidden="1" x14ac:dyDescent="0.35">
      <c r="A1521" s="46">
        <f t="shared" si="252"/>
        <v>46153.2</v>
      </c>
      <c r="B1521" s="46"/>
      <c r="C1521" s="46"/>
      <c r="D1521" s="46"/>
      <c r="E1521" s="47" t="s">
        <v>64</v>
      </c>
      <c r="F1521" s="82" t="s">
        <v>2095</v>
      </c>
      <c r="G1521" s="82"/>
      <c r="H1521" s="98" t="s">
        <v>2457</v>
      </c>
      <c r="I1521" s="71" t="s">
        <v>1066</v>
      </c>
      <c r="J1521" s="100" t="s">
        <v>140</v>
      </c>
      <c r="K1521" s="101">
        <v>0</v>
      </c>
      <c r="L1521" s="101">
        <v>0</v>
      </c>
      <c r="M1521" s="102">
        <v>65</v>
      </c>
      <c r="N1521" s="103">
        <v>620</v>
      </c>
      <c r="O1521" s="171">
        <v>1</v>
      </c>
      <c r="P1521" s="103">
        <f t="shared" si="246"/>
        <v>620</v>
      </c>
      <c r="Q1521" s="103"/>
      <c r="R1521" s="102">
        <v>620</v>
      </c>
      <c r="S1521" s="102">
        <f t="shared" si="247"/>
        <v>0</v>
      </c>
      <c r="T1521" s="173">
        <f t="shared" si="248"/>
        <v>1329.2307692307693</v>
      </c>
      <c r="U1521" s="101">
        <f t="shared" si="249"/>
        <v>0</v>
      </c>
      <c r="V1521" s="101">
        <f t="shared" si="250"/>
        <v>0</v>
      </c>
      <c r="W1521" s="101">
        <v>0</v>
      </c>
      <c r="X1521" s="55">
        <f t="shared" si="251"/>
        <v>46153.2</v>
      </c>
    </row>
    <row r="1522" spans="1:24" s="118" customFormat="1" hidden="1" x14ac:dyDescent="0.35">
      <c r="A1522" s="46">
        <f t="shared" si="252"/>
        <v>46153.2</v>
      </c>
      <c r="B1522" s="46"/>
      <c r="C1522" s="46"/>
      <c r="D1522" s="46"/>
      <c r="E1522" s="47" t="s">
        <v>64</v>
      </c>
      <c r="F1522" s="82" t="s">
        <v>2101</v>
      </c>
      <c r="G1522" s="82"/>
      <c r="H1522" s="326" t="s">
        <v>2458</v>
      </c>
      <c r="I1522" s="73" t="s">
        <v>2103</v>
      </c>
      <c r="J1522" s="170" t="s">
        <v>140</v>
      </c>
      <c r="K1522" s="84">
        <v>0</v>
      </c>
      <c r="L1522" s="84">
        <v>0</v>
      </c>
      <c r="M1522" s="83">
        <v>65</v>
      </c>
      <c r="N1522" s="223">
        <v>100</v>
      </c>
      <c r="O1522" s="314">
        <v>1</v>
      </c>
      <c r="P1522" s="223">
        <f t="shared" si="246"/>
        <v>100</v>
      </c>
      <c r="Q1522" s="223"/>
      <c r="R1522" s="102">
        <v>100</v>
      </c>
      <c r="S1522" s="83">
        <f t="shared" si="247"/>
        <v>0</v>
      </c>
      <c r="T1522" s="315">
        <f t="shared" si="248"/>
        <v>1329.2307692307693</v>
      </c>
      <c r="U1522" s="84">
        <f t="shared" si="249"/>
        <v>0</v>
      </c>
      <c r="V1522" s="84">
        <f t="shared" si="250"/>
        <v>0</v>
      </c>
      <c r="W1522" s="84">
        <v>0</v>
      </c>
      <c r="X1522" s="55">
        <f t="shared" si="251"/>
        <v>46153.2</v>
      </c>
    </row>
    <row r="1523" spans="1:24" s="118" customFormat="1" hidden="1" x14ac:dyDescent="0.35">
      <c r="A1523" s="46">
        <f t="shared" si="252"/>
        <v>46153.2</v>
      </c>
      <c r="B1523" s="46"/>
      <c r="C1523" s="46"/>
      <c r="D1523" s="46"/>
      <c r="E1523" s="47" t="s">
        <v>64</v>
      </c>
      <c r="F1523" s="82" t="s">
        <v>2459</v>
      </c>
      <c r="G1523" s="82"/>
      <c r="H1523" s="334" t="s">
        <v>2460</v>
      </c>
      <c r="I1523" s="73" t="s">
        <v>1073</v>
      </c>
      <c r="J1523" s="170" t="s">
        <v>140</v>
      </c>
      <c r="K1523" s="84">
        <v>0</v>
      </c>
      <c r="L1523" s="84">
        <v>0</v>
      </c>
      <c r="M1523" s="102">
        <v>65</v>
      </c>
      <c r="N1523" s="103">
        <v>180</v>
      </c>
      <c r="O1523" s="171">
        <v>1</v>
      </c>
      <c r="P1523" s="103">
        <f t="shared" si="246"/>
        <v>180</v>
      </c>
      <c r="Q1523" s="103"/>
      <c r="R1523" s="102">
        <v>180</v>
      </c>
      <c r="S1523" s="102">
        <f t="shared" si="247"/>
        <v>0</v>
      </c>
      <c r="T1523" s="173">
        <f t="shared" si="248"/>
        <v>1329.2307692307693</v>
      </c>
      <c r="U1523" s="101">
        <f t="shared" si="249"/>
        <v>0</v>
      </c>
      <c r="V1523" s="101">
        <f t="shared" si="250"/>
        <v>0</v>
      </c>
      <c r="W1523" s="101">
        <v>0</v>
      </c>
      <c r="X1523" s="55">
        <f t="shared" si="251"/>
        <v>46153.2</v>
      </c>
    </row>
    <row r="1524" spans="1:24" hidden="1" x14ac:dyDescent="0.35">
      <c r="A1524" s="46">
        <f t="shared" si="252"/>
        <v>46153.2</v>
      </c>
      <c r="B1524" s="46"/>
      <c r="C1524" s="46"/>
      <c r="D1524" s="46"/>
      <c r="E1524" s="47" t="s">
        <v>64</v>
      </c>
      <c r="F1524" s="56" t="s">
        <v>2461</v>
      </c>
      <c r="G1524" s="56"/>
      <c r="H1524" s="49" t="s">
        <v>2462</v>
      </c>
      <c r="I1524" s="99" t="s">
        <v>160</v>
      </c>
      <c r="J1524" s="51" t="s">
        <v>140</v>
      </c>
      <c r="K1524" s="52">
        <v>0</v>
      </c>
      <c r="L1524" s="52">
        <v>0</v>
      </c>
      <c r="M1524" s="53">
        <v>50</v>
      </c>
      <c r="N1524" s="54">
        <v>5290</v>
      </c>
      <c r="O1524" s="341">
        <v>1</v>
      </c>
      <c r="P1524" s="103">
        <f t="shared" si="246"/>
        <v>5290</v>
      </c>
      <c r="Q1524" s="103"/>
      <c r="R1524" s="92">
        <v>5290</v>
      </c>
      <c r="S1524" s="53">
        <f t="shared" si="247"/>
        <v>0</v>
      </c>
      <c r="T1524" s="343">
        <f t="shared" si="248"/>
        <v>1728</v>
      </c>
      <c r="U1524" s="52">
        <f t="shared" si="249"/>
        <v>0</v>
      </c>
      <c r="V1524" s="52">
        <f t="shared" si="250"/>
        <v>0</v>
      </c>
      <c r="W1524" s="52">
        <v>0</v>
      </c>
      <c r="X1524" s="55">
        <f t="shared" si="251"/>
        <v>46153.2</v>
      </c>
    </row>
    <row r="1525" spans="1:24" hidden="1" x14ac:dyDescent="0.35">
      <c r="A1525" s="46">
        <f t="shared" si="252"/>
        <v>46153.2</v>
      </c>
      <c r="B1525" s="46"/>
      <c r="C1525" s="46"/>
      <c r="D1525" s="46"/>
      <c r="E1525" s="47" t="s">
        <v>64</v>
      </c>
      <c r="F1525" s="56" t="s">
        <v>246</v>
      </c>
      <c r="G1525" s="56"/>
      <c r="H1525" s="49" t="s">
        <v>2463</v>
      </c>
      <c r="I1525" s="99" t="s">
        <v>160</v>
      </c>
      <c r="J1525" s="51" t="s">
        <v>140</v>
      </c>
      <c r="K1525" s="52">
        <v>0</v>
      </c>
      <c r="L1525" s="52">
        <v>0</v>
      </c>
      <c r="M1525" s="53">
        <v>50</v>
      </c>
      <c r="N1525" s="54">
        <v>300</v>
      </c>
      <c r="O1525" s="341">
        <v>1</v>
      </c>
      <c r="P1525" s="103">
        <f t="shared" si="246"/>
        <v>300</v>
      </c>
      <c r="Q1525" s="103"/>
      <c r="R1525" s="92">
        <v>300</v>
      </c>
      <c r="S1525" s="53">
        <f t="shared" si="247"/>
        <v>0</v>
      </c>
      <c r="T1525" s="343">
        <f t="shared" si="248"/>
        <v>1728</v>
      </c>
      <c r="U1525" s="52">
        <f t="shared" si="249"/>
        <v>0</v>
      </c>
      <c r="V1525" s="52">
        <f t="shared" si="250"/>
        <v>0</v>
      </c>
      <c r="W1525" s="52">
        <v>0</v>
      </c>
      <c r="X1525" s="55">
        <f t="shared" si="251"/>
        <v>46153.2</v>
      </c>
    </row>
    <row r="1526" spans="1:24" hidden="1" x14ac:dyDescent="0.35">
      <c r="A1526" s="46">
        <f t="shared" si="252"/>
        <v>46153.2</v>
      </c>
      <c r="B1526" s="46"/>
      <c r="C1526" s="46"/>
      <c r="D1526" s="46"/>
      <c r="E1526" s="47" t="s">
        <v>64</v>
      </c>
      <c r="F1526" s="56" t="s">
        <v>2464</v>
      </c>
      <c r="G1526" s="56"/>
      <c r="H1526" s="49" t="s">
        <v>2465</v>
      </c>
      <c r="I1526" s="99" t="s">
        <v>160</v>
      </c>
      <c r="J1526" s="51" t="s">
        <v>140</v>
      </c>
      <c r="K1526" s="52">
        <v>0</v>
      </c>
      <c r="L1526" s="52">
        <v>0</v>
      </c>
      <c r="M1526" s="53">
        <v>50</v>
      </c>
      <c r="N1526" s="54">
        <v>1750</v>
      </c>
      <c r="O1526" s="341">
        <v>1</v>
      </c>
      <c r="P1526" s="103">
        <f t="shared" si="246"/>
        <v>1750</v>
      </c>
      <c r="Q1526" s="103"/>
      <c r="R1526" s="92">
        <v>1750</v>
      </c>
      <c r="S1526" s="53">
        <f t="shared" si="247"/>
        <v>0</v>
      </c>
      <c r="T1526" s="343">
        <f t="shared" si="248"/>
        <v>1728</v>
      </c>
      <c r="U1526" s="52">
        <f t="shared" si="249"/>
        <v>0</v>
      </c>
      <c r="V1526" s="52">
        <f t="shared" si="250"/>
        <v>0</v>
      </c>
      <c r="W1526" s="52">
        <v>0</v>
      </c>
      <c r="X1526" s="55">
        <f t="shared" si="251"/>
        <v>46153.2</v>
      </c>
    </row>
    <row r="1527" spans="1:24" hidden="1" x14ac:dyDescent="0.35">
      <c r="A1527" s="46">
        <f t="shared" si="252"/>
        <v>46153.2</v>
      </c>
      <c r="B1527" s="46"/>
      <c r="C1527" s="46"/>
      <c r="D1527" s="46"/>
      <c r="E1527" s="47" t="s">
        <v>64</v>
      </c>
      <c r="F1527" s="56" t="s">
        <v>2466</v>
      </c>
      <c r="G1527" s="56"/>
      <c r="H1527" s="49" t="s">
        <v>2467</v>
      </c>
      <c r="I1527" s="99" t="s">
        <v>160</v>
      </c>
      <c r="J1527" s="51" t="s">
        <v>140</v>
      </c>
      <c r="K1527" s="52">
        <v>0</v>
      </c>
      <c r="L1527" s="52">
        <v>0</v>
      </c>
      <c r="M1527" s="53">
        <v>50</v>
      </c>
      <c r="N1527" s="54">
        <v>978</v>
      </c>
      <c r="O1527" s="341">
        <v>1</v>
      </c>
      <c r="P1527" s="103">
        <f t="shared" si="246"/>
        <v>978</v>
      </c>
      <c r="Q1527" s="103"/>
      <c r="R1527" s="92">
        <v>978</v>
      </c>
      <c r="S1527" s="53">
        <f t="shared" si="247"/>
        <v>0</v>
      </c>
      <c r="T1527" s="343">
        <f t="shared" si="248"/>
        <v>1728</v>
      </c>
      <c r="U1527" s="52">
        <f t="shared" si="249"/>
        <v>0</v>
      </c>
      <c r="V1527" s="52">
        <f t="shared" si="250"/>
        <v>0</v>
      </c>
      <c r="W1527" s="52">
        <v>0</v>
      </c>
      <c r="X1527" s="55">
        <f t="shared" si="251"/>
        <v>46153.2</v>
      </c>
    </row>
    <row r="1528" spans="1:24" ht="26.5" hidden="1" x14ac:dyDescent="0.35">
      <c r="A1528" s="46">
        <f t="shared" si="252"/>
        <v>46153.2</v>
      </c>
      <c r="B1528" s="46"/>
      <c r="C1528" s="46"/>
      <c r="D1528" s="46"/>
      <c r="E1528" s="47" t="s">
        <v>64</v>
      </c>
      <c r="F1528" s="48" t="s">
        <v>1752</v>
      </c>
      <c r="G1528" s="48"/>
      <c r="H1528" s="49" t="s">
        <v>2468</v>
      </c>
      <c r="I1528" s="82" t="s">
        <v>164</v>
      </c>
      <c r="J1528" s="51" t="s">
        <v>140</v>
      </c>
      <c r="K1528" s="52">
        <v>0</v>
      </c>
      <c r="L1528" s="52">
        <v>0</v>
      </c>
      <c r="M1528" s="53">
        <v>120</v>
      </c>
      <c r="N1528" s="54">
        <v>1000</v>
      </c>
      <c r="O1528" s="341">
        <v>1</v>
      </c>
      <c r="P1528" s="54">
        <f t="shared" si="246"/>
        <v>1000</v>
      </c>
      <c r="Q1528" s="54"/>
      <c r="R1528" s="92">
        <v>1000</v>
      </c>
      <c r="S1528" s="53">
        <f t="shared" si="247"/>
        <v>0</v>
      </c>
      <c r="T1528" s="343">
        <f t="shared" si="248"/>
        <v>720</v>
      </c>
      <c r="U1528" s="52">
        <f t="shared" si="249"/>
        <v>0</v>
      </c>
      <c r="V1528" s="52">
        <f t="shared" si="250"/>
        <v>0</v>
      </c>
      <c r="W1528" s="52">
        <v>0</v>
      </c>
      <c r="X1528" s="55">
        <f t="shared" si="251"/>
        <v>46153.2</v>
      </c>
    </row>
    <row r="1529" spans="1:24" ht="26.5" hidden="1" x14ac:dyDescent="0.35">
      <c r="A1529" s="46">
        <f t="shared" si="252"/>
        <v>46153.2</v>
      </c>
      <c r="B1529" s="46"/>
      <c r="C1529" s="46"/>
      <c r="D1529" s="46"/>
      <c r="E1529" s="47" t="s">
        <v>64</v>
      </c>
      <c r="F1529" s="48" t="s">
        <v>1765</v>
      </c>
      <c r="G1529" s="48"/>
      <c r="H1529" s="49" t="s">
        <v>2469</v>
      </c>
      <c r="I1529" s="82" t="s">
        <v>164</v>
      </c>
      <c r="J1529" s="51" t="s">
        <v>140</v>
      </c>
      <c r="K1529" s="52">
        <v>0</v>
      </c>
      <c r="L1529" s="52">
        <v>0</v>
      </c>
      <c r="M1529" s="53">
        <v>120</v>
      </c>
      <c r="N1529" s="54">
        <v>500</v>
      </c>
      <c r="O1529" s="341">
        <v>1</v>
      </c>
      <c r="P1529" s="54">
        <f t="shared" si="246"/>
        <v>500</v>
      </c>
      <c r="Q1529" s="54"/>
      <c r="R1529" s="92">
        <v>500</v>
      </c>
      <c r="S1529" s="53">
        <f t="shared" si="247"/>
        <v>0</v>
      </c>
      <c r="T1529" s="343">
        <f t="shared" si="248"/>
        <v>720</v>
      </c>
      <c r="U1529" s="52">
        <f t="shared" si="249"/>
        <v>0</v>
      </c>
      <c r="V1529" s="52">
        <f t="shared" si="250"/>
        <v>0</v>
      </c>
      <c r="W1529" s="52">
        <v>0</v>
      </c>
      <c r="X1529" s="55">
        <f t="shared" si="251"/>
        <v>46153.2</v>
      </c>
    </row>
    <row r="1530" spans="1:24" ht="26.5" hidden="1" x14ac:dyDescent="0.35">
      <c r="A1530" s="46">
        <f t="shared" si="252"/>
        <v>46153.2</v>
      </c>
      <c r="B1530" s="46"/>
      <c r="C1530" s="46"/>
      <c r="D1530" s="46"/>
      <c r="E1530" s="47" t="s">
        <v>43</v>
      </c>
      <c r="F1530" s="56" t="s">
        <v>2470</v>
      </c>
      <c r="G1530" s="56"/>
      <c r="H1530" s="59" t="s">
        <v>2471</v>
      </c>
      <c r="I1530" s="99" t="s">
        <v>2472</v>
      </c>
      <c r="J1530" s="100" t="s">
        <v>140</v>
      </c>
      <c r="K1530" s="52">
        <v>0</v>
      </c>
      <c r="L1530" s="52">
        <v>0</v>
      </c>
      <c r="M1530" s="53">
        <v>70</v>
      </c>
      <c r="N1530" s="54">
        <v>1700</v>
      </c>
      <c r="O1530" s="341">
        <v>1</v>
      </c>
      <c r="P1530" s="54">
        <f t="shared" si="246"/>
        <v>1700</v>
      </c>
      <c r="Q1530" s="54"/>
      <c r="R1530" s="92">
        <v>1700</v>
      </c>
      <c r="S1530" s="53">
        <f t="shared" si="247"/>
        <v>0</v>
      </c>
      <c r="T1530" s="315">
        <f t="shared" si="248"/>
        <v>1234.2857142857142</v>
      </c>
      <c r="U1530" s="84">
        <f t="shared" si="249"/>
        <v>0</v>
      </c>
      <c r="V1530" s="84">
        <f t="shared" si="250"/>
        <v>0</v>
      </c>
      <c r="W1530" s="84">
        <v>0</v>
      </c>
      <c r="X1530" s="55">
        <f t="shared" si="251"/>
        <v>46153.2</v>
      </c>
    </row>
    <row r="1531" spans="1:24" ht="26.5" hidden="1" x14ac:dyDescent="0.35">
      <c r="A1531" s="46">
        <f t="shared" si="252"/>
        <v>46153.2</v>
      </c>
      <c r="B1531" s="46"/>
      <c r="C1531" s="46"/>
      <c r="D1531" s="46"/>
      <c r="E1531" s="47" t="s">
        <v>43</v>
      </c>
      <c r="F1531" s="69" t="s">
        <v>1480</v>
      </c>
      <c r="G1531" s="69"/>
      <c r="H1531" s="98" t="s">
        <v>2473</v>
      </c>
      <c r="I1531" s="97" t="s">
        <v>2128</v>
      </c>
      <c r="J1531" s="51" t="s">
        <v>140</v>
      </c>
      <c r="K1531" s="91">
        <v>0</v>
      </c>
      <c r="L1531" s="91">
        <v>0</v>
      </c>
      <c r="M1531" s="92">
        <v>100</v>
      </c>
      <c r="N1531" s="94">
        <v>2000</v>
      </c>
      <c r="O1531" s="253">
        <v>1</v>
      </c>
      <c r="P1531" s="94">
        <f t="shared" si="246"/>
        <v>2000</v>
      </c>
      <c r="Q1531" s="94"/>
      <c r="R1531" s="92">
        <v>2000</v>
      </c>
      <c r="S1531" s="92">
        <f t="shared" si="247"/>
        <v>0</v>
      </c>
      <c r="T1531" s="254">
        <f t="shared" si="248"/>
        <v>864</v>
      </c>
      <c r="U1531" s="91">
        <f t="shared" si="249"/>
        <v>0</v>
      </c>
      <c r="V1531" s="91">
        <f t="shared" si="250"/>
        <v>0</v>
      </c>
      <c r="W1531" s="91">
        <v>0</v>
      </c>
      <c r="X1531" s="55">
        <f t="shared" si="251"/>
        <v>46153.2</v>
      </c>
    </row>
    <row r="1532" spans="1:24" ht="26.5" hidden="1" x14ac:dyDescent="0.35">
      <c r="A1532" s="46">
        <f t="shared" si="252"/>
        <v>46153.2</v>
      </c>
      <c r="B1532" s="46"/>
      <c r="C1532" s="46"/>
      <c r="D1532" s="46"/>
      <c r="E1532" s="47" t="s">
        <v>43</v>
      </c>
      <c r="F1532" s="69" t="s">
        <v>1486</v>
      </c>
      <c r="G1532" s="69"/>
      <c r="H1532" s="98" t="s">
        <v>2474</v>
      </c>
      <c r="I1532" s="97" t="s">
        <v>2128</v>
      </c>
      <c r="J1532" s="51" t="s">
        <v>140</v>
      </c>
      <c r="K1532" s="91">
        <v>0</v>
      </c>
      <c r="L1532" s="91">
        <v>0</v>
      </c>
      <c r="M1532" s="92">
        <v>100</v>
      </c>
      <c r="N1532" s="94">
        <v>3000</v>
      </c>
      <c r="O1532" s="253">
        <v>1</v>
      </c>
      <c r="P1532" s="94">
        <f t="shared" si="246"/>
        <v>3000</v>
      </c>
      <c r="Q1532" s="94"/>
      <c r="R1532" s="92">
        <v>3000</v>
      </c>
      <c r="S1532" s="92">
        <f t="shared" si="247"/>
        <v>0</v>
      </c>
      <c r="T1532" s="254">
        <f t="shared" si="248"/>
        <v>864</v>
      </c>
      <c r="U1532" s="91">
        <f t="shared" si="249"/>
        <v>0</v>
      </c>
      <c r="V1532" s="91">
        <f t="shared" si="250"/>
        <v>0</v>
      </c>
      <c r="W1532" s="91">
        <v>0</v>
      </c>
      <c r="X1532" s="55">
        <f t="shared" si="251"/>
        <v>46153.2</v>
      </c>
    </row>
    <row r="1533" spans="1:24" ht="26.5" hidden="1" x14ac:dyDescent="0.35">
      <c r="A1533" s="46">
        <f t="shared" si="252"/>
        <v>46153.2</v>
      </c>
      <c r="B1533" s="46"/>
      <c r="C1533" s="46"/>
      <c r="D1533" s="46"/>
      <c r="E1533" s="47" t="s">
        <v>43</v>
      </c>
      <c r="F1533" s="69" t="s">
        <v>1474</v>
      </c>
      <c r="G1533" s="69"/>
      <c r="H1533" s="98" t="s">
        <v>2475</v>
      </c>
      <c r="I1533" s="97" t="s">
        <v>2476</v>
      </c>
      <c r="J1533" s="51" t="s">
        <v>140</v>
      </c>
      <c r="K1533" s="91">
        <v>0</v>
      </c>
      <c r="L1533" s="91">
        <v>0</v>
      </c>
      <c r="M1533" s="92">
        <v>100</v>
      </c>
      <c r="N1533" s="94">
        <v>500</v>
      </c>
      <c r="O1533" s="253">
        <v>1</v>
      </c>
      <c r="P1533" s="94">
        <f t="shared" si="246"/>
        <v>500</v>
      </c>
      <c r="Q1533" s="94"/>
      <c r="R1533" s="92">
        <v>500</v>
      </c>
      <c r="S1533" s="92">
        <f t="shared" si="247"/>
        <v>0</v>
      </c>
      <c r="T1533" s="254">
        <f t="shared" si="248"/>
        <v>864</v>
      </c>
      <c r="U1533" s="91">
        <f t="shared" si="249"/>
        <v>0</v>
      </c>
      <c r="V1533" s="91">
        <f t="shared" si="250"/>
        <v>0</v>
      </c>
      <c r="W1533" s="91">
        <v>0</v>
      </c>
      <c r="X1533" s="55">
        <f t="shared" si="251"/>
        <v>46153.2</v>
      </c>
    </row>
    <row r="1534" spans="1:24" ht="26.5" hidden="1" x14ac:dyDescent="0.35">
      <c r="A1534" s="46">
        <f t="shared" si="252"/>
        <v>46153.2</v>
      </c>
      <c r="B1534" s="46"/>
      <c r="C1534" s="46"/>
      <c r="D1534" s="46"/>
      <c r="E1534" s="47" t="s">
        <v>43</v>
      </c>
      <c r="F1534" s="69" t="s">
        <v>1488</v>
      </c>
      <c r="G1534" s="69"/>
      <c r="H1534" s="98" t="s">
        <v>2477</v>
      </c>
      <c r="I1534" s="97" t="s">
        <v>2476</v>
      </c>
      <c r="J1534" s="51" t="s">
        <v>140</v>
      </c>
      <c r="K1534" s="91">
        <v>0</v>
      </c>
      <c r="L1534" s="91">
        <v>0</v>
      </c>
      <c r="M1534" s="92">
        <v>100</v>
      </c>
      <c r="N1534" s="94">
        <v>250</v>
      </c>
      <c r="O1534" s="253">
        <v>1</v>
      </c>
      <c r="P1534" s="94">
        <v>250</v>
      </c>
      <c r="Q1534" s="94"/>
      <c r="R1534" s="92">
        <v>250</v>
      </c>
      <c r="S1534" s="92">
        <f t="shared" si="247"/>
        <v>0</v>
      </c>
      <c r="T1534" s="254">
        <f t="shared" si="248"/>
        <v>864</v>
      </c>
      <c r="U1534" s="91">
        <f t="shared" si="249"/>
        <v>0</v>
      </c>
      <c r="V1534" s="91">
        <f t="shared" si="250"/>
        <v>0</v>
      </c>
      <c r="W1534" s="91">
        <v>0</v>
      </c>
      <c r="X1534" s="55">
        <f t="shared" si="251"/>
        <v>46153.2</v>
      </c>
    </row>
    <row r="1535" spans="1:24" ht="26.5" hidden="1" x14ac:dyDescent="0.35">
      <c r="A1535" s="46">
        <f t="shared" si="252"/>
        <v>46153.2</v>
      </c>
      <c r="B1535" s="46"/>
      <c r="C1535" s="46"/>
      <c r="D1535" s="46"/>
      <c r="E1535" s="47" t="s">
        <v>43</v>
      </c>
      <c r="F1535" s="69" t="s">
        <v>1480</v>
      </c>
      <c r="G1535" s="69"/>
      <c r="H1535" s="98" t="s">
        <v>2478</v>
      </c>
      <c r="I1535" s="97" t="s">
        <v>2479</v>
      </c>
      <c r="J1535" s="51" t="s">
        <v>140</v>
      </c>
      <c r="K1535" s="91">
        <v>0</v>
      </c>
      <c r="L1535" s="91">
        <v>0</v>
      </c>
      <c r="M1535" s="92">
        <v>100</v>
      </c>
      <c r="N1535" s="94">
        <v>1500</v>
      </c>
      <c r="O1535" s="253">
        <v>1</v>
      </c>
      <c r="P1535" s="94">
        <f t="shared" ref="P1535:P1598" si="253">N1535/O1535</f>
        <v>1500</v>
      </c>
      <c r="Q1535" s="94"/>
      <c r="R1535" s="92">
        <v>1500</v>
      </c>
      <c r="S1535" s="92">
        <f t="shared" si="247"/>
        <v>0</v>
      </c>
      <c r="T1535" s="254">
        <f t="shared" si="248"/>
        <v>864</v>
      </c>
      <c r="U1535" s="91">
        <f t="shared" si="249"/>
        <v>0</v>
      </c>
      <c r="V1535" s="91">
        <f t="shared" si="250"/>
        <v>0</v>
      </c>
      <c r="W1535" s="91">
        <v>0</v>
      </c>
      <c r="X1535" s="55">
        <f t="shared" si="251"/>
        <v>46153.2</v>
      </c>
    </row>
    <row r="1536" spans="1:24" ht="26.5" hidden="1" x14ac:dyDescent="0.35">
      <c r="A1536" s="46">
        <f t="shared" si="252"/>
        <v>46153.2</v>
      </c>
      <c r="B1536" s="46"/>
      <c r="C1536" s="46"/>
      <c r="D1536" s="46"/>
      <c r="E1536" s="273" t="s">
        <v>43</v>
      </c>
      <c r="F1536" s="275" t="s">
        <v>1483</v>
      </c>
      <c r="G1536" s="275"/>
      <c r="H1536" s="276" t="s">
        <v>2129</v>
      </c>
      <c r="I1536" s="561" t="s">
        <v>2130</v>
      </c>
      <c r="J1536" s="562" t="s">
        <v>140</v>
      </c>
      <c r="K1536" s="563">
        <v>0</v>
      </c>
      <c r="L1536" s="563">
        <v>0</v>
      </c>
      <c r="M1536" s="564">
        <v>100</v>
      </c>
      <c r="N1536" s="565">
        <v>1800</v>
      </c>
      <c r="O1536" s="566">
        <v>1</v>
      </c>
      <c r="P1536" s="565">
        <f t="shared" si="253"/>
        <v>1800</v>
      </c>
      <c r="Q1536" s="565"/>
      <c r="R1536" s="564">
        <v>1800</v>
      </c>
      <c r="S1536" s="564">
        <f t="shared" si="247"/>
        <v>0</v>
      </c>
      <c r="T1536" s="567">
        <f t="shared" si="248"/>
        <v>864</v>
      </c>
      <c r="U1536" s="563">
        <f t="shared" si="249"/>
        <v>0</v>
      </c>
      <c r="V1536" s="563">
        <f t="shared" si="250"/>
        <v>0</v>
      </c>
      <c r="W1536" s="563">
        <v>0</v>
      </c>
      <c r="X1536" s="55">
        <f t="shared" si="251"/>
        <v>46153.2</v>
      </c>
    </row>
    <row r="1537" spans="1:24" ht="29" hidden="1" x14ac:dyDescent="0.35">
      <c r="A1537" s="46">
        <f t="shared" si="252"/>
        <v>46153.2</v>
      </c>
      <c r="B1537" s="46"/>
      <c r="C1537" s="46"/>
      <c r="D1537" s="46"/>
      <c r="E1537" s="47" t="s">
        <v>43</v>
      </c>
      <c r="F1537" s="69" t="s">
        <v>1490</v>
      </c>
      <c r="G1537" s="69"/>
      <c r="H1537" s="98" t="s">
        <v>2480</v>
      </c>
      <c r="I1537" s="62" t="s">
        <v>2481</v>
      </c>
      <c r="J1537" s="51" t="s">
        <v>140</v>
      </c>
      <c r="K1537" s="91">
        <v>0</v>
      </c>
      <c r="L1537" s="91">
        <v>0</v>
      </c>
      <c r="M1537" s="92">
        <v>100</v>
      </c>
      <c r="N1537" s="94">
        <v>100</v>
      </c>
      <c r="O1537" s="253">
        <v>1</v>
      </c>
      <c r="P1537" s="94">
        <f t="shared" si="253"/>
        <v>100</v>
      </c>
      <c r="Q1537" s="94"/>
      <c r="R1537" s="92">
        <v>100</v>
      </c>
      <c r="S1537" s="92">
        <f t="shared" si="247"/>
        <v>0</v>
      </c>
      <c r="T1537" s="254">
        <f t="shared" si="248"/>
        <v>864</v>
      </c>
      <c r="U1537" s="91">
        <f t="shared" si="249"/>
        <v>0</v>
      </c>
      <c r="V1537" s="91">
        <f t="shared" si="250"/>
        <v>0</v>
      </c>
      <c r="W1537" s="91">
        <v>0</v>
      </c>
      <c r="X1537" s="55">
        <f t="shared" si="251"/>
        <v>46153.2</v>
      </c>
    </row>
    <row r="1538" spans="1:24" hidden="1" x14ac:dyDescent="0.35">
      <c r="A1538" s="46">
        <f t="shared" si="252"/>
        <v>46153.2</v>
      </c>
      <c r="B1538" s="46"/>
      <c r="C1538" s="46"/>
      <c r="D1538" s="46"/>
      <c r="E1538" s="47" t="s">
        <v>43</v>
      </c>
      <c r="F1538" s="82" t="s">
        <v>2482</v>
      </c>
      <c r="G1538" s="82"/>
      <c r="H1538" s="107" t="s">
        <v>2483</v>
      </c>
      <c r="I1538" s="82" t="s">
        <v>1326</v>
      </c>
      <c r="J1538" s="51" t="s">
        <v>140</v>
      </c>
      <c r="K1538" s="91">
        <v>0</v>
      </c>
      <c r="L1538" s="91">
        <v>0</v>
      </c>
      <c r="M1538" s="92">
        <v>150</v>
      </c>
      <c r="N1538" s="94">
        <v>1000</v>
      </c>
      <c r="O1538" s="253">
        <v>1</v>
      </c>
      <c r="P1538" s="94">
        <f t="shared" si="253"/>
        <v>1000</v>
      </c>
      <c r="Q1538" s="94"/>
      <c r="R1538" s="92">
        <v>1000</v>
      </c>
      <c r="S1538" s="92">
        <f t="shared" si="247"/>
        <v>0</v>
      </c>
      <c r="T1538" s="254">
        <f t="shared" si="248"/>
        <v>576</v>
      </c>
      <c r="U1538" s="91">
        <f t="shared" si="249"/>
        <v>0</v>
      </c>
      <c r="V1538" s="91">
        <f t="shared" si="250"/>
        <v>0</v>
      </c>
      <c r="W1538" s="91">
        <v>0</v>
      </c>
      <c r="X1538" s="55">
        <f t="shared" si="251"/>
        <v>46153.2</v>
      </c>
    </row>
    <row r="1539" spans="1:24" hidden="1" x14ac:dyDescent="0.35">
      <c r="A1539" s="46">
        <f t="shared" si="252"/>
        <v>46153.2</v>
      </c>
      <c r="B1539" s="46"/>
      <c r="C1539" s="46"/>
      <c r="D1539" s="46"/>
      <c r="E1539" s="47" t="s">
        <v>43</v>
      </c>
      <c r="F1539" s="82" t="s">
        <v>1166</v>
      </c>
      <c r="G1539" s="82"/>
      <c r="H1539" s="98" t="s">
        <v>2484</v>
      </c>
      <c r="I1539" s="99" t="s">
        <v>97</v>
      </c>
      <c r="J1539" s="51" t="s">
        <v>140</v>
      </c>
      <c r="K1539" s="91">
        <v>0</v>
      </c>
      <c r="L1539" s="91">
        <v>0</v>
      </c>
      <c r="M1539" s="92">
        <v>110</v>
      </c>
      <c r="N1539" s="94">
        <v>2000</v>
      </c>
      <c r="O1539" s="253">
        <v>1</v>
      </c>
      <c r="P1539" s="94">
        <f t="shared" si="253"/>
        <v>2000</v>
      </c>
      <c r="Q1539" s="94"/>
      <c r="R1539" s="92">
        <v>2000</v>
      </c>
      <c r="S1539" s="92">
        <f t="shared" si="247"/>
        <v>0</v>
      </c>
      <c r="T1539" s="254">
        <f t="shared" si="248"/>
        <v>785.4545454545455</v>
      </c>
      <c r="U1539" s="91">
        <f t="shared" si="249"/>
        <v>0</v>
      </c>
      <c r="V1539" s="91">
        <f t="shared" si="250"/>
        <v>0</v>
      </c>
      <c r="W1539" s="101">
        <v>0</v>
      </c>
      <c r="X1539" s="55">
        <f t="shared" si="251"/>
        <v>46153.2</v>
      </c>
    </row>
    <row r="1540" spans="1:24" ht="26.5" hidden="1" x14ac:dyDescent="0.35">
      <c r="A1540" s="46">
        <f t="shared" si="252"/>
        <v>46153.2</v>
      </c>
      <c r="B1540" s="46"/>
      <c r="C1540" s="46"/>
      <c r="D1540" s="46"/>
      <c r="E1540" s="47" t="s">
        <v>43</v>
      </c>
      <c r="F1540" s="69" t="s">
        <v>1496</v>
      </c>
      <c r="G1540" s="69"/>
      <c r="H1540" s="98" t="s">
        <v>2485</v>
      </c>
      <c r="I1540" s="97" t="s">
        <v>660</v>
      </c>
      <c r="J1540" s="51" t="s">
        <v>140</v>
      </c>
      <c r="K1540" s="91">
        <v>0</v>
      </c>
      <c r="L1540" s="91">
        <v>0</v>
      </c>
      <c r="M1540" s="92">
        <v>100</v>
      </c>
      <c r="N1540" s="94">
        <v>300</v>
      </c>
      <c r="O1540" s="253">
        <v>1</v>
      </c>
      <c r="P1540" s="94">
        <f t="shared" si="253"/>
        <v>300</v>
      </c>
      <c r="Q1540" s="94"/>
      <c r="R1540" s="92">
        <v>300</v>
      </c>
      <c r="S1540" s="92">
        <f t="shared" si="247"/>
        <v>0</v>
      </c>
      <c r="T1540" s="254">
        <f t="shared" si="248"/>
        <v>864</v>
      </c>
      <c r="U1540" s="91">
        <f t="shared" si="249"/>
        <v>0</v>
      </c>
      <c r="V1540" s="91">
        <f t="shared" si="250"/>
        <v>0</v>
      </c>
      <c r="W1540" s="91">
        <v>0</v>
      </c>
      <c r="X1540" s="55">
        <f t="shared" si="251"/>
        <v>46153.2</v>
      </c>
    </row>
    <row r="1541" spans="1:24" ht="26.5" hidden="1" x14ac:dyDescent="0.35">
      <c r="A1541" s="46">
        <f t="shared" si="252"/>
        <v>46153.2</v>
      </c>
      <c r="B1541" s="46"/>
      <c r="C1541" s="46"/>
      <c r="D1541" s="46"/>
      <c r="E1541" s="47" t="s">
        <v>43</v>
      </c>
      <c r="F1541" s="69" t="s">
        <v>1490</v>
      </c>
      <c r="G1541" s="69"/>
      <c r="H1541" s="98" t="s">
        <v>2486</v>
      </c>
      <c r="I1541" s="97" t="s">
        <v>623</v>
      </c>
      <c r="J1541" s="51" t="s">
        <v>140</v>
      </c>
      <c r="K1541" s="91">
        <v>0</v>
      </c>
      <c r="L1541" s="91">
        <v>0</v>
      </c>
      <c r="M1541" s="92">
        <v>100</v>
      </c>
      <c r="N1541" s="94">
        <v>400</v>
      </c>
      <c r="O1541" s="253">
        <v>1</v>
      </c>
      <c r="P1541" s="94">
        <f t="shared" si="253"/>
        <v>400</v>
      </c>
      <c r="Q1541" s="94"/>
      <c r="R1541" s="92">
        <v>400</v>
      </c>
      <c r="S1541" s="92">
        <f t="shared" si="247"/>
        <v>0</v>
      </c>
      <c r="T1541" s="254">
        <f t="shared" si="248"/>
        <v>864</v>
      </c>
      <c r="U1541" s="91">
        <f t="shared" si="249"/>
        <v>0</v>
      </c>
      <c r="V1541" s="91">
        <f t="shared" si="250"/>
        <v>0</v>
      </c>
      <c r="W1541" s="91">
        <v>0</v>
      </c>
      <c r="X1541" s="55">
        <f t="shared" si="251"/>
        <v>46153.2</v>
      </c>
    </row>
    <row r="1542" spans="1:24" ht="26.5" hidden="1" x14ac:dyDescent="0.35">
      <c r="A1542" s="46">
        <f t="shared" si="252"/>
        <v>46153.2</v>
      </c>
      <c r="B1542" s="46"/>
      <c r="C1542" s="46"/>
      <c r="D1542" s="46"/>
      <c r="E1542" s="47" t="s">
        <v>43</v>
      </c>
      <c r="F1542" s="69" t="s">
        <v>1490</v>
      </c>
      <c r="G1542" s="69"/>
      <c r="H1542" s="98" t="s">
        <v>2487</v>
      </c>
      <c r="I1542" s="97" t="s">
        <v>616</v>
      </c>
      <c r="J1542" s="51" t="s">
        <v>140</v>
      </c>
      <c r="K1542" s="91">
        <v>0</v>
      </c>
      <c r="L1542" s="91">
        <v>0</v>
      </c>
      <c r="M1542" s="92">
        <v>100</v>
      </c>
      <c r="N1542" s="94">
        <v>100</v>
      </c>
      <c r="O1542" s="253">
        <v>1</v>
      </c>
      <c r="P1542" s="94">
        <f t="shared" si="253"/>
        <v>100</v>
      </c>
      <c r="Q1542" s="94"/>
      <c r="R1542" s="92">
        <v>100</v>
      </c>
      <c r="S1542" s="92">
        <f t="shared" si="247"/>
        <v>0</v>
      </c>
      <c r="T1542" s="254">
        <f t="shared" si="248"/>
        <v>864</v>
      </c>
      <c r="U1542" s="91">
        <f t="shared" si="249"/>
        <v>0</v>
      </c>
      <c r="V1542" s="91">
        <f t="shared" si="250"/>
        <v>0</v>
      </c>
      <c r="W1542" s="91">
        <v>0</v>
      </c>
      <c r="X1542" s="55">
        <f t="shared" si="251"/>
        <v>46153.2</v>
      </c>
    </row>
    <row r="1543" spans="1:24" ht="26.5" hidden="1" x14ac:dyDescent="0.35">
      <c r="A1543" s="46">
        <f t="shared" si="252"/>
        <v>46153.2</v>
      </c>
      <c r="B1543" s="46"/>
      <c r="C1543" s="46"/>
      <c r="D1543" s="46"/>
      <c r="E1543" s="47" t="s">
        <v>43</v>
      </c>
      <c r="F1543" s="69" t="s">
        <v>1501</v>
      </c>
      <c r="G1543" s="69"/>
      <c r="H1543" s="98" t="s">
        <v>2488</v>
      </c>
      <c r="I1543" s="97" t="s">
        <v>616</v>
      </c>
      <c r="J1543" s="51" t="s">
        <v>140</v>
      </c>
      <c r="K1543" s="91">
        <v>0</v>
      </c>
      <c r="L1543" s="91">
        <v>0</v>
      </c>
      <c r="M1543" s="92">
        <v>100</v>
      </c>
      <c r="N1543" s="94">
        <v>500</v>
      </c>
      <c r="O1543" s="253">
        <v>1</v>
      </c>
      <c r="P1543" s="94">
        <f t="shared" si="253"/>
        <v>500</v>
      </c>
      <c r="Q1543" s="94"/>
      <c r="R1543" s="92">
        <v>500</v>
      </c>
      <c r="S1543" s="92">
        <f t="shared" si="247"/>
        <v>0</v>
      </c>
      <c r="T1543" s="254">
        <f t="shared" si="248"/>
        <v>864</v>
      </c>
      <c r="U1543" s="91">
        <f t="shared" si="249"/>
        <v>0</v>
      </c>
      <c r="V1543" s="91">
        <f t="shared" si="250"/>
        <v>0</v>
      </c>
      <c r="W1543" s="91">
        <v>0</v>
      </c>
      <c r="X1543" s="55">
        <f t="shared" si="251"/>
        <v>46153.2</v>
      </c>
    </row>
    <row r="1544" spans="1:24" ht="26.5" hidden="1" x14ac:dyDescent="0.35">
      <c r="A1544" s="46">
        <f t="shared" si="252"/>
        <v>46153.2</v>
      </c>
      <c r="B1544" s="46"/>
      <c r="C1544" s="46"/>
      <c r="D1544" s="46"/>
      <c r="E1544" s="47" t="s">
        <v>43</v>
      </c>
      <c r="F1544" s="69" t="s">
        <v>1490</v>
      </c>
      <c r="G1544" s="69"/>
      <c r="H1544" s="98" t="s">
        <v>2489</v>
      </c>
      <c r="I1544" s="97" t="s">
        <v>620</v>
      </c>
      <c r="J1544" s="51" t="s">
        <v>140</v>
      </c>
      <c r="K1544" s="91">
        <v>0</v>
      </c>
      <c r="L1544" s="91">
        <v>0</v>
      </c>
      <c r="M1544" s="92">
        <v>100</v>
      </c>
      <c r="N1544" s="94">
        <v>100</v>
      </c>
      <c r="O1544" s="253">
        <v>1</v>
      </c>
      <c r="P1544" s="94">
        <f t="shared" si="253"/>
        <v>100</v>
      </c>
      <c r="Q1544" s="94"/>
      <c r="R1544" s="92">
        <v>100</v>
      </c>
      <c r="S1544" s="92">
        <f t="shared" si="247"/>
        <v>0</v>
      </c>
      <c r="T1544" s="254">
        <f t="shared" si="248"/>
        <v>864</v>
      </c>
      <c r="U1544" s="91">
        <f t="shared" si="249"/>
        <v>0</v>
      </c>
      <c r="V1544" s="91">
        <f t="shared" si="250"/>
        <v>0</v>
      </c>
      <c r="W1544" s="91">
        <v>0</v>
      </c>
      <c r="X1544" s="55">
        <f t="shared" si="251"/>
        <v>46153.2</v>
      </c>
    </row>
    <row r="1545" spans="1:24" ht="26.5" hidden="1" x14ac:dyDescent="0.35">
      <c r="A1545" s="46">
        <f t="shared" si="252"/>
        <v>46153.2</v>
      </c>
      <c r="B1545" s="46"/>
      <c r="C1545" s="46"/>
      <c r="D1545" s="46"/>
      <c r="E1545" s="47" t="s">
        <v>43</v>
      </c>
      <c r="F1545" s="69" t="s">
        <v>1501</v>
      </c>
      <c r="G1545" s="69"/>
      <c r="H1545" s="98" t="s">
        <v>2490</v>
      </c>
      <c r="I1545" s="97" t="s">
        <v>620</v>
      </c>
      <c r="J1545" s="51" t="s">
        <v>140</v>
      </c>
      <c r="K1545" s="91">
        <v>0</v>
      </c>
      <c r="L1545" s="91">
        <v>0</v>
      </c>
      <c r="M1545" s="92">
        <v>100</v>
      </c>
      <c r="N1545" s="94">
        <v>500</v>
      </c>
      <c r="O1545" s="253">
        <v>1</v>
      </c>
      <c r="P1545" s="94">
        <f t="shared" si="253"/>
        <v>500</v>
      </c>
      <c r="Q1545" s="94"/>
      <c r="R1545" s="92">
        <v>500</v>
      </c>
      <c r="S1545" s="92">
        <f t="shared" si="247"/>
        <v>0</v>
      </c>
      <c r="T1545" s="254">
        <f t="shared" si="248"/>
        <v>864</v>
      </c>
      <c r="U1545" s="91">
        <f t="shared" si="249"/>
        <v>0</v>
      </c>
      <c r="V1545" s="91">
        <f t="shared" si="250"/>
        <v>0</v>
      </c>
      <c r="W1545" s="91">
        <v>0</v>
      </c>
      <c r="X1545" s="55">
        <f t="shared" si="251"/>
        <v>46153.2</v>
      </c>
    </row>
    <row r="1546" spans="1:24" ht="26.5" hidden="1" x14ac:dyDescent="0.35">
      <c r="A1546" s="46">
        <f t="shared" si="252"/>
        <v>46153.2</v>
      </c>
      <c r="B1546" s="46"/>
      <c r="C1546" s="46"/>
      <c r="D1546" s="46"/>
      <c r="E1546" s="47" t="s">
        <v>43</v>
      </c>
      <c r="F1546" s="69" t="s">
        <v>1501</v>
      </c>
      <c r="G1546" s="69"/>
      <c r="H1546" s="98" t="s">
        <v>2491</v>
      </c>
      <c r="I1546" s="69" t="s">
        <v>2492</v>
      </c>
      <c r="J1546" s="51" t="s">
        <v>140</v>
      </c>
      <c r="K1546" s="91">
        <v>0</v>
      </c>
      <c r="L1546" s="91">
        <v>0</v>
      </c>
      <c r="M1546" s="92">
        <v>100</v>
      </c>
      <c r="N1546" s="94">
        <v>500</v>
      </c>
      <c r="O1546" s="253">
        <v>1</v>
      </c>
      <c r="P1546" s="94">
        <f t="shared" si="253"/>
        <v>500</v>
      </c>
      <c r="Q1546" s="94"/>
      <c r="R1546" s="92">
        <v>500</v>
      </c>
      <c r="S1546" s="92">
        <f t="shared" si="247"/>
        <v>0</v>
      </c>
      <c r="T1546" s="254">
        <f t="shared" si="248"/>
        <v>864</v>
      </c>
      <c r="U1546" s="91">
        <f t="shared" si="249"/>
        <v>0</v>
      </c>
      <c r="V1546" s="91">
        <f t="shared" si="250"/>
        <v>0</v>
      </c>
      <c r="W1546" s="91">
        <v>0</v>
      </c>
      <c r="X1546" s="55">
        <f t="shared" si="251"/>
        <v>46153.2</v>
      </c>
    </row>
    <row r="1547" spans="1:24" ht="26.5" hidden="1" x14ac:dyDescent="0.35">
      <c r="A1547" s="46">
        <f t="shared" si="252"/>
        <v>46153.2</v>
      </c>
      <c r="B1547" s="46"/>
      <c r="C1547" s="46"/>
      <c r="D1547" s="46"/>
      <c r="E1547" s="47" t="s">
        <v>43</v>
      </c>
      <c r="F1547" s="69" t="s">
        <v>1490</v>
      </c>
      <c r="G1547" s="69"/>
      <c r="H1547" s="59" t="s">
        <v>2493</v>
      </c>
      <c r="I1547" s="99" t="s">
        <v>2494</v>
      </c>
      <c r="J1547" s="100" t="s">
        <v>140</v>
      </c>
      <c r="K1547" s="91">
        <v>0</v>
      </c>
      <c r="L1547" s="91">
        <v>0</v>
      </c>
      <c r="M1547" s="53">
        <v>70</v>
      </c>
      <c r="N1547" s="54">
        <v>300</v>
      </c>
      <c r="O1547" s="341">
        <v>1</v>
      </c>
      <c r="P1547" s="54">
        <f t="shared" si="253"/>
        <v>300</v>
      </c>
      <c r="Q1547" s="54"/>
      <c r="R1547" s="92">
        <v>300</v>
      </c>
      <c r="S1547" s="53">
        <f t="shared" si="247"/>
        <v>0</v>
      </c>
      <c r="T1547" s="315">
        <f t="shared" si="248"/>
        <v>1234.2857142857142</v>
      </c>
      <c r="U1547" s="84">
        <f t="shared" si="249"/>
        <v>0</v>
      </c>
      <c r="V1547" s="84">
        <f t="shared" si="250"/>
        <v>0</v>
      </c>
      <c r="W1547" s="84">
        <v>0</v>
      </c>
      <c r="X1547" s="55">
        <f t="shared" si="251"/>
        <v>46153.2</v>
      </c>
    </row>
    <row r="1548" spans="1:24" ht="26.5" hidden="1" x14ac:dyDescent="0.35">
      <c r="A1548" s="46">
        <f t="shared" si="252"/>
        <v>46153.2</v>
      </c>
      <c r="B1548" s="46"/>
      <c r="C1548" s="46"/>
      <c r="D1548" s="46"/>
      <c r="E1548" s="47" t="s">
        <v>43</v>
      </c>
      <c r="F1548" s="69" t="s">
        <v>2495</v>
      </c>
      <c r="G1548" s="69"/>
      <c r="H1548" s="59" t="s">
        <v>2496</v>
      </c>
      <c r="I1548" s="99" t="s">
        <v>2494</v>
      </c>
      <c r="J1548" s="100" t="s">
        <v>140</v>
      </c>
      <c r="K1548" s="91">
        <v>0</v>
      </c>
      <c r="L1548" s="91">
        <v>0</v>
      </c>
      <c r="M1548" s="53">
        <v>70</v>
      </c>
      <c r="N1548" s="54">
        <v>400</v>
      </c>
      <c r="O1548" s="341">
        <v>1</v>
      </c>
      <c r="P1548" s="54">
        <f t="shared" si="253"/>
        <v>400</v>
      </c>
      <c r="Q1548" s="54"/>
      <c r="R1548" s="92">
        <v>400</v>
      </c>
      <c r="S1548" s="53">
        <f t="shared" si="247"/>
        <v>0</v>
      </c>
      <c r="T1548" s="315">
        <f t="shared" si="248"/>
        <v>1234.2857142857142</v>
      </c>
      <c r="U1548" s="84">
        <f t="shared" si="249"/>
        <v>0</v>
      </c>
      <c r="V1548" s="84">
        <f t="shared" si="250"/>
        <v>0</v>
      </c>
      <c r="W1548" s="84">
        <v>0</v>
      </c>
      <c r="X1548" s="55">
        <f t="shared" si="251"/>
        <v>46153.2</v>
      </c>
    </row>
    <row r="1549" spans="1:24" ht="26.5" hidden="1" x14ac:dyDescent="0.35">
      <c r="A1549" s="46">
        <f t="shared" si="252"/>
        <v>46153.2</v>
      </c>
      <c r="B1549" s="46"/>
      <c r="C1549" s="46"/>
      <c r="D1549" s="46"/>
      <c r="E1549" s="47" t="s">
        <v>43</v>
      </c>
      <c r="F1549" s="69" t="s">
        <v>2495</v>
      </c>
      <c r="G1549" s="69"/>
      <c r="H1549" s="59" t="s">
        <v>2497</v>
      </c>
      <c r="I1549" s="99" t="s">
        <v>664</v>
      </c>
      <c r="J1549" s="100" t="s">
        <v>140</v>
      </c>
      <c r="K1549" s="91">
        <v>0</v>
      </c>
      <c r="L1549" s="91">
        <v>0</v>
      </c>
      <c r="M1549" s="53">
        <v>70</v>
      </c>
      <c r="N1549" s="54">
        <v>400</v>
      </c>
      <c r="O1549" s="341">
        <v>1</v>
      </c>
      <c r="P1549" s="54">
        <f t="shared" si="253"/>
        <v>400</v>
      </c>
      <c r="Q1549" s="54"/>
      <c r="R1549" s="92">
        <v>400</v>
      </c>
      <c r="S1549" s="53">
        <f t="shared" si="247"/>
        <v>0</v>
      </c>
      <c r="T1549" s="315">
        <f t="shared" si="248"/>
        <v>1234.2857142857142</v>
      </c>
      <c r="U1549" s="84">
        <f t="shared" si="249"/>
        <v>0</v>
      </c>
      <c r="V1549" s="84">
        <f t="shared" si="250"/>
        <v>0</v>
      </c>
      <c r="W1549" s="84">
        <v>0</v>
      </c>
      <c r="X1549" s="55">
        <f t="shared" si="251"/>
        <v>46153.2</v>
      </c>
    </row>
    <row r="1550" spans="1:24" ht="39.5" hidden="1" x14ac:dyDescent="0.35">
      <c r="A1550" s="46">
        <f t="shared" si="252"/>
        <v>46153.2</v>
      </c>
      <c r="B1550" s="46"/>
      <c r="C1550" s="46"/>
      <c r="D1550" s="46"/>
      <c r="E1550" s="47" t="s">
        <v>43</v>
      </c>
      <c r="F1550" s="69" t="s">
        <v>1498</v>
      </c>
      <c r="G1550" s="69"/>
      <c r="H1550" s="59" t="s">
        <v>2498</v>
      </c>
      <c r="I1550" s="82" t="s">
        <v>2161</v>
      </c>
      <c r="J1550" s="100" t="s">
        <v>140</v>
      </c>
      <c r="K1550" s="91">
        <v>0</v>
      </c>
      <c r="L1550" s="91">
        <v>0</v>
      </c>
      <c r="M1550" s="53">
        <v>70</v>
      </c>
      <c r="N1550" s="54">
        <v>2250</v>
      </c>
      <c r="O1550" s="341">
        <v>1</v>
      </c>
      <c r="P1550" s="54">
        <f t="shared" si="253"/>
        <v>2250</v>
      </c>
      <c r="Q1550" s="54"/>
      <c r="R1550" s="92">
        <v>2250</v>
      </c>
      <c r="S1550" s="53">
        <f t="shared" si="247"/>
        <v>0</v>
      </c>
      <c r="T1550" s="315">
        <f t="shared" si="248"/>
        <v>1234.2857142857142</v>
      </c>
      <c r="U1550" s="84">
        <f t="shared" si="249"/>
        <v>0</v>
      </c>
      <c r="V1550" s="84">
        <f t="shared" si="250"/>
        <v>0</v>
      </c>
      <c r="W1550" s="84">
        <v>0</v>
      </c>
      <c r="X1550" s="55">
        <f t="shared" si="251"/>
        <v>46153.2</v>
      </c>
    </row>
    <row r="1551" spans="1:24" hidden="1" x14ac:dyDescent="0.35">
      <c r="A1551" s="46">
        <f t="shared" si="252"/>
        <v>46153.2</v>
      </c>
      <c r="B1551" s="46"/>
      <c r="C1551" s="46"/>
      <c r="D1551" s="46"/>
      <c r="E1551" s="47" t="s">
        <v>43</v>
      </c>
      <c r="F1551" s="69" t="s">
        <v>1490</v>
      </c>
      <c r="G1551" s="69"/>
      <c r="H1551" s="98" t="s">
        <v>2499</v>
      </c>
      <c r="I1551" s="71" t="s">
        <v>148</v>
      </c>
      <c r="J1551" s="51" t="s">
        <v>140</v>
      </c>
      <c r="K1551" s="91">
        <v>0</v>
      </c>
      <c r="L1551" s="91">
        <v>0</v>
      </c>
      <c r="M1551" s="92">
        <v>90</v>
      </c>
      <c r="N1551" s="94">
        <v>400</v>
      </c>
      <c r="O1551" s="253">
        <v>1</v>
      </c>
      <c r="P1551" s="94">
        <f t="shared" si="253"/>
        <v>400</v>
      </c>
      <c r="Q1551" s="94"/>
      <c r="R1551" s="92">
        <v>400</v>
      </c>
      <c r="S1551" s="92">
        <f t="shared" si="247"/>
        <v>0</v>
      </c>
      <c r="T1551" s="254">
        <f t="shared" si="248"/>
        <v>960</v>
      </c>
      <c r="U1551" s="91">
        <f t="shared" si="249"/>
        <v>0</v>
      </c>
      <c r="V1551" s="91">
        <f t="shared" si="250"/>
        <v>0</v>
      </c>
      <c r="W1551" s="101">
        <v>0</v>
      </c>
      <c r="X1551" s="55">
        <f t="shared" si="251"/>
        <v>46153.2</v>
      </c>
    </row>
    <row r="1552" spans="1:24" hidden="1" x14ac:dyDescent="0.35">
      <c r="A1552" s="46">
        <f t="shared" si="252"/>
        <v>46153.2</v>
      </c>
      <c r="B1552" s="46"/>
      <c r="C1552" s="46"/>
      <c r="D1552" s="46"/>
      <c r="E1552" s="47" t="s">
        <v>43</v>
      </c>
      <c r="F1552" s="69" t="s">
        <v>2121</v>
      </c>
      <c r="G1552" s="69"/>
      <c r="H1552" s="98" t="s">
        <v>2500</v>
      </c>
      <c r="I1552" s="69" t="s">
        <v>1394</v>
      </c>
      <c r="J1552" s="51" t="s">
        <v>140</v>
      </c>
      <c r="K1552" s="91">
        <v>0</v>
      </c>
      <c r="L1552" s="91">
        <v>0</v>
      </c>
      <c r="M1552" s="92">
        <v>90</v>
      </c>
      <c r="N1552" s="94">
        <v>500</v>
      </c>
      <c r="O1552" s="253">
        <v>1</v>
      </c>
      <c r="P1552" s="94">
        <f t="shared" si="253"/>
        <v>500</v>
      </c>
      <c r="Q1552" s="94"/>
      <c r="R1552" s="92">
        <v>500</v>
      </c>
      <c r="S1552" s="92">
        <f t="shared" si="247"/>
        <v>0</v>
      </c>
      <c r="T1552" s="254">
        <f t="shared" si="248"/>
        <v>960</v>
      </c>
      <c r="U1552" s="91">
        <f t="shared" si="249"/>
        <v>0</v>
      </c>
      <c r="V1552" s="91">
        <f t="shared" si="250"/>
        <v>0</v>
      </c>
      <c r="W1552" s="101">
        <v>0</v>
      </c>
      <c r="X1552" s="55">
        <f t="shared" si="251"/>
        <v>46153.2</v>
      </c>
    </row>
    <row r="1553" spans="1:24" hidden="1" x14ac:dyDescent="0.35">
      <c r="A1553" s="46">
        <f t="shared" si="252"/>
        <v>46153.2</v>
      </c>
      <c r="B1553" s="46"/>
      <c r="C1553" s="46"/>
      <c r="D1553" s="46"/>
      <c r="E1553" s="47" t="s">
        <v>43</v>
      </c>
      <c r="F1553" s="69" t="s">
        <v>643</v>
      </c>
      <c r="G1553" s="69"/>
      <c r="H1553" s="98" t="s">
        <v>2501</v>
      </c>
      <c r="I1553" s="71" t="s">
        <v>148</v>
      </c>
      <c r="J1553" s="51" t="s">
        <v>140</v>
      </c>
      <c r="K1553" s="91">
        <v>0</v>
      </c>
      <c r="L1553" s="91">
        <v>0</v>
      </c>
      <c r="M1553" s="92">
        <v>90</v>
      </c>
      <c r="N1553" s="94">
        <v>500</v>
      </c>
      <c r="O1553" s="253">
        <v>1</v>
      </c>
      <c r="P1553" s="94">
        <f t="shared" si="253"/>
        <v>500</v>
      </c>
      <c r="Q1553" s="94"/>
      <c r="R1553" s="92">
        <v>500</v>
      </c>
      <c r="S1553" s="92">
        <f t="shared" si="247"/>
        <v>0</v>
      </c>
      <c r="T1553" s="254">
        <f t="shared" si="248"/>
        <v>960</v>
      </c>
      <c r="U1553" s="91">
        <f t="shared" si="249"/>
        <v>0</v>
      </c>
      <c r="V1553" s="91">
        <f t="shared" si="250"/>
        <v>0</v>
      </c>
      <c r="W1553" s="101">
        <v>0</v>
      </c>
      <c r="X1553" s="55">
        <f t="shared" si="251"/>
        <v>46153.2</v>
      </c>
    </row>
    <row r="1554" spans="1:24" hidden="1" x14ac:dyDescent="0.35">
      <c r="A1554" s="46">
        <f t="shared" si="252"/>
        <v>46153.2</v>
      </c>
      <c r="B1554" s="46"/>
      <c r="C1554" s="46"/>
      <c r="D1554" s="46"/>
      <c r="E1554" s="47" t="s">
        <v>43</v>
      </c>
      <c r="F1554" s="69" t="s">
        <v>645</v>
      </c>
      <c r="G1554" s="69"/>
      <c r="H1554" s="98" t="s">
        <v>2502</v>
      </c>
      <c r="I1554" s="71" t="s">
        <v>148</v>
      </c>
      <c r="J1554" s="51" t="s">
        <v>140</v>
      </c>
      <c r="K1554" s="91">
        <v>0</v>
      </c>
      <c r="L1554" s="91">
        <v>0</v>
      </c>
      <c r="M1554" s="92">
        <v>90</v>
      </c>
      <c r="N1554" s="94">
        <v>2000</v>
      </c>
      <c r="O1554" s="253">
        <v>1</v>
      </c>
      <c r="P1554" s="94">
        <f t="shared" si="253"/>
        <v>2000</v>
      </c>
      <c r="Q1554" s="94"/>
      <c r="R1554" s="92">
        <v>2000</v>
      </c>
      <c r="S1554" s="92">
        <f t="shared" si="247"/>
        <v>0</v>
      </c>
      <c r="T1554" s="254">
        <f t="shared" si="248"/>
        <v>960</v>
      </c>
      <c r="U1554" s="91">
        <f t="shared" si="249"/>
        <v>0</v>
      </c>
      <c r="V1554" s="91">
        <f t="shared" si="250"/>
        <v>0</v>
      </c>
      <c r="W1554" s="101">
        <v>0</v>
      </c>
      <c r="X1554" s="55">
        <f t="shared" si="251"/>
        <v>46153.2</v>
      </c>
    </row>
    <row r="1555" spans="1:24" hidden="1" x14ac:dyDescent="0.35">
      <c r="A1555" s="46">
        <f t="shared" si="252"/>
        <v>46153.2</v>
      </c>
      <c r="B1555" s="46"/>
      <c r="C1555" s="46"/>
      <c r="D1555" s="46"/>
      <c r="E1555" s="47" t="s">
        <v>43</v>
      </c>
      <c r="F1555" s="69" t="s">
        <v>647</v>
      </c>
      <c r="G1555" s="69"/>
      <c r="H1555" s="98" t="s">
        <v>2503</v>
      </c>
      <c r="I1555" s="71" t="s">
        <v>1432</v>
      </c>
      <c r="J1555" s="51" t="s">
        <v>140</v>
      </c>
      <c r="K1555" s="91">
        <v>0</v>
      </c>
      <c r="L1555" s="91">
        <v>0</v>
      </c>
      <c r="M1555" s="92">
        <v>90</v>
      </c>
      <c r="N1555" s="94">
        <v>900</v>
      </c>
      <c r="O1555" s="253">
        <v>1</v>
      </c>
      <c r="P1555" s="94">
        <f t="shared" si="253"/>
        <v>900</v>
      </c>
      <c r="Q1555" s="94"/>
      <c r="R1555" s="92">
        <v>900</v>
      </c>
      <c r="S1555" s="92">
        <f t="shared" si="247"/>
        <v>0</v>
      </c>
      <c r="T1555" s="254">
        <f t="shared" si="248"/>
        <v>960</v>
      </c>
      <c r="U1555" s="91">
        <f t="shared" si="249"/>
        <v>0</v>
      </c>
      <c r="V1555" s="91">
        <f t="shared" si="250"/>
        <v>0</v>
      </c>
      <c r="W1555" s="101">
        <v>0</v>
      </c>
      <c r="X1555" s="55">
        <f t="shared" si="251"/>
        <v>46153.2</v>
      </c>
    </row>
    <row r="1556" spans="1:24" hidden="1" x14ac:dyDescent="0.35">
      <c r="A1556" s="46">
        <f t="shared" si="252"/>
        <v>46153.2</v>
      </c>
      <c r="B1556" s="46"/>
      <c r="C1556" s="46"/>
      <c r="D1556" s="46"/>
      <c r="E1556" s="47" t="s">
        <v>43</v>
      </c>
      <c r="F1556" s="69" t="s">
        <v>2504</v>
      </c>
      <c r="G1556" s="69"/>
      <c r="H1556" s="98" t="s">
        <v>2505</v>
      </c>
      <c r="I1556" s="71" t="s">
        <v>133</v>
      </c>
      <c r="J1556" s="51" t="s">
        <v>140</v>
      </c>
      <c r="K1556" s="91">
        <v>0</v>
      </c>
      <c r="L1556" s="91">
        <v>0</v>
      </c>
      <c r="M1556" s="92">
        <v>90</v>
      </c>
      <c r="N1556" s="94">
        <v>1000</v>
      </c>
      <c r="O1556" s="253">
        <v>1</v>
      </c>
      <c r="P1556" s="94">
        <f t="shared" si="253"/>
        <v>1000</v>
      </c>
      <c r="Q1556" s="94"/>
      <c r="R1556" s="92">
        <v>1000</v>
      </c>
      <c r="S1556" s="92">
        <f t="shared" si="247"/>
        <v>0</v>
      </c>
      <c r="T1556" s="254">
        <f t="shared" si="248"/>
        <v>960</v>
      </c>
      <c r="U1556" s="91">
        <f t="shared" si="249"/>
        <v>0</v>
      </c>
      <c r="V1556" s="91">
        <f t="shared" si="250"/>
        <v>0</v>
      </c>
      <c r="W1556" s="101">
        <v>0</v>
      </c>
      <c r="X1556" s="55">
        <f t="shared" si="251"/>
        <v>46153.2</v>
      </c>
    </row>
    <row r="1557" spans="1:24" hidden="1" x14ac:dyDescent="0.35">
      <c r="A1557" s="46">
        <f t="shared" si="252"/>
        <v>46153.2</v>
      </c>
      <c r="B1557" s="46"/>
      <c r="C1557" s="46"/>
      <c r="D1557" s="46"/>
      <c r="E1557" s="47" t="s">
        <v>43</v>
      </c>
      <c r="F1557" s="69" t="s">
        <v>650</v>
      </c>
      <c r="G1557" s="69"/>
      <c r="H1557" s="98" t="s">
        <v>2506</v>
      </c>
      <c r="I1557" s="71" t="s">
        <v>148</v>
      </c>
      <c r="J1557" s="51" t="s">
        <v>140</v>
      </c>
      <c r="K1557" s="91">
        <v>0</v>
      </c>
      <c r="L1557" s="91">
        <v>0</v>
      </c>
      <c r="M1557" s="92">
        <v>90</v>
      </c>
      <c r="N1557" s="94">
        <v>750</v>
      </c>
      <c r="O1557" s="253">
        <v>1</v>
      </c>
      <c r="P1557" s="94">
        <f t="shared" si="253"/>
        <v>750</v>
      </c>
      <c r="Q1557" s="94"/>
      <c r="R1557" s="92">
        <v>750</v>
      </c>
      <c r="S1557" s="92">
        <f t="shared" si="247"/>
        <v>0</v>
      </c>
      <c r="T1557" s="254">
        <f t="shared" si="248"/>
        <v>960</v>
      </c>
      <c r="U1557" s="91">
        <f t="shared" si="249"/>
        <v>0</v>
      </c>
      <c r="V1557" s="91">
        <f t="shared" si="250"/>
        <v>0</v>
      </c>
      <c r="W1557" s="101">
        <v>0</v>
      </c>
      <c r="X1557" s="55">
        <f t="shared" si="251"/>
        <v>46153.2</v>
      </c>
    </row>
    <row r="1558" spans="1:24" hidden="1" x14ac:dyDescent="0.35">
      <c r="A1558" s="46">
        <f t="shared" si="252"/>
        <v>46153.2</v>
      </c>
      <c r="B1558" s="46"/>
      <c r="C1558" s="46"/>
      <c r="D1558" s="46"/>
      <c r="E1558" s="47" t="s">
        <v>43</v>
      </c>
      <c r="F1558" s="69" t="s">
        <v>2126</v>
      </c>
      <c r="G1558" s="69"/>
      <c r="H1558" s="98" t="s">
        <v>2507</v>
      </c>
      <c r="I1558" s="71" t="s">
        <v>1394</v>
      </c>
      <c r="J1558" s="51" t="s">
        <v>140</v>
      </c>
      <c r="K1558" s="91">
        <v>0</v>
      </c>
      <c r="L1558" s="91">
        <v>0</v>
      </c>
      <c r="M1558" s="92">
        <v>90</v>
      </c>
      <c r="N1558" s="94">
        <v>1500</v>
      </c>
      <c r="O1558" s="253">
        <v>1</v>
      </c>
      <c r="P1558" s="94">
        <f t="shared" si="253"/>
        <v>1500</v>
      </c>
      <c r="Q1558" s="94"/>
      <c r="R1558" s="92">
        <v>1500</v>
      </c>
      <c r="S1558" s="92">
        <f t="shared" si="247"/>
        <v>0</v>
      </c>
      <c r="T1558" s="254">
        <f t="shared" si="248"/>
        <v>960</v>
      </c>
      <c r="U1558" s="91">
        <f t="shared" si="249"/>
        <v>0</v>
      </c>
      <c r="V1558" s="91">
        <f t="shared" si="250"/>
        <v>0</v>
      </c>
      <c r="W1558" s="101">
        <v>0</v>
      </c>
      <c r="X1558" s="55">
        <f t="shared" si="251"/>
        <v>46153.2</v>
      </c>
    </row>
    <row r="1559" spans="1:24" hidden="1" x14ac:dyDescent="0.35">
      <c r="A1559" s="46">
        <f t="shared" si="252"/>
        <v>46153.2</v>
      </c>
      <c r="B1559" s="46"/>
      <c r="C1559" s="46"/>
      <c r="D1559" s="46"/>
      <c r="E1559" s="47" t="s">
        <v>43</v>
      </c>
      <c r="F1559" s="69" t="s">
        <v>657</v>
      </c>
      <c r="G1559" s="69"/>
      <c r="H1559" s="98" t="s">
        <v>2508</v>
      </c>
      <c r="I1559" s="71" t="s">
        <v>1394</v>
      </c>
      <c r="J1559" s="51" t="s">
        <v>140</v>
      </c>
      <c r="K1559" s="91">
        <v>0</v>
      </c>
      <c r="L1559" s="91">
        <v>0</v>
      </c>
      <c r="M1559" s="92">
        <v>90</v>
      </c>
      <c r="N1559" s="94">
        <v>500</v>
      </c>
      <c r="O1559" s="253">
        <v>1</v>
      </c>
      <c r="P1559" s="94">
        <f t="shared" si="253"/>
        <v>500</v>
      </c>
      <c r="Q1559" s="94"/>
      <c r="R1559" s="92">
        <v>500</v>
      </c>
      <c r="S1559" s="92">
        <f t="shared" si="247"/>
        <v>0</v>
      </c>
      <c r="T1559" s="254">
        <f t="shared" si="248"/>
        <v>960</v>
      </c>
      <c r="U1559" s="91">
        <f t="shared" si="249"/>
        <v>0</v>
      </c>
      <c r="V1559" s="91">
        <f t="shared" si="250"/>
        <v>0</v>
      </c>
      <c r="W1559" s="101">
        <v>0</v>
      </c>
      <c r="X1559" s="55">
        <f t="shared" si="251"/>
        <v>46153.2</v>
      </c>
    </row>
    <row r="1560" spans="1:24" hidden="1" x14ac:dyDescent="0.35">
      <c r="A1560" s="46">
        <f t="shared" si="252"/>
        <v>46153.2</v>
      </c>
      <c r="B1560" s="46"/>
      <c r="C1560" s="46"/>
      <c r="D1560" s="46"/>
      <c r="E1560" s="47" t="s">
        <v>43</v>
      </c>
      <c r="F1560" s="69" t="s">
        <v>657</v>
      </c>
      <c r="G1560" s="69"/>
      <c r="H1560" s="98" t="s">
        <v>2509</v>
      </c>
      <c r="I1560" s="71" t="s">
        <v>145</v>
      </c>
      <c r="J1560" s="51" t="s">
        <v>140</v>
      </c>
      <c r="K1560" s="91">
        <v>0</v>
      </c>
      <c r="L1560" s="91">
        <v>0</v>
      </c>
      <c r="M1560" s="92">
        <v>90</v>
      </c>
      <c r="N1560" s="94">
        <v>300</v>
      </c>
      <c r="O1560" s="253">
        <v>1</v>
      </c>
      <c r="P1560" s="94">
        <f t="shared" si="253"/>
        <v>300</v>
      </c>
      <c r="Q1560" s="94"/>
      <c r="R1560" s="92">
        <v>300</v>
      </c>
      <c r="S1560" s="92">
        <f t="shared" si="247"/>
        <v>0</v>
      </c>
      <c r="T1560" s="254">
        <f t="shared" si="248"/>
        <v>960</v>
      </c>
      <c r="U1560" s="91">
        <f t="shared" si="249"/>
        <v>0</v>
      </c>
      <c r="V1560" s="91">
        <f t="shared" si="250"/>
        <v>0</v>
      </c>
      <c r="W1560" s="101">
        <v>0</v>
      </c>
      <c r="X1560" s="55">
        <f t="shared" si="251"/>
        <v>46153.2</v>
      </c>
    </row>
    <row r="1561" spans="1:24" hidden="1" x14ac:dyDescent="0.35">
      <c r="A1561" s="46">
        <f t="shared" si="252"/>
        <v>46153.2</v>
      </c>
      <c r="B1561" s="46"/>
      <c r="C1561" s="46"/>
      <c r="D1561" s="46"/>
      <c r="E1561" s="47" t="s">
        <v>43</v>
      </c>
      <c r="F1561" s="69" t="s">
        <v>2131</v>
      </c>
      <c r="G1561" s="69"/>
      <c r="H1561" s="98" t="s">
        <v>2510</v>
      </c>
      <c r="I1561" s="71" t="s">
        <v>1391</v>
      </c>
      <c r="J1561" s="51" t="s">
        <v>140</v>
      </c>
      <c r="K1561" s="91">
        <v>0</v>
      </c>
      <c r="L1561" s="91">
        <v>0</v>
      </c>
      <c r="M1561" s="92">
        <v>90</v>
      </c>
      <c r="N1561" s="94">
        <v>5250</v>
      </c>
      <c r="O1561" s="253">
        <v>1</v>
      </c>
      <c r="P1561" s="94">
        <f t="shared" si="253"/>
        <v>5250</v>
      </c>
      <c r="Q1561" s="94"/>
      <c r="R1561" s="92">
        <v>5250</v>
      </c>
      <c r="S1561" s="92">
        <f t="shared" si="247"/>
        <v>0</v>
      </c>
      <c r="T1561" s="254">
        <f t="shared" si="248"/>
        <v>960</v>
      </c>
      <c r="U1561" s="91">
        <f t="shared" si="249"/>
        <v>0</v>
      </c>
      <c r="V1561" s="91">
        <f t="shared" si="250"/>
        <v>0</v>
      </c>
      <c r="W1561" s="101">
        <v>0</v>
      </c>
      <c r="X1561" s="55">
        <f t="shared" si="251"/>
        <v>46153.2</v>
      </c>
    </row>
    <row r="1562" spans="1:24" hidden="1" x14ac:dyDescent="0.35">
      <c r="A1562" s="46">
        <f t="shared" si="252"/>
        <v>46153.2</v>
      </c>
      <c r="B1562" s="46"/>
      <c r="C1562" s="46"/>
      <c r="D1562" s="46"/>
      <c r="E1562" s="47" t="s">
        <v>43</v>
      </c>
      <c r="F1562" s="69" t="s">
        <v>654</v>
      </c>
      <c r="G1562" s="69"/>
      <c r="H1562" s="98" t="s">
        <v>2511</v>
      </c>
      <c r="I1562" s="71" t="s">
        <v>186</v>
      </c>
      <c r="J1562" s="51" t="s">
        <v>140</v>
      </c>
      <c r="K1562" s="91">
        <v>0</v>
      </c>
      <c r="L1562" s="91">
        <v>0</v>
      </c>
      <c r="M1562" s="92">
        <v>90</v>
      </c>
      <c r="N1562" s="94">
        <v>2000</v>
      </c>
      <c r="O1562" s="253">
        <v>1</v>
      </c>
      <c r="P1562" s="94">
        <f t="shared" si="253"/>
        <v>2000</v>
      </c>
      <c r="Q1562" s="94"/>
      <c r="R1562" s="92">
        <v>2000</v>
      </c>
      <c r="S1562" s="92">
        <f t="shared" si="247"/>
        <v>0</v>
      </c>
      <c r="T1562" s="254">
        <f t="shared" si="248"/>
        <v>960</v>
      </c>
      <c r="U1562" s="91">
        <f t="shared" si="249"/>
        <v>0</v>
      </c>
      <c r="V1562" s="91">
        <f t="shared" si="250"/>
        <v>0</v>
      </c>
      <c r="W1562" s="101">
        <v>0</v>
      </c>
      <c r="X1562" s="55">
        <f t="shared" si="251"/>
        <v>46153.2</v>
      </c>
    </row>
    <row r="1563" spans="1:24" hidden="1" x14ac:dyDescent="0.35">
      <c r="A1563" s="46">
        <f t="shared" si="252"/>
        <v>46153.2</v>
      </c>
      <c r="B1563" s="46"/>
      <c r="C1563" s="46"/>
      <c r="D1563" s="46"/>
      <c r="E1563" s="47" t="s">
        <v>43</v>
      </c>
      <c r="F1563" s="69" t="s">
        <v>2126</v>
      </c>
      <c r="G1563" s="69"/>
      <c r="H1563" s="98" t="s">
        <v>2512</v>
      </c>
      <c r="I1563" s="71" t="s">
        <v>2513</v>
      </c>
      <c r="J1563" s="51" t="s">
        <v>140</v>
      </c>
      <c r="K1563" s="91">
        <v>0</v>
      </c>
      <c r="L1563" s="91">
        <v>0</v>
      </c>
      <c r="M1563" s="92">
        <v>90</v>
      </c>
      <c r="N1563" s="94">
        <v>1800</v>
      </c>
      <c r="O1563" s="253">
        <v>1</v>
      </c>
      <c r="P1563" s="94">
        <f t="shared" si="253"/>
        <v>1800</v>
      </c>
      <c r="Q1563" s="94"/>
      <c r="R1563" s="92">
        <v>1800</v>
      </c>
      <c r="S1563" s="92">
        <f t="shared" si="247"/>
        <v>0</v>
      </c>
      <c r="T1563" s="254">
        <f t="shared" si="248"/>
        <v>960</v>
      </c>
      <c r="U1563" s="91">
        <f t="shared" si="249"/>
        <v>0</v>
      </c>
      <c r="V1563" s="91">
        <f t="shared" si="250"/>
        <v>0</v>
      </c>
      <c r="W1563" s="101">
        <v>0</v>
      </c>
      <c r="X1563" s="55">
        <f t="shared" si="251"/>
        <v>46153.2</v>
      </c>
    </row>
    <row r="1564" spans="1:24" hidden="1" x14ac:dyDescent="0.35">
      <c r="A1564" s="46">
        <f t="shared" si="252"/>
        <v>46153.2</v>
      </c>
      <c r="B1564" s="46"/>
      <c r="C1564" s="46"/>
      <c r="D1564" s="46"/>
      <c r="E1564" s="47" t="s">
        <v>64</v>
      </c>
      <c r="F1564" s="56" t="s">
        <v>2514</v>
      </c>
      <c r="G1564" s="56"/>
      <c r="H1564" s="49" t="s">
        <v>2515</v>
      </c>
      <c r="I1564" s="99" t="s">
        <v>2516</v>
      </c>
      <c r="J1564" s="51" t="s">
        <v>140</v>
      </c>
      <c r="K1564" s="52">
        <v>0</v>
      </c>
      <c r="L1564" s="52">
        <v>0</v>
      </c>
      <c r="M1564" s="53">
        <v>50</v>
      </c>
      <c r="N1564" s="54">
        <v>3389</v>
      </c>
      <c r="O1564" s="341">
        <v>1</v>
      </c>
      <c r="P1564" s="103">
        <f t="shared" si="253"/>
        <v>3389</v>
      </c>
      <c r="Q1564" s="103"/>
      <c r="R1564" s="92">
        <v>3389</v>
      </c>
      <c r="S1564" s="53">
        <f t="shared" ref="S1564:S1627" si="254">P1564-R1564</f>
        <v>0</v>
      </c>
      <c r="T1564" s="343">
        <f t="shared" ref="T1564:T1627" si="255">((3600/M1564)*O1564)*24</f>
        <v>1728</v>
      </c>
      <c r="U1564" s="52">
        <f t="shared" ref="U1564:U1627" si="256">(P1564-R1564)*M1564/3600</f>
        <v>0</v>
      </c>
      <c r="V1564" s="52">
        <f t="shared" ref="V1564:V1627" si="257">(P1564-R1564)*M1564/3600/24</f>
        <v>0</v>
      </c>
      <c r="W1564" s="52">
        <v>0</v>
      </c>
      <c r="X1564" s="55">
        <f t="shared" ref="X1564:X1627" si="258">A1564+K1564+V1564+W1564+L1564</f>
        <v>46153.2</v>
      </c>
    </row>
    <row r="1565" spans="1:24" hidden="1" x14ac:dyDescent="0.35">
      <c r="A1565" s="46">
        <f t="shared" ref="A1565:A1628" si="259">X1564</f>
        <v>46153.2</v>
      </c>
      <c r="B1565" s="46"/>
      <c r="C1565" s="46"/>
      <c r="D1565" s="46"/>
      <c r="E1565" s="47" t="s">
        <v>43</v>
      </c>
      <c r="F1565" s="56" t="s">
        <v>2517</v>
      </c>
      <c r="G1565" s="56"/>
      <c r="H1565" s="49" t="s">
        <v>2518</v>
      </c>
      <c r="I1565" s="99" t="s">
        <v>2519</v>
      </c>
      <c r="J1565" s="51" t="s">
        <v>140</v>
      </c>
      <c r="K1565" s="52">
        <v>0</v>
      </c>
      <c r="L1565" s="52">
        <v>0</v>
      </c>
      <c r="M1565" s="53">
        <v>50</v>
      </c>
      <c r="N1565" s="54">
        <v>1180</v>
      </c>
      <c r="O1565" s="341">
        <v>1</v>
      </c>
      <c r="P1565" s="103">
        <f t="shared" si="253"/>
        <v>1180</v>
      </c>
      <c r="Q1565" s="103"/>
      <c r="R1565" s="92">
        <v>1180</v>
      </c>
      <c r="S1565" s="53">
        <f t="shared" si="254"/>
        <v>0</v>
      </c>
      <c r="T1565" s="343">
        <f t="shared" si="255"/>
        <v>1728</v>
      </c>
      <c r="U1565" s="52">
        <f t="shared" si="256"/>
        <v>0</v>
      </c>
      <c r="V1565" s="52">
        <f t="shared" si="257"/>
        <v>0</v>
      </c>
      <c r="W1565" s="52">
        <v>0</v>
      </c>
      <c r="X1565" s="55">
        <f t="shared" si="258"/>
        <v>46153.2</v>
      </c>
    </row>
    <row r="1566" spans="1:24" hidden="1" x14ac:dyDescent="0.35">
      <c r="A1566" s="46">
        <f t="shared" si="259"/>
        <v>46153.2</v>
      </c>
      <c r="B1566" s="46"/>
      <c r="C1566" s="46"/>
      <c r="D1566" s="46"/>
      <c r="E1566" s="47" t="s">
        <v>43</v>
      </c>
      <c r="F1566" s="56" t="s">
        <v>2520</v>
      </c>
      <c r="G1566" s="56"/>
      <c r="H1566" s="49" t="s">
        <v>2521</v>
      </c>
      <c r="I1566" s="99" t="s">
        <v>231</v>
      </c>
      <c r="J1566" s="51" t="s">
        <v>140</v>
      </c>
      <c r="K1566" s="52">
        <v>0</v>
      </c>
      <c r="L1566" s="52">
        <v>0</v>
      </c>
      <c r="M1566" s="53">
        <v>50</v>
      </c>
      <c r="N1566" s="54">
        <v>2642</v>
      </c>
      <c r="O1566" s="341">
        <v>1</v>
      </c>
      <c r="P1566" s="103">
        <f t="shared" si="253"/>
        <v>2642</v>
      </c>
      <c r="Q1566" s="103"/>
      <c r="R1566" s="92">
        <v>2642</v>
      </c>
      <c r="S1566" s="53">
        <f t="shared" si="254"/>
        <v>0</v>
      </c>
      <c r="T1566" s="343">
        <f t="shared" si="255"/>
        <v>1728</v>
      </c>
      <c r="U1566" s="52">
        <f t="shared" si="256"/>
        <v>0</v>
      </c>
      <c r="V1566" s="52">
        <f t="shared" si="257"/>
        <v>0</v>
      </c>
      <c r="W1566" s="52">
        <v>0</v>
      </c>
      <c r="X1566" s="55">
        <f t="shared" si="258"/>
        <v>46153.2</v>
      </c>
    </row>
    <row r="1567" spans="1:24" hidden="1" x14ac:dyDescent="0.35">
      <c r="A1567" s="46">
        <f t="shared" si="259"/>
        <v>46153.2</v>
      </c>
      <c r="B1567" s="46"/>
      <c r="C1567" s="46"/>
      <c r="D1567" s="46"/>
      <c r="E1567" s="47" t="s">
        <v>64</v>
      </c>
      <c r="F1567" s="48" t="s">
        <v>1788</v>
      </c>
      <c r="G1567" s="48"/>
      <c r="H1567" s="59" t="s">
        <v>2522</v>
      </c>
      <c r="I1567" s="82" t="s">
        <v>1260</v>
      </c>
      <c r="J1567" s="51" t="s">
        <v>140</v>
      </c>
      <c r="K1567" s="52">
        <v>0</v>
      </c>
      <c r="L1567" s="52">
        <v>0</v>
      </c>
      <c r="M1567" s="53">
        <v>120</v>
      </c>
      <c r="N1567" s="54">
        <v>1000</v>
      </c>
      <c r="O1567" s="341">
        <v>1</v>
      </c>
      <c r="P1567" s="54">
        <f t="shared" si="253"/>
        <v>1000</v>
      </c>
      <c r="Q1567" s="54"/>
      <c r="R1567" s="92">
        <v>1000</v>
      </c>
      <c r="S1567" s="53">
        <f t="shared" si="254"/>
        <v>0</v>
      </c>
      <c r="T1567" s="343">
        <f t="shared" si="255"/>
        <v>720</v>
      </c>
      <c r="U1567" s="52">
        <f t="shared" si="256"/>
        <v>0</v>
      </c>
      <c r="V1567" s="52">
        <f t="shared" si="257"/>
        <v>0</v>
      </c>
      <c r="W1567" s="52">
        <v>0</v>
      </c>
      <c r="X1567" s="55">
        <f t="shared" si="258"/>
        <v>46153.2</v>
      </c>
    </row>
    <row r="1568" spans="1:24" hidden="1" x14ac:dyDescent="0.35">
      <c r="A1568" s="46">
        <f t="shared" si="259"/>
        <v>46153.2</v>
      </c>
      <c r="B1568" s="46"/>
      <c r="C1568" s="46"/>
      <c r="D1568" s="46"/>
      <c r="E1568" s="47" t="s">
        <v>64</v>
      </c>
      <c r="F1568" s="48" t="s">
        <v>633</v>
      </c>
      <c r="G1568" s="48"/>
      <c r="H1568" s="59" t="s">
        <v>2523</v>
      </c>
      <c r="I1568" s="82" t="s">
        <v>1260</v>
      </c>
      <c r="J1568" s="51" t="s">
        <v>283</v>
      </c>
      <c r="K1568" s="52">
        <v>0</v>
      </c>
      <c r="L1568" s="52">
        <v>0</v>
      </c>
      <c r="M1568" s="53">
        <v>120</v>
      </c>
      <c r="N1568" s="54">
        <v>2520</v>
      </c>
      <c r="O1568" s="341">
        <v>1</v>
      </c>
      <c r="P1568" s="54">
        <f t="shared" si="253"/>
        <v>2520</v>
      </c>
      <c r="Q1568" s="54"/>
      <c r="R1568" s="92">
        <v>2520</v>
      </c>
      <c r="S1568" s="53">
        <f t="shared" si="254"/>
        <v>0</v>
      </c>
      <c r="T1568" s="343">
        <f t="shared" si="255"/>
        <v>720</v>
      </c>
      <c r="U1568" s="52">
        <f t="shared" si="256"/>
        <v>0</v>
      </c>
      <c r="V1568" s="52">
        <f t="shared" si="257"/>
        <v>0</v>
      </c>
      <c r="W1568" s="52">
        <v>0</v>
      </c>
      <c r="X1568" s="55">
        <f t="shared" si="258"/>
        <v>46153.2</v>
      </c>
    </row>
    <row r="1569" spans="1:24" hidden="1" x14ac:dyDescent="0.35">
      <c r="A1569" s="46">
        <f t="shared" si="259"/>
        <v>46153.2</v>
      </c>
      <c r="B1569" s="46"/>
      <c r="C1569" s="46"/>
      <c r="D1569" s="46"/>
      <c r="E1569" s="47" t="s">
        <v>64</v>
      </c>
      <c r="F1569" s="82" t="s">
        <v>1790</v>
      </c>
      <c r="G1569" s="82"/>
      <c r="H1569" s="107" t="s">
        <v>2524</v>
      </c>
      <c r="I1569" s="82" t="s">
        <v>1260</v>
      </c>
      <c r="J1569" s="51" t="s">
        <v>140</v>
      </c>
      <c r="K1569" s="91">
        <v>0</v>
      </c>
      <c r="L1569" s="91">
        <v>0</v>
      </c>
      <c r="M1569" s="92">
        <v>120</v>
      </c>
      <c r="N1569" s="94">
        <v>2000</v>
      </c>
      <c r="O1569" s="253">
        <v>1</v>
      </c>
      <c r="P1569" s="94">
        <f t="shared" si="253"/>
        <v>2000</v>
      </c>
      <c r="Q1569" s="94"/>
      <c r="R1569" s="92">
        <v>2000</v>
      </c>
      <c r="S1569" s="92">
        <f t="shared" si="254"/>
        <v>0</v>
      </c>
      <c r="T1569" s="254">
        <f t="shared" si="255"/>
        <v>720</v>
      </c>
      <c r="U1569" s="91">
        <f t="shared" si="256"/>
        <v>0</v>
      </c>
      <c r="V1569" s="91">
        <f t="shared" si="257"/>
        <v>0</v>
      </c>
      <c r="W1569" s="91">
        <v>0</v>
      </c>
      <c r="X1569" s="55">
        <f t="shared" si="258"/>
        <v>46153.2</v>
      </c>
    </row>
    <row r="1570" spans="1:24" hidden="1" x14ac:dyDescent="0.35">
      <c r="A1570" s="46">
        <f t="shared" si="259"/>
        <v>46153.2</v>
      </c>
      <c r="B1570" s="46"/>
      <c r="C1570" s="46"/>
      <c r="D1570" s="46"/>
      <c r="E1570" s="47" t="s">
        <v>64</v>
      </c>
      <c r="F1570" s="82" t="s">
        <v>1790</v>
      </c>
      <c r="G1570" s="82"/>
      <c r="H1570" s="107" t="s">
        <v>2525</v>
      </c>
      <c r="I1570" s="82" t="s">
        <v>1260</v>
      </c>
      <c r="J1570" s="51" t="s">
        <v>140</v>
      </c>
      <c r="K1570" s="91">
        <v>0</v>
      </c>
      <c r="L1570" s="91">
        <v>0</v>
      </c>
      <c r="M1570" s="92">
        <v>120</v>
      </c>
      <c r="N1570" s="94">
        <v>3437</v>
      </c>
      <c r="O1570" s="253">
        <v>1</v>
      </c>
      <c r="P1570" s="94">
        <f t="shared" si="253"/>
        <v>3437</v>
      </c>
      <c r="Q1570" s="94"/>
      <c r="R1570" s="92">
        <v>3437</v>
      </c>
      <c r="S1570" s="92">
        <f t="shared" si="254"/>
        <v>0</v>
      </c>
      <c r="T1570" s="254">
        <f t="shared" si="255"/>
        <v>720</v>
      </c>
      <c r="U1570" s="91">
        <f t="shared" si="256"/>
        <v>0</v>
      </c>
      <c r="V1570" s="91">
        <f t="shared" si="257"/>
        <v>0</v>
      </c>
      <c r="W1570" s="91">
        <v>0</v>
      </c>
      <c r="X1570" s="55">
        <f t="shared" si="258"/>
        <v>46153.2</v>
      </c>
    </row>
    <row r="1571" spans="1:24" s="221" customFormat="1" hidden="1" x14ac:dyDescent="0.35">
      <c r="A1571" s="46">
        <f t="shared" si="259"/>
        <v>46153.2</v>
      </c>
      <c r="B1571" s="46"/>
      <c r="C1571" s="46"/>
      <c r="D1571" s="46"/>
      <c r="E1571" s="47" t="s">
        <v>64</v>
      </c>
      <c r="F1571" s="82" t="s">
        <v>1794</v>
      </c>
      <c r="G1571" s="82"/>
      <c r="H1571" s="107" t="s">
        <v>2526</v>
      </c>
      <c r="I1571" s="82" t="s">
        <v>1260</v>
      </c>
      <c r="J1571" s="51" t="s">
        <v>140</v>
      </c>
      <c r="K1571" s="91">
        <v>0</v>
      </c>
      <c r="L1571" s="91">
        <v>0</v>
      </c>
      <c r="M1571" s="92">
        <v>120</v>
      </c>
      <c r="N1571" s="94">
        <v>2250</v>
      </c>
      <c r="O1571" s="253">
        <v>1</v>
      </c>
      <c r="P1571" s="94">
        <f t="shared" si="253"/>
        <v>2250</v>
      </c>
      <c r="Q1571" s="94"/>
      <c r="R1571" s="92">
        <v>2250</v>
      </c>
      <c r="S1571" s="92">
        <f t="shared" si="254"/>
        <v>0</v>
      </c>
      <c r="T1571" s="254">
        <f t="shared" si="255"/>
        <v>720</v>
      </c>
      <c r="U1571" s="91">
        <f t="shared" si="256"/>
        <v>0</v>
      </c>
      <c r="V1571" s="91">
        <f t="shared" si="257"/>
        <v>0</v>
      </c>
      <c r="W1571" s="91">
        <v>0</v>
      </c>
      <c r="X1571" s="55">
        <f t="shared" si="258"/>
        <v>46153.2</v>
      </c>
    </row>
    <row r="1572" spans="1:24" s="221" customFormat="1" hidden="1" x14ac:dyDescent="0.35">
      <c r="A1572" s="46">
        <f t="shared" si="259"/>
        <v>46153.2</v>
      </c>
      <c r="B1572" s="46"/>
      <c r="C1572" s="46"/>
      <c r="D1572" s="46"/>
      <c r="E1572" s="47" t="s">
        <v>64</v>
      </c>
      <c r="F1572" s="82" t="s">
        <v>1794</v>
      </c>
      <c r="G1572" s="82"/>
      <c r="H1572" s="107" t="s">
        <v>2526</v>
      </c>
      <c r="I1572" s="82" t="s">
        <v>1260</v>
      </c>
      <c r="J1572" s="51" t="s">
        <v>140</v>
      </c>
      <c r="K1572" s="91">
        <v>0</v>
      </c>
      <c r="L1572" s="91">
        <v>0</v>
      </c>
      <c r="M1572" s="92">
        <v>120</v>
      </c>
      <c r="N1572" s="94">
        <v>2250</v>
      </c>
      <c r="O1572" s="253">
        <v>1</v>
      </c>
      <c r="P1572" s="94">
        <f t="shared" si="253"/>
        <v>2250</v>
      </c>
      <c r="Q1572" s="94"/>
      <c r="R1572" s="92">
        <v>2250</v>
      </c>
      <c r="S1572" s="92">
        <f t="shared" si="254"/>
        <v>0</v>
      </c>
      <c r="T1572" s="254">
        <f t="shared" si="255"/>
        <v>720</v>
      </c>
      <c r="U1572" s="91">
        <f t="shared" si="256"/>
        <v>0</v>
      </c>
      <c r="V1572" s="91">
        <f t="shared" si="257"/>
        <v>0</v>
      </c>
      <c r="W1572" s="91">
        <v>0</v>
      </c>
      <c r="X1572" s="55">
        <f t="shared" si="258"/>
        <v>46153.2</v>
      </c>
    </row>
    <row r="1573" spans="1:24" ht="39.5" hidden="1" x14ac:dyDescent="0.35">
      <c r="A1573" s="46">
        <f t="shared" si="259"/>
        <v>46153.2</v>
      </c>
      <c r="B1573" s="46"/>
      <c r="C1573" s="46"/>
      <c r="D1573" s="46"/>
      <c r="E1573" s="47" t="s">
        <v>64</v>
      </c>
      <c r="F1573" s="69" t="s">
        <v>2141</v>
      </c>
      <c r="G1573" s="69"/>
      <c r="H1573" s="98" t="s">
        <v>2527</v>
      </c>
      <c r="I1573" s="69" t="s">
        <v>2528</v>
      </c>
      <c r="J1573" s="51" t="s">
        <v>140</v>
      </c>
      <c r="K1573" s="91">
        <v>0</v>
      </c>
      <c r="L1573" s="91">
        <v>0</v>
      </c>
      <c r="M1573" s="92">
        <v>100</v>
      </c>
      <c r="N1573" s="94">
        <v>500</v>
      </c>
      <c r="O1573" s="253">
        <v>1</v>
      </c>
      <c r="P1573" s="94">
        <f t="shared" si="253"/>
        <v>500</v>
      </c>
      <c r="Q1573" s="94"/>
      <c r="R1573" s="92">
        <v>500</v>
      </c>
      <c r="S1573" s="92">
        <f t="shared" si="254"/>
        <v>0</v>
      </c>
      <c r="T1573" s="254">
        <f t="shared" si="255"/>
        <v>864</v>
      </c>
      <c r="U1573" s="91">
        <f t="shared" si="256"/>
        <v>0</v>
      </c>
      <c r="V1573" s="91">
        <f t="shared" si="257"/>
        <v>0</v>
      </c>
      <c r="W1573" s="91">
        <v>0</v>
      </c>
      <c r="X1573" s="55">
        <f t="shared" si="258"/>
        <v>46153.2</v>
      </c>
    </row>
    <row r="1574" spans="1:24" hidden="1" x14ac:dyDescent="0.35">
      <c r="A1574" s="46">
        <f t="shared" si="259"/>
        <v>46153.2</v>
      </c>
      <c r="B1574" s="46"/>
      <c r="C1574" s="46"/>
      <c r="D1574" s="46"/>
      <c r="E1574" s="47" t="s">
        <v>64</v>
      </c>
      <c r="F1574" s="69" t="s">
        <v>1190</v>
      </c>
      <c r="G1574" s="69"/>
      <c r="H1574" s="98" t="s">
        <v>2529</v>
      </c>
      <c r="I1574" s="69" t="s">
        <v>565</v>
      </c>
      <c r="J1574" s="51" t="s">
        <v>140</v>
      </c>
      <c r="K1574" s="91">
        <v>0</v>
      </c>
      <c r="L1574" s="91">
        <v>0</v>
      </c>
      <c r="M1574" s="92">
        <v>100</v>
      </c>
      <c r="N1574" s="94">
        <v>500</v>
      </c>
      <c r="O1574" s="253">
        <v>1</v>
      </c>
      <c r="P1574" s="94">
        <f t="shared" si="253"/>
        <v>500</v>
      </c>
      <c r="Q1574" s="94"/>
      <c r="R1574" s="92">
        <v>500</v>
      </c>
      <c r="S1574" s="92">
        <f t="shared" si="254"/>
        <v>0</v>
      </c>
      <c r="T1574" s="254">
        <f t="shared" si="255"/>
        <v>864</v>
      </c>
      <c r="U1574" s="91">
        <f t="shared" si="256"/>
        <v>0</v>
      </c>
      <c r="V1574" s="91">
        <f t="shared" si="257"/>
        <v>0</v>
      </c>
      <c r="W1574" s="91">
        <v>0</v>
      </c>
      <c r="X1574" s="55">
        <f t="shared" si="258"/>
        <v>46153.2</v>
      </c>
    </row>
    <row r="1575" spans="1:24" ht="26.5" hidden="1" x14ac:dyDescent="0.35">
      <c r="A1575" s="46">
        <f t="shared" si="259"/>
        <v>46153.2</v>
      </c>
      <c r="B1575" s="46"/>
      <c r="C1575" s="46"/>
      <c r="D1575" s="46"/>
      <c r="E1575" s="47" t="s">
        <v>64</v>
      </c>
      <c r="F1575" s="69" t="s">
        <v>2138</v>
      </c>
      <c r="G1575" s="69"/>
      <c r="H1575" s="98" t="s">
        <v>2530</v>
      </c>
      <c r="I1575" s="69" t="s">
        <v>2531</v>
      </c>
      <c r="J1575" s="51" t="s">
        <v>140</v>
      </c>
      <c r="K1575" s="91">
        <v>0</v>
      </c>
      <c r="L1575" s="91">
        <v>0</v>
      </c>
      <c r="M1575" s="92">
        <v>100</v>
      </c>
      <c r="N1575" s="94">
        <v>1500</v>
      </c>
      <c r="O1575" s="253">
        <v>1</v>
      </c>
      <c r="P1575" s="94">
        <f t="shared" si="253"/>
        <v>1500</v>
      </c>
      <c r="Q1575" s="94"/>
      <c r="R1575" s="92">
        <v>1500</v>
      </c>
      <c r="S1575" s="92">
        <f t="shared" si="254"/>
        <v>0</v>
      </c>
      <c r="T1575" s="254">
        <f t="shared" si="255"/>
        <v>864</v>
      </c>
      <c r="U1575" s="91">
        <f t="shared" si="256"/>
        <v>0</v>
      </c>
      <c r="V1575" s="91">
        <f t="shared" si="257"/>
        <v>0</v>
      </c>
      <c r="W1575" s="91">
        <v>0</v>
      </c>
      <c r="X1575" s="55">
        <f t="shared" si="258"/>
        <v>46153.2</v>
      </c>
    </row>
    <row r="1576" spans="1:24" hidden="1" x14ac:dyDescent="0.35">
      <c r="A1576" s="46">
        <f t="shared" si="259"/>
        <v>46153.2</v>
      </c>
      <c r="B1576" s="46"/>
      <c r="C1576" s="46"/>
      <c r="D1576" s="46"/>
      <c r="E1576" s="47" t="s">
        <v>64</v>
      </c>
      <c r="F1576" s="69" t="s">
        <v>1190</v>
      </c>
      <c r="G1576" s="69"/>
      <c r="H1576" s="98" t="s">
        <v>2532</v>
      </c>
      <c r="I1576" s="69" t="s">
        <v>983</v>
      </c>
      <c r="J1576" s="51" t="s">
        <v>140</v>
      </c>
      <c r="K1576" s="91">
        <v>0</v>
      </c>
      <c r="L1576" s="91">
        <v>0</v>
      </c>
      <c r="M1576" s="92">
        <v>100</v>
      </c>
      <c r="N1576" s="94">
        <v>100</v>
      </c>
      <c r="O1576" s="253">
        <v>1</v>
      </c>
      <c r="P1576" s="94">
        <f t="shared" si="253"/>
        <v>100</v>
      </c>
      <c r="Q1576" s="94"/>
      <c r="R1576" s="92">
        <v>100</v>
      </c>
      <c r="S1576" s="92">
        <f t="shared" si="254"/>
        <v>0</v>
      </c>
      <c r="T1576" s="254">
        <f t="shared" si="255"/>
        <v>864</v>
      </c>
      <c r="U1576" s="91">
        <f t="shared" si="256"/>
        <v>0</v>
      </c>
      <c r="V1576" s="91">
        <f t="shared" si="257"/>
        <v>0</v>
      </c>
      <c r="W1576" s="91">
        <v>0</v>
      </c>
      <c r="X1576" s="55">
        <f t="shared" si="258"/>
        <v>46153.2</v>
      </c>
    </row>
    <row r="1577" spans="1:24" hidden="1" x14ac:dyDescent="0.35">
      <c r="A1577" s="46">
        <f t="shared" si="259"/>
        <v>46153.2</v>
      </c>
      <c r="B1577" s="46"/>
      <c r="C1577" s="46"/>
      <c r="D1577" s="46"/>
      <c r="E1577" s="47" t="s">
        <v>64</v>
      </c>
      <c r="F1577" s="69" t="s">
        <v>1190</v>
      </c>
      <c r="G1577" s="69"/>
      <c r="H1577" s="98" t="s">
        <v>2533</v>
      </c>
      <c r="I1577" s="69" t="s">
        <v>2534</v>
      </c>
      <c r="J1577" s="51" t="s">
        <v>140</v>
      </c>
      <c r="K1577" s="91">
        <v>0</v>
      </c>
      <c r="L1577" s="91">
        <v>0</v>
      </c>
      <c r="M1577" s="92">
        <v>100</v>
      </c>
      <c r="N1577" s="94">
        <v>100</v>
      </c>
      <c r="O1577" s="253">
        <v>1</v>
      </c>
      <c r="P1577" s="94">
        <f t="shared" si="253"/>
        <v>100</v>
      </c>
      <c r="Q1577" s="94"/>
      <c r="R1577" s="92">
        <v>100</v>
      </c>
      <c r="S1577" s="92">
        <f t="shared" si="254"/>
        <v>0</v>
      </c>
      <c r="T1577" s="254">
        <f t="shared" si="255"/>
        <v>864</v>
      </c>
      <c r="U1577" s="91">
        <f t="shared" si="256"/>
        <v>0</v>
      </c>
      <c r="V1577" s="91">
        <f t="shared" si="257"/>
        <v>0</v>
      </c>
      <c r="W1577" s="91">
        <v>0</v>
      </c>
      <c r="X1577" s="55">
        <f t="shared" si="258"/>
        <v>46153.2</v>
      </c>
    </row>
    <row r="1578" spans="1:24" hidden="1" x14ac:dyDescent="0.35">
      <c r="A1578" s="46">
        <f t="shared" si="259"/>
        <v>46153.2</v>
      </c>
      <c r="B1578" s="46"/>
      <c r="C1578" s="46"/>
      <c r="D1578" s="46"/>
      <c r="E1578" s="47" t="s">
        <v>64</v>
      </c>
      <c r="F1578" s="69" t="s">
        <v>1190</v>
      </c>
      <c r="G1578" s="69"/>
      <c r="H1578" s="98" t="s">
        <v>2535</v>
      </c>
      <c r="I1578" s="69" t="s">
        <v>1023</v>
      </c>
      <c r="J1578" s="51" t="s">
        <v>140</v>
      </c>
      <c r="K1578" s="91">
        <v>0</v>
      </c>
      <c r="L1578" s="91">
        <v>0</v>
      </c>
      <c r="M1578" s="92">
        <v>100</v>
      </c>
      <c r="N1578" s="94">
        <v>150</v>
      </c>
      <c r="O1578" s="253">
        <v>1</v>
      </c>
      <c r="P1578" s="94">
        <f t="shared" si="253"/>
        <v>150</v>
      </c>
      <c r="Q1578" s="94"/>
      <c r="R1578" s="92">
        <v>150</v>
      </c>
      <c r="S1578" s="92">
        <f t="shared" si="254"/>
        <v>0</v>
      </c>
      <c r="T1578" s="254">
        <f t="shared" si="255"/>
        <v>864</v>
      </c>
      <c r="U1578" s="91">
        <f t="shared" si="256"/>
        <v>0</v>
      </c>
      <c r="V1578" s="91">
        <f t="shared" si="257"/>
        <v>0</v>
      </c>
      <c r="W1578" s="91">
        <v>0</v>
      </c>
      <c r="X1578" s="55">
        <f t="shared" si="258"/>
        <v>46153.2</v>
      </c>
    </row>
    <row r="1579" spans="1:24" hidden="1" x14ac:dyDescent="0.35">
      <c r="A1579" s="46">
        <f t="shared" si="259"/>
        <v>46153.2</v>
      </c>
      <c r="B1579" s="46"/>
      <c r="C1579" s="46"/>
      <c r="D1579" s="46"/>
      <c r="E1579" s="47" t="s">
        <v>64</v>
      </c>
      <c r="F1579" s="82" t="s">
        <v>1794</v>
      </c>
      <c r="G1579" s="82"/>
      <c r="H1579" s="107" t="s">
        <v>2526</v>
      </c>
      <c r="I1579" s="82" t="s">
        <v>1260</v>
      </c>
      <c r="J1579" s="51" t="s">
        <v>140</v>
      </c>
      <c r="K1579" s="91">
        <v>0</v>
      </c>
      <c r="L1579" s="91">
        <v>0</v>
      </c>
      <c r="M1579" s="92">
        <v>120</v>
      </c>
      <c r="N1579" s="94">
        <v>384</v>
      </c>
      <c r="O1579" s="253">
        <v>1</v>
      </c>
      <c r="P1579" s="94">
        <f t="shared" si="253"/>
        <v>384</v>
      </c>
      <c r="Q1579" s="94"/>
      <c r="R1579" s="92">
        <v>384</v>
      </c>
      <c r="S1579" s="92">
        <f t="shared" si="254"/>
        <v>0</v>
      </c>
      <c r="T1579" s="254">
        <f t="shared" si="255"/>
        <v>720</v>
      </c>
      <c r="U1579" s="91">
        <f t="shared" si="256"/>
        <v>0</v>
      </c>
      <c r="V1579" s="91">
        <f t="shared" si="257"/>
        <v>0</v>
      </c>
      <c r="W1579" s="91">
        <v>0</v>
      </c>
      <c r="X1579" s="55">
        <f t="shared" si="258"/>
        <v>46153.2</v>
      </c>
    </row>
    <row r="1580" spans="1:24" s="221" customFormat="1" hidden="1" x14ac:dyDescent="0.35">
      <c r="A1580" s="46">
        <f t="shared" si="259"/>
        <v>46153.2</v>
      </c>
      <c r="B1580" s="46"/>
      <c r="C1580" s="46"/>
      <c r="D1580" s="46"/>
      <c r="E1580" s="47" t="s">
        <v>64</v>
      </c>
      <c r="F1580" s="82" t="s">
        <v>1794</v>
      </c>
      <c r="G1580" s="82"/>
      <c r="H1580" s="107" t="s">
        <v>2526</v>
      </c>
      <c r="I1580" s="82" t="s">
        <v>1260</v>
      </c>
      <c r="J1580" s="51" t="s">
        <v>140</v>
      </c>
      <c r="K1580" s="91">
        <v>0</v>
      </c>
      <c r="L1580" s="91">
        <v>0</v>
      </c>
      <c r="M1580" s="92">
        <v>120</v>
      </c>
      <c r="N1580" s="94">
        <v>2250</v>
      </c>
      <c r="O1580" s="253">
        <v>1</v>
      </c>
      <c r="P1580" s="94">
        <f t="shared" si="253"/>
        <v>2250</v>
      </c>
      <c r="Q1580" s="94"/>
      <c r="R1580" s="92">
        <v>2250</v>
      </c>
      <c r="S1580" s="92">
        <f t="shared" si="254"/>
        <v>0</v>
      </c>
      <c r="T1580" s="254">
        <f t="shared" si="255"/>
        <v>720</v>
      </c>
      <c r="U1580" s="91">
        <f t="shared" si="256"/>
        <v>0</v>
      </c>
      <c r="V1580" s="91">
        <f t="shared" si="257"/>
        <v>0</v>
      </c>
      <c r="W1580" s="91">
        <v>0</v>
      </c>
      <c r="X1580" s="55">
        <f t="shared" si="258"/>
        <v>46153.2</v>
      </c>
    </row>
    <row r="1581" spans="1:24" ht="26.5" hidden="1" x14ac:dyDescent="0.35">
      <c r="A1581" s="46">
        <f t="shared" si="259"/>
        <v>46153.2</v>
      </c>
      <c r="B1581" s="46"/>
      <c r="C1581" s="46"/>
      <c r="D1581" s="46"/>
      <c r="E1581" s="47" t="s">
        <v>64</v>
      </c>
      <c r="F1581" s="82" t="s">
        <v>1560</v>
      </c>
      <c r="G1581" s="82"/>
      <c r="H1581" s="107" t="s">
        <v>2536</v>
      </c>
      <c r="I1581" s="82" t="s">
        <v>1260</v>
      </c>
      <c r="J1581" s="51" t="s">
        <v>140</v>
      </c>
      <c r="K1581" s="91">
        <v>0</v>
      </c>
      <c r="L1581" s="91">
        <v>0</v>
      </c>
      <c r="M1581" s="92">
        <v>120</v>
      </c>
      <c r="N1581" s="94">
        <v>7560</v>
      </c>
      <c r="O1581" s="253">
        <v>1</v>
      </c>
      <c r="P1581" s="94">
        <f t="shared" si="253"/>
        <v>7560</v>
      </c>
      <c r="Q1581" s="94"/>
      <c r="R1581" s="92">
        <v>7560</v>
      </c>
      <c r="S1581" s="92">
        <f t="shared" si="254"/>
        <v>0</v>
      </c>
      <c r="T1581" s="254">
        <f t="shared" si="255"/>
        <v>720</v>
      </c>
      <c r="U1581" s="91">
        <f t="shared" si="256"/>
        <v>0</v>
      </c>
      <c r="V1581" s="91">
        <f t="shared" si="257"/>
        <v>0</v>
      </c>
      <c r="W1581" s="91">
        <v>0</v>
      </c>
      <c r="X1581" s="55">
        <f t="shared" si="258"/>
        <v>46153.2</v>
      </c>
    </row>
    <row r="1582" spans="1:24" hidden="1" x14ac:dyDescent="0.35">
      <c r="A1582" s="46">
        <f t="shared" si="259"/>
        <v>46153.2</v>
      </c>
      <c r="B1582" s="46"/>
      <c r="C1582" s="46"/>
      <c r="D1582" s="46"/>
      <c r="E1582" s="47" t="s">
        <v>43</v>
      </c>
      <c r="F1582" s="69" t="s">
        <v>224</v>
      </c>
      <c r="G1582" s="69"/>
      <c r="H1582" s="59" t="s">
        <v>2537</v>
      </c>
      <c r="I1582" s="99" t="s">
        <v>2427</v>
      </c>
      <c r="J1582" s="100" t="s">
        <v>140</v>
      </c>
      <c r="K1582" s="91">
        <v>0</v>
      </c>
      <c r="L1582" s="91">
        <v>0</v>
      </c>
      <c r="M1582" s="53">
        <v>70</v>
      </c>
      <c r="N1582" s="54">
        <v>200</v>
      </c>
      <c r="O1582" s="341">
        <v>1</v>
      </c>
      <c r="P1582" s="94">
        <f t="shared" si="253"/>
        <v>200</v>
      </c>
      <c r="Q1582" s="94"/>
      <c r="R1582" s="92">
        <v>200</v>
      </c>
      <c r="S1582" s="53">
        <f t="shared" si="254"/>
        <v>0</v>
      </c>
      <c r="T1582" s="315">
        <f t="shared" si="255"/>
        <v>1234.2857142857142</v>
      </c>
      <c r="U1582" s="84">
        <f t="shared" si="256"/>
        <v>0</v>
      </c>
      <c r="V1582" s="84">
        <f t="shared" si="257"/>
        <v>0</v>
      </c>
      <c r="W1582" s="84">
        <v>0</v>
      </c>
      <c r="X1582" s="55">
        <f t="shared" si="258"/>
        <v>46153.2</v>
      </c>
    </row>
    <row r="1583" spans="1:24" hidden="1" x14ac:dyDescent="0.35">
      <c r="A1583" s="46">
        <f t="shared" si="259"/>
        <v>46153.2</v>
      </c>
      <c r="B1583" s="46"/>
      <c r="C1583" s="46"/>
      <c r="D1583" s="46"/>
      <c r="E1583" s="47" t="s">
        <v>64</v>
      </c>
      <c r="F1583" s="69" t="s">
        <v>224</v>
      </c>
      <c r="G1583" s="69"/>
      <c r="H1583" s="98" t="s">
        <v>2538</v>
      </c>
      <c r="I1583" s="69" t="s">
        <v>2539</v>
      </c>
      <c r="J1583" s="51" t="s">
        <v>140</v>
      </c>
      <c r="K1583" s="91">
        <v>0</v>
      </c>
      <c r="L1583" s="91">
        <v>0</v>
      </c>
      <c r="M1583" s="92">
        <v>100</v>
      </c>
      <c r="N1583" s="94">
        <v>200</v>
      </c>
      <c r="O1583" s="253">
        <v>1</v>
      </c>
      <c r="P1583" s="94">
        <f t="shared" si="253"/>
        <v>200</v>
      </c>
      <c r="Q1583" s="94"/>
      <c r="R1583" s="92">
        <v>200</v>
      </c>
      <c r="S1583" s="92">
        <f t="shared" si="254"/>
        <v>0</v>
      </c>
      <c r="T1583" s="254">
        <f t="shared" si="255"/>
        <v>864</v>
      </c>
      <c r="U1583" s="91">
        <f t="shared" si="256"/>
        <v>0</v>
      </c>
      <c r="V1583" s="91">
        <f t="shared" si="257"/>
        <v>0</v>
      </c>
      <c r="W1583" s="91">
        <v>0</v>
      </c>
      <c r="X1583" s="55">
        <f t="shared" si="258"/>
        <v>46153.2</v>
      </c>
    </row>
    <row r="1584" spans="1:24" ht="26.5" hidden="1" x14ac:dyDescent="0.35">
      <c r="A1584" s="46">
        <f t="shared" si="259"/>
        <v>46153.2</v>
      </c>
      <c r="B1584" s="46"/>
      <c r="C1584" s="46"/>
      <c r="D1584" s="46"/>
      <c r="E1584" s="47" t="s">
        <v>64</v>
      </c>
      <c r="F1584" s="82" t="s">
        <v>695</v>
      </c>
      <c r="G1584" s="82"/>
      <c r="H1584" s="98" t="s">
        <v>2540</v>
      </c>
      <c r="I1584" s="219" t="s">
        <v>562</v>
      </c>
      <c r="J1584" s="51" t="s">
        <v>140</v>
      </c>
      <c r="K1584" s="91">
        <v>0</v>
      </c>
      <c r="L1584" s="91">
        <v>0</v>
      </c>
      <c r="M1584" s="92">
        <v>140</v>
      </c>
      <c r="N1584" s="226">
        <v>400</v>
      </c>
      <c r="O1584" s="253">
        <v>1</v>
      </c>
      <c r="P1584" s="94">
        <f t="shared" si="253"/>
        <v>400</v>
      </c>
      <c r="Q1584" s="94"/>
      <c r="R1584" s="182">
        <v>400</v>
      </c>
      <c r="S1584" s="92">
        <f t="shared" si="254"/>
        <v>0</v>
      </c>
      <c r="T1584" s="254">
        <f t="shared" si="255"/>
        <v>617.14285714285711</v>
      </c>
      <c r="U1584" s="91">
        <f t="shared" si="256"/>
        <v>0</v>
      </c>
      <c r="V1584" s="91">
        <f t="shared" si="257"/>
        <v>0</v>
      </c>
      <c r="W1584" s="91">
        <v>0</v>
      </c>
      <c r="X1584" s="55">
        <f t="shared" si="258"/>
        <v>46153.2</v>
      </c>
    </row>
    <row r="1585" spans="1:24" s="118" customFormat="1" hidden="1" x14ac:dyDescent="0.35">
      <c r="A1585" s="46">
        <f t="shared" si="259"/>
        <v>46153.2</v>
      </c>
      <c r="B1585" s="46"/>
      <c r="C1585" s="46"/>
      <c r="D1585" s="46"/>
      <c r="E1585" s="119" t="s">
        <v>64</v>
      </c>
      <c r="F1585" s="82" t="s">
        <v>271</v>
      </c>
      <c r="G1585" s="82"/>
      <c r="H1585" s="98" t="s">
        <v>689</v>
      </c>
      <c r="I1585" s="82" t="s">
        <v>191</v>
      </c>
      <c r="J1585" s="100" t="s">
        <v>140</v>
      </c>
      <c r="K1585" s="101">
        <v>0</v>
      </c>
      <c r="L1585" s="101">
        <v>0</v>
      </c>
      <c r="M1585" s="102">
        <v>67</v>
      </c>
      <c r="N1585" s="103">
        <v>630</v>
      </c>
      <c r="O1585" s="171">
        <v>1</v>
      </c>
      <c r="P1585" s="103">
        <f t="shared" si="253"/>
        <v>630</v>
      </c>
      <c r="Q1585" s="103"/>
      <c r="R1585" s="102">
        <v>630</v>
      </c>
      <c r="S1585" s="102">
        <f t="shared" si="254"/>
        <v>0</v>
      </c>
      <c r="T1585" s="173">
        <f t="shared" si="255"/>
        <v>1289.5522388059703</v>
      </c>
      <c r="U1585" s="101">
        <f t="shared" si="256"/>
        <v>0</v>
      </c>
      <c r="V1585" s="101">
        <f t="shared" si="257"/>
        <v>0</v>
      </c>
      <c r="W1585" s="101">
        <v>0</v>
      </c>
      <c r="X1585" s="55">
        <f t="shared" si="258"/>
        <v>46153.2</v>
      </c>
    </row>
    <row r="1586" spans="1:24" s="118" customFormat="1" hidden="1" x14ac:dyDescent="0.35">
      <c r="A1586" s="46">
        <f t="shared" si="259"/>
        <v>46153.2</v>
      </c>
      <c r="B1586" s="46"/>
      <c r="C1586" s="46"/>
      <c r="D1586" s="46"/>
      <c r="E1586" s="119" t="s">
        <v>64</v>
      </c>
      <c r="F1586" s="82" t="s">
        <v>271</v>
      </c>
      <c r="G1586" s="82"/>
      <c r="H1586" s="98" t="s">
        <v>698</v>
      </c>
      <c r="I1586" s="82" t="s">
        <v>191</v>
      </c>
      <c r="J1586" s="100" t="s">
        <v>140</v>
      </c>
      <c r="K1586" s="101">
        <v>0</v>
      </c>
      <c r="L1586" s="101">
        <v>0</v>
      </c>
      <c r="M1586" s="102">
        <v>67</v>
      </c>
      <c r="N1586" s="103">
        <v>630</v>
      </c>
      <c r="O1586" s="171">
        <v>1</v>
      </c>
      <c r="P1586" s="103">
        <f t="shared" si="253"/>
        <v>630</v>
      </c>
      <c r="Q1586" s="103"/>
      <c r="R1586" s="102">
        <v>630</v>
      </c>
      <c r="S1586" s="102">
        <f t="shared" si="254"/>
        <v>0</v>
      </c>
      <c r="T1586" s="173">
        <f t="shared" si="255"/>
        <v>1289.5522388059703</v>
      </c>
      <c r="U1586" s="101">
        <f t="shared" si="256"/>
        <v>0</v>
      </c>
      <c r="V1586" s="101">
        <f t="shared" si="257"/>
        <v>0</v>
      </c>
      <c r="W1586" s="101">
        <v>0</v>
      </c>
      <c r="X1586" s="55">
        <f t="shared" si="258"/>
        <v>46153.2</v>
      </c>
    </row>
    <row r="1587" spans="1:24" s="118" customFormat="1" ht="26.5" hidden="1" x14ac:dyDescent="0.35">
      <c r="A1587" s="46">
        <f t="shared" si="259"/>
        <v>46153.2</v>
      </c>
      <c r="B1587" s="46"/>
      <c r="C1587" s="46"/>
      <c r="D1587" s="46"/>
      <c r="E1587" s="47" t="s">
        <v>64</v>
      </c>
      <c r="F1587" s="82" t="s">
        <v>1217</v>
      </c>
      <c r="G1587" s="82"/>
      <c r="H1587" s="107" t="s">
        <v>2541</v>
      </c>
      <c r="I1587" s="82" t="s">
        <v>2542</v>
      </c>
      <c r="J1587" s="51" t="s">
        <v>140</v>
      </c>
      <c r="K1587" s="91">
        <v>0</v>
      </c>
      <c r="L1587" s="91">
        <v>0</v>
      </c>
      <c r="M1587" s="92">
        <v>120</v>
      </c>
      <c r="N1587" s="94">
        <v>4598</v>
      </c>
      <c r="O1587" s="253">
        <v>1</v>
      </c>
      <c r="P1587" s="94">
        <f t="shared" si="253"/>
        <v>4598</v>
      </c>
      <c r="Q1587" s="94"/>
      <c r="R1587" s="92">
        <v>4598</v>
      </c>
      <c r="S1587" s="92">
        <f t="shared" si="254"/>
        <v>0</v>
      </c>
      <c r="T1587" s="254">
        <f t="shared" si="255"/>
        <v>720</v>
      </c>
      <c r="U1587" s="91">
        <f t="shared" si="256"/>
        <v>0</v>
      </c>
      <c r="V1587" s="91">
        <f t="shared" si="257"/>
        <v>0</v>
      </c>
      <c r="W1587" s="91">
        <v>0</v>
      </c>
      <c r="X1587" s="55">
        <f t="shared" si="258"/>
        <v>46153.2</v>
      </c>
    </row>
    <row r="1588" spans="1:24" hidden="1" x14ac:dyDescent="0.35">
      <c r="A1588" s="46">
        <f t="shared" si="259"/>
        <v>46153.2</v>
      </c>
      <c r="B1588" s="46"/>
      <c r="C1588" s="46"/>
      <c r="D1588" s="46"/>
      <c r="E1588" s="47" t="s">
        <v>64</v>
      </c>
      <c r="F1588" s="99" t="s">
        <v>227</v>
      </c>
      <c r="G1588" s="99"/>
      <c r="H1588" s="98" t="s">
        <v>2543</v>
      </c>
      <c r="I1588" s="82" t="s">
        <v>457</v>
      </c>
      <c r="J1588" s="100" t="s">
        <v>140</v>
      </c>
      <c r="K1588" s="91">
        <v>0</v>
      </c>
      <c r="L1588" s="91">
        <v>0</v>
      </c>
      <c r="M1588" s="92">
        <v>90</v>
      </c>
      <c r="N1588" s="94">
        <v>1500</v>
      </c>
      <c r="O1588" s="253">
        <v>1</v>
      </c>
      <c r="P1588" s="94">
        <f t="shared" si="253"/>
        <v>1500</v>
      </c>
      <c r="Q1588" s="94"/>
      <c r="R1588" s="92">
        <v>1500</v>
      </c>
      <c r="S1588" s="92">
        <f t="shared" si="254"/>
        <v>0</v>
      </c>
      <c r="T1588" s="173">
        <f t="shared" si="255"/>
        <v>960</v>
      </c>
      <c r="U1588" s="101">
        <f t="shared" si="256"/>
        <v>0</v>
      </c>
      <c r="V1588" s="101">
        <f t="shared" si="257"/>
        <v>0</v>
      </c>
      <c r="W1588" s="101">
        <v>0</v>
      </c>
      <c r="X1588" s="55">
        <f t="shared" si="258"/>
        <v>46153.2</v>
      </c>
    </row>
    <row r="1589" spans="1:24" hidden="1" x14ac:dyDescent="0.35">
      <c r="A1589" s="46">
        <f t="shared" si="259"/>
        <v>46153.2</v>
      </c>
      <c r="B1589" s="46"/>
      <c r="C1589" s="46"/>
      <c r="D1589" s="46"/>
      <c r="E1589" s="47" t="s">
        <v>64</v>
      </c>
      <c r="F1589" s="99" t="s">
        <v>513</v>
      </c>
      <c r="G1589" s="99"/>
      <c r="H1589" s="98" t="s">
        <v>2544</v>
      </c>
      <c r="I1589" s="82" t="s">
        <v>457</v>
      </c>
      <c r="J1589" s="100" t="s">
        <v>140</v>
      </c>
      <c r="K1589" s="91">
        <v>0</v>
      </c>
      <c r="L1589" s="91">
        <v>0</v>
      </c>
      <c r="M1589" s="92">
        <v>90</v>
      </c>
      <c r="N1589" s="94">
        <v>1500</v>
      </c>
      <c r="O1589" s="253">
        <v>1</v>
      </c>
      <c r="P1589" s="94">
        <f t="shared" si="253"/>
        <v>1500</v>
      </c>
      <c r="Q1589" s="94"/>
      <c r="R1589" s="92">
        <v>1500</v>
      </c>
      <c r="S1589" s="92">
        <f t="shared" si="254"/>
        <v>0</v>
      </c>
      <c r="T1589" s="173">
        <f t="shared" si="255"/>
        <v>960</v>
      </c>
      <c r="U1589" s="101">
        <f t="shared" si="256"/>
        <v>0</v>
      </c>
      <c r="V1589" s="101">
        <f t="shared" si="257"/>
        <v>0</v>
      </c>
      <c r="W1589" s="101">
        <v>0</v>
      </c>
      <c r="X1589" s="55">
        <f t="shared" si="258"/>
        <v>46153.2</v>
      </c>
    </row>
    <row r="1590" spans="1:24" hidden="1" x14ac:dyDescent="0.35">
      <c r="A1590" s="46">
        <f t="shared" si="259"/>
        <v>46153.2</v>
      </c>
      <c r="B1590" s="46"/>
      <c r="C1590" s="46"/>
      <c r="D1590" s="46"/>
      <c r="E1590" s="47" t="s">
        <v>64</v>
      </c>
      <c r="F1590" s="82" t="s">
        <v>220</v>
      </c>
      <c r="G1590" s="82"/>
      <c r="H1590" s="98" t="s">
        <v>2545</v>
      </c>
      <c r="I1590" s="104" t="s">
        <v>222</v>
      </c>
      <c r="J1590" s="104" t="s">
        <v>140</v>
      </c>
      <c r="K1590" s="91">
        <v>0</v>
      </c>
      <c r="L1590" s="91">
        <v>0</v>
      </c>
      <c r="M1590" s="92">
        <v>100</v>
      </c>
      <c r="N1590" s="94">
        <v>1500</v>
      </c>
      <c r="O1590" s="253">
        <v>1</v>
      </c>
      <c r="P1590" s="94">
        <f t="shared" si="253"/>
        <v>1500</v>
      </c>
      <c r="Q1590" s="94"/>
      <c r="R1590" s="92">
        <v>1500</v>
      </c>
      <c r="S1590" s="92">
        <f t="shared" si="254"/>
        <v>0</v>
      </c>
      <c r="T1590" s="254">
        <f t="shared" si="255"/>
        <v>864</v>
      </c>
      <c r="U1590" s="91">
        <f t="shared" si="256"/>
        <v>0</v>
      </c>
      <c r="V1590" s="91">
        <f t="shared" si="257"/>
        <v>0</v>
      </c>
      <c r="W1590" s="91">
        <v>0</v>
      </c>
      <c r="X1590" s="55">
        <f t="shared" si="258"/>
        <v>46153.2</v>
      </c>
    </row>
    <row r="1591" spans="1:24" s="120" customFormat="1" ht="26" hidden="1" x14ac:dyDescent="0.3">
      <c r="A1591" s="46">
        <f t="shared" si="259"/>
        <v>46153.2</v>
      </c>
      <c r="B1591" s="46"/>
      <c r="C1591" s="46"/>
      <c r="D1591" s="46"/>
      <c r="E1591" s="47" t="s">
        <v>64</v>
      </c>
      <c r="F1591" s="82" t="s">
        <v>1217</v>
      </c>
      <c r="G1591" s="82"/>
      <c r="H1591" s="107" t="s">
        <v>2541</v>
      </c>
      <c r="I1591" s="82" t="s">
        <v>2542</v>
      </c>
      <c r="J1591" s="51" t="s">
        <v>140</v>
      </c>
      <c r="K1591" s="91">
        <v>0</v>
      </c>
      <c r="L1591" s="91">
        <v>0</v>
      </c>
      <c r="M1591" s="92">
        <v>100</v>
      </c>
      <c r="N1591" s="94">
        <v>3508</v>
      </c>
      <c r="O1591" s="253">
        <v>1</v>
      </c>
      <c r="P1591" s="94">
        <f t="shared" si="253"/>
        <v>3508</v>
      </c>
      <c r="Q1591" s="94"/>
      <c r="R1591" s="92">
        <v>3508</v>
      </c>
      <c r="S1591" s="92">
        <f t="shared" si="254"/>
        <v>0</v>
      </c>
      <c r="T1591" s="254">
        <f t="shared" si="255"/>
        <v>864</v>
      </c>
      <c r="U1591" s="91">
        <f t="shared" si="256"/>
        <v>0</v>
      </c>
      <c r="V1591" s="91">
        <f t="shared" si="257"/>
        <v>0</v>
      </c>
      <c r="W1591" s="91">
        <v>0</v>
      </c>
      <c r="X1591" s="55">
        <f t="shared" si="258"/>
        <v>46153.2</v>
      </c>
    </row>
    <row r="1592" spans="1:24" s="109" customFormat="1" ht="13" hidden="1" x14ac:dyDescent="0.3">
      <c r="A1592" s="46">
        <f t="shared" si="259"/>
        <v>46153.2</v>
      </c>
      <c r="B1592" s="46"/>
      <c r="C1592" s="46"/>
      <c r="D1592" s="46"/>
      <c r="E1592" s="119" t="s">
        <v>64</v>
      </c>
      <c r="F1592" s="82" t="s">
        <v>271</v>
      </c>
      <c r="G1592" s="82"/>
      <c r="H1592" s="98" t="s">
        <v>2546</v>
      </c>
      <c r="I1592" s="82" t="s">
        <v>274</v>
      </c>
      <c r="J1592" s="100" t="s">
        <v>140</v>
      </c>
      <c r="K1592" s="101">
        <v>0</v>
      </c>
      <c r="L1592" s="101">
        <v>0</v>
      </c>
      <c r="M1592" s="102">
        <v>67</v>
      </c>
      <c r="N1592" s="103">
        <v>1260</v>
      </c>
      <c r="O1592" s="171">
        <v>1</v>
      </c>
      <c r="P1592" s="103">
        <f t="shared" si="253"/>
        <v>1260</v>
      </c>
      <c r="Q1592" s="103"/>
      <c r="R1592" s="102">
        <v>1260</v>
      </c>
      <c r="S1592" s="102">
        <f t="shared" si="254"/>
        <v>0</v>
      </c>
      <c r="T1592" s="173">
        <f t="shared" si="255"/>
        <v>1289.5522388059703</v>
      </c>
      <c r="U1592" s="101">
        <f t="shared" si="256"/>
        <v>0</v>
      </c>
      <c r="V1592" s="101">
        <f t="shared" si="257"/>
        <v>0</v>
      </c>
      <c r="W1592" s="101">
        <v>0</v>
      </c>
      <c r="X1592" s="55">
        <f t="shared" si="258"/>
        <v>46153.2</v>
      </c>
    </row>
    <row r="1593" spans="1:24" s="109" customFormat="1" ht="13" hidden="1" x14ac:dyDescent="0.3">
      <c r="A1593" s="46">
        <f t="shared" si="259"/>
        <v>46153.2</v>
      </c>
      <c r="B1593" s="46"/>
      <c r="C1593" s="46"/>
      <c r="D1593" s="46"/>
      <c r="E1593" s="119" t="s">
        <v>64</v>
      </c>
      <c r="F1593" s="82" t="s">
        <v>271</v>
      </c>
      <c r="G1593" s="82"/>
      <c r="H1593" s="98" t="s">
        <v>2547</v>
      </c>
      <c r="I1593" s="82" t="s">
        <v>277</v>
      </c>
      <c r="J1593" s="100" t="s">
        <v>140</v>
      </c>
      <c r="K1593" s="101">
        <v>0</v>
      </c>
      <c r="L1593" s="101">
        <v>0</v>
      </c>
      <c r="M1593" s="102">
        <v>67</v>
      </c>
      <c r="N1593" s="103">
        <v>1260</v>
      </c>
      <c r="O1593" s="171">
        <v>1</v>
      </c>
      <c r="P1593" s="103">
        <f t="shared" si="253"/>
        <v>1260</v>
      </c>
      <c r="Q1593" s="103"/>
      <c r="R1593" s="102">
        <v>1260</v>
      </c>
      <c r="S1593" s="102">
        <f t="shared" si="254"/>
        <v>0</v>
      </c>
      <c r="T1593" s="173">
        <f t="shared" si="255"/>
        <v>1289.5522388059703</v>
      </c>
      <c r="U1593" s="101">
        <f t="shared" si="256"/>
        <v>0</v>
      </c>
      <c r="V1593" s="101">
        <f t="shared" si="257"/>
        <v>0</v>
      </c>
      <c r="W1593" s="101">
        <v>0</v>
      </c>
      <c r="X1593" s="55">
        <f t="shared" si="258"/>
        <v>46153.2</v>
      </c>
    </row>
    <row r="1594" spans="1:24" s="109" customFormat="1" ht="13" hidden="1" x14ac:dyDescent="0.3">
      <c r="A1594" s="46">
        <f t="shared" si="259"/>
        <v>46153.2</v>
      </c>
      <c r="B1594" s="46"/>
      <c r="C1594" s="46"/>
      <c r="D1594" s="46"/>
      <c r="E1594" s="119" t="s">
        <v>64</v>
      </c>
      <c r="F1594" s="82" t="s">
        <v>271</v>
      </c>
      <c r="G1594" s="82"/>
      <c r="H1594" s="98" t="s">
        <v>2548</v>
      </c>
      <c r="I1594" s="82" t="s">
        <v>191</v>
      </c>
      <c r="J1594" s="100" t="s">
        <v>140</v>
      </c>
      <c r="K1594" s="101">
        <v>0</v>
      </c>
      <c r="L1594" s="101">
        <v>0</v>
      </c>
      <c r="M1594" s="102">
        <v>67</v>
      </c>
      <c r="N1594" s="103">
        <v>3780</v>
      </c>
      <c r="O1594" s="171">
        <v>1</v>
      </c>
      <c r="P1594" s="103">
        <f t="shared" si="253"/>
        <v>3780</v>
      </c>
      <c r="Q1594" s="103"/>
      <c r="R1594" s="102">
        <v>3780</v>
      </c>
      <c r="S1594" s="102">
        <f t="shared" si="254"/>
        <v>0</v>
      </c>
      <c r="T1594" s="173">
        <f t="shared" si="255"/>
        <v>1289.5522388059703</v>
      </c>
      <c r="U1594" s="101">
        <f t="shared" si="256"/>
        <v>0</v>
      </c>
      <c r="V1594" s="101">
        <f t="shared" si="257"/>
        <v>0</v>
      </c>
      <c r="W1594" s="101">
        <v>0</v>
      </c>
      <c r="X1594" s="55">
        <f t="shared" si="258"/>
        <v>46153.2</v>
      </c>
    </row>
    <row r="1595" spans="1:24" s="120" customFormat="1" ht="26" hidden="1" x14ac:dyDescent="0.3">
      <c r="A1595" s="46">
        <f t="shared" si="259"/>
        <v>46153.2</v>
      </c>
      <c r="B1595" s="46"/>
      <c r="C1595" s="46"/>
      <c r="D1595" s="46"/>
      <c r="E1595" s="119" t="s">
        <v>64</v>
      </c>
      <c r="F1595" s="69" t="s">
        <v>718</v>
      </c>
      <c r="G1595" s="69"/>
      <c r="H1595" s="98" t="s">
        <v>2549</v>
      </c>
      <c r="I1595" s="97" t="s">
        <v>4234</v>
      </c>
      <c r="J1595" s="51" t="s">
        <v>140</v>
      </c>
      <c r="K1595" s="91">
        <v>0</v>
      </c>
      <c r="L1595" s="91">
        <v>0</v>
      </c>
      <c r="M1595" s="92">
        <v>100</v>
      </c>
      <c r="N1595" s="94">
        <v>2750</v>
      </c>
      <c r="O1595" s="253">
        <v>1</v>
      </c>
      <c r="P1595" s="94">
        <f t="shared" si="253"/>
        <v>2750</v>
      </c>
      <c r="Q1595" s="94"/>
      <c r="R1595" s="92">
        <v>2750</v>
      </c>
      <c r="S1595" s="92">
        <f t="shared" si="254"/>
        <v>0</v>
      </c>
      <c r="T1595" s="254">
        <f t="shared" si="255"/>
        <v>864</v>
      </c>
      <c r="U1595" s="91">
        <f t="shared" si="256"/>
        <v>0</v>
      </c>
      <c r="V1595" s="91">
        <f t="shared" si="257"/>
        <v>0</v>
      </c>
      <c r="W1595" s="91">
        <v>0</v>
      </c>
      <c r="X1595" s="55">
        <f t="shared" si="258"/>
        <v>46153.2</v>
      </c>
    </row>
    <row r="1596" spans="1:24" s="120" customFormat="1" ht="26" hidden="1" x14ac:dyDescent="0.3">
      <c r="A1596" s="46">
        <f t="shared" si="259"/>
        <v>46153.2</v>
      </c>
      <c r="B1596" s="46"/>
      <c r="C1596" s="46"/>
      <c r="D1596" s="46"/>
      <c r="E1596" s="119" t="s">
        <v>64</v>
      </c>
      <c r="F1596" s="69" t="s">
        <v>720</v>
      </c>
      <c r="G1596" s="69"/>
      <c r="H1596" s="98" t="s">
        <v>2550</v>
      </c>
      <c r="I1596" s="97" t="s">
        <v>4235</v>
      </c>
      <c r="J1596" s="51" t="s">
        <v>140</v>
      </c>
      <c r="K1596" s="91">
        <v>0</v>
      </c>
      <c r="L1596" s="91">
        <v>0</v>
      </c>
      <c r="M1596" s="92">
        <v>100</v>
      </c>
      <c r="N1596" s="94">
        <v>100</v>
      </c>
      <c r="O1596" s="253">
        <v>1</v>
      </c>
      <c r="P1596" s="94">
        <f t="shared" si="253"/>
        <v>100</v>
      </c>
      <c r="Q1596" s="94"/>
      <c r="R1596" s="92">
        <v>100</v>
      </c>
      <c r="S1596" s="92">
        <f t="shared" si="254"/>
        <v>0</v>
      </c>
      <c r="T1596" s="254">
        <f t="shared" si="255"/>
        <v>864</v>
      </c>
      <c r="U1596" s="91">
        <f t="shared" si="256"/>
        <v>0</v>
      </c>
      <c r="V1596" s="91">
        <f t="shared" si="257"/>
        <v>0</v>
      </c>
      <c r="W1596" s="91">
        <v>0</v>
      </c>
      <c r="X1596" s="55">
        <f t="shared" si="258"/>
        <v>46153.2</v>
      </c>
    </row>
    <row r="1597" spans="1:24" s="120" customFormat="1" ht="39" hidden="1" x14ac:dyDescent="0.3">
      <c r="A1597" s="46">
        <f t="shared" si="259"/>
        <v>46153.2</v>
      </c>
      <c r="B1597" s="46"/>
      <c r="C1597" s="46"/>
      <c r="D1597" s="46"/>
      <c r="E1597" s="119" t="s">
        <v>64</v>
      </c>
      <c r="F1597" s="69" t="s">
        <v>257</v>
      </c>
      <c r="G1597" s="69"/>
      <c r="H1597" s="98" t="s">
        <v>2551</v>
      </c>
      <c r="I1597" s="97" t="s">
        <v>4236</v>
      </c>
      <c r="J1597" s="51" t="s">
        <v>140</v>
      </c>
      <c r="K1597" s="91">
        <v>0</v>
      </c>
      <c r="L1597" s="91">
        <v>0</v>
      </c>
      <c r="M1597" s="92">
        <v>100</v>
      </c>
      <c r="N1597" s="94">
        <v>250</v>
      </c>
      <c r="O1597" s="253">
        <v>1</v>
      </c>
      <c r="P1597" s="94">
        <f t="shared" si="253"/>
        <v>250</v>
      </c>
      <c r="Q1597" s="94"/>
      <c r="R1597" s="92">
        <v>250</v>
      </c>
      <c r="S1597" s="92">
        <f t="shared" si="254"/>
        <v>0</v>
      </c>
      <c r="T1597" s="254">
        <f t="shared" si="255"/>
        <v>864</v>
      </c>
      <c r="U1597" s="91">
        <f t="shared" si="256"/>
        <v>0</v>
      </c>
      <c r="V1597" s="91">
        <f t="shared" si="257"/>
        <v>0</v>
      </c>
      <c r="W1597" s="91">
        <v>0</v>
      </c>
      <c r="X1597" s="55">
        <f t="shared" si="258"/>
        <v>46153.2</v>
      </c>
    </row>
    <row r="1598" spans="1:24" s="120" customFormat="1" ht="26" hidden="1" x14ac:dyDescent="0.3">
      <c r="A1598" s="46">
        <f t="shared" si="259"/>
        <v>46153.2</v>
      </c>
      <c r="B1598" s="46"/>
      <c r="C1598" s="46"/>
      <c r="D1598" s="46"/>
      <c r="E1598" s="119" t="s">
        <v>64</v>
      </c>
      <c r="F1598" s="69" t="s">
        <v>257</v>
      </c>
      <c r="G1598" s="69"/>
      <c r="H1598" s="98" t="s">
        <v>2552</v>
      </c>
      <c r="I1598" s="97" t="s">
        <v>4234</v>
      </c>
      <c r="J1598" s="51" t="s">
        <v>140</v>
      </c>
      <c r="K1598" s="91">
        <v>0</v>
      </c>
      <c r="L1598" s="91">
        <v>0</v>
      </c>
      <c r="M1598" s="92">
        <v>100</v>
      </c>
      <c r="N1598" s="94">
        <v>250</v>
      </c>
      <c r="O1598" s="253">
        <v>1</v>
      </c>
      <c r="P1598" s="94">
        <f t="shared" si="253"/>
        <v>250</v>
      </c>
      <c r="Q1598" s="94"/>
      <c r="R1598" s="92">
        <v>250</v>
      </c>
      <c r="S1598" s="92">
        <f t="shared" si="254"/>
        <v>0</v>
      </c>
      <c r="T1598" s="254">
        <f t="shared" si="255"/>
        <v>864</v>
      </c>
      <c r="U1598" s="91">
        <f t="shared" si="256"/>
        <v>0</v>
      </c>
      <c r="V1598" s="91">
        <f t="shared" si="257"/>
        <v>0</v>
      </c>
      <c r="W1598" s="91">
        <v>0</v>
      </c>
      <c r="X1598" s="55">
        <f t="shared" si="258"/>
        <v>46153.2</v>
      </c>
    </row>
    <row r="1599" spans="1:24" hidden="1" x14ac:dyDescent="0.35">
      <c r="A1599" s="46">
        <f t="shared" si="259"/>
        <v>46153.2</v>
      </c>
      <c r="B1599" s="46"/>
      <c r="C1599" s="46"/>
      <c r="D1599" s="46"/>
      <c r="E1599" s="47" t="s">
        <v>43</v>
      </c>
      <c r="F1599" s="69" t="s">
        <v>257</v>
      </c>
      <c r="G1599" s="69"/>
      <c r="H1599" s="98" t="s">
        <v>2553</v>
      </c>
      <c r="I1599" s="237" t="s">
        <v>1394</v>
      </c>
      <c r="J1599" s="51" t="s">
        <v>140</v>
      </c>
      <c r="K1599" s="91">
        <v>0</v>
      </c>
      <c r="L1599" s="91">
        <v>0</v>
      </c>
      <c r="M1599" s="92">
        <v>90</v>
      </c>
      <c r="N1599" s="94">
        <v>250</v>
      </c>
      <c r="O1599" s="253">
        <v>1</v>
      </c>
      <c r="P1599" s="94">
        <f t="shared" ref="P1599:P1662" si="260">N1599/O1599</f>
        <v>250</v>
      </c>
      <c r="Q1599" s="94"/>
      <c r="R1599" s="92">
        <v>250</v>
      </c>
      <c r="S1599" s="92">
        <f t="shared" si="254"/>
        <v>0</v>
      </c>
      <c r="T1599" s="254">
        <f t="shared" si="255"/>
        <v>960</v>
      </c>
      <c r="U1599" s="91">
        <f t="shared" si="256"/>
        <v>0</v>
      </c>
      <c r="V1599" s="91">
        <f t="shared" si="257"/>
        <v>0</v>
      </c>
      <c r="W1599" s="91">
        <v>0</v>
      </c>
      <c r="X1599" s="55">
        <f t="shared" si="258"/>
        <v>46153.2</v>
      </c>
    </row>
    <row r="1600" spans="1:24" hidden="1" x14ac:dyDescent="0.35">
      <c r="A1600" s="46">
        <f t="shared" si="259"/>
        <v>46153.2</v>
      </c>
      <c r="B1600" s="46"/>
      <c r="C1600" s="46"/>
      <c r="D1600" s="46"/>
      <c r="E1600" s="47" t="s">
        <v>43</v>
      </c>
      <c r="F1600" s="69" t="s">
        <v>257</v>
      </c>
      <c r="G1600" s="69"/>
      <c r="H1600" s="98" t="s">
        <v>2554</v>
      </c>
      <c r="I1600" s="237" t="s">
        <v>148</v>
      </c>
      <c r="J1600" s="51" t="s">
        <v>140</v>
      </c>
      <c r="K1600" s="91">
        <v>0</v>
      </c>
      <c r="L1600" s="91">
        <v>0</v>
      </c>
      <c r="M1600" s="92">
        <v>90</v>
      </c>
      <c r="N1600" s="94">
        <v>250</v>
      </c>
      <c r="O1600" s="253">
        <v>1</v>
      </c>
      <c r="P1600" s="94">
        <f t="shared" si="260"/>
        <v>250</v>
      </c>
      <c r="Q1600" s="94"/>
      <c r="R1600" s="92">
        <v>250</v>
      </c>
      <c r="S1600" s="92">
        <f t="shared" si="254"/>
        <v>0</v>
      </c>
      <c r="T1600" s="254">
        <f t="shared" si="255"/>
        <v>960</v>
      </c>
      <c r="U1600" s="91">
        <f t="shared" si="256"/>
        <v>0</v>
      </c>
      <c r="V1600" s="91">
        <f t="shared" si="257"/>
        <v>0</v>
      </c>
      <c r="W1600" s="91">
        <v>0</v>
      </c>
      <c r="X1600" s="55">
        <f t="shared" si="258"/>
        <v>46153.2</v>
      </c>
    </row>
    <row r="1601" spans="1:24" hidden="1" x14ac:dyDescent="0.35">
      <c r="A1601" s="46">
        <f t="shared" si="259"/>
        <v>46153.2</v>
      </c>
      <c r="B1601" s="46"/>
      <c r="C1601" s="46"/>
      <c r="D1601" s="46"/>
      <c r="E1601" s="47" t="s">
        <v>43</v>
      </c>
      <c r="F1601" s="69" t="s">
        <v>257</v>
      </c>
      <c r="G1601" s="69"/>
      <c r="H1601" s="98" t="s">
        <v>2555</v>
      </c>
      <c r="I1601" s="237" t="s">
        <v>2210</v>
      </c>
      <c r="J1601" s="51" t="s">
        <v>140</v>
      </c>
      <c r="K1601" s="91">
        <v>0</v>
      </c>
      <c r="L1601" s="91">
        <v>0</v>
      </c>
      <c r="M1601" s="92">
        <v>90</v>
      </c>
      <c r="N1601" s="94">
        <v>250</v>
      </c>
      <c r="O1601" s="253">
        <v>1</v>
      </c>
      <c r="P1601" s="94">
        <f t="shared" si="260"/>
        <v>250</v>
      </c>
      <c r="Q1601" s="94"/>
      <c r="R1601" s="92">
        <v>250</v>
      </c>
      <c r="S1601" s="92">
        <f t="shared" si="254"/>
        <v>0</v>
      </c>
      <c r="T1601" s="254">
        <f t="shared" si="255"/>
        <v>960</v>
      </c>
      <c r="U1601" s="91">
        <f t="shared" si="256"/>
        <v>0</v>
      </c>
      <c r="V1601" s="91">
        <f t="shared" si="257"/>
        <v>0</v>
      </c>
      <c r="W1601" s="91">
        <v>0</v>
      </c>
      <c r="X1601" s="55">
        <f t="shared" si="258"/>
        <v>46153.2</v>
      </c>
    </row>
    <row r="1602" spans="1:24" hidden="1" x14ac:dyDescent="0.35">
      <c r="A1602" s="46">
        <f t="shared" si="259"/>
        <v>46153.2</v>
      </c>
      <c r="B1602" s="46"/>
      <c r="C1602" s="46"/>
      <c r="D1602" s="46"/>
      <c r="E1602" s="47" t="s">
        <v>43</v>
      </c>
      <c r="F1602" s="69" t="s">
        <v>257</v>
      </c>
      <c r="G1602" s="69"/>
      <c r="H1602" s="98" t="s">
        <v>2556</v>
      </c>
      <c r="I1602" s="237" t="s">
        <v>145</v>
      </c>
      <c r="J1602" s="51" t="s">
        <v>140</v>
      </c>
      <c r="K1602" s="91">
        <v>0</v>
      </c>
      <c r="L1602" s="91">
        <v>0</v>
      </c>
      <c r="M1602" s="92">
        <v>90</v>
      </c>
      <c r="N1602" s="94">
        <v>250</v>
      </c>
      <c r="O1602" s="253">
        <v>1</v>
      </c>
      <c r="P1602" s="94">
        <f t="shared" si="260"/>
        <v>250</v>
      </c>
      <c r="Q1602" s="94"/>
      <c r="R1602" s="92">
        <v>250</v>
      </c>
      <c r="S1602" s="92">
        <f t="shared" si="254"/>
        <v>0</v>
      </c>
      <c r="T1602" s="254">
        <f t="shared" si="255"/>
        <v>960</v>
      </c>
      <c r="U1602" s="91">
        <f t="shared" si="256"/>
        <v>0</v>
      </c>
      <c r="V1602" s="91">
        <f t="shared" si="257"/>
        <v>0</v>
      </c>
      <c r="W1602" s="91">
        <v>0</v>
      </c>
      <c r="X1602" s="55">
        <f t="shared" si="258"/>
        <v>46153.2</v>
      </c>
    </row>
    <row r="1603" spans="1:24" hidden="1" x14ac:dyDescent="0.35">
      <c r="A1603" s="46">
        <f t="shared" si="259"/>
        <v>46153.2</v>
      </c>
      <c r="B1603" s="46"/>
      <c r="C1603" s="46"/>
      <c r="D1603" s="46"/>
      <c r="E1603" s="47" t="s">
        <v>43</v>
      </c>
      <c r="F1603" s="69" t="s">
        <v>257</v>
      </c>
      <c r="G1603" s="69"/>
      <c r="H1603" s="98" t="s">
        <v>2557</v>
      </c>
      <c r="I1603" s="237" t="s">
        <v>2140</v>
      </c>
      <c r="J1603" s="51" t="s">
        <v>140</v>
      </c>
      <c r="K1603" s="91">
        <v>0</v>
      </c>
      <c r="L1603" s="91">
        <v>0</v>
      </c>
      <c r="M1603" s="92">
        <v>90</v>
      </c>
      <c r="N1603" s="94">
        <v>250</v>
      </c>
      <c r="O1603" s="253">
        <v>1</v>
      </c>
      <c r="P1603" s="94">
        <f t="shared" si="260"/>
        <v>250</v>
      </c>
      <c r="Q1603" s="94"/>
      <c r="R1603" s="92">
        <v>250</v>
      </c>
      <c r="S1603" s="92">
        <f t="shared" si="254"/>
        <v>0</v>
      </c>
      <c r="T1603" s="254">
        <f t="shared" si="255"/>
        <v>960</v>
      </c>
      <c r="U1603" s="91">
        <f t="shared" si="256"/>
        <v>0</v>
      </c>
      <c r="V1603" s="91">
        <f t="shared" si="257"/>
        <v>0</v>
      </c>
      <c r="W1603" s="91">
        <v>0</v>
      </c>
      <c r="X1603" s="55">
        <f t="shared" si="258"/>
        <v>46153.2</v>
      </c>
    </row>
    <row r="1604" spans="1:24" hidden="1" x14ac:dyDescent="0.35">
      <c r="A1604" s="46">
        <f t="shared" si="259"/>
        <v>46153.2</v>
      </c>
      <c r="B1604" s="46"/>
      <c r="C1604" s="46"/>
      <c r="D1604" s="46"/>
      <c r="E1604" s="47" t="s">
        <v>43</v>
      </c>
      <c r="F1604" s="69" t="s">
        <v>1233</v>
      </c>
      <c r="G1604" s="69"/>
      <c r="H1604" s="98" t="s">
        <v>2558</v>
      </c>
      <c r="I1604" s="237" t="s">
        <v>183</v>
      </c>
      <c r="J1604" s="51" t="s">
        <v>140</v>
      </c>
      <c r="K1604" s="91">
        <v>0</v>
      </c>
      <c r="L1604" s="91">
        <v>0</v>
      </c>
      <c r="M1604" s="92">
        <v>90</v>
      </c>
      <c r="N1604" s="94">
        <v>11500</v>
      </c>
      <c r="O1604" s="253">
        <v>1</v>
      </c>
      <c r="P1604" s="94">
        <f t="shared" si="260"/>
        <v>11500</v>
      </c>
      <c r="Q1604" s="94"/>
      <c r="R1604" s="92">
        <v>11500</v>
      </c>
      <c r="S1604" s="92">
        <f t="shared" si="254"/>
        <v>0</v>
      </c>
      <c r="T1604" s="254">
        <f t="shared" si="255"/>
        <v>960</v>
      </c>
      <c r="U1604" s="91">
        <f t="shared" si="256"/>
        <v>0</v>
      </c>
      <c r="V1604" s="91">
        <f t="shared" si="257"/>
        <v>0</v>
      </c>
      <c r="W1604" s="91">
        <v>0</v>
      </c>
      <c r="X1604" s="55">
        <f t="shared" si="258"/>
        <v>46153.2</v>
      </c>
    </row>
    <row r="1605" spans="1:24" s="120" customFormat="1" ht="13" hidden="1" x14ac:dyDescent="0.3">
      <c r="A1605" s="46">
        <f t="shared" si="259"/>
        <v>46153.2</v>
      </c>
      <c r="B1605" s="46"/>
      <c r="C1605" s="46"/>
      <c r="D1605" s="46"/>
      <c r="E1605" s="47" t="s">
        <v>43</v>
      </c>
      <c r="F1605" s="69" t="s">
        <v>1235</v>
      </c>
      <c r="G1605" s="69"/>
      <c r="H1605" s="98" t="s">
        <v>2559</v>
      </c>
      <c r="I1605" s="237" t="s">
        <v>755</v>
      </c>
      <c r="J1605" s="51" t="s">
        <v>140</v>
      </c>
      <c r="K1605" s="91">
        <v>0</v>
      </c>
      <c r="L1605" s="91">
        <v>0</v>
      </c>
      <c r="M1605" s="92">
        <v>90</v>
      </c>
      <c r="N1605" s="94">
        <v>500</v>
      </c>
      <c r="O1605" s="253">
        <v>1</v>
      </c>
      <c r="P1605" s="94">
        <f t="shared" si="260"/>
        <v>500</v>
      </c>
      <c r="Q1605" s="94"/>
      <c r="R1605" s="92">
        <v>500</v>
      </c>
      <c r="S1605" s="92">
        <f t="shared" si="254"/>
        <v>0</v>
      </c>
      <c r="T1605" s="254">
        <f t="shared" si="255"/>
        <v>960</v>
      </c>
      <c r="U1605" s="91">
        <f t="shared" si="256"/>
        <v>0</v>
      </c>
      <c r="V1605" s="91">
        <f t="shared" si="257"/>
        <v>0</v>
      </c>
      <c r="W1605" s="91">
        <v>0</v>
      </c>
      <c r="X1605" s="55">
        <f t="shared" si="258"/>
        <v>46153.2</v>
      </c>
    </row>
    <row r="1606" spans="1:24" s="120" customFormat="1" ht="13" hidden="1" x14ac:dyDescent="0.3">
      <c r="A1606" s="46">
        <f t="shared" si="259"/>
        <v>46153.2</v>
      </c>
      <c r="B1606" s="46"/>
      <c r="C1606" s="46"/>
      <c r="D1606" s="46"/>
      <c r="E1606" s="47" t="s">
        <v>43</v>
      </c>
      <c r="F1606" s="69" t="s">
        <v>1237</v>
      </c>
      <c r="G1606" s="69"/>
      <c r="H1606" s="98" t="s">
        <v>2560</v>
      </c>
      <c r="I1606" s="238" t="s">
        <v>148</v>
      </c>
      <c r="J1606" s="51" t="s">
        <v>140</v>
      </c>
      <c r="K1606" s="91">
        <v>0</v>
      </c>
      <c r="L1606" s="91">
        <v>0</v>
      </c>
      <c r="M1606" s="92">
        <v>90</v>
      </c>
      <c r="N1606" s="94">
        <v>250</v>
      </c>
      <c r="O1606" s="253">
        <v>1</v>
      </c>
      <c r="P1606" s="94">
        <f t="shared" si="260"/>
        <v>250</v>
      </c>
      <c r="Q1606" s="94"/>
      <c r="R1606" s="92">
        <v>250</v>
      </c>
      <c r="S1606" s="92">
        <f t="shared" si="254"/>
        <v>0</v>
      </c>
      <c r="T1606" s="254">
        <f t="shared" si="255"/>
        <v>960</v>
      </c>
      <c r="U1606" s="91">
        <f t="shared" si="256"/>
        <v>0</v>
      </c>
      <c r="V1606" s="91">
        <f t="shared" si="257"/>
        <v>0</v>
      </c>
      <c r="W1606" s="91">
        <v>0</v>
      </c>
      <c r="X1606" s="55">
        <f t="shared" si="258"/>
        <v>46153.2</v>
      </c>
    </row>
    <row r="1607" spans="1:24" s="120" customFormat="1" ht="13" hidden="1" x14ac:dyDescent="0.3">
      <c r="A1607" s="46">
        <f t="shared" si="259"/>
        <v>46153.2</v>
      </c>
      <c r="B1607" s="46"/>
      <c r="C1607" s="46"/>
      <c r="D1607" s="46"/>
      <c r="E1607" s="47" t="s">
        <v>43</v>
      </c>
      <c r="F1607" s="69" t="s">
        <v>329</v>
      </c>
      <c r="G1607" s="69"/>
      <c r="H1607" s="98" t="s">
        <v>2561</v>
      </c>
      <c r="I1607" s="71" t="s">
        <v>133</v>
      </c>
      <c r="J1607" s="51" t="s">
        <v>140</v>
      </c>
      <c r="K1607" s="91">
        <v>0</v>
      </c>
      <c r="L1607" s="91">
        <v>0</v>
      </c>
      <c r="M1607" s="92">
        <v>90</v>
      </c>
      <c r="N1607" s="94">
        <v>1000</v>
      </c>
      <c r="O1607" s="253">
        <v>1</v>
      </c>
      <c r="P1607" s="94">
        <f t="shared" si="260"/>
        <v>1000</v>
      </c>
      <c r="Q1607" s="94"/>
      <c r="R1607" s="92">
        <v>1000</v>
      </c>
      <c r="S1607" s="92">
        <f t="shared" si="254"/>
        <v>0</v>
      </c>
      <c r="T1607" s="254">
        <f t="shared" si="255"/>
        <v>960</v>
      </c>
      <c r="U1607" s="91">
        <f t="shared" si="256"/>
        <v>0</v>
      </c>
      <c r="V1607" s="91">
        <f t="shared" si="257"/>
        <v>0</v>
      </c>
      <c r="W1607" s="101">
        <v>0</v>
      </c>
      <c r="X1607" s="55">
        <f t="shared" si="258"/>
        <v>46153.2</v>
      </c>
    </row>
    <row r="1608" spans="1:24" s="120" customFormat="1" ht="13" hidden="1" x14ac:dyDescent="0.3">
      <c r="A1608" s="46">
        <f t="shared" si="259"/>
        <v>46153.2</v>
      </c>
      <c r="B1608" s="46"/>
      <c r="C1608" s="46"/>
      <c r="D1608" s="46"/>
      <c r="E1608" s="47" t="s">
        <v>64</v>
      </c>
      <c r="F1608" s="69" t="s">
        <v>329</v>
      </c>
      <c r="G1608" s="69"/>
      <c r="H1608" s="98" t="s">
        <v>2562</v>
      </c>
      <c r="I1608" s="71" t="s">
        <v>133</v>
      </c>
      <c r="J1608" s="51" t="s">
        <v>140</v>
      </c>
      <c r="K1608" s="91">
        <v>0</v>
      </c>
      <c r="L1608" s="91">
        <v>0</v>
      </c>
      <c r="M1608" s="92">
        <v>90</v>
      </c>
      <c r="N1608" s="94">
        <v>700</v>
      </c>
      <c r="O1608" s="253">
        <v>1</v>
      </c>
      <c r="P1608" s="94">
        <f t="shared" si="260"/>
        <v>700</v>
      </c>
      <c r="Q1608" s="94"/>
      <c r="R1608" s="92">
        <v>700</v>
      </c>
      <c r="S1608" s="92">
        <f t="shared" si="254"/>
        <v>0</v>
      </c>
      <c r="T1608" s="254">
        <f t="shared" si="255"/>
        <v>960</v>
      </c>
      <c r="U1608" s="91">
        <f t="shared" si="256"/>
        <v>0</v>
      </c>
      <c r="V1608" s="91">
        <f t="shared" si="257"/>
        <v>0</v>
      </c>
      <c r="W1608" s="101">
        <v>0</v>
      </c>
      <c r="X1608" s="55">
        <f t="shared" si="258"/>
        <v>46153.2</v>
      </c>
    </row>
    <row r="1609" spans="1:24" s="120" customFormat="1" ht="13" hidden="1" x14ac:dyDescent="0.3">
      <c r="A1609" s="46">
        <f t="shared" si="259"/>
        <v>46153.2</v>
      </c>
      <c r="B1609" s="46"/>
      <c r="C1609" s="46"/>
      <c r="D1609" s="46"/>
      <c r="E1609" s="47" t="s">
        <v>64</v>
      </c>
      <c r="F1609" s="82" t="s">
        <v>2563</v>
      </c>
      <c r="G1609" s="82"/>
      <c r="H1609" s="98" t="s">
        <v>2564</v>
      </c>
      <c r="I1609" s="46" t="s">
        <v>2565</v>
      </c>
      <c r="J1609" s="170" t="s">
        <v>140</v>
      </c>
      <c r="K1609" s="101">
        <v>0</v>
      </c>
      <c r="L1609" s="101">
        <v>0.2</v>
      </c>
      <c r="M1609" s="102">
        <v>65</v>
      </c>
      <c r="N1609" s="103">
        <v>100</v>
      </c>
      <c r="O1609" s="171">
        <v>1</v>
      </c>
      <c r="P1609" s="103">
        <f t="shared" si="260"/>
        <v>100</v>
      </c>
      <c r="Q1609" s="103"/>
      <c r="R1609" s="102">
        <v>100</v>
      </c>
      <c r="S1609" s="102">
        <f t="shared" si="254"/>
        <v>0</v>
      </c>
      <c r="T1609" s="173">
        <f t="shared" si="255"/>
        <v>1329.2307692307693</v>
      </c>
      <c r="U1609" s="101">
        <f t="shared" si="256"/>
        <v>0</v>
      </c>
      <c r="V1609" s="101">
        <f t="shared" si="257"/>
        <v>0</v>
      </c>
      <c r="W1609" s="101">
        <v>0</v>
      </c>
      <c r="X1609" s="55">
        <f t="shared" si="258"/>
        <v>46153.399999999994</v>
      </c>
    </row>
    <row r="1610" spans="1:24" s="120" customFormat="1" ht="13" hidden="1" x14ac:dyDescent="0.3">
      <c r="A1610" s="46">
        <f t="shared" si="259"/>
        <v>46153.399999999994</v>
      </c>
      <c r="B1610" s="46"/>
      <c r="C1610" s="46"/>
      <c r="D1610" s="46"/>
      <c r="E1610" s="47" t="s">
        <v>64</v>
      </c>
      <c r="F1610" s="82" t="s">
        <v>2566</v>
      </c>
      <c r="G1610" s="82"/>
      <c r="H1610" s="107" t="s">
        <v>2567</v>
      </c>
      <c r="I1610" s="99" t="s">
        <v>351</v>
      </c>
      <c r="J1610" s="51" t="s">
        <v>140</v>
      </c>
      <c r="K1610" s="91">
        <v>0</v>
      </c>
      <c r="L1610" s="91">
        <v>0</v>
      </c>
      <c r="M1610" s="92">
        <v>65</v>
      </c>
      <c r="N1610" s="94">
        <v>400</v>
      </c>
      <c r="O1610" s="253">
        <v>1</v>
      </c>
      <c r="P1610" s="94">
        <f t="shared" si="260"/>
        <v>400</v>
      </c>
      <c r="Q1610" s="94"/>
      <c r="R1610" s="92">
        <v>400</v>
      </c>
      <c r="S1610" s="92">
        <f t="shared" si="254"/>
        <v>0</v>
      </c>
      <c r="T1610" s="254">
        <f t="shared" si="255"/>
        <v>1329.2307692307693</v>
      </c>
      <c r="U1610" s="91">
        <f t="shared" si="256"/>
        <v>0</v>
      </c>
      <c r="V1610" s="91">
        <f t="shared" si="257"/>
        <v>0</v>
      </c>
      <c r="W1610" s="91">
        <v>0</v>
      </c>
      <c r="X1610" s="55">
        <f t="shared" si="258"/>
        <v>46153.399999999994</v>
      </c>
    </row>
    <row r="1611" spans="1:24" s="120" customFormat="1" ht="13" hidden="1" x14ac:dyDescent="0.3">
      <c r="A1611" s="46">
        <f t="shared" si="259"/>
        <v>46153.399999999994</v>
      </c>
      <c r="B1611" s="46"/>
      <c r="C1611" s="46"/>
      <c r="D1611" s="46"/>
      <c r="E1611" s="47" t="s">
        <v>64</v>
      </c>
      <c r="F1611" s="82" t="s">
        <v>2568</v>
      </c>
      <c r="G1611" s="82"/>
      <c r="H1611" s="98" t="s">
        <v>2569</v>
      </c>
      <c r="I1611" s="71" t="s">
        <v>2570</v>
      </c>
      <c r="J1611" s="170" t="s">
        <v>140</v>
      </c>
      <c r="K1611" s="101">
        <v>0</v>
      </c>
      <c r="L1611" s="101">
        <v>0</v>
      </c>
      <c r="M1611" s="102">
        <v>65</v>
      </c>
      <c r="N1611" s="103">
        <v>100</v>
      </c>
      <c r="O1611" s="171">
        <v>1</v>
      </c>
      <c r="P1611" s="103">
        <f t="shared" si="260"/>
        <v>100</v>
      </c>
      <c r="Q1611" s="103"/>
      <c r="R1611" s="102">
        <v>100</v>
      </c>
      <c r="S1611" s="102">
        <f t="shared" si="254"/>
        <v>0</v>
      </c>
      <c r="T1611" s="173">
        <f t="shared" si="255"/>
        <v>1329.2307692307693</v>
      </c>
      <c r="U1611" s="101">
        <f t="shared" si="256"/>
        <v>0</v>
      </c>
      <c r="V1611" s="101">
        <f t="shared" si="257"/>
        <v>0</v>
      </c>
      <c r="W1611" s="91">
        <v>0</v>
      </c>
      <c r="X1611" s="55">
        <f t="shared" si="258"/>
        <v>46153.399999999994</v>
      </c>
    </row>
    <row r="1612" spans="1:24" s="120" customFormat="1" ht="13" hidden="1" x14ac:dyDescent="0.3">
      <c r="A1612" s="46">
        <f t="shared" si="259"/>
        <v>46153.399999999994</v>
      </c>
      <c r="B1612" s="46"/>
      <c r="C1612" s="46"/>
      <c r="D1612" s="46"/>
      <c r="E1612" s="47" t="s">
        <v>64</v>
      </c>
      <c r="F1612" s="82" t="s">
        <v>2571</v>
      </c>
      <c r="G1612" s="82"/>
      <c r="H1612" s="98" t="s">
        <v>2572</v>
      </c>
      <c r="I1612" s="71" t="s">
        <v>1203</v>
      </c>
      <c r="J1612" s="170" t="s">
        <v>140</v>
      </c>
      <c r="K1612" s="101">
        <v>0</v>
      </c>
      <c r="L1612" s="101">
        <v>0</v>
      </c>
      <c r="M1612" s="102">
        <v>65</v>
      </c>
      <c r="N1612" s="103">
        <v>250</v>
      </c>
      <c r="O1612" s="171">
        <v>1</v>
      </c>
      <c r="P1612" s="103">
        <f t="shared" si="260"/>
        <v>250</v>
      </c>
      <c r="Q1612" s="103"/>
      <c r="R1612" s="102">
        <v>250</v>
      </c>
      <c r="S1612" s="102">
        <f t="shared" si="254"/>
        <v>0</v>
      </c>
      <c r="T1612" s="173">
        <f t="shared" si="255"/>
        <v>1329.2307692307693</v>
      </c>
      <c r="U1612" s="101">
        <f t="shared" si="256"/>
        <v>0</v>
      </c>
      <c r="V1612" s="101">
        <f t="shared" si="257"/>
        <v>0</v>
      </c>
      <c r="W1612" s="101">
        <v>0</v>
      </c>
      <c r="X1612" s="55">
        <f t="shared" si="258"/>
        <v>46153.399999999994</v>
      </c>
    </row>
    <row r="1613" spans="1:24" s="120" customFormat="1" ht="13" hidden="1" x14ac:dyDescent="0.3">
      <c r="A1613" s="46">
        <f t="shared" si="259"/>
        <v>46153.399999999994</v>
      </c>
      <c r="B1613" s="46"/>
      <c r="C1613" s="46"/>
      <c r="D1613" s="46"/>
      <c r="E1613" s="47" t="s">
        <v>64</v>
      </c>
      <c r="F1613" s="82" t="s">
        <v>2568</v>
      </c>
      <c r="G1613" s="82"/>
      <c r="H1613" s="98" t="s">
        <v>2573</v>
      </c>
      <c r="I1613" s="71" t="s">
        <v>816</v>
      </c>
      <c r="J1613" s="170" t="s">
        <v>140</v>
      </c>
      <c r="K1613" s="101">
        <v>0</v>
      </c>
      <c r="L1613" s="101">
        <v>0</v>
      </c>
      <c r="M1613" s="102">
        <v>65</v>
      </c>
      <c r="N1613" s="103">
        <v>590</v>
      </c>
      <c r="O1613" s="171">
        <v>1</v>
      </c>
      <c r="P1613" s="103">
        <f t="shared" si="260"/>
        <v>590</v>
      </c>
      <c r="Q1613" s="103"/>
      <c r="R1613" s="102">
        <v>590</v>
      </c>
      <c r="S1613" s="102">
        <f t="shared" si="254"/>
        <v>0</v>
      </c>
      <c r="T1613" s="173">
        <f t="shared" si="255"/>
        <v>1329.2307692307693</v>
      </c>
      <c r="U1613" s="101">
        <f t="shared" si="256"/>
        <v>0</v>
      </c>
      <c r="V1613" s="101">
        <f t="shared" si="257"/>
        <v>0</v>
      </c>
      <c r="W1613" s="101">
        <v>0</v>
      </c>
      <c r="X1613" s="55">
        <f t="shared" si="258"/>
        <v>46153.399999999994</v>
      </c>
    </row>
    <row r="1614" spans="1:24" s="120" customFormat="1" ht="13" hidden="1" x14ac:dyDescent="0.3">
      <c r="A1614" s="46">
        <f t="shared" si="259"/>
        <v>46153.399999999994</v>
      </c>
      <c r="B1614" s="46"/>
      <c r="C1614" s="46"/>
      <c r="D1614" s="46"/>
      <c r="E1614" s="47" t="s">
        <v>64</v>
      </c>
      <c r="F1614" s="82" t="s">
        <v>2574</v>
      </c>
      <c r="G1614" s="82"/>
      <c r="H1614" s="98" t="s">
        <v>2575</v>
      </c>
      <c r="I1614" s="71" t="s">
        <v>2576</v>
      </c>
      <c r="J1614" s="170" t="s">
        <v>140</v>
      </c>
      <c r="K1614" s="101">
        <v>0</v>
      </c>
      <c r="L1614" s="101">
        <v>0</v>
      </c>
      <c r="M1614" s="102">
        <v>65</v>
      </c>
      <c r="N1614" s="103">
        <v>120</v>
      </c>
      <c r="O1614" s="171">
        <v>1</v>
      </c>
      <c r="P1614" s="103">
        <f t="shared" si="260"/>
        <v>120</v>
      </c>
      <c r="Q1614" s="103"/>
      <c r="R1614" s="102">
        <v>120</v>
      </c>
      <c r="S1614" s="102">
        <f t="shared" si="254"/>
        <v>0</v>
      </c>
      <c r="T1614" s="173">
        <f t="shared" si="255"/>
        <v>1329.2307692307693</v>
      </c>
      <c r="U1614" s="101">
        <f t="shared" si="256"/>
        <v>0</v>
      </c>
      <c r="V1614" s="101">
        <f t="shared" si="257"/>
        <v>0</v>
      </c>
      <c r="W1614" s="101">
        <v>0</v>
      </c>
      <c r="X1614" s="55">
        <f t="shared" si="258"/>
        <v>46153.399999999994</v>
      </c>
    </row>
    <row r="1615" spans="1:24" s="120" customFormat="1" ht="26" hidden="1" x14ac:dyDescent="0.3">
      <c r="A1615" s="46">
        <f t="shared" si="259"/>
        <v>46153.399999999994</v>
      </c>
      <c r="B1615" s="46"/>
      <c r="C1615" s="46"/>
      <c r="D1615" s="46"/>
      <c r="E1615" s="47" t="s">
        <v>64</v>
      </c>
      <c r="F1615" s="82" t="s">
        <v>2577</v>
      </c>
      <c r="G1615" s="82"/>
      <c r="H1615" s="98" t="s">
        <v>2578</v>
      </c>
      <c r="I1615" s="71" t="s">
        <v>2579</v>
      </c>
      <c r="J1615" s="170" t="s">
        <v>140</v>
      </c>
      <c r="K1615" s="101">
        <v>0</v>
      </c>
      <c r="L1615" s="101">
        <v>0</v>
      </c>
      <c r="M1615" s="102">
        <v>65</v>
      </c>
      <c r="N1615" s="103">
        <v>100</v>
      </c>
      <c r="O1615" s="171">
        <v>1</v>
      </c>
      <c r="P1615" s="103">
        <f t="shared" si="260"/>
        <v>100</v>
      </c>
      <c r="Q1615" s="103"/>
      <c r="R1615" s="102">
        <v>100</v>
      </c>
      <c r="S1615" s="102">
        <f t="shared" si="254"/>
        <v>0</v>
      </c>
      <c r="T1615" s="173">
        <f t="shared" si="255"/>
        <v>1329.2307692307693</v>
      </c>
      <c r="U1615" s="101">
        <f t="shared" si="256"/>
        <v>0</v>
      </c>
      <c r="V1615" s="101">
        <f t="shared" si="257"/>
        <v>0</v>
      </c>
      <c r="W1615" s="101">
        <v>0</v>
      </c>
      <c r="X1615" s="55">
        <f t="shared" si="258"/>
        <v>46153.399999999994</v>
      </c>
    </row>
    <row r="1616" spans="1:24" s="120" customFormat="1" ht="13" hidden="1" x14ac:dyDescent="0.3">
      <c r="A1616" s="46">
        <f t="shared" si="259"/>
        <v>46153.399999999994</v>
      </c>
      <c r="B1616" s="46"/>
      <c r="C1616" s="46"/>
      <c r="D1616" s="46"/>
      <c r="E1616" s="47" t="s">
        <v>64</v>
      </c>
      <c r="F1616" s="82" t="s">
        <v>2580</v>
      </c>
      <c r="G1616" s="82"/>
      <c r="H1616" s="98" t="s">
        <v>2581</v>
      </c>
      <c r="I1616" s="71" t="s">
        <v>1203</v>
      </c>
      <c r="J1616" s="170" t="s">
        <v>140</v>
      </c>
      <c r="K1616" s="101">
        <v>0</v>
      </c>
      <c r="L1616" s="101">
        <v>0</v>
      </c>
      <c r="M1616" s="102">
        <v>65</v>
      </c>
      <c r="N1616" s="103">
        <v>100</v>
      </c>
      <c r="O1616" s="171">
        <v>1</v>
      </c>
      <c r="P1616" s="103">
        <f t="shared" si="260"/>
        <v>100</v>
      </c>
      <c r="Q1616" s="103"/>
      <c r="R1616" s="102">
        <v>100</v>
      </c>
      <c r="S1616" s="102">
        <f t="shared" si="254"/>
        <v>0</v>
      </c>
      <c r="T1616" s="173">
        <f t="shared" si="255"/>
        <v>1329.2307692307693</v>
      </c>
      <c r="U1616" s="101">
        <f t="shared" si="256"/>
        <v>0</v>
      </c>
      <c r="V1616" s="101">
        <f t="shared" si="257"/>
        <v>0</v>
      </c>
      <c r="W1616" s="101">
        <v>0</v>
      </c>
      <c r="X1616" s="55">
        <f t="shared" si="258"/>
        <v>46153.399999999994</v>
      </c>
    </row>
    <row r="1617" spans="1:24" s="120" customFormat="1" ht="13" hidden="1" x14ac:dyDescent="0.3">
      <c r="A1617" s="46">
        <f t="shared" si="259"/>
        <v>46153.399999999994</v>
      </c>
      <c r="B1617" s="46"/>
      <c r="C1617" s="46"/>
      <c r="D1617" s="46"/>
      <c r="E1617" s="47" t="s">
        <v>64</v>
      </c>
      <c r="F1617" s="82" t="s">
        <v>2582</v>
      </c>
      <c r="G1617" s="82"/>
      <c r="H1617" s="98" t="s">
        <v>2583</v>
      </c>
      <c r="I1617" s="46" t="s">
        <v>2565</v>
      </c>
      <c r="J1617" s="170" t="s">
        <v>140</v>
      </c>
      <c r="K1617" s="101">
        <v>0</v>
      </c>
      <c r="L1617" s="101">
        <v>0</v>
      </c>
      <c r="M1617" s="102">
        <v>65</v>
      </c>
      <c r="N1617" s="103">
        <v>100</v>
      </c>
      <c r="O1617" s="171">
        <v>1</v>
      </c>
      <c r="P1617" s="103">
        <f t="shared" si="260"/>
        <v>100</v>
      </c>
      <c r="Q1617" s="103"/>
      <c r="R1617" s="102">
        <v>100</v>
      </c>
      <c r="S1617" s="102">
        <f t="shared" si="254"/>
        <v>0</v>
      </c>
      <c r="T1617" s="173">
        <f t="shared" si="255"/>
        <v>1329.2307692307693</v>
      </c>
      <c r="U1617" s="101">
        <f t="shared" si="256"/>
        <v>0</v>
      </c>
      <c r="V1617" s="101">
        <f t="shared" si="257"/>
        <v>0</v>
      </c>
      <c r="W1617" s="101">
        <v>0</v>
      </c>
      <c r="X1617" s="55">
        <f t="shared" si="258"/>
        <v>46153.399999999994</v>
      </c>
    </row>
    <row r="1618" spans="1:24" s="120" customFormat="1" ht="13" hidden="1" x14ac:dyDescent="0.3">
      <c r="A1618" s="46">
        <f t="shared" si="259"/>
        <v>46153.399999999994</v>
      </c>
      <c r="B1618" s="46"/>
      <c r="C1618" s="46"/>
      <c r="D1618" s="46"/>
      <c r="E1618" s="47" t="s">
        <v>64</v>
      </c>
      <c r="F1618" s="82" t="s">
        <v>2584</v>
      </c>
      <c r="G1618" s="82"/>
      <c r="H1618" s="334" t="s">
        <v>2585</v>
      </c>
      <c r="I1618" s="71" t="s">
        <v>345</v>
      </c>
      <c r="J1618" s="170" t="s">
        <v>140</v>
      </c>
      <c r="K1618" s="101">
        <v>0</v>
      </c>
      <c r="L1618" s="101">
        <v>0</v>
      </c>
      <c r="M1618" s="102">
        <v>65</v>
      </c>
      <c r="N1618" s="103">
        <v>100</v>
      </c>
      <c r="O1618" s="171">
        <v>1</v>
      </c>
      <c r="P1618" s="103">
        <f t="shared" si="260"/>
        <v>100</v>
      </c>
      <c r="Q1618" s="103"/>
      <c r="R1618" s="102">
        <v>100</v>
      </c>
      <c r="S1618" s="102">
        <f t="shared" si="254"/>
        <v>0</v>
      </c>
      <c r="T1618" s="173">
        <f t="shared" si="255"/>
        <v>1329.2307692307693</v>
      </c>
      <c r="U1618" s="101">
        <f t="shared" si="256"/>
        <v>0</v>
      </c>
      <c r="V1618" s="101">
        <f t="shared" si="257"/>
        <v>0</v>
      </c>
      <c r="W1618" s="101">
        <v>0</v>
      </c>
      <c r="X1618" s="55">
        <f t="shared" si="258"/>
        <v>46153.399999999994</v>
      </c>
    </row>
    <row r="1619" spans="1:24" s="120" customFormat="1" ht="13" hidden="1" x14ac:dyDescent="0.3">
      <c r="A1619" s="46">
        <f t="shared" si="259"/>
        <v>46153.399999999994</v>
      </c>
      <c r="B1619" s="46"/>
      <c r="C1619" s="46"/>
      <c r="D1619" s="46"/>
      <c r="E1619" s="47" t="s">
        <v>64</v>
      </c>
      <c r="F1619" s="82" t="s">
        <v>2586</v>
      </c>
      <c r="G1619" s="82"/>
      <c r="H1619" s="98" t="s">
        <v>2587</v>
      </c>
      <c r="I1619" s="71" t="s">
        <v>2570</v>
      </c>
      <c r="J1619" s="170" t="s">
        <v>140</v>
      </c>
      <c r="K1619" s="101">
        <v>0</v>
      </c>
      <c r="L1619" s="101">
        <v>0</v>
      </c>
      <c r="M1619" s="102">
        <v>65</v>
      </c>
      <c r="N1619" s="103">
        <v>100</v>
      </c>
      <c r="O1619" s="171">
        <v>1</v>
      </c>
      <c r="P1619" s="103">
        <f t="shared" si="260"/>
        <v>100</v>
      </c>
      <c r="Q1619" s="103"/>
      <c r="R1619" s="102">
        <v>100</v>
      </c>
      <c r="S1619" s="102">
        <f t="shared" si="254"/>
        <v>0</v>
      </c>
      <c r="T1619" s="173">
        <f t="shared" si="255"/>
        <v>1329.2307692307693</v>
      </c>
      <c r="U1619" s="101">
        <f t="shared" si="256"/>
        <v>0</v>
      </c>
      <c r="V1619" s="101">
        <f t="shared" si="257"/>
        <v>0</v>
      </c>
      <c r="W1619" s="91">
        <v>0</v>
      </c>
      <c r="X1619" s="55">
        <f t="shared" si="258"/>
        <v>46153.399999999994</v>
      </c>
    </row>
    <row r="1620" spans="1:24" s="120" customFormat="1" ht="13" hidden="1" x14ac:dyDescent="0.3">
      <c r="A1620" s="46">
        <f t="shared" si="259"/>
        <v>46153.399999999994</v>
      </c>
      <c r="B1620" s="46"/>
      <c r="C1620" s="46"/>
      <c r="D1620" s="46"/>
      <c r="E1620" s="47" t="s">
        <v>64</v>
      </c>
      <c r="F1620" s="82" t="s">
        <v>2588</v>
      </c>
      <c r="G1620" s="82"/>
      <c r="H1620" s="98" t="s">
        <v>2589</v>
      </c>
      <c r="I1620" s="71" t="s">
        <v>1066</v>
      </c>
      <c r="J1620" s="100" t="s">
        <v>140</v>
      </c>
      <c r="K1620" s="101">
        <v>0</v>
      </c>
      <c r="L1620" s="101">
        <v>0</v>
      </c>
      <c r="M1620" s="102">
        <v>65</v>
      </c>
      <c r="N1620" s="103">
        <v>150</v>
      </c>
      <c r="O1620" s="171">
        <v>1</v>
      </c>
      <c r="P1620" s="103">
        <f t="shared" si="260"/>
        <v>150</v>
      </c>
      <c r="Q1620" s="103"/>
      <c r="R1620" s="102">
        <v>150</v>
      </c>
      <c r="S1620" s="92">
        <f t="shared" si="254"/>
        <v>0</v>
      </c>
      <c r="T1620" s="254">
        <f t="shared" si="255"/>
        <v>1329.2307692307693</v>
      </c>
      <c r="U1620" s="91">
        <f t="shared" si="256"/>
        <v>0</v>
      </c>
      <c r="V1620" s="91">
        <f t="shared" si="257"/>
        <v>0</v>
      </c>
      <c r="W1620" s="101">
        <v>0</v>
      </c>
      <c r="X1620" s="55">
        <f t="shared" si="258"/>
        <v>46153.399999999994</v>
      </c>
    </row>
    <row r="1621" spans="1:24" s="118" customFormat="1" hidden="1" x14ac:dyDescent="0.35">
      <c r="A1621" s="46">
        <f t="shared" si="259"/>
        <v>46153.399999999994</v>
      </c>
      <c r="B1621" s="46"/>
      <c r="C1621" s="46"/>
      <c r="D1621" s="46"/>
      <c r="E1621" s="47" t="s">
        <v>64</v>
      </c>
      <c r="F1621" s="97" t="s">
        <v>2590</v>
      </c>
      <c r="G1621" s="97"/>
      <c r="H1621" s="98" t="s">
        <v>2591</v>
      </c>
      <c r="I1621" s="85" t="s">
        <v>2592</v>
      </c>
      <c r="J1621" s="51" t="s">
        <v>140</v>
      </c>
      <c r="K1621" s="91">
        <v>0</v>
      </c>
      <c r="L1621" s="91">
        <v>0</v>
      </c>
      <c r="M1621" s="92">
        <v>75</v>
      </c>
      <c r="N1621" s="94">
        <v>1000</v>
      </c>
      <c r="O1621" s="253">
        <v>1</v>
      </c>
      <c r="P1621" s="94">
        <f t="shared" si="260"/>
        <v>1000</v>
      </c>
      <c r="Q1621" s="94"/>
      <c r="R1621" s="92">
        <v>1000</v>
      </c>
      <c r="S1621" s="92">
        <f t="shared" si="254"/>
        <v>0</v>
      </c>
      <c r="T1621" s="254">
        <f t="shared" si="255"/>
        <v>1152</v>
      </c>
      <c r="U1621" s="91">
        <f t="shared" si="256"/>
        <v>0</v>
      </c>
      <c r="V1621" s="91">
        <f t="shared" si="257"/>
        <v>0</v>
      </c>
      <c r="W1621" s="91">
        <v>0</v>
      </c>
      <c r="X1621" s="55">
        <f t="shared" si="258"/>
        <v>46153.399999999994</v>
      </c>
    </row>
    <row r="1622" spans="1:24" s="118" customFormat="1" hidden="1" x14ac:dyDescent="0.35">
      <c r="A1622" s="46">
        <f t="shared" si="259"/>
        <v>46153.399999999994</v>
      </c>
      <c r="B1622" s="46"/>
      <c r="C1622" s="46"/>
      <c r="D1622" s="46"/>
      <c r="E1622" s="47" t="s">
        <v>64</v>
      </c>
      <c r="F1622" s="97" t="s">
        <v>2590</v>
      </c>
      <c r="G1622" s="97"/>
      <c r="H1622" s="98" t="s">
        <v>2593</v>
      </c>
      <c r="I1622" s="85" t="s">
        <v>2592</v>
      </c>
      <c r="J1622" s="51" t="s">
        <v>140</v>
      </c>
      <c r="K1622" s="91">
        <v>0</v>
      </c>
      <c r="L1622" s="91">
        <v>0</v>
      </c>
      <c r="M1622" s="92">
        <v>75</v>
      </c>
      <c r="N1622" s="94">
        <v>750</v>
      </c>
      <c r="O1622" s="253">
        <v>1</v>
      </c>
      <c r="P1622" s="94">
        <f t="shared" si="260"/>
        <v>750</v>
      </c>
      <c r="Q1622" s="94"/>
      <c r="R1622" s="92">
        <v>750</v>
      </c>
      <c r="S1622" s="92">
        <f t="shared" si="254"/>
        <v>0</v>
      </c>
      <c r="T1622" s="254">
        <f t="shared" si="255"/>
        <v>1152</v>
      </c>
      <c r="U1622" s="91">
        <f t="shared" si="256"/>
        <v>0</v>
      </c>
      <c r="V1622" s="91">
        <f t="shared" si="257"/>
        <v>0</v>
      </c>
      <c r="W1622" s="91">
        <v>0</v>
      </c>
      <c r="X1622" s="55">
        <f t="shared" si="258"/>
        <v>46153.399999999994</v>
      </c>
    </row>
    <row r="1623" spans="1:24" s="118" customFormat="1" ht="26.5" hidden="1" x14ac:dyDescent="0.35">
      <c r="A1623" s="46">
        <f t="shared" si="259"/>
        <v>46153.399999999994</v>
      </c>
      <c r="B1623" s="46"/>
      <c r="C1623" s="46"/>
      <c r="D1623" s="46"/>
      <c r="E1623" s="47" t="s">
        <v>64</v>
      </c>
      <c r="F1623" s="97" t="s">
        <v>2590</v>
      </c>
      <c r="G1623" s="97"/>
      <c r="H1623" s="98" t="s">
        <v>2594</v>
      </c>
      <c r="I1623" s="99" t="s">
        <v>2595</v>
      </c>
      <c r="J1623" s="100" t="s">
        <v>140</v>
      </c>
      <c r="K1623" s="91">
        <v>0</v>
      </c>
      <c r="L1623" s="91">
        <v>0</v>
      </c>
      <c r="M1623" s="92">
        <v>70</v>
      </c>
      <c r="N1623" s="94">
        <v>750</v>
      </c>
      <c r="O1623" s="253">
        <v>1</v>
      </c>
      <c r="P1623" s="94">
        <f t="shared" si="260"/>
        <v>750</v>
      </c>
      <c r="Q1623" s="94"/>
      <c r="R1623" s="92">
        <v>750</v>
      </c>
      <c r="S1623" s="92">
        <f t="shared" si="254"/>
        <v>0</v>
      </c>
      <c r="T1623" s="173">
        <f t="shared" si="255"/>
        <v>1234.2857142857142</v>
      </c>
      <c r="U1623" s="101">
        <f t="shared" si="256"/>
        <v>0</v>
      </c>
      <c r="V1623" s="101">
        <f t="shared" si="257"/>
        <v>0</v>
      </c>
      <c r="W1623" s="101">
        <v>0</v>
      </c>
      <c r="X1623" s="55">
        <f t="shared" si="258"/>
        <v>46153.399999999994</v>
      </c>
    </row>
    <row r="1624" spans="1:24" s="118" customFormat="1" hidden="1" x14ac:dyDescent="0.35">
      <c r="A1624" s="46">
        <f t="shared" si="259"/>
        <v>46153.399999999994</v>
      </c>
      <c r="B1624" s="46"/>
      <c r="C1624" s="46"/>
      <c r="D1624" s="46"/>
      <c r="E1624" s="47" t="s">
        <v>64</v>
      </c>
      <c r="F1624" s="82" t="s">
        <v>1831</v>
      </c>
      <c r="G1624" s="82"/>
      <c r="H1624" s="98" t="s">
        <v>2596</v>
      </c>
      <c r="I1624" s="82" t="s">
        <v>801</v>
      </c>
      <c r="J1624" s="51" t="s">
        <v>140</v>
      </c>
      <c r="K1624" s="91">
        <v>0</v>
      </c>
      <c r="L1624" s="91">
        <v>0</v>
      </c>
      <c r="M1624" s="92">
        <v>120</v>
      </c>
      <c r="N1624" s="94">
        <v>400</v>
      </c>
      <c r="O1624" s="253">
        <v>1</v>
      </c>
      <c r="P1624" s="94">
        <f t="shared" si="260"/>
        <v>400</v>
      </c>
      <c r="Q1624" s="94"/>
      <c r="R1624" s="92">
        <v>400</v>
      </c>
      <c r="S1624" s="92">
        <f t="shared" si="254"/>
        <v>0</v>
      </c>
      <c r="T1624" s="254">
        <f t="shared" si="255"/>
        <v>720</v>
      </c>
      <c r="U1624" s="91">
        <f t="shared" si="256"/>
        <v>0</v>
      </c>
      <c r="V1624" s="91">
        <f t="shared" si="257"/>
        <v>0</v>
      </c>
      <c r="W1624" s="91">
        <v>0</v>
      </c>
      <c r="X1624" s="55">
        <f t="shared" si="258"/>
        <v>46153.399999999994</v>
      </c>
    </row>
    <row r="1625" spans="1:24" s="118" customFormat="1" hidden="1" x14ac:dyDescent="0.35">
      <c r="A1625" s="46">
        <f t="shared" si="259"/>
        <v>46153.399999999994</v>
      </c>
      <c r="B1625" s="46"/>
      <c r="C1625" s="46"/>
      <c r="D1625" s="46"/>
      <c r="E1625" s="47" t="s">
        <v>64</v>
      </c>
      <c r="F1625" s="82" t="s">
        <v>1831</v>
      </c>
      <c r="G1625" s="82"/>
      <c r="H1625" s="98" t="s">
        <v>2597</v>
      </c>
      <c r="I1625" s="82" t="s">
        <v>2598</v>
      </c>
      <c r="J1625" s="51" t="s">
        <v>140</v>
      </c>
      <c r="K1625" s="91">
        <v>0</v>
      </c>
      <c r="L1625" s="91">
        <v>0</v>
      </c>
      <c r="M1625" s="92">
        <v>120</v>
      </c>
      <c r="N1625" s="94">
        <v>100</v>
      </c>
      <c r="O1625" s="253">
        <v>1</v>
      </c>
      <c r="P1625" s="94">
        <f t="shared" si="260"/>
        <v>100</v>
      </c>
      <c r="Q1625" s="94"/>
      <c r="R1625" s="92">
        <v>100</v>
      </c>
      <c r="S1625" s="92">
        <f t="shared" si="254"/>
        <v>0</v>
      </c>
      <c r="T1625" s="254">
        <f t="shared" si="255"/>
        <v>720</v>
      </c>
      <c r="U1625" s="91">
        <f t="shared" si="256"/>
        <v>0</v>
      </c>
      <c r="V1625" s="91">
        <f t="shared" si="257"/>
        <v>0</v>
      </c>
      <c r="W1625" s="91">
        <v>0</v>
      </c>
      <c r="X1625" s="55">
        <f t="shared" si="258"/>
        <v>46153.399999999994</v>
      </c>
    </row>
    <row r="1626" spans="1:24" s="118" customFormat="1" hidden="1" x14ac:dyDescent="0.35">
      <c r="A1626" s="46">
        <f t="shared" si="259"/>
        <v>46153.399999999994</v>
      </c>
      <c r="B1626" s="46"/>
      <c r="C1626" s="46"/>
      <c r="D1626" s="46"/>
      <c r="E1626" s="47" t="s">
        <v>64</v>
      </c>
      <c r="F1626" s="82" t="s">
        <v>1831</v>
      </c>
      <c r="G1626" s="82"/>
      <c r="H1626" s="98" t="s">
        <v>2599</v>
      </c>
      <c r="I1626" s="82" t="s">
        <v>1335</v>
      </c>
      <c r="J1626" s="51" t="s">
        <v>140</v>
      </c>
      <c r="K1626" s="91">
        <v>0</v>
      </c>
      <c r="L1626" s="91">
        <v>0</v>
      </c>
      <c r="M1626" s="92">
        <v>120</v>
      </c>
      <c r="N1626" s="94">
        <v>60</v>
      </c>
      <c r="O1626" s="253">
        <v>1</v>
      </c>
      <c r="P1626" s="94">
        <f t="shared" si="260"/>
        <v>60</v>
      </c>
      <c r="Q1626" s="94"/>
      <c r="R1626" s="92">
        <v>60</v>
      </c>
      <c r="S1626" s="92">
        <f t="shared" si="254"/>
        <v>0</v>
      </c>
      <c r="T1626" s="254">
        <f t="shared" si="255"/>
        <v>720</v>
      </c>
      <c r="U1626" s="91">
        <f t="shared" si="256"/>
        <v>0</v>
      </c>
      <c r="V1626" s="91">
        <f t="shared" si="257"/>
        <v>0</v>
      </c>
      <c r="W1626" s="91">
        <v>0</v>
      </c>
      <c r="X1626" s="55">
        <f t="shared" si="258"/>
        <v>46153.399999999994</v>
      </c>
    </row>
    <row r="1627" spans="1:24" s="120" customFormat="1" ht="13" hidden="1" x14ac:dyDescent="0.3">
      <c r="A1627" s="46">
        <f t="shared" si="259"/>
        <v>46153.399999999994</v>
      </c>
      <c r="B1627" s="46"/>
      <c r="C1627" s="46"/>
      <c r="D1627" s="46"/>
      <c r="E1627" s="119" t="s">
        <v>43</v>
      </c>
      <c r="F1627" s="97" t="s">
        <v>2600</v>
      </c>
      <c r="G1627" s="97"/>
      <c r="H1627" s="98" t="s">
        <v>2601</v>
      </c>
      <c r="I1627" s="100" t="s">
        <v>2602</v>
      </c>
      <c r="J1627" s="100" t="s">
        <v>140</v>
      </c>
      <c r="K1627" s="101">
        <v>0</v>
      </c>
      <c r="L1627" s="101">
        <v>0</v>
      </c>
      <c r="M1627" s="102">
        <v>70</v>
      </c>
      <c r="N1627" s="103">
        <v>1000</v>
      </c>
      <c r="O1627" s="171">
        <v>1</v>
      </c>
      <c r="P1627" s="103">
        <f t="shared" si="260"/>
        <v>1000</v>
      </c>
      <c r="Q1627" s="103"/>
      <c r="R1627" s="102">
        <v>1000</v>
      </c>
      <c r="S1627" s="102">
        <f t="shared" si="254"/>
        <v>0</v>
      </c>
      <c r="T1627" s="173">
        <f t="shared" si="255"/>
        <v>1234.2857142857142</v>
      </c>
      <c r="U1627" s="101">
        <f t="shared" si="256"/>
        <v>0</v>
      </c>
      <c r="V1627" s="101">
        <f t="shared" si="257"/>
        <v>0</v>
      </c>
      <c r="W1627" s="101">
        <v>0</v>
      </c>
      <c r="X1627" s="55">
        <f t="shared" si="258"/>
        <v>46153.399999999994</v>
      </c>
    </row>
    <row r="1628" spans="1:24" s="120" customFormat="1" ht="13" hidden="1" x14ac:dyDescent="0.3">
      <c r="A1628" s="46">
        <f t="shared" si="259"/>
        <v>46153.399999999994</v>
      </c>
      <c r="B1628" s="46"/>
      <c r="C1628" s="46"/>
      <c r="D1628" s="46"/>
      <c r="E1628" s="119" t="s">
        <v>43</v>
      </c>
      <c r="F1628" s="97" t="s">
        <v>2603</v>
      </c>
      <c r="G1628" s="97"/>
      <c r="H1628" s="98" t="s">
        <v>2604</v>
      </c>
      <c r="I1628" s="100" t="s">
        <v>2605</v>
      </c>
      <c r="J1628" s="100" t="s">
        <v>140</v>
      </c>
      <c r="K1628" s="101">
        <v>0</v>
      </c>
      <c r="L1628" s="101">
        <v>0</v>
      </c>
      <c r="M1628" s="102">
        <v>70</v>
      </c>
      <c r="N1628" s="103">
        <v>12300</v>
      </c>
      <c r="O1628" s="171">
        <v>1</v>
      </c>
      <c r="P1628" s="103">
        <f t="shared" si="260"/>
        <v>12300</v>
      </c>
      <c r="Q1628" s="103"/>
      <c r="R1628" s="102">
        <v>12300</v>
      </c>
      <c r="S1628" s="102">
        <f t="shared" ref="S1628:S1691" si="261">P1628-R1628</f>
        <v>0</v>
      </c>
      <c r="T1628" s="173">
        <f t="shared" ref="T1628:T1682" si="262">((3600/M1628)*O1628)*24</f>
        <v>1234.2857142857142</v>
      </c>
      <c r="U1628" s="101">
        <f t="shared" ref="U1628:U1682" si="263">(P1628-R1628)*M1628/3600</f>
        <v>0</v>
      </c>
      <c r="V1628" s="101">
        <f t="shared" ref="V1628:V1682" si="264">(P1628-R1628)*M1628/3600/24</f>
        <v>0</v>
      </c>
      <c r="W1628" s="101">
        <v>0</v>
      </c>
      <c r="X1628" s="55">
        <f t="shared" ref="X1628:X1659" si="265">A1628+K1628+V1628+W1628+L1628</f>
        <v>46153.399999999994</v>
      </c>
    </row>
    <row r="1629" spans="1:24" s="118" customFormat="1" hidden="1" x14ac:dyDescent="0.35">
      <c r="A1629" s="46">
        <f t="shared" ref="A1629:A1695" si="266">X1628</f>
        <v>46153.399999999994</v>
      </c>
      <c r="B1629" s="46"/>
      <c r="C1629" s="46"/>
      <c r="D1629" s="46"/>
      <c r="E1629" s="47" t="s">
        <v>43</v>
      </c>
      <c r="F1629" s="97" t="s">
        <v>2606</v>
      </c>
      <c r="G1629" s="97"/>
      <c r="H1629" s="98" t="s">
        <v>2607</v>
      </c>
      <c r="I1629" s="100" t="s">
        <v>4237</v>
      </c>
      <c r="J1629" s="100" t="s">
        <v>140</v>
      </c>
      <c r="K1629" s="101">
        <v>0</v>
      </c>
      <c r="L1629" s="101">
        <v>0</v>
      </c>
      <c r="M1629" s="102">
        <v>50</v>
      </c>
      <c r="N1629" s="103">
        <v>12300</v>
      </c>
      <c r="O1629" s="171">
        <v>1</v>
      </c>
      <c r="P1629" s="103">
        <f t="shared" si="260"/>
        <v>12300</v>
      </c>
      <c r="Q1629" s="103"/>
      <c r="R1629" s="102">
        <v>12300</v>
      </c>
      <c r="S1629" s="102">
        <f t="shared" si="261"/>
        <v>0</v>
      </c>
      <c r="T1629" s="173">
        <f t="shared" si="262"/>
        <v>1728</v>
      </c>
      <c r="U1629" s="101">
        <f t="shared" si="263"/>
        <v>0</v>
      </c>
      <c r="V1629" s="101">
        <f t="shared" si="264"/>
        <v>0</v>
      </c>
      <c r="W1629" s="101">
        <v>0</v>
      </c>
      <c r="X1629" s="55">
        <f t="shared" si="265"/>
        <v>46153.399999999994</v>
      </c>
    </row>
    <row r="1630" spans="1:24" s="118" customFormat="1" hidden="1" x14ac:dyDescent="0.35">
      <c r="A1630" s="46">
        <f t="shared" si="266"/>
        <v>46153.399999999994</v>
      </c>
      <c r="B1630" s="46"/>
      <c r="C1630" s="46"/>
      <c r="D1630" s="46"/>
      <c r="E1630" s="47" t="s">
        <v>43</v>
      </c>
      <c r="F1630" s="69" t="s">
        <v>766</v>
      </c>
      <c r="G1630" s="69"/>
      <c r="H1630" s="98" t="s">
        <v>2608</v>
      </c>
      <c r="I1630" s="238" t="s">
        <v>1479</v>
      </c>
      <c r="J1630" s="51" t="s">
        <v>140</v>
      </c>
      <c r="K1630" s="91">
        <v>0</v>
      </c>
      <c r="L1630" s="91">
        <v>0</v>
      </c>
      <c r="M1630" s="92">
        <v>90</v>
      </c>
      <c r="N1630" s="94">
        <v>1000</v>
      </c>
      <c r="O1630" s="253">
        <v>1</v>
      </c>
      <c r="P1630" s="94">
        <f t="shared" si="260"/>
        <v>1000</v>
      </c>
      <c r="Q1630" s="94"/>
      <c r="R1630" s="92">
        <v>1000</v>
      </c>
      <c r="S1630" s="92">
        <f t="shared" si="261"/>
        <v>0</v>
      </c>
      <c r="T1630" s="254">
        <f t="shared" si="262"/>
        <v>960</v>
      </c>
      <c r="U1630" s="91">
        <f t="shared" si="263"/>
        <v>0</v>
      </c>
      <c r="V1630" s="91">
        <f t="shared" si="264"/>
        <v>0</v>
      </c>
      <c r="W1630" s="91">
        <v>0</v>
      </c>
      <c r="X1630" s="55">
        <f t="shared" si="265"/>
        <v>46153.399999999994</v>
      </c>
    </row>
    <row r="1631" spans="1:24" s="118" customFormat="1" hidden="1" x14ac:dyDescent="0.35">
      <c r="A1631" s="46">
        <f t="shared" si="266"/>
        <v>46153.399999999994</v>
      </c>
      <c r="B1631" s="46"/>
      <c r="C1631" s="46"/>
      <c r="D1631" s="46"/>
      <c r="E1631" s="47" t="s">
        <v>43</v>
      </c>
      <c r="F1631" s="82" t="s">
        <v>2586</v>
      </c>
      <c r="G1631" s="82"/>
      <c r="H1631" s="334" t="s">
        <v>2609</v>
      </c>
      <c r="I1631" s="71" t="s">
        <v>348</v>
      </c>
      <c r="J1631" s="170" t="s">
        <v>140</v>
      </c>
      <c r="K1631" s="101">
        <v>0</v>
      </c>
      <c r="L1631" s="101">
        <v>0</v>
      </c>
      <c r="M1631" s="102">
        <v>65</v>
      </c>
      <c r="N1631" s="103">
        <v>363</v>
      </c>
      <c r="O1631" s="171">
        <v>1</v>
      </c>
      <c r="P1631" s="103">
        <f t="shared" si="260"/>
        <v>363</v>
      </c>
      <c r="Q1631" s="103"/>
      <c r="R1631" s="102">
        <v>363</v>
      </c>
      <c r="S1631" s="102">
        <f t="shared" si="261"/>
        <v>0</v>
      </c>
      <c r="T1631" s="173">
        <f t="shared" si="262"/>
        <v>1329.2307692307693</v>
      </c>
      <c r="U1631" s="101">
        <f t="shared" si="263"/>
        <v>0</v>
      </c>
      <c r="V1631" s="101">
        <f t="shared" si="264"/>
        <v>0</v>
      </c>
      <c r="W1631" s="101">
        <v>0</v>
      </c>
      <c r="X1631" s="55">
        <f t="shared" si="265"/>
        <v>46153.399999999994</v>
      </c>
    </row>
    <row r="1632" spans="1:24" s="118" customFormat="1" hidden="1" x14ac:dyDescent="0.35">
      <c r="A1632" s="46">
        <f t="shared" si="266"/>
        <v>46153.399999999994</v>
      </c>
      <c r="B1632" s="46"/>
      <c r="C1632" s="46"/>
      <c r="D1632" s="46"/>
      <c r="E1632" s="47" t="s">
        <v>43</v>
      </c>
      <c r="F1632" s="82" t="s">
        <v>2586</v>
      </c>
      <c r="G1632" s="82"/>
      <c r="H1632" s="334" t="s">
        <v>2610</v>
      </c>
      <c r="I1632" s="71" t="s">
        <v>351</v>
      </c>
      <c r="J1632" s="170" t="s">
        <v>140</v>
      </c>
      <c r="K1632" s="101">
        <v>0</v>
      </c>
      <c r="L1632" s="101">
        <v>0</v>
      </c>
      <c r="M1632" s="102">
        <v>65</v>
      </c>
      <c r="N1632" s="103">
        <v>1340</v>
      </c>
      <c r="O1632" s="171">
        <v>1</v>
      </c>
      <c r="P1632" s="103">
        <f t="shared" si="260"/>
        <v>1340</v>
      </c>
      <c r="Q1632" s="103"/>
      <c r="R1632" s="102">
        <v>1340</v>
      </c>
      <c r="S1632" s="102">
        <f t="shared" si="261"/>
        <v>0</v>
      </c>
      <c r="T1632" s="173">
        <f t="shared" si="262"/>
        <v>1329.2307692307693</v>
      </c>
      <c r="U1632" s="101">
        <f t="shared" si="263"/>
        <v>0</v>
      </c>
      <c r="V1632" s="101">
        <f t="shared" si="264"/>
        <v>0</v>
      </c>
      <c r="W1632" s="101">
        <v>0</v>
      </c>
      <c r="X1632" s="55">
        <f t="shared" si="265"/>
        <v>46153.399999999994</v>
      </c>
    </row>
    <row r="1633" spans="1:24" s="118" customFormat="1" hidden="1" x14ac:dyDescent="0.35">
      <c r="A1633" s="46">
        <f t="shared" si="266"/>
        <v>46153.399999999994</v>
      </c>
      <c r="B1633" s="46"/>
      <c r="C1633" s="46"/>
      <c r="D1633" s="46"/>
      <c r="E1633" s="47" t="s">
        <v>43</v>
      </c>
      <c r="F1633" s="82" t="s">
        <v>2586</v>
      </c>
      <c r="G1633" s="82"/>
      <c r="H1633" s="334" t="s">
        <v>2611</v>
      </c>
      <c r="I1633" s="71" t="s">
        <v>345</v>
      </c>
      <c r="J1633" s="170" t="s">
        <v>140</v>
      </c>
      <c r="K1633" s="101">
        <v>0</v>
      </c>
      <c r="L1633" s="101">
        <v>0</v>
      </c>
      <c r="M1633" s="102">
        <v>65</v>
      </c>
      <c r="N1633" s="103">
        <v>50</v>
      </c>
      <c r="O1633" s="171">
        <v>1</v>
      </c>
      <c r="P1633" s="103">
        <f t="shared" si="260"/>
        <v>50</v>
      </c>
      <c r="Q1633" s="103"/>
      <c r="R1633" s="102">
        <v>50</v>
      </c>
      <c r="S1633" s="102">
        <f t="shared" si="261"/>
        <v>0</v>
      </c>
      <c r="T1633" s="173">
        <f t="shared" si="262"/>
        <v>1329.2307692307693</v>
      </c>
      <c r="U1633" s="101">
        <f t="shared" si="263"/>
        <v>0</v>
      </c>
      <c r="V1633" s="101">
        <f t="shared" si="264"/>
        <v>0</v>
      </c>
      <c r="W1633" s="101">
        <v>0</v>
      </c>
      <c r="X1633" s="55">
        <f t="shared" si="265"/>
        <v>46153.399999999994</v>
      </c>
    </row>
    <row r="1634" spans="1:24" s="118" customFormat="1" ht="26.5" hidden="1" x14ac:dyDescent="0.35">
      <c r="A1634" s="46">
        <f t="shared" si="266"/>
        <v>46153.399999999994</v>
      </c>
      <c r="B1634" s="46"/>
      <c r="C1634" s="46"/>
      <c r="D1634" s="46"/>
      <c r="E1634" s="47" t="s">
        <v>43</v>
      </c>
      <c r="F1634" s="82" t="s">
        <v>2612</v>
      </c>
      <c r="G1634" s="82"/>
      <c r="H1634" s="334" t="s">
        <v>2613</v>
      </c>
      <c r="I1634" s="71" t="s">
        <v>2614</v>
      </c>
      <c r="J1634" s="170" t="s">
        <v>140</v>
      </c>
      <c r="K1634" s="101">
        <v>0</v>
      </c>
      <c r="L1634" s="101">
        <v>0</v>
      </c>
      <c r="M1634" s="102">
        <v>65</v>
      </c>
      <c r="N1634" s="103">
        <v>300</v>
      </c>
      <c r="O1634" s="171">
        <v>1</v>
      </c>
      <c r="P1634" s="103">
        <f t="shared" si="260"/>
        <v>300</v>
      </c>
      <c r="Q1634" s="103"/>
      <c r="R1634" s="102">
        <v>300</v>
      </c>
      <c r="S1634" s="102">
        <f t="shared" si="261"/>
        <v>0</v>
      </c>
      <c r="T1634" s="173">
        <f t="shared" si="262"/>
        <v>1329.2307692307693</v>
      </c>
      <c r="U1634" s="101">
        <f t="shared" si="263"/>
        <v>0</v>
      </c>
      <c r="V1634" s="101">
        <f t="shared" si="264"/>
        <v>0</v>
      </c>
      <c r="W1634" s="101">
        <v>0</v>
      </c>
      <c r="X1634" s="55">
        <f t="shared" si="265"/>
        <v>46153.399999999994</v>
      </c>
    </row>
    <row r="1635" spans="1:24" s="118" customFormat="1" hidden="1" x14ac:dyDescent="0.35">
      <c r="A1635" s="46">
        <f t="shared" si="266"/>
        <v>46153.399999999994</v>
      </c>
      <c r="B1635" s="46"/>
      <c r="C1635" s="46"/>
      <c r="D1635" s="46"/>
      <c r="E1635" s="47" t="s">
        <v>64</v>
      </c>
      <c r="F1635" s="82" t="s">
        <v>2615</v>
      </c>
      <c r="G1635" s="82"/>
      <c r="H1635" s="98" t="s">
        <v>2616</v>
      </c>
      <c r="I1635" s="82" t="s">
        <v>2617</v>
      </c>
      <c r="J1635" s="51" t="s">
        <v>283</v>
      </c>
      <c r="K1635" s="91">
        <v>0</v>
      </c>
      <c r="L1635" s="91">
        <v>0</v>
      </c>
      <c r="M1635" s="92">
        <v>67</v>
      </c>
      <c r="N1635" s="94">
        <v>1440</v>
      </c>
      <c r="O1635" s="253">
        <v>1</v>
      </c>
      <c r="P1635" s="94">
        <f t="shared" si="260"/>
        <v>1440</v>
      </c>
      <c r="Q1635" s="94"/>
      <c r="R1635" s="92">
        <v>1440</v>
      </c>
      <c r="S1635" s="92">
        <f t="shared" si="261"/>
        <v>0</v>
      </c>
      <c r="T1635" s="254">
        <f t="shared" si="262"/>
        <v>1289.5522388059703</v>
      </c>
      <c r="U1635" s="91">
        <f t="shared" si="263"/>
        <v>0</v>
      </c>
      <c r="V1635" s="91">
        <f t="shared" si="264"/>
        <v>0</v>
      </c>
      <c r="W1635" s="91">
        <v>0</v>
      </c>
      <c r="X1635" s="55">
        <f t="shared" si="265"/>
        <v>46153.399999999994</v>
      </c>
    </row>
    <row r="1636" spans="1:24" s="118" customFormat="1" ht="29" hidden="1" x14ac:dyDescent="0.35">
      <c r="A1636" s="46">
        <f t="shared" si="266"/>
        <v>46153.399999999994</v>
      </c>
      <c r="B1636" s="46"/>
      <c r="C1636" s="46"/>
      <c r="D1636" s="46"/>
      <c r="E1636" s="47" t="s">
        <v>64</v>
      </c>
      <c r="F1636" s="48" t="s">
        <v>165</v>
      </c>
      <c r="G1636" s="48"/>
      <c r="H1636" s="49" t="s">
        <v>2618</v>
      </c>
      <c r="I1636" s="333" t="s">
        <v>1051</v>
      </c>
      <c r="J1636" s="100" t="s">
        <v>140</v>
      </c>
      <c r="K1636" s="52">
        <v>0</v>
      </c>
      <c r="L1636" s="52">
        <v>0</v>
      </c>
      <c r="M1636" s="53">
        <v>95</v>
      </c>
      <c r="N1636" s="54">
        <v>1000</v>
      </c>
      <c r="O1636" s="341">
        <v>1</v>
      </c>
      <c r="P1636" s="54">
        <f t="shared" si="260"/>
        <v>1000</v>
      </c>
      <c r="Q1636" s="54"/>
      <c r="R1636" s="92">
        <v>1000</v>
      </c>
      <c r="S1636" s="53">
        <f t="shared" si="261"/>
        <v>0</v>
      </c>
      <c r="T1636" s="315">
        <f t="shared" si="262"/>
        <v>909.47368421052624</v>
      </c>
      <c r="U1636" s="84">
        <f t="shared" si="263"/>
        <v>0</v>
      </c>
      <c r="V1636" s="84">
        <f t="shared" si="264"/>
        <v>0</v>
      </c>
      <c r="W1636" s="84">
        <v>0</v>
      </c>
      <c r="X1636" s="55">
        <f t="shared" si="265"/>
        <v>46153.399999999994</v>
      </c>
    </row>
    <row r="1637" spans="1:24" s="118" customFormat="1" ht="29" hidden="1" x14ac:dyDescent="0.35">
      <c r="A1637" s="46">
        <f t="shared" si="266"/>
        <v>46153.399999999994</v>
      </c>
      <c r="B1637" s="46"/>
      <c r="C1637" s="46"/>
      <c r="D1637" s="46"/>
      <c r="E1637" s="47" t="s">
        <v>64</v>
      </c>
      <c r="F1637" s="48" t="s">
        <v>165</v>
      </c>
      <c r="G1637" s="48"/>
      <c r="H1637" s="49" t="s">
        <v>2619</v>
      </c>
      <c r="I1637" s="333" t="s">
        <v>1049</v>
      </c>
      <c r="J1637" s="100" t="s">
        <v>140</v>
      </c>
      <c r="K1637" s="52">
        <v>0</v>
      </c>
      <c r="L1637" s="52">
        <v>0</v>
      </c>
      <c r="M1637" s="53">
        <v>95</v>
      </c>
      <c r="N1637" s="54">
        <v>500</v>
      </c>
      <c r="O1637" s="341">
        <v>1</v>
      </c>
      <c r="P1637" s="54">
        <f t="shared" si="260"/>
        <v>500</v>
      </c>
      <c r="Q1637" s="54"/>
      <c r="R1637" s="92">
        <v>500</v>
      </c>
      <c r="S1637" s="53">
        <f t="shared" si="261"/>
        <v>0</v>
      </c>
      <c r="T1637" s="315">
        <f t="shared" si="262"/>
        <v>909.47368421052624</v>
      </c>
      <c r="U1637" s="84">
        <f t="shared" si="263"/>
        <v>0</v>
      </c>
      <c r="V1637" s="84">
        <f t="shared" si="264"/>
        <v>0</v>
      </c>
      <c r="W1637" s="84">
        <v>0</v>
      </c>
      <c r="X1637" s="55">
        <f t="shared" si="265"/>
        <v>46153.399999999994</v>
      </c>
    </row>
    <row r="1638" spans="1:24" s="118" customFormat="1" hidden="1" x14ac:dyDescent="0.35">
      <c r="A1638" s="46">
        <f t="shared" si="266"/>
        <v>46153.399999999994</v>
      </c>
      <c r="B1638" s="46"/>
      <c r="C1638" s="46"/>
      <c r="D1638" s="46"/>
      <c r="E1638" s="47" t="s">
        <v>43</v>
      </c>
      <c r="F1638" s="82" t="s">
        <v>1856</v>
      </c>
      <c r="G1638" s="82" t="s">
        <v>315</v>
      </c>
      <c r="H1638" s="98" t="s">
        <v>2620</v>
      </c>
      <c r="I1638" s="99" t="s">
        <v>97</v>
      </c>
      <c r="J1638" s="51" t="s">
        <v>140</v>
      </c>
      <c r="K1638" s="91">
        <v>0</v>
      </c>
      <c r="L1638" s="91">
        <v>0</v>
      </c>
      <c r="M1638" s="92">
        <v>110</v>
      </c>
      <c r="N1638" s="94">
        <v>4030</v>
      </c>
      <c r="O1638" s="253">
        <v>1</v>
      </c>
      <c r="P1638" s="94">
        <f t="shared" si="260"/>
        <v>4030</v>
      </c>
      <c r="Q1638" s="94"/>
      <c r="R1638" s="92">
        <v>4030</v>
      </c>
      <c r="S1638" s="92">
        <f t="shared" si="261"/>
        <v>0</v>
      </c>
      <c r="T1638" s="254">
        <f t="shared" si="262"/>
        <v>785.4545454545455</v>
      </c>
      <c r="U1638" s="91">
        <f t="shared" si="263"/>
        <v>0</v>
      </c>
      <c r="V1638" s="91">
        <f t="shared" si="264"/>
        <v>0</v>
      </c>
      <c r="W1638" s="91">
        <v>0</v>
      </c>
      <c r="X1638" s="55">
        <f t="shared" si="265"/>
        <v>46153.399999999994</v>
      </c>
    </row>
    <row r="1639" spans="1:24" s="118" customFormat="1" hidden="1" x14ac:dyDescent="0.35">
      <c r="A1639" s="46">
        <f t="shared" si="266"/>
        <v>46153.399999999994</v>
      </c>
      <c r="B1639" s="46"/>
      <c r="C1639" s="46"/>
      <c r="D1639" s="46"/>
      <c r="E1639" s="119" t="s">
        <v>64</v>
      </c>
      <c r="F1639" s="82" t="s">
        <v>2621</v>
      </c>
      <c r="G1639" s="82" t="s">
        <v>315</v>
      </c>
      <c r="H1639" s="98" t="s">
        <v>2622</v>
      </c>
      <c r="I1639" s="82" t="s">
        <v>2623</v>
      </c>
      <c r="J1639" s="100" t="s">
        <v>140</v>
      </c>
      <c r="K1639" s="101">
        <v>0</v>
      </c>
      <c r="L1639" s="101">
        <v>0</v>
      </c>
      <c r="M1639" s="102">
        <v>60</v>
      </c>
      <c r="N1639" s="103">
        <v>300</v>
      </c>
      <c r="O1639" s="171">
        <v>1</v>
      </c>
      <c r="P1639" s="103">
        <f t="shared" si="260"/>
        <v>300</v>
      </c>
      <c r="Q1639" s="103"/>
      <c r="R1639" s="102">
        <v>300</v>
      </c>
      <c r="S1639" s="102">
        <f t="shared" si="261"/>
        <v>0</v>
      </c>
      <c r="T1639" s="173">
        <f t="shared" si="262"/>
        <v>1440</v>
      </c>
      <c r="U1639" s="101">
        <f t="shared" si="263"/>
        <v>0</v>
      </c>
      <c r="V1639" s="101">
        <f t="shared" si="264"/>
        <v>0</v>
      </c>
      <c r="W1639" s="101">
        <v>0</v>
      </c>
      <c r="X1639" s="55">
        <f t="shared" si="265"/>
        <v>46153.399999999994</v>
      </c>
    </row>
    <row r="1640" spans="1:24" s="118" customFormat="1" hidden="1" x14ac:dyDescent="0.35">
      <c r="A1640" s="46">
        <f t="shared" si="266"/>
        <v>46153.399999999994</v>
      </c>
      <c r="B1640" s="46"/>
      <c r="C1640" s="46"/>
      <c r="D1640" s="46"/>
      <c r="E1640" s="119" t="s">
        <v>64</v>
      </c>
      <c r="F1640" s="82" t="s">
        <v>2621</v>
      </c>
      <c r="G1640" s="82" t="s">
        <v>315</v>
      </c>
      <c r="H1640" s="98" t="s">
        <v>2624</v>
      </c>
      <c r="I1640" s="82" t="s">
        <v>1509</v>
      </c>
      <c r="J1640" s="100" t="s">
        <v>140</v>
      </c>
      <c r="K1640" s="101">
        <v>0</v>
      </c>
      <c r="L1640" s="101">
        <v>0</v>
      </c>
      <c r="M1640" s="102">
        <v>60</v>
      </c>
      <c r="N1640" s="103">
        <v>1700</v>
      </c>
      <c r="O1640" s="171">
        <v>1</v>
      </c>
      <c r="P1640" s="103">
        <f t="shared" si="260"/>
        <v>1700</v>
      </c>
      <c r="Q1640" s="103"/>
      <c r="R1640" s="102">
        <v>1700</v>
      </c>
      <c r="S1640" s="102">
        <f t="shared" si="261"/>
        <v>0</v>
      </c>
      <c r="T1640" s="173">
        <f t="shared" si="262"/>
        <v>1440</v>
      </c>
      <c r="U1640" s="101">
        <f t="shared" si="263"/>
        <v>0</v>
      </c>
      <c r="V1640" s="101">
        <f t="shared" si="264"/>
        <v>0</v>
      </c>
      <c r="W1640" s="101">
        <v>0</v>
      </c>
      <c r="X1640" s="55">
        <f t="shared" si="265"/>
        <v>46153.399999999994</v>
      </c>
    </row>
    <row r="1641" spans="1:24" s="118" customFormat="1" hidden="1" x14ac:dyDescent="0.35">
      <c r="A1641" s="46">
        <f t="shared" si="266"/>
        <v>46153.399999999994</v>
      </c>
      <c r="B1641" s="46"/>
      <c r="C1641" s="46"/>
      <c r="D1641" s="46"/>
      <c r="E1641" s="47" t="s">
        <v>64</v>
      </c>
      <c r="F1641" s="82" t="s">
        <v>220</v>
      </c>
      <c r="G1641" s="82" t="s">
        <v>327</v>
      </c>
      <c r="H1641" s="108">
        <v>12777</v>
      </c>
      <c r="I1641" s="417" t="s">
        <v>2625</v>
      </c>
      <c r="J1641" s="51" t="s">
        <v>140</v>
      </c>
      <c r="K1641" s="91">
        <v>0</v>
      </c>
      <c r="L1641" s="91">
        <v>0</v>
      </c>
      <c r="M1641" s="92">
        <v>120</v>
      </c>
      <c r="N1641" s="94">
        <v>500</v>
      </c>
      <c r="O1641" s="253">
        <v>1</v>
      </c>
      <c r="P1641" s="94">
        <f t="shared" si="260"/>
        <v>500</v>
      </c>
      <c r="Q1641" s="94"/>
      <c r="R1641" s="92">
        <v>500</v>
      </c>
      <c r="S1641" s="92">
        <f t="shared" si="261"/>
        <v>0</v>
      </c>
      <c r="T1641" s="254">
        <f t="shared" si="262"/>
        <v>720</v>
      </c>
      <c r="U1641" s="91">
        <f t="shared" si="263"/>
        <v>0</v>
      </c>
      <c r="V1641" s="91">
        <f t="shared" si="264"/>
        <v>0</v>
      </c>
      <c r="W1641" s="91">
        <v>0</v>
      </c>
      <c r="X1641" s="55">
        <f t="shared" si="265"/>
        <v>46153.399999999994</v>
      </c>
    </row>
    <row r="1642" spans="1:24" s="118" customFormat="1" hidden="1" x14ac:dyDescent="0.35">
      <c r="A1642" s="123">
        <f t="shared" si="266"/>
        <v>46153.399999999994</v>
      </c>
      <c r="B1642" s="123"/>
      <c r="C1642" s="123"/>
      <c r="D1642" s="123"/>
      <c r="E1642" s="124" t="s">
        <v>43</v>
      </c>
      <c r="F1642" s="159" t="s">
        <v>220</v>
      </c>
      <c r="G1642" s="159" t="s">
        <v>327</v>
      </c>
      <c r="H1642" s="467">
        <v>12778</v>
      </c>
      <c r="I1642" s="477" t="s">
        <v>1663</v>
      </c>
      <c r="J1642" s="128" t="s">
        <v>140</v>
      </c>
      <c r="K1642" s="129">
        <v>0</v>
      </c>
      <c r="L1642" s="129">
        <v>0</v>
      </c>
      <c r="M1642" s="130">
        <v>120</v>
      </c>
      <c r="N1642" s="131">
        <v>1000</v>
      </c>
      <c r="O1642" s="189">
        <v>1</v>
      </c>
      <c r="P1642" s="131">
        <f t="shared" si="260"/>
        <v>1000</v>
      </c>
      <c r="Q1642" s="131"/>
      <c r="R1642" s="176">
        <v>1000</v>
      </c>
      <c r="S1642" s="130">
        <f t="shared" si="261"/>
        <v>0</v>
      </c>
      <c r="T1642" s="242">
        <f t="shared" si="262"/>
        <v>720</v>
      </c>
      <c r="U1642" s="129">
        <f t="shared" si="263"/>
        <v>0</v>
      </c>
      <c r="V1642" s="129">
        <f t="shared" si="264"/>
        <v>0</v>
      </c>
      <c r="W1642" s="129">
        <v>0</v>
      </c>
      <c r="X1642" s="137">
        <f t="shared" si="265"/>
        <v>46153.399999999994</v>
      </c>
    </row>
    <row r="1643" spans="1:24" s="118" customFormat="1" hidden="1" x14ac:dyDescent="0.35">
      <c r="A1643" s="123">
        <f t="shared" si="266"/>
        <v>46153.399999999994</v>
      </c>
      <c r="B1643" s="123"/>
      <c r="C1643" s="123"/>
      <c r="D1643" s="123"/>
      <c r="E1643" s="124" t="s">
        <v>43</v>
      </c>
      <c r="F1643" s="160" t="s">
        <v>326</v>
      </c>
      <c r="G1643" s="160" t="s">
        <v>327</v>
      </c>
      <c r="H1643" s="126" t="s">
        <v>2626</v>
      </c>
      <c r="I1643" s="160" t="s">
        <v>1394</v>
      </c>
      <c r="J1643" s="128" t="s">
        <v>140</v>
      </c>
      <c r="K1643" s="129">
        <v>0</v>
      </c>
      <c r="L1643" s="129">
        <v>0</v>
      </c>
      <c r="M1643" s="130">
        <v>90</v>
      </c>
      <c r="N1643" s="131">
        <v>250</v>
      </c>
      <c r="O1643" s="189">
        <v>1</v>
      </c>
      <c r="P1643" s="131">
        <f t="shared" si="260"/>
        <v>250</v>
      </c>
      <c r="Q1643" s="131"/>
      <c r="R1643" s="176">
        <v>250</v>
      </c>
      <c r="S1643" s="130">
        <f t="shared" si="261"/>
        <v>0</v>
      </c>
      <c r="T1643" s="242">
        <f t="shared" si="262"/>
        <v>960</v>
      </c>
      <c r="U1643" s="129">
        <f t="shared" si="263"/>
        <v>0</v>
      </c>
      <c r="V1643" s="129">
        <f t="shared" si="264"/>
        <v>0</v>
      </c>
      <c r="W1643" s="163">
        <v>0</v>
      </c>
      <c r="X1643" s="137">
        <f t="shared" si="265"/>
        <v>46153.399999999994</v>
      </c>
    </row>
    <row r="1644" spans="1:24" s="118" customFormat="1" hidden="1" x14ac:dyDescent="0.35">
      <c r="A1644" s="123">
        <f t="shared" si="266"/>
        <v>46153.399999999994</v>
      </c>
      <c r="B1644" s="123"/>
      <c r="C1644" s="123"/>
      <c r="D1644" s="123"/>
      <c r="E1644" s="124" t="s">
        <v>43</v>
      </c>
      <c r="F1644" s="160" t="s">
        <v>326</v>
      </c>
      <c r="G1644" s="160" t="s">
        <v>327</v>
      </c>
      <c r="H1644" s="126" t="s">
        <v>2627</v>
      </c>
      <c r="I1644" s="160" t="s">
        <v>148</v>
      </c>
      <c r="J1644" s="128" t="s">
        <v>140</v>
      </c>
      <c r="K1644" s="129">
        <v>0</v>
      </c>
      <c r="L1644" s="129">
        <v>0</v>
      </c>
      <c r="M1644" s="130">
        <v>90</v>
      </c>
      <c r="N1644" s="131">
        <v>1000</v>
      </c>
      <c r="O1644" s="189">
        <v>1</v>
      </c>
      <c r="P1644" s="131">
        <f t="shared" si="260"/>
        <v>1000</v>
      </c>
      <c r="Q1644" s="131"/>
      <c r="R1644" s="176">
        <v>1000</v>
      </c>
      <c r="S1644" s="130">
        <f t="shared" si="261"/>
        <v>0</v>
      </c>
      <c r="T1644" s="242">
        <f t="shared" si="262"/>
        <v>960</v>
      </c>
      <c r="U1644" s="129">
        <f t="shared" si="263"/>
        <v>0</v>
      </c>
      <c r="V1644" s="129">
        <f t="shared" si="264"/>
        <v>0</v>
      </c>
      <c r="W1644" s="163">
        <v>0</v>
      </c>
      <c r="X1644" s="137">
        <f t="shared" si="265"/>
        <v>46153.399999999994</v>
      </c>
    </row>
    <row r="1645" spans="1:24" s="118" customFormat="1" hidden="1" x14ac:dyDescent="0.35">
      <c r="A1645" s="123">
        <f t="shared" si="266"/>
        <v>46153.399999999994</v>
      </c>
      <c r="B1645" s="123"/>
      <c r="C1645" s="123"/>
      <c r="D1645" s="123"/>
      <c r="E1645" s="124" t="s">
        <v>43</v>
      </c>
      <c r="F1645" s="159" t="s">
        <v>782</v>
      </c>
      <c r="G1645" s="159" t="s">
        <v>327</v>
      </c>
      <c r="H1645" s="126" t="s">
        <v>2628</v>
      </c>
      <c r="I1645" s="161" t="s">
        <v>1432</v>
      </c>
      <c r="J1645" s="128" t="s">
        <v>140</v>
      </c>
      <c r="K1645" s="129">
        <v>0</v>
      </c>
      <c r="L1645" s="129">
        <v>0</v>
      </c>
      <c r="M1645" s="130">
        <v>90</v>
      </c>
      <c r="N1645" s="131">
        <v>3500</v>
      </c>
      <c r="O1645" s="189">
        <v>1</v>
      </c>
      <c r="P1645" s="131">
        <f t="shared" si="260"/>
        <v>3500</v>
      </c>
      <c r="Q1645" s="131"/>
      <c r="R1645" s="176">
        <v>3500</v>
      </c>
      <c r="S1645" s="130">
        <f t="shared" si="261"/>
        <v>0</v>
      </c>
      <c r="T1645" s="242">
        <f t="shared" si="262"/>
        <v>960</v>
      </c>
      <c r="U1645" s="129">
        <f t="shared" si="263"/>
        <v>0</v>
      </c>
      <c r="V1645" s="129">
        <f t="shared" si="264"/>
        <v>0</v>
      </c>
      <c r="W1645" s="129">
        <v>0</v>
      </c>
      <c r="X1645" s="137">
        <f t="shared" si="265"/>
        <v>46153.399999999994</v>
      </c>
    </row>
    <row r="1646" spans="1:24" s="118" customFormat="1" hidden="1" x14ac:dyDescent="0.35">
      <c r="A1646" s="123">
        <f t="shared" si="266"/>
        <v>46153.399999999994</v>
      </c>
      <c r="B1646" s="123"/>
      <c r="C1646" s="123"/>
      <c r="D1646" s="123"/>
      <c r="E1646" s="124" t="s">
        <v>43</v>
      </c>
      <c r="F1646" s="160" t="s">
        <v>326</v>
      </c>
      <c r="G1646" s="160" t="s">
        <v>327</v>
      </c>
      <c r="H1646" s="126" t="s">
        <v>2629</v>
      </c>
      <c r="I1646" s="160" t="s">
        <v>2092</v>
      </c>
      <c r="J1646" s="128" t="s">
        <v>140</v>
      </c>
      <c r="K1646" s="129">
        <v>0</v>
      </c>
      <c r="L1646" s="129">
        <v>0</v>
      </c>
      <c r="M1646" s="130">
        <v>90</v>
      </c>
      <c r="N1646" s="131">
        <v>250</v>
      </c>
      <c r="O1646" s="189">
        <v>1</v>
      </c>
      <c r="P1646" s="131">
        <f t="shared" si="260"/>
        <v>250</v>
      </c>
      <c r="Q1646" s="131"/>
      <c r="R1646" s="176">
        <v>250</v>
      </c>
      <c r="S1646" s="130">
        <f t="shared" si="261"/>
        <v>0</v>
      </c>
      <c r="T1646" s="242">
        <f t="shared" si="262"/>
        <v>960</v>
      </c>
      <c r="U1646" s="129">
        <f t="shared" si="263"/>
        <v>0</v>
      </c>
      <c r="V1646" s="129">
        <f t="shared" si="264"/>
        <v>0</v>
      </c>
      <c r="W1646" s="163">
        <v>0</v>
      </c>
      <c r="X1646" s="137">
        <f t="shared" si="265"/>
        <v>46153.399999999994</v>
      </c>
    </row>
    <row r="1647" spans="1:24" s="118" customFormat="1" hidden="1" x14ac:dyDescent="0.35">
      <c r="A1647" s="123">
        <f t="shared" si="266"/>
        <v>46153.399999999994</v>
      </c>
      <c r="B1647" s="123"/>
      <c r="C1647" s="123"/>
      <c r="D1647" s="123"/>
      <c r="E1647" s="124" t="s">
        <v>64</v>
      </c>
      <c r="F1647" s="160" t="s">
        <v>787</v>
      </c>
      <c r="G1647" s="160" t="s">
        <v>327</v>
      </c>
      <c r="H1647" s="126" t="s">
        <v>2630</v>
      </c>
      <c r="I1647" s="160" t="s">
        <v>148</v>
      </c>
      <c r="J1647" s="128" t="s">
        <v>140</v>
      </c>
      <c r="K1647" s="129">
        <v>0</v>
      </c>
      <c r="L1647" s="129">
        <v>0</v>
      </c>
      <c r="M1647" s="130">
        <v>67</v>
      </c>
      <c r="N1647" s="131">
        <v>3500</v>
      </c>
      <c r="O1647" s="189">
        <v>1</v>
      </c>
      <c r="P1647" s="131">
        <f t="shared" si="260"/>
        <v>3500</v>
      </c>
      <c r="Q1647" s="131"/>
      <c r="R1647" s="176">
        <v>3500</v>
      </c>
      <c r="S1647" s="130">
        <f t="shared" si="261"/>
        <v>0</v>
      </c>
      <c r="T1647" s="242">
        <f t="shared" si="262"/>
        <v>1289.5522388059703</v>
      </c>
      <c r="U1647" s="129">
        <f t="shared" si="263"/>
        <v>0</v>
      </c>
      <c r="V1647" s="129">
        <f t="shared" si="264"/>
        <v>0</v>
      </c>
      <c r="W1647" s="163">
        <v>0</v>
      </c>
      <c r="X1647" s="137">
        <f t="shared" si="265"/>
        <v>46153.399999999994</v>
      </c>
    </row>
    <row r="1648" spans="1:24" s="118" customFormat="1" hidden="1" x14ac:dyDescent="0.35">
      <c r="A1648" s="123">
        <f t="shared" si="266"/>
        <v>46153.399999999994</v>
      </c>
      <c r="B1648" s="123"/>
      <c r="C1648" s="123"/>
      <c r="D1648" s="123"/>
      <c r="E1648" s="124" t="s">
        <v>64</v>
      </c>
      <c r="F1648" s="159" t="s">
        <v>2615</v>
      </c>
      <c r="G1648" s="159" t="s">
        <v>327</v>
      </c>
      <c r="H1648" s="126" t="s">
        <v>2631</v>
      </c>
      <c r="I1648" s="159" t="s">
        <v>2617</v>
      </c>
      <c r="J1648" s="128" t="s">
        <v>283</v>
      </c>
      <c r="K1648" s="129">
        <v>0</v>
      </c>
      <c r="L1648" s="129">
        <v>0</v>
      </c>
      <c r="M1648" s="130">
        <v>67</v>
      </c>
      <c r="N1648" s="131">
        <v>360</v>
      </c>
      <c r="O1648" s="189">
        <v>1</v>
      </c>
      <c r="P1648" s="131">
        <f t="shared" si="260"/>
        <v>360</v>
      </c>
      <c r="Q1648" s="131"/>
      <c r="R1648" s="130">
        <v>360</v>
      </c>
      <c r="S1648" s="130">
        <f t="shared" si="261"/>
        <v>0</v>
      </c>
      <c r="T1648" s="242">
        <f t="shared" si="262"/>
        <v>1289.5522388059703</v>
      </c>
      <c r="U1648" s="129">
        <f t="shared" si="263"/>
        <v>0</v>
      </c>
      <c r="V1648" s="129">
        <f t="shared" si="264"/>
        <v>0</v>
      </c>
      <c r="W1648" s="129">
        <v>0</v>
      </c>
      <c r="X1648" s="137">
        <f t="shared" si="265"/>
        <v>46153.399999999994</v>
      </c>
    </row>
    <row r="1649" spans="1:24" s="118" customFormat="1" hidden="1" x14ac:dyDescent="0.35">
      <c r="A1649" s="123">
        <f t="shared" si="266"/>
        <v>46153.399999999994</v>
      </c>
      <c r="B1649" s="123"/>
      <c r="C1649" s="123"/>
      <c r="D1649" s="123"/>
      <c r="E1649" s="124" t="s">
        <v>64</v>
      </c>
      <c r="F1649" s="159" t="s">
        <v>2632</v>
      </c>
      <c r="G1649" s="159" t="s">
        <v>327</v>
      </c>
      <c r="H1649" s="126" t="s">
        <v>2633</v>
      </c>
      <c r="I1649" s="159" t="s">
        <v>2617</v>
      </c>
      <c r="J1649" s="175" t="s">
        <v>140</v>
      </c>
      <c r="K1649" s="129">
        <v>0</v>
      </c>
      <c r="L1649" s="129">
        <v>0</v>
      </c>
      <c r="M1649" s="130">
        <v>67</v>
      </c>
      <c r="N1649" s="131">
        <v>760</v>
      </c>
      <c r="O1649" s="189">
        <v>1</v>
      </c>
      <c r="P1649" s="131">
        <f t="shared" si="260"/>
        <v>760</v>
      </c>
      <c r="Q1649" s="131"/>
      <c r="R1649" s="130">
        <v>760</v>
      </c>
      <c r="S1649" s="130">
        <f t="shared" si="261"/>
        <v>0</v>
      </c>
      <c r="T1649" s="242">
        <f t="shared" si="262"/>
        <v>1289.5522388059703</v>
      </c>
      <c r="U1649" s="129">
        <f t="shared" si="263"/>
        <v>0</v>
      </c>
      <c r="V1649" s="129">
        <f t="shared" si="264"/>
        <v>0</v>
      </c>
      <c r="W1649" s="129">
        <v>0</v>
      </c>
      <c r="X1649" s="137">
        <f t="shared" si="265"/>
        <v>46153.399999999994</v>
      </c>
    </row>
    <row r="1650" spans="1:24" s="118" customFormat="1" hidden="1" x14ac:dyDescent="0.35">
      <c r="A1650" s="138">
        <f t="shared" si="266"/>
        <v>46153.399999999994</v>
      </c>
      <c r="B1650" s="138"/>
      <c r="C1650" s="138"/>
      <c r="D1650" s="138"/>
      <c r="E1650" s="139" t="s">
        <v>64</v>
      </c>
      <c r="F1650" s="245" t="s">
        <v>2190</v>
      </c>
      <c r="G1650" s="245" t="s">
        <v>327</v>
      </c>
      <c r="H1650" s="568" t="s">
        <v>2634</v>
      </c>
      <c r="I1650" s="140" t="s">
        <v>1187</v>
      </c>
      <c r="J1650" s="143" t="s">
        <v>140</v>
      </c>
      <c r="K1650" s="149">
        <v>0</v>
      </c>
      <c r="L1650" s="149">
        <v>0</v>
      </c>
      <c r="M1650" s="148">
        <v>187</v>
      </c>
      <c r="N1650" s="155">
        <v>3840</v>
      </c>
      <c r="O1650" s="148">
        <v>4</v>
      </c>
      <c r="P1650" s="155">
        <f t="shared" si="260"/>
        <v>960</v>
      </c>
      <c r="Q1650" s="155"/>
      <c r="R1650" s="544">
        <v>960</v>
      </c>
      <c r="S1650" s="148">
        <f t="shared" si="261"/>
        <v>0</v>
      </c>
      <c r="T1650" s="148">
        <f t="shared" si="262"/>
        <v>1848.1283422459892</v>
      </c>
      <c r="U1650" s="149">
        <f t="shared" si="263"/>
        <v>0</v>
      </c>
      <c r="V1650" s="149">
        <f t="shared" si="264"/>
        <v>0</v>
      </c>
      <c r="W1650" s="149">
        <v>0</v>
      </c>
      <c r="X1650" s="150">
        <f t="shared" si="265"/>
        <v>46153.399999999994</v>
      </c>
    </row>
    <row r="1651" spans="1:24" s="118" customFormat="1" ht="26.5" hidden="1" x14ac:dyDescent="0.35">
      <c r="A1651" s="123">
        <f t="shared" si="266"/>
        <v>46153.399999999994</v>
      </c>
      <c r="B1651" s="123"/>
      <c r="C1651" s="123"/>
      <c r="D1651" s="123"/>
      <c r="E1651" s="158" t="s">
        <v>64</v>
      </c>
      <c r="F1651" s="125" t="s">
        <v>2190</v>
      </c>
      <c r="G1651" s="125" t="s">
        <v>2193</v>
      </c>
      <c r="H1651" s="503" t="s">
        <v>2635</v>
      </c>
      <c r="I1651" s="159" t="s">
        <v>1187</v>
      </c>
      <c r="J1651" s="175" t="s">
        <v>140</v>
      </c>
      <c r="K1651" s="163">
        <v>0</v>
      </c>
      <c r="L1651" s="163">
        <v>0</v>
      </c>
      <c r="M1651" s="164">
        <v>187</v>
      </c>
      <c r="N1651" s="165">
        <v>400</v>
      </c>
      <c r="O1651" s="164">
        <v>4</v>
      </c>
      <c r="P1651" s="165">
        <f t="shared" si="260"/>
        <v>100</v>
      </c>
      <c r="Q1651" s="165"/>
      <c r="R1651" s="176">
        <v>100</v>
      </c>
      <c r="S1651" s="164">
        <f t="shared" si="261"/>
        <v>0</v>
      </c>
      <c r="T1651" s="164">
        <f t="shared" si="262"/>
        <v>1848.1283422459892</v>
      </c>
      <c r="U1651" s="163">
        <f t="shared" si="263"/>
        <v>0</v>
      </c>
      <c r="V1651" s="163">
        <f t="shared" si="264"/>
        <v>0</v>
      </c>
      <c r="W1651" s="163">
        <v>0</v>
      </c>
      <c r="X1651" s="137">
        <f t="shared" si="265"/>
        <v>46153.399999999994</v>
      </c>
    </row>
    <row r="1652" spans="1:24" s="118" customFormat="1" ht="26" hidden="1" x14ac:dyDescent="0.35">
      <c r="A1652" s="123">
        <f t="shared" si="266"/>
        <v>46153.399999999994</v>
      </c>
      <c r="B1652" s="123"/>
      <c r="C1652" s="123"/>
      <c r="D1652" s="123"/>
      <c r="E1652" s="158" t="s">
        <v>64</v>
      </c>
      <c r="F1652" s="159" t="s">
        <v>2636</v>
      </c>
      <c r="G1652" s="159" t="s">
        <v>327</v>
      </c>
      <c r="H1652" s="126" t="s">
        <v>2637</v>
      </c>
      <c r="I1652" s="569" t="s">
        <v>4238</v>
      </c>
      <c r="J1652" s="162" t="s">
        <v>140</v>
      </c>
      <c r="K1652" s="163">
        <v>0</v>
      </c>
      <c r="L1652" s="163">
        <v>0</v>
      </c>
      <c r="M1652" s="164">
        <v>65</v>
      </c>
      <c r="N1652" s="165">
        <v>400</v>
      </c>
      <c r="O1652" s="166">
        <v>1</v>
      </c>
      <c r="P1652" s="165">
        <f t="shared" si="260"/>
        <v>400</v>
      </c>
      <c r="Q1652" s="165"/>
      <c r="R1652" s="164">
        <v>400</v>
      </c>
      <c r="S1652" s="164">
        <f t="shared" si="261"/>
        <v>0</v>
      </c>
      <c r="T1652" s="168">
        <f t="shared" si="262"/>
        <v>1329.2307692307693</v>
      </c>
      <c r="U1652" s="163">
        <f t="shared" si="263"/>
        <v>0</v>
      </c>
      <c r="V1652" s="163">
        <f t="shared" si="264"/>
        <v>0</v>
      </c>
      <c r="W1652" s="163">
        <v>0</v>
      </c>
      <c r="X1652" s="169">
        <f t="shared" si="265"/>
        <v>46153.399999999994</v>
      </c>
    </row>
    <row r="1653" spans="1:24" s="118" customFormat="1" ht="26.5" hidden="1" x14ac:dyDescent="0.35">
      <c r="A1653" s="123">
        <f t="shared" si="266"/>
        <v>46153.399999999994</v>
      </c>
      <c r="B1653" s="123"/>
      <c r="C1653" s="123"/>
      <c r="D1653" s="123"/>
      <c r="E1653" s="158" t="s">
        <v>64</v>
      </c>
      <c r="F1653" s="159" t="s">
        <v>2190</v>
      </c>
      <c r="G1653" s="125" t="s">
        <v>2193</v>
      </c>
      <c r="H1653" s="126" t="s">
        <v>2638</v>
      </c>
      <c r="I1653" s="569" t="s">
        <v>1073</v>
      </c>
      <c r="J1653" s="162" t="s">
        <v>140</v>
      </c>
      <c r="K1653" s="163">
        <v>0</v>
      </c>
      <c r="L1653" s="163">
        <v>0</v>
      </c>
      <c r="M1653" s="164">
        <v>65</v>
      </c>
      <c r="N1653" s="165">
        <v>350</v>
      </c>
      <c r="O1653" s="166">
        <v>1</v>
      </c>
      <c r="P1653" s="165">
        <f t="shared" si="260"/>
        <v>350</v>
      </c>
      <c r="Q1653" s="165"/>
      <c r="R1653" s="164">
        <v>350</v>
      </c>
      <c r="S1653" s="164">
        <f t="shared" si="261"/>
        <v>0</v>
      </c>
      <c r="T1653" s="168">
        <f t="shared" si="262"/>
        <v>1329.2307692307693</v>
      </c>
      <c r="U1653" s="163">
        <f t="shared" si="263"/>
        <v>0</v>
      </c>
      <c r="V1653" s="163">
        <f t="shared" si="264"/>
        <v>0</v>
      </c>
      <c r="W1653" s="163">
        <v>0</v>
      </c>
      <c r="X1653" s="169">
        <f t="shared" si="265"/>
        <v>46153.399999999994</v>
      </c>
    </row>
    <row r="1654" spans="1:24" s="118" customFormat="1" ht="26.5" hidden="1" x14ac:dyDescent="0.35">
      <c r="A1654" s="123">
        <f t="shared" si="266"/>
        <v>46153.399999999994</v>
      </c>
      <c r="B1654" s="123"/>
      <c r="C1654" s="123"/>
      <c r="D1654" s="123"/>
      <c r="E1654" s="158" t="s">
        <v>64</v>
      </c>
      <c r="F1654" s="159" t="s">
        <v>2190</v>
      </c>
      <c r="G1654" s="125" t="s">
        <v>2193</v>
      </c>
      <c r="H1654" s="126" t="s">
        <v>2639</v>
      </c>
      <c r="I1654" s="161" t="s">
        <v>345</v>
      </c>
      <c r="J1654" s="162" t="s">
        <v>140</v>
      </c>
      <c r="K1654" s="163">
        <v>0</v>
      </c>
      <c r="L1654" s="163">
        <v>0</v>
      </c>
      <c r="M1654" s="164">
        <v>65</v>
      </c>
      <c r="N1654" s="165">
        <v>100</v>
      </c>
      <c r="O1654" s="166">
        <v>1</v>
      </c>
      <c r="P1654" s="165">
        <f t="shared" si="260"/>
        <v>100</v>
      </c>
      <c r="Q1654" s="165"/>
      <c r="R1654" s="176">
        <v>100</v>
      </c>
      <c r="S1654" s="164">
        <f t="shared" si="261"/>
        <v>0</v>
      </c>
      <c r="T1654" s="168">
        <f t="shared" si="262"/>
        <v>1329.2307692307693</v>
      </c>
      <c r="U1654" s="163">
        <f t="shared" si="263"/>
        <v>0</v>
      </c>
      <c r="V1654" s="163">
        <f t="shared" si="264"/>
        <v>0</v>
      </c>
      <c r="W1654" s="163">
        <v>0</v>
      </c>
      <c r="X1654" s="169">
        <f t="shared" si="265"/>
        <v>46153.399999999994</v>
      </c>
    </row>
    <row r="1655" spans="1:24" s="118" customFormat="1" ht="26.5" hidden="1" x14ac:dyDescent="0.35">
      <c r="A1655" s="123">
        <f t="shared" si="266"/>
        <v>46153.399999999994</v>
      </c>
      <c r="B1655" s="123"/>
      <c r="C1655" s="123"/>
      <c r="D1655" s="123"/>
      <c r="E1655" s="158" t="s">
        <v>64</v>
      </c>
      <c r="F1655" s="159" t="s">
        <v>2190</v>
      </c>
      <c r="G1655" s="125" t="s">
        <v>2193</v>
      </c>
      <c r="H1655" s="126" t="s">
        <v>2640</v>
      </c>
      <c r="I1655" s="161" t="s">
        <v>348</v>
      </c>
      <c r="J1655" s="162" t="s">
        <v>140</v>
      </c>
      <c r="K1655" s="163">
        <v>0</v>
      </c>
      <c r="L1655" s="163">
        <v>0</v>
      </c>
      <c r="M1655" s="164">
        <v>65</v>
      </c>
      <c r="N1655" s="165">
        <v>75</v>
      </c>
      <c r="O1655" s="166">
        <v>1</v>
      </c>
      <c r="P1655" s="165">
        <f t="shared" si="260"/>
        <v>75</v>
      </c>
      <c r="Q1655" s="165"/>
      <c r="R1655" s="176">
        <v>75</v>
      </c>
      <c r="S1655" s="164">
        <f t="shared" si="261"/>
        <v>0</v>
      </c>
      <c r="T1655" s="168">
        <f t="shared" si="262"/>
        <v>1329.2307692307693</v>
      </c>
      <c r="U1655" s="163">
        <f t="shared" si="263"/>
        <v>0</v>
      </c>
      <c r="V1655" s="163">
        <f t="shared" si="264"/>
        <v>0</v>
      </c>
      <c r="W1655" s="163">
        <v>0</v>
      </c>
      <c r="X1655" s="169">
        <f t="shared" si="265"/>
        <v>46153.399999999994</v>
      </c>
    </row>
    <row r="1656" spans="1:24" s="118" customFormat="1" ht="26.5" hidden="1" x14ac:dyDescent="0.35">
      <c r="A1656" s="123">
        <f t="shared" si="266"/>
        <v>46153.399999999994</v>
      </c>
      <c r="B1656" s="123"/>
      <c r="C1656" s="123"/>
      <c r="D1656" s="123"/>
      <c r="E1656" s="158" t="s">
        <v>64</v>
      </c>
      <c r="F1656" s="159" t="s">
        <v>2190</v>
      </c>
      <c r="G1656" s="125" t="s">
        <v>2193</v>
      </c>
      <c r="H1656" s="126" t="s">
        <v>2641</v>
      </c>
      <c r="I1656" s="161" t="s">
        <v>339</v>
      </c>
      <c r="J1656" s="162" t="s">
        <v>140</v>
      </c>
      <c r="K1656" s="163">
        <v>0</v>
      </c>
      <c r="L1656" s="163">
        <v>0</v>
      </c>
      <c r="M1656" s="164">
        <v>65</v>
      </c>
      <c r="N1656" s="165">
        <v>300</v>
      </c>
      <c r="O1656" s="166">
        <v>1</v>
      </c>
      <c r="P1656" s="165">
        <f t="shared" si="260"/>
        <v>300</v>
      </c>
      <c r="Q1656" s="165"/>
      <c r="R1656" s="176">
        <v>300</v>
      </c>
      <c r="S1656" s="164">
        <f t="shared" si="261"/>
        <v>0</v>
      </c>
      <c r="T1656" s="168">
        <f t="shared" si="262"/>
        <v>1329.2307692307693</v>
      </c>
      <c r="U1656" s="163">
        <f t="shared" si="263"/>
        <v>0</v>
      </c>
      <c r="V1656" s="163">
        <f t="shared" si="264"/>
        <v>0</v>
      </c>
      <c r="W1656" s="163">
        <v>0</v>
      </c>
      <c r="X1656" s="169">
        <f t="shared" si="265"/>
        <v>46153.399999999994</v>
      </c>
    </row>
    <row r="1657" spans="1:24" s="118" customFormat="1" hidden="1" x14ac:dyDescent="0.35">
      <c r="A1657" s="123">
        <f t="shared" si="266"/>
        <v>46153.399999999994</v>
      </c>
      <c r="B1657" s="123"/>
      <c r="C1657" s="123"/>
      <c r="D1657" s="123"/>
      <c r="E1657" s="158" t="s">
        <v>64</v>
      </c>
      <c r="F1657" s="159" t="s">
        <v>2642</v>
      </c>
      <c r="G1657" s="159" t="s">
        <v>792</v>
      </c>
      <c r="H1657" s="126" t="s">
        <v>2643</v>
      </c>
      <c r="I1657" s="161" t="s">
        <v>2156</v>
      </c>
      <c r="J1657" s="162" t="s">
        <v>140</v>
      </c>
      <c r="K1657" s="163">
        <v>0</v>
      </c>
      <c r="L1657" s="163">
        <v>0</v>
      </c>
      <c r="M1657" s="164">
        <v>65</v>
      </c>
      <c r="N1657" s="165">
        <v>150</v>
      </c>
      <c r="O1657" s="166">
        <v>1</v>
      </c>
      <c r="P1657" s="165">
        <f t="shared" si="260"/>
        <v>150</v>
      </c>
      <c r="Q1657" s="165"/>
      <c r="R1657" s="164">
        <v>150</v>
      </c>
      <c r="S1657" s="164">
        <f t="shared" si="261"/>
        <v>0</v>
      </c>
      <c r="T1657" s="168">
        <f t="shared" si="262"/>
        <v>1329.2307692307693</v>
      </c>
      <c r="U1657" s="163">
        <f t="shared" si="263"/>
        <v>0</v>
      </c>
      <c r="V1657" s="163">
        <f t="shared" si="264"/>
        <v>0</v>
      </c>
      <c r="W1657" s="163">
        <v>0</v>
      </c>
      <c r="X1657" s="137">
        <f t="shared" si="265"/>
        <v>46153.399999999994</v>
      </c>
    </row>
    <row r="1658" spans="1:24" s="118" customFormat="1" ht="26.5" hidden="1" x14ac:dyDescent="0.35">
      <c r="A1658" s="46">
        <f t="shared" si="266"/>
        <v>46153.399999999994</v>
      </c>
      <c r="B1658" s="46"/>
      <c r="C1658" s="46"/>
      <c r="D1658" s="46"/>
      <c r="E1658" s="119" t="s">
        <v>64</v>
      </c>
      <c r="F1658" s="82" t="s">
        <v>2190</v>
      </c>
      <c r="G1658" s="97" t="s">
        <v>2193</v>
      </c>
      <c r="H1658" s="98" t="s">
        <v>2644</v>
      </c>
      <c r="I1658" s="71" t="s">
        <v>351</v>
      </c>
      <c r="J1658" s="100" t="s">
        <v>140</v>
      </c>
      <c r="K1658" s="101">
        <v>0</v>
      </c>
      <c r="L1658" s="101">
        <v>0</v>
      </c>
      <c r="M1658" s="102">
        <v>65</v>
      </c>
      <c r="N1658" s="103">
        <v>400</v>
      </c>
      <c r="O1658" s="171">
        <v>1</v>
      </c>
      <c r="P1658" s="103">
        <f t="shared" si="260"/>
        <v>400</v>
      </c>
      <c r="Q1658" s="103"/>
      <c r="R1658" s="182">
        <v>400</v>
      </c>
      <c r="S1658" s="102">
        <f t="shared" si="261"/>
        <v>0</v>
      </c>
      <c r="T1658" s="173">
        <f t="shared" si="262"/>
        <v>1329.2307692307693</v>
      </c>
      <c r="U1658" s="101">
        <f t="shared" si="263"/>
        <v>0</v>
      </c>
      <c r="V1658" s="101">
        <f t="shared" si="264"/>
        <v>0</v>
      </c>
      <c r="W1658" s="101">
        <v>0</v>
      </c>
      <c r="X1658" s="255">
        <f t="shared" si="265"/>
        <v>46153.399999999994</v>
      </c>
    </row>
    <row r="1659" spans="1:24" ht="26.5" hidden="1" x14ac:dyDescent="0.35">
      <c r="A1659" s="123">
        <f t="shared" si="266"/>
        <v>46153.399999999994</v>
      </c>
      <c r="B1659" s="123"/>
      <c r="C1659" s="123"/>
      <c r="D1659" s="123"/>
      <c r="E1659" s="158" t="s">
        <v>64</v>
      </c>
      <c r="F1659" s="159" t="s">
        <v>2190</v>
      </c>
      <c r="G1659" s="125" t="s">
        <v>2193</v>
      </c>
      <c r="H1659" s="126" t="s">
        <v>2645</v>
      </c>
      <c r="I1659" s="161" t="s">
        <v>891</v>
      </c>
      <c r="J1659" s="162" t="s">
        <v>140</v>
      </c>
      <c r="K1659" s="163">
        <v>0</v>
      </c>
      <c r="L1659" s="163">
        <v>0</v>
      </c>
      <c r="M1659" s="164">
        <v>65</v>
      </c>
      <c r="N1659" s="165">
        <v>550</v>
      </c>
      <c r="O1659" s="166">
        <v>1</v>
      </c>
      <c r="P1659" s="165">
        <f t="shared" si="260"/>
        <v>550</v>
      </c>
      <c r="Q1659" s="165"/>
      <c r="R1659" s="164">
        <v>550</v>
      </c>
      <c r="S1659" s="164">
        <f t="shared" si="261"/>
        <v>0</v>
      </c>
      <c r="T1659" s="168">
        <f t="shared" si="262"/>
        <v>1329.2307692307693</v>
      </c>
      <c r="U1659" s="163">
        <f t="shared" si="263"/>
        <v>0</v>
      </c>
      <c r="V1659" s="163">
        <f t="shared" si="264"/>
        <v>0</v>
      </c>
      <c r="W1659" s="163">
        <v>0</v>
      </c>
      <c r="X1659" s="169">
        <f t="shared" si="265"/>
        <v>46153.399999999994</v>
      </c>
    </row>
    <row r="1660" spans="1:24" ht="26.5" hidden="1" x14ac:dyDescent="0.35">
      <c r="A1660" s="123">
        <f t="shared" si="266"/>
        <v>46153.399999999994</v>
      </c>
      <c r="B1660" s="123"/>
      <c r="C1660" s="123"/>
      <c r="D1660" s="123"/>
      <c r="E1660" s="158" t="s">
        <v>64</v>
      </c>
      <c r="F1660" s="159" t="s">
        <v>2190</v>
      </c>
      <c r="G1660" s="125" t="s">
        <v>2193</v>
      </c>
      <c r="H1660" s="126" t="s">
        <v>2646</v>
      </c>
      <c r="I1660" s="161" t="s">
        <v>354</v>
      </c>
      <c r="J1660" s="162" t="s">
        <v>140</v>
      </c>
      <c r="K1660" s="163">
        <v>0</v>
      </c>
      <c r="L1660" s="163">
        <v>0</v>
      </c>
      <c r="M1660" s="164">
        <v>65</v>
      </c>
      <c r="N1660" s="165">
        <v>150</v>
      </c>
      <c r="O1660" s="166">
        <v>1</v>
      </c>
      <c r="P1660" s="165">
        <f t="shared" si="260"/>
        <v>150</v>
      </c>
      <c r="Q1660" s="165"/>
      <c r="R1660" s="176">
        <v>150</v>
      </c>
      <c r="S1660" s="164">
        <f t="shared" si="261"/>
        <v>0</v>
      </c>
      <c r="T1660" s="168">
        <f t="shared" si="262"/>
        <v>1329.2307692307693</v>
      </c>
      <c r="U1660" s="163">
        <f t="shared" si="263"/>
        <v>0</v>
      </c>
      <c r="V1660" s="163">
        <f t="shared" si="264"/>
        <v>0</v>
      </c>
      <c r="W1660" s="163">
        <v>0</v>
      </c>
      <c r="X1660" s="137">
        <f>A1660+K1660+L1660+V1660+W1660</f>
        <v>46153.399999999994</v>
      </c>
    </row>
    <row r="1661" spans="1:24" s="118" customFormat="1" ht="26.5" hidden="1" x14ac:dyDescent="0.35">
      <c r="A1661" s="123">
        <f t="shared" si="266"/>
        <v>46153.399999999994</v>
      </c>
      <c r="B1661" s="123"/>
      <c r="C1661" s="123"/>
      <c r="D1661" s="123"/>
      <c r="E1661" s="158" t="s">
        <v>64</v>
      </c>
      <c r="F1661" s="125" t="s">
        <v>2190</v>
      </c>
      <c r="G1661" s="125" t="s">
        <v>2193</v>
      </c>
      <c r="H1661" s="503" t="s">
        <v>2635</v>
      </c>
      <c r="I1661" s="159" t="s">
        <v>1187</v>
      </c>
      <c r="J1661" s="175" t="s">
        <v>140</v>
      </c>
      <c r="K1661" s="163">
        <v>0</v>
      </c>
      <c r="L1661" s="163">
        <v>0</v>
      </c>
      <c r="M1661" s="164">
        <v>187</v>
      </c>
      <c r="N1661" s="165">
        <f>3840-400</f>
        <v>3440</v>
      </c>
      <c r="O1661" s="164">
        <v>4</v>
      </c>
      <c r="P1661" s="165">
        <f t="shared" si="260"/>
        <v>860</v>
      </c>
      <c r="Q1661" s="165"/>
      <c r="R1661" s="176">
        <v>860</v>
      </c>
      <c r="S1661" s="164">
        <f t="shared" si="261"/>
        <v>0</v>
      </c>
      <c r="T1661" s="164">
        <f t="shared" si="262"/>
        <v>1848.1283422459892</v>
      </c>
      <c r="U1661" s="163">
        <f t="shared" si="263"/>
        <v>0</v>
      </c>
      <c r="V1661" s="163">
        <f t="shared" si="264"/>
        <v>0</v>
      </c>
      <c r="W1661" s="163">
        <v>0</v>
      </c>
      <c r="X1661" s="137">
        <f t="shared" ref="X1661:X1667" si="267">A1661+K1661+V1661+W1661+L1661</f>
        <v>46153.399999999994</v>
      </c>
    </row>
    <row r="1662" spans="1:24" s="118" customFormat="1" hidden="1" x14ac:dyDescent="0.35">
      <c r="A1662" s="123">
        <f t="shared" si="266"/>
        <v>46153.399999999994</v>
      </c>
      <c r="B1662" s="123"/>
      <c r="C1662" s="123"/>
      <c r="D1662" s="123"/>
      <c r="E1662" s="124" t="s">
        <v>64</v>
      </c>
      <c r="F1662" s="187" t="s">
        <v>796</v>
      </c>
      <c r="G1662" s="187" t="s">
        <v>792</v>
      </c>
      <c r="H1662" s="126" t="s">
        <v>2647</v>
      </c>
      <c r="I1662" s="187" t="s">
        <v>97</v>
      </c>
      <c r="J1662" s="128" t="s">
        <v>140</v>
      </c>
      <c r="K1662" s="129">
        <v>0</v>
      </c>
      <c r="L1662" s="129">
        <v>0</v>
      </c>
      <c r="M1662" s="130">
        <v>110</v>
      </c>
      <c r="N1662" s="131">
        <v>2000</v>
      </c>
      <c r="O1662" s="189">
        <v>1</v>
      </c>
      <c r="P1662" s="131">
        <f t="shared" si="260"/>
        <v>2000</v>
      </c>
      <c r="Q1662" s="131"/>
      <c r="R1662" s="130">
        <v>2000</v>
      </c>
      <c r="S1662" s="130">
        <f t="shared" si="261"/>
        <v>0</v>
      </c>
      <c r="T1662" s="242">
        <f t="shared" si="262"/>
        <v>785.4545454545455</v>
      </c>
      <c r="U1662" s="129">
        <f t="shared" si="263"/>
        <v>0</v>
      </c>
      <c r="V1662" s="129">
        <f t="shared" si="264"/>
        <v>0</v>
      </c>
      <c r="W1662" s="129">
        <v>0</v>
      </c>
      <c r="X1662" s="137">
        <f t="shared" si="267"/>
        <v>46153.399999999994</v>
      </c>
    </row>
    <row r="1663" spans="1:24" s="118" customFormat="1" ht="26.5" hidden="1" x14ac:dyDescent="0.35">
      <c r="A1663" s="123">
        <f t="shared" si="266"/>
        <v>46153.399999999994</v>
      </c>
      <c r="B1663" s="123"/>
      <c r="C1663" s="123"/>
      <c r="D1663" s="123"/>
      <c r="E1663" s="124" t="s">
        <v>43</v>
      </c>
      <c r="F1663" s="159" t="s">
        <v>2648</v>
      </c>
      <c r="G1663" s="187" t="s">
        <v>792</v>
      </c>
      <c r="H1663" s="126" t="s">
        <v>2649</v>
      </c>
      <c r="I1663" s="160" t="s">
        <v>4239</v>
      </c>
      <c r="J1663" s="128" t="s">
        <v>140</v>
      </c>
      <c r="K1663" s="129">
        <v>0</v>
      </c>
      <c r="L1663" s="129">
        <v>0</v>
      </c>
      <c r="M1663" s="130">
        <v>90</v>
      </c>
      <c r="N1663" s="131">
        <v>1500</v>
      </c>
      <c r="O1663" s="189">
        <v>1</v>
      </c>
      <c r="P1663" s="131">
        <f t="shared" ref="P1663:P1698" si="268">N1663/O1663</f>
        <v>1500</v>
      </c>
      <c r="Q1663" s="131"/>
      <c r="R1663" s="176">
        <v>1500</v>
      </c>
      <c r="S1663" s="130">
        <f t="shared" si="261"/>
        <v>0</v>
      </c>
      <c r="T1663" s="242">
        <f t="shared" si="262"/>
        <v>960</v>
      </c>
      <c r="U1663" s="129">
        <f t="shared" si="263"/>
        <v>0</v>
      </c>
      <c r="V1663" s="129">
        <f t="shared" si="264"/>
        <v>0</v>
      </c>
      <c r="W1663" s="163">
        <v>0</v>
      </c>
      <c r="X1663" s="137">
        <f t="shared" si="267"/>
        <v>46153.399999999994</v>
      </c>
    </row>
    <row r="1664" spans="1:24" s="118" customFormat="1" ht="26.5" hidden="1" x14ac:dyDescent="0.35">
      <c r="A1664" s="123">
        <f t="shared" si="266"/>
        <v>46153.399999999994</v>
      </c>
      <c r="B1664" s="123"/>
      <c r="C1664" s="123"/>
      <c r="D1664" s="123"/>
      <c r="E1664" s="124" t="s">
        <v>64</v>
      </c>
      <c r="F1664" s="159" t="s">
        <v>2648</v>
      </c>
      <c r="G1664" s="187" t="s">
        <v>792</v>
      </c>
      <c r="H1664" s="126" t="s">
        <v>2650</v>
      </c>
      <c r="I1664" s="160" t="s">
        <v>4240</v>
      </c>
      <c r="J1664" s="128" t="s">
        <v>140</v>
      </c>
      <c r="K1664" s="129">
        <v>0</v>
      </c>
      <c r="L1664" s="129">
        <v>0</v>
      </c>
      <c r="M1664" s="130">
        <v>67</v>
      </c>
      <c r="N1664" s="131">
        <v>500</v>
      </c>
      <c r="O1664" s="189">
        <v>1</v>
      </c>
      <c r="P1664" s="131">
        <f t="shared" si="268"/>
        <v>500</v>
      </c>
      <c r="Q1664" s="131"/>
      <c r="R1664" s="176">
        <v>500</v>
      </c>
      <c r="S1664" s="130">
        <f t="shared" si="261"/>
        <v>0</v>
      </c>
      <c r="T1664" s="242">
        <f t="shared" si="262"/>
        <v>1289.5522388059703</v>
      </c>
      <c r="U1664" s="129">
        <f t="shared" si="263"/>
        <v>0</v>
      </c>
      <c r="V1664" s="129">
        <f t="shared" si="264"/>
        <v>0</v>
      </c>
      <c r="W1664" s="163">
        <v>0</v>
      </c>
      <c r="X1664" s="137">
        <f t="shared" si="267"/>
        <v>46153.399999999994</v>
      </c>
    </row>
    <row r="1665" spans="1:24" s="118" customFormat="1" hidden="1" x14ac:dyDescent="0.35">
      <c r="A1665" s="123">
        <f t="shared" si="266"/>
        <v>46153.399999999994</v>
      </c>
      <c r="B1665" s="123"/>
      <c r="C1665" s="123"/>
      <c r="D1665" s="123"/>
      <c r="E1665" s="124" t="s">
        <v>43</v>
      </c>
      <c r="F1665" s="160" t="s">
        <v>1270</v>
      </c>
      <c r="G1665" s="160" t="s">
        <v>356</v>
      </c>
      <c r="H1665" s="126" t="s">
        <v>2651</v>
      </c>
      <c r="I1665" s="161" t="s">
        <v>145</v>
      </c>
      <c r="J1665" s="128" t="s">
        <v>140</v>
      </c>
      <c r="K1665" s="129">
        <v>0</v>
      </c>
      <c r="L1665" s="129">
        <v>0</v>
      </c>
      <c r="M1665" s="130">
        <v>90</v>
      </c>
      <c r="N1665" s="131">
        <v>500</v>
      </c>
      <c r="O1665" s="189">
        <v>1</v>
      </c>
      <c r="P1665" s="131">
        <f t="shared" si="268"/>
        <v>500</v>
      </c>
      <c r="Q1665" s="131"/>
      <c r="R1665" s="176">
        <v>500</v>
      </c>
      <c r="S1665" s="130">
        <f t="shared" si="261"/>
        <v>0</v>
      </c>
      <c r="T1665" s="242">
        <f t="shared" si="262"/>
        <v>960</v>
      </c>
      <c r="U1665" s="129">
        <f t="shared" si="263"/>
        <v>0</v>
      </c>
      <c r="V1665" s="129">
        <f t="shared" si="264"/>
        <v>0</v>
      </c>
      <c r="W1665" s="129">
        <v>0</v>
      </c>
      <c r="X1665" s="137">
        <f t="shared" si="267"/>
        <v>46153.399999999994</v>
      </c>
    </row>
    <row r="1666" spans="1:24" s="118" customFormat="1" ht="26.5" hidden="1" x14ac:dyDescent="0.35">
      <c r="A1666" s="123">
        <f t="shared" si="266"/>
        <v>46153.399999999994</v>
      </c>
      <c r="B1666" s="123"/>
      <c r="C1666" s="123"/>
      <c r="D1666" s="123"/>
      <c r="E1666" s="124" t="s">
        <v>43</v>
      </c>
      <c r="F1666" s="159" t="s">
        <v>2648</v>
      </c>
      <c r="G1666" s="187" t="s">
        <v>792</v>
      </c>
      <c r="H1666" s="126" t="s">
        <v>2652</v>
      </c>
      <c r="I1666" s="161" t="s">
        <v>4241</v>
      </c>
      <c r="J1666" s="128" t="s">
        <v>140</v>
      </c>
      <c r="K1666" s="129">
        <v>0</v>
      </c>
      <c r="L1666" s="129">
        <v>0</v>
      </c>
      <c r="M1666" s="130">
        <v>90</v>
      </c>
      <c r="N1666" s="131">
        <v>1500</v>
      </c>
      <c r="O1666" s="189">
        <v>1</v>
      </c>
      <c r="P1666" s="131">
        <f t="shared" si="268"/>
        <v>1500</v>
      </c>
      <c r="Q1666" s="131"/>
      <c r="R1666" s="176">
        <v>1500</v>
      </c>
      <c r="S1666" s="130">
        <f t="shared" si="261"/>
        <v>0</v>
      </c>
      <c r="T1666" s="242">
        <f t="shared" si="262"/>
        <v>960</v>
      </c>
      <c r="U1666" s="129">
        <f t="shared" si="263"/>
        <v>0</v>
      </c>
      <c r="V1666" s="129">
        <f t="shared" si="264"/>
        <v>0</v>
      </c>
      <c r="W1666" s="129">
        <v>0</v>
      </c>
      <c r="X1666" s="137">
        <f t="shared" si="267"/>
        <v>46153.399999999994</v>
      </c>
    </row>
    <row r="1667" spans="1:24" s="118" customFormat="1" hidden="1" x14ac:dyDescent="0.35">
      <c r="A1667" s="123">
        <f t="shared" si="266"/>
        <v>46153.399999999994</v>
      </c>
      <c r="B1667" s="123"/>
      <c r="C1667" s="123"/>
      <c r="D1667" s="123"/>
      <c r="E1667" s="124" t="s">
        <v>43</v>
      </c>
      <c r="F1667" s="159" t="s">
        <v>1272</v>
      </c>
      <c r="G1667" s="187" t="s">
        <v>792</v>
      </c>
      <c r="H1667" s="126" t="s">
        <v>2653</v>
      </c>
      <c r="I1667" s="161" t="s">
        <v>133</v>
      </c>
      <c r="J1667" s="128" t="s">
        <v>140</v>
      </c>
      <c r="K1667" s="129">
        <v>0</v>
      </c>
      <c r="L1667" s="129">
        <v>0</v>
      </c>
      <c r="M1667" s="130">
        <v>90</v>
      </c>
      <c r="N1667" s="131">
        <v>1000</v>
      </c>
      <c r="O1667" s="189">
        <v>1</v>
      </c>
      <c r="P1667" s="131">
        <f t="shared" si="268"/>
        <v>1000</v>
      </c>
      <c r="Q1667" s="131"/>
      <c r="R1667" s="176">
        <v>1000</v>
      </c>
      <c r="S1667" s="130">
        <f t="shared" si="261"/>
        <v>0</v>
      </c>
      <c r="T1667" s="242">
        <f t="shared" si="262"/>
        <v>960</v>
      </c>
      <c r="U1667" s="129">
        <f t="shared" si="263"/>
        <v>0</v>
      </c>
      <c r="V1667" s="129">
        <f t="shared" si="264"/>
        <v>0</v>
      </c>
      <c r="W1667" s="129">
        <v>0</v>
      </c>
      <c r="X1667" s="137">
        <f t="shared" si="267"/>
        <v>46153.399999999994</v>
      </c>
    </row>
    <row r="1668" spans="1:24" s="118" customFormat="1" hidden="1" x14ac:dyDescent="0.35">
      <c r="A1668" s="123">
        <f t="shared" si="266"/>
        <v>46153.399999999994</v>
      </c>
      <c r="B1668" s="123"/>
      <c r="C1668" s="123"/>
      <c r="D1668" s="123"/>
      <c r="E1668" s="124" t="s">
        <v>64</v>
      </c>
      <c r="F1668" s="184" t="s">
        <v>802</v>
      </c>
      <c r="G1668" s="184" t="s">
        <v>792</v>
      </c>
      <c r="H1668" s="126" t="s">
        <v>803</v>
      </c>
      <c r="I1668" s="159" t="s">
        <v>804</v>
      </c>
      <c r="J1668" s="175" t="s">
        <v>140</v>
      </c>
      <c r="K1668" s="163">
        <v>0</v>
      </c>
      <c r="L1668" s="163">
        <v>0</v>
      </c>
      <c r="M1668" s="130">
        <v>85</v>
      </c>
      <c r="N1668" s="131">
        <f>1000+880</f>
        <v>1880</v>
      </c>
      <c r="O1668" s="189">
        <v>1</v>
      </c>
      <c r="P1668" s="131">
        <f t="shared" si="268"/>
        <v>1880</v>
      </c>
      <c r="Q1668" s="131"/>
      <c r="R1668" s="176">
        <v>1880</v>
      </c>
      <c r="S1668" s="130">
        <f t="shared" si="261"/>
        <v>0</v>
      </c>
      <c r="T1668" s="168">
        <f t="shared" si="262"/>
        <v>1016.4705882352941</v>
      </c>
      <c r="U1668" s="163">
        <f t="shared" si="263"/>
        <v>0</v>
      </c>
      <c r="V1668" s="163">
        <f t="shared" si="264"/>
        <v>0</v>
      </c>
      <c r="W1668" s="163">
        <v>0</v>
      </c>
      <c r="X1668" s="137">
        <f>A1668+K1668+L1668+V1668+W1668</f>
        <v>46153.399999999994</v>
      </c>
    </row>
    <row r="1669" spans="1:24" s="118" customFormat="1" hidden="1" x14ac:dyDescent="0.35">
      <c r="A1669" s="123">
        <f t="shared" si="266"/>
        <v>46153.399999999994</v>
      </c>
      <c r="B1669" s="123"/>
      <c r="C1669" s="123"/>
      <c r="D1669" s="123"/>
      <c r="E1669" s="124" t="s">
        <v>64</v>
      </c>
      <c r="F1669" s="184" t="s">
        <v>809</v>
      </c>
      <c r="G1669" s="184" t="s">
        <v>359</v>
      </c>
      <c r="H1669" s="126" t="s">
        <v>2654</v>
      </c>
      <c r="I1669" s="159" t="s">
        <v>804</v>
      </c>
      <c r="J1669" s="175" t="s">
        <v>140</v>
      </c>
      <c r="K1669" s="163">
        <v>0</v>
      </c>
      <c r="L1669" s="163">
        <v>0</v>
      </c>
      <c r="M1669" s="130">
        <v>85</v>
      </c>
      <c r="N1669" s="131">
        <v>4000</v>
      </c>
      <c r="O1669" s="189">
        <v>1</v>
      </c>
      <c r="P1669" s="131">
        <f t="shared" si="268"/>
        <v>4000</v>
      </c>
      <c r="Q1669" s="131"/>
      <c r="R1669" s="176">
        <v>4000</v>
      </c>
      <c r="S1669" s="130">
        <f t="shared" si="261"/>
        <v>0</v>
      </c>
      <c r="T1669" s="168">
        <f t="shared" si="262"/>
        <v>1016.4705882352941</v>
      </c>
      <c r="U1669" s="163">
        <f t="shared" si="263"/>
        <v>0</v>
      </c>
      <c r="V1669" s="163">
        <f t="shared" si="264"/>
        <v>0</v>
      </c>
      <c r="W1669" s="163">
        <v>0</v>
      </c>
      <c r="X1669" s="137">
        <f>A1669+K1669+L1669+V1669+W1669</f>
        <v>46153.399999999994</v>
      </c>
    </row>
    <row r="1670" spans="1:24" s="118" customFormat="1" hidden="1" x14ac:dyDescent="0.35">
      <c r="A1670" s="161">
        <f t="shared" si="266"/>
        <v>46153.399999999994</v>
      </c>
      <c r="B1670" s="161"/>
      <c r="C1670" s="161"/>
      <c r="D1670" s="161"/>
      <c r="E1670" s="124" t="s">
        <v>43</v>
      </c>
      <c r="F1670" s="184" t="s">
        <v>809</v>
      </c>
      <c r="G1670" s="184" t="s">
        <v>359</v>
      </c>
      <c r="H1670" s="126" t="s">
        <v>2655</v>
      </c>
      <c r="I1670" s="159" t="s">
        <v>716</v>
      </c>
      <c r="J1670" s="175" t="s">
        <v>140</v>
      </c>
      <c r="K1670" s="570">
        <v>0</v>
      </c>
      <c r="L1670" s="163">
        <v>0</v>
      </c>
      <c r="M1670" s="164">
        <v>85</v>
      </c>
      <c r="N1670" s="165">
        <v>1500</v>
      </c>
      <c r="O1670" s="166">
        <v>1</v>
      </c>
      <c r="P1670" s="165">
        <f t="shared" si="268"/>
        <v>1500</v>
      </c>
      <c r="Q1670" s="165"/>
      <c r="R1670" s="164">
        <v>1500</v>
      </c>
      <c r="S1670" s="164">
        <f t="shared" si="261"/>
        <v>0</v>
      </c>
      <c r="T1670" s="168">
        <f t="shared" si="262"/>
        <v>1016.4705882352941</v>
      </c>
      <c r="U1670" s="163">
        <f t="shared" si="263"/>
        <v>0</v>
      </c>
      <c r="V1670" s="163">
        <f t="shared" si="264"/>
        <v>0</v>
      </c>
      <c r="W1670" s="163">
        <v>0</v>
      </c>
      <c r="X1670" s="137">
        <f>A1670+K1670+L1670+V1670+W1670</f>
        <v>46153.399999999994</v>
      </c>
    </row>
    <row r="1671" spans="1:24" s="118" customFormat="1" ht="26.5" hidden="1" x14ac:dyDescent="0.35">
      <c r="A1671" s="161">
        <f t="shared" si="266"/>
        <v>46153.399999999994</v>
      </c>
      <c r="B1671" s="161"/>
      <c r="C1671" s="161"/>
      <c r="D1671" s="161"/>
      <c r="E1671" s="124" t="s">
        <v>43</v>
      </c>
      <c r="F1671" s="159" t="s">
        <v>2207</v>
      </c>
      <c r="G1671" s="159" t="s">
        <v>359</v>
      </c>
      <c r="H1671" s="126" t="s">
        <v>2656</v>
      </c>
      <c r="I1671" s="125" t="s">
        <v>4242</v>
      </c>
      <c r="J1671" s="128" t="s">
        <v>140</v>
      </c>
      <c r="K1671" s="129">
        <v>0</v>
      </c>
      <c r="L1671" s="129">
        <v>0</v>
      </c>
      <c r="M1671" s="130">
        <v>100</v>
      </c>
      <c r="N1671" s="131">
        <v>2000</v>
      </c>
      <c r="O1671" s="189">
        <v>1</v>
      </c>
      <c r="P1671" s="131">
        <f t="shared" si="268"/>
        <v>2000</v>
      </c>
      <c r="Q1671" s="131"/>
      <c r="R1671" s="130">
        <v>2000</v>
      </c>
      <c r="S1671" s="130">
        <f t="shared" si="261"/>
        <v>0</v>
      </c>
      <c r="T1671" s="242">
        <f t="shared" si="262"/>
        <v>864</v>
      </c>
      <c r="U1671" s="129">
        <f t="shared" si="263"/>
        <v>0</v>
      </c>
      <c r="V1671" s="129">
        <f t="shared" si="264"/>
        <v>0</v>
      </c>
      <c r="W1671" s="129">
        <v>0</v>
      </c>
      <c r="X1671" s="137">
        <f t="shared" ref="X1671:X1698" si="269">A1671+K1671+V1671+W1671+L1671</f>
        <v>46153.399999999994</v>
      </c>
    </row>
    <row r="1672" spans="1:24" s="118" customFormat="1" ht="26.5" hidden="1" x14ac:dyDescent="0.35">
      <c r="A1672" s="161">
        <f t="shared" si="266"/>
        <v>46153.399999999994</v>
      </c>
      <c r="B1672" s="161"/>
      <c r="C1672" s="161"/>
      <c r="D1672" s="161"/>
      <c r="E1672" s="124" t="s">
        <v>64</v>
      </c>
      <c r="F1672" s="160" t="s">
        <v>1879</v>
      </c>
      <c r="G1672" s="159" t="s">
        <v>359</v>
      </c>
      <c r="H1672" s="126" t="s">
        <v>2657</v>
      </c>
      <c r="I1672" s="571" t="s">
        <v>4243</v>
      </c>
      <c r="J1672" s="128" t="s">
        <v>140</v>
      </c>
      <c r="K1672" s="129">
        <v>0</v>
      </c>
      <c r="L1672" s="129">
        <v>0</v>
      </c>
      <c r="M1672" s="130">
        <v>95</v>
      </c>
      <c r="N1672" s="131">
        <v>400</v>
      </c>
      <c r="O1672" s="189">
        <v>1</v>
      </c>
      <c r="P1672" s="131">
        <f t="shared" si="268"/>
        <v>400</v>
      </c>
      <c r="Q1672" s="131"/>
      <c r="R1672" s="130">
        <v>400</v>
      </c>
      <c r="S1672" s="130">
        <f t="shared" si="261"/>
        <v>0</v>
      </c>
      <c r="T1672" s="242">
        <f t="shared" si="262"/>
        <v>909.47368421052624</v>
      </c>
      <c r="U1672" s="129">
        <f t="shared" si="263"/>
        <v>0</v>
      </c>
      <c r="V1672" s="129">
        <f t="shared" si="264"/>
        <v>0</v>
      </c>
      <c r="W1672" s="129">
        <v>0</v>
      </c>
      <c r="X1672" s="137">
        <f t="shared" si="269"/>
        <v>46153.399999999994</v>
      </c>
    </row>
    <row r="1673" spans="1:24" s="118" customFormat="1" ht="39" hidden="1" x14ac:dyDescent="0.35">
      <c r="A1673" s="161">
        <f t="shared" si="266"/>
        <v>46153.399999999994</v>
      </c>
      <c r="B1673" s="161"/>
      <c r="C1673" s="161"/>
      <c r="D1673" s="161"/>
      <c r="E1673" s="124" t="s">
        <v>64</v>
      </c>
      <c r="F1673" s="160" t="s">
        <v>1879</v>
      </c>
      <c r="G1673" s="159" t="s">
        <v>359</v>
      </c>
      <c r="H1673" s="126" t="s">
        <v>2658</v>
      </c>
      <c r="I1673" s="572" t="s">
        <v>4244</v>
      </c>
      <c r="J1673" s="128" t="s">
        <v>140</v>
      </c>
      <c r="K1673" s="129">
        <v>0</v>
      </c>
      <c r="L1673" s="129">
        <v>0</v>
      </c>
      <c r="M1673" s="130">
        <v>95</v>
      </c>
      <c r="N1673" s="131">
        <v>450</v>
      </c>
      <c r="O1673" s="189">
        <v>1</v>
      </c>
      <c r="P1673" s="131">
        <f t="shared" si="268"/>
        <v>450</v>
      </c>
      <c r="Q1673" s="131"/>
      <c r="R1673" s="130">
        <v>450</v>
      </c>
      <c r="S1673" s="130">
        <f t="shared" si="261"/>
        <v>0</v>
      </c>
      <c r="T1673" s="242">
        <f t="shared" si="262"/>
        <v>909.47368421052624</v>
      </c>
      <c r="U1673" s="129">
        <f t="shared" si="263"/>
        <v>0</v>
      </c>
      <c r="V1673" s="129">
        <f t="shared" si="264"/>
        <v>0</v>
      </c>
      <c r="W1673" s="129">
        <v>0</v>
      </c>
      <c r="X1673" s="137">
        <f t="shared" si="269"/>
        <v>46153.399999999994</v>
      </c>
    </row>
    <row r="1674" spans="1:24" s="118" customFormat="1" ht="26.5" hidden="1" x14ac:dyDescent="0.35">
      <c r="A1674" s="161">
        <f t="shared" si="266"/>
        <v>46153.399999999994</v>
      </c>
      <c r="B1674" s="161"/>
      <c r="C1674" s="161"/>
      <c r="D1674" s="161"/>
      <c r="E1674" s="124" t="s">
        <v>43</v>
      </c>
      <c r="F1674" s="159" t="s">
        <v>2207</v>
      </c>
      <c r="G1674" s="159" t="s">
        <v>359</v>
      </c>
      <c r="H1674" s="126" t="s">
        <v>2659</v>
      </c>
      <c r="I1674" s="125" t="s">
        <v>4245</v>
      </c>
      <c r="J1674" s="128" t="s">
        <v>140</v>
      </c>
      <c r="K1674" s="129">
        <v>0</v>
      </c>
      <c r="L1674" s="129">
        <v>0</v>
      </c>
      <c r="M1674" s="130">
        <v>100</v>
      </c>
      <c r="N1674" s="131">
        <v>2109</v>
      </c>
      <c r="O1674" s="189">
        <v>1</v>
      </c>
      <c r="P1674" s="131">
        <f t="shared" si="268"/>
        <v>2109</v>
      </c>
      <c r="Q1674" s="131"/>
      <c r="R1674" s="130">
        <v>2109</v>
      </c>
      <c r="S1674" s="130">
        <f t="shared" si="261"/>
        <v>0</v>
      </c>
      <c r="T1674" s="242">
        <f t="shared" si="262"/>
        <v>864</v>
      </c>
      <c r="U1674" s="129">
        <f t="shared" si="263"/>
        <v>0</v>
      </c>
      <c r="V1674" s="129">
        <f t="shared" si="264"/>
        <v>0</v>
      </c>
      <c r="W1674" s="129">
        <v>0</v>
      </c>
      <c r="X1674" s="137">
        <f t="shared" si="269"/>
        <v>46153.399999999994</v>
      </c>
    </row>
    <row r="1675" spans="1:24" s="118" customFormat="1" ht="26.5" hidden="1" x14ac:dyDescent="0.35">
      <c r="A1675" s="161">
        <f t="shared" si="266"/>
        <v>46153.399999999994</v>
      </c>
      <c r="B1675" s="161"/>
      <c r="C1675" s="161"/>
      <c r="D1675" s="161"/>
      <c r="E1675" s="124" t="s">
        <v>43</v>
      </c>
      <c r="F1675" s="160" t="s">
        <v>1879</v>
      </c>
      <c r="G1675" s="160" t="s">
        <v>359</v>
      </c>
      <c r="H1675" s="126" t="s">
        <v>2660</v>
      </c>
      <c r="I1675" s="125" t="s">
        <v>4246</v>
      </c>
      <c r="J1675" s="128" t="s">
        <v>140</v>
      </c>
      <c r="K1675" s="129">
        <v>0</v>
      </c>
      <c r="L1675" s="129">
        <v>0</v>
      </c>
      <c r="M1675" s="130">
        <v>100</v>
      </c>
      <c r="N1675" s="131">
        <v>550</v>
      </c>
      <c r="O1675" s="189">
        <v>1</v>
      </c>
      <c r="P1675" s="131">
        <f t="shared" si="268"/>
        <v>550</v>
      </c>
      <c r="Q1675" s="131"/>
      <c r="R1675" s="130">
        <v>550</v>
      </c>
      <c r="S1675" s="130">
        <f t="shared" si="261"/>
        <v>0</v>
      </c>
      <c r="T1675" s="242">
        <f t="shared" si="262"/>
        <v>864</v>
      </c>
      <c r="U1675" s="129">
        <f t="shared" si="263"/>
        <v>0</v>
      </c>
      <c r="V1675" s="129">
        <f t="shared" si="264"/>
        <v>0</v>
      </c>
      <c r="W1675" s="129">
        <v>0</v>
      </c>
      <c r="X1675" s="137">
        <f t="shared" si="269"/>
        <v>46153.399999999994</v>
      </c>
    </row>
    <row r="1676" spans="1:24" s="118" customFormat="1" ht="26.5" hidden="1" x14ac:dyDescent="0.35">
      <c r="A1676" s="161">
        <f t="shared" si="266"/>
        <v>46153.399999999994</v>
      </c>
      <c r="B1676" s="161"/>
      <c r="C1676" s="161"/>
      <c r="D1676" s="161"/>
      <c r="E1676" s="124" t="s">
        <v>43</v>
      </c>
      <c r="F1676" s="159" t="s">
        <v>1299</v>
      </c>
      <c r="G1676" s="159" t="s">
        <v>830</v>
      </c>
      <c r="H1676" s="126" t="s">
        <v>2661</v>
      </c>
      <c r="I1676" s="125" t="s">
        <v>4247</v>
      </c>
      <c r="J1676" s="128" t="s">
        <v>140</v>
      </c>
      <c r="K1676" s="129">
        <v>0</v>
      </c>
      <c r="L1676" s="129">
        <v>0</v>
      </c>
      <c r="M1676" s="130">
        <v>100</v>
      </c>
      <c r="N1676" s="131">
        <v>200</v>
      </c>
      <c r="O1676" s="189">
        <v>1</v>
      </c>
      <c r="P1676" s="131">
        <f t="shared" si="268"/>
        <v>200</v>
      </c>
      <c r="Q1676" s="131"/>
      <c r="R1676" s="130">
        <v>200</v>
      </c>
      <c r="S1676" s="130">
        <f t="shared" si="261"/>
        <v>0</v>
      </c>
      <c r="T1676" s="242">
        <f t="shared" si="262"/>
        <v>864</v>
      </c>
      <c r="U1676" s="129">
        <f t="shared" si="263"/>
        <v>0</v>
      </c>
      <c r="V1676" s="129">
        <f t="shared" si="264"/>
        <v>0</v>
      </c>
      <c r="W1676" s="129">
        <v>0</v>
      </c>
      <c r="X1676" s="137">
        <f t="shared" si="269"/>
        <v>46153.399999999994</v>
      </c>
    </row>
    <row r="1677" spans="1:24" s="118" customFormat="1" ht="39.5" hidden="1" x14ac:dyDescent="0.35">
      <c r="A1677" s="161">
        <f t="shared" si="266"/>
        <v>46153.399999999994</v>
      </c>
      <c r="B1677" s="161"/>
      <c r="C1677" s="161"/>
      <c r="D1677" s="161"/>
      <c r="E1677" s="124" t="s">
        <v>43</v>
      </c>
      <c r="F1677" s="159" t="s">
        <v>1299</v>
      </c>
      <c r="G1677" s="159" t="s">
        <v>830</v>
      </c>
      <c r="H1677" s="126" t="s">
        <v>2662</v>
      </c>
      <c r="I1677" s="125" t="s">
        <v>4248</v>
      </c>
      <c r="J1677" s="128" t="s">
        <v>140</v>
      </c>
      <c r="K1677" s="129">
        <v>0</v>
      </c>
      <c r="L1677" s="129">
        <v>0</v>
      </c>
      <c r="M1677" s="130">
        <v>100</v>
      </c>
      <c r="N1677" s="131">
        <v>300</v>
      </c>
      <c r="O1677" s="189">
        <v>1</v>
      </c>
      <c r="P1677" s="131">
        <f t="shared" si="268"/>
        <v>300</v>
      </c>
      <c r="Q1677" s="131"/>
      <c r="R1677" s="130">
        <v>300</v>
      </c>
      <c r="S1677" s="130">
        <f t="shared" si="261"/>
        <v>0</v>
      </c>
      <c r="T1677" s="242">
        <f t="shared" si="262"/>
        <v>864</v>
      </c>
      <c r="U1677" s="129">
        <f t="shared" si="263"/>
        <v>0</v>
      </c>
      <c r="V1677" s="129">
        <f t="shared" si="264"/>
        <v>0</v>
      </c>
      <c r="W1677" s="129">
        <v>0</v>
      </c>
      <c r="X1677" s="137">
        <f t="shared" si="269"/>
        <v>46153.399999999994</v>
      </c>
    </row>
    <row r="1678" spans="1:24" hidden="1" x14ac:dyDescent="0.35">
      <c r="A1678" s="123">
        <f t="shared" si="266"/>
        <v>46153.399999999994</v>
      </c>
      <c r="B1678" s="123"/>
      <c r="C1678" s="123"/>
      <c r="D1678" s="123"/>
      <c r="E1678" s="124" t="s">
        <v>64</v>
      </c>
      <c r="F1678" s="159" t="s">
        <v>220</v>
      </c>
      <c r="G1678" s="125" t="s">
        <v>359</v>
      </c>
      <c r="H1678" s="573">
        <v>13293</v>
      </c>
      <c r="I1678" s="160" t="s">
        <v>556</v>
      </c>
      <c r="J1678" s="574" t="s">
        <v>140</v>
      </c>
      <c r="K1678" s="129">
        <v>0</v>
      </c>
      <c r="L1678" s="129">
        <v>0</v>
      </c>
      <c r="M1678" s="130">
        <v>95</v>
      </c>
      <c r="N1678" s="252">
        <v>1000</v>
      </c>
      <c r="O1678" s="189">
        <v>1</v>
      </c>
      <c r="P1678" s="131">
        <f t="shared" si="268"/>
        <v>1000</v>
      </c>
      <c r="Q1678" s="131"/>
      <c r="R1678" s="575">
        <v>1000</v>
      </c>
      <c r="S1678" s="130">
        <f t="shared" si="261"/>
        <v>0</v>
      </c>
      <c r="T1678" s="242">
        <f t="shared" si="262"/>
        <v>909.47368421052624</v>
      </c>
      <c r="U1678" s="129">
        <f t="shared" si="263"/>
        <v>0</v>
      </c>
      <c r="V1678" s="129">
        <f t="shared" si="264"/>
        <v>0</v>
      </c>
      <c r="W1678" s="129">
        <v>0</v>
      </c>
      <c r="X1678" s="169">
        <f t="shared" si="269"/>
        <v>46153.399999999994</v>
      </c>
    </row>
    <row r="1679" spans="1:24" s="121" customFormat="1" hidden="1" x14ac:dyDescent="0.35">
      <c r="A1679" s="71">
        <f t="shared" si="266"/>
        <v>46153.399999999994</v>
      </c>
      <c r="B1679" s="71"/>
      <c r="C1679" s="71"/>
      <c r="D1679" s="71"/>
      <c r="E1679" s="47" t="s">
        <v>64</v>
      </c>
      <c r="F1679" s="104" t="s">
        <v>802</v>
      </c>
      <c r="G1679" s="104" t="s">
        <v>830</v>
      </c>
      <c r="H1679" s="98" t="s">
        <v>2663</v>
      </c>
      <c r="I1679" s="82" t="s">
        <v>804</v>
      </c>
      <c r="J1679" s="100" t="s">
        <v>140</v>
      </c>
      <c r="K1679" s="101">
        <v>0</v>
      </c>
      <c r="L1679" s="101">
        <v>0</v>
      </c>
      <c r="M1679" s="92">
        <v>85</v>
      </c>
      <c r="N1679" s="94">
        <v>1080</v>
      </c>
      <c r="O1679" s="253">
        <v>1</v>
      </c>
      <c r="P1679" s="94">
        <f t="shared" si="268"/>
        <v>1080</v>
      </c>
      <c r="Q1679" s="94"/>
      <c r="R1679" s="182">
        <v>1080</v>
      </c>
      <c r="S1679" s="92">
        <f t="shared" si="261"/>
        <v>0</v>
      </c>
      <c r="T1679" s="173">
        <f t="shared" si="262"/>
        <v>1016.4705882352941</v>
      </c>
      <c r="U1679" s="101">
        <f t="shared" si="263"/>
        <v>0</v>
      </c>
      <c r="V1679" s="101">
        <f t="shared" si="264"/>
        <v>0</v>
      </c>
      <c r="W1679" s="101">
        <v>0</v>
      </c>
      <c r="X1679" s="55">
        <f t="shared" si="269"/>
        <v>46153.399999999994</v>
      </c>
    </row>
    <row r="1680" spans="1:24" s="179" customFormat="1" hidden="1" x14ac:dyDescent="0.35">
      <c r="A1680" s="161">
        <f t="shared" si="266"/>
        <v>46153.399999999994</v>
      </c>
      <c r="B1680" s="161"/>
      <c r="C1680" s="161"/>
      <c r="D1680" s="161"/>
      <c r="E1680" s="124" t="s">
        <v>64</v>
      </c>
      <c r="F1680" s="184" t="s">
        <v>802</v>
      </c>
      <c r="G1680" s="184" t="s">
        <v>830</v>
      </c>
      <c r="H1680" s="126" t="s">
        <v>2663</v>
      </c>
      <c r="I1680" s="159" t="s">
        <v>804</v>
      </c>
      <c r="J1680" s="175" t="s">
        <v>140</v>
      </c>
      <c r="K1680" s="163">
        <v>0</v>
      </c>
      <c r="L1680" s="163">
        <v>0</v>
      </c>
      <c r="M1680" s="130">
        <v>85</v>
      </c>
      <c r="N1680" s="131">
        <v>2750</v>
      </c>
      <c r="O1680" s="189">
        <v>1</v>
      </c>
      <c r="P1680" s="131">
        <f t="shared" si="268"/>
        <v>2750</v>
      </c>
      <c r="Q1680" s="131"/>
      <c r="R1680" s="176">
        <v>2750</v>
      </c>
      <c r="S1680" s="130">
        <f t="shared" si="261"/>
        <v>0</v>
      </c>
      <c r="T1680" s="168">
        <f t="shared" si="262"/>
        <v>1016.4705882352941</v>
      </c>
      <c r="U1680" s="163">
        <f t="shared" si="263"/>
        <v>0</v>
      </c>
      <c r="V1680" s="163">
        <f t="shared" si="264"/>
        <v>0</v>
      </c>
      <c r="W1680" s="163">
        <v>0</v>
      </c>
      <c r="X1680" s="137">
        <f t="shared" si="269"/>
        <v>46153.399999999994</v>
      </c>
    </row>
    <row r="1681" spans="1:24" s="179" customFormat="1" hidden="1" x14ac:dyDescent="0.35">
      <c r="A1681" s="161">
        <f t="shared" si="266"/>
        <v>46153.399999999994</v>
      </c>
      <c r="B1681" s="161"/>
      <c r="C1681" s="161"/>
      <c r="D1681" s="161"/>
      <c r="E1681" s="158" t="s">
        <v>64</v>
      </c>
      <c r="F1681" s="159" t="s">
        <v>838</v>
      </c>
      <c r="G1681" s="159" t="s">
        <v>839</v>
      </c>
      <c r="H1681" s="126" t="s">
        <v>2664</v>
      </c>
      <c r="I1681" s="159" t="s">
        <v>2233</v>
      </c>
      <c r="J1681" s="175" t="s">
        <v>140</v>
      </c>
      <c r="K1681" s="163">
        <v>0</v>
      </c>
      <c r="L1681" s="163">
        <v>0</v>
      </c>
      <c r="M1681" s="164">
        <v>90</v>
      </c>
      <c r="N1681" s="165">
        <v>1000</v>
      </c>
      <c r="O1681" s="166">
        <v>1</v>
      </c>
      <c r="P1681" s="165">
        <f t="shared" si="268"/>
        <v>1000</v>
      </c>
      <c r="Q1681" s="165"/>
      <c r="R1681" s="164">
        <v>1000</v>
      </c>
      <c r="S1681" s="164">
        <f t="shared" si="261"/>
        <v>0</v>
      </c>
      <c r="T1681" s="168">
        <f t="shared" si="262"/>
        <v>960</v>
      </c>
      <c r="U1681" s="163">
        <f t="shared" si="263"/>
        <v>0</v>
      </c>
      <c r="V1681" s="163">
        <f t="shared" si="264"/>
        <v>0</v>
      </c>
      <c r="W1681" s="163">
        <v>0</v>
      </c>
      <c r="X1681" s="169">
        <f t="shared" si="269"/>
        <v>46153.399999999994</v>
      </c>
    </row>
    <row r="1682" spans="1:24" s="121" customFormat="1" hidden="1" x14ac:dyDescent="0.35">
      <c r="A1682" s="71">
        <f t="shared" si="266"/>
        <v>46153.399999999994</v>
      </c>
      <c r="B1682" s="71"/>
      <c r="C1682" s="71"/>
      <c r="D1682" s="71"/>
      <c r="E1682" s="119" t="s">
        <v>64</v>
      </c>
      <c r="F1682" s="82" t="s">
        <v>397</v>
      </c>
      <c r="G1682" s="82" t="s">
        <v>1900</v>
      </c>
      <c r="H1682" s="98" t="s">
        <v>2665</v>
      </c>
      <c r="I1682" s="82" t="s">
        <v>2233</v>
      </c>
      <c r="J1682" s="100" t="s">
        <v>140</v>
      </c>
      <c r="K1682" s="101">
        <v>0</v>
      </c>
      <c r="L1682" s="101">
        <v>0</v>
      </c>
      <c r="M1682" s="102">
        <v>90</v>
      </c>
      <c r="N1682" s="103">
        <v>2000</v>
      </c>
      <c r="O1682" s="171">
        <v>1</v>
      </c>
      <c r="P1682" s="103">
        <f t="shared" si="268"/>
        <v>2000</v>
      </c>
      <c r="Q1682" s="103"/>
      <c r="R1682" s="102">
        <v>2000</v>
      </c>
      <c r="S1682" s="102">
        <f t="shared" si="261"/>
        <v>0</v>
      </c>
      <c r="T1682" s="173">
        <f t="shared" si="262"/>
        <v>960</v>
      </c>
      <c r="U1682" s="101">
        <f t="shared" si="263"/>
        <v>0</v>
      </c>
      <c r="V1682" s="101">
        <f t="shared" si="264"/>
        <v>0</v>
      </c>
      <c r="W1682" s="101">
        <v>0</v>
      </c>
      <c r="X1682" s="255">
        <f t="shared" si="269"/>
        <v>46153.399999999994</v>
      </c>
    </row>
    <row r="1683" spans="1:24" s="179" customFormat="1" hidden="1" x14ac:dyDescent="0.35">
      <c r="A1683" s="161">
        <f t="shared" si="266"/>
        <v>46153.399999999994</v>
      </c>
      <c r="B1683" s="161">
        <v>46059</v>
      </c>
      <c r="C1683" s="183">
        <f t="shared" ref="C1683:C1697" si="270">B1683-A1683</f>
        <v>-94.399999999994179</v>
      </c>
      <c r="D1683" s="183"/>
      <c r="E1683" s="158" t="s">
        <v>64</v>
      </c>
      <c r="F1683" s="159" t="s">
        <v>385</v>
      </c>
      <c r="G1683" s="159" t="s">
        <v>386</v>
      </c>
      <c r="H1683" s="126" t="s">
        <v>2666</v>
      </c>
      <c r="I1683" s="159" t="s">
        <v>2233</v>
      </c>
      <c r="J1683" s="175" t="s">
        <v>140</v>
      </c>
      <c r="K1683" s="163">
        <v>0</v>
      </c>
      <c r="L1683" s="163">
        <v>0</v>
      </c>
      <c r="M1683" s="164">
        <v>90</v>
      </c>
      <c r="N1683" s="165">
        <v>1000</v>
      </c>
      <c r="O1683" s="166">
        <v>1</v>
      </c>
      <c r="P1683" s="165">
        <f t="shared" si="268"/>
        <v>1000</v>
      </c>
      <c r="Q1683" s="185">
        <v>0.8</v>
      </c>
      <c r="R1683" s="164">
        <v>1000</v>
      </c>
      <c r="S1683" s="164">
        <f t="shared" si="261"/>
        <v>0</v>
      </c>
      <c r="T1683" s="168">
        <f t="shared" ref="T1683:T1697" si="271">((3600/M1683)*O1683)*24*Q1683</f>
        <v>768</v>
      </c>
      <c r="U1683" s="163">
        <f t="shared" ref="U1683:U1698" si="272">(P1683-R1683)*M1683/3600/Q1683</f>
        <v>0</v>
      </c>
      <c r="V1683" s="163">
        <f t="shared" ref="V1683:V1698" si="273">U1683/24</f>
        <v>0</v>
      </c>
      <c r="W1683" s="163">
        <v>0</v>
      </c>
      <c r="X1683" s="169">
        <f t="shared" si="269"/>
        <v>46153.399999999994</v>
      </c>
    </row>
    <row r="1684" spans="1:24" s="179" customFormat="1" hidden="1" x14ac:dyDescent="0.35">
      <c r="A1684" s="161">
        <f t="shared" si="266"/>
        <v>46153.399999999994</v>
      </c>
      <c r="B1684" s="161">
        <v>46059</v>
      </c>
      <c r="C1684" s="190">
        <f t="shared" si="270"/>
        <v>-94.399999999994179</v>
      </c>
      <c r="D1684" s="190"/>
      <c r="E1684" s="124" t="s">
        <v>64</v>
      </c>
      <c r="F1684" s="159" t="s">
        <v>397</v>
      </c>
      <c r="G1684" s="159" t="s">
        <v>1900</v>
      </c>
      <c r="H1684" s="126" t="s">
        <v>2667</v>
      </c>
      <c r="I1684" s="159" t="s">
        <v>804</v>
      </c>
      <c r="J1684" s="175" t="s">
        <v>140</v>
      </c>
      <c r="K1684" s="163">
        <v>0</v>
      </c>
      <c r="L1684" s="163">
        <v>0</v>
      </c>
      <c r="M1684" s="130">
        <v>85</v>
      </c>
      <c r="N1684" s="131">
        <v>4000</v>
      </c>
      <c r="O1684" s="189">
        <v>1</v>
      </c>
      <c r="P1684" s="131">
        <f t="shared" si="268"/>
        <v>4000</v>
      </c>
      <c r="Q1684" s="185">
        <v>0.8</v>
      </c>
      <c r="R1684" s="176">
        <v>4000</v>
      </c>
      <c r="S1684" s="164">
        <f t="shared" si="261"/>
        <v>0</v>
      </c>
      <c r="T1684" s="168">
        <f t="shared" si="271"/>
        <v>813.17647058823536</v>
      </c>
      <c r="U1684" s="163">
        <f t="shared" si="272"/>
        <v>0</v>
      </c>
      <c r="V1684" s="163">
        <f t="shared" si="273"/>
        <v>0</v>
      </c>
      <c r="W1684" s="163">
        <v>0</v>
      </c>
      <c r="X1684" s="137">
        <f t="shared" si="269"/>
        <v>46153.399999999994</v>
      </c>
    </row>
    <row r="1685" spans="1:24" s="179" customFormat="1" hidden="1" x14ac:dyDescent="0.35">
      <c r="A1685" s="161">
        <f t="shared" si="266"/>
        <v>46153.399999999994</v>
      </c>
      <c r="B1685" s="161">
        <f>X1684</f>
        <v>46153.399999999994</v>
      </c>
      <c r="C1685" s="183">
        <f t="shared" si="270"/>
        <v>0</v>
      </c>
      <c r="D1685" s="183"/>
      <c r="E1685" s="124" t="s">
        <v>64</v>
      </c>
      <c r="F1685" s="160" t="s">
        <v>389</v>
      </c>
      <c r="G1685" s="159" t="s">
        <v>386</v>
      </c>
      <c r="H1685" s="126" t="s">
        <v>2668</v>
      </c>
      <c r="I1685" s="161" t="s">
        <v>2092</v>
      </c>
      <c r="J1685" s="128" t="s">
        <v>140</v>
      </c>
      <c r="K1685" s="129">
        <v>0</v>
      </c>
      <c r="L1685" s="129">
        <v>0</v>
      </c>
      <c r="M1685" s="130">
        <v>90</v>
      </c>
      <c r="N1685" s="131">
        <v>350</v>
      </c>
      <c r="O1685" s="189">
        <v>1</v>
      </c>
      <c r="P1685" s="131">
        <f t="shared" si="268"/>
        <v>350</v>
      </c>
      <c r="Q1685" s="185">
        <v>0.8</v>
      </c>
      <c r="R1685" s="176">
        <v>350</v>
      </c>
      <c r="S1685" s="164">
        <f t="shared" si="261"/>
        <v>0</v>
      </c>
      <c r="T1685" s="168">
        <f t="shared" si="271"/>
        <v>768</v>
      </c>
      <c r="U1685" s="163">
        <f t="shared" si="272"/>
        <v>0</v>
      </c>
      <c r="V1685" s="163">
        <f t="shared" si="273"/>
        <v>0</v>
      </c>
      <c r="W1685" s="163">
        <v>0</v>
      </c>
      <c r="X1685" s="137">
        <f t="shared" si="269"/>
        <v>46153.399999999994</v>
      </c>
    </row>
    <row r="1686" spans="1:24" s="186" customFormat="1" hidden="1" x14ac:dyDescent="0.35">
      <c r="A1686" s="161">
        <f t="shared" si="266"/>
        <v>46153.399999999994</v>
      </c>
      <c r="B1686" s="161">
        <f>X1685</f>
        <v>46153.399999999994</v>
      </c>
      <c r="C1686" s="190">
        <f t="shared" si="270"/>
        <v>0</v>
      </c>
      <c r="D1686" s="190"/>
      <c r="E1686" s="124" t="s">
        <v>64</v>
      </c>
      <c r="F1686" s="160" t="s">
        <v>2669</v>
      </c>
      <c r="G1686" s="160" t="s">
        <v>386</v>
      </c>
      <c r="H1686" s="573">
        <v>13597</v>
      </c>
      <c r="I1686" s="160" t="s">
        <v>148</v>
      </c>
      <c r="J1686" s="574" t="s">
        <v>140</v>
      </c>
      <c r="K1686" s="129">
        <v>0</v>
      </c>
      <c r="L1686" s="129">
        <v>0</v>
      </c>
      <c r="M1686" s="130">
        <v>70</v>
      </c>
      <c r="N1686" s="252">
        <v>3000</v>
      </c>
      <c r="O1686" s="130">
        <v>1</v>
      </c>
      <c r="P1686" s="131">
        <f t="shared" si="268"/>
        <v>3000</v>
      </c>
      <c r="Q1686" s="185">
        <v>0.8</v>
      </c>
      <c r="R1686" s="130">
        <v>3000</v>
      </c>
      <c r="S1686" s="164">
        <f t="shared" si="261"/>
        <v>0</v>
      </c>
      <c r="T1686" s="168">
        <f t="shared" si="271"/>
        <v>987.42857142857144</v>
      </c>
      <c r="U1686" s="163">
        <f t="shared" si="272"/>
        <v>0</v>
      </c>
      <c r="V1686" s="163">
        <f t="shared" si="273"/>
        <v>0</v>
      </c>
      <c r="W1686" s="163">
        <v>0</v>
      </c>
      <c r="X1686" s="137">
        <f t="shared" si="269"/>
        <v>46153.399999999994</v>
      </c>
    </row>
    <row r="1687" spans="1:24" s="243" customFormat="1" hidden="1" x14ac:dyDescent="0.35">
      <c r="A1687" s="71">
        <f t="shared" si="266"/>
        <v>46153.399999999994</v>
      </c>
      <c r="B1687" s="71">
        <f>X1686</f>
        <v>46153.399999999994</v>
      </c>
      <c r="C1687" s="260">
        <f t="shared" si="270"/>
        <v>0</v>
      </c>
      <c r="D1687" s="260"/>
      <c r="E1687" s="47" t="s">
        <v>43</v>
      </c>
      <c r="F1687" s="82" t="s">
        <v>392</v>
      </c>
      <c r="G1687" s="82" t="s">
        <v>386</v>
      </c>
      <c r="H1687" s="98" t="s">
        <v>2670</v>
      </c>
      <c r="I1687" s="71" t="s">
        <v>1432</v>
      </c>
      <c r="J1687" s="51" t="s">
        <v>140</v>
      </c>
      <c r="K1687" s="91">
        <v>0</v>
      </c>
      <c r="L1687" s="91">
        <v>0</v>
      </c>
      <c r="M1687" s="92">
        <v>90</v>
      </c>
      <c r="N1687" s="94">
        <v>10000</v>
      </c>
      <c r="O1687" s="253">
        <v>1</v>
      </c>
      <c r="P1687" s="94">
        <f t="shared" si="268"/>
        <v>10000</v>
      </c>
      <c r="Q1687" s="181">
        <v>0.8</v>
      </c>
      <c r="R1687" s="182">
        <v>10000</v>
      </c>
      <c r="S1687" s="102">
        <f t="shared" si="261"/>
        <v>0</v>
      </c>
      <c r="T1687" s="173">
        <f t="shared" si="271"/>
        <v>768</v>
      </c>
      <c r="U1687" s="101">
        <f t="shared" si="272"/>
        <v>0</v>
      </c>
      <c r="V1687" s="101">
        <f t="shared" si="273"/>
        <v>0</v>
      </c>
      <c r="W1687" s="101">
        <v>0</v>
      </c>
      <c r="X1687" s="201">
        <f t="shared" si="269"/>
        <v>46153.399999999994</v>
      </c>
    </row>
    <row r="1688" spans="1:24" s="178" customFormat="1" ht="26.5" hidden="1" x14ac:dyDescent="0.35">
      <c r="A1688" s="71">
        <f t="shared" si="266"/>
        <v>46153.399999999994</v>
      </c>
      <c r="B1688" s="71">
        <f>X1687</f>
        <v>46153.399999999994</v>
      </c>
      <c r="C1688" s="260">
        <f t="shared" si="270"/>
        <v>0</v>
      </c>
      <c r="D1688" s="260"/>
      <c r="E1688" s="47" t="s">
        <v>43</v>
      </c>
      <c r="F1688" s="69" t="s">
        <v>2671</v>
      </c>
      <c r="G1688" s="69" t="s">
        <v>386</v>
      </c>
      <c r="H1688" s="98" t="s">
        <v>2672</v>
      </c>
      <c r="I1688" s="71" t="s">
        <v>4249</v>
      </c>
      <c r="J1688" s="51" t="s">
        <v>140</v>
      </c>
      <c r="K1688" s="91">
        <v>0</v>
      </c>
      <c r="L1688" s="91">
        <v>0</v>
      </c>
      <c r="M1688" s="92">
        <v>59</v>
      </c>
      <c r="N1688" s="94">
        <v>2000</v>
      </c>
      <c r="O1688" s="253">
        <v>1</v>
      </c>
      <c r="P1688" s="94">
        <f t="shared" si="268"/>
        <v>2000</v>
      </c>
      <c r="Q1688" s="181">
        <v>0.8</v>
      </c>
      <c r="R1688" s="182">
        <v>2000</v>
      </c>
      <c r="S1688" s="102">
        <f t="shared" si="261"/>
        <v>0</v>
      </c>
      <c r="T1688" s="173">
        <f t="shared" si="271"/>
        <v>1171.5254237288136</v>
      </c>
      <c r="U1688" s="101">
        <f t="shared" si="272"/>
        <v>0</v>
      </c>
      <c r="V1688" s="101">
        <f t="shared" si="273"/>
        <v>0</v>
      </c>
      <c r="W1688" s="101">
        <v>0</v>
      </c>
      <c r="X1688" s="212">
        <f t="shared" si="269"/>
        <v>46153.399999999994</v>
      </c>
    </row>
    <row r="1689" spans="1:24" s="191" customFormat="1" ht="13" hidden="1" x14ac:dyDescent="0.3">
      <c r="A1689" s="123">
        <f t="shared" si="266"/>
        <v>46153.399999999994</v>
      </c>
      <c r="B1689" s="123">
        <v>46086</v>
      </c>
      <c r="C1689" s="190">
        <f t="shared" si="270"/>
        <v>-67.399999999994179</v>
      </c>
      <c r="D1689" s="190" t="s">
        <v>2673</v>
      </c>
      <c r="E1689" s="124" t="s">
        <v>43</v>
      </c>
      <c r="F1689" s="159" t="s">
        <v>2674</v>
      </c>
      <c r="G1689" s="159" t="s">
        <v>398</v>
      </c>
      <c r="H1689" s="126" t="s">
        <v>2675</v>
      </c>
      <c r="I1689" s="159" t="s">
        <v>1187</v>
      </c>
      <c r="J1689" s="128" t="s">
        <v>140</v>
      </c>
      <c r="K1689" s="129">
        <v>0</v>
      </c>
      <c r="L1689" s="129">
        <v>0</v>
      </c>
      <c r="M1689" s="130">
        <v>120</v>
      </c>
      <c r="N1689" s="131">
        <v>3840</v>
      </c>
      <c r="O1689" s="189">
        <v>4</v>
      </c>
      <c r="P1689" s="131">
        <f t="shared" si="268"/>
        <v>960</v>
      </c>
      <c r="Q1689" s="185">
        <v>0.8</v>
      </c>
      <c r="R1689" s="176">
        <v>960</v>
      </c>
      <c r="S1689" s="164">
        <f t="shared" si="261"/>
        <v>0</v>
      </c>
      <c r="T1689" s="168">
        <f t="shared" si="271"/>
        <v>2304</v>
      </c>
      <c r="U1689" s="163">
        <f t="shared" si="272"/>
        <v>0</v>
      </c>
      <c r="V1689" s="163">
        <f t="shared" si="273"/>
        <v>0</v>
      </c>
      <c r="W1689" s="163">
        <v>0</v>
      </c>
      <c r="X1689" s="137">
        <f t="shared" si="269"/>
        <v>46153.399999999994</v>
      </c>
    </row>
    <row r="1690" spans="1:24" s="179" customFormat="1" hidden="1" x14ac:dyDescent="0.35">
      <c r="A1690" s="161">
        <f t="shared" si="266"/>
        <v>46153.399999999994</v>
      </c>
      <c r="B1690" s="161">
        <v>46085</v>
      </c>
      <c r="C1690" s="190">
        <f t="shared" si="270"/>
        <v>-68.399999999994179</v>
      </c>
      <c r="D1690" s="190" t="s">
        <v>2676</v>
      </c>
      <c r="E1690" s="124" t="s">
        <v>64</v>
      </c>
      <c r="F1690" s="159" t="s">
        <v>1669</v>
      </c>
      <c r="G1690" s="159" t="s">
        <v>398</v>
      </c>
      <c r="H1690" s="126" t="s">
        <v>2677</v>
      </c>
      <c r="I1690" s="159" t="s">
        <v>804</v>
      </c>
      <c r="J1690" s="175" t="s">
        <v>140</v>
      </c>
      <c r="K1690" s="163">
        <v>0</v>
      </c>
      <c r="L1690" s="163">
        <v>0</v>
      </c>
      <c r="M1690" s="130">
        <v>100</v>
      </c>
      <c r="N1690" s="131">
        <v>3250</v>
      </c>
      <c r="O1690" s="189">
        <v>1</v>
      </c>
      <c r="P1690" s="131">
        <f t="shared" si="268"/>
        <v>3250</v>
      </c>
      <c r="Q1690" s="185">
        <v>0.8</v>
      </c>
      <c r="R1690" s="176">
        <v>3250</v>
      </c>
      <c r="S1690" s="164">
        <f t="shared" si="261"/>
        <v>0</v>
      </c>
      <c r="T1690" s="168">
        <f t="shared" si="271"/>
        <v>691.2</v>
      </c>
      <c r="U1690" s="163">
        <f t="shared" si="272"/>
        <v>0</v>
      </c>
      <c r="V1690" s="163">
        <f t="shared" si="273"/>
        <v>0</v>
      </c>
      <c r="W1690" s="163">
        <v>0</v>
      </c>
      <c r="X1690" s="137">
        <f t="shared" si="269"/>
        <v>46153.399999999994</v>
      </c>
    </row>
    <row r="1691" spans="1:24" s="186" customFormat="1" ht="25" hidden="1" customHeight="1" x14ac:dyDescent="0.35">
      <c r="A1691" s="161">
        <f t="shared" si="266"/>
        <v>46153.399999999994</v>
      </c>
      <c r="B1691" s="161">
        <v>46104</v>
      </c>
      <c r="C1691" s="190">
        <f t="shared" si="270"/>
        <v>-49.399999999994179</v>
      </c>
      <c r="D1691" s="190"/>
      <c r="E1691" s="124" t="s">
        <v>64</v>
      </c>
      <c r="F1691" s="159" t="s">
        <v>2678</v>
      </c>
      <c r="G1691" s="159" t="s">
        <v>398</v>
      </c>
      <c r="H1691" s="126" t="s">
        <v>2679</v>
      </c>
      <c r="I1691" s="159" t="s">
        <v>804</v>
      </c>
      <c r="J1691" s="175" t="s">
        <v>140</v>
      </c>
      <c r="K1691" s="163">
        <v>0</v>
      </c>
      <c r="L1691" s="163">
        <v>0</v>
      </c>
      <c r="M1691" s="130">
        <v>100</v>
      </c>
      <c r="N1691" s="131">
        <v>3000</v>
      </c>
      <c r="O1691" s="189">
        <v>1</v>
      </c>
      <c r="P1691" s="131">
        <f t="shared" si="268"/>
        <v>3000</v>
      </c>
      <c r="Q1691" s="185">
        <v>0.8</v>
      </c>
      <c r="R1691" s="176">
        <v>3000</v>
      </c>
      <c r="S1691" s="164">
        <f t="shared" si="261"/>
        <v>0</v>
      </c>
      <c r="T1691" s="168">
        <f t="shared" si="271"/>
        <v>691.2</v>
      </c>
      <c r="U1691" s="163">
        <f t="shared" si="272"/>
        <v>0</v>
      </c>
      <c r="V1691" s="163">
        <f t="shared" si="273"/>
        <v>0</v>
      </c>
      <c r="W1691" s="163">
        <v>0</v>
      </c>
      <c r="X1691" s="137">
        <f t="shared" si="269"/>
        <v>46153.399999999994</v>
      </c>
    </row>
    <row r="1692" spans="1:24" s="186" customFormat="1" ht="26.5" hidden="1" x14ac:dyDescent="0.35">
      <c r="A1692" s="161">
        <f t="shared" si="266"/>
        <v>46153.399999999994</v>
      </c>
      <c r="B1692" s="123">
        <v>46108</v>
      </c>
      <c r="C1692" s="190">
        <f t="shared" si="270"/>
        <v>-45.399999999994179</v>
      </c>
      <c r="D1692" s="183"/>
      <c r="E1692" s="124" t="s">
        <v>64</v>
      </c>
      <c r="F1692" s="160" t="s">
        <v>871</v>
      </c>
      <c r="G1692" s="187" t="s">
        <v>398</v>
      </c>
      <c r="H1692" s="188" t="s">
        <v>2680</v>
      </c>
      <c r="I1692" s="160" t="s">
        <v>4250</v>
      </c>
      <c r="J1692" s="175" t="s">
        <v>140</v>
      </c>
      <c r="K1692" s="129">
        <v>0</v>
      </c>
      <c r="L1692" s="129">
        <v>0</v>
      </c>
      <c r="M1692" s="130">
        <v>70</v>
      </c>
      <c r="N1692" s="131">
        <v>450</v>
      </c>
      <c r="O1692" s="189">
        <v>1</v>
      </c>
      <c r="P1692" s="131">
        <f t="shared" si="268"/>
        <v>450</v>
      </c>
      <c r="Q1692" s="185">
        <v>0.8</v>
      </c>
      <c r="R1692" s="130">
        <v>450</v>
      </c>
      <c r="S1692" s="164">
        <f t="shared" ref="S1692:S1698" si="274">P1692-R1692</f>
        <v>0</v>
      </c>
      <c r="T1692" s="168">
        <f t="shared" si="271"/>
        <v>987.42857142857144</v>
      </c>
      <c r="U1692" s="163">
        <f t="shared" si="272"/>
        <v>0</v>
      </c>
      <c r="V1692" s="163">
        <f t="shared" si="273"/>
        <v>0</v>
      </c>
      <c r="W1692" s="163">
        <v>0</v>
      </c>
      <c r="X1692" s="137">
        <f t="shared" si="269"/>
        <v>46153.399999999994</v>
      </c>
    </row>
    <row r="1693" spans="1:24" s="186" customFormat="1" ht="39.5" hidden="1" x14ac:dyDescent="0.35">
      <c r="A1693" s="161">
        <f t="shared" si="266"/>
        <v>46153.399999999994</v>
      </c>
      <c r="B1693" s="123">
        <v>46109</v>
      </c>
      <c r="C1693" s="190">
        <f t="shared" si="270"/>
        <v>-44.399999999994179</v>
      </c>
      <c r="D1693" s="183"/>
      <c r="E1693" s="124" t="s">
        <v>64</v>
      </c>
      <c r="F1693" s="160" t="s">
        <v>871</v>
      </c>
      <c r="G1693" s="187" t="s">
        <v>398</v>
      </c>
      <c r="H1693" s="188" t="s">
        <v>2681</v>
      </c>
      <c r="I1693" s="160" t="s">
        <v>4251</v>
      </c>
      <c r="J1693" s="175" t="s">
        <v>140</v>
      </c>
      <c r="K1693" s="129">
        <v>0</v>
      </c>
      <c r="L1693" s="129">
        <v>0</v>
      </c>
      <c r="M1693" s="130">
        <v>70</v>
      </c>
      <c r="N1693" s="131">
        <v>450</v>
      </c>
      <c r="O1693" s="189">
        <v>1</v>
      </c>
      <c r="P1693" s="131">
        <f t="shared" si="268"/>
        <v>450</v>
      </c>
      <c r="Q1693" s="185">
        <v>0.8</v>
      </c>
      <c r="R1693" s="130">
        <v>450</v>
      </c>
      <c r="S1693" s="164">
        <f t="shared" si="274"/>
        <v>0</v>
      </c>
      <c r="T1693" s="168">
        <f t="shared" si="271"/>
        <v>987.42857142857144</v>
      </c>
      <c r="U1693" s="163">
        <f t="shared" si="272"/>
        <v>0</v>
      </c>
      <c r="V1693" s="163">
        <f t="shared" si="273"/>
        <v>0</v>
      </c>
      <c r="W1693" s="163">
        <v>0</v>
      </c>
      <c r="X1693" s="137">
        <f t="shared" si="269"/>
        <v>46153.399999999994</v>
      </c>
    </row>
    <row r="1694" spans="1:24" s="511" customFormat="1" hidden="1" x14ac:dyDescent="0.35">
      <c r="A1694" s="71">
        <f t="shared" si="266"/>
        <v>46153.399999999994</v>
      </c>
      <c r="B1694" s="46">
        <v>46130</v>
      </c>
      <c r="C1694" s="260">
        <f t="shared" si="270"/>
        <v>-23.399999999994179</v>
      </c>
      <c r="D1694" s="46"/>
      <c r="E1694" s="47" t="s">
        <v>64</v>
      </c>
      <c r="F1694" s="99" t="s">
        <v>2682</v>
      </c>
      <c r="G1694" s="99" t="s">
        <v>411</v>
      </c>
      <c r="H1694" s="98" t="s">
        <v>2683</v>
      </c>
      <c r="I1694" s="99" t="s">
        <v>97</v>
      </c>
      <c r="J1694" s="51" t="s">
        <v>140</v>
      </c>
      <c r="K1694" s="91">
        <v>0</v>
      </c>
      <c r="L1694" s="91">
        <v>0</v>
      </c>
      <c r="M1694" s="92">
        <v>110</v>
      </c>
      <c r="N1694" s="94">
        <v>1500</v>
      </c>
      <c r="O1694" s="253">
        <v>1</v>
      </c>
      <c r="P1694" s="94">
        <f t="shared" si="268"/>
        <v>1500</v>
      </c>
      <c r="Q1694" s="181">
        <v>0.8</v>
      </c>
      <c r="R1694" s="92">
        <v>1500</v>
      </c>
      <c r="S1694" s="102">
        <f t="shared" si="274"/>
        <v>0</v>
      </c>
      <c r="T1694" s="173">
        <f t="shared" si="271"/>
        <v>628.36363636363649</v>
      </c>
      <c r="U1694" s="101">
        <f t="shared" si="272"/>
        <v>0</v>
      </c>
      <c r="V1694" s="101">
        <f t="shared" si="273"/>
        <v>0</v>
      </c>
      <c r="W1694" s="101">
        <v>0</v>
      </c>
      <c r="X1694" s="55">
        <f t="shared" si="269"/>
        <v>46153.399999999994</v>
      </c>
    </row>
    <row r="1695" spans="1:24" s="186" customFormat="1" ht="25" hidden="1" customHeight="1" x14ac:dyDescent="0.35">
      <c r="A1695" s="161">
        <f t="shared" si="266"/>
        <v>46153.399999999994</v>
      </c>
      <c r="B1695" s="161">
        <v>46133</v>
      </c>
      <c r="C1695" s="183">
        <f t="shared" si="270"/>
        <v>-20.399999999994179</v>
      </c>
      <c r="D1695" s="183"/>
      <c r="E1695" s="158" t="s">
        <v>64</v>
      </c>
      <c r="F1695" s="159" t="s">
        <v>2678</v>
      </c>
      <c r="G1695" s="159" t="s">
        <v>398</v>
      </c>
      <c r="H1695" s="126" t="s">
        <v>2684</v>
      </c>
      <c r="I1695" s="159" t="s">
        <v>2233</v>
      </c>
      <c r="J1695" s="175" t="s">
        <v>140</v>
      </c>
      <c r="K1695" s="163">
        <v>0</v>
      </c>
      <c r="L1695" s="163">
        <v>0</v>
      </c>
      <c r="M1695" s="164">
        <v>100</v>
      </c>
      <c r="N1695" s="165">
        <v>2000</v>
      </c>
      <c r="O1695" s="166">
        <v>1</v>
      </c>
      <c r="P1695" s="165">
        <f t="shared" si="268"/>
        <v>2000</v>
      </c>
      <c r="Q1695" s="185">
        <v>0.8</v>
      </c>
      <c r="R1695" s="164">
        <v>2000</v>
      </c>
      <c r="S1695" s="164">
        <f t="shared" si="274"/>
        <v>0</v>
      </c>
      <c r="T1695" s="168">
        <f t="shared" si="271"/>
        <v>691.2</v>
      </c>
      <c r="U1695" s="163">
        <f t="shared" si="272"/>
        <v>0</v>
      </c>
      <c r="V1695" s="163">
        <f t="shared" si="273"/>
        <v>0</v>
      </c>
      <c r="W1695" s="163">
        <v>0</v>
      </c>
      <c r="X1695" s="169">
        <f t="shared" si="269"/>
        <v>46153.399999999994</v>
      </c>
    </row>
    <row r="1696" spans="1:24" s="243" customFormat="1" ht="25" customHeight="1" x14ac:dyDescent="0.35">
      <c r="A1696" s="192">
        <f t="shared" ref="A1696:A1698" si="275">X1695</f>
        <v>46153.399999999994</v>
      </c>
      <c r="B1696" s="192">
        <v>46135</v>
      </c>
      <c r="C1696" s="194">
        <f t="shared" si="270"/>
        <v>-18.399999999994179</v>
      </c>
      <c r="D1696" s="194"/>
      <c r="E1696" s="195" t="s">
        <v>64</v>
      </c>
      <c r="F1696" s="196" t="s">
        <v>2685</v>
      </c>
      <c r="G1696" s="196" t="s">
        <v>398</v>
      </c>
      <c r="H1696" s="113" t="s">
        <v>2686</v>
      </c>
      <c r="I1696" s="196" t="s">
        <v>804</v>
      </c>
      <c r="J1696" s="114" t="s">
        <v>140</v>
      </c>
      <c r="K1696" s="115">
        <v>0.25</v>
      </c>
      <c r="L1696" s="115">
        <v>0.2</v>
      </c>
      <c r="M1696" s="199">
        <v>100</v>
      </c>
      <c r="N1696" s="483">
        <v>1000</v>
      </c>
      <c r="O1696" s="484">
        <v>1</v>
      </c>
      <c r="P1696" s="483">
        <f t="shared" si="268"/>
        <v>1000</v>
      </c>
      <c r="Q1696" s="198">
        <v>0.8</v>
      </c>
      <c r="R1696" s="270"/>
      <c r="S1696" s="116">
        <f t="shared" si="274"/>
        <v>1000</v>
      </c>
      <c r="T1696" s="200">
        <f t="shared" si="271"/>
        <v>691.2</v>
      </c>
      <c r="U1696" s="115">
        <f t="shared" si="272"/>
        <v>34.722222222222221</v>
      </c>
      <c r="V1696" s="115">
        <f t="shared" si="273"/>
        <v>1.4467592592592593</v>
      </c>
      <c r="W1696" s="115">
        <v>0</v>
      </c>
      <c r="X1696" s="201">
        <f t="shared" si="269"/>
        <v>46155.296759259254</v>
      </c>
    </row>
    <row r="1697" spans="1:24" s="118" customFormat="1" ht="25" customHeight="1" x14ac:dyDescent="0.35">
      <c r="A1697" s="271">
        <f t="shared" si="275"/>
        <v>46155.296759259254</v>
      </c>
      <c r="B1697" s="271">
        <v>46141</v>
      </c>
      <c r="C1697" s="576">
        <f t="shared" si="270"/>
        <v>-14.296759259254031</v>
      </c>
      <c r="D1697" s="576"/>
      <c r="E1697" s="273" t="s">
        <v>64</v>
      </c>
      <c r="F1697" s="274" t="s">
        <v>1681</v>
      </c>
      <c r="G1697" s="274" t="s">
        <v>1675</v>
      </c>
      <c r="H1697" s="276" t="s">
        <v>2687</v>
      </c>
      <c r="I1697" s="274" t="s">
        <v>804</v>
      </c>
      <c r="J1697" s="277" t="s">
        <v>140</v>
      </c>
      <c r="K1697" s="278">
        <v>0</v>
      </c>
      <c r="L1697" s="278">
        <v>0</v>
      </c>
      <c r="M1697" s="564">
        <v>100</v>
      </c>
      <c r="N1697" s="565">
        <v>4500</v>
      </c>
      <c r="O1697" s="566">
        <v>1</v>
      </c>
      <c r="P1697" s="565">
        <f t="shared" si="268"/>
        <v>4500</v>
      </c>
      <c r="Q1697" s="282">
        <v>0.8</v>
      </c>
      <c r="R1697" s="283"/>
      <c r="S1697" s="279">
        <f t="shared" si="274"/>
        <v>4500</v>
      </c>
      <c r="T1697" s="284">
        <f t="shared" si="271"/>
        <v>691.2</v>
      </c>
      <c r="U1697" s="278">
        <f t="shared" si="272"/>
        <v>156.25</v>
      </c>
      <c r="V1697" s="278">
        <f t="shared" si="273"/>
        <v>6.510416666666667</v>
      </c>
      <c r="W1697" s="278">
        <v>0</v>
      </c>
      <c r="X1697" s="285">
        <f t="shared" si="269"/>
        <v>46161.807175925918</v>
      </c>
    </row>
    <row r="1698" spans="1:24" s="178" customFormat="1" ht="25" customHeight="1" x14ac:dyDescent="0.35">
      <c r="A1698" s="271">
        <f t="shared" si="275"/>
        <v>46161.807175925918</v>
      </c>
      <c r="B1698" s="203">
        <v>46148</v>
      </c>
      <c r="C1698" s="385">
        <f>B1698-A1698</f>
        <v>-13.807175925918273</v>
      </c>
      <c r="D1698" s="203"/>
      <c r="E1698" s="386" t="s">
        <v>467</v>
      </c>
      <c r="F1698" s="287" t="s">
        <v>2688</v>
      </c>
      <c r="G1698" s="205" t="s">
        <v>2689</v>
      </c>
      <c r="H1698" s="206" t="s">
        <v>2690</v>
      </c>
      <c r="I1698" s="205" t="s">
        <v>470</v>
      </c>
      <c r="J1698" s="310" t="s">
        <v>140</v>
      </c>
      <c r="K1698" s="289">
        <v>0.25</v>
      </c>
      <c r="L1698" s="289">
        <v>0.2</v>
      </c>
      <c r="M1698" s="290">
        <v>185</v>
      </c>
      <c r="N1698" s="291">
        <v>17040</v>
      </c>
      <c r="O1698" s="292">
        <v>2</v>
      </c>
      <c r="P1698" s="291">
        <f t="shared" si="268"/>
        <v>8520</v>
      </c>
      <c r="Q1698" s="293">
        <v>0.8</v>
      </c>
      <c r="R1698" s="290"/>
      <c r="S1698" s="290">
        <f t="shared" si="274"/>
        <v>8520</v>
      </c>
      <c r="T1698" s="294">
        <f>((3600/M1698)*O1698)*27*Q1698</f>
        <v>840.64864864864876</v>
      </c>
      <c r="U1698" s="289">
        <f t="shared" si="272"/>
        <v>547.29166666666663</v>
      </c>
      <c r="V1698" s="289">
        <f t="shared" si="273"/>
        <v>22.803819444444443</v>
      </c>
      <c r="W1698" s="289">
        <v>0</v>
      </c>
      <c r="X1698" s="212">
        <f t="shared" si="269"/>
        <v>46185.060995370361</v>
      </c>
    </row>
    <row r="1699" spans="1:24" s="178" customFormat="1" ht="25" customHeight="1" x14ac:dyDescent="0.35">
      <c r="A1699" s="384"/>
      <c r="B1699" s="203"/>
      <c r="C1699" s="385"/>
      <c r="D1699" s="203"/>
      <c r="E1699" s="386"/>
      <c r="F1699" s="287"/>
      <c r="G1699" s="205"/>
      <c r="H1699" s="206"/>
      <c r="I1699" s="205"/>
      <c r="J1699" s="310"/>
      <c r="K1699" s="289"/>
      <c r="L1699" s="289"/>
      <c r="M1699" s="290"/>
      <c r="N1699" s="291"/>
      <c r="O1699" s="292"/>
      <c r="P1699" s="291"/>
      <c r="Q1699" s="293"/>
      <c r="R1699" s="290"/>
      <c r="S1699" s="290"/>
      <c r="T1699" s="294"/>
      <c r="U1699" s="289"/>
      <c r="V1699" s="289"/>
      <c r="W1699" s="289"/>
      <c r="X1699" s="212"/>
    </row>
    <row r="1700" spans="1:24" ht="34.5" x14ac:dyDescent="0.8">
      <c r="A1700" s="35" t="s">
        <v>289</v>
      </c>
      <c r="B1700" s="35"/>
      <c r="C1700" s="35"/>
      <c r="D1700" s="35"/>
      <c r="E1700" s="36"/>
      <c r="F1700" s="213"/>
      <c r="G1700" s="213"/>
      <c r="H1700" s="311"/>
      <c r="I1700" s="214"/>
      <c r="J1700" s="40"/>
      <c r="K1700" s="41"/>
      <c r="L1700" s="41"/>
      <c r="M1700" s="42"/>
      <c r="N1700" s="43"/>
      <c r="O1700" s="312"/>
      <c r="P1700" s="44"/>
      <c r="Q1700" s="44"/>
      <c r="R1700" s="45"/>
      <c r="S1700" s="44"/>
      <c r="T1700" s="313"/>
      <c r="U1700" s="44"/>
      <c r="V1700" s="44"/>
      <c r="W1700" s="44"/>
      <c r="X1700" s="45"/>
    </row>
    <row r="1701" spans="1:24" s="118" customFormat="1" hidden="1" x14ac:dyDescent="0.35">
      <c r="A1701" s="71">
        <f>S7</f>
        <v>46153</v>
      </c>
      <c r="B1701" s="71"/>
      <c r="C1701" s="71"/>
      <c r="D1701" s="71"/>
      <c r="E1701" s="119" t="s">
        <v>289</v>
      </c>
      <c r="F1701" s="48" t="s">
        <v>2691</v>
      </c>
      <c r="G1701" s="48"/>
      <c r="H1701" s="59" t="s">
        <v>2692</v>
      </c>
      <c r="I1701" s="82" t="s">
        <v>2693</v>
      </c>
      <c r="J1701" s="100"/>
      <c r="K1701" s="84">
        <v>0</v>
      </c>
      <c r="L1701" s="84">
        <v>0</v>
      </c>
      <c r="M1701" s="83">
        <v>120</v>
      </c>
      <c r="N1701" s="223">
        <v>1500</v>
      </c>
      <c r="O1701" s="314">
        <v>1</v>
      </c>
      <c r="P1701" s="223">
        <v>1536</v>
      </c>
      <c r="Q1701" s="223"/>
      <c r="R1701" s="102">
        <v>1536</v>
      </c>
      <c r="S1701" s="83">
        <f t="shared" ref="S1701:S1709" si="276">P1701-R1701</f>
        <v>0</v>
      </c>
      <c r="T1701" s="315">
        <f t="shared" ref="T1701:T1709" si="277">((3600/M1701)*O1701)*24</f>
        <v>720</v>
      </c>
      <c r="U1701" s="84">
        <f t="shared" ref="U1701:U1709" si="278">(P1701-R1701)*M1701/3600</f>
        <v>0</v>
      </c>
      <c r="V1701" s="84">
        <f t="shared" ref="V1701:V1709" si="279">(P1701-R1701)*M1701/3600/24</f>
        <v>0</v>
      </c>
      <c r="W1701" s="84">
        <v>0</v>
      </c>
      <c r="X1701" s="55">
        <f t="shared" ref="X1701:X1764" si="280">A1701+K1701+L1701+V1701+W1701</f>
        <v>46153</v>
      </c>
    </row>
    <row r="1702" spans="1:24" s="118" customFormat="1" ht="29" hidden="1" x14ac:dyDescent="0.35">
      <c r="A1702" s="71">
        <f t="shared" ref="A1702:A1765" si="281">X1701</f>
        <v>46153</v>
      </c>
      <c r="B1702" s="71"/>
      <c r="C1702" s="71"/>
      <c r="D1702" s="71"/>
      <c r="E1702" s="119" t="s">
        <v>289</v>
      </c>
      <c r="F1702" s="48" t="s">
        <v>2694</v>
      </c>
      <c r="G1702" s="48"/>
      <c r="H1702" s="59" t="s">
        <v>1932</v>
      </c>
      <c r="I1702" s="82" t="s">
        <v>103</v>
      </c>
      <c r="J1702" s="100"/>
      <c r="K1702" s="84">
        <v>0</v>
      </c>
      <c r="L1702" s="84">
        <v>0</v>
      </c>
      <c r="M1702" s="83">
        <v>200</v>
      </c>
      <c r="N1702" s="223">
        <v>1000</v>
      </c>
      <c r="O1702" s="314">
        <v>1</v>
      </c>
      <c r="P1702" s="223">
        <f>N1702/O1702</f>
        <v>1000</v>
      </c>
      <c r="Q1702" s="223"/>
      <c r="R1702" s="102">
        <v>1000</v>
      </c>
      <c r="S1702" s="83">
        <f t="shared" si="276"/>
        <v>0</v>
      </c>
      <c r="T1702" s="315">
        <f t="shared" si="277"/>
        <v>432</v>
      </c>
      <c r="U1702" s="84">
        <f t="shared" si="278"/>
        <v>0</v>
      </c>
      <c r="V1702" s="84">
        <f t="shared" si="279"/>
        <v>0</v>
      </c>
      <c r="W1702" s="84">
        <v>0</v>
      </c>
      <c r="X1702" s="55">
        <f t="shared" si="280"/>
        <v>46153</v>
      </c>
    </row>
    <row r="1703" spans="1:24" s="118" customFormat="1" ht="29" hidden="1" x14ac:dyDescent="0.35">
      <c r="A1703" s="71">
        <f t="shared" si="281"/>
        <v>46153</v>
      </c>
      <c r="B1703" s="71"/>
      <c r="C1703" s="71"/>
      <c r="D1703" s="71"/>
      <c r="E1703" s="119" t="s">
        <v>289</v>
      </c>
      <c r="F1703" s="48" t="s">
        <v>2695</v>
      </c>
      <c r="G1703" s="48"/>
      <c r="H1703" s="59" t="s">
        <v>1932</v>
      </c>
      <c r="I1703" s="82" t="s">
        <v>103</v>
      </c>
      <c r="J1703" s="100"/>
      <c r="K1703" s="84">
        <v>0</v>
      </c>
      <c r="L1703" s="84">
        <v>0</v>
      </c>
      <c r="M1703" s="83">
        <v>200</v>
      </c>
      <c r="N1703" s="223">
        <v>1540</v>
      </c>
      <c r="O1703" s="314">
        <v>1</v>
      </c>
      <c r="P1703" s="223">
        <v>1042</v>
      </c>
      <c r="Q1703" s="223"/>
      <c r="R1703" s="102">
        <v>1042</v>
      </c>
      <c r="S1703" s="83">
        <f t="shared" si="276"/>
        <v>0</v>
      </c>
      <c r="T1703" s="315">
        <f t="shared" si="277"/>
        <v>432</v>
      </c>
      <c r="U1703" s="84">
        <f t="shared" si="278"/>
        <v>0</v>
      </c>
      <c r="V1703" s="84">
        <f t="shared" si="279"/>
        <v>0</v>
      </c>
      <c r="W1703" s="84">
        <v>0</v>
      </c>
      <c r="X1703" s="55">
        <f t="shared" si="280"/>
        <v>46153</v>
      </c>
    </row>
    <row r="1704" spans="1:24" s="118" customFormat="1" hidden="1" x14ac:dyDescent="0.35">
      <c r="A1704" s="71">
        <f t="shared" si="281"/>
        <v>46153</v>
      </c>
      <c r="B1704" s="71"/>
      <c r="C1704" s="71"/>
      <c r="D1704" s="71"/>
      <c r="E1704" s="119" t="s">
        <v>289</v>
      </c>
      <c r="F1704" s="48" t="s">
        <v>2696</v>
      </c>
      <c r="G1704" s="48"/>
      <c r="H1704" s="59" t="s">
        <v>2697</v>
      </c>
      <c r="I1704" s="82" t="s">
        <v>2698</v>
      </c>
      <c r="J1704" s="100"/>
      <c r="K1704" s="84">
        <v>0</v>
      </c>
      <c r="L1704" s="84">
        <v>0</v>
      </c>
      <c r="M1704" s="83">
        <v>120</v>
      </c>
      <c r="N1704" s="223">
        <v>1250</v>
      </c>
      <c r="O1704" s="314">
        <v>1</v>
      </c>
      <c r="P1704" s="223">
        <f>N1704/O1704</f>
        <v>1250</v>
      </c>
      <c r="Q1704" s="223"/>
      <c r="R1704" s="102">
        <v>1250</v>
      </c>
      <c r="S1704" s="83">
        <f t="shared" si="276"/>
        <v>0</v>
      </c>
      <c r="T1704" s="315">
        <f t="shared" si="277"/>
        <v>720</v>
      </c>
      <c r="U1704" s="84">
        <f t="shared" si="278"/>
        <v>0</v>
      </c>
      <c r="V1704" s="84">
        <f t="shared" si="279"/>
        <v>0</v>
      </c>
      <c r="W1704" s="84">
        <v>0</v>
      </c>
      <c r="X1704" s="55">
        <f t="shared" si="280"/>
        <v>46153</v>
      </c>
    </row>
    <row r="1705" spans="1:24" s="118" customFormat="1" hidden="1" x14ac:dyDescent="0.35">
      <c r="A1705" s="71">
        <f t="shared" si="281"/>
        <v>46153</v>
      </c>
      <c r="B1705" s="71"/>
      <c r="C1705" s="71"/>
      <c r="D1705" s="71"/>
      <c r="E1705" s="119" t="s">
        <v>289</v>
      </c>
      <c r="F1705" s="48" t="s">
        <v>1931</v>
      </c>
      <c r="G1705" s="48"/>
      <c r="H1705" s="59" t="s">
        <v>2697</v>
      </c>
      <c r="I1705" s="82" t="s">
        <v>2698</v>
      </c>
      <c r="J1705" s="100"/>
      <c r="K1705" s="84">
        <v>0</v>
      </c>
      <c r="L1705" s="84">
        <v>0</v>
      </c>
      <c r="M1705" s="83">
        <v>120</v>
      </c>
      <c r="N1705" s="223">
        <v>1250</v>
      </c>
      <c r="O1705" s="314">
        <v>1</v>
      </c>
      <c r="P1705" s="223">
        <v>1279</v>
      </c>
      <c r="Q1705" s="223"/>
      <c r="R1705" s="102">
        <v>1279</v>
      </c>
      <c r="S1705" s="83">
        <f t="shared" si="276"/>
        <v>0</v>
      </c>
      <c r="T1705" s="315">
        <f t="shared" si="277"/>
        <v>720</v>
      </c>
      <c r="U1705" s="84">
        <f t="shared" si="278"/>
        <v>0</v>
      </c>
      <c r="V1705" s="84">
        <f t="shared" si="279"/>
        <v>0</v>
      </c>
      <c r="W1705" s="84">
        <v>0</v>
      </c>
      <c r="X1705" s="55">
        <f t="shared" si="280"/>
        <v>46153</v>
      </c>
    </row>
    <row r="1706" spans="1:24" s="118" customFormat="1" hidden="1" x14ac:dyDescent="0.35">
      <c r="A1706" s="71">
        <f t="shared" si="281"/>
        <v>46153</v>
      </c>
      <c r="B1706" s="71"/>
      <c r="C1706" s="71"/>
      <c r="D1706" s="71"/>
      <c r="E1706" s="119" t="s">
        <v>289</v>
      </c>
      <c r="F1706" s="48" t="s">
        <v>2696</v>
      </c>
      <c r="G1706" s="48"/>
      <c r="H1706" s="59" t="s">
        <v>2699</v>
      </c>
      <c r="I1706" s="82" t="s">
        <v>2693</v>
      </c>
      <c r="J1706" s="100"/>
      <c r="K1706" s="84">
        <v>0</v>
      </c>
      <c r="L1706" s="84">
        <v>0</v>
      </c>
      <c r="M1706" s="83">
        <v>140</v>
      </c>
      <c r="N1706" s="223">
        <v>1250</v>
      </c>
      <c r="O1706" s="314">
        <v>1</v>
      </c>
      <c r="P1706" s="223">
        <f>N1706/O1706</f>
        <v>1250</v>
      </c>
      <c r="Q1706" s="223"/>
      <c r="R1706" s="102">
        <v>1250</v>
      </c>
      <c r="S1706" s="83">
        <f t="shared" si="276"/>
        <v>0</v>
      </c>
      <c r="T1706" s="315">
        <f t="shared" si="277"/>
        <v>617.14285714285711</v>
      </c>
      <c r="U1706" s="84">
        <f t="shared" si="278"/>
        <v>0</v>
      </c>
      <c r="V1706" s="84">
        <f t="shared" si="279"/>
        <v>0</v>
      </c>
      <c r="W1706" s="84">
        <v>0</v>
      </c>
      <c r="X1706" s="55">
        <f t="shared" si="280"/>
        <v>46153</v>
      </c>
    </row>
    <row r="1707" spans="1:24" s="118" customFormat="1" hidden="1" x14ac:dyDescent="0.35">
      <c r="A1707" s="71">
        <f t="shared" si="281"/>
        <v>46153</v>
      </c>
      <c r="B1707" s="71"/>
      <c r="C1707" s="71"/>
      <c r="D1707" s="71"/>
      <c r="E1707" s="119" t="s">
        <v>289</v>
      </c>
      <c r="F1707" s="48" t="s">
        <v>1931</v>
      </c>
      <c r="G1707" s="48"/>
      <c r="H1707" s="59" t="s">
        <v>2699</v>
      </c>
      <c r="I1707" s="82" t="s">
        <v>2693</v>
      </c>
      <c r="J1707" s="100"/>
      <c r="K1707" s="84">
        <v>0</v>
      </c>
      <c r="L1707" s="84">
        <v>0</v>
      </c>
      <c r="M1707" s="83">
        <v>140</v>
      </c>
      <c r="N1707" s="223">
        <v>1250</v>
      </c>
      <c r="O1707" s="314">
        <v>1</v>
      </c>
      <c r="P1707" s="223">
        <v>1338</v>
      </c>
      <c r="Q1707" s="223"/>
      <c r="R1707" s="102">
        <v>1338</v>
      </c>
      <c r="S1707" s="83">
        <f t="shared" si="276"/>
        <v>0</v>
      </c>
      <c r="T1707" s="315">
        <f t="shared" si="277"/>
        <v>617.14285714285711</v>
      </c>
      <c r="U1707" s="84">
        <f t="shared" si="278"/>
        <v>0</v>
      </c>
      <c r="V1707" s="84">
        <f t="shared" si="279"/>
        <v>0</v>
      </c>
      <c r="W1707" s="84">
        <v>0</v>
      </c>
      <c r="X1707" s="55">
        <f t="shared" si="280"/>
        <v>46153</v>
      </c>
    </row>
    <row r="1708" spans="1:24" s="118" customFormat="1" hidden="1" x14ac:dyDescent="0.35">
      <c r="A1708" s="71">
        <f t="shared" si="281"/>
        <v>46153</v>
      </c>
      <c r="B1708" s="71"/>
      <c r="C1708" s="71"/>
      <c r="D1708" s="71"/>
      <c r="E1708" s="119" t="s">
        <v>289</v>
      </c>
      <c r="F1708" s="56" t="s">
        <v>2700</v>
      </c>
      <c r="G1708" s="56"/>
      <c r="H1708" s="49">
        <v>7696</v>
      </c>
      <c r="I1708" s="99" t="s">
        <v>1686</v>
      </c>
      <c r="J1708" s="100"/>
      <c r="K1708" s="84">
        <v>0</v>
      </c>
      <c r="L1708" s="84">
        <v>0</v>
      </c>
      <c r="M1708" s="83">
        <v>280</v>
      </c>
      <c r="N1708" s="223">
        <v>800</v>
      </c>
      <c r="O1708" s="314">
        <v>1</v>
      </c>
      <c r="P1708" s="223">
        <f>N1708/O1708</f>
        <v>800</v>
      </c>
      <c r="Q1708" s="223"/>
      <c r="R1708" s="102">
        <v>800</v>
      </c>
      <c r="S1708" s="83">
        <f t="shared" si="276"/>
        <v>0</v>
      </c>
      <c r="T1708" s="315">
        <f t="shared" si="277"/>
        <v>308.57142857142856</v>
      </c>
      <c r="U1708" s="84">
        <f t="shared" si="278"/>
        <v>0</v>
      </c>
      <c r="V1708" s="84">
        <f t="shared" si="279"/>
        <v>0</v>
      </c>
      <c r="W1708" s="84">
        <v>0</v>
      </c>
      <c r="X1708" s="55">
        <f t="shared" si="280"/>
        <v>46153</v>
      </c>
    </row>
    <row r="1709" spans="1:24" s="118" customFormat="1" hidden="1" x14ac:dyDescent="0.35">
      <c r="A1709" s="71">
        <f t="shared" si="281"/>
        <v>46153</v>
      </c>
      <c r="B1709" s="71"/>
      <c r="C1709" s="71"/>
      <c r="D1709" s="71"/>
      <c r="E1709" s="119" t="s">
        <v>289</v>
      </c>
      <c r="F1709" s="56" t="s">
        <v>2701</v>
      </c>
      <c r="G1709" s="56"/>
      <c r="H1709" s="49">
        <v>7696</v>
      </c>
      <c r="I1709" s="99" t="s">
        <v>1686</v>
      </c>
      <c r="J1709" s="100"/>
      <c r="K1709" s="84">
        <v>0</v>
      </c>
      <c r="L1709" s="84">
        <v>0</v>
      </c>
      <c r="M1709" s="83">
        <v>280</v>
      </c>
      <c r="N1709" s="223">
        <v>600</v>
      </c>
      <c r="O1709" s="314">
        <v>1</v>
      </c>
      <c r="P1709" s="223">
        <f>N1709/O1709</f>
        <v>600</v>
      </c>
      <c r="Q1709" s="223"/>
      <c r="R1709" s="102">
        <v>600</v>
      </c>
      <c r="S1709" s="83">
        <f t="shared" si="276"/>
        <v>0</v>
      </c>
      <c r="T1709" s="315">
        <f t="shared" si="277"/>
        <v>308.57142857142856</v>
      </c>
      <c r="U1709" s="84">
        <f t="shared" si="278"/>
        <v>0</v>
      </c>
      <c r="V1709" s="84">
        <f t="shared" si="279"/>
        <v>0</v>
      </c>
      <c r="W1709" s="84">
        <v>0</v>
      </c>
      <c r="X1709" s="55">
        <f t="shared" si="280"/>
        <v>46153</v>
      </c>
    </row>
    <row r="1710" spans="1:24" s="118" customFormat="1" hidden="1" x14ac:dyDescent="0.35">
      <c r="A1710" s="71">
        <f t="shared" si="281"/>
        <v>46153</v>
      </c>
      <c r="B1710" s="71"/>
      <c r="C1710" s="71"/>
      <c r="D1710" s="71"/>
      <c r="E1710" s="119" t="s">
        <v>289</v>
      </c>
      <c r="F1710" s="56" t="s">
        <v>2255</v>
      </c>
      <c r="G1710" s="56"/>
      <c r="H1710" s="49" t="s">
        <v>2255</v>
      </c>
      <c r="I1710" s="85" t="s">
        <v>2702</v>
      </c>
      <c r="J1710" s="100"/>
      <c r="K1710" s="84">
        <v>0</v>
      </c>
      <c r="L1710" s="84">
        <v>0</v>
      </c>
      <c r="M1710" s="83"/>
      <c r="N1710" s="223"/>
      <c r="O1710" s="314"/>
      <c r="P1710" s="223"/>
      <c r="Q1710" s="223"/>
      <c r="R1710" s="102"/>
      <c r="S1710" s="83"/>
      <c r="T1710" s="315"/>
      <c r="U1710" s="84"/>
      <c r="V1710" s="84"/>
      <c r="W1710" s="84">
        <v>0</v>
      </c>
      <c r="X1710" s="55">
        <f t="shared" si="280"/>
        <v>46153</v>
      </c>
    </row>
    <row r="1711" spans="1:24" s="118" customFormat="1" hidden="1" x14ac:dyDescent="0.35">
      <c r="A1711" s="71">
        <f t="shared" si="281"/>
        <v>46153</v>
      </c>
      <c r="B1711" s="71"/>
      <c r="C1711" s="71"/>
      <c r="D1711" s="71"/>
      <c r="E1711" s="119" t="s">
        <v>289</v>
      </c>
      <c r="F1711" s="57" t="s">
        <v>2703</v>
      </c>
      <c r="G1711" s="57"/>
      <c r="H1711" s="49" t="s">
        <v>2704</v>
      </c>
      <c r="I1711" s="82" t="s">
        <v>2705</v>
      </c>
      <c r="J1711" s="100"/>
      <c r="K1711" s="84">
        <v>0</v>
      </c>
      <c r="L1711" s="84">
        <v>0</v>
      </c>
      <c r="M1711" s="83">
        <v>60</v>
      </c>
      <c r="N1711" s="223">
        <v>6000</v>
      </c>
      <c r="O1711" s="314">
        <v>4</v>
      </c>
      <c r="P1711" s="223">
        <v>1630</v>
      </c>
      <c r="Q1711" s="223"/>
      <c r="R1711" s="102">
        <v>1630</v>
      </c>
      <c r="S1711" s="83">
        <f t="shared" ref="S1711:S1774" si="282">P1711-R1711</f>
        <v>0</v>
      </c>
      <c r="T1711" s="315">
        <f t="shared" ref="T1711:T1774" si="283">((3600/M1711)*O1711)*24</f>
        <v>5760</v>
      </c>
      <c r="U1711" s="84">
        <f t="shared" ref="U1711:U1774" si="284">(P1711-R1711)*M1711/3600</f>
        <v>0</v>
      </c>
      <c r="V1711" s="84">
        <f t="shared" ref="V1711:V1774" si="285">(P1711-R1711)*M1711/3600/24</f>
        <v>0</v>
      </c>
      <c r="W1711" s="84">
        <v>0</v>
      </c>
      <c r="X1711" s="55">
        <f t="shared" si="280"/>
        <v>46153</v>
      </c>
    </row>
    <row r="1712" spans="1:24" s="118" customFormat="1" ht="29" hidden="1" x14ac:dyDescent="0.35">
      <c r="A1712" s="71">
        <f t="shared" si="281"/>
        <v>46153</v>
      </c>
      <c r="B1712" s="71"/>
      <c r="C1712" s="71"/>
      <c r="D1712" s="71"/>
      <c r="E1712" s="119" t="s">
        <v>289</v>
      </c>
      <c r="F1712" s="57" t="s">
        <v>55</v>
      </c>
      <c r="G1712" s="57"/>
      <c r="H1712" s="49" t="s">
        <v>2706</v>
      </c>
      <c r="I1712" s="106" t="s">
        <v>2707</v>
      </c>
      <c r="J1712" s="100"/>
      <c r="K1712" s="84">
        <v>0</v>
      </c>
      <c r="L1712" s="84">
        <v>0</v>
      </c>
      <c r="M1712" s="83">
        <v>90</v>
      </c>
      <c r="N1712" s="223">
        <v>2100</v>
      </c>
      <c r="O1712" s="314">
        <v>1</v>
      </c>
      <c r="P1712" s="223">
        <v>2101</v>
      </c>
      <c r="Q1712" s="223"/>
      <c r="R1712" s="102">
        <v>2100</v>
      </c>
      <c r="S1712" s="83">
        <f t="shared" si="282"/>
        <v>1</v>
      </c>
      <c r="T1712" s="315">
        <f t="shared" si="283"/>
        <v>960</v>
      </c>
      <c r="U1712" s="84">
        <f t="shared" si="284"/>
        <v>2.5000000000000001E-2</v>
      </c>
      <c r="V1712" s="84">
        <f t="shared" si="285"/>
        <v>1.0416666666666667E-3</v>
      </c>
      <c r="W1712" s="84">
        <v>0</v>
      </c>
      <c r="X1712" s="55">
        <f t="shared" si="280"/>
        <v>46153.00104166667</v>
      </c>
    </row>
    <row r="1713" spans="1:24" s="118" customFormat="1" ht="29" hidden="1" x14ac:dyDescent="0.35">
      <c r="A1713" s="71">
        <f t="shared" si="281"/>
        <v>46153.00104166667</v>
      </c>
      <c r="B1713" s="71"/>
      <c r="C1713" s="71"/>
      <c r="D1713" s="71"/>
      <c r="E1713" s="119" t="s">
        <v>289</v>
      </c>
      <c r="F1713" s="57" t="s">
        <v>55</v>
      </c>
      <c r="G1713" s="57"/>
      <c r="H1713" s="49" t="s">
        <v>2708</v>
      </c>
      <c r="I1713" s="106" t="s">
        <v>2709</v>
      </c>
      <c r="J1713" s="100"/>
      <c r="K1713" s="84">
        <v>0</v>
      </c>
      <c r="L1713" s="84">
        <v>0</v>
      </c>
      <c r="M1713" s="83">
        <v>60</v>
      </c>
      <c r="N1713" s="223">
        <v>3800</v>
      </c>
      <c r="O1713" s="314">
        <v>2</v>
      </c>
      <c r="P1713" s="223">
        <f>N1713/O1713</f>
        <v>1900</v>
      </c>
      <c r="Q1713" s="223"/>
      <c r="R1713" s="102">
        <v>1900</v>
      </c>
      <c r="S1713" s="83">
        <f t="shared" si="282"/>
        <v>0</v>
      </c>
      <c r="T1713" s="315">
        <f t="shared" si="283"/>
        <v>2880</v>
      </c>
      <c r="U1713" s="84">
        <f t="shared" si="284"/>
        <v>0</v>
      </c>
      <c r="V1713" s="84">
        <f t="shared" si="285"/>
        <v>0</v>
      </c>
      <c r="W1713" s="84">
        <v>0</v>
      </c>
      <c r="X1713" s="55">
        <f t="shared" si="280"/>
        <v>46153.00104166667</v>
      </c>
    </row>
    <row r="1714" spans="1:24" s="118" customFormat="1" ht="29" hidden="1" x14ac:dyDescent="0.35">
      <c r="A1714" s="71">
        <f t="shared" si="281"/>
        <v>46153.00104166667</v>
      </c>
      <c r="B1714" s="71"/>
      <c r="C1714" s="71"/>
      <c r="D1714" s="71"/>
      <c r="E1714" s="119" t="s">
        <v>289</v>
      </c>
      <c r="F1714" s="57" t="s">
        <v>55</v>
      </c>
      <c r="G1714" s="57"/>
      <c r="H1714" s="49" t="s">
        <v>2710</v>
      </c>
      <c r="I1714" s="106" t="s">
        <v>2711</v>
      </c>
      <c r="J1714" s="100"/>
      <c r="K1714" s="84">
        <v>0</v>
      </c>
      <c r="L1714" s="84">
        <v>0</v>
      </c>
      <c r="M1714" s="83">
        <v>85</v>
      </c>
      <c r="N1714" s="223">
        <v>4200</v>
      </c>
      <c r="O1714" s="314">
        <v>2</v>
      </c>
      <c r="P1714" s="223">
        <v>2165</v>
      </c>
      <c r="Q1714" s="223"/>
      <c r="R1714" s="102">
        <v>2165</v>
      </c>
      <c r="S1714" s="83">
        <f t="shared" si="282"/>
        <v>0</v>
      </c>
      <c r="T1714" s="315">
        <f t="shared" si="283"/>
        <v>2032.9411764705883</v>
      </c>
      <c r="U1714" s="84">
        <f t="shared" si="284"/>
        <v>0</v>
      </c>
      <c r="V1714" s="84">
        <f t="shared" si="285"/>
        <v>0</v>
      </c>
      <c r="W1714" s="84">
        <v>0</v>
      </c>
      <c r="X1714" s="55">
        <f t="shared" si="280"/>
        <v>46153.00104166667</v>
      </c>
    </row>
    <row r="1715" spans="1:24" s="118" customFormat="1" ht="29" hidden="1" x14ac:dyDescent="0.35">
      <c r="A1715" s="71">
        <f t="shared" si="281"/>
        <v>46153.00104166667</v>
      </c>
      <c r="B1715" s="71"/>
      <c r="C1715" s="71"/>
      <c r="D1715" s="71"/>
      <c r="E1715" s="119" t="s">
        <v>289</v>
      </c>
      <c r="F1715" s="57" t="s">
        <v>55</v>
      </c>
      <c r="G1715" s="57"/>
      <c r="H1715" s="49" t="s">
        <v>2710</v>
      </c>
      <c r="I1715" s="106" t="s">
        <v>2709</v>
      </c>
      <c r="J1715" s="100"/>
      <c r="K1715" s="84">
        <v>0</v>
      </c>
      <c r="L1715" s="84">
        <v>0</v>
      </c>
      <c r="M1715" s="83">
        <v>85</v>
      </c>
      <c r="N1715" s="223">
        <v>600</v>
      </c>
      <c r="O1715" s="314">
        <v>2</v>
      </c>
      <c r="P1715" s="223">
        <f>N1715/O1715</f>
        <v>300</v>
      </c>
      <c r="Q1715" s="223"/>
      <c r="R1715" s="102">
        <v>300</v>
      </c>
      <c r="S1715" s="83">
        <f t="shared" si="282"/>
        <v>0</v>
      </c>
      <c r="T1715" s="315">
        <f t="shared" si="283"/>
        <v>2032.9411764705883</v>
      </c>
      <c r="U1715" s="84">
        <f t="shared" si="284"/>
        <v>0</v>
      </c>
      <c r="V1715" s="84">
        <f t="shared" si="285"/>
        <v>0</v>
      </c>
      <c r="W1715" s="84">
        <v>0</v>
      </c>
      <c r="X1715" s="55">
        <f t="shared" si="280"/>
        <v>46153.00104166667</v>
      </c>
    </row>
    <row r="1716" spans="1:24" s="118" customFormat="1" hidden="1" x14ac:dyDescent="0.35">
      <c r="A1716" s="71">
        <f t="shared" si="281"/>
        <v>46153.00104166667</v>
      </c>
      <c r="B1716" s="71"/>
      <c r="C1716" s="71"/>
      <c r="D1716" s="71"/>
      <c r="E1716" s="119" t="s">
        <v>289</v>
      </c>
      <c r="F1716" s="48" t="s">
        <v>2712</v>
      </c>
      <c r="G1716" s="48"/>
      <c r="H1716" s="59" t="s">
        <v>2713</v>
      </c>
      <c r="I1716" s="82" t="s">
        <v>2698</v>
      </c>
      <c r="J1716" s="100"/>
      <c r="K1716" s="84">
        <v>0</v>
      </c>
      <c r="L1716" s="84">
        <v>0</v>
      </c>
      <c r="M1716" s="83">
        <v>120</v>
      </c>
      <c r="N1716" s="223">
        <v>2500</v>
      </c>
      <c r="O1716" s="314">
        <v>1</v>
      </c>
      <c r="P1716" s="223">
        <v>2509</v>
      </c>
      <c r="Q1716" s="223"/>
      <c r="R1716" s="102">
        <v>2509</v>
      </c>
      <c r="S1716" s="83">
        <f t="shared" si="282"/>
        <v>0</v>
      </c>
      <c r="T1716" s="315">
        <f t="shared" si="283"/>
        <v>720</v>
      </c>
      <c r="U1716" s="84">
        <f t="shared" si="284"/>
        <v>0</v>
      </c>
      <c r="V1716" s="84">
        <f t="shared" si="285"/>
        <v>0</v>
      </c>
      <c r="W1716" s="84">
        <v>0</v>
      </c>
      <c r="X1716" s="55">
        <f t="shared" si="280"/>
        <v>46153.00104166667</v>
      </c>
    </row>
    <row r="1717" spans="1:24" s="118" customFormat="1" hidden="1" x14ac:dyDescent="0.35">
      <c r="A1717" s="71">
        <f t="shared" si="281"/>
        <v>46153.00104166667</v>
      </c>
      <c r="B1717" s="71"/>
      <c r="C1717" s="71"/>
      <c r="D1717" s="71"/>
      <c r="E1717" s="119" t="s">
        <v>289</v>
      </c>
      <c r="F1717" s="48" t="s">
        <v>2712</v>
      </c>
      <c r="G1717" s="48"/>
      <c r="H1717" s="59" t="s">
        <v>2699</v>
      </c>
      <c r="I1717" s="82" t="s">
        <v>2693</v>
      </c>
      <c r="J1717" s="100"/>
      <c r="K1717" s="84">
        <v>0</v>
      </c>
      <c r="L1717" s="84">
        <v>0</v>
      </c>
      <c r="M1717" s="83">
        <v>140</v>
      </c>
      <c r="N1717" s="223">
        <v>2500</v>
      </c>
      <c r="O1717" s="314">
        <v>1</v>
      </c>
      <c r="P1717" s="223">
        <v>2572</v>
      </c>
      <c r="Q1717" s="223"/>
      <c r="R1717" s="102">
        <v>2572</v>
      </c>
      <c r="S1717" s="83">
        <f t="shared" si="282"/>
        <v>0</v>
      </c>
      <c r="T1717" s="315">
        <f t="shared" si="283"/>
        <v>617.14285714285711</v>
      </c>
      <c r="U1717" s="84">
        <f t="shared" si="284"/>
        <v>0</v>
      </c>
      <c r="V1717" s="84">
        <f t="shared" si="285"/>
        <v>0</v>
      </c>
      <c r="W1717" s="84">
        <v>0</v>
      </c>
      <c r="X1717" s="55">
        <f t="shared" si="280"/>
        <v>46153.00104166667</v>
      </c>
    </row>
    <row r="1718" spans="1:24" s="118" customFormat="1" hidden="1" x14ac:dyDescent="0.35">
      <c r="A1718" s="71">
        <f t="shared" si="281"/>
        <v>46153.00104166667</v>
      </c>
      <c r="B1718" s="71"/>
      <c r="C1718" s="71"/>
      <c r="D1718" s="71"/>
      <c r="E1718" s="119" t="s">
        <v>289</v>
      </c>
      <c r="F1718" s="56" t="s">
        <v>2714</v>
      </c>
      <c r="G1718" s="56"/>
      <c r="H1718" s="59" t="s">
        <v>2715</v>
      </c>
      <c r="I1718" s="82" t="s">
        <v>1028</v>
      </c>
      <c r="J1718" s="491"/>
      <c r="K1718" s="84">
        <v>0</v>
      </c>
      <c r="L1718" s="84">
        <v>0</v>
      </c>
      <c r="M1718" s="83">
        <v>120</v>
      </c>
      <c r="N1718" s="223">
        <v>885</v>
      </c>
      <c r="O1718" s="314">
        <v>1</v>
      </c>
      <c r="P1718" s="223">
        <f>N1718/O1718</f>
        <v>885</v>
      </c>
      <c r="Q1718" s="223"/>
      <c r="R1718" s="102">
        <v>885</v>
      </c>
      <c r="S1718" s="83">
        <f t="shared" si="282"/>
        <v>0</v>
      </c>
      <c r="T1718" s="315">
        <f t="shared" si="283"/>
        <v>720</v>
      </c>
      <c r="U1718" s="84">
        <f t="shared" si="284"/>
        <v>0</v>
      </c>
      <c r="V1718" s="84">
        <f t="shared" si="285"/>
        <v>0</v>
      </c>
      <c r="W1718" s="84">
        <v>0</v>
      </c>
      <c r="X1718" s="55">
        <f t="shared" si="280"/>
        <v>46153.00104166667</v>
      </c>
    </row>
    <row r="1719" spans="1:24" s="118" customFormat="1" hidden="1" x14ac:dyDescent="0.35">
      <c r="A1719" s="71">
        <f t="shared" si="281"/>
        <v>46153.00104166667</v>
      </c>
      <c r="B1719" s="71"/>
      <c r="C1719" s="71"/>
      <c r="D1719" s="71"/>
      <c r="E1719" s="119" t="s">
        <v>289</v>
      </c>
      <c r="F1719" s="56" t="s">
        <v>2716</v>
      </c>
      <c r="G1719" s="56"/>
      <c r="H1719" s="59" t="s">
        <v>2717</v>
      </c>
      <c r="I1719" s="82" t="s">
        <v>1028</v>
      </c>
      <c r="J1719" s="491"/>
      <c r="K1719" s="84">
        <v>0</v>
      </c>
      <c r="L1719" s="84">
        <v>0</v>
      </c>
      <c r="M1719" s="83">
        <v>120</v>
      </c>
      <c r="N1719" s="223">
        <v>657</v>
      </c>
      <c r="O1719" s="314">
        <v>1</v>
      </c>
      <c r="P1719" s="223">
        <f>N1719/O1719</f>
        <v>657</v>
      </c>
      <c r="Q1719" s="223"/>
      <c r="R1719" s="102">
        <v>657</v>
      </c>
      <c r="S1719" s="83">
        <f t="shared" si="282"/>
        <v>0</v>
      </c>
      <c r="T1719" s="315">
        <f t="shared" si="283"/>
        <v>720</v>
      </c>
      <c r="U1719" s="84">
        <f t="shared" si="284"/>
        <v>0</v>
      </c>
      <c r="V1719" s="84">
        <f t="shared" si="285"/>
        <v>0</v>
      </c>
      <c r="W1719" s="84">
        <v>0</v>
      </c>
      <c r="X1719" s="55">
        <f t="shared" si="280"/>
        <v>46153.00104166667</v>
      </c>
    </row>
    <row r="1720" spans="1:24" s="118" customFormat="1" hidden="1" x14ac:dyDescent="0.35">
      <c r="A1720" s="71">
        <f t="shared" si="281"/>
        <v>46153.00104166667</v>
      </c>
      <c r="B1720" s="71"/>
      <c r="C1720" s="71"/>
      <c r="D1720" s="71"/>
      <c r="E1720" s="119" t="s">
        <v>289</v>
      </c>
      <c r="F1720" s="56" t="s">
        <v>2716</v>
      </c>
      <c r="G1720" s="56"/>
      <c r="H1720" s="59" t="s">
        <v>2718</v>
      </c>
      <c r="I1720" s="82" t="s">
        <v>2719</v>
      </c>
      <c r="J1720" s="491"/>
      <c r="K1720" s="84">
        <v>0</v>
      </c>
      <c r="L1720" s="84">
        <v>0</v>
      </c>
      <c r="M1720" s="83">
        <v>120</v>
      </c>
      <c r="N1720" s="223">
        <v>620</v>
      </c>
      <c r="O1720" s="314">
        <v>1</v>
      </c>
      <c r="P1720" s="223">
        <f>N1720/O1720</f>
        <v>620</v>
      </c>
      <c r="Q1720" s="223"/>
      <c r="R1720" s="102">
        <v>620</v>
      </c>
      <c r="S1720" s="83">
        <f t="shared" si="282"/>
        <v>0</v>
      </c>
      <c r="T1720" s="315">
        <f t="shared" si="283"/>
        <v>720</v>
      </c>
      <c r="U1720" s="84">
        <f t="shared" si="284"/>
        <v>0</v>
      </c>
      <c r="V1720" s="84">
        <f t="shared" si="285"/>
        <v>0</v>
      </c>
      <c r="W1720" s="84">
        <v>0</v>
      </c>
      <c r="X1720" s="55">
        <f t="shared" si="280"/>
        <v>46153.00104166667</v>
      </c>
    </row>
    <row r="1721" spans="1:24" s="118" customFormat="1" hidden="1" x14ac:dyDescent="0.35">
      <c r="A1721" s="71">
        <f t="shared" si="281"/>
        <v>46153.00104166667</v>
      </c>
      <c r="B1721" s="71"/>
      <c r="C1721" s="71"/>
      <c r="D1721" s="71"/>
      <c r="E1721" s="119" t="s">
        <v>289</v>
      </c>
      <c r="F1721" s="56" t="s">
        <v>2716</v>
      </c>
      <c r="G1721" s="56"/>
      <c r="H1721" s="59" t="s">
        <v>2720</v>
      </c>
      <c r="I1721" s="82" t="s">
        <v>2721</v>
      </c>
      <c r="J1721" s="491"/>
      <c r="K1721" s="84">
        <v>0</v>
      </c>
      <c r="L1721" s="84">
        <v>0</v>
      </c>
      <c r="M1721" s="83">
        <v>120</v>
      </c>
      <c r="N1721" s="223">
        <v>478</v>
      </c>
      <c r="O1721" s="314">
        <v>1</v>
      </c>
      <c r="P1721" s="223">
        <v>480</v>
      </c>
      <c r="Q1721" s="223"/>
      <c r="R1721" s="102">
        <v>480</v>
      </c>
      <c r="S1721" s="83">
        <f t="shared" si="282"/>
        <v>0</v>
      </c>
      <c r="T1721" s="315">
        <f t="shared" si="283"/>
        <v>720</v>
      </c>
      <c r="U1721" s="84">
        <f t="shared" si="284"/>
        <v>0</v>
      </c>
      <c r="V1721" s="84">
        <f t="shared" si="285"/>
        <v>0</v>
      </c>
      <c r="W1721" s="84">
        <v>0</v>
      </c>
      <c r="X1721" s="55">
        <f t="shared" si="280"/>
        <v>46153.00104166667</v>
      </c>
    </row>
    <row r="1722" spans="1:24" s="118" customFormat="1" hidden="1" x14ac:dyDescent="0.35">
      <c r="A1722" s="71">
        <f t="shared" si="281"/>
        <v>46153.00104166667</v>
      </c>
      <c r="B1722" s="71"/>
      <c r="C1722" s="71"/>
      <c r="D1722" s="71"/>
      <c r="E1722" s="119" t="s">
        <v>289</v>
      </c>
      <c r="F1722" s="56" t="s">
        <v>2714</v>
      </c>
      <c r="G1722" s="56"/>
      <c r="H1722" s="59" t="s">
        <v>2722</v>
      </c>
      <c r="I1722" s="82" t="s">
        <v>1030</v>
      </c>
      <c r="J1722" s="491"/>
      <c r="K1722" s="84">
        <v>0</v>
      </c>
      <c r="L1722" s="84">
        <v>0</v>
      </c>
      <c r="M1722" s="83">
        <v>120</v>
      </c>
      <c r="N1722" s="223">
        <v>690</v>
      </c>
      <c r="O1722" s="314">
        <v>1</v>
      </c>
      <c r="P1722" s="223">
        <f>N1722/O1722</f>
        <v>690</v>
      </c>
      <c r="Q1722" s="223"/>
      <c r="R1722" s="102">
        <v>690</v>
      </c>
      <c r="S1722" s="83">
        <f t="shared" si="282"/>
        <v>0</v>
      </c>
      <c r="T1722" s="315">
        <f t="shared" si="283"/>
        <v>720</v>
      </c>
      <c r="U1722" s="84">
        <f t="shared" si="284"/>
        <v>0</v>
      </c>
      <c r="V1722" s="84">
        <f t="shared" si="285"/>
        <v>0</v>
      </c>
      <c r="W1722" s="84">
        <v>0</v>
      </c>
      <c r="X1722" s="55">
        <f t="shared" si="280"/>
        <v>46153.00104166667</v>
      </c>
    </row>
    <row r="1723" spans="1:24" s="118" customFormat="1" hidden="1" x14ac:dyDescent="0.35">
      <c r="A1723" s="71">
        <f t="shared" si="281"/>
        <v>46153.00104166667</v>
      </c>
      <c r="B1723" s="71"/>
      <c r="C1723" s="71"/>
      <c r="D1723" s="71"/>
      <c r="E1723" s="119" t="s">
        <v>289</v>
      </c>
      <c r="F1723" s="56" t="s">
        <v>2716</v>
      </c>
      <c r="G1723" s="56"/>
      <c r="H1723" s="59" t="s">
        <v>2723</v>
      </c>
      <c r="I1723" s="82" t="s">
        <v>1030</v>
      </c>
      <c r="J1723" s="491"/>
      <c r="K1723" s="84">
        <v>0</v>
      </c>
      <c r="L1723" s="84">
        <v>0</v>
      </c>
      <c r="M1723" s="83">
        <v>120</v>
      </c>
      <c r="N1723" s="223">
        <v>1170</v>
      </c>
      <c r="O1723" s="314">
        <v>1</v>
      </c>
      <c r="P1723" s="223">
        <v>1458</v>
      </c>
      <c r="Q1723" s="223"/>
      <c r="R1723" s="102">
        <v>1458</v>
      </c>
      <c r="S1723" s="83">
        <f t="shared" si="282"/>
        <v>0</v>
      </c>
      <c r="T1723" s="315">
        <f t="shared" si="283"/>
        <v>720</v>
      </c>
      <c r="U1723" s="84">
        <f t="shared" si="284"/>
        <v>0</v>
      </c>
      <c r="V1723" s="84">
        <f t="shared" si="285"/>
        <v>0</v>
      </c>
      <c r="W1723" s="84">
        <v>0</v>
      </c>
      <c r="X1723" s="55">
        <f t="shared" si="280"/>
        <v>46153.00104166667</v>
      </c>
    </row>
    <row r="1724" spans="1:24" s="118" customFormat="1" hidden="1" x14ac:dyDescent="0.35">
      <c r="A1724" s="71">
        <f t="shared" si="281"/>
        <v>46153.00104166667</v>
      </c>
      <c r="B1724" s="71"/>
      <c r="C1724" s="71"/>
      <c r="D1724" s="71"/>
      <c r="E1724" s="119" t="s">
        <v>289</v>
      </c>
      <c r="F1724" s="56" t="s">
        <v>2716</v>
      </c>
      <c r="G1724" s="56"/>
      <c r="H1724" s="59" t="s">
        <v>2724</v>
      </c>
      <c r="I1724" s="82" t="s">
        <v>2725</v>
      </c>
      <c r="J1724" s="491"/>
      <c r="K1724" s="84">
        <v>0</v>
      </c>
      <c r="L1724" s="84">
        <v>0</v>
      </c>
      <c r="M1724" s="83">
        <v>120</v>
      </c>
      <c r="N1724" s="223">
        <v>796</v>
      </c>
      <c r="O1724" s="314">
        <v>1</v>
      </c>
      <c r="P1724" s="223">
        <v>811</v>
      </c>
      <c r="Q1724" s="223"/>
      <c r="R1724" s="102">
        <v>811</v>
      </c>
      <c r="S1724" s="83">
        <f t="shared" si="282"/>
        <v>0</v>
      </c>
      <c r="T1724" s="315">
        <f t="shared" si="283"/>
        <v>720</v>
      </c>
      <c r="U1724" s="84">
        <f t="shared" si="284"/>
        <v>0</v>
      </c>
      <c r="V1724" s="84">
        <f t="shared" si="285"/>
        <v>0</v>
      </c>
      <c r="W1724" s="84">
        <v>0</v>
      </c>
      <c r="X1724" s="55">
        <f t="shared" si="280"/>
        <v>46153.00104166667</v>
      </c>
    </row>
    <row r="1725" spans="1:24" s="118" customFormat="1" hidden="1" x14ac:dyDescent="0.35">
      <c r="A1725" s="71">
        <f t="shared" si="281"/>
        <v>46153.00104166667</v>
      </c>
      <c r="B1725" s="71"/>
      <c r="C1725" s="71"/>
      <c r="D1725" s="71"/>
      <c r="E1725" s="119" t="s">
        <v>289</v>
      </c>
      <c r="F1725" s="56" t="s">
        <v>2716</v>
      </c>
      <c r="G1725" s="56"/>
      <c r="H1725" s="59" t="s">
        <v>2726</v>
      </c>
      <c r="I1725" s="82" t="s">
        <v>2727</v>
      </c>
      <c r="J1725" s="491"/>
      <c r="K1725" s="84">
        <v>0</v>
      </c>
      <c r="L1725" s="84">
        <v>0</v>
      </c>
      <c r="M1725" s="83">
        <v>120</v>
      </c>
      <c r="N1725" s="223">
        <v>674</v>
      </c>
      <c r="O1725" s="314">
        <v>1</v>
      </c>
      <c r="P1725" s="223">
        <v>675</v>
      </c>
      <c r="Q1725" s="223"/>
      <c r="R1725" s="102">
        <v>657</v>
      </c>
      <c r="S1725" s="83">
        <f t="shared" si="282"/>
        <v>18</v>
      </c>
      <c r="T1725" s="315">
        <f t="shared" si="283"/>
        <v>720</v>
      </c>
      <c r="U1725" s="84">
        <f t="shared" si="284"/>
        <v>0.6</v>
      </c>
      <c r="V1725" s="84">
        <f t="shared" si="285"/>
        <v>2.4999999999999998E-2</v>
      </c>
      <c r="W1725" s="84">
        <v>0</v>
      </c>
      <c r="X1725" s="55">
        <f t="shared" si="280"/>
        <v>46153.026041666672</v>
      </c>
    </row>
    <row r="1726" spans="1:24" s="118" customFormat="1" hidden="1" x14ac:dyDescent="0.35">
      <c r="A1726" s="71">
        <f t="shared" si="281"/>
        <v>46153.026041666672</v>
      </c>
      <c r="B1726" s="71"/>
      <c r="C1726" s="71"/>
      <c r="D1726" s="71"/>
      <c r="E1726" s="119" t="s">
        <v>289</v>
      </c>
      <c r="F1726" s="48" t="s">
        <v>101</v>
      </c>
      <c r="G1726" s="48"/>
      <c r="H1726" s="49" t="s">
        <v>2269</v>
      </c>
      <c r="I1726" s="82" t="s">
        <v>75</v>
      </c>
      <c r="J1726" s="100"/>
      <c r="K1726" s="84">
        <v>0</v>
      </c>
      <c r="L1726" s="84">
        <v>0</v>
      </c>
      <c r="M1726" s="83">
        <v>90</v>
      </c>
      <c r="N1726" s="223">
        <v>4100</v>
      </c>
      <c r="O1726" s="314">
        <v>1</v>
      </c>
      <c r="P1726" s="223">
        <v>4287</v>
      </c>
      <c r="Q1726" s="223"/>
      <c r="R1726" s="102">
        <v>4287</v>
      </c>
      <c r="S1726" s="83">
        <f t="shared" si="282"/>
        <v>0</v>
      </c>
      <c r="T1726" s="315">
        <f t="shared" si="283"/>
        <v>960</v>
      </c>
      <c r="U1726" s="84">
        <f t="shared" si="284"/>
        <v>0</v>
      </c>
      <c r="V1726" s="84">
        <f t="shared" si="285"/>
        <v>0</v>
      </c>
      <c r="W1726" s="84">
        <v>0</v>
      </c>
      <c r="X1726" s="55">
        <f t="shared" si="280"/>
        <v>46153.026041666672</v>
      </c>
    </row>
    <row r="1727" spans="1:24" s="118" customFormat="1" hidden="1" x14ac:dyDescent="0.35">
      <c r="A1727" s="71">
        <f t="shared" si="281"/>
        <v>46153.026041666672</v>
      </c>
      <c r="B1727" s="71"/>
      <c r="C1727" s="71"/>
      <c r="D1727" s="71"/>
      <c r="E1727" s="119" t="s">
        <v>289</v>
      </c>
      <c r="F1727" s="57" t="s">
        <v>1362</v>
      </c>
      <c r="G1727" s="57"/>
      <c r="H1727" s="49" t="s">
        <v>1321</v>
      </c>
      <c r="I1727" s="85" t="s">
        <v>2728</v>
      </c>
      <c r="J1727" s="100"/>
      <c r="K1727" s="84">
        <v>0</v>
      </c>
      <c r="L1727" s="84">
        <v>0</v>
      </c>
      <c r="M1727" s="83">
        <v>50</v>
      </c>
      <c r="N1727" s="223">
        <v>20</v>
      </c>
      <c r="O1727" s="314">
        <v>1</v>
      </c>
      <c r="P1727" s="223">
        <f>N1727/O1727</f>
        <v>20</v>
      </c>
      <c r="Q1727" s="223"/>
      <c r="R1727" s="102">
        <v>20</v>
      </c>
      <c r="S1727" s="83">
        <f t="shared" si="282"/>
        <v>0</v>
      </c>
      <c r="T1727" s="315">
        <f t="shared" si="283"/>
        <v>1728</v>
      </c>
      <c r="U1727" s="84">
        <f t="shared" si="284"/>
        <v>0</v>
      </c>
      <c r="V1727" s="84">
        <f t="shared" si="285"/>
        <v>0</v>
      </c>
      <c r="W1727" s="84">
        <v>0</v>
      </c>
      <c r="X1727" s="55">
        <f t="shared" si="280"/>
        <v>46153.026041666672</v>
      </c>
    </row>
    <row r="1728" spans="1:24" s="118" customFormat="1" ht="29" hidden="1" x14ac:dyDescent="0.35">
      <c r="A1728" s="71">
        <f t="shared" si="281"/>
        <v>46153.026041666672</v>
      </c>
      <c r="B1728" s="71"/>
      <c r="C1728" s="71"/>
      <c r="D1728" s="71"/>
      <c r="E1728" s="119" t="s">
        <v>289</v>
      </c>
      <c r="F1728" s="57" t="s">
        <v>55</v>
      </c>
      <c r="G1728" s="57"/>
      <c r="H1728" s="49" t="s">
        <v>2729</v>
      </c>
      <c r="I1728" s="106" t="s">
        <v>2707</v>
      </c>
      <c r="J1728" s="100"/>
      <c r="K1728" s="84">
        <v>0</v>
      </c>
      <c r="L1728" s="84">
        <v>0</v>
      </c>
      <c r="M1728" s="83">
        <v>90</v>
      </c>
      <c r="N1728" s="223">
        <v>800</v>
      </c>
      <c r="O1728" s="314">
        <v>1</v>
      </c>
      <c r="P1728" s="223">
        <v>802</v>
      </c>
      <c r="Q1728" s="223"/>
      <c r="R1728" s="102">
        <v>802</v>
      </c>
      <c r="S1728" s="83">
        <f t="shared" si="282"/>
        <v>0</v>
      </c>
      <c r="T1728" s="315">
        <f t="shared" si="283"/>
        <v>960</v>
      </c>
      <c r="U1728" s="84">
        <f t="shared" si="284"/>
        <v>0</v>
      </c>
      <c r="V1728" s="84">
        <f t="shared" si="285"/>
        <v>0</v>
      </c>
      <c r="W1728" s="84">
        <v>0</v>
      </c>
      <c r="X1728" s="55">
        <f t="shared" si="280"/>
        <v>46153.026041666672</v>
      </c>
    </row>
    <row r="1729" spans="1:24" s="118" customFormat="1" ht="29" hidden="1" x14ac:dyDescent="0.35">
      <c r="A1729" s="71">
        <f t="shared" si="281"/>
        <v>46153.026041666672</v>
      </c>
      <c r="B1729" s="71"/>
      <c r="C1729" s="71"/>
      <c r="D1729" s="71"/>
      <c r="E1729" s="119" t="s">
        <v>289</v>
      </c>
      <c r="F1729" s="48" t="s">
        <v>1336</v>
      </c>
      <c r="G1729" s="48"/>
      <c r="H1729" s="49" t="s">
        <v>2730</v>
      </c>
      <c r="I1729" s="82" t="s">
        <v>100</v>
      </c>
      <c r="J1729" s="100"/>
      <c r="K1729" s="84">
        <v>0</v>
      </c>
      <c r="L1729" s="84">
        <v>0</v>
      </c>
      <c r="M1729" s="83">
        <v>140</v>
      </c>
      <c r="N1729" s="223">
        <v>2397</v>
      </c>
      <c r="O1729" s="314">
        <v>1</v>
      </c>
      <c r="P1729" s="223">
        <f t="shared" ref="P1729:P1792" si="286">N1729/O1729</f>
        <v>2397</v>
      </c>
      <c r="Q1729" s="223"/>
      <c r="R1729" s="102">
        <v>2397</v>
      </c>
      <c r="S1729" s="83">
        <f t="shared" si="282"/>
        <v>0</v>
      </c>
      <c r="T1729" s="315">
        <f t="shared" si="283"/>
        <v>617.14285714285711</v>
      </c>
      <c r="U1729" s="84">
        <f t="shared" si="284"/>
        <v>0</v>
      </c>
      <c r="V1729" s="84">
        <f t="shared" si="285"/>
        <v>0</v>
      </c>
      <c r="W1729" s="84">
        <v>0</v>
      </c>
      <c r="X1729" s="55">
        <f t="shared" si="280"/>
        <v>46153.026041666672</v>
      </c>
    </row>
    <row r="1730" spans="1:24" s="118" customFormat="1" ht="29" hidden="1" x14ac:dyDescent="0.35">
      <c r="A1730" s="71">
        <f t="shared" si="281"/>
        <v>46153.026041666672</v>
      </c>
      <c r="B1730" s="71"/>
      <c r="C1730" s="71"/>
      <c r="D1730" s="71"/>
      <c r="E1730" s="119" t="s">
        <v>289</v>
      </c>
      <c r="F1730" s="48" t="s">
        <v>271</v>
      </c>
      <c r="G1730" s="48"/>
      <c r="H1730" s="49" t="s">
        <v>2731</v>
      </c>
      <c r="I1730" s="82" t="s">
        <v>716</v>
      </c>
      <c r="J1730" s="100"/>
      <c r="K1730" s="84">
        <v>0</v>
      </c>
      <c r="L1730" s="84">
        <v>0</v>
      </c>
      <c r="M1730" s="83">
        <v>97</v>
      </c>
      <c r="N1730" s="223">
        <v>3000</v>
      </c>
      <c r="O1730" s="314">
        <v>1</v>
      </c>
      <c r="P1730" s="223">
        <f t="shared" si="286"/>
        <v>3000</v>
      </c>
      <c r="Q1730" s="223"/>
      <c r="R1730" s="102">
        <v>3000</v>
      </c>
      <c r="S1730" s="83">
        <f t="shared" si="282"/>
        <v>0</v>
      </c>
      <c r="T1730" s="315">
        <f t="shared" si="283"/>
        <v>890.7216494845361</v>
      </c>
      <c r="U1730" s="84">
        <f t="shared" si="284"/>
        <v>0</v>
      </c>
      <c r="V1730" s="84">
        <f t="shared" si="285"/>
        <v>0</v>
      </c>
      <c r="W1730" s="84">
        <v>0</v>
      </c>
      <c r="X1730" s="55">
        <f t="shared" si="280"/>
        <v>46153.026041666672</v>
      </c>
    </row>
    <row r="1731" spans="1:24" s="118" customFormat="1" hidden="1" x14ac:dyDescent="0.35">
      <c r="A1731" s="71">
        <f t="shared" si="281"/>
        <v>46153.026041666672</v>
      </c>
      <c r="B1731" s="71"/>
      <c r="C1731" s="71"/>
      <c r="D1731" s="71"/>
      <c r="E1731" s="119" t="s">
        <v>289</v>
      </c>
      <c r="F1731" s="48" t="s">
        <v>1321</v>
      </c>
      <c r="G1731" s="48"/>
      <c r="H1731" s="49" t="s">
        <v>1321</v>
      </c>
      <c r="I1731" s="393" t="s">
        <v>1353</v>
      </c>
      <c r="J1731" s="100"/>
      <c r="K1731" s="84">
        <v>0</v>
      </c>
      <c r="L1731" s="84">
        <v>0</v>
      </c>
      <c r="M1731" s="83">
        <v>100</v>
      </c>
      <c r="N1731" s="223">
        <v>20</v>
      </c>
      <c r="O1731" s="314">
        <v>1</v>
      </c>
      <c r="P1731" s="223">
        <f t="shared" si="286"/>
        <v>20</v>
      </c>
      <c r="Q1731" s="223"/>
      <c r="R1731" s="102">
        <v>20</v>
      </c>
      <c r="S1731" s="83">
        <f t="shared" si="282"/>
        <v>0</v>
      </c>
      <c r="T1731" s="315">
        <f t="shared" si="283"/>
        <v>864</v>
      </c>
      <c r="U1731" s="84">
        <f t="shared" si="284"/>
        <v>0</v>
      </c>
      <c r="V1731" s="84">
        <f t="shared" si="285"/>
        <v>0</v>
      </c>
      <c r="W1731" s="84">
        <v>0</v>
      </c>
      <c r="X1731" s="55">
        <f t="shared" si="280"/>
        <v>46153.026041666672</v>
      </c>
    </row>
    <row r="1732" spans="1:24" s="118" customFormat="1" ht="29" hidden="1" x14ac:dyDescent="0.35">
      <c r="A1732" s="71">
        <f t="shared" si="281"/>
        <v>46153.026041666672</v>
      </c>
      <c r="B1732" s="71"/>
      <c r="C1732" s="71"/>
      <c r="D1732" s="71"/>
      <c r="E1732" s="119" t="s">
        <v>289</v>
      </c>
      <c r="F1732" s="48" t="s">
        <v>2732</v>
      </c>
      <c r="G1732" s="48"/>
      <c r="H1732" s="49" t="s">
        <v>2733</v>
      </c>
      <c r="I1732" s="82" t="s">
        <v>1617</v>
      </c>
      <c r="J1732" s="100" t="s">
        <v>140</v>
      </c>
      <c r="K1732" s="84">
        <v>0</v>
      </c>
      <c r="L1732" s="84">
        <v>0</v>
      </c>
      <c r="M1732" s="83">
        <v>180</v>
      </c>
      <c r="N1732" s="223">
        <v>420</v>
      </c>
      <c r="O1732" s="314">
        <v>1</v>
      </c>
      <c r="P1732" s="223">
        <f t="shared" si="286"/>
        <v>420</v>
      </c>
      <c r="Q1732" s="223"/>
      <c r="R1732" s="102">
        <v>420</v>
      </c>
      <c r="S1732" s="83">
        <f t="shared" si="282"/>
        <v>0</v>
      </c>
      <c r="T1732" s="315">
        <f t="shared" si="283"/>
        <v>480</v>
      </c>
      <c r="U1732" s="84">
        <f t="shared" si="284"/>
        <v>0</v>
      </c>
      <c r="V1732" s="84">
        <f t="shared" si="285"/>
        <v>0</v>
      </c>
      <c r="W1732" s="84">
        <v>0</v>
      </c>
      <c r="X1732" s="55">
        <f t="shared" si="280"/>
        <v>46153.026041666672</v>
      </c>
    </row>
    <row r="1733" spans="1:24" s="118" customFormat="1" hidden="1" x14ac:dyDescent="0.35">
      <c r="A1733" s="71">
        <f t="shared" si="281"/>
        <v>46153.026041666672</v>
      </c>
      <c r="B1733" s="71"/>
      <c r="C1733" s="71"/>
      <c r="D1733" s="71"/>
      <c r="E1733" s="119" t="s">
        <v>289</v>
      </c>
      <c r="F1733" s="48" t="s">
        <v>144</v>
      </c>
      <c r="G1733" s="48"/>
      <c r="H1733" s="49" t="s">
        <v>2734</v>
      </c>
      <c r="I1733" s="85" t="s">
        <v>2354</v>
      </c>
      <c r="J1733" s="100" t="s">
        <v>140</v>
      </c>
      <c r="K1733" s="84">
        <v>0</v>
      </c>
      <c r="L1733" s="84">
        <v>0</v>
      </c>
      <c r="M1733" s="83">
        <v>70</v>
      </c>
      <c r="N1733" s="223">
        <v>800</v>
      </c>
      <c r="O1733" s="314">
        <v>1</v>
      </c>
      <c r="P1733" s="223">
        <f t="shared" si="286"/>
        <v>800</v>
      </c>
      <c r="Q1733" s="223"/>
      <c r="R1733" s="102">
        <v>800</v>
      </c>
      <c r="S1733" s="83">
        <f t="shared" si="282"/>
        <v>0</v>
      </c>
      <c r="T1733" s="315">
        <f t="shared" si="283"/>
        <v>1234.2857142857142</v>
      </c>
      <c r="U1733" s="84">
        <f t="shared" si="284"/>
        <v>0</v>
      </c>
      <c r="V1733" s="84">
        <f t="shared" si="285"/>
        <v>0</v>
      </c>
      <c r="W1733" s="84">
        <v>0</v>
      </c>
      <c r="X1733" s="55">
        <f t="shared" si="280"/>
        <v>46153.026041666672</v>
      </c>
    </row>
    <row r="1734" spans="1:24" s="118" customFormat="1" ht="29" hidden="1" x14ac:dyDescent="0.35">
      <c r="A1734" s="71">
        <f t="shared" si="281"/>
        <v>46153.026041666672</v>
      </c>
      <c r="B1734" s="71"/>
      <c r="C1734" s="71"/>
      <c r="D1734" s="71"/>
      <c r="E1734" s="119" t="s">
        <v>289</v>
      </c>
      <c r="F1734" s="48" t="s">
        <v>2735</v>
      </c>
      <c r="G1734" s="48"/>
      <c r="H1734" s="59" t="s">
        <v>2736</v>
      </c>
      <c r="I1734" s="82" t="s">
        <v>1414</v>
      </c>
      <c r="J1734" s="100" t="s">
        <v>140</v>
      </c>
      <c r="K1734" s="84">
        <v>0</v>
      </c>
      <c r="L1734" s="84">
        <v>0</v>
      </c>
      <c r="M1734" s="83">
        <v>120</v>
      </c>
      <c r="N1734" s="223">
        <v>1300</v>
      </c>
      <c r="O1734" s="314">
        <v>1</v>
      </c>
      <c r="P1734" s="223">
        <f t="shared" si="286"/>
        <v>1300</v>
      </c>
      <c r="Q1734" s="223"/>
      <c r="R1734" s="102">
        <v>1300</v>
      </c>
      <c r="S1734" s="83">
        <f t="shared" si="282"/>
        <v>0</v>
      </c>
      <c r="T1734" s="315">
        <f t="shared" si="283"/>
        <v>720</v>
      </c>
      <c r="U1734" s="84">
        <f t="shared" si="284"/>
        <v>0</v>
      </c>
      <c r="V1734" s="84">
        <f t="shared" si="285"/>
        <v>0</v>
      </c>
      <c r="W1734" s="84">
        <v>0</v>
      </c>
      <c r="X1734" s="55">
        <f t="shared" si="280"/>
        <v>46153.026041666672</v>
      </c>
    </row>
    <row r="1735" spans="1:24" s="118" customFormat="1" ht="29" hidden="1" x14ac:dyDescent="0.35">
      <c r="A1735" s="71">
        <f t="shared" si="281"/>
        <v>46153.026041666672</v>
      </c>
      <c r="B1735" s="71"/>
      <c r="C1735" s="71"/>
      <c r="D1735" s="71"/>
      <c r="E1735" s="119" t="s">
        <v>289</v>
      </c>
      <c r="F1735" s="48" t="s">
        <v>1689</v>
      </c>
      <c r="G1735" s="48"/>
      <c r="H1735" s="59" t="s">
        <v>2737</v>
      </c>
      <c r="I1735" s="82" t="s">
        <v>1414</v>
      </c>
      <c r="J1735" s="100" t="s">
        <v>140</v>
      </c>
      <c r="K1735" s="84">
        <v>0</v>
      </c>
      <c r="L1735" s="84">
        <v>0</v>
      </c>
      <c r="M1735" s="83">
        <v>120</v>
      </c>
      <c r="N1735" s="223">
        <v>1500</v>
      </c>
      <c r="O1735" s="314">
        <v>1</v>
      </c>
      <c r="P1735" s="223">
        <f t="shared" si="286"/>
        <v>1500</v>
      </c>
      <c r="Q1735" s="223"/>
      <c r="R1735" s="102">
        <v>1500</v>
      </c>
      <c r="S1735" s="83">
        <f t="shared" si="282"/>
        <v>0</v>
      </c>
      <c r="T1735" s="315">
        <f t="shared" si="283"/>
        <v>720</v>
      </c>
      <c r="U1735" s="84">
        <f t="shared" si="284"/>
        <v>0</v>
      </c>
      <c r="V1735" s="84">
        <f t="shared" si="285"/>
        <v>0</v>
      </c>
      <c r="W1735" s="84">
        <v>0</v>
      </c>
      <c r="X1735" s="55">
        <f t="shared" si="280"/>
        <v>46153.026041666672</v>
      </c>
    </row>
    <row r="1736" spans="1:24" s="118" customFormat="1" ht="29" hidden="1" x14ac:dyDescent="0.35">
      <c r="A1736" s="71">
        <f t="shared" si="281"/>
        <v>46153.026041666672</v>
      </c>
      <c r="B1736" s="71"/>
      <c r="C1736" s="71"/>
      <c r="D1736" s="71"/>
      <c r="E1736" s="119" t="s">
        <v>289</v>
      </c>
      <c r="F1736" s="48" t="s">
        <v>468</v>
      </c>
      <c r="G1736" s="48"/>
      <c r="H1736" s="49" t="s">
        <v>2738</v>
      </c>
      <c r="I1736" s="82" t="s">
        <v>1187</v>
      </c>
      <c r="J1736" s="100" t="s">
        <v>140</v>
      </c>
      <c r="K1736" s="84">
        <v>0</v>
      </c>
      <c r="L1736" s="84">
        <v>0</v>
      </c>
      <c r="M1736" s="83">
        <v>120</v>
      </c>
      <c r="N1736" s="223">
        <v>2880</v>
      </c>
      <c r="O1736" s="314">
        <v>4</v>
      </c>
      <c r="P1736" s="223">
        <f t="shared" si="286"/>
        <v>720</v>
      </c>
      <c r="Q1736" s="223"/>
      <c r="R1736" s="102">
        <v>720</v>
      </c>
      <c r="S1736" s="83">
        <f t="shared" si="282"/>
        <v>0</v>
      </c>
      <c r="T1736" s="315">
        <f t="shared" si="283"/>
        <v>2880</v>
      </c>
      <c r="U1736" s="84">
        <f t="shared" si="284"/>
        <v>0</v>
      </c>
      <c r="V1736" s="84">
        <f t="shared" si="285"/>
        <v>0</v>
      </c>
      <c r="W1736" s="84">
        <v>0</v>
      </c>
      <c r="X1736" s="55">
        <f t="shared" si="280"/>
        <v>46153.026041666672</v>
      </c>
    </row>
    <row r="1737" spans="1:24" hidden="1" x14ac:dyDescent="0.35">
      <c r="A1737" s="71">
        <f t="shared" si="281"/>
        <v>46153.026041666672</v>
      </c>
      <c r="B1737" s="71"/>
      <c r="C1737" s="71"/>
      <c r="D1737" s="71"/>
      <c r="E1737" s="47" t="s">
        <v>289</v>
      </c>
      <c r="F1737" s="222" t="s">
        <v>271</v>
      </c>
      <c r="G1737" s="222"/>
      <c r="H1737" s="86" t="s">
        <v>2739</v>
      </c>
      <c r="I1737" s="104" t="s">
        <v>804</v>
      </c>
      <c r="J1737" s="51" t="s">
        <v>140</v>
      </c>
      <c r="K1737" s="84">
        <v>0</v>
      </c>
      <c r="L1737" s="84">
        <v>0</v>
      </c>
      <c r="M1737" s="53">
        <v>95</v>
      </c>
      <c r="N1737" s="54">
        <v>7710</v>
      </c>
      <c r="O1737" s="341">
        <v>1</v>
      </c>
      <c r="P1737" s="54">
        <f t="shared" si="286"/>
        <v>7710</v>
      </c>
      <c r="Q1737" s="54"/>
      <c r="R1737" s="92">
        <v>7710</v>
      </c>
      <c r="S1737" s="53">
        <f t="shared" si="282"/>
        <v>0</v>
      </c>
      <c r="T1737" s="343">
        <f t="shared" si="283"/>
        <v>909.47368421052624</v>
      </c>
      <c r="U1737" s="52">
        <f t="shared" si="284"/>
        <v>0</v>
      </c>
      <c r="V1737" s="52">
        <f t="shared" si="285"/>
        <v>0</v>
      </c>
      <c r="W1737" s="52">
        <v>0</v>
      </c>
      <c r="X1737" s="55">
        <f t="shared" si="280"/>
        <v>46153.026041666672</v>
      </c>
    </row>
    <row r="1738" spans="1:24" s="118" customFormat="1" ht="29" hidden="1" x14ac:dyDescent="0.35">
      <c r="A1738" s="71">
        <f t="shared" si="281"/>
        <v>46153.026041666672</v>
      </c>
      <c r="B1738" s="71"/>
      <c r="C1738" s="71"/>
      <c r="D1738" s="71"/>
      <c r="E1738" s="119" t="s">
        <v>289</v>
      </c>
      <c r="F1738" s="48" t="s">
        <v>177</v>
      </c>
      <c r="G1738" s="48"/>
      <c r="H1738" s="59" t="s">
        <v>2740</v>
      </c>
      <c r="I1738" s="82" t="s">
        <v>198</v>
      </c>
      <c r="J1738" s="100" t="s">
        <v>140</v>
      </c>
      <c r="K1738" s="84">
        <v>0</v>
      </c>
      <c r="L1738" s="84">
        <v>0</v>
      </c>
      <c r="M1738" s="83">
        <v>190</v>
      </c>
      <c r="N1738" s="223">
        <v>1304</v>
      </c>
      <c r="O1738" s="314">
        <v>1</v>
      </c>
      <c r="P1738" s="223">
        <f t="shared" si="286"/>
        <v>1304</v>
      </c>
      <c r="Q1738" s="223"/>
      <c r="R1738" s="102">
        <v>1304</v>
      </c>
      <c r="S1738" s="83">
        <f t="shared" si="282"/>
        <v>0</v>
      </c>
      <c r="T1738" s="315">
        <f t="shared" si="283"/>
        <v>454.73684210526312</v>
      </c>
      <c r="U1738" s="84">
        <f t="shared" si="284"/>
        <v>0</v>
      </c>
      <c r="V1738" s="84">
        <f t="shared" si="285"/>
        <v>0</v>
      </c>
      <c r="W1738" s="84">
        <v>0</v>
      </c>
      <c r="X1738" s="55">
        <f t="shared" si="280"/>
        <v>46153.026041666672</v>
      </c>
    </row>
    <row r="1739" spans="1:24" s="118" customFormat="1" hidden="1" x14ac:dyDescent="0.35">
      <c r="A1739" s="71">
        <f t="shared" si="281"/>
        <v>46153.026041666672</v>
      </c>
      <c r="B1739" s="71"/>
      <c r="C1739" s="71"/>
      <c r="D1739" s="71"/>
      <c r="E1739" s="496" t="s">
        <v>289</v>
      </c>
      <c r="F1739" s="577" t="s">
        <v>1321</v>
      </c>
      <c r="G1739" s="577"/>
      <c r="H1739" s="578" t="s">
        <v>1321</v>
      </c>
      <c r="I1739" s="297" t="s">
        <v>2741</v>
      </c>
      <c r="J1739" s="300" t="s">
        <v>140</v>
      </c>
      <c r="K1739" s="84">
        <v>0</v>
      </c>
      <c r="L1739" s="84">
        <v>0</v>
      </c>
      <c r="M1739" s="579">
        <v>97</v>
      </c>
      <c r="N1739" s="580">
        <v>20</v>
      </c>
      <c r="O1739" s="581">
        <v>1</v>
      </c>
      <c r="P1739" s="580">
        <f t="shared" si="286"/>
        <v>20</v>
      </c>
      <c r="Q1739" s="580"/>
      <c r="R1739" s="302">
        <v>20</v>
      </c>
      <c r="S1739" s="579">
        <f t="shared" si="282"/>
        <v>0</v>
      </c>
      <c r="T1739" s="582">
        <f t="shared" si="283"/>
        <v>890.7216494845361</v>
      </c>
      <c r="U1739" s="583">
        <f t="shared" si="284"/>
        <v>0</v>
      </c>
      <c r="V1739" s="583">
        <f t="shared" si="285"/>
        <v>0</v>
      </c>
      <c r="W1739" s="583">
        <v>0</v>
      </c>
      <c r="X1739" s="55">
        <f t="shared" si="280"/>
        <v>46153.026041666672</v>
      </c>
    </row>
    <row r="1740" spans="1:24" hidden="1" x14ac:dyDescent="0.35">
      <c r="A1740" s="71">
        <f t="shared" si="281"/>
        <v>46153.026041666672</v>
      </c>
      <c r="B1740" s="71"/>
      <c r="C1740" s="71"/>
      <c r="D1740" s="71"/>
      <c r="E1740" s="47" t="s">
        <v>289</v>
      </c>
      <c r="F1740" s="48" t="s">
        <v>2742</v>
      </c>
      <c r="G1740" s="48"/>
      <c r="H1740" s="49" t="s">
        <v>2353</v>
      </c>
      <c r="I1740" s="85" t="s">
        <v>2743</v>
      </c>
      <c r="J1740" s="51" t="s">
        <v>140</v>
      </c>
      <c r="K1740" s="84">
        <v>0</v>
      </c>
      <c r="L1740" s="84">
        <v>0</v>
      </c>
      <c r="M1740" s="53">
        <v>70</v>
      </c>
      <c r="N1740" s="54">
        <v>500</v>
      </c>
      <c r="O1740" s="341">
        <v>1</v>
      </c>
      <c r="P1740" s="54">
        <f t="shared" si="286"/>
        <v>500</v>
      </c>
      <c r="Q1740" s="54"/>
      <c r="R1740" s="92">
        <v>500</v>
      </c>
      <c r="S1740" s="53">
        <f t="shared" si="282"/>
        <v>0</v>
      </c>
      <c r="T1740" s="343">
        <f t="shared" si="283"/>
        <v>1234.2857142857142</v>
      </c>
      <c r="U1740" s="52">
        <f t="shared" si="284"/>
        <v>0</v>
      </c>
      <c r="V1740" s="52">
        <f t="shared" si="285"/>
        <v>0</v>
      </c>
      <c r="W1740" s="52">
        <v>0</v>
      </c>
      <c r="X1740" s="55">
        <f t="shared" si="280"/>
        <v>46153.026041666672</v>
      </c>
    </row>
    <row r="1741" spans="1:24" s="118" customFormat="1" ht="29" hidden="1" x14ac:dyDescent="0.35">
      <c r="A1741" s="71">
        <f t="shared" si="281"/>
        <v>46153.026041666672</v>
      </c>
      <c r="B1741" s="71"/>
      <c r="C1741" s="71"/>
      <c r="D1741" s="71"/>
      <c r="E1741" s="119" t="s">
        <v>289</v>
      </c>
      <c r="F1741" s="48" t="s">
        <v>1031</v>
      </c>
      <c r="G1741" s="48"/>
      <c r="H1741" s="59" t="s">
        <v>2744</v>
      </c>
      <c r="I1741" s="82" t="s">
        <v>1414</v>
      </c>
      <c r="J1741" s="100" t="s">
        <v>140</v>
      </c>
      <c r="K1741" s="84">
        <v>0</v>
      </c>
      <c r="L1741" s="84">
        <v>0</v>
      </c>
      <c r="M1741" s="83">
        <v>120</v>
      </c>
      <c r="N1741" s="223">
        <v>1000</v>
      </c>
      <c r="O1741" s="314">
        <v>1</v>
      </c>
      <c r="P1741" s="223">
        <f t="shared" si="286"/>
        <v>1000</v>
      </c>
      <c r="Q1741" s="223"/>
      <c r="R1741" s="102">
        <v>1000</v>
      </c>
      <c r="S1741" s="83">
        <f t="shared" si="282"/>
        <v>0</v>
      </c>
      <c r="T1741" s="315">
        <f t="shared" si="283"/>
        <v>720</v>
      </c>
      <c r="U1741" s="84">
        <f t="shared" si="284"/>
        <v>0</v>
      </c>
      <c r="V1741" s="84">
        <f t="shared" si="285"/>
        <v>0</v>
      </c>
      <c r="W1741" s="84">
        <v>0</v>
      </c>
      <c r="X1741" s="55">
        <f t="shared" si="280"/>
        <v>46153.026041666672</v>
      </c>
    </row>
    <row r="1742" spans="1:24" s="118" customFormat="1" ht="29" hidden="1" x14ac:dyDescent="0.35">
      <c r="A1742" s="71">
        <f t="shared" si="281"/>
        <v>46153.026041666672</v>
      </c>
      <c r="B1742" s="71"/>
      <c r="C1742" s="71"/>
      <c r="D1742" s="71"/>
      <c r="E1742" s="119" t="s">
        <v>289</v>
      </c>
      <c r="F1742" s="57" t="s">
        <v>1084</v>
      </c>
      <c r="G1742" s="57"/>
      <c r="H1742" s="49" t="s">
        <v>2745</v>
      </c>
      <c r="I1742" s="220" t="s">
        <v>222</v>
      </c>
      <c r="J1742" s="100" t="s">
        <v>140</v>
      </c>
      <c r="K1742" s="84">
        <v>0</v>
      </c>
      <c r="L1742" s="84">
        <v>0</v>
      </c>
      <c r="M1742" s="83">
        <v>95</v>
      </c>
      <c r="N1742" s="223">
        <v>1500</v>
      </c>
      <c r="O1742" s="314">
        <v>1</v>
      </c>
      <c r="P1742" s="223">
        <f t="shared" si="286"/>
        <v>1500</v>
      </c>
      <c r="Q1742" s="223"/>
      <c r="R1742" s="102">
        <v>1500</v>
      </c>
      <c r="S1742" s="83">
        <f t="shared" si="282"/>
        <v>0</v>
      </c>
      <c r="T1742" s="315">
        <f t="shared" si="283"/>
        <v>909.47368421052624</v>
      </c>
      <c r="U1742" s="84">
        <f t="shared" si="284"/>
        <v>0</v>
      </c>
      <c r="V1742" s="84">
        <f t="shared" si="285"/>
        <v>0</v>
      </c>
      <c r="W1742" s="84">
        <v>0</v>
      </c>
      <c r="X1742" s="55">
        <f t="shared" si="280"/>
        <v>46153.026041666672</v>
      </c>
    </row>
    <row r="1743" spans="1:24" s="118" customFormat="1" hidden="1" x14ac:dyDescent="0.35">
      <c r="A1743" s="71">
        <f t="shared" si="281"/>
        <v>46153.026041666672</v>
      </c>
      <c r="B1743" s="71"/>
      <c r="C1743" s="71"/>
      <c r="D1743" s="71"/>
      <c r="E1743" s="119" t="s">
        <v>249</v>
      </c>
      <c r="F1743" s="57" t="s">
        <v>2746</v>
      </c>
      <c r="G1743" s="57"/>
      <c r="H1743" s="59" t="s">
        <v>2747</v>
      </c>
      <c r="I1743" s="82" t="s">
        <v>2748</v>
      </c>
      <c r="J1743" s="100" t="s">
        <v>140</v>
      </c>
      <c r="K1743" s="84">
        <v>0</v>
      </c>
      <c r="L1743" s="84">
        <v>0</v>
      </c>
      <c r="M1743" s="83">
        <v>200</v>
      </c>
      <c r="N1743" s="223">
        <v>1000</v>
      </c>
      <c r="O1743" s="314">
        <v>1</v>
      </c>
      <c r="P1743" s="223">
        <f t="shared" si="286"/>
        <v>1000</v>
      </c>
      <c r="Q1743" s="223"/>
      <c r="R1743" s="102">
        <v>1000</v>
      </c>
      <c r="S1743" s="83">
        <f t="shared" si="282"/>
        <v>0</v>
      </c>
      <c r="T1743" s="315">
        <f t="shared" si="283"/>
        <v>432</v>
      </c>
      <c r="U1743" s="84">
        <f t="shared" si="284"/>
        <v>0</v>
      </c>
      <c r="V1743" s="84">
        <f t="shared" si="285"/>
        <v>0</v>
      </c>
      <c r="W1743" s="84">
        <v>0</v>
      </c>
      <c r="X1743" s="55">
        <f t="shared" si="280"/>
        <v>46153.026041666672</v>
      </c>
    </row>
    <row r="1744" spans="1:24" s="118" customFormat="1" ht="29" hidden="1" x14ac:dyDescent="0.35">
      <c r="A1744" s="71">
        <f t="shared" si="281"/>
        <v>46153.026041666672</v>
      </c>
      <c r="B1744" s="71"/>
      <c r="C1744" s="71"/>
      <c r="D1744" s="71"/>
      <c r="E1744" s="119" t="s">
        <v>195</v>
      </c>
      <c r="F1744" s="48" t="s">
        <v>1738</v>
      </c>
      <c r="G1744" s="48"/>
      <c r="H1744" s="59" t="s">
        <v>2749</v>
      </c>
      <c r="I1744" s="82" t="s">
        <v>1414</v>
      </c>
      <c r="J1744" s="100" t="s">
        <v>140</v>
      </c>
      <c r="K1744" s="84">
        <v>0</v>
      </c>
      <c r="L1744" s="84">
        <v>0</v>
      </c>
      <c r="M1744" s="83">
        <v>200</v>
      </c>
      <c r="N1744" s="223">
        <v>1500</v>
      </c>
      <c r="O1744" s="314">
        <v>1</v>
      </c>
      <c r="P1744" s="223">
        <f t="shared" si="286"/>
        <v>1500</v>
      </c>
      <c r="Q1744" s="223"/>
      <c r="R1744" s="102">
        <v>1500</v>
      </c>
      <c r="S1744" s="83">
        <f t="shared" si="282"/>
        <v>0</v>
      </c>
      <c r="T1744" s="315">
        <f t="shared" si="283"/>
        <v>432</v>
      </c>
      <c r="U1744" s="84">
        <f t="shared" si="284"/>
        <v>0</v>
      </c>
      <c r="V1744" s="84">
        <f t="shared" si="285"/>
        <v>0</v>
      </c>
      <c r="W1744" s="84">
        <v>0</v>
      </c>
      <c r="X1744" s="55">
        <f t="shared" si="280"/>
        <v>46153.026041666672</v>
      </c>
    </row>
    <row r="1745" spans="1:24" s="118" customFormat="1" ht="29" hidden="1" x14ac:dyDescent="0.35">
      <c r="A1745" s="71">
        <f t="shared" si="281"/>
        <v>46153.026041666672</v>
      </c>
      <c r="B1745" s="71"/>
      <c r="C1745" s="71"/>
      <c r="D1745" s="71"/>
      <c r="E1745" s="119" t="s">
        <v>289</v>
      </c>
      <c r="F1745" s="48" t="s">
        <v>1738</v>
      </c>
      <c r="G1745" s="48"/>
      <c r="H1745" s="59" t="s">
        <v>2750</v>
      </c>
      <c r="I1745" s="82" t="s">
        <v>198</v>
      </c>
      <c r="J1745" s="100" t="s">
        <v>140</v>
      </c>
      <c r="K1745" s="84">
        <v>0</v>
      </c>
      <c r="L1745" s="84">
        <v>0</v>
      </c>
      <c r="M1745" s="83">
        <v>190</v>
      </c>
      <c r="N1745" s="223">
        <v>1500</v>
      </c>
      <c r="O1745" s="314">
        <v>1</v>
      </c>
      <c r="P1745" s="223">
        <f t="shared" si="286"/>
        <v>1500</v>
      </c>
      <c r="Q1745" s="223"/>
      <c r="R1745" s="102">
        <v>1500</v>
      </c>
      <c r="S1745" s="83">
        <f t="shared" si="282"/>
        <v>0</v>
      </c>
      <c r="T1745" s="315">
        <f t="shared" si="283"/>
        <v>454.73684210526312</v>
      </c>
      <c r="U1745" s="84">
        <f t="shared" si="284"/>
        <v>0</v>
      </c>
      <c r="V1745" s="84">
        <f t="shared" si="285"/>
        <v>0</v>
      </c>
      <c r="W1745" s="84">
        <v>0</v>
      </c>
      <c r="X1745" s="55">
        <f t="shared" si="280"/>
        <v>46153.026041666672</v>
      </c>
    </row>
    <row r="1746" spans="1:24" s="229" customFormat="1" hidden="1" x14ac:dyDescent="0.35">
      <c r="A1746" s="71">
        <f t="shared" si="281"/>
        <v>46153.026041666672</v>
      </c>
      <c r="B1746" s="71"/>
      <c r="C1746" s="71"/>
      <c r="D1746" s="71"/>
      <c r="E1746" s="119" t="s">
        <v>289</v>
      </c>
      <c r="F1746" s="56" t="s">
        <v>1742</v>
      </c>
      <c r="G1746" s="56"/>
      <c r="H1746" s="59" t="s">
        <v>2751</v>
      </c>
      <c r="I1746" s="82" t="s">
        <v>1030</v>
      </c>
      <c r="J1746" s="100" t="s">
        <v>140</v>
      </c>
      <c r="K1746" s="84">
        <v>0</v>
      </c>
      <c r="L1746" s="84">
        <v>0</v>
      </c>
      <c r="M1746" s="83">
        <v>120</v>
      </c>
      <c r="N1746" s="223">
        <v>1000</v>
      </c>
      <c r="O1746" s="314">
        <v>1</v>
      </c>
      <c r="P1746" s="223">
        <f t="shared" si="286"/>
        <v>1000</v>
      </c>
      <c r="Q1746" s="223"/>
      <c r="R1746" s="102">
        <v>1000</v>
      </c>
      <c r="S1746" s="83">
        <f t="shared" si="282"/>
        <v>0</v>
      </c>
      <c r="T1746" s="315">
        <f t="shared" si="283"/>
        <v>720</v>
      </c>
      <c r="U1746" s="84">
        <f t="shared" si="284"/>
        <v>0</v>
      </c>
      <c r="V1746" s="84">
        <f t="shared" si="285"/>
        <v>0</v>
      </c>
      <c r="W1746" s="84">
        <v>0</v>
      </c>
      <c r="X1746" s="55">
        <f t="shared" si="280"/>
        <v>46153.026041666672</v>
      </c>
    </row>
    <row r="1747" spans="1:24" s="229" customFormat="1" ht="29" hidden="1" x14ac:dyDescent="0.35">
      <c r="A1747" s="71">
        <f t="shared" si="281"/>
        <v>46153.026041666672</v>
      </c>
      <c r="B1747" s="71"/>
      <c r="C1747" s="71"/>
      <c r="D1747" s="71"/>
      <c r="E1747" s="119" t="s">
        <v>289</v>
      </c>
      <c r="F1747" s="48" t="s">
        <v>2752</v>
      </c>
      <c r="G1747" s="48"/>
      <c r="H1747" s="49" t="s">
        <v>2753</v>
      </c>
      <c r="I1747" s="82" t="s">
        <v>2754</v>
      </c>
      <c r="J1747" s="100" t="s">
        <v>140</v>
      </c>
      <c r="K1747" s="84">
        <v>0</v>
      </c>
      <c r="L1747" s="84">
        <v>0</v>
      </c>
      <c r="M1747" s="83">
        <v>180</v>
      </c>
      <c r="N1747" s="223">
        <v>346</v>
      </c>
      <c r="O1747" s="314">
        <v>1</v>
      </c>
      <c r="P1747" s="223">
        <f t="shared" si="286"/>
        <v>346</v>
      </c>
      <c r="Q1747" s="223"/>
      <c r="R1747" s="102">
        <v>346</v>
      </c>
      <c r="S1747" s="83">
        <f t="shared" si="282"/>
        <v>0</v>
      </c>
      <c r="T1747" s="315">
        <f t="shared" si="283"/>
        <v>480</v>
      </c>
      <c r="U1747" s="84">
        <f t="shared" si="284"/>
        <v>0</v>
      </c>
      <c r="V1747" s="84">
        <f t="shared" si="285"/>
        <v>0</v>
      </c>
      <c r="W1747" s="84">
        <v>0</v>
      </c>
      <c r="X1747" s="55">
        <f t="shared" si="280"/>
        <v>46153.026041666672</v>
      </c>
    </row>
    <row r="1748" spans="1:24" s="229" customFormat="1" ht="29" hidden="1" x14ac:dyDescent="0.35">
      <c r="A1748" s="71">
        <f t="shared" si="281"/>
        <v>46153.026041666672</v>
      </c>
      <c r="B1748" s="71"/>
      <c r="C1748" s="71"/>
      <c r="D1748" s="71"/>
      <c r="E1748" s="119" t="s">
        <v>289</v>
      </c>
      <c r="F1748" s="48" t="s">
        <v>271</v>
      </c>
      <c r="G1748" s="48"/>
      <c r="H1748" s="49" t="s">
        <v>2755</v>
      </c>
      <c r="I1748" s="82" t="s">
        <v>716</v>
      </c>
      <c r="J1748" s="100" t="s">
        <v>140</v>
      </c>
      <c r="K1748" s="84">
        <v>0</v>
      </c>
      <c r="L1748" s="84">
        <v>0</v>
      </c>
      <c r="M1748" s="83">
        <v>97</v>
      </c>
      <c r="N1748" s="223">
        <v>4000</v>
      </c>
      <c r="O1748" s="314">
        <v>1</v>
      </c>
      <c r="P1748" s="223">
        <f t="shared" si="286"/>
        <v>4000</v>
      </c>
      <c r="Q1748" s="223"/>
      <c r="R1748" s="102">
        <v>4000</v>
      </c>
      <c r="S1748" s="83">
        <f t="shared" si="282"/>
        <v>0</v>
      </c>
      <c r="T1748" s="315">
        <f t="shared" si="283"/>
        <v>890.7216494845361</v>
      </c>
      <c r="U1748" s="84">
        <f t="shared" si="284"/>
        <v>0</v>
      </c>
      <c r="V1748" s="84">
        <f t="shared" si="285"/>
        <v>0</v>
      </c>
      <c r="W1748" s="84">
        <v>0</v>
      </c>
      <c r="X1748" s="55">
        <f t="shared" si="280"/>
        <v>46153.026041666672</v>
      </c>
    </row>
    <row r="1749" spans="1:24" s="229" customFormat="1" hidden="1" x14ac:dyDescent="0.35">
      <c r="A1749" s="71">
        <f t="shared" si="281"/>
        <v>46153.026041666672</v>
      </c>
      <c r="B1749" s="71"/>
      <c r="C1749" s="71"/>
      <c r="D1749" s="71"/>
      <c r="E1749" s="119" t="s">
        <v>289</v>
      </c>
      <c r="F1749" s="82" t="s">
        <v>271</v>
      </c>
      <c r="G1749" s="82"/>
      <c r="H1749" s="98" t="s">
        <v>2756</v>
      </c>
      <c r="I1749" s="82" t="s">
        <v>716</v>
      </c>
      <c r="J1749" s="100" t="s">
        <v>140</v>
      </c>
      <c r="K1749" s="84">
        <v>0</v>
      </c>
      <c r="L1749" s="84">
        <v>0</v>
      </c>
      <c r="M1749" s="102">
        <v>97</v>
      </c>
      <c r="N1749" s="103">
        <v>1600</v>
      </c>
      <c r="O1749" s="171">
        <v>1</v>
      </c>
      <c r="P1749" s="103">
        <f t="shared" si="286"/>
        <v>1600</v>
      </c>
      <c r="Q1749" s="103"/>
      <c r="R1749" s="102">
        <v>1600</v>
      </c>
      <c r="S1749" s="102">
        <f t="shared" si="282"/>
        <v>0</v>
      </c>
      <c r="T1749" s="173">
        <f t="shared" si="283"/>
        <v>890.7216494845361</v>
      </c>
      <c r="U1749" s="101">
        <f t="shared" si="284"/>
        <v>0</v>
      </c>
      <c r="V1749" s="101">
        <f t="shared" si="285"/>
        <v>0</v>
      </c>
      <c r="W1749" s="101">
        <v>0</v>
      </c>
      <c r="X1749" s="55">
        <f t="shared" si="280"/>
        <v>46153.026041666672</v>
      </c>
    </row>
    <row r="1750" spans="1:24" hidden="1" x14ac:dyDescent="0.35">
      <c r="A1750" s="71">
        <f t="shared" si="281"/>
        <v>46153.026041666672</v>
      </c>
      <c r="B1750" s="71"/>
      <c r="C1750" s="71"/>
      <c r="D1750" s="71"/>
      <c r="E1750" s="119" t="s">
        <v>289</v>
      </c>
      <c r="F1750" s="82" t="s">
        <v>1749</v>
      </c>
      <c r="G1750" s="82"/>
      <c r="H1750" s="98" t="s">
        <v>2757</v>
      </c>
      <c r="I1750" s="82" t="s">
        <v>716</v>
      </c>
      <c r="J1750" s="100" t="s">
        <v>140</v>
      </c>
      <c r="K1750" s="84">
        <v>0</v>
      </c>
      <c r="L1750" s="84">
        <v>0</v>
      </c>
      <c r="M1750" s="102">
        <v>97</v>
      </c>
      <c r="N1750" s="103">
        <v>1500</v>
      </c>
      <c r="O1750" s="171">
        <v>1</v>
      </c>
      <c r="P1750" s="103">
        <f t="shared" si="286"/>
        <v>1500</v>
      </c>
      <c r="Q1750" s="103"/>
      <c r="R1750" s="102">
        <v>1500</v>
      </c>
      <c r="S1750" s="102">
        <f t="shared" si="282"/>
        <v>0</v>
      </c>
      <c r="T1750" s="173">
        <f t="shared" si="283"/>
        <v>890.7216494845361</v>
      </c>
      <c r="U1750" s="101">
        <f t="shared" si="284"/>
        <v>0</v>
      </c>
      <c r="V1750" s="101">
        <f t="shared" si="285"/>
        <v>0</v>
      </c>
      <c r="W1750" s="101">
        <v>0</v>
      </c>
      <c r="X1750" s="55">
        <f t="shared" si="280"/>
        <v>46153.026041666672</v>
      </c>
    </row>
    <row r="1751" spans="1:24" hidden="1" x14ac:dyDescent="0.35">
      <c r="A1751" s="71">
        <f t="shared" si="281"/>
        <v>46153.026041666672</v>
      </c>
      <c r="B1751" s="71"/>
      <c r="C1751" s="71"/>
      <c r="D1751" s="71"/>
      <c r="E1751" s="119" t="s">
        <v>289</v>
      </c>
      <c r="F1751" s="82" t="s">
        <v>610</v>
      </c>
      <c r="G1751" s="82"/>
      <c r="H1751" s="98" t="s">
        <v>2758</v>
      </c>
      <c r="I1751" s="82" t="s">
        <v>716</v>
      </c>
      <c r="J1751" s="100" t="s">
        <v>140</v>
      </c>
      <c r="K1751" s="84">
        <v>0</v>
      </c>
      <c r="L1751" s="84">
        <v>0</v>
      </c>
      <c r="M1751" s="102">
        <v>97</v>
      </c>
      <c r="N1751" s="103">
        <v>2000</v>
      </c>
      <c r="O1751" s="171">
        <v>1</v>
      </c>
      <c r="P1751" s="103">
        <f t="shared" si="286"/>
        <v>2000</v>
      </c>
      <c r="Q1751" s="103"/>
      <c r="R1751" s="102">
        <v>2000</v>
      </c>
      <c r="S1751" s="102">
        <f t="shared" si="282"/>
        <v>0</v>
      </c>
      <c r="T1751" s="173">
        <f t="shared" si="283"/>
        <v>890.7216494845361</v>
      </c>
      <c r="U1751" s="101">
        <f t="shared" si="284"/>
        <v>0</v>
      </c>
      <c r="V1751" s="101">
        <f t="shared" si="285"/>
        <v>0</v>
      </c>
      <c r="W1751" s="101">
        <v>0</v>
      </c>
      <c r="X1751" s="55">
        <f t="shared" si="280"/>
        <v>46153.026041666672</v>
      </c>
    </row>
    <row r="1752" spans="1:24" ht="26.5" hidden="1" x14ac:dyDescent="0.35">
      <c r="A1752" s="71">
        <f t="shared" si="281"/>
        <v>46153.026041666672</v>
      </c>
      <c r="B1752" s="71"/>
      <c r="C1752" s="71"/>
      <c r="D1752" s="71"/>
      <c r="E1752" s="119" t="s">
        <v>289</v>
      </c>
      <c r="F1752" s="82" t="s">
        <v>177</v>
      </c>
      <c r="G1752" s="82"/>
      <c r="H1752" s="98" t="s">
        <v>2759</v>
      </c>
      <c r="I1752" s="82" t="s">
        <v>716</v>
      </c>
      <c r="J1752" s="100" t="s">
        <v>140</v>
      </c>
      <c r="K1752" s="84">
        <v>0</v>
      </c>
      <c r="L1752" s="84">
        <v>0</v>
      </c>
      <c r="M1752" s="102">
        <v>97</v>
      </c>
      <c r="N1752" s="103">
        <v>1000</v>
      </c>
      <c r="O1752" s="171">
        <v>1</v>
      </c>
      <c r="P1752" s="103">
        <f t="shared" si="286"/>
        <v>1000</v>
      </c>
      <c r="Q1752" s="103"/>
      <c r="R1752" s="102">
        <v>1000</v>
      </c>
      <c r="S1752" s="102">
        <f t="shared" si="282"/>
        <v>0</v>
      </c>
      <c r="T1752" s="173">
        <f t="shared" si="283"/>
        <v>890.7216494845361</v>
      </c>
      <c r="U1752" s="101">
        <f t="shared" si="284"/>
        <v>0</v>
      </c>
      <c r="V1752" s="101">
        <f t="shared" si="285"/>
        <v>0</v>
      </c>
      <c r="W1752" s="101">
        <v>0</v>
      </c>
      <c r="X1752" s="55">
        <f t="shared" si="280"/>
        <v>46153.026041666672</v>
      </c>
    </row>
    <row r="1753" spans="1:24" ht="26.5" hidden="1" x14ac:dyDescent="0.35">
      <c r="A1753" s="71">
        <f t="shared" si="281"/>
        <v>46153.026041666672</v>
      </c>
      <c r="B1753" s="71"/>
      <c r="C1753" s="71"/>
      <c r="D1753" s="71"/>
      <c r="E1753" s="47" t="s">
        <v>249</v>
      </c>
      <c r="F1753" s="82" t="s">
        <v>177</v>
      </c>
      <c r="G1753" s="82"/>
      <c r="H1753" s="98" t="s">
        <v>2760</v>
      </c>
      <c r="I1753" s="333" t="s">
        <v>1051</v>
      </c>
      <c r="J1753" s="51" t="s">
        <v>140</v>
      </c>
      <c r="K1753" s="84">
        <v>0</v>
      </c>
      <c r="L1753" s="84">
        <v>0</v>
      </c>
      <c r="M1753" s="92">
        <v>95</v>
      </c>
      <c r="N1753" s="94">
        <v>1200</v>
      </c>
      <c r="O1753" s="253">
        <v>1</v>
      </c>
      <c r="P1753" s="94">
        <f t="shared" si="286"/>
        <v>1200</v>
      </c>
      <c r="Q1753" s="94"/>
      <c r="R1753" s="92">
        <v>1200</v>
      </c>
      <c r="S1753" s="92">
        <f t="shared" si="282"/>
        <v>0</v>
      </c>
      <c r="T1753" s="254">
        <f t="shared" si="283"/>
        <v>909.47368421052624</v>
      </c>
      <c r="U1753" s="91">
        <f t="shared" si="284"/>
        <v>0</v>
      </c>
      <c r="V1753" s="91">
        <f t="shared" si="285"/>
        <v>0</v>
      </c>
      <c r="W1753" s="91">
        <v>0</v>
      </c>
      <c r="X1753" s="55">
        <f t="shared" si="280"/>
        <v>46153.026041666672</v>
      </c>
    </row>
    <row r="1754" spans="1:24" ht="26.5" hidden="1" x14ac:dyDescent="0.35">
      <c r="A1754" s="71">
        <f t="shared" si="281"/>
        <v>46153.026041666672</v>
      </c>
      <c r="B1754" s="71"/>
      <c r="C1754" s="71"/>
      <c r="D1754" s="71"/>
      <c r="E1754" s="47" t="s">
        <v>249</v>
      </c>
      <c r="F1754" s="82" t="s">
        <v>177</v>
      </c>
      <c r="G1754" s="82"/>
      <c r="H1754" s="98" t="s">
        <v>2761</v>
      </c>
      <c r="I1754" s="333" t="s">
        <v>1049</v>
      </c>
      <c r="J1754" s="51" t="s">
        <v>140</v>
      </c>
      <c r="K1754" s="84">
        <v>0</v>
      </c>
      <c r="L1754" s="84">
        <v>0</v>
      </c>
      <c r="M1754" s="92">
        <v>95</v>
      </c>
      <c r="N1754" s="94">
        <v>700</v>
      </c>
      <c r="O1754" s="253">
        <v>1</v>
      </c>
      <c r="P1754" s="94">
        <f t="shared" si="286"/>
        <v>700</v>
      </c>
      <c r="Q1754" s="94"/>
      <c r="R1754" s="92">
        <v>700</v>
      </c>
      <c r="S1754" s="92">
        <f t="shared" si="282"/>
        <v>0</v>
      </c>
      <c r="T1754" s="254">
        <f t="shared" si="283"/>
        <v>909.47368421052624</v>
      </c>
      <c r="U1754" s="91">
        <f t="shared" si="284"/>
        <v>0</v>
      </c>
      <c r="V1754" s="91">
        <f t="shared" si="285"/>
        <v>0</v>
      </c>
      <c r="W1754" s="91">
        <v>0</v>
      </c>
      <c r="X1754" s="55">
        <f t="shared" si="280"/>
        <v>46153.026041666672</v>
      </c>
    </row>
    <row r="1755" spans="1:24" hidden="1" x14ac:dyDescent="0.35">
      <c r="A1755" s="71">
        <f t="shared" si="281"/>
        <v>46153.026041666672</v>
      </c>
      <c r="B1755" s="71"/>
      <c r="C1755" s="71"/>
      <c r="D1755" s="71"/>
      <c r="E1755" s="119" t="s">
        <v>1370</v>
      </c>
      <c r="F1755" s="82" t="s">
        <v>610</v>
      </c>
      <c r="G1755" s="82"/>
      <c r="H1755" s="98" t="s">
        <v>2762</v>
      </c>
      <c r="I1755" s="82" t="s">
        <v>457</v>
      </c>
      <c r="J1755" s="51" t="s">
        <v>140</v>
      </c>
      <c r="K1755" s="84">
        <v>0</v>
      </c>
      <c r="L1755" s="84">
        <v>0</v>
      </c>
      <c r="M1755" s="92">
        <v>90</v>
      </c>
      <c r="N1755" s="94">
        <v>1800</v>
      </c>
      <c r="O1755" s="253">
        <v>1</v>
      </c>
      <c r="P1755" s="94">
        <f t="shared" si="286"/>
        <v>1800</v>
      </c>
      <c r="Q1755" s="94"/>
      <c r="R1755" s="92">
        <v>1800</v>
      </c>
      <c r="S1755" s="92">
        <f t="shared" si="282"/>
        <v>0</v>
      </c>
      <c r="T1755" s="254">
        <f t="shared" si="283"/>
        <v>960</v>
      </c>
      <c r="U1755" s="91">
        <f t="shared" si="284"/>
        <v>0</v>
      </c>
      <c r="V1755" s="91">
        <f t="shared" si="285"/>
        <v>0</v>
      </c>
      <c r="W1755" s="91">
        <v>0</v>
      </c>
      <c r="X1755" s="55">
        <f t="shared" si="280"/>
        <v>46153.026041666672</v>
      </c>
    </row>
    <row r="1756" spans="1:24" hidden="1" x14ac:dyDescent="0.35">
      <c r="A1756" s="71">
        <f t="shared" si="281"/>
        <v>46153.026041666672</v>
      </c>
      <c r="B1756" s="71"/>
      <c r="C1756" s="71"/>
      <c r="D1756" s="71"/>
      <c r="E1756" s="47" t="s">
        <v>1370</v>
      </c>
      <c r="F1756" s="82" t="s">
        <v>612</v>
      </c>
      <c r="G1756" s="82"/>
      <c r="H1756" s="98" t="s">
        <v>2763</v>
      </c>
      <c r="I1756" s="82" t="s">
        <v>457</v>
      </c>
      <c r="J1756" s="51" t="s">
        <v>140</v>
      </c>
      <c r="K1756" s="84">
        <v>0</v>
      </c>
      <c r="L1756" s="84">
        <v>0</v>
      </c>
      <c r="M1756" s="92">
        <v>90</v>
      </c>
      <c r="N1756" s="94">
        <v>500</v>
      </c>
      <c r="O1756" s="253">
        <v>1</v>
      </c>
      <c r="P1756" s="94">
        <f t="shared" si="286"/>
        <v>500</v>
      </c>
      <c r="Q1756" s="94"/>
      <c r="R1756" s="92">
        <v>500</v>
      </c>
      <c r="S1756" s="92">
        <f t="shared" si="282"/>
        <v>0</v>
      </c>
      <c r="T1756" s="254">
        <f t="shared" si="283"/>
        <v>960</v>
      </c>
      <c r="U1756" s="91">
        <f t="shared" si="284"/>
        <v>0</v>
      </c>
      <c r="V1756" s="91">
        <f t="shared" si="285"/>
        <v>0</v>
      </c>
      <c r="W1756" s="91">
        <v>0</v>
      </c>
      <c r="X1756" s="55">
        <f t="shared" si="280"/>
        <v>46153.026041666672</v>
      </c>
    </row>
    <row r="1757" spans="1:24" hidden="1" x14ac:dyDescent="0.35">
      <c r="A1757" s="71">
        <f t="shared" si="281"/>
        <v>46153.026041666672</v>
      </c>
      <c r="B1757" s="71"/>
      <c r="C1757" s="71"/>
      <c r="D1757" s="71"/>
      <c r="E1757" s="119" t="s">
        <v>195</v>
      </c>
      <c r="F1757" s="82" t="s">
        <v>1166</v>
      </c>
      <c r="G1757" s="82"/>
      <c r="H1757" s="98" t="s">
        <v>2764</v>
      </c>
      <c r="I1757" s="82" t="s">
        <v>457</v>
      </c>
      <c r="J1757" s="51" t="s">
        <v>140</v>
      </c>
      <c r="K1757" s="84">
        <v>0</v>
      </c>
      <c r="L1757" s="84">
        <v>0</v>
      </c>
      <c r="M1757" s="92">
        <v>90</v>
      </c>
      <c r="N1757" s="94">
        <v>2000</v>
      </c>
      <c r="O1757" s="253">
        <v>1</v>
      </c>
      <c r="P1757" s="94">
        <f t="shared" si="286"/>
        <v>2000</v>
      </c>
      <c r="Q1757" s="94"/>
      <c r="R1757" s="92">
        <v>2000</v>
      </c>
      <c r="S1757" s="92">
        <f t="shared" si="282"/>
        <v>0</v>
      </c>
      <c r="T1757" s="254">
        <f t="shared" si="283"/>
        <v>960</v>
      </c>
      <c r="U1757" s="91">
        <f t="shared" si="284"/>
        <v>0</v>
      </c>
      <c r="V1757" s="91">
        <f t="shared" si="285"/>
        <v>0</v>
      </c>
      <c r="W1757" s="91">
        <v>0</v>
      </c>
      <c r="X1757" s="55">
        <f t="shared" si="280"/>
        <v>46153.026041666672</v>
      </c>
    </row>
    <row r="1758" spans="1:24" hidden="1" x14ac:dyDescent="0.35">
      <c r="A1758" s="71">
        <f t="shared" si="281"/>
        <v>46153.026041666672</v>
      </c>
      <c r="B1758" s="71"/>
      <c r="C1758" s="71"/>
      <c r="D1758" s="71"/>
      <c r="E1758" s="119" t="s">
        <v>289</v>
      </c>
      <c r="F1758" s="82" t="s">
        <v>1166</v>
      </c>
      <c r="G1758" s="82"/>
      <c r="H1758" s="98" t="s">
        <v>2765</v>
      </c>
      <c r="I1758" s="82" t="s">
        <v>716</v>
      </c>
      <c r="J1758" s="100" t="s">
        <v>140</v>
      </c>
      <c r="K1758" s="84">
        <v>0</v>
      </c>
      <c r="L1758" s="84">
        <v>0</v>
      </c>
      <c r="M1758" s="102">
        <v>97</v>
      </c>
      <c r="N1758" s="103">
        <v>2000</v>
      </c>
      <c r="O1758" s="171">
        <v>1</v>
      </c>
      <c r="P1758" s="103">
        <f t="shared" si="286"/>
        <v>2000</v>
      </c>
      <c r="Q1758" s="103"/>
      <c r="R1758" s="102">
        <v>2000</v>
      </c>
      <c r="S1758" s="102">
        <f t="shared" si="282"/>
        <v>0</v>
      </c>
      <c r="T1758" s="173">
        <f t="shared" si="283"/>
        <v>890.7216494845361</v>
      </c>
      <c r="U1758" s="101">
        <f t="shared" si="284"/>
        <v>0</v>
      </c>
      <c r="V1758" s="101">
        <f t="shared" si="285"/>
        <v>0</v>
      </c>
      <c r="W1758" s="101">
        <v>0</v>
      </c>
      <c r="X1758" s="55">
        <f t="shared" si="280"/>
        <v>46153.026041666672</v>
      </c>
    </row>
    <row r="1759" spans="1:24" hidden="1" x14ac:dyDescent="0.35">
      <c r="A1759" s="71">
        <f t="shared" si="281"/>
        <v>46153.026041666672</v>
      </c>
      <c r="B1759" s="71"/>
      <c r="C1759" s="71"/>
      <c r="D1759" s="71"/>
      <c r="E1759" s="119" t="s">
        <v>289</v>
      </c>
      <c r="F1759" s="99" t="s">
        <v>2766</v>
      </c>
      <c r="G1759" s="99"/>
      <c r="H1759" s="107" t="s">
        <v>2767</v>
      </c>
      <c r="I1759" s="82" t="s">
        <v>256</v>
      </c>
      <c r="J1759" s="51" t="s">
        <v>140</v>
      </c>
      <c r="K1759" s="84">
        <v>0</v>
      </c>
      <c r="L1759" s="101">
        <v>0</v>
      </c>
      <c r="M1759" s="102">
        <v>120</v>
      </c>
      <c r="N1759" s="103">
        <v>1000</v>
      </c>
      <c r="O1759" s="171">
        <v>1</v>
      </c>
      <c r="P1759" s="103">
        <f t="shared" si="286"/>
        <v>1000</v>
      </c>
      <c r="Q1759" s="103"/>
      <c r="R1759" s="102">
        <v>1000</v>
      </c>
      <c r="S1759" s="102">
        <f t="shared" si="282"/>
        <v>0</v>
      </c>
      <c r="T1759" s="173">
        <f t="shared" si="283"/>
        <v>720</v>
      </c>
      <c r="U1759" s="101">
        <f t="shared" si="284"/>
        <v>0</v>
      </c>
      <c r="V1759" s="101">
        <f t="shared" si="285"/>
        <v>0</v>
      </c>
      <c r="W1759" s="101">
        <v>0</v>
      </c>
      <c r="X1759" s="55">
        <f t="shared" si="280"/>
        <v>46153.026041666672</v>
      </c>
    </row>
    <row r="1760" spans="1:24" hidden="1" x14ac:dyDescent="0.35">
      <c r="A1760" s="71">
        <f t="shared" si="281"/>
        <v>46153.026041666672</v>
      </c>
      <c r="B1760" s="71"/>
      <c r="C1760" s="71"/>
      <c r="D1760" s="71"/>
      <c r="E1760" s="119" t="s">
        <v>289</v>
      </c>
      <c r="F1760" s="56" t="s">
        <v>2768</v>
      </c>
      <c r="G1760" s="56"/>
      <c r="H1760" s="59" t="s">
        <v>2769</v>
      </c>
      <c r="I1760" s="82" t="s">
        <v>2727</v>
      </c>
      <c r="J1760" s="491" t="s">
        <v>140</v>
      </c>
      <c r="K1760" s="84">
        <v>0</v>
      </c>
      <c r="L1760" s="84">
        <v>0</v>
      </c>
      <c r="M1760" s="83">
        <v>120</v>
      </c>
      <c r="N1760" s="223">
        <v>500</v>
      </c>
      <c r="O1760" s="314">
        <v>1</v>
      </c>
      <c r="P1760" s="103">
        <f t="shared" si="286"/>
        <v>500</v>
      </c>
      <c r="Q1760" s="103"/>
      <c r="R1760" s="102">
        <v>500</v>
      </c>
      <c r="S1760" s="83">
        <f t="shared" si="282"/>
        <v>0</v>
      </c>
      <c r="T1760" s="315">
        <f t="shared" si="283"/>
        <v>720</v>
      </c>
      <c r="U1760" s="84">
        <f t="shared" si="284"/>
        <v>0</v>
      </c>
      <c r="V1760" s="84">
        <f t="shared" si="285"/>
        <v>0</v>
      </c>
      <c r="W1760" s="84">
        <v>0</v>
      </c>
      <c r="X1760" s="55">
        <f t="shared" si="280"/>
        <v>46153.026041666672</v>
      </c>
    </row>
    <row r="1761" spans="1:24" hidden="1" x14ac:dyDescent="0.35">
      <c r="A1761" s="71">
        <f t="shared" si="281"/>
        <v>46153.026041666672</v>
      </c>
      <c r="B1761" s="71"/>
      <c r="C1761" s="71"/>
      <c r="D1761" s="71"/>
      <c r="E1761" s="119" t="s">
        <v>289</v>
      </c>
      <c r="F1761" s="99" t="s">
        <v>2766</v>
      </c>
      <c r="G1761" s="99"/>
      <c r="H1761" s="107" t="s">
        <v>2770</v>
      </c>
      <c r="I1761" s="82" t="s">
        <v>303</v>
      </c>
      <c r="J1761" s="51" t="s">
        <v>140</v>
      </c>
      <c r="K1761" s="84">
        <v>0</v>
      </c>
      <c r="L1761" s="101">
        <v>0</v>
      </c>
      <c r="M1761" s="102">
        <v>120</v>
      </c>
      <c r="N1761" s="103">
        <v>1000</v>
      </c>
      <c r="O1761" s="171">
        <v>1</v>
      </c>
      <c r="P1761" s="103">
        <f t="shared" si="286"/>
        <v>1000</v>
      </c>
      <c r="Q1761" s="103"/>
      <c r="R1761" s="102">
        <v>1000</v>
      </c>
      <c r="S1761" s="102">
        <f t="shared" si="282"/>
        <v>0</v>
      </c>
      <c r="T1761" s="173">
        <f t="shared" si="283"/>
        <v>720</v>
      </c>
      <c r="U1761" s="101">
        <f t="shared" si="284"/>
        <v>0</v>
      </c>
      <c r="V1761" s="101">
        <f t="shared" si="285"/>
        <v>0</v>
      </c>
      <c r="W1761" s="101">
        <v>0</v>
      </c>
      <c r="X1761" s="55">
        <f t="shared" si="280"/>
        <v>46153.026041666672</v>
      </c>
    </row>
    <row r="1762" spans="1:24" hidden="1" x14ac:dyDescent="0.35">
      <c r="A1762" s="71">
        <f t="shared" si="281"/>
        <v>46153.026041666672</v>
      </c>
      <c r="B1762" s="71"/>
      <c r="C1762" s="71"/>
      <c r="D1762" s="71"/>
      <c r="E1762" s="119" t="s">
        <v>289</v>
      </c>
      <c r="F1762" s="56" t="s">
        <v>2768</v>
      </c>
      <c r="G1762" s="56"/>
      <c r="H1762" s="59" t="s">
        <v>2771</v>
      </c>
      <c r="I1762" s="82" t="s">
        <v>2721</v>
      </c>
      <c r="J1762" s="491" t="s">
        <v>140</v>
      </c>
      <c r="K1762" s="84">
        <v>0</v>
      </c>
      <c r="L1762" s="84">
        <v>0</v>
      </c>
      <c r="M1762" s="83">
        <v>120</v>
      </c>
      <c r="N1762" s="223">
        <v>500</v>
      </c>
      <c r="O1762" s="314">
        <v>1</v>
      </c>
      <c r="P1762" s="103">
        <f t="shared" si="286"/>
        <v>500</v>
      </c>
      <c r="Q1762" s="103"/>
      <c r="R1762" s="102">
        <v>500</v>
      </c>
      <c r="S1762" s="83">
        <f t="shared" si="282"/>
        <v>0</v>
      </c>
      <c r="T1762" s="315">
        <f t="shared" si="283"/>
        <v>720</v>
      </c>
      <c r="U1762" s="84">
        <f t="shared" si="284"/>
        <v>0</v>
      </c>
      <c r="V1762" s="84">
        <f t="shared" si="285"/>
        <v>0</v>
      </c>
      <c r="W1762" s="84">
        <v>0</v>
      </c>
      <c r="X1762" s="55">
        <f t="shared" si="280"/>
        <v>46153.026041666672</v>
      </c>
    </row>
    <row r="1763" spans="1:24" s="543" customFormat="1" ht="26.5" hidden="1" x14ac:dyDescent="0.35">
      <c r="A1763" s="71">
        <f t="shared" si="281"/>
        <v>46153.026041666672</v>
      </c>
      <c r="B1763" s="71"/>
      <c r="C1763" s="71"/>
      <c r="D1763" s="71"/>
      <c r="E1763" s="47" t="s">
        <v>289</v>
      </c>
      <c r="F1763" s="97" t="s">
        <v>652</v>
      </c>
      <c r="G1763" s="97"/>
      <c r="H1763" s="49" t="s">
        <v>2772</v>
      </c>
      <c r="I1763" s="442" t="s">
        <v>1554</v>
      </c>
      <c r="J1763" s="100" t="s">
        <v>140</v>
      </c>
      <c r="K1763" s="84">
        <v>0</v>
      </c>
      <c r="L1763" s="52">
        <v>0</v>
      </c>
      <c r="M1763" s="53">
        <v>85</v>
      </c>
      <c r="N1763" s="54">
        <v>1000</v>
      </c>
      <c r="O1763" s="341">
        <v>2</v>
      </c>
      <c r="P1763" s="54">
        <f t="shared" si="286"/>
        <v>500</v>
      </c>
      <c r="Q1763" s="54"/>
      <c r="R1763" s="92">
        <v>500</v>
      </c>
      <c r="S1763" s="53">
        <f t="shared" si="282"/>
        <v>0</v>
      </c>
      <c r="T1763" s="315">
        <f t="shared" si="283"/>
        <v>2032.9411764705883</v>
      </c>
      <c r="U1763" s="84">
        <f t="shared" si="284"/>
        <v>0</v>
      </c>
      <c r="V1763" s="84">
        <f t="shared" si="285"/>
        <v>0</v>
      </c>
      <c r="W1763" s="84">
        <v>0</v>
      </c>
      <c r="X1763" s="55">
        <f t="shared" si="280"/>
        <v>46153.026041666672</v>
      </c>
    </row>
    <row r="1764" spans="1:24" s="543" customFormat="1" ht="26.5" hidden="1" x14ac:dyDescent="0.35">
      <c r="A1764" s="71">
        <f t="shared" si="281"/>
        <v>46153.026041666672</v>
      </c>
      <c r="B1764" s="71"/>
      <c r="C1764" s="71"/>
      <c r="D1764" s="71"/>
      <c r="E1764" s="119" t="s">
        <v>289</v>
      </c>
      <c r="F1764" s="97" t="s">
        <v>652</v>
      </c>
      <c r="G1764" s="97"/>
      <c r="H1764" s="49" t="s">
        <v>2773</v>
      </c>
      <c r="I1764" s="442" t="s">
        <v>1556</v>
      </c>
      <c r="J1764" s="100" t="s">
        <v>140</v>
      </c>
      <c r="K1764" s="84">
        <v>0</v>
      </c>
      <c r="L1764" s="52">
        <v>0</v>
      </c>
      <c r="M1764" s="53">
        <v>85</v>
      </c>
      <c r="N1764" s="54">
        <v>3000</v>
      </c>
      <c r="O1764" s="341">
        <v>2</v>
      </c>
      <c r="P1764" s="54">
        <f t="shared" si="286"/>
        <v>1500</v>
      </c>
      <c r="Q1764" s="54"/>
      <c r="R1764" s="92">
        <v>1500</v>
      </c>
      <c r="S1764" s="53">
        <f t="shared" si="282"/>
        <v>0</v>
      </c>
      <c r="T1764" s="315">
        <f t="shared" si="283"/>
        <v>2032.9411764705883</v>
      </c>
      <c r="U1764" s="84">
        <f t="shared" si="284"/>
        <v>0</v>
      </c>
      <c r="V1764" s="84">
        <f t="shared" si="285"/>
        <v>0</v>
      </c>
      <c r="W1764" s="84">
        <v>0</v>
      </c>
      <c r="X1764" s="55">
        <f t="shared" si="280"/>
        <v>46153.026041666672</v>
      </c>
    </row>
    <row r="1765" spans="1:24" hidden="1" x14ac:dyDescent="0.35">
      <c r="A1765" s="71">
        <f t="shared" si="281"/>
        <v>46153.026041666672</v>
      </c>
      <c r="B1765" s="71"/>
      <c r="C1765" s="71"/>
      <c r="D1765" s="71"/>
      <c r="E1765" s="119" t="s">
        <v>289</v>
      </c>
      <c r="F1765" s="82" t="s">
        <v>1517</v>
      </c>
      <c r="G1765" s="82"/>
      <c r="H1765" s="98" t="s">
        <v>2774</v>
      </c>
      <c r="I1765" s="82" t="s">
        <v>716</v>
      </c>
      <c r="J1765" s="100" t="s">
        <v>140</v>
      </c>
      <c r="K1765" s="84">
        <v>0</v>
      </c>
      <c r="L1765" s="101">
        <v>0</v>
      </c>
      <c r="M1765" s="102">
        <v>97</v>
      </c>
      <c r="N1765" s="103">
        <v>3000</v>
      </c>
      <c r="O1765" s="171">
        <v>1</v>
      </c>
      <c r="P1765" s="103">
        <f t="shared" si="286"/>
        <v>3000</v>
      </c>
      <c r="Q1765" s="103"/>
      <c r="R1765" s="102">
        <v>3000</v>
      </c>
      <c r="S1765" s="102">
        <f t="shared" si="282"/>
        <v>0</v>
      </c>
      <c r="T1765" s="173">
        <f t="shared" si="283"/>
        <v>890.7216494845361</v>
      </c>
      <c r="U1765" s="101">
        <f t="shared" si="284"/>
        <v>0</v>
      </c>
      <c r="V1765" s="101">
        <f t="shared" si="285"/>
        <v>0</v>
      </c>
      <c r="W1765" s="101">
        <v>0</v>
      </c>
      <c r="X1765" s="55">
        <f t="shared" ref="X1765:X1791" si="287">A1765+K1765+L1765+V1765+W1765</f>
        <v>46153.026041666672</v>
      </c>
    </row>
    <row r="1766" spans="1:24" ht="26.5" hidden="1" x14ac:dyDescent="0.35">
      <c r="A1766" s="71">
        <f t="shared" ref="A1766:A1804" si="288">X1765</f>
        <v>46153.026041666672</v>
      </c>
      <c r="B1766" s="71"/>
      <c r="C1766" s="71"/>
      <c r="D1766" s="71"/>
      <c r="E1766" s="47" t="s">
        <v>2775</v>
      </c>
      <c r="F1766" s="82" t="s">
        <v>1164</v>
      </c>
      <c r="G1766" s="82"/>
      <c r="H1766" s="107" t="s">
        <v>2776</v>
      </c>
      <c r="I1766" s="82" t="s">
        <v>1573</v>
      </c>
      <c r="J1766" s="100" t="s">
        <v>140</v>
      </c>
      <c r="K1766" s="84">
        <v>0</v>
      </c>
      <c r="L1766" s="91">
        <v>0</v>
      </c>
      <c r="M1766" s="92">
        <v>100</v>
      </c>
      <c r="N1766" s="94">
        <v>2000</v>
      </c>
      <c r="O1766" s="253">
        <v>1</v>
      </c>
      <c r="P1766" s="94">
        <f t="shared" si="286"/>
        <v>2000</v>
      </c>
      <c r="Q1766" s="94"/>
      <c r="R1766" s="92">
        <v>2000</v>
      </c>
      <c r="S1766" s="92">
        <f t="shared" si="282"/>
        <v>0</v>
      </c>
      <c r="T1766" s="173">
        <f t="shared" si="283"/>
        <v>864</v>
      </c>
      <c r="U1766" s="101">
        <f t="shared" si="284"/>
        <v>0</v>
      </c>
      <c r="V1766" s="101">
        <f t="shared" si="285"/>
        <v>0</v>
      </c>
      <c r="W1766" s="101">
        <v>0</v>
      </c>
      <c r="X1766" s="55">
        <f t="shared" si="287"/>
        <v>46153.026041666672</v>
      </c>
    </row>
    <row r="1767" spans="1:24" ht="26.5" hidden="1" x14ac:dyDescent="0.35">
      <c r="A1767" s="71">
        <f t="shared" si="288"/>
        <v>46153.026041666672</v>
      </c>
      <c r="B1767" s="71"/>
      <c r="C1767" s="71"/>
      <c r="D1767" s="71"/>
      <c r="E1767" s="47" t="s">
        <v>2775</v>
      </c>
      <c r="F1767" s="82" t="s">
        <v>1171</v>
      </c>
      <c r="G1767" s="82"/>
      <c r="H1767" s="107" t="s">
        <v>2777</v>
      </c>
      <c r="I1767" s="82" t="s">
        <v>1573</v>
      </c>
      <c r="J1767" s="100" t="s">
        <v>140</v>
      </c>
      <c r="K1767" s="84">
        <v>0</v>
      </c>
      <c r="L1767" s="91">
        <v>0</v>
      </c>
      <c r="M1767" s="92">
        <v>100</v>
      </c>
      <c r="N1767" s="94">
        <v>700</v>
      </c>
      <c r="O1767" s="253">
        <v>1</v>
      </c>
      <c r="P1767" s="94">
        <f t="shared" si="286"/>
        <v>700</v>
      </c>
      <c r="Q1767" s="94"/>
      <c r="R1767" s="92">
        <v>700</v>
      </c>
      <c r="S1767" s="92">
        <f t="shared" si="282"/>
        <v>0</v>
      </c>
      <c r="T1767" s="173">
        <f t="shared" si="283"/>
        <v>864</v>
      </c>
      <c r="U1767" s="101">
        <f t="shared" si="284"/>
        <v>0</v>
      </c>
      <c r="V1767" s="101">
        <f t="shared" si="285"/>
        <v>0</v>
      </c>
      <c r="W1767" s="101">
        <v>0</v>
      </c>
      <c r="X1767" s="55">
        <f t="shared" si="287"/>
        <v>46153.026041666672</v>
      </c>
    </row>
    <row r="1768" spans="1:24" hidden="1" x14ac:dyDescent="0.35">
      <c r="A1768" s="71">
        <f t="shared" si="288"/>
        <v>46153.026041666672</v>
      </c>
      <c r="B1768" s="71"/>
      <c r="C1768" s="71"/>
      <c r="D1768" s="71"/>
      <c r="E1768" s="47" t="s">
        <v>1370</v>
      </c>
      <c r="F1768" s="82" t="s">
        <v>1549</v>
      </c>
      <c r="G1768" s="82"/>
      <c r="H1768" s="98" t="s">
        <v>2778</v>
      </c>
      <c r="I1768" s="82" t="s">
        <v>804</v>
      </c>
      <c r="J1768" s="100" t="s">
        <v>140</v>
      </c>
      <c r="K1768" s="84">
        <v>0</v>
      </c>
      <c r="L1768" s="91">
        <v>0</v>
      </c>
      <c r="M1768" s="92">
        <v>95</v>
      </c>
      <c r="N1768" s="94">
        <v>2000</v>
      </c>
      <c r="O1768" s="253">
        <v>1</v>
      </c>
      <c r="P1768" s="94">
        <f t="shared" si="286"/>
        <v>2000</v>
      </c>
      <c r="Q1768" s="94"/>
      <c r="R1768" s="92">
        <v>2000</v>
      </c>
      <c r="S1768" s="92">
        <f t="shared" si="282"/>
        <v>0</v>
      </c>
      <c r="T1768" s="173">
        <f t="shared" si="283"/>
        <v>909.47368421052624</v>
      </c>
      <c r="U1768" s="101">
        <f t="shared" si="284"/>
        <v>0</v>
      </c>
      <c r="V1768" s="101">
        <f t="shared" si="285"/>
        <v>0</v>
      </c>
      <c r="W1768" s="101">
        <v>0</v>
      </c>
      <c r="X1768" s="55">
        <f t="shared" si="287"/>
        <v>46153.026041666672</v>
      </c>
    </row>
    <row r="1769" spans="1:24" hidden="1" x14ac:dyDescent="0.35">
      <c r="A1769" s="71">
        <f t="shared" si="288"/>
        <v>46153.026041666672</v>
      </c>
      <c r="B1769" s="71"/>
      <c r="C1769" s="71"/>
      <c r="D1769" s="71"/>
      <c r="E1769" s="119" t="s">
        <v>289</v>
      </c>
      <c r="F1769" s="82" t="s">
        <v>1549</v>
      </c>
      <c r="G1769" s="82"/>
      <c r="H1769" s="98" t="s">
        <v>2779</v>
      </c>
      <c r="I1769" s="82" t="s">
        <v>716</v>
      </c>
      <c r="J1769" s="100" t="s">
        <v>140</v>
      </c>
      <c r="K1769" s="84">
        <v>0</v>
      </c>
      <c r="L1769" s="101">
        <v>0</v>
      </c>
      <c r="M1769" s="102">
        <v>97</v>
      </c>
      <c r="N1769" s="103">
        <v>3000</v>
      </c>
      <c r="O1769" s="171">
        <v>1</v>
      </c>
      <c r="P1769" s="103">
        <f t="shared" si="286"/>
        <v>3000</v>
      </c>
      <c r="Q1769" s="103"/>
      <c r="R1769" s="102">
        <v>3000</v>
      </c>
      <c r="S1769" s="102">
        <f t="shared" si="282"/>
        <v>0</v>
      </c>
      <c r="T1769" s="173">
        <f t="shared" si="283"/>
        <v>890.7216494845361</v>
      </c>
      <c r="U1769" s="101">
        <f t="shared" si="284"/>
        <v>0</v>
      </c>
      <c r="V1769" s="101">
        <f t="shared" si="285"/>
        <v>0</v>
      </c>
      <c r="W1769" s="101">
        <v>0</v>
      </c>
      <c r="X1769" s="55">
        <f t="shared" si="287"/>
        <v>46153.026041666672</v>
      </c>
    </row>
    <row r="1770" spans="1:24" hidden="1" x14ac:dyDescent="0.35">
      <c r="A1770" s="71">
        <f t="shared" si="288"/>
        <v>46153.026041666672</v>
      </c>
      <c r="B1770" s="71"/>
      <c r="C1770" s="71"/>
      <c r="D1770" s="71"/>
      <c r="E1770" s="119" t="s">
        <v>289</v>
      </c>
      <c r="F1770" s="82" t="s">
        <v>2780</v>
      </c>
      <c r="G1770" s="82"/>
      <c r="H1770" s="98" t="s">
        <v>2781</v>
      </c>
      <c r="I1770" s="82" t="s">
        <v>716</v>
      </c>
      <c r="J1770" s="100" t="s">
        <v>140</v>
      </c>
      <c r="K1770" s="84">
        <v>0</v>
      </c>
      <c r="L1770" s="101">
        <v>0</v>
      </c>
      <c r="M1770" s="102">
        <v>97</v>
      </c>
      <c r="N1770" s="103">
        <v>1000</v>
      </c>
      <c r="O1770" s="171">
        <v>1</v>
      </c>
      <c r="P1770" s="103">
        <f t="shared" si="286"/>
        <v>1000</v>
      </c>
      <c r="Q1770" s="103"/>
      <c r="R1770" s="102">
        <v>1000</v>
      </c>
      <c r="S1770" s="102">
        <f t="shared" si="282"/>
        <v>0</v>
      </c>
      <c r="T1770" s="173">
        <f t="shared" si="283"/>
        <v>890.7216494845361</v>
      </c>
      <c r="U1770" s="101">
        <f t="shared" si="284"/>
        <v>0</v>
      </c>
      <c r="V1770" s="101">
        <f t="shared" si="285"/>
        <v>0</v>
      </c>
      <c r="W1770" s="101">
        <v>0</v>
      </c>
      <c r="X1770" s="55">
        <f t="shared" si="287"/>
        <v>46153.026041666672</v>
      </c>
    </row>
    <row r="1771" spans="1:24" hidden="1" x14ac:dyDescent="0.35">
      <c r="A1771" s="71">
        <f t="shared" si="288"/>
        <v>46153.026041666672</v>
      </c>
      <c r="B1771" s="71"/>
      <c r="C1771" s="71"/>
      <c r="D1771" s="71"/>
      <c r="E1771" s="47" t="s">
        <v>1370</v>
      </c>
      <c r="F1771" s="82" t="s">
        <v>1549</v>
      </c>
      <c r="G1771" s="82"/>
      <c r="H1771" s="98" t="s">
        <v>2778</v>
      </c>
      <c r="I1771" s="82" t="s">
        <v>804</v>
      </c>
      <c r="J1771" s="100" t="s">
        <v>140</v>
      </c>
      <c r="K1771" s="84">
        <v>0</v>
      </c>
      <c r="L1771" s="91">
        <v>0</v>
      </c>
      <c r="M1771" s="92">
        <v>95</v>
      </c>
      <c r="N1771" s="94">
        <v>1000</v>
      </c>
      <c r="O1771" s="253">
        <v>1</v>
      </c>
      <c r="P1771" s="94">
        <f t="shared" si="286"/>
        <v>1000</v>
      </c>
      <c r="Q1771" s="94"/>
      <c r="R1771" s="92">
        <v>1000</v>
      </c>
      <c r="S1771" s="92">
        <f t="shared" si="282"/>
        <v>0</v>
      </c>
      <c r="T1771" s="173">
        <f t="shared" si="283"/>
        <v>909.47368421052624</v>
      </c>
      <c r="U1771" s="101">
        <f t="shared" si="284"/>
        <v>0</v>
      </c>
      <c r="V1771" s="101">
        <f t="shared" si="285"/>
        <v>0</v>
      </c>
      <c r="W1771" s="101">
        <v>0</v>
      </c>
      <c r="X1771" s="55">
        <f t="shared" si="287"/>
        <v>46153.026041666672</v>
      </c>
    </row>
    <row r="1772" spans="1:24" hidden="1" x14ac:dyDescent="0.35">
      <c r="A1772" s="71">
        <f t="shared" si="288"/>
        <v>46153.026041666672</v>
      </c>
      <c r="B1772" s="71"/>
      <c r="C1772" s="71"/>
      <c r="D1772" s="71"/>
      <c r="E1772" s="47" t="s">
        <v>1370</v>
      </c>
      <c r="F1772" s="82" t="s">
        <v>2780</v>
      </c>
      <c r="G1772" s="82"/>
      <c r="H1772" s="98" t="s">
        <v>2782</v>
      </c>
      <c r="I1772" s="82" t="s">
        <v>804</v>
      </c>
      <c r="J1772" s="100" t="s">
        <v>140</v>
      </c>
      <c r="K1772" s="84">
        <v>0</v>
      </c>
      <c r="L1772" s="91">
        <v>0</v>
      </c>
      <c r="M1772" s="92">
        <v>95</v>
      </c>
      <c r="N1772" s="94">
        <v>3000</v>
      </c>
      <c r="O1772" s="253">
        <v>1</v>
      </c>
      <c r="P1772" s="94">
        <f t="shared" si="286"/>
        <v>3000</v>
      </c>
      <c r="Q1772" s="94"/>
      <c r="R1772" s="92">
        <v>3000</v>
      </c>
      <c r="S1772" s="92">
        <f t="shared" si="282"/>
        <v>0</v>
      </c>
      <c r="T1772" s="173">
        <f t="shared" si="283"/>
        <v>909.47368421052624</v>
      </c>
      <c r="U1772" s="101">
        <f t="shared" si="284"/>
        <v>0</v>
      </c>
      <c r="V1772" s="101">
        <f t="shared" si="285"/>
        <v>0</v>
      </c>
      <c r="W1772" s="101">
        <v>0</v>
      </c>
      <c r="X1772" s="55">
        <f t="shared" si="287"/>
        <v>46153.026041666672</v>
      </c>
    </row>
    <row r="1773" spans="1:24" hidden="1" x14ac:dyDescent="0.35">
      <c r="A1773" s="71">
        <f t="shared" si="288"/>
        <v>46153.026041666672</v>
      </c>
      <c r="B1773" s="71"/>
      <c r="C1773" s="71"/>
      <c r="D1773" s="71"/>
      <c r="E1773" s="119" t="s">
        <v>289</v>
      </c>
      <c r="F1773" s="82" t="s">
        <v>1211</v>
      </c>
      <c r="G1773" s="82"/>
      <c r="H1773" s="98" t="s">
        <v>2783</v>
      </c>
      <c r="I1773" s="82" t="s">
        <v>716</v>
      </c>
      <c r="J1773" s="100" t="s">
        <v>140</v>
      </c>
      <c r="K1773" s="84">
        <v>0</v>
      </c>
      <c r="L1773" s="101">
        <v>0</v>
      </c>
      <c r="M1773" s="102">
        <v>85</v>
      </c>
      <c r="N1773" s="103">
        <v>2000</v>
      </c>
      <c r="O1773" s="171">
        <v>1</v>
      </c>
      <c r="P1773" s="103">
        <f t="shared" si="286"/>
        <v>2000</v>
      </c>
      <c r="Q1773" s="103"/>
      <c r="R1773" s="102">
        <v>2000</v>
      </c>
      <c r="S1773" s="102">
        <f t="shared" si="282"/>
        <v>0</v>
      </c>
      <c r="T1773" s="173">
        <f t="shared" si="283"/>
        <v>1016.4705882352941</v>
      </c>
      <c r="U1773" s="101">
        <f t="shared" si="284"/>
        <v>0</v>
      </c>
      <c r="V1773" s="101">
        <f t="shared" si="285"/>
        <v>0</v>
      </c>
      <c r="W1773" s="101">
        <v>0</v>
      </c>
      <c r="X1773" s="55">
        <f t="shared" si="287"/>
        <v>46153.026041666672</v>
      </c>
    </row>
    <row r="1774" spans="1:24" hidden="1" x14ac:dyDescent="0.35">
      <c r="A1774" s="71">
        <f t="shared" si="288"/>
        <v>46153.026041666672</v>
      </c>
      <c r="B1774" s="71"/>
      <c r="C1774" s="71"/>
      <c r="D1774" s="71"/>
      <c r="E1774" s="47" t="s">
        <v>1370</v>
      </c>
      <c r="F1774" s="82" t="s">
        <v>1211</v>
      </c>
      <c r="G1774" s="82"/>
      <c r="H1774" s="98" t="s">
        <v>2784</v>
      </c>
      <c r="I1774" s="82" t="s">
        <v>804</v>
      </c>
      <c r="J1774" s="100" t="s">
        <v>140</v>
      </c>
      <c r="K1774" s="84">
        <v>0</v>
      </c>
      <c r="L1774" s="91">
        <v>0</v>
      </c>
      <c r="M1774" s="92">
        <v>85</v>
      </c>
      <c r="N1774" s="94">
        <v>3000</v>
      </c>
      <c r="O1774" s="253">
        <v>1</v>
      </c>
      <c r="P1774" s="94">
        <f t="shared" si="286"/>
        <v>3000</v>
      </c>
      <c r="Q1774" s="94"/>
      <c r="R1774" s="92">
        <v>3000</v>
      </c>
      <c r="S1774" s="92">
        <f t="shared" si="282"/>
        <v>0</v>
      </c>
      <c r="T1774" s="173">
        <f t="shared" si="283"/>
        <v>1016.4705882352941</v>
      </c>
      <c r="U1774" s="101">
        <f t="shared" si="284"/>
        <v>0</v>
      </c>
      <c r="V1774" s="101">
        <f t="shared" si="285"/>
        <v>0</v>
      </c>
      <c r="W1774" s="101">
        <v>0</v>
      </c>
      <c r="X1774" s="55">
        <f t="shared" si="287"/>
        <v>46153.026041666672</v>
      </c>
    </row>
    <row r="1775" spans="1:24" hidden="1" x14ac:dyDescent="0.35">
      <c r="A1775" s="71">
        <f t="shared" si="288"/>
        <v>46153.026041666672</v>
      </c>
      <c r="B1775" s="71"/>
      <c r="C1775" s="71"/>
      <c r="D1775" s="71"/>
      <c r="E1775" s="47" t="s">
        <v>1370</v>
      </c>
      <c r="F1775" s="82" t="s">
        <v>1211</v>
      </c>
      <c r="G1775" s="82"/>
      <c r="H1775" s="98" t="s">
        <v>2785</v>
      </c>
      <c r="I1775" s="82" t="s">
        <v>804</v>
      </c>
      <c r="J1775" s="100" t="s">
        <v>140</v>
      </c>
      <c r="K1775" s="84">
        <v>0</v>
      </c>
      <c r="L1775" s="91">
        <v>0</v>
      </c>
      <c r="M1775" s="92">
        <v>85</v>
      </c>
      <c r="N1775" s="94">
        <v>3000</v>
      </c>
      <c r="O1775" s="253">
        <v>1</v>
      </c>
      <c r="P1775" s="94">
        <f t="shared" si="286"/>
        <v>3000</v>
      </c>
      <c r="Q1775" s="94"/>
      <c r="R1775" s="92">
        <v>3000</v>
      </c>
      <c r="S1775" s="92">
        <f t="shared" ref="S1775:S1832" si="289">P1775-R1775</f>
        <v>0</v>
      </c>
      <c r="T1775" s="173">
        <f t="shared" ref="T1775:T1814" si="290">((3600/M1775)*O1775)*24</f>
        <v>1016.4705882352941</v>
      </c>
      <c r="U1775" s="101">
        <f t="shared" ref="U1775:U1814" si="291">(P1775-R1775)*M1775/3600</f>
        <v>0</v>
      </c>
      <c r="V1775" s="101">
        <f t="shared" ref="V1775:V1814" si="292">(P1775-R1775)*M1775/3600/24</f>
        <v>0</v>
      </c>
      <c r="W1775" s="101">
        <v>0</v>
      </c>
      <c r="X1775" s="55">
        <f t="shared" si="287"/>
        <v>46153.026041666672</v>
      </c>
    </row>
    <row r="1776" spans="1:24" hidden="1" x14ac:dyDescent="0.35">
      <c r="A1776" s="71">
        <f t="shared" si="288"/>
        <v>46153.026041666672</v>
      </c>
      <c r="B1776" s="71"/>
      <c r="C1776" s="71"/>
      <c r="D1776" s="71"/>
      <c r="E1776" s="119" t="s">
        <v>289</v>
      </c>
      <c r="F1776" s="82" t="s">
        <v>227</v>
      </c>
      <c r="G1776" s="82"/>
      <c r="H1776" s="98" t="s">
        <v>2786</v>
      </c>
      <c r="I1776" s="82" t="s">
        <v>716</v>
      </c>
      <c r="J1776" s="100" t="s">
        <v>140</v>
      </c>
      <c r="K1776" s="84">
        <v>0</v>
      </c>
      <c r="L1776" s="101">
        <v>0</v>
      </c>
      <c r="M1776" s="102">
        <v>85</v>
      </c>
      <c r="N1776" s="103">
        <v>923</v>
      </c>
      <c r="O1776" s="171">
        <v>1</v>
      </c>
      <c r="P1776" s="103">
        <f t="shared" si="286"/>
        <v>923</v>
      </c>
      <c r="Q1776" s="103"/>
      <c r="R1776" s="102">
        <v>923</v>
      </c>
      <c r="S1776" s="102">
        <f t="shared" si="289"/>
        <v>0</v>
      </c>
      <c r="T1776" s="173">
        <f t="shared" si="290"/>
        <v>1016.4705882352941</v>
      </c>
      <c r="U1776" s="101">
        <f t="shared" si="291"/>
        <v>0</v>
      </c>
      <c r="V1776" s="101">
        <f t="shared" si="292"/>
        <v>0</v>
      </c>
      <c r="W1776" s="101">
        <v>0</v>
      </c>
      <c r="X1776" s="55">
        <f t="shared" si="287"/>
        <v>46153.026041666672</v>
      </c>
    </row>
    <row r="1777" spans="1:24" ht="26.5" hidden="1" x14ac:dyDescent="0.35">
      <c r="A1777" s="71">
        <f t="shared" si="288"/>
        <v>46153.026041666672</v>
      </c>
      <c r="B1777" s="71"/>
      <c r="C1777" s="71"/>
      <c r="D1777" s="71"/>
      <c r="E1777" s="119" t="s">
        <v>289</v>
      </c>
      <c r="F1777" s="82" t="s">
        <v>1794</v>
      </c>
      <c r="G1777" s="82"/>
      <c r="H1777" s="98" t="s">
        <v>2787</v>
      </c>
      <c r="I1777" s="82" t="s">
        <v>292</v>
      </c>
      <c r="J1777" s="100" t="s">
        <v>140</v>
      </c>
      <c r="K1777" s="84">
        <v>0</v>
      </c>
      <c r="L1777" s="91">
        <v>0</v>
      </c>
      <c r="M1777" s="92">
        <v>120</v>
      </c>
      <c r="N1777" s="94">
        <v>7560</v>
      </c>
      <c r="O1777" s="253">
        <v>2</v>
      </c>
      <c r="P1777" s="94">
        <f t="shared" si="286"/>
        <v>3780</v>
      </c>
      <c r="Q1777" s="94"/>
      <c r="R1777" s="92">
        <v>3780</v>
      </c>
      <c r="S1777" s="92">
        <f t="shared" si="289"/>
        <v>0</v>
      </c>
      <c r="T1777" s="173">
        <f t="shared" si="290"/>
        <v>1440</v>
      </c>
      <c r="U1777" s="101">
        <f t="shared" si="291"/>
        <v>0</v>
      </c>
      <c r="V1777" s="101">
        <f t="shared" si="292"/>
        <v>0</v>
      </c>
      <c r="W1777" s="101">
        <v>0</v>
      </c>
      <c r="X1777" s="55">
        <f t="shared" si="287"/>
        <v>46153.026041666672</v>
      </c>
    </row>
    <row r="1778" spans="1:24" hidden="1" x14ac:dyDescent="0.35">
      <c r="A1778" s="71">
        <f t="shared" si="288"/>
        <v>46153.026041666672</v>
      </c>
      <c r="B1778" s="71"/>
      <c r="C1778" s="71"/>
      <c r="D1778" s="71"/>
      <c r="E1778" s="47" t="s">
        <v>289</v>
      </c>
      <c r="F1778" s="82" t="s">
        <v>227</v>
      </c>
      <c r="G1778" s="82"/>
      <c r="H1778" s="98" t="s">
        <v>2788</v>
      </c>
      <c r="I1778" s="82" t="s">
        <v>804</v>
      </c>
      <c r="J1778" s="100" t="s">
        <v>140</v>
      </c>
      <c r="K1778" s="84">
        <v>0</v>
      </c>
      <c r="L1778" s="91">
        <v>0</v>
      </c>
      <c r="M1778" s="92">
        <v>85</v>
      </c>
      <c r="N1778" s="94">
        <v>3000</v>
      </c>
      <c r="O1778" s="253">
        <v>1</v>
      </c>
      <c r="P1778" s="94">
        <f t="shared" si="286"/>
        <v>3000</v>
      </c>
      <c r="Q1778" s="94"/>
      <c r="R1778" s="92">
        <v>3000</v>
      </c>
      <c r="S1778" s="92">
        <f t="shared" si="289"/>
        <v>0</v>
      </c>
      <c r="T1778" s="173">
        <f t="shared" si="290"/>
        <v>1016.4705882352941</v>
      </c>
      <c r="U1778" s="101">
        <f t="shared" si="291"/>
        <v>0</v>
      </c>
      <c r="V1778" s="101">
        <f t="shared" si="292"/>
        <v>0</v>
      </c>
      <c r="W1778" s="101">
        <v>0</v>
      </c>
      <c r="X1778" s="55">
        <f t="shared" si="287"/>
        <v>46153.026041666672</v>
      </c>
    </row>
    <row r="1779" spans="1:24" hidden="1" x14ac:dyDescent="0.35">
      <c r="A1779" s="71">
        <f t="shared" si="288"/>
        <v>46153.026041666672</v>
      </c>
      <c r="B1779" s="71"/>
      <c r="C1779" s="71"/>
      <c r="D1779" s="71"/>
      <c r="E1779" s="47" t="s">
        <v>289</v>
      </c>
      <c r="F1779" s="82" t="s">
        <v>227</v>
      </c>
      <c r="G1779" s="82"/>
      <c r="H1779" s="98" t="s">
        <v>2789</v>
      </c>
      <c r="I1779" s="82" t="s">
        <v>804</v>
      </c>
      <c r="J1779" s="100" t="s">
        <v>140</v>
      </c>
      <c r="K1779" s="84">
        <v>0</v>
      </c>
      <c r="L1779" s="91">
        <v>0</v>
      </c>
      <c r="M1779" s="92">
        <v>85</v>
      </c>
      <c r="N1779" s="94">
        <v>2000</v>
      </c>
      <c r="O1779" s="253">
        <v>1</v>
      </c>
      <c r="P1779" s="94">
        <f t="shared" si="286"/>
        <v>2000</v>
      </c>
      <c r="Q1779" s="94"/>
      <c r="R1779" s="92">
        <v>2000</v>
      </c>
      <c r="S1779" s="92">
        <f t="shared" si="289"/>
        <v>0</v>
      </c>
      <c r="T1779" s="173">
        <f t="shared" si="290"/>
        <v>1016.4705882352941</v>
      </c>
      <c r="U1779" s="101">
        <f t="shared" si="291"/>
        <v>0</v>
      </c>
      <c r="V1779" s="101">
        <f t="shared" si="292"/>
        <v>0</v>
      </c>
      <c r="W1779" s="101">
        <v>0</v>
      </c>
      <c r="X1779" s="55">
        <f t="shared" si="287"/>
        <v>46153.026041666672</v>
      </c>
    </row>
    <row r="1780" spans="1:24" hidden="1" x14ac:dyDescent="0.35">
      <c r="A1780" s="71">
        <f t="shared" si="288"/>
        <v>46153.026041666672</v>
      </c>
      <c r="B1780" s="71"/>
      <c r="C1780" s="71"/>
      <c r="D1780" s="71"/>
      <c r="E1780" s="47" t="s">
        <v>289</v>
      </c>
      <c r="F1780" s="82" t="s">
        <v>714</v>
      </c>
      <c r="G1780" s="82"/>
      <c r="H1780" s="98" t="s">
        <v>2790</v>
      </c>
      <c r="I1780" s="82" t="s">
        <v>804</v>
      </c>
      <c r="J1780" s="100" t="s">
        <v>140</v>
      </c>
      <c r="K1780" s="84">
        <v>0</v>
      </c>
      <c r="L1780" s="91">
        <v>0</v>
      </c>
      <c r="M1780" s="92">
        <v>85</v>
      </c>
      <c r="N1780" s="94">
        <v>3000</v>
      </c>
      <c r="O1780" s="253">
        <v>1</v>
      </c>
      <c r="P1780" s="94">
        <f t="shared" si="286"/>
        <v>3000</v>
      </c>
      <c r="Q1780" s="94"/>
      <c r="R1780" s="92">
        <v>3000</v>
      </c>
      <c r="S1780" s="92">
        <f t="shared" si="289"/>
        <v>0</v>
      </c>
      <c r="T1780" s="173">
        <f t="shared" si="290"/>
        <v>1016.4705882352941</v>
      </c>
      <c r="U1780" s="101">
        <f t="shared" si="291"/>
        <v>0</v>
      </c>
      <c r="V1780" s="101">
        <f t="shared" si="292"/>
        <v>0</v>
      </c>
      <c r="W1780" s="101">
        <v>0</v>
      </c>
      <c r="X1780" s="55">
        <f t="shared" si="287"/>
        <v>46153.026041666672</v>
      </c>
    </row>
    <row r="1781" spans="1:24" hidden="1" x14ac:dyDescent="0.35">
      <c r="A1781" s="71">
        <f t="shared" si="288"/>
        <v>46153.026041666672</v>
      </c>
      <c r="B1781" s="71"/>
      <c r="C1781" s="71"/>
      <c r="D1781" s="71"/>
      <c r="E1781" s="47" t="s">
        <v>289</v>
      </c>
      <c r="F1781" s="82" t="s">
        <v>2178</v>
      </c>
      <c r="G1781" s="82"/>
      <c r="H1781" s="98" t="s">
        <v>2791</v>
      </c>
      <c r="I1781" s="82" t="s">
        <v>804</v>
      </c>
      <c r="J1781" s="100" t="s">
        <v>140</v>
      </c>
      <c r="K1781" s="84">
        <v>0</v>
      </c>
      <c r="L1781" s="91">
        <v>0</v>
      </c>
      <c r="M1781" s="92">
        <v>85</v>
      </c>
      <c r="N1781" s="94">
        <v>2750</v>
      </c>
      <c r="O1781" s="253">
        <v>1</v>
      </c>
      <c r="P1781" s="94">
        <f t="shared" si="286"/>
        <v>2750</v>
      </c>
      <c r="Q1781" s="94"/>
      <c r="R1781" s="92">
        <v>2750</v>
      </c>
      <c r="S1781" s="92">
        <f t="shared" si="289"/>
        <v>0</v>
      </c>
      <c r="T1781" s="173">
        <f t="shared" si="290"/>
        <v>1016.4705882352941</v>
      </c>
      <c r="U1781" s="101">
        <f t="shared" si="291"/>
        <v>0</v>
      </c>
      <c r="V1781" s="101">
        <f t="shared" si="292"/>
        <v>0</v>
      </c>
      <c r="W1781" s="101">
        <v>0</v>
      </c>
      <c r="X1781" s="55">
        <f t="shared" si="287"/>
        <v>46153.026041666672</v>
      </c>
    </row>
    <row r="1782" spans="1:24" ht="26.5" hidden="1" x14ac:dyDescent="0.35">
      <c r="A1782" s="71">
        <f t="shared" si="288"/>
        <v>46153.026041666672</v>
      </c>
      <c r="B1782" s="71"/>
      <c r="C1782" s="71"/>
      <c r="D1782" s="71"/>
      <c r="E1782" s="47" t="s">
        <v>195</v>
      </c>
      <c r="F1782" s="82" t="s">
        <v>745</v>
      </c>
      <c r="G1782" s="82"/>
      <c r="H1782" s="107" t="s">
        <v>2792</v>
      </c>
      <c r="I1782" s="82" t="s">
        <v>1573</v>
      </c>
      <c r="J1782" s="100" t="s">
        <v>140</v>
      </c>
      <c r="K1782" s="84">
        <v>0</v>
      </c>
      <c r="L1782" s="91">
        <v>0</v>
      </c>
      <c r="M1782" s="92">
        <v>100</v>
      </c>
      <c r="N1782" s="94">
        <v>1500</v>
      </c>
      <c r="O1782" s="253">
        <v>1</v>
      </c>
      <c r="P1782" s="94">
        <f t="shared" si="286"/>
        <v>1500</v>
      </c>
      <c r="Q1782" s="94"/>
      <c r="R1782" s="92">
        <v>1500</v>
      </c>
      <c r="S1782" s="92">
        <f t="shared" si="289"/>
        <v>0</v>
      </c>
      <c r="T1782" s="173">
        <f t="shared" si="290"/>
        <v>864</v>
      </c>
      <c r="U1782" s="101">
        <f t="shared" si="291"/>
        <v>0</v>
      </c>
      <c r="V1782" s="101">
        <f t="shared" si="292"/>
        <v>0</v>
      </c>
      <c r="W1782" s="101">
        <v>0</v>
      </c>
      <c r="X1782" s="55">
        <f t="shared" si="287"/>
        <v>46153.026041666672</v>
      </c>
    </row>
    <row r="1783" spans="1:24" s="118" customFormat="1" ht="26.5" hidden="1" x14ac:dyDescent="0.35">
      <c r="A1783" s="71">
        <f t="shared" si="288"/>
        <v>46153.026041666672</v>
      </c>
      <c r="B1783" s="71"/>
      <c r="C1783" s="71"/>
      <c r="D1783" s="71"/>
      <c r="E1783" s="47" t="s">
        <v>289</v>
      </c>
      <c r="F1783" s="82" t="s">
        <v>2793</v>
      </c>
      <c r="G1783" s="82"/>
      <c r="H1783" s="98" t="s">
        <v>2794</v>
      </c>
      <c r="I1783" s="82" t="s">
        <v>292</v>
      </c>
      <c r="J1783" s="100" t="s">
        <v>140</v>
      </c>
      <c r="K1783" s="84">
        <v>0</v>
      </c>
      <c r="L1783" s="91">
        <v>0</v>
      </c>
      <c r="M1783" s="92">
        <v>120</v>
      </c>
      <c r="N1783" s="94">
        <v>2000</v>
      </c>
      <c r="O1783" s="253">
        <v>2</v>
      </c>
      <c r="P1783" s="94">
        <f t="shared" si="286"/>
        <v>1000</v>
      </c>
      <c r="Q1783" s="94"/>
      <c r="R1783" s="92">
        <v>1000</v>
      </c>
      <c r="S1783" s="92">
        <f t="shared" si="289"/>
        <v>0</v>
      </c>
      <c r="T1783" s="173">
        <f t="shared" si="290"/>
        <v>1440</v>
      </c>
      <c r="U1783" s="101">
        <f t="shared" si="291"/>
        <v>0</v>
      </c>
      <c r="V1783" s="101">
        <f t="shared" si="292"/>
        <v>0</v>
      </c>
      <c r="W1783" s="101">
        <v>0</v>
      </c>
      <c r="X1783" s="55">
        <f t="shared" si="287"/>
        <v>46153.026041666672</v>
      </c>
    </row>
    <row r="1784" spans="1:24" s="118" customFormat="1" ht="26.5" hidden="1" x14ac:dyDescent="0.35">
      <c r="A1784" s="71">
        <f t="shared" si="288"/>
        <v>46153.026041666672</v>
      </c>
      <c r="B1784" s="71"/>
      <c r="C1784" s="71"/>
      <c r="D1784" s="71"/>
      <c r="E1784" s="47" t="s">
        <v>289</v>
      </c>
      <c r="F1784" s="82" t="s">
        <v>2795</v>
      </c>
      <c r="G1784" s="82"/>
      <c r="H1784" s="98" t="s">
        <v>2796</v>
      </c>
      <c r="I1784" s="82" t="s">
        <v>292</v>
      </c>
      <c r="J1784" s="100" t="s">
        <v>140</v>
      </c>
      <c r="K1784" s="84">
        <v>0</v>
      </c>
      <c r="L1784" s="91">
        <v>0</v>
      </c>
      <c r="M1784" s="92">
        <v>120</v>
      </c>
      <c r="N1784" s="94">
        <v>2772</v>
      </c>
      <c r="O1784" s="253">
        <v>2</v>
      </c>
      <c r="P1784" s="94">
        <f t="shared" si="286"/>
        <v>1386</v>
      </c>
      <c r="Q1784" s="94"/>
      <c r="R1784" s="92">
        <v>1386</v>
      </c>
      <c r="S1784" s="92">
        <f t="shared" si="289"/>
        <v>0</v>
      </c>
      <c r="T1784" s="173">
        <f t="shared" si="290"/>
        <v>1440</v>
      </c>
      <c r="U1784" s="101">
        <f t="shared" si="291"/>
        <v>0</v>
      </c>
      <c r="V1784" s="101">
        <f t="shared" si="292"/>
        <v>0</v>
      </c>
      <c r="W1784" s="101">
        <v>0</v>
      </c>
      <c r="X1784" s="55">
        <f t="shared" si="287"/>
        <v>46153.026041666672</v>
      </c>
    </row>
    <row r="1785" spans="1:24" hidden="1" x14ac:dyDescent="0.35">
      <c r="A1785" s="71">
        <f t="shared" si="288"/>
        <v>46153.026041666672</v>
      </c>
      <c r="B1785" s="71"/>
      <c r="C1785" s="71"/>
      <c r="D1785" s="71"/>
      <c r="E1785" s="47" t="s">
        <v>289</v>
      </c>
      <c r="F1785" s="82" t="s">
        <v>2178</v>
      </c>
      <c r="G1785" s="82"/>
      <c r="H1785" s="98" t="s">
        <v>2797</v>
      </c>
      <c r="I1785" s="82" t="s">
        <v>804</v>
      </c>
      <c r="J1785" s="100" t="s">
        <v>140</v>
      </c>
      <c r="K1785" s="84">
        <v>0</v>
      </c>
      <c r="L1785" s="91">
        <v>0</v>
      </c>
      <c r="M1785" s="92">
        <v>85</v>
      </c>
      <c r="N1785" s="94">
        <v>1000</v>
      </c>
      <c r="O1785" s="253">
        <v>1</v>
      </c>
      <c r="P1785" s="94">
        <f t="shared" si="286"/>
        <v>1000</v>
      </c>
      <c r="Q1785" s="94"/>
      <c r="R1785" s="92">
        <v>1000</v>
      </c>
      <c r="S1785" s="92">
        <f t="shared" si="289"/>
        <v>0</v>
      </c>
      <c r="T1785" s="173">
        <f t="shared" si="290"/>
        <v>1016.4705882352941</v>
      </c>
      <c r="U1785" s="101">
        <f t="shared" si="291"/>
        <v>0</v>
      </c>
      <c r="V1785" s="101">
        <f t="shared" si="292"/>
        <v>0</v>
      </c>
      <c r="W1785" s="101">
        <v>0</v>
      </c>
      <c r="X1785" s="55">
        <f t="shared" si="287"/>
        <v>46153.026041666672</v>
      </c>
    </row>
    <row r="1786" spans="1:24" hidden="1" x14ac:dyDescent="0.35">
      <c r="A1786" s="71">
        <f t="shared" si="288"/>
        <v>46153.026041666672</v>
      </c>
      <c r="B1786" s="71"/>
      <c r="C1786" s="71"/>
      <c r="D1786" s="71"/>
      <c r="E1786" s="119" t="s">
        <v>289</v>
      </c>
      <c r="F1786" s="82" t="s">
        <v>2798</v>
      </c>
      <c r="G1786" s="82"/>
      <c r="H1786" s="98" t="s">
        <v>2799</v>
      </c>
      <c r="I1786" s="82" t="s">
        <v>716</v>
      </c>
      <c r="J1786" s="100" t="s">
        <v>140</v>
      </c>
      <c r="K1786" s="84">
        <v>0</v>
      </c>
      <c r="L1786" s="101">
        <v>0</v>
      </c>
      <c r="M1786" s="102">
        <v>85</v>
      </c>
      <c r="N1786" s="103">
        <v>3000</v>
      </c>
      <c r="O1786" s="171">
        <v>1</v>
      </c>
      <c r="P1786" s="103">
        <f t="shared" si="286"/>
        <v>3000</v>
      </c>
      <c r="Q1786" s="103"/>
      <c r="R1786" s="102">
        <v>3000</v>
      </c>
      <c r="S1786" s="102">
        <f t="shared" si="289"/>
        <v>0</v>
      </c>
      <c r="T1786" s="173">
        <f t="shared" si="290"/>
        <v>1016.4705882352941</v>
      </c>
      <c r="U1786" s="101">
        <f t="shared" si="291"/>
        <v>0</v>
      </c>
      <c r="V1786" s="101">
        <f t="shared" si="292"/>
        <v>0</v>
      </c>
      <c r="W1786" s="101">
        <v>0</v>
      </c>
      <c r="X1786" s="55">
        <f t="shared" si="287"/>
        <v>46153.026041666672</v>
      </c>
    </row>
    <row r="1787" spans="1:24" hidden="1" x14ac:dyDescent="0.35">
      <c r="A1787" s="71">
        <f t="shared" si="288"/>
        <v>46153.026041666672</v>
      </c>
      <c r="B1787" s="71"/>
      <c r="C1787" s="71"/>
      <c r="D1787" s="71"/>
      <c r="E1787" s="47" t="s">
        <v>289</v>
      </c>
      <c r="F1787" s="104" t="s">
        <v>2800</v>
      </c>
      <c r="G1787" s="104"/>
      <c r="H1787" s="98" t="s">
        <v>2801</v>
      </c>
      <c r="I1787" s="82" t="s">
        <v>804</v>
      </c>
      <c r="J1787" s="100" t="s">
        <v>140</v>
      </c>
      <c r="K1787" s="84">
        <v>0</v>
      </c>
      <c r="L1787" s="91">
        <v>0</v>
      </c>
      <c r="M1787" s="92">
        <v>85</v>
      </c>
      <c r="N1787" s="94">
        <v>1000</v>
      </c>
      <c r="O1787" s="253">
        <v>1</v>
      </c>
      <c r="P1787" s="94">
        <f t="shared" si="286"/>
        <v>1000</v>
      </c>
      <c r="Q1787" s="94"/>
      <c r="R1787" s="92">
        <v>1000</v>
      </c>
      <c r="S1787" s="92">
        <f t="shared" si="289"/>
        <v>0</v>
      </c>
      <c r="T1787" s="173">
        <f t="shared" si="290"/>
        <v>1016.4705882352941</v>
      </c>
      <c r="U1787" s="101">
        <f t="shared" si="291"/>
        <v>0</v>
      </c>
      <c r="V1787" s="101">
        <f t="shared" si="292"/>
        <v>0</v>
      </c>
      <c r="W1787" s="101">
        <v>0</v>
      </c>
      <c r="X1787" s="55">
        <f t="shared" si="287"/>
        <v>46153.026041666672</v>
      </c>
    </row>
    <row r="1788" spans="1:24" hidden="1" x14ac:dyDescent="0.35">
      <c r="A1788" s="71">
        <f t="shared" si="288"/>
        <v>46153.026041666672</v>
      </c>
      <c r="B1788" s="71"/>
      <c r="C1788" s="71"/>
      <c r="D1788" s="71"/>
      <c r="E1788" s="47" t="s">
        <v>289</v>
      </c>
      <c r="F1788" s="104" t="s">
        <v>312</v>
      </c>
      <c r="G1788" s="104"/>
      <c r="H1788" s="98" t="s">
        <v>2802</v>
      </c>
      <c r="I1788" s="82" t="s">
        <v>804</v>
      </c>
      <c r="J1788" s="100" t="s">
        <v>140</v>
      </c>
      <c r="K1788" s="84">
        <v>0</v>
      </c>
      <c r="L1788" s="91">
        <v>0</v>
      </c>
      <c r="M1788" s="92">
        <v>85</v>
      </c>
      <c r="N1788" s="94">
        <v>4000</v>
      </c>
      <c r="O1788" s="253">
        <v>1</v>
      </c>
      <c r="P1788" s="94">
        <f t="shared" si="286"/>
        <v>4000</v>
      </c>
      <c r="Q1788" s="94"/>
      <c r="R1788" s="92">
        <v>4000</v>
      </c>
      <c r="S1788" s="92">
        <f t="shared" si="289"/>
        <v>0</v>
      </c>
      <c r="T1788" s="173">
        <f t="shared" si="290"/>
        <v>1016.4705882352941</v>
      </c>
      <c r="U1788" s="101">
        <f t="shared" si="291"/>
        <v>0</v>
      </c>
      <c r="V1788" s="101">
        <f t="shared" si="292"/>
        <v>0</v>
      </c>
      <c r="W1788" s="101">
        <v>0</v>
      </c>
      <c r="X1788" s="55">
        <f t="shared" si="287"/>
        <v>46153.026041666672</v>
      </c>
    </row>
    <row r="1789" spans="1:24" hidden="1" x14ac:dyDescent="0.35">
      <c r="A1789" s="71">
        <f t="shared" si="288"/>
        <v>46153.026041666672</v>
      </c>
      <c r="B1789" s="71"/>
      <c r="C1789" s="71"/>
      <c r="D1789" s="71"/>
      <c r="E1789" s="119" t="s">
        <v>289</v>
      </c>
      <c r="F1789" s="104" t="s">
        <v>312</v>
      </c>
      <c r="G1789" s="104" t="s">
        <v>2803</v>
      </c>
      <c r="H1789" s="98" t="s">
        <v>2804</v>
      </c>
      <c r="I1789" s="82" t="s">
        <v>716</v>
      </c>
      <c r="J1789" s="100" t="s">
        <v>140</v>
      </c>
      <c r="K1789" s="84">
        <v>0</v>
      </c>
      <c r="L1789" s="101">
        <v>0</v>
      </c>
      <c r="M1789" s="102">
        <v>85</v>
      </c>
      <c r="N1789" s="103">
        <v>3000</v>
      </c>
      <c r="O1789" s="171">
        <v>1</v>
      </c>
      <c r="P1789" s="103">
        <f t="shared" si="286"/>
        <v>3000</v>
      </c>
      <c r="Q1789" s="103"/>
      <c r="R1789" s="102">
        <v>3000</v>
      </c>
      <c r="S1789" s="102">
        <f t="shared" si="289"/>
        <v>0</v>
      </c>
      <c r="T1789" s="173">
        <f t="shared" si="290"/>
        <v>1016.4705882352941</v>
      </c>
      <c r="U1789" s="101">
        <f t="shared" si="291"/>
        <v>0</v>
      </c>
      <c r="V1789" s="101">
        <f t="shared" si="292"/>
        <v>0</v>
      </c>
      <c r="W1789" s="101">
        <v>0</v>
      </c>
      <c r="X1789" s="55">
        <f t="shared" si="287"/>
        <v>46153.026041666672</v>
      </c>
    </row>
    <row r="1790" spans="1:24" hidden="1" x14ac:dyDescent="0.35">
      <c r="A1790" s="71">
        <f t="shared" si="288"/>
        <v>46153.026041666672</v>
      </c>
      <c r="B1790" s="71"/>
      <c r="C1790" s="71"/>
      <c r="D1790" s="71"/>
      <c r="E1790" s="119" t="s">
        <v>289</v>
      </c>
      <c r="F1790" s="104" t="s">
        <v>1856</v>
      </c>
      <c r="G1790" s="104" t="s">
        <v>2803</v>
      </c>
      <c r="H1790" s="98" t="s">
        <v>2805</v>
      </c>
      <c r="I1790" s="82" t="s">
        <v>716</v>
      </c>
      <c r="J1790" s="100" t="s">
        <v>140</v>
      </c>
      <c r="K1790" s="84">
        <v>0</v>
      </c>
      <c r="L1790" s="101">
        <v>0</v>
      </c>
      <c r="M1790" s="102">
        <v>85</v>
      </c>
      <c r="N1790" s="103">
        <v>1500</v>
      </c>
      <c r="O1790" s="171">
        <v>1</v>
      </c>
      <c r="P1790" s="103">
        <f t="shared" si="286"/>
        <v>1500</v>
      </c>
      <c r="Q1790" s="103"/>
      <c r="R1790" s="102">
        <v>1500</v>
      </c>
      <c r="S1790" s="102">
        <f t="shared" si="289"/>
        <v>0</v>
      </c>
      <c r="T1790" s="173">
        <f t="shared" si="290"/>
        <v>1016.4705882352941</v>
      </c>
      <c r="U1790" s="101">
        <f t="shared" si="291"/>
        <v>0</v>
      </c>
      <c r="V1790" s="101">
        <f t="shared" si="292"/>
        <v>0</v>
      </c>
      <c r="W1790" s="101">
        <v>0</v>
      </c>
      <c r="X1790" s="55">
        <f t="shared" si="287"/>
        <v>46153.026041666672</v>
      </c>
    </row>
    <row r="1791" spans="1:24" hidden="1" x14ac:dyDescent="0.35">
      <c r="A1791" s="123">
        <f t="shared" si="288"/>
        <v>46153.026041666672</v>
      </c>
      <c r="B1791" s="123"/>
      <c r="C1791" s="123"/>
      <c r="D1791" s="123"/>
      <c r="E1791" s="124" t="s">
        <v>289</v>
      </c>
      <c r="F1791" s="184" t="s">
        <v>1856</v>
      </c>
      <c r="G1791" s="184" t="s">
        <v>2803</v>
      </c>
      <c r="H1791" s="126" t="s">
        <v>2806</v>
      </c>
      <c r="I1791" s="159" t="s">
        <v>804</v>
      </c>
      <c r="J1791" s="175" t="s">
        <v>140</v>
      </c>
      <c r="K1791" s="570">
        <v>0</v>
      </c>
      <c r="L1791" s="129">
        <v>0</v>
      </c>
      <c r="M1791" s="130">
        <v>85</v>
      </c>
      <c r="N1791" s="131">
        <v>6000</v>
      </c>
      <c r="O1791" s="189">
        <v>1</v>
      </c>
      <c r="P1791" s="131">
        <f t="shared" si="286"/>
        <v>6000</v>
      </c>
      <c r="Q1791" s="131"/>
      <c r="R1791" s="176">
        <v>6000</v>
      </c>
      <c r="S1791" s="130">
        <f t="shared" si="289"/>
        <v>0</v>
      </c>
      <c r="T1791" s="168">
        <f t="shared" si="290"/>
        <v>1016.4705882352941</v>
      </c>
      <c r="U1791" s="163">
        <f t="shared" si="291"/>
        <v>0</v>
      </c>
      <c r="V1791" s="163">
        <f t="shared" si="292"/>
        <v>0</v>
      </c>
      <c r="W1791" s="163">
        <v>0</v>
      </c>
      <c r="X1791" s="137">
        <f t="shared" si="287"/>
        <v>46153.026041666672</v>
      </c>
    </row>
    <row r="1792" spans="1:24" s="118" customFormat="1" hidden="1" x14ac:dyDescent="0.35">
      <c r="A1792" s="123">
        <f t="shared" si="288"/>
        <v>46153.026041666672</v>
      </c>
      <c r="B1792" s="123"/>
      <c r="C1792" s="123"/>
      <c r="D1792" s="123"/>
      <c r="E1792" s="124" t="s">
        <v>289</v>
      </c>
      <c r="F1792" s="159" t="s">
        <v>900</v>
      </c>
      <c r="G1792" s="584" t="s">
        <v>780</v>
      </c>
      <c r="H1792" s="262" t="s">
        <v>2807</v>
      </c>
      <c r="I1792" s="585" t="s">
        <v>1049</v>
      </c>
      <c r="J1792" s="175" t="s">
        <v>140</v>
      </c>
      <c r="K1792" s="570">
        <v>0</v>
      </c>
      <c r="L1792" s="586">
        <v>0</v>
      </c>
      <c r="M1792" s="263">
        <v>95</v>
      </c>
      <c r="N1792" s="131">
        <v>1000</v>
      </c>
      <c r="O1792" s="189">
        <v>1</v>
      </c>
      <c r="P1792" s="131">
        <f t="shared" si="286"/>
        <v>1000</v>
      </c>
      <c r="Q1792" s="131"/>
      <c r="R1792" s="176">
        <v>1000</v>
      </c>
      <c r="S1792" s="263">
        <f t="shared" si="289"/>
        <v>0</v>
      </c>
      <c r="T1792" s="587">
        <f t="shared" si="290"/>
        <v>909.47368421052624</v>
      </c>
      <c r="U1792" s="570">
        <f t="shared" si="291"/>
        <v>0</v>
      </c>
      <c r="V1792" s="570">
        <f t="shared" si="292"/>
        <v>0</v>
      </c>
      <c r="W1792" s="570">
        <v>0</v>
      </c>
      <c r="X1792" s="137">
        <f>A1792+K1792+V1792+W1792+L1792</f>
        <v>46153.026041666672</v>
      </c>
    </row>
    <row r="1793" spans="1:24" ht="26" hidden="1" x14ac:dyDescent="0.35">
      <c r="A1793" s="123">
        <f t="shared" si="288"/>
        <v>46153.026041666672</v>
      </c>
      <c r="B1793" s="123"/>
      <c r="C1793" s="123"/>
      <c r="D1793" s="123"/>
      <c r="E1793" s="124" t="s">
        <v>289</v>
      </c>
      <c r="F1793" s="159" t="s">
        <v>900</v>
      </c>
      <c r="G1793" s="584" t="s">
        <v>780</v>
      </c>
      <c r="H1793" s="126" t="s">
        <v>2808</v>
      </c>
      <c r="I1793" s="585" t="s">
        <v>2177</v>
      </c>
      <c r="J1793" s="175" t="s">
        <v>140</v>
      </c>
      <c r="K1793" s="129">
        <v>0</v>
      </c>
      <c r="L1793" s="129">
        <v>0</v>
      </c>
      <c r="M1793" s="130">
        <v>95</v>
      </c>
      <c r="N1793" s="131">
        <v>1600</v>
      </c>
      <c r="O1793" s="189">
        <v>1</v>
      </c>
      <c r="P1793" s="131">
        <f t="shared" ref="P1793:P1832" si="293">N1793/O1793</f>
        <v>1600</v>
      </c>
      <c r="Q1793" s="131"/>
      <c r="R1793" s="176">
        <v>1600</v>
      </c>
      <c r="S1793" s="130">
        <f t="shared" si="289"/>
        <v>0</v>
      </c>
      <c r="T1793" s="168">
        <f t="shared" si="290"/>
        <v>909.47368421052624</v>
      </c>
      <c r="U1793" s="163">
        <f t="shared" si="291"/>
        <v>0</v>
      </c>
      <c r="V1793" s="163">
        <f t="shared" si="292"/>
        <v>0</v>
      </c>
      <c r="W1793" s="163">
        <v>0</v>
      </c>
      <c r="X1793" s="137">
        <f>A1793+K1793+V1793+W1793+L1793</f>
        <v>46153.026041666672</v>
      </c>
    </row>
    <row r="1794" spans="1:24" s="118" customFormat="1" ht="26" hidden="1" x14ac:dyDescent="0.35">
      <c r="A1794" s="123">
        <f t="shared" si="288"/>
        <v>46153.026041666672</v>
      </c>
      <c r="B1794" s="123"/>
      <c r="C1794" s="123"/>
      <c r="D1794" s="123"/>
      <c r="E1794" s="124" t="s">
        <v>289</v>
      </c>
      <c r="F1794" s="159" t="s">
        <v>900</v>
      </c>
      <c r="G1794" s="584" t="s">
        <v>780</v>
      </c>
      <c r="H1794" s="262" t="s">
        <v>2809</v>
      </c>
      <c r="I1794" s="585" t="s">
        <v>1051</v>
      </c>
      <c r="J1794" s="175" t="s">
        <v>140</v>
      </c>
      <c r="K1794" s="586">
        <v>0</v>
      </c>
      <c r="L1794" s="586">
        <v>0</v>
      </c>
      <c r="M1794" s="263">
        <v>95</v>
      </c>
      <c r="N1794" s="131">
        <v>500</v>
      </c>
      <c r="O1794" s="189">
        <v>1</v>
      </c>
      <c r="P1794" s="131">
        <f t="shared" si="293"/>
        <v>500</v>
      </c>
      <c r="Q1794" s="131"/>
      <c r="R1794" s="176"/>
      <c r="S1794" s="263">
        <f t="shared" si="289"/>
        <v>500</v>
      </c>
      <c r="T1794" s="587">
        <f t="shared" si="290"/>
        <v>909.47368421052624</v>
      </c>
      <c r="U1794" s="570">
        <f t="shared" si="291"/>
        <v>13.194444444444445</v>
      </c>
      <c r="V1794" s="570">
        <f t="shared" si="292"/>
        <v>0.54976851851851849</v>
      </c>
      <c r="W1794" s="570">
        <v>0</v>
      </c>
      <c r="X1794" s="137">
        <f>A1794+K1794+V1794+W1794+L1794</f>
        <v>46153.57581018519</v>
      </c>
    </row>
    <row r="1795" spans="1:24" ht="39.5" hidden="1" x14ac:dyDescent="0.35">
      <c r="A1795" s="123">
        <f t="shared" si="288"/>
        <v>46153.57581018519</v>
      </c>
      <c r="B1795" s="123"/>
      <c r="C1795" s="123"/>
      <c r="D1795" s="123"/>
      <c r="E1795" s="124" t="s">
        <v>289</v>
      </c>
      <c r="F1795" s="125"/>
      <c r="G1795" s="125" t="s">
        <v>2810</v>
      </c>
      <c r="H1795" s="126" t="s">
        <v>2811</v>
      </c>
      <c r="I1795" s="125" t="s">
        <v>2812</v>
      </c>
      <c r="J1795" s="162" t="s">
        <v>140</v>
      </c>
      <c r="K1795" s="129">
        <v>0</v>
      </c>
      <c r="L1795" s="129">
        <v>0</v>
      </c>
      <c r="M1795" s="130">
        <v>60</v>
      </c>
      <c r="N1795" s="131">
        <v>12000</v>
      </c>
      <c r="O1795" s="130">
        <v>1</v>
      </c>
      <c r="P1795" s="131">
        <f t="shared" si="293"/>
        <v>12000</v>
      </c>
      <c r="Q1795" s="131"/>
      <c r="R1795" s="130">
        <v>12000</v>
      </c>
      <c r="S1795" s="130">
        <f t="shared" si="289"/>
        <v>0</v>
      </c>
      <c r="T1795" s="164">
        <f t="shared" si="290"/>
        <v>1440</v>
      </c>
      <c r="U1795" s="163">
        <f t="shared" si="291"/>
        <v>0</v>
      </c>
      <c r="V1795" s="163">
        <f t="shared" si="292"/>
        <v>0</v>
      </c>
      <c r="W1795" s="163">
        <v>0</v>
      </c>
      <c r="X1795" s="137">
        <f>A1795+K1795+L1795+V1795+W1795</f>
        <v>46153.57581018519</v>
      </c>
    </row>
    <row r="1796" spans="1:24" hidden="1" x14ac:dyDescent="0.35">
      <c r="A1796" s="123">
        <f t="shared" si="288"/>
        <v>46153.57581018519</v>
      </c>
      <c r="B1796" s="123"/>
      <c r="C1796" s="123"/>
      <c r="D1796" s="123"/>
      <c r="E1796" s="158" t="s">
        <v>1684</v>
      </c>
      <c r="F1796" s="125" t="s">
        <v>1264</v>
      </c>
      <c r="G1796" s="125" t="s">
        <v>327</v>
      </c>
      <c r="H1796" s="126" t="s">
        <v>1639</v>
      </c>
      <c r="I1796" s="159" t="s">
        <v>1591</v>
      </c>
      <c r="J1796" s="128" t="s">
        <v>140</v>
      </c>
      <c r="K1796" s="129">
        <v>0</v>
      </c>
      <c r="L1796" s="129">
        <v>0</v>
      </c>
      <c r="M1796" s="130">
        <v>60</v>
      </c>
      <c r="N1796" s="131">
        <v>7000</v>
      </c>
      <c r="O1796" s="189">
        <v>1</v>
      </c>
      <c r="P1796" s="131">
        <f t="shared" si="293"/>
        <v>7000</v>
      </c>
      <c r="Q1796" s="131"/>
      <c r="R1796" s="176">
        <v>7000</v>
      </c>
      <c r="S1796" s="130">
        <f t="shared" si="289"/>
        <v>0</v>
      </c>
      <c r="T1796" s="242">
        <f t="shared" si="290"/>
        <v>1440</v>
      </c>
      <c r="U1796" s="129">
        <f t="shared" si="291"/>
        <v>0</v>
      </c>
      <c r="V1796" s="129">
        <f t="shared" si="292"/>
        <v>0</v>
      </c>
      <c r="W1796" s="129">
        <v>0</v>
      </c>
      <c r="X1796" s="137">
        <f>A1796+K1796+L1796+V1796+W1796</f>
        <v>46153.57581018519</v>
      </c>
    </row>
    <row r="1797" spans="1:24" hidden="1" x14ac:dyDescent="0.35">
      <c r="A1797" s="46">
        <f t="shared" si="288"/>
        <v>46153.57581018519</v>
      </c>
      <c r="B1797" s="46"/>
      <c r="C1797" s="46"/>
      <c r="D1797" s="46"/>
      <c r="E1797" s="47" t="s">
        <v>289</v>
      </c>
      <c r="F1797" s="97" t="s">
        <v>1640</v>
      </c>
      <c r="G1797" s="97" t="s">
        <v>792</v>
      </c>
      <c r="H1797" s="108">
        <v>13032</v>
      </c>
      <c r="I1797" s="82" t="s">
        <v>1830</v>
      </c>
      <c r="J1797" s="51" t="s">
        <v>140</v>
      </c>
      <c r="K1797" s="91">
        <v>0</v>
      </c>
      <c r="L1797" s="91">
        <v>0</v>
      </c>
      <c r="M1797" s="92">
        <v>40</v>
      </c>
      <c r="N1797" s="94">
        <v>7000</v>
      </c>
      <c r="O1797" s="92">
        <v>1</v>
      </c>
      <c r="P1797" s="94">
        <f t="shared" si="293"/>
        <v>7000</v>
      </c>
      <c r="Q1797" s="94"/>
      <c r="R1797" s="92">
        <v>7000</v>
      </c>
      <c r="S1797" s="92">
        <f t="shared" si="289"/>
        <v>0</v>
      </c>
      <c r="T1797" s="92">
        <f t="shared" si="290"/>
        <v>2160</v>
      </c>
      <c r="U1797" s="91">
        <f t="shared" si="291"/>
        <v>0</v>
      </c>
      <c r="V1797" s="91">
        <f t="shared" si="292"/>
        <v>0</v>
      </c>
      <c r="W1797" s="91">
        <v>0</v>
      </c>
      <c r="X1797" s="55">
        <f>A1797+K1797+L1797+V1797+W1797</f>
        <v>46153.57581018519</v>
      </c>
    </row>
    <row r="1798" spans="1:24" hidden="1" x14ac:dyDescent="0.35">
      <c r="A1798" s="123">
        <f t="shared" si="288"/>
        <v>46153.57581018519</v>
      </c>
      <c r="B1798" s="123"/>
      <c r="C1798" s="123"/>
      <c r="D1798" s="123"/>
      <c r="E1798" s="124" t="s">
        <v>289</v>
      </c>
      <c r="F1798" s="159" t="s">
        <v>1640</v>
      </c>
      <c r="G1798" s="159" t="s">
        <v>792</v>
      </c>
      <c r="H1798" s="467">
        <v>13029</v>
      </c>
      <c r="I1798" s="159" t="s">
        <v>1649</v>
      </c>
      <c r="J1798" s="128" t="s">
        <v>140</v>
      </c>
      <c r="K1798" s="129">
        <v>0</v>
      </c>
      <c r="L1798" s="129">
        <v>0</v>
      </c>
      <c r="M1798" s="130">
        <v>60</v>
      </c>
      <c r="N1798" s="252">
        <v>5000</v>
      </c>
      <c r="O1798" s="130">
        <v>1</v>
      </c>
      <c r="P1798" s="131">
        <f t="shared" si="293"/>
        <v>5000</v>
      </c>
      <c r="Q1798" s="131"/>
      <c r="R1798" s="130">
        <v>5000</v>
      </c>
      <c r="S1798" s="130">
        <f t="shared" si="289"/>
        <v>0</v>
      </c>
      <c r="T1798" s="130">
        <f t="shared" si="290"/>
        <v>1440</v>
      </c>
      <c r="U1798" s="129">
        <f t="shared" si="291"/>
        <v>0</v>
      </c>
      <c r="V1798" s="129">
        <f t="shared" si="292"/>
        <v>0</v>
      </c>
      <c r="W1798" s="129">
        <v>0</v>
      </c>
      <c r="X1798" s="137">
        <f>A1798+K1798+V1798+W1798+L1798</f>
        <v>46153.57581018519</v>
      </c>
    </row>
    <row r="1799" spans="1:24" hidden="1" x14ac:dyDescent="0.35">
      <c r="A1799" s="123">
        <f t="shared" si="288"/>
        <v>46153.57581018519</v>
      </c>
      <c r="B1799" s="123"/>
      <c r="C1799" s="123"/>
      <c r="D1799" s="123"/>
      <c r="E1799" s="124" t="s">
        <v>289</v>
      </c>
      <c r="F1799" s="159" t="s">
        <v>2813</v>
      </c>
      <c r="G1799" s="159" t="s">
        <v>359</v>
      </c>
      <c r="H1799" s="467">
        <v>13245</v>
      </c>
      <c r="I1799" s="159" t="s">
        <v>1649</v>
      </c>
      <c r="J1799" s="128" t="s">
        <v>140</v>
      </c>
      <c r="K1799" s="129">
        <v>0</v>
      </c>
      <c r="L1799" s="129">
        <v>0</v>
      </c>
      <c r="M1799" s="130">
        <v>60</v>
      </c>
      <c r="N1799" s="252">
        <v>7600</v>
      </c>
      <c r="O1799" s="130">
        <v>1</v>
      </c>
      <c r="P1799" s="131">
        <f t="shared" si="293"/>
        <v>7600</v>
      </c>
      <c r="Q1799" s="131"/>
      <c r="R1799" s="130">
        <v>7600</v>
      </c>
      <c r="S1799" s="130">
        <f t="shared" si="289"/>
        <v>0</v>
      </c>
      <c r="T1799" s="130">
        <f t="shared" si="290"/>
        <v>1440</v>
      </c>
      <c r="U1799" s="129">
        <f t="shared" si="291"/>
        <v>0</v>
      </c>
      <c r="V1799" s="129">
        <f t="shared" si="292"/>
        <v>0</v>
      </c>
      <c r="W1799" s="129">
        <v>0</v>
      </c>
      <c r="X1799" s="137">
        <f>A1799+K1799+V1799+W1799+L1799</f>
        <v>46153.57581018519</v>
      </c>
    </row>
    <row r="1800" spans="1:24" hidden="1" x14ac:dyDescent="0.35">
      <c r="A1800" s="123">
        <f t="shared" si="288"/>
        <v>46153.57581018519</v>
      </c>
      <c r="B1800" s="123"/>
      <c r="C1800" s="123"/>
      <c r="D1800" s="123"/>
      <c r="E1800" s="124" t="s">
        <v>289</v>
      </c>
      <c r="F1800" s="125"/>
      <c r="G1800" s="125"/>
      <c r="H1800" s="467">
        <v>13032</v>
      </c>
      <c r="I1800" s="159" t="s">
        <v>1830</v>
      </c>
      <c r="J1800" s="128" t="s">
        <v>140</v>
      </c>
      <c r="K1800" s="129">
        <v>0</v>
      </c>
      <c r="L1800" s="129">
        <v>0</v>
      </c>
      <c r="M1800" s="130">
        <v>40</v>
      </c>
      <c r="N1800" s="131">
        <v>3500</v>
      </c>
      <c r="O1800" s="130">
        <v>1</v>
      </c>
      <c r="P1800" s="131">
        <f t="shared" si="293"/>
        <v>3500</v>
      </c>
      <c r="Q1800" s="131"/>
      <c r="R1800" s="130">
        <v>3500</v>
      </c>
      <c r="S1800" s="130">
        <f t="shared" si="289"/>
        <v>0</v>
      </c>
      <c r="T1800" s="130">
        <f t="shared" si="290"/>
        <v>2160</v>
      </c>
      <c r="U1800" s="129">
        <f t="shared" si="291"/>
        <v>0</v>
      </c>
      <c r="V1800" s="129">
        <f t="shared" si="292"/>
        <v>0</v>
      </c>
      <c r="W1800" s="129">
        <v>0</v>
      </c>
      <c r="X1800" s="137">
        <f>A1800+K1800+L1800+V1800+W1800</f>
        <v>46153.57581018519</v>
      </c>
    </row>
    <row r="1801" spans="1:24" s="118" customFormat="1" hidden="1" x14ac:dyDescent="0.35">
      <c r="A1801" s="123">
        <f t="shared" si="288"/>
        <v>46153.57581018519</v>
      </c>
      <c r="B1801" s="123"/>
      <c r="C1801" s="123"/>
      <c r="D1801" s="123"/>
      <c r="E1801" s="124" t="s">
        <v>289</v>
      </c>
      <c r="F1801" s="159" t="s">
        <v>1640</v>
      </c>
      <c r="G1801" s="127" t="s">
        <v>792</v>
      </c>
      <c r="H1801" s="467">
        <v>13035</v>
      </c>
      <c r="I1801" s="159" t="s">
        <v>2814</v>
      </c>
      <c r="J1801" s="175" t="s">
        <v>140</v>
      </c>
      <c r="K1801" s="163">
        <v>0</v>
      </c>
      <c r="L1801" s="163">
        <v>0</v>
      </c>
      <c r="M1801" s="164">
        <v>35</v>
      </c>
      <c r="N1801" s="165">
        <v>5200</v>
      </c>
      <c r="O1801" s="164">
        <v>1</v>
      </c>
      <c r="P1801" s="165">
        <f t="shared" si="293"/>
        <v>5200</v>
      </c>
      <c r="Q1801" s="165"/>
      <c r="R1801" s="165">
        <v>5200</v>
      </c>
      <c r="S1801" s="165">
        <f t="shared" si="289"/>
        <v>0</v>
      </c>
      <c r="T1801" s="164">
        <f t="shared" si="290"/>
        <v>2468.5714285714284</v>
      </c>
      <c r="U1801" s="163">
        <f t="shared" si="291"/>
        <v>0</v>
      </c>
      <c r="V1801" s="163">
        <f t="shared" si="292"/>
        <v>0</v>
      </c>
      <c r="W1801" s="163">
        <v>0</v>
      </c>
      <c r="X1801" s="169">
        <f>A1801+K1801+L1801+V1801+W1801</f>
        <v>46153.57581018519</v>
      </c>
    </row>
    <row r="1802" spans="1:24" s="588" customFormat="1" ht="26" hidden="1" x14ac:dyDescent="0.3">
      <c r="A1802" s="161">
        <f t="shared" si="288"/>
        <v>46153.57581018519</v>
      </c>
      <c r="B1802" s="161"/>
      <c r="C1802" s="161"/>
      <c r="D1802" s="161"/>
      <c r="E1802" s="124" t="s">
        <v>1684</v>
      </c>
      <c r="F1802" s="187" t="s">
        <v>796</v>
      </c>
      <c r="G1802" s="187" t="s">
        <v>792</v>
      </c>
      <c r="H1802" s="188" t="s">
        <v>2815</v>
      </c>
      <c r="I1802" s="473" t="s">
        <v>2816</v>
      </c>
      <c r="J1802" s="175" t="s">
        <v>140</v>
      </c>
      <c r="K1802" s="129">
        <v>0</v>
      </c>
      <c r="L1802" s="129">
        <v>0</v>
      </c>
      <c r="M1802" s="130">
        <v>60</v>
      </c>
      <c r="N1802" s="252">
        <v>2100</v>
      </c>
      <c r="O1802" s="130">
        <v>1</v>
      </c>
      <c r="P1802" s="131">
        <f t="shared" si="293"/>
        <v>2100</v>
      </c>
      <c r="Q1802" s="131"/>
      <c r="R1802" s="130">
        <v>2100</v>
      </c>
      <c r="S1802" s="130">
        <f t="shared" si="289"/>
        <v>0</v>
      </c>
      <c r="T1802" s="164">
        <f t="shared" si="290"/>
        <v>1440</v>
      </c>
      <c r="U1802" s="163">
        <f t="shared" si="291"/>
        <v>0</v>
      </c>
      <c r="V1802" s="163">
        <f t="shared" si="292"/>
        <v>0</v>
      </c>
      <c r="W1802" s="163">
        <v>0</v>
      </c>
      <c r="X1802" s="137">
        <f>A1802+K1802+V1802+W1802+L1802</f>
        <v>46153.57581018519</v>
      </c>
    </row>
    <row r="1803" spans="1:24" s="118" customFormat="1" ht="26" hidden="1" x14ac:dyDescent="0.35">
      <c r="A1803" s="161">
        <f t="shared" si="288"/>
        <v>46153.57581018519</v>
      </c>
      <c r="B1803" s="161"/>
      <c r="C1803" s="161"/>
      <c r="D1803" s="161"/>
      <c r="E1803" s="124" t="s">
        <v>289</v>
      </c>
      <c r="F1803" s="159" t="s">
        <v>358</v>
      </c>
      <c r="G1803" s="584" t="s">
        <v>359</v>
      </c>
      <c r="H1803" s="262" t="s">
        <v>2817</v>
      </c>
      <c r="I1803" s="585" t="s">
        <v>1051</v>
      </c>
      <c r="J1803" s="175" t="s">
        <v>140</v>
      </c>
      <c r="K1803" s="129">
        <v>0</v>
      </c>
      <c r="L1803" s="129">
        <v>0</v>
      </c>
      <c r="M1803" s="130">
        <v>95</v>
      </c>
      <c r="N1803" s="131">
        <v>2000</v>
      </c>
      <c r="O1803" s="189">
        <v>1</v>
      </c>
      <c r="P1803" s="131">
        <f t="shared" si="293"/>
        <v>2000</v>
      </c>
      <c r="Q1803" s="131"/>
      <c r="R1803" s="176">
        <v>2000</v>
      </c>
      <c r="S1803" s="130">
        <f t="shared" si="289"/>
        <v>0</v>
      </c>
      <c r="T1803" s="168">
        <f t="shared" si="290"/>
        <v>909.47368421052624</v>
      </c>
      <c r="U1803" s="163">
        <f t="shared" si="291"/>
        <v>0</v>
      </c>
      <c r="V1803" s="163">
        <f t="shared" si="292"/>
        <v>0</v>
      </c>
      <c r="W1803" s="163">
        <v>0</v>
      </c>
      <c r="X1803" s="137">
        <f>A1803+K1803+V1803+W1803+L1803</f>
        <v>46153.57581018519</v>
      </c>
    </row>
    <row r="1804" spans="1:24" s="118" customFormat="1" ht="26" hidden="1" x14ac:dyDescent="0.35">
      <c r="A1804" s="161">
        <f t="shared" si="288"/>
        <v>46153.57581018519</v>
      </c>
      <c r="B1804" s="161"/>
      <c r="C1804" s="161"/>
      <c r="D1804" s="161"/>
      <c r="E1804" s="124" t="s">
        <v>289</v>
      </c>
      <c r="F1804" s="159" t="s">
        <v>358</v>
      </c>
      <c r="G1804" s="584" t="s">
        <v>359</v>
      </c>
      <c r="H1804" s="262" t="s">
        <v>2818</v>
      </c>
      <c r="I1804" s="585" t="s">
        <v>1051</v>
      </c>
      <c r="J1804" s="175" t="s">
        <v>140</v>
      </c>
      <c r="K1804" s="129">
        <v>0</v>
      </c>
      <c r="L1804" s="129">
        <v>0</v>
      </c>
      <c r="M1804" s="130">
        <v>95</v>
      </c>
      <c r="N1804" s="131">
        <v>1000</v>
      </c>
      <c r="O1804" s="189">
        <v>1</v>
      </c>
      <c r="P1804" s="131">
        <f t="shared" si="293"/>
        <v>1000</v>
      </c>
      <c r="Q1804" s="131"/>
      <c r="R1804" s="176">
        <v>1000</v>
      </c>
      <c r="S1804" s="130">
        <f t="shared" si="289"/>
        <v>0</v>
      </c>
      <c r="T1804" s="168">
        <f t="shared" si="290"/>
        <v>909.47368421052624</v>
      </c>
      <c r="U1804" s="163">
        <f t="shared" si="291"/>
        <v>0</v>
      </c>
      <c r="V1804" s="163">
        <f t="shared" si="292"/>
        <v>0</v>
      </c>
      <c r="W1804" s="163">
        <v>0</v>
      </c>
      <c r="X1804" s="137">
        <f>A1804+K1804+V1804+W1804+L1804</f>
        <v>46153.57581018519</v>
      </c>
    </row>
    <row r="1805" spans="1:24" s="118" customFormat="1" hidden="1" x14ac:dyDescent="0.35">
      <c r="A1805" s="161">
        <f>X1803</f>
        <v>46153.57581018519</v>
      </c>
      <c r="B1805" s="161"/>
      <c r="C1805" s="161"/>
      <c r="D1805" s="161"/>
      <c r="E1805" s="124" t="s">
        <v>289</v>
      </c>
      <c r="F1805" s="159" t="s">
        <v>358</v>
      </c>
      <c r="G1805" s="584" t="s">
        <v>359</v>
      </c>
      <c r="H1805" s="262" t="s">
        <v>2819</v>
      </c>
      <c r="I1805" s="585" t="s">
        <v>1049</v>
      </c>
      <c r="J1805" s="175" t="s">
        <v>140</v>
      </c>
      <c r="K1805" s="163">
        <v>0</v>
      </c>
      <c r="L1805" s="129">
        <v>0</v>
      </c>
      <c r="M1805" s="130">
        <v>95</v>
      </c>
      <c r="N1805" s="131">
        <v>1000</v>
      </c>
      <c r="O1805" s="189">
        <v>1</v>
      </c>
      <c r="P1805" s="131">
        <f t="shared" si="293"/>
        <v>1000</v>
      </c>
      <c r="Q1805" s="131"/>
      <c r="R1805" s="176">
        <v>1000</v>
      </c>
      <c r="S1805" s="130">
        <f t="shared" si="289"/>
        <v>0</v>
      </c>
      <c r="T1805" s="168">
        <f t="shared" si="290"/>
        <v>909.47368421052624</v>
      </c>
      <c r="U1805" s="163">
        <f t="shared" si="291"/>
        <v>0</v>
      </c>
      <c r="V1805" s="163">
        <f t="shared" si="292"/>
        <v>0</v>
      </c>
      <c r="W1805" s="163">
        <v>0</v>
      </c>
      <c r="X1805" s="137">
        <f>A1805+K1805+V1805+W1805+L1805</f>
        <v>46153.57581018519</v>
      </c>
    </row>
    <row r="1806" spans="1:24" s="118" customFormat="1" ht="39.5" hidden="1" x14ac:dyDescent="0.35">
      <c r="A1806" s="161">
        <f t="shared" ref="A1806:A1832" si="294">X1805</f>
        <v>46153.57581018519</v>
      </c>
      <c r="B1806" s="161"/>
      <c r="C1806" s="161"/>
      <c r="D1806" s="161"/>
      <c r="E1806" s="124" t="s">
        <v>289</v>
      </c>
      <c r="F1806" s="125" t="s">
        <v>1640</v>
      </c>
      <c r="G1806" s="125" t="s">
        <v>359</v>
      </c>
      <c r="H1806" s="126" t="s">
        <v>2820</v>
      </c>
      <c r="I1806" s="125" t="s">
        <v>2812</v>
      </c>
      <c r="J1806" s="162" t="s">
        <v>140</v>
      </c>
      <c r="K1806" s="129">
        <v>0</v>
      </c>
      <c r="L1806" s="129">
        <v>0</v>
      </c>
      <c r="M1806" s="130">
        <v>60</v>
      </c>
      <c r="N1806" s="131">
        <v>2238</v>
      </c>
      <c r="O1806" s="130">
        <v>1</v>
      </c>
      <c r="P1806" s="131">
        <f t="shared" si="293"/>
        <v>2238</v>
      </c>
      <c r="Q1806" s="131"/>
      <c r="R1806" s="130">
        <v>2238</v>
      </c>
      <c r="S1806" s="130">
        <f t="shared" si="289"/>
        <v>0</v>
      </c>
      <c r="T1806" s="164">
        <f t="shared" si="290"/>
        <v>1440</v>
      </c>
      <c r="U1806" s="163">
        <f t="shared" si="291"/>
        <v>0</v>
      </c>
      <c r="V1806" s="163">
        <f t="shared" si="292"/>
        <v>0</v>
      </c>
      <c r="W1806" s="163">
        <v>0</v>
      </c>
      <c r="X1806" s="137">
        <f>A1806+K1806+L1806+V1806+W1806</f>
        <v>46153.57581018519</v>
      </c>
    </row>
    <row r="1807" spans="1:24" hidden="1" x14ac:dyDescent="0.35">
      <c r="A1807" s="123">
        <f t="shared" si="294"/>
        <v>46153.57581018519</v>
      </c>
      <c r="B1807" s="123"/>
      <c r="C1807" s="123"/>
      <c r="D1807" s="123"/>
      <c r="E1807" s="124" t="s">
        <v>289</v>
      </c>
      <c r="F1807" s="501" t="s">
        <v>2821</v>
      </c>
      <c r="G1807" s="501" t="s">
        <v>359</v>
      </c>
      <c r="H1807" s="126" t="s">
        <v>2822</v>
      </c>
      <c r="I1807" s="501" t="s">
        <v>1686</v>
      </c>
      <c r="J1807" s="175" t="s">
        <v>140</v>
      </c>
      <c r="K1807" s="129">
        <v>0</v>
      </c>
      <c r="L1807" s="129">
        <v>0</v>
      </c>
      <c r="M1807" s="130">
        <v>280</v>
      </c>
      <c r="N1807" s="131">
        <v>420</v>
      </c>
      <c r="O1807" s="189">
        <v>1</v>
      </c>
      <c r="P1807" s="131">
        <f t="shared" si="293"/>
        <v>420</v>
      </c>
      <c r="Q1807" s="131"/>
      <c r="R1807" s="130">
        <v>420</v>
      </c>
      <c r="S1807" s="130">
        <f t="shared" si="289"/>
        <v>0</v>
      </c>
      <c r="T1807" s="168">
        <f t="shared" si="290"/>
        <v>308.57142857142856</v>
      </c>
      <c r="U1807" s="163">
        <f t="shared" si="291"/>
        <v>0</v>
      </c>
      <c r="V1807" s="163">
        <f t="shared" si="292"/>
        <v>0</v>
      </c>
      <c r="W1807" s="163">
        <v>0</v>
      </c>
      <c r="X1807" s="137">
        <f t="shared" ref="X1807:X1829" si="295">A1807+K1807+V1807+W1807+L1807</f>
        <v>46153.57581018519</v>
      </c>
    </row>
    <row r="1808" spans="1:24" hidden="1" x14ac:dyDescent="0.35">
      <c r="A1808" s="123">
        <f t="shared" si="294"/>
        <v>46153.57581018519</v>
      </c>
      <c r="B1808" s="123"/>
      <c r="C1808" s="123"/>
      <c r="D1808" s="123"/>
      <c r="E1808" s="124" t="s">
        <v>195</v>
      </c>
      <c r="F1808" s="125" t="s">
        <v>2823</v>
      </c>
      <c r="G1808" s="125" t="s">
        <v>359</v>
      </c>
      <c r="H1808" s="126" t="s">
        <v>2824</v>
      </c>
      <c r="I1808" s="159" t="s">
        <v>2825</v>
      </c>
      <c r="J1808" s="175" t="s">
        <v>140</v>
      </c>
      <c r="K1808" s="129">
        <v>0</v>
      </c>
      <c r="L1808" s="129">
        <v>0</v>
      </c>
      <c r="M1808" s="130">
        <v>730</v>
      </c>
      <c r="N1808" s="131">
        <v>50</v>
      </c>
      <c r="O1808" s="189">
        <v>1</v>
      </c>
      <c r="P1808" s="131">
        <f t="shared" si="293"/>
        <v>50</v>
      </c>
      <c r="Q1808" s="131"/>
      <c r="R1808" s="130">
        <v>50</v>
      </c>
      <c r="S1808" s="130">
        <f t="shared" si="289"/>
        <v>0</v>
      </c>
      <c r="T1808" s="168">
        <f t="shared" si="290"/>
        <v>118.35616438356165</v>
      </c>
      <c r="U1808" s="163">
        <f t="shared" si="291"/>
        <v>0</v>
      </c>
      <c r="V1808" s="163">
        <f t="shared" si="292"/>
        <v>0</v>
      </c>
      <c r="W1808" s="163">
        <v>0</v>
      </c>
      <c r="X1808" s="137">
        <f t="shared" si="295"/>
        <v>46153.57581018519</v>
      </c>
    </row>
    <row r="1809" spans="1:24" hidden="1" x14ac:dyDescent="0.35">
      <c r="A1809" s="123">
        <f t="shared" si="294"/>
        <v>46153.57581018519</v>
      </c>
      <c r="B1809" s="123"/>
      <c r="C1809" s="123"/>
      <c r="D1809" s="123"/>
      <c r="E1809" s="124" t="s">
        <v>195</v>
      </c>
      <c r="F1809" s="125" t="s">
        <v>2823</v>
      </c>
      <c r="G1809" s="125" t="s">
        <v>359</v>
      </c>
      <c r="H1809" s="126" t="s">
        <v>2826</v>
      </c>
      <c r="I1809" s="159" t="s">
        <v>2827</v>
      </c>
      <c r="J1809" s="175" t="s">
        <v>140</v>
      </c>
      <c r="K1809" s="129">
        <v>0</v>
      </c>
      <c r="L1809" s="129">
        <v>0</v>
      </c>
      <c r="M1809" s="130">
        <v>730</v>
      </c>
      <c r="N1809" s="131">
        <v>100</v>
      </c>
      <c r="O1809" s="189">
        <v>1</v>
      </c>
      <c r="P1809" s="131">
        <f t="shared" si="293"/>
        <v>100</v>
      </c>
      <c r="Q1809" s="131"/>
      <c r="R1809" s="130">
        <v>100</v>
      </c>
      <c r="S1809" s="130">
        <f t="shared" si="289"/>
        <v>0</v>
      </c>
      <c r="T1809" s="168">
        <f t="shared" si="290"/>
        <v>118.35616438356165</v>
      </c>
      <c r="U1809" s="163">
        <f t="shared" si="291"/>
        <v>0</v>
      </c>
      <c r="V1809" s="163">
        <f t="shared" si="292"/>
        <v>0</v>
      </c>
      <c r="W1809" s="163">
        <v>0</v>
      </c>
      <c r="X1809" s="137">
        <f t="shared" si="295"/>
        <v>46153.57581018519</v>
      </c>
    </row>
    <row r="1810" spans="1:24" hidden="1" x14ac:dyDescent="0.35">
      <c r="A1810" s="123">
        <f t="shared" si="294"/>
        <v>46153.57581018519</v>
      </c>
      <c r="B1810" s="123"/>
      <c r="C1810" s="123"/>
      <c r="D1810" s="123"/>
      <c r="E1810" s="124" t="s">
        <v>195</v>
      </c>
      <c r="F1810" s="125" t="s">
        <v>2823</v>
      </c>
      <c r="G1810" s="187" t="s">
        <v>359</v>
      </c>
      <c r="H1810" s="126" t="s">
        <v>2828</v>
      </c>
      <c r="I1810" s="159" t="s">
        <v>2829</v>
      </c>
      <c r="J1810" s="175" t="s">
        <v>140</v>
      </c>
      <c r="K1810" s="129">
        <v>0</v>
      </c>
      <c r="L1810" s="129">
        <v>0</v>
      </c>
      <c r="M1810" s="130">
        <v>730</v>
      </c>
      <c r="N1810" s="131">
        <v>50</v>
      </c>
      <c r="O1810" s="189">
        <v>1</v>
      </c>
      <c r="P1810" s="131">
        <f t="shared" si="293"/>
        <v>50</v>
      </c>
      <c r="Q1810" s="131"/>
      <c r="R1810" s="130">
        <v>50</v>
      </c>
      <c r="S1810" s="130">
        <f t="shared" si="289"/>
        <v>0</v>
      </c>
      <c r="T1810" s="168">
        <f t="shared" si="290"/>
        <v>118.35616438356165</v>
      </c>
      <c r="U1810" s="163">
        <f t="shared" si="291"/>
        <v>0</v>
      </c>
      <c r="V1810" s="163">
        <f t="shared" si="292"/>
        <v>0</v>
      </c>
      <c r="W1810" s="163">
        <v>0</v>
      </c>
      <c r="X1810" s="137">
        <f t="shared" si="295"/>
        <v>46153.57581018519</v>
      </c>
    </row>
    <row r="1811" spans="1:24" hidden="1" x14ac:dyDescent="0.35">
      <c r="A1811" s="123">
        <f t="shared" si="294"/>
        <v>46153.57581018519</v>
      </c>
      <c r="B1811" s="123"/>
      <c r="C1811" s="123"/>
      <c r="D1811" s="123"/>
      <c r="E1811" s="124" t="s">
        <v>195</v>
      </c>
      <c r="F1811" s="125" t="s">
        <v>2823</v>
      </c>
      <c r="G1811" s="125" t="s">
        <v>359</v>
      </c>
      <c r="H1811" s="126" t="s">
        <v>2830</v>
      </c>
      <c r="I1811" s="159" t="s">
        <v>2831</v>
      </c>
      <c r="J1811" s="175" t="s">
        <v>140</v>
      </c>
      <c r="K1811" s="129">
        <v>0</v>
      </c>
      <c r="L1811" s="129">
        <v>0</v>
      </c>
      <c r="M1811" s="130">
        <v>730</v>
      </c>
      <c r="N1811" s="131">
        <v>100</v>
      </c>
      <c r="O1811" s="189">
        <v>1</v>
      </c>
      <c r="P1811" s="131">
        <f t="shared" si="293"/>
        <v>100</v>
      </c>
      <c r="Q1811" s="131"/>
      <c r="R1811" s="130">
        <v>100</v>
      </c>
      <c r="S1811" s="130">
        <f t="shared" si="289"/>
        <v>0</v>
      </c>
      <c r="T1811" s="168">
        <f t="shared" si="290"/>
        <v>118.35616438356165</v>
      </c>
      <c r="U1811" s="163">
        <f t="shared" si="291"/>
        <v>0</v>
      </c>
      <c r="V1811" s="163">
        <f t="shared" si="292"/>
        <v>0</v>
      </c>
      <c r="W1811" s="163">
        <v>0</v>
      </c>
      <c r="X1811" s="137">
        <f t="shared" si="295"/>
        <v>46153.57581018519</v>
      </c>
    </row>
    <row r="1812" spans="1:24" s="511" customFormat="1" hidden="1" x14ac:dyDescent="0.35">
      <c r="A1812" s="46">
        <f t="shared" si="294"/>
        <v>46153.57581018519</v>
      </c>
      <c r="B1812" s="46"/>
      <c r="C1812" s="46"/>
      <c r="D1812" s="46"/>
      <c r="E1812" s="47" t="s">
        <v>195</v>
      </c>
      <c r="F1812" s="97" t="s">
        <v>2823</v>
      </c>
      <c r="G1812" s="97" t="s">
        <v>2832</v>
      </c>
      <c r="H1812" s="107" t="s">
        <v>2833</v>
      </c>
      <c r="I1812" s="71" t="s">
        <v>2834</v>
      </c>
      <c r="J1812" s="100" t="s">
        <v>140</v>
      </c>
      <c r="K1812" s="91">
        <v>0</v>
      </c>
      <c r="L1812" s="91">
        <v>0</v>
      </c>
      <c r="M1812" s="92">
        <v>730</v>
      </c>
      <c r="N1812" s="94">
        <v>100</v>
      </c>
      <c r="O1812" s="253">
        <v>1</v>
      </c>
      <c r="P1812" s="94">
        <f t="shared" si="293"/>
        <v>100</v>
      </c>
      <c r="Q1812" s="94"/>
      <c r="R1812" s="92">
        <v>100</v>
      </c>
      <c r="S1812" s="92">
        <f t="shared" si="289"/>
        <v>0</v>
      </c>
      <c r="T1812" s="173">
        <f t="shared" si="290"/>
        <v>118.35616438356165</v>
      </c>
      <c r="U1812" s="101">
        <f t="shared" si="291"/>
        <v>0</v>
      </c>
      <c r="V1812" s="101">
        <f t="shared" si="292"/>
        <v>0</v>
      </c>
      <c r="W1812" s="101">
        <v>0</v>
      </c>
      <c r="X1812" s="55">
        <f t="shared" si="295"/>
        <v>46153.57581018519</v>
      </c>
    </row>
    <row r="1813" spans="1:24" s="186" customFormat="1" hidden="1" x14ac:dyDescent="0.35">
      <c r="A1813" s="161">
        <f t="shared" si="294"/>
        <v>46153.57581018519</v>
      </c>
      <c r="B1813" s="161"/>
      <c r="C1813" s="161"/>
      <c r="D1813" s="161"/>
      <c r="E1813" s="124" t="s">
        <v>289</v>
      </c>
      <c r="F1813" s="159" t="s">
        <v>2835</v>
      </c>
      <c r="G1813" s="159" t="s">
        <v>839</v>
      </c>
      <c r="H1813" s="188" t="s">
        <v>2836</v>
      </c>
      <c r="I1813" s="125" t="s">
        <v>143</v>
      </c>
      <c r="J1813" s="128" t="s">
        <v>140</v>
      </c>
      <c r="K1813" s="129">
        <v>0</v>
      </c>
      <c r="L1813" s="129">
        <v>0</v>
      </c>
      <c r="M1813" s="130">
        <v>85</v>
      </c>
      <c r="N1813" s="131">
        <v>3500</v>
      </c>
      <c r="O1813" s="130">
        <v>1</v>
      </c>
      <c r="P1813" s="131">
        <f t="shared" si="293"/>
        <v>3500</v>
      </c>
      <c r="Q1813" s="131"/>
      <c r="R1813" s="130">
        <v>3500</v>
      </c>
      <c r="S1813" s="130">
        <f t="shared" si="289"/>
        <v>0</v>
      </c>
      <c r="T1813" s="130">
        <f t="shared" si="290"/>
        <v>1016.4705882352941</v>
      </c>
      <c r="U1813" s="129">
        <f t="shared" si="291"/>
        <v>0</v>
      </c>
      <c r="V1813" s="129">
        <f t="shared" si="292"/>
        <v>0</v>
      </c>
      <c r="W1813" s="129">
        <v>0</v>
      </c>
      <c r="X1813" s="137">
        <f t="shared" si="295"/>
        <v>46153.57581018519</v>
      </c>
    </row>
    <row r="1814" spans="1:24" s="186" customFormat="1" hidden="1" x14ac:dyDescent="0.35">
      <c r="A1814" s="161">
        <f t="shared" si="294"/>
        <v>46153.57581018519</v>
      </c>
      <c r="B1814" s="161"/>
      <c r="C1814" s="161"/>
      <c r="D1814" s="161"/>
      <c r="E1814" s="124" t="s">
        <v>289</v>
      </c>
      <c r="F1814" s="159" t="s">
        <v>2835</v>
      </c>
      <c r="G1814" s="159" t="s">
        <v>839</v>
      </c>
      <c r="H1814" s="188" t="s">
        <v>2836</v>
      </c>
      <c r="I1814" s="125" t="s">
        <v>143</v>
      </c>
      <c r="J1814" s="128" t="s">
        <v>140</v>
      </c>
      <c r="K1814" s="129">
        <v>0</v>
      </c>
      <c r="L1814" s="129">
        <v>0</v>
      </c>
      <c r="M1814" s="130">
        <v>85</v>
      </c>
      <c r="N1814" s="131">
        <v>2000</v>
      </c>
      <c r="O1814" s="130">
        <v>1</v>
      </c>
      <c r="P1814" s="131">
        <f t="shared" si="293"/>
        <v>2000</v>
      </c>
      <c r="Q1814" s="131"/>
      <c r="R1814" s="130">
        <v>2000</v>
      </c>
      <c r="S1814" s="130">
        <f t="shared" si="289"/>
        <v>0</v>
      </c>
      <c r="T1814" s="130">
        <f t="shared" si="290"/>
        <v>1016.4705882352941</v>
      </c>
      <c r="U1814" s="129">
        <f t="shared" si="291"/>
        <v>0</v>
      </c>
      <c r="V1814" s="129">
        <f t="shared" si="292"/>
        <v>0</v>
      </c>
      <c r="W1814" s="129">
        <v>0</v>
      </c>
      <c r="X1814" s="137">
        <f t="shared" si="295"/>
        <v>46153.57581018519</v>
      </c>
    </row>
    <row r="1815" spans="1:24" s="186" customFormat="1" hidden="1" x14ac:dyDescent="0.35">
      <c r="A1815" s="123">
        <f t="shared" si="294"/>
        <v>46153.57581018519</v>
      </c>
      <c r="B1815" s="161">
        <v>46059</v>
      </c>
      <c r="C1815" s="183">
        <f t="shared" ref="C1815:C1832" si="296">B1815-A1815</f>
        <v>-94.575810185189766</v>
      </c>
      <c r="D1815" s="183"/>
      <c r="E1815" s="124" t="s">
        <v>289</v>
      </c>
      <c r="F1815" s="187" t="s">
        <v>2837</v>
      </c>
      <c r="G1815" s="187" t="s">
        <v>386</v>
      </c>
      <c r="H1815" s="188" t="s">
        <v>2838</v>
      </c>
      <c r="I1815" s="159" t="s">
        <v>1764</v>
      </c>
      <c r="J1815" s="128" t="s">
        <v>140</v>
      </c>
      <c r="K1815" s="163">
        <v>0</v>
      </c>
      <c r="L1815" s="163">
        <v>0</v>
      </c>
      <c r="M1815" s="164">
        <v>120</v>
      </c>
      <c r="N1815" s="165">
        <v>138</v>
      </c>
      <c r="O1815" s="166">
        <v>1</v>
      </c>
      <c r="P1815" s="165">
        <f t="shared" si="293"/>
        <v>138</v>
      </c>
      <c r="Q1815" s="185">
        <v>0.8</v>
      </c>
      <c r="R1815" s="164"/>
      <c r="S1815" s="164">
        <f t="shared" si="289"/>
        <v>138</v>
      </c>
      <c r="T1815" s="168">
        <f t="shared" ref="T1815:T1832" si="297">((3600/M1815)*O1815)*24*Q1815</f>
        <v>576</v>
      </c>
      <c r="U1815" s="163">
        <f t="shared" ref="U1815:U1832" si="298">(P1815-R1815)*M1815/3600/Q1815</f>
        <v>5.7499999999999991</v>
      </c>
      <c r="V1815" s="163">
        <f t="shared" ref="V1815:V1832" si="299">U1815/24</f>
        <v>0.23958333333333329</v>
      </c>
      <c r="W1815" s="163">
        <v>0</v>
      </c>
      <c r="X1815" s="137">
        <f t="shared" si="295"/>
        <v>46153.815393518526</v>
      </c>
    </row>
    <row r="1816" spans="1:24" s="186" customFormat="1" hidden="1" x14ac:dyDescent="0.35">
      <c r="A1816" s="123">
        <f t="shared" si="294"/>
        <v>46153.815393518526</v>
      </c>
      <c r="B1816" s="123">
        <f>X1815</f>
        <v>46153.815393518526</v>
      </c>
      <c r="C1816" s="190">
        <f t="shared" si="296"/>
        <v>0</v>
      </c>
      <c r="D1816" s="190"/>
      <c r="E1816" s="124" t="s">
        <v>289</v>
      </c>
      <c r="F1816" s="187" t="s">
        <v>2839</v>
      </c>
      <c r="G1816" s="187" t="s">
        <v>386</v>
      </c>
      <c r="H1816" s="188" t="s">
        <v>2840</v>
      </c>
      <c r="I1816" s="159" t="s">
        <v>2841</v>
      </c>
      <c r="J1816" s="128" t="s">
        <v>140</v>
      </c>
      <c r="K1816" s="163">
        <v>0</v>
      </c>
      <c r="L1816" s="163">
        <v>0</v>
      </c>
      <c r="M1816" s="164">
        <v>120</v>
      </c>
      <c r="N1816" s="165">
        <v>1000</v>
      </c>
      <c r="O1816" s="166">
        <v>1</v>
      </c>
      <c r="P1816" s="165">
        <f t="shared" si="293"/>
        <v>1000</v>
      </c>
      <c r="Q1816" s="185">
        <v>0.8</v>
      </c>
      <c r="R1816" s="164">
        <v>1000</v>
      </c>
      <c r="S1816" s="164">
        <f t="shared" si="289"/>
        <v>0</v>
      </c>
      <c r="T1816" s="168">
        <f t="shared" si="297"/>
        <v>576</v>
      </c>
      <c r="U1816" s="163">
        <f t="shared" si="298"/>
        <v>0</v>
      </c>
      <c r="V1816" s="163">
        <f t="shared" si="299"/>
        <v>0</v>
      </c>
      <c r="W1816" s="163">
        <v>0</v>
      </c>
      <c r="X1816" s="137">
        <f t="shared" si="295"/>
        <v>46153.815393518526</v>
      </c>
    </row>
    <row r="1817" spans="1:24" s="186" customFormat="1" hidden="1" x14ac:dyDescent="0.35">
      <c r="A1817" s="123">
        <f t="shared" si="294"/>
        <v>46153.815393518526</v>
      </c>
      <c r="B1817" s="123">
        <f>X1816</f>
        <v>46153.815393518526</v>
      </c>
      <c r="C1817" s="183">
        <f t="shared" si="296"/>
        <v>0</v>
      </c>
      <c r="D1817" s="183"/>
      <c r="E1817" s="124" t="s">
        <v>289</v>
      </c>
      <c r="F1817" s="501" t="s">
        <v>2842</v>
      </c>
      <c r="G1817" s="501" t="s">
        <v>386</v>
      </c>
      <c r="H1817" s="126" t="s">
        <v>2843</v>
      </c>
      <c r="I1817" s="501" t="s">
        <v>1686</v>
      </c>
      <c r="J1817" s="175" t="s">
        <v>140</v>
      </c>
      <c r="K1817" s="129">
        <v>0</v>
      </c>
      <c r="L1817" s="129">
        <v>0</v>
      </c>
      <c r="M1817" s="130">
        <v>280</v>
      </c>
      <c r="N1817" s="131">
        <v>500</v>
      </c>
      <c r="O1817" s="189">
        <v>1</v>
      </c>
      <c r="P1817" s="131">
        <f t="shared" si="293"/>
        <v>500</v>
      </c>
      <c r="Q1817" s="185">
        <v>0.8</v>
      </c>
      <c r="R1817" s="130">
        <v>500</v>
      </c>
      <c r="S1817" s="164">
        <f t="shared" si="289"/>
        <v>0</v>
      </c>
      <c r="T1817" s="168">
        <f t="shared" si="297"/>
        <v>246.85714285714286</v>
      </c>
      <c r="U1817" s="163">
        <f t="shared" si="298"/>
        <v>0</v>
      </c>
      <c r="V1817" s="163">
        <f t="shared" si="299"/>
        <v>0</v>
      </c>
      <c r="W1817" s="163">
        <v>0</v>
      </c>
      <c r="X1817" s="137">
        <f t="shared" si="295"/>
        <v>46153.815393518526</v>
      </c>
    </row>
    <row r="1818" spans="1:24" s="186" customFormat="1" hidden="1" x14ac:dyDescent="0.35">
      <c r="A1818" s="123">
        <f t="shared" si="294"/>
        <v>46153.815393518526</v>
      </c>
      <c r="B1818" s="123">
        <f>X1819</f>
        <v>46153.815393518526</v>
      </c>
      <c r="C1818" s="190">
        <f t="shared" si="296"/>
        <v>0</v>
      </c>
      <c r="D1818" s="190"/>
      <c r="E1818" s="124" t="s">
        <v>289</v>
      </c>
      <c r="F1818" s="160" t="s">
        <v>389</v>
      </c>
      <c r="G1818" s="160" t="s">
        <v>386</v>
      </c>
      <c r="H1818" s="573">
        <v>13594</v>
      </c>
      <c r="I1818" s="160" t="s">
        <v>1443</v>
      </c>
      <c r="J1818" s="574" t="s">
        <v>140</v>
      </c>
      <c r="K1818" s="129">
        <v>0</v>
      </c>
      <c r="L1818" s="129">
        <v>0</v>
      </c>
      <c r="M1818" s="130">
        <v>70</v>
      </c>
      <c r="N1818" s="252">
        <v>250</v>
      </c>
      <c r="O1818" s="130">
        <v>1</v>
      </c>
      <c r="P1818" s="131">
        <f t="shared" si="293"/>
        <v>250</v>
      </c>
      <c r="Q1818" s="185">
        <v>0.8</v>
      </c>
      <c r="R1818" s="130">
        <v>250</v>
      </c>
      <c r="S1818" s="164">
        <f t="shared" si="289"/>
        <v>0</v>
      </c>
      <c r="T1818" s="168">
        <f t="shared" si="297"/>
        <v>987.42857142857144</v>
      </c>
      <c r="U1818" s="163">
        <f t="shared" si="298"/>
        <v>0</v>
      </c>
      <c r="V1818" s="163">
        <f t="shared" si="299"/>
        <v>0</v>
      </c>
      <c r="W1818" s="163">
        <v>0</v>
      </c>
      <c r="X1818" s="137">
        <f t="shared" si="295"/>
        <v>46153.815393518526</v>
      </c>
    </row>
    <row r="1819" spans="1:24" s="186" customFormat="1" hidden="1" x14ac:dyDescent="0.35">
      <c r="A1819" s="123">
        <f t="shared" si="294"/>
        <v>46153.815393518526</v>
      </c>
      <c r="B1819" s="123">
        <f>'[2]Factory 2'!X14</f>
        <v>46153</v>
      </c>
      <c r="C1819" s="183">
        <f t="shared" si="296"/>
        <v>-0.815393518525525</v>
      </c>
      <c r="D1819" s="183"/>
      <c r="E1819" s="124" t="s">
        <v>289</v>
      </c>
      <c r="F1819" s="160" t="s">
        <v>389</v>
      </c>
      <c r="G1819" s="160" t="s">
        <v>386</v>
      </c>
      <c r="H1819" s="573">
        <v>13593</v>
      </c>
      <c r="I1819" s="160" t="s">
        <v>1445</v>
      </c>
      <c r="J1819" s="574" t="s">
        <v>140</v>
      </c>
      <c r="K1819" s="129">
        <v>0</v>
      </c>
      <c r="L1819" s="129">
        <v>0</v>
      </c>
      <c r="M1819" s="130">
        <v>70</v>
      </c>
      <c r="N1819" s="252">
        <v>250</v>
      </c>
      <c r="O1819" s="130">
        <v>1</v>
      </c>
      <c r="P1819" s="131">
        <f t="shared" si="293"/>
        <v>250</v>
      </c>
      <c r="Q1819" s="185">
        <v>0.8</v>
      </c>
      <c r="R1819" s="176">
        <v>250</v>
      </c>
      <c r="S1819" s="164">
        <f t="shared" si="289"/>
        <v>0</v>
      </c>
      <c r="T1819" s="168">
        <f t="shared" si="297"/>
        <v>987.42857142857144</v>
      </c>
      <c r="U1819" s="163">
        <f t="shared" si="298"/>
        <v>0</v>
      </c>
      <c r="V1819" s="163">
        <f t="shared" si="299"/>
        <v>0</v>
      </c>
      <c r="W1819" s="163">
        <v>0</v>
      </c>
      <c r="X1819" s="137">
        <f t="shared" si="295"/>
        <v>46153.815393518526</v>
      </c>
    </row>
    <row r="1820" spans="1:24" s="186" customFormat="1" hidden="1" x14ac:dyDescent="0.35">
      <c r="A1820" s="123">
        <f t="shared" si="294"/>
        <v>46153.815393518526</v>
      </c>
      <c r="B1820" s="123">
        <f>X1818</f>
        <v>46153.815393518526</v>
      </c>
      <c r="C1820" s="190">
        <f t="shared" si="296"/>
        <v>0</v>
      </c>
      <c r="D1820" s="190"/>
      <c r="E1820" s="124" t="s">
        <v>289</v>
      </c>
      <c r="F1820" s="160" t="s">
        <v>392</v>
      </c>
      <c r="G1820" s="160" t="s">
        <v>386</v>
      </c>
      <c r="H1820" s="573">
        <v>13590</v>
      </c>
      <c r="I1820" s="160" t="s">
        <v>1301</v>
      </c>
      <c r="J1820" s="574" t="s">
        <v>140</v>
      </c>
      <c r="K1820" s="129">
        <v>0</v>
      </c>
      <c r="L1820" s="129">
        <v>0</v>
      </c>
      <c r="M1820" s="130">
        <v>70</v>
      </c>
      <c r="N1820" s="252">
        <v>5000</v>
      </c>
      <c r="O1820" s="130">
        <v>1</v>
      </c>
      <c r="P1820" s="131">
        <f t="shared" si="293"/>
        <v>5000</v>
      </c>
      <c r="Q1820" s="185">
        <v>0.8</v>
      </c>
      <c r="R1820" s="176">
        <v>5000</v>
      </c>
      <c r="S1820" s="164">
        <f t="shared" si="289"/>
        <v>0</v>
      </c>
      <c r="T1820" s="168">
        <f t="shared" si="297"/>
        <v>987.42857142857144</v>
      </c>
      <c r="U1820" s="163">
        <f t="shared" si="298"/>
        <v>0</v>
      </c>
      <c r="V1820" s="163">
        <f t="shared" si="299"/>
        <v>0</v>
      </c>
      <c r="W1820" s="163">
        <v>0</v>
      </c>
      <c r="X1820" s="137">
        <f t="shared" si="295"/>
        <v>46153.815393518526</v>
      </c>
    </row>
    <row r="1821" spans="1:24" s="186" customFormat="1" ht="26.5" hidden="1" x14ac:dyDescent="0.35">
      <c r="A1821" s="123">
        <f t="shared" si="294"/>
        <v>46153.815393518526</v>
      </c>
      <c r="B1821" s="123">
        <f>X1820</f>
        <v>46153.815393518526</v>
      </c>
      <c r="C1821" s="190">
        <f t="shared" si="296"/>
        <v>0</v>
      </c>
      <c r="D1821" s="190"/>
      <c r="E1821" s="124" t="s">
        <v>289</v>
      </c>
      <c r="F1821" s="160" t="s">
        <v>2671</v>
      </c>
      <c r="G1821" s="160" t="s">
        <v>386</v>
      </c>
      <c r="H1821" s="573">
        <v>13684</v>
      </c>
      <c r="I1821" s="160" t="s">
        <v>4252</v>
      </c>
      <c r="J1821" s="574" t="s">
        <v>140</v>
      </c>
      <c r="K1821" s="129">
        <v>0</v>
      </c>
      <c r="L1821" s="129">
        <v>0</v>
      </c>
      <c r="M1821" s="575">
        <v>70</v>
      </c>
      <c r="N1821" s="252">
        <v>2000</v>
      </c>
      <c r="O1821" s="130">
        <v>1</v>
      </c>
      <c r="P1821" s="131">
        <f t="shared" si="293"/>
        <v>2000</v>
      </c>
      <c r="Q1821" s="185">
        <v>0.8</v>
      </c>
      <c r="R1821" s="176">
        <v>2000</v>
      </c>
      <c r="S1821" s="164">
        <f t="shared" si="289"/>
        <v>0</v>
      </c>
      <c r="T1821" s="168">
        <f t="shared" si="297"/>
        <v>987.42857142857144</v>
      </c>
      <c r="U1821" s="163">
        <f t="shared" si="298"/>
        <v>0</v>
      </c>
      <c r="V1821" s="163">
        <f t="shared" si="299"/>
        <v>0</v>
      </c>
      <c r="W1821" s="163">
        <v>0</v>
      </c>
      <c r="X1821" s="137">
        <f t="shared" si="295"/>
        <v>46153.815393518526</v>
      </c>
    </row>
    <row r="1822" spans="1:24" s="186" customFormat="1" ht="26.5" hidden="1" x14ac:dyDescent="0.35">
      <c r="A1822" s="123">
        <f t="shared" si="294"/>
        <v>46153.815393518526</v>
      </c>
      <c r="B1822" s="123">
        <f>X1821</f>
        <v>46153.815393518526</v>
      </c>
      <c r="C1822" s="190">
        <f t="shared" si="296"/>
        <v>0</v>
      </c>
      <c r="D1822" s="190"/>
      <c r="E1822" s="124" t="s">
        <v>289</v>
      </c>
      <c r="F1822" s="160" t="s">
        <v>2671</v>
      </c>
      <c r="G1822" s="160" t="s">
        <v>386</v>
      </c>
      <c r="H1822" s="573">
        <v>13686</v>
      </c>
      <c r="I1822" s="160" t="s">
        <v>4253</v>
      </c>
      <c r="J1822" s="574" t="s">
        <v>140</v>
      </c>
      <c r="K1822" s="129">
        <v>0</v>
      </c>
      <c r="L1822" s="129">
        <v>0</v>
      </c>
      <c r="M1822" s="130">
        <v>70</v>
      </c>
      <c r="N1822" s="252">
        <v>500</v>
      </c>
      <c r="O1822" s="130">
        <v>1</v>
      </c>
      <c r="P1822" s="131">
        <f t="shared" si="293"/>
        <v>500</v>
      </c>
      <c r="Q1822" s="185">
        <v>0.8</v>
      </c>
      <c r="R1822" s="176">
        <v>500</v>
      </c>
      <c r="S1822" s="164">
        <f t="shared" si="289"/>
        <v>0</v>
      </c>
      <c r="T1822" s="168">
        <f t="shared" si="297"/>
        <v>987.42857142857144</v>
      </c>
      <c r="U1822" s="163">
        <f t="shared" si="298"/>
        <v>0</v>
      </c>
      <c r="V1822" s="163">
        <f t="shared" si="299"/>
        <v>0</v>
      </c>
      <c r="W1822" s="163">
        <v>0</v>
      </c>
      <c r="X1822" s="137">
        <f t="shared" si="295"/>
        <v>46153.815393518526</v>
      </c>
    </row>
    <row r="1823" spans="1:24" s="179" customFormat="1" hidden="1" x14ac:dyDescent="0.35">
      <c r="A1823" s="123">
        <f t="shared" si="294"/>
        <v>46153.815393518526</v>
      </c>
      <c r="B1823" s="123">
        <v>46084</v>
      </c>
      <c r="C1823" s="190">
        <f t="shared" si="296"/>
        <v>-69.815393518525525</v>
      </c>
      <c r="D1823" s="190"/>
      <c r="E1823" s="124" t="s">
        <v>289</v>
      </c>
      <c r="F1823" s="125" t="s">
        <v>2844</v>
      </c>
      <c r="G1823" s="125" t="s">
        <v>386</v>
      </c>
      <c r="H1823" s="126" t="s">
        <v>2845</v>
      </c>
      <c r="I1823" s="159" t="s">
        <v>2846</v>
      </c>
      <c r="J1823" s="128" t="s">
        <v>140</v>
      </c>
      <c r="K1823" s="129">
        <v>0</v>
      </c>
      <c r="L1823" s="129">
        <v>0</v>
      </c>
      <c r="M1823" s="130">
        <v>80</v>
      </c>
      <c r="N1823" s="131">
        <v>4000</v>
      </c>
      <c r="O1823" s="130">
        <v>1</v>
      </c>
      <c r="P1823" s="131">
        <f t="shared" si="293"/>
        <v>4000</v>
      </c>
      <c r="Q1823" s="185">
        <v>0.8</v>
      </c>
      <c r="R1823" s="130">
        <v>4000</v>
      </c>
      <c r="S1823" s="130">
        <f t="shared" si="289"/>
        <v>0</v>
      </c>
      <c r="T1823" s="168">
        <f t="shared" si="297"/>
        <v>864</v>
      </c>
      <c r="U1823" s="163">
        <f t="shared" si="298"/>
        <v>0</v>
      </c>
      <c r="V1823" s="163">
        <f t="shared" si="299"/>
        <v>0</v>
      </c>
      <c r="W1823" s="163">
        <v>0</v>
      </c>
      <c r="X1823" s="137">
        <f t="shared" si="295"/>
        <v>46153.815393518526</v>
      </c>
    </row>
    <row r="1824" spans="1:24" s="186" customFormat="1" ht="26.5" hidden="1" x14ac:dyDescent="0.35">
      <c r="A1824" s="123">
        <f t="shared" si="294"/>
        <v>46153.815393518526</v>
      </c>
      <c r="B1824" s="123">
        <v>46084</v>
      </c>
      <c r="C1824" s="190">
        <f t="shared" si="296"/>
        <v>-69.815393518525525</v>
      </c>
      <c r="D1824" s="190" t="s">
        <v>2847</v>
      </c>
      <c r="E1824" s="589" t="s">
        <v>289</v>
      </c>
      <c r="F1824" s="160" t="s">
        <v>392</v>
      </c>
      <c r="G1824" s="160" t="s">
        <v>386</v>
      </c>
      <c r="H1824" s="503" t="s">
        <v>2848</v>
      </c>
      <c r="I1824" s="159" t="s">
        <v>4254</v>
      </c>
      <c r="J1824" s="175" t="s">
        <v>140</v>
      </c>
      <c r="K1824" s="129">
        <v>0</v>
      </c>
      <c r="L1824" s="129">
        <v>0</v>
      </c>
      <c r="M1824" s="130">
        <v>60</v>
      </c>
      <c r="N1824" s="131">
        <f>15000-9600</f>
        <v>5400</v>
      </c>
      <c r="O1824" s="130">
        <v>1</v>
      </c>
      <c r="P1824" s="131">
        <f t="shared" si="293"/>
        <v>5400</v>
      </c>
      <c r="Q1824" s="185">
        <v>0.8</v>
      </c>
      <c r="R1824" s="130">
        <v>5400</v>
      </c>
      <c r="S1824" s="164">
        <f t="shared" si="289"/>
        <v>0</v>
      </c>
      <c r="T1824" s="168">
        <f t="shared" si="297"/>
        <v>1152</v>
      </c>
      <c r="U1824" s="163">
        <f t="shared" si="298"/>
        <v>0</v>
      </c>
      <c r="V1824" s="163">
        <f t="shared" si="299"/>
        <v>0</v>
      </c>
      <c r="W1824" s="163">
        <v>0</v>
      </c>
      <c r="X1824" s="137">
        <f t="shared" si="295"/>
        <v>46153.815393518526</v>
      </c>
    </row>
    <row r="1825" spans="1:24" s="191" customFormat="1" ht="26" hidden="1" x14ac:dyDescent="0.3">
      <c r="A1825" s="123">
        <f t="shared" si="294"/>
        <v>46153.815393518526</v>
      </c>
      <c r="B1825" s="123">
        <v>46094</v>
      </c>
      <c r="C1825" s="183">
        <f t="shared" si="296"/>
        <v>-59.815393518525525</v>
      </c>
      <c r="D1825" s="123" t="s">
        <v>2849</v>
      </c>
      <c r="E1825" s="158" t="s">
        <v>289</v>
      </c>
      <c r="F1825" s="159" t="s">
        <v>2835</v>
      </c>
      <c r="G1825" s="159" t="s">
        <v>398</v>
      </c>
      <c r="H1825" s="126"/>
      <c r="I1825" s="159" t="s">
        <v>292</v>
      </c>
      <c r="J1825" s="175" t="s">
        <v>140</v>
      </c>
      <c r="K1825" s="163">
        <v>0</v>
      </c>
      <c r="L1825" s="163">
        <v>0</v>
      </c>
      <c r="M1825" s="164">
        <v>85</v>
      </c>
      <c r="N1825" s="131">
        <v>3700</v>
      </c>
      <c r="O1825" s="164">
        <v>2</v>
      </c>
      <c r="P1825" s="165">
        <f t="shared" si="293"/>
        <v>1850</v>
      </c>
      <c r="Q1825" s="185">
        <v>0.8</v>
      </c>
      <c r="R1825" s="164">
        <v>1850</v>
      </c>
      <c r="S1825" s="164">
        <f t="shared" si="289"/>
        <v>0</v>
      </c>
      <c r="T1825" s="168">
        <f t="shared" si="297"/>
        <v>1626.3529411764707</v>
      </c>
      <c r="U1825" s="163">
        <f t="shared" si="298"/>
        <v>0</v>
      </c>
      <c r="V1825" s="163">
        <f t="shared" si="299"/>
        <v>0</v>
      </c>
      <c r="W1825" s="163">
        <v>0</v>
      </c>
      <c r="X1825" s="169">
        <f t="shared" si="295"/>
        <v>46153.815393518526</v>
      </c>
    </row>
    <row r="1826" spans="1:24" s="191" customFormat="1" ht="26" hidden="1" x14ac:dyDescent="0.3">
      <c r="A1826" s="161">
        <f t="shared" si="294"/>
        <v>46153.815393518526</v>
      </c>
      <c r="B1826" s="161">
        <v>46101</v>
      </c>
      <c r="C1826" s="183">
        <f t="shared" si="296"/>
        <v>-52.815393518525525</v>
      </c>
      <c r="D1826" s="161"/>
      <c r="E1826" s="124" t="s">
        <v>289</v>
      </c>
      <c r="F1826" s="159" t="s">
        <v>900</v>
      </c>
      <c r="G1826" s="159" t="s">
        <v>398</v>
      </c>
      <c r="H1826" s="126" t="s">
        <v>2850</v>
      </c>
      <c r="I1826" s="585" t="s">
        <v>1051</v>
      </c>
      <c r="J1826" s="175" t="s">
        <v>140</v>
      </c>
      <c r="K1826" s="129">
        <v>0</v>
      </c>
      <c r="L1826" s="129">
        <v>0</v>
      </c>
      <c r="M1826" s="130">
        <v>100</v>
      </c>
      <c r="N1826" s="131">
        <v>3000</v>
      </c>
      <c r="O1826" s="189">
        <v>1</v>
      </c>
      <c r="P1826" s="131">
        <f t="shared" si="293"/>
        <v>3000</v>
      </c>
      <c r="Q1826" s="185">
        <v>0.8</v>
      </c>
      <c r="R1826" s="164">
        <v>3000</v>
      </c>
      <c r="S1826" s="164">
        <f t="shared" si="289"/>
        <v>0</v>
      </c>
      <c r="T1826" s="168">
        <f t="shared" si="297"/>
        <v>691.2</v>
      </c>
      <c r="U1826" s="163">
        <f t="shared" si="298"/>
        <v>0</v>
      </c>
      <c r="V1826" s="163">
        <f t="shared" si="299"/>
        <v>0</v>
      </c>
      <c r="W1826" s="163">
        <v>0</v>
      </c>
      <c r="X1826" s="137">
        <f t="shared" si="295"/>
        <v>46153.815393518526</v>
      </c>
    </row>
    <row r="1827" spans="1:24" s="191" customFormat="1" ht="26" hidden="1" x14ac:dyDescent="0.3">
      <c r="A1827" s="123">
        <f t="shared" si="294"/>
        <v>46153.815393518526</v>
      </c>
      <c r="B1827" s="123">
        <v>46105</v>
      </c>
      <c r="C1827" s="183">
        <f t="shared" si="296"/>
        <v>-48.815393518525525</v>
      </c>
      <c r="D1827" s="123"/>
      <c r="E1827" s="124" t="s">
        <v>289</v>
      </c>
      <c r="F1827" s="159" t="s">
        <v>900</v>
      </c>
      <c r="G1827" s="159" t="s">
        <v>398</v>
      </c>
      <c r="H1827" s="126" t="s">
        <v>2851</v>
      </c>
      <c r="I1827" s="585" t="s">
        <v>2177</v>
      </c>
      <c r="J1827" s="175" t="s">
        <v>140</v>
      </c>
      <c r="K1827" s="129">
        <v>0</v>
      </c>
      <c r="L1827" s="129">
        <v>0</v>
      </c>
      <c r="M1827" s="130">
        <v>100</v>
      </c>
      <c r="N1827" s="131">
        <v>1500</v>
      </c>
      <c r="O1827" s="189">
        <v>1</v>
      </c>
      <c r="P1827" s="131">
        <f t="shared" si="293"/>
        <v>1500</v>
      </c>
      <c r="Q1827" s="185">
        <v>0.8</v>
      </c>
      <c r="R1827" s="164">
        <v>1500</v>
      </c>
      <c r="S1827" s="164">
        <f t="shared" si="289"/>
        <v>0</v>
      </c>
      <c r="T1827" s="168">
        <f t="shared" si="297"/>
        <v>691.2</v>
      </c>
      <c r="U1827" s="163">
        <f t="shared" si="298"/>
        <v>0</v>
      </c>
      <c r="V1827" s="163">
        <f t="shared" si="299"/>
        <v>0</v>
      </c>
      <c r="W1827" s="163">
        <v>0</v>
      </c>
      <c r="X1827" s="137">
        <f t="shared" si="295"/>
        <v>46153.815393518526</v>
      </c>
    </row>
    <row r="1828" spans="1:24" s="511" customFormat="1" ht="26.5" hidden="1" x14ac:dyDescent="0.35">
      <c r="A1828" s="71">
        <f t="shared" si="294"/>
        <v>46153.815393518526</v>
      </c>
      <c r="B1828" s="46">
        <v>46120</v>
      </c>
      <c r="C1828" s="260">
        <f t="shared" si="296"/>
        <v>-33.815393518525525</v>
      </c>
      <c r="D1828" s="260"/>
      <c r="E1828" s="590" t="s">
        <v>289</v>
      </c>
      <c r="F1828" s="69" t="s">
        <v>871</v>
      </c>
      <c r="G1828" s="69" t="s">
        <v>411</v>
      </c>
      <c r="H1828" s="340" t="s">
        <v>2852</v>
      </c>
      <c r="I1828" s="82" t="s">
        <v>4255</v>
      </c>
      <c r="J1828" s="100" t="s">
        <v>140</v>
      </c>
      <c r="K1828" s="91">
        <v>0</v>
      </c>
      <c r="L1828" s="91">
        <v>0</v>
      </c>
      <c r="M1828" s="92">
        <v>60</v>
      </c>
      <c r="N1828" s="94">
        <v>450</v>
      </c>
      <c r="O1828" s="92">
        <v>1</v>
      </c>
      <c r="P1828" s="94">
        <f t="shared" si="293"/>
        <v>450</v>
      </c>
      <c r="Q1828" s="181">
        <v>0.8</v>
      </c>
      <c r="R1828" s="92">
        <v>450</v>
      </c>
      <c r="S1828" s="102">
        <f t="shared" si="289"/>
        <v>0</v>
      </c>
      <c r="T1828" s="173">
        <f t="shared" si="297"/>
        <v>1152</v>
      </c>
      <c r="U1828" s="101">
        <f t="shared" si="298"/>
        <v>0</v>
      </c>
      <c r="V1828" s="101">
        <f t="shared" si="299"/>
        <v>0</v>
      </c>
      <c r="W1828" s="101">
        <v>0</v>
      </c>
      <c r="X1828" s="55">
        <f t="shared" si="295"/>
        <v>46153.815393518526</v>
      </c>
    </row>
    <row r="1829" spans="1:24" s="186" customFormat="1" ht="39.5" hidden="1" x14ac:dyDescent="0.35">
      <c r="A1829" s="161">
        <f t="shared" si="294"/>
        <v>46153.815393518526</v>
      </c>
      <c r="B1829" s="123">
        <v>46112</v>
      </c>
      <c r="C1829" s="190">
        <f t="shared" si="296"/>
        <v>-41.815393518525525</v>
      </c>
      <c r="D1829" s="190"/>
      <c r="E1829" s="589" t="s">
        <v>289</v>
      </c>
      <c r="F1829" s="160" t="s">
        <v>871</v>
      </c>
      <c r="G1829" s="160" t="s">
        <v>411</v>
      </c>
      <c r="H1829" s="503" t="s">
        <v>2853</v>
      </c>
      <c r="I1829" s="159" t="s">
        <v>4256</v>
      </c>
      <c r="J1829" s="175" t="s">
        <v>140</v>
      </c>
      <c r="K1829" s="129">
        <v>0</v>
      </c>
      <c r="L1829" s="129">
        <v>0</v>
      </c>
      <c r="M1829" s="130">
        <v>60</v>
      </c>
      <c r="N1829" s="131">
        <v>450</v>
      </c>
      <c r="O1829" s="130">
        <v>1</v>
      </c>
      <c r="P1829" s="131">
        <f t="shared" si="293"/>
        <v>450</v>
      </c>
      <c r="Q1829" s="185">
        <v>0.8</v>
      </c>
      <c r="R1829" s="130">
        <v>450</v>
      </c>
      <c r="S1829" s="164">
        <f t="shared" si="289"/>
        <v>0</v>
      </c>
      <c r="T1829" s="168">
        <f t="shared" si="297"/>
        <v>1152</v>
      </c>
      <c r="U1829" s="163">
        <f t="shared" si="298"/>
        <v>0</v>
      </c>
      <c r="V1829" s="163">
        <f t="shared" si="299"/>
        <v>0</v>
      </c>
      <c r="W1829" s="163">
        <v>0</v>
      </c>
      <c r="X1829" s="137">
        <f t="shared" si="295"/>
        <v>46153.815393518526</v>
      </c>
    </row>
    <row r="1830" spans="1:24" s="186" customFormat="1" ht="26.5" hidden="1" x14ac:dyDescent="0.35">
      <c r="A1830" s="161">
        <f t="shared" si="294"/>
        <v>46153.815393518526</v>
      </c>
      <c r="B1830" s="161">
        <v>46122</v>
      </c>
      <c r="C1830" s="190">
        <f t="shared" si="296"/>
        <v>-31.815393518525525</v>
      </c>
      <c r="D1830" s="161"/>
      <c r="E1830" s="158" t="s">
        <v>289</v>
      </c>
      <c r="F1830" s="125" t="s">
        <v>708</v>
      </c>
      <c r="G1830" s="160" t="s">
        <v>411</v>
      </c>
      <c r="H1830" s="126" t="s">
        <v>2854</v>
      </c>
      <c r="I1830" s="159" t="s">
        <v>222</v>
      </c>
      <c r="J1830" s="175" t="s">
        <v>140</v>
      </c>
      <c r="K1830" s="163">
        <v>0</v>
      </c>
      <c r="L1830" s="163">
        <v>0</v>
      </c>
      <c r="M1830" s="164">
        <v>95</v>
      </c>
      <c r="N1830" s="165">
        <v>3000</v>
      </c>
      <c r="O1830" s="166">
        <v>1</v>
      </c>
      <c r="P1830" s="165">
        <f t="shared" si="293"/>
        <v>3000</v>
      </c>
      <c r="Q1830" s="185">
        <v>0.8</v>
      </c>
      <c r="R1830" s="130">
        <v>3000</v>
      </c>
      <c r="S1830" s="164">
        <f t="shared" si="289"/>
        <v>0</v>
      </c>
      <c r="T1830" s="168">
        <f t="shared" si="297"/>
        <v>727.57894736842104</v>
      </c>
      <c r="U1830" s="163">
        <f t="shared" si="298"/>
        <v>0</v>
      </c>
      <c r="V1830" s="163">
        <f t="shared" si="299"/>
        <v>0</v>
      </c>
      <c r="W1830" s="163">
        <v>0</v>
      </c>
      <c r="X1830" s="137">
        <f>A1830+K1830+L1830+V1830+W1830</f>
        <v>46153.815393518526</v>
      </c>
    </row>
    <row r="1831" spans="1:24" s="186" customFormat="1" ht="26.5" hidden="1" x14ac:dyDescent="0.35">
      <c r="A1831" s="161">
        <f t="shared" si="294"/>
        <v>46153.815393518526</v>
      </c>
      <c r="B1831" s="123">
        <v>46135</v>
      </c>
      <c r="C1831" s="183">
        <f t="shared" si="296"/>
        <v>-18.815393518525525</v>
      </c>
      <c r="D1831" s="123"/>
      <c r="E1831" s="158" t="s">
        <v>289</v>
      </c>
      <c r="F1831" s="159" t="s">
        <v>2855</v>
      </c>
      <c r="G1831" s="159" t="s">
        <v>414</v>
      </c>
      <c r="H1831" s="126" t="s">
        <v>2856</v>
      </c>
      <c r="I1831" s="159" t="s">
        <v>292</v>
      </c>
      <c r="J1831" s="175" t="s">
        <v>140</v>
      </c>
      <c r="K1831" s="163">
        <v>0</v>
      </c>
      <c r="L1831" s="163">
        <v>0</v>
      </c>
      <c r="M1831" s="164">
        <v>85</v>
      </c>
      <c r="N1831" s="131">
        <v>3000</v>
      </c>
      <c r="O1831" s="164">
        <v>2</v>
      </c>
      <c r="P1831" s="165">
        <f t="shared" si="293"/>
        <v>1500</v>
      </c>
      <c r="Q1831" s="185">
        <v>0.8</v>
      </c>
      <c r="R1831" s="164">
        <v>1500</v>
      </c>
      <c r="S1831" s="164">
        <f t="shared" si="289"/>
        <v>0</v>
      </c>
      <c r="T1831" s="168">
        <f t="shared" si="297"/>
        <v>1626.3529411764707</v>
      </c>
      <c r="U1831" s="163">
        <f t="shared" si="298"/>
        <v>0</v>
      </c>
      <c r="V1831" s="163">
        <f t="shared" si="299"/>
        <v>0</v>
      </c>
      <c r="W1831" s="163">
        <v>0</v>
      </c>
      <c r="X1831" s="169">
        <f t="shared" ref="X1831:X1832" si="300">A1831+K1831+V1831+W1831+L1831</f>
        <v>46153.815393518526</v>
      </c>
    </row>
    <row r="1832" spans="1:24" s="202" customFormat="1" ht="25" customHeight="1" x14ac:dyDescent="0.35">
      <c r="A1832" s="193">
        <f t="shared" si="294"/>
        <v>46153.815393518526</v>
      </c>
      <c r="B1832" s="192">
        <v>46139</v>
      </c>
      <c r="C1832" s="267">
        <f t="shared" si="296"/>
        <v>-14.815393518525525</v>
      </c>
      <c r="D1832" s="192"/>
      <c r="E1832" s="195" t="s">
        <v>289</v>
      </c>
      <c r="F1832" s="196" t="s">
        <v>2855</v>
      </c>
      <c r="G1832" s="196" t="s">
        <v>414</v>
      </c>
      <c r="H1832" s="524" t="s">
        <v>2857</v>
      </c>
      <c r="I1832" s="112" t="s">
        <v>143</v>
      </c>
      <c r="J1832" s="383" t="s">
        <v>140</v>
      </c>
      <c r="K1832" s="482">
        <v>0</v>
      </c>
      <c r="L1832" s="482">
        <v>0</v>
      </c>
      <c r="M1832" s="199">
        <v>85</v>
      </c>
      <c r="N1832" s="483">
        <v>3000</v>
      </c>
      <c r="O1832" s="199">
        <v>1</v>
      </c>
      <c r="P1832" s="483">
        <f t="shared" si="293"/>
        <v>3000</v>
      </c>
      <c r="Q1832" s="198">
        <v>0.8</v>
      </c>
      <c r="R1832" s="116">
        <v>2413</v>
      </c>
      <c r="S1832" s="116">
        <f t="shared" si="289"/>
        <v>587</v>
      </c>
      <c r="T1832" s="200">
        <f t="shared" si="297"/>
        <v>813.17647058823536</v>
      </c>
      <c r="U1832" s="115">
        <f t="shared" si="298"/>
        <v>17.324652777777779</v>
      </c>
      <c r="V1832" s="115">
        <f t="shared" si="299"/>
        <v>0.72186053240740744</v>
      </c>
      <c r="W1832" s="115">
        <v>0</v>
      </c>
      <c r="X1832" s="591">
        <f t="shared" si="300"/>
        <v>46154.537254050934</v>
      </c>
    </row>
    <row r="1833" spans="1:24" s="487" customFormat="1" ht="25" customHeight="1" x14ac:dyDescent="0.35">
      <c r="A1833" s="203">
        <f>X1832</f>
        <v>46154.537254050934</v>
      </c>
      <c r="B1833" s="384">
        <v>46154</v>
      </c>
      <c r="C1833" s="385">
        <f>B1833-A1833</f>
        <v>-0.5372540509342798</v>
      </c>
      <c r="D1833" s="385"/>
      <c r="E1833" s="204" t="s">
        <v>289</v>
      </c>
      <c r="F1833" s="488" t="s">
        <v>2858</v>
      </c>
      <c r="G1833" s="488" t="s">
        <v>414</v>
      </c>
      <c r="H1833" s="485" t="s">
        <v>2859</v>
      </c>
      <c r="I1833" s="205" t="s">
        <v>1543</v>
      </c>
      <c r="J1833" s="207" t="s">
        <v>140</v>
      </c>
      <c r="K1833" s="289">
        <v>0.25</v>
      </c>
      <c r="L1833" s="289">
        <v>0.2</v>
      </c>
      <c r="M1833" s="290">
        <v>120</v>
      </c>
      <c r="N1833" s="291">
        <v>1000</v>
      </c>
      <c r="O1833" s="292">
        <v>1</v>
      </c>
      <c r="P1833" s="291">
        <f>N1833/O1833</f>
        <v>1000</v>
      </c>
      <c r="Q1833" s="293">
        <v>0.8</v>
      </c>
      <c r="R1833" s="290"/>
      <c r="S1833" s="290">
        <f>P1833-R1833</f>
        <v>1000</v>
      </c>
      <c r="T1833" s="294">
        <f>((3600/M1833)*O1833)*24*Q1833</f>
        <v>576</v>
      </c>
      <c r="U1833" s="289">
        <f>(P1833-R1833)*M1833/3600/Q1833</f>
        <v>41.666666666666664</v>
      </c>
      <c r="V1833" s="289">
        <f>U1833/24</f>
        <v>1.7361111111111109</v>
      </c>
      <c r="W1833" s="289">
        <v>0</v>
      </c>
      <c r="X1833" s="212">
        <f>A1833+K1833+V1833+W1833+L1833</f>
        <v>46156.723365162041</v>
      </c>
    </row>
    <row r="1834" spans="1:24" s="487" customFormat="1" ht="25" customHeight="1" x14ac:dyDescent="0.35">
      <c r="A1834" s="203">
        <f>X1833</f>
        <v>46156.723365162041</v>
      </c>
      <c r="B1834" s="384">
        <v>46156</v>
      </c>
      <c r="C1834" s="286">
        <f>B1834-A1834</f>
        <v>-0.72336516204086365</v>
      </c>
      <c r="D1834" s="286"/>
      <c r="E1834" s="204" t="s">
        <v>289</v>
      </c>
      <c r="F1834" s="488" t="s">
        <v>2858</v>
      </c>
      <c r="G1834" s="488" t="s">
        <v>414</v>
      </c>
      <c r="H1834" s="485" t="s">
        <v>2860</v>
      </c>
      <c r="I1834" s="205" t="s">
        <v>252</v>
      </c>
      <c r="J1834" s="207" t="s">
        <v>140</v>
      </c>
      <c r="K1834" s="289">
        <v>0.25</v>
      </c>
      <c r="L1834" s="289">
        <v>0.2</v>
      </c>
      <c r="M1834" s="290">
        <v>120</v>
      </c>
      <c r="N1834" s="291">
        <v>1000</v>
      </c>
      <c r="O1834" s="292">
        <v>1</v>
      </c>
      <c r="P1834" s="291">
        <f>N1834/O1834</f>
        <v>1000</v>
      </c>
      <c r="Q1834" s="293">
        <v>0.8</v>
      </c>
      <c r="R1834" s="290"/>
      <c r="S1834" s="290">
        <f>P1834-R1834</f>
        <v>1000</v>
      </c>
      <c r="T1834" s="294">
        <f>((3600/M1834)*O1834)*24*Q1834</f>
        <v>576</v>
      </c>
      <c r="U1834" s="289">
        <f>(P1834-R1834)*M1834/3600/Q1834</f>
        <v>41.666666666666664</v>
      </c>
      <c r="V1834" s="289">
        <f>U1834/24</f>
        <v>1.7361111111111109</v>
      </c>
      <c r="W1834" s="289">
        <v>0</v>
      </c>
      <c r="X1834" s="212">
        <f>A1834+K1834+V1834+W1834+L1834</f>
        <v>46158.909476273147</v>
      </c>
    </row>
    <row r="1835" spans="1:24" s="487" customFormat="1" ht="25" customHeight="1" x14ac:dyDescent="0.35">
      <c r="A1835" s="384"/>
      <c r="B1835" s="384"/>
      <c r="C1835" s="384"/>
      <c r="D1835" s="384"/>
      <c r="E1835" s="204"/>
      <c r="F1835" s="205"/>
      <c r="G1835" s="205"/>
      <c r="H1835" s="485"/>
      <c r="I1835" s="287"/>
      <c r="J1835" s="207"/>
      <c r="K1835" s="208"/>
      <c r="L1835" s="208"/>
      <c r="M1835" s="209"/>
      <c r="N1835" s="210"/>
      <c r="O1835" s="486"/>
      <c r="P1835" s="210"/>
      <c r="Q1835" s="210"/>
      <c r="R1835" s="209"/>
      <c r="S1835" s="209"/>
      <c r="T1835" s="592"/>
      <c r="U1835" s="208"/>
      <c r="V1835" s="208"/>
      <c r="W1835" s="208"/>
      <c r="X1835" s="212"/>
    </row>
    <row r="1836" spans="1:24" ht="34.5" x14ac:dyDescent="0.8">
      <c r="A1836" s="35" t="s">
        <v>1964</v>
      </c>
      <c r="B1836" s="35"/>
      <c r="C1836" s="35"/>
      <c r="D1836" s="35"/>
      <c r="E1836" s="36"/>
      <c r="F1836" s="213"/>
      <c r="G1836" s="213"/>
      <c r="H1836" s="311"/>
      <c r="I1836" s="593"/>
      <c r="J1836" s="40"/>
      <c r="K1836" s="41"/>
      <c r="L1836" s="41"/>
      <c r="M1836" s="42"/>
      <c r="N1836" s="43"/>
      <c r="O1836" s="312"/>
      <c r="P1836" s="44"/>
      <c r="Q1836" s="44"/>
      <c r="R1836" s="45"/>
      <c r="S1836" s="44"/>
      <c r="T1836" s="313"/>
      <c r="U1836" s="44"/>
      <c r="V1836" s="44"/>
      <c r="W1836" s="44"/>
      <c r="X1836" s="45"/>
    </row>
    <row r="1837" spans="1:24" ht="29" hidden="1" x14ac:dyDescent="0.35">
      <c r="A1837" s="46">
        <f>S7</f>
        <v>46153</v>
      </c>
      <c r="B1837" s="46"/>
      <c r="C1837" s="46"/>
      <c r="D1837" s="46"/>
      <c r="E1837" s="47" t="s">
        <v>1964</v>
      </c>
      <c r="F1837" s="48" t="s">
        <v>2861</v>
      </c>
      <c r="G1837" s="48"/>
      <c r="H1837" s="49">
        <v>7591</v>
      </c>
      <c r="I1837" s="82" t="s">
        <v>2862</v>
      </c>
      <c r="J1837" s="100"/>
      <c r="K1837" s="52">
        <v>0</v>
      </c>
      <c r="L1837" s="52">
        <v>0</v>
      </c>
      <c r="M1837" s="53">
        <v>90</v>
      </c>
      <c r="N1837" s="54">
        <v>2000</v>
      </c>
      <c r="O1837" s="341">
        <v>1</v>
      </c>
      <c r="P1837" s="54">
        <f>N1837/O1837</f>
        <v>2000</v>
      </c>
      <c r="Q1837" s="54"/>
      <c r="R1837" s="92">
        <v>2000</v>
      </c>
      <c r="S1837" s="53">
        <f t="shared" ref="S1837:S1900" si="301">P1837-R1837</f>
        <v>0</v>
      </c>
      <c r="T1837" s="315">
        <f t="shared" ref="T1837:T1900" si="302">((3600/M1837)*O1837)*24</f>
        <v>960</v>
      </c>
      <c r="U1837" s="84">
        <f t="shared" ref="U1837:U1900" si="303">(P1837-R1837)*M1837/3600</f>
        <v>0</v>
      </c>
      <c r="V1837" s="84">
        <f t="shared" ref="V1837:V1900" si="304">(P1837-R1837)*M1837/3600/24</f>
        <v>0</v>
      </c>
      <c r="W1837" s="84">
        <v>0</v>
      </c>
      <c r="X1837" s="55">
        <f t="shared" ref="X1837:X1900" si="305">A1837+K1837+V1837+W1837+L1837</f>
        <v>46153</v>
      </c>
    </row>
    <row r="1838" spans="1:24" hidden="1" x14ac:dyDescent="0.35">
      <c r="A1838" s="46">
        <f t="shared" ref="A1838:A1901" si="306">X1837</f>
        <v>46153</v>
      </c>
      <c r="B1838" s="46"/>
      <c r="C1838" s="46"/>
      <c r="D1838" s="46"/>
      <c r="E1838" s="47" t="s">
        <v>1964</v>
      </c>
      <c r="F1838" s="48" t="s">
        <v>2863</v>
      </c>
      <c r="G1838" s="48"/>
      <c r="H1838" s="49">
        <v>7591</v>
      </c>
      <c r="I1838" s="82" t="s">
        <v>2862</v>
      </c>
      <c r="J1838" s="100"/>
      <c r="K1838" s="52">
        <v>0</v>
      </c>
      <c r="L1838" s="52">
        <v>0</v>
      </c>
      <c r="M1838" s="53">
        <v>90</v>
      </c>
      <c r="N1838" s="54">
        <v>1000</v>
      </c>
      <c r="O1838" s="341">
        <v>1</v>
      </c>
      <c r="P1838" s="54">
        <v>1002</v>
      </c>
      <c r="Q1838" s="54"/>
      <c r="R1838" s="92">
        <v>1000</v>
      </c>
      <c r="S1838" s="53">
        <f t="shared" si="301"/>
        <v>2</v>
      </c>
      <c r="T1838" s="315">
        <f t="shared" si="302"/>
        <v>960</v>
      </c>
      <c r="U1838" s="84">
        <f t="shared" si="303"/>
        <v>0.05</v>
      </c>
      <c r="V1838" s="84">
        <f t="shared" si="304"/>
        <v>2.0833333333333333E-3</v>
      </c>
      <c r="W1838" s="84">
        <v>0</v>
      </c>
      <c r="X1838" s="55">
        <f t="shared" si="305"/>
        <v>46153.002083333333</v>
      </c>
    </row>
    <row r="1839" spans="1:24" ht="29" hidden="1" x14ac:dyDescent="0.35">
      <c r="A1839" s="46">
        <f t="shared" si="306"/>
        <v>46153.002083333333</v>
      </c>
      <c r="B1839" s="46"/>
      <c r="C1839" s="46"/>
      <c r="D1839" s="46"/>
      <c r="E1839" s="47" t="s">
        <v>1964</v>
      </c>
      <c r="F1839" s="48" t="s">
        <v>2864</v>
      </c>
      <c r="G1839" s="48"/>
      <c r="H1839" s="49">
        <v>7703</v>
      </c>
      <c r="I1839" s="82" t="s">
        <v>2865</v>
      </c>
      <c r="J1839" s="100"/>
      <c r="K1839" s="52">
        <v>0</v>
      </c>
      <c r="L1839" s="52">
        <v>0</v>
      </c>
      <c r="M1839" s="53">
        <v>67</v>
      </c>
      <c r="N1839" s="54">
        <v>1260</v>
      </c>
      <c r="O1839" s="341">
        <v>1</v>
      </c>
      <c r="P1839" s="54">
        <v>1308</v>
      </c>
      <c r="Q1839" s="54"/>
      <c r="R1839" s="92">
        <v>1308</v>
      </c>
      <c r="S1839" s="53">
        <f t="shared" si="301"/>
        <v>0</v>
      </c>
      <c r="T1839" s="315">
        <f t="shared" si="302"/>
        <v>1289.5522388059703</v>
      </c>
      <c r="U1839" s="84">
        <f t="shared" si="303"/>
        <v>0</v>
      </c>
      <c r="V1839" s="84">
        <f t="shared" si="304"/>
        <v>0</v>
      </c>
      <c r="W1839" s="84">
        <v>0</v>
      </c>
      <c r="X1839" s="55">
        <f t="shared" si="305"/>
        <v>46153.002083333333</v>
      </c>
    </row>
    <row r="1840" spans="1:24" ht="29" hidden="1" x14ac:dyDescent="0.35">
      <c r="A1840" s="46">
        <f t="shared" si="306"/>
        <v>46153.002083333333</v>
      </c>
      <c r="B1840" s="46"/>
      <c r="C1840" s="46"/>
      <c r="D1840" s="46"/>
      <c r="E1840" s="47" t="s">
        <v>1964</v>
      </c>
      <c r="F1840" s="48" t="s">
        <v>2866</v>
      </c>
      <c r="G1840" s="48"/>
      <c r="H1840" s="49">
        <v>7512</v>
      </c>
      <c r="I1840" s="82" t="s">
        <v>2867</v>
      </c>
      <c r="J1840" s="100"/>
      <c r="K1840" s="52">
        <v>0</v>
      </c>
      <c r="L1840" s="52">
        <v>0</v>
      </c>
      <c r="M1840" s="53">
        <v>67</v>
      </c>
      <c r="N1840" s="54">
        <v>2100</v>
      </c>
      <c r="O1840" s="341">
        <v>1</v>
      </c>
      <c r="P1840" s="54">
        <f>N1840/O1840</f>
        <v>2100</v>
      </c>
      <c r="Q1840" s="54"/>
      <c r="R1840" s="92">
        <v>2100</v>
      </c>
      <c r="S1840" s="53">
        <f t="shared" si="301"/>
        <v>0</v>
      </c>
      <c r="T1840" s="315">
        <f t="shared" si="302"/>
        <v>1289.5522388059703</v>
      </c>
      <c r="U1840" s="84">
        <f t="shared" si="303"/>
        <v>0</v>
      </c>
      <c r="V1840" s="84">
        <f t="shared" si="304"/>
        <v>0</v>
      </c>
      <c r="W1840" s="84">
        <v>0</v>
      </c>
      <c r="X1840" s="55">
        <f t="shared" si="305"/>
        <v>46153.002083333333</v>
      </c>
    </row>
    <row r="1841" spans="1:24" ht="29" hidden="1" x14ac:dyDescent="0.35">
      <c r="A1841" s="46">
        <f t="shared" si="306"/>
        <v>46153.002083333333</v>
      </c>
      <c r="B1841" s="46"/>
      <c r="C1841" s="46"/>
      <c r="D1841" s="46"/>
      <c r="E1841" s="47" t="s">
        <v>1964</v>
      </c>
      <c r="F1841" s="48" t="s">
        <v>55</v>
      </c>
      <c r="G1841" s="48"/>
      <c r="H1841" s="49">
        <v>7503</v>
      </c>
      <c r="I1841" s="82" t="s">
        <v>424</v>
      </c>
      <c r="J1841" s="100"/>
      <c r="K1841" s="52">
        <v>0</v>
      </c>
      <c r="L1841" s="52">
        <v>0</v>
      </c>
      <c r="M1841" s="53">
        <v>67</v>
      </c>
      <c r="N1841" s="54">
        <v>2100</v>
      </c>
      <c r="O1841" s="341">
        <v>1</v>
      </c>
      <c r="P1841" s="54">
        <f>N1841/O1841</f>
        <v>2100</v>
      </c>
      <c r="Q1841" s="54"/>
      <c r="R1841" s="92">
        <v>2100</v>
      </c>
      <c r="S1841" s="53">
        <f t="shared" si="301"/>
        <v>0</v>
      </c>
      <c r="T1841" s="315">
        <f t="shared" si="302"/>
        <v>1289.5522388059703</v>
      </c>
      <c r="U1841" s="84">
        <f t="shared" si="303"/>
        <v>0</v>
      </c>
      <c r="V1841" s="84">
        <f t="shared" si="304"/>
        <v>0</v>
      </c>
      <c r="W1841" s="84">
        <v>0</v>
      </c>
      <c r="X1841" s="55">
        <f t="shared" si="305"/>
        <v>46153.002083333333</v>
      </c>
    </row>
    <row r="1842" spans="1:24" ht="43.5" hidden="1" x14ac:dyDescent="0.35">
      <c r="A1842" s="46">
        <f t="shared" si="306"/>
        <v>46153.002083333333</v>
      </c>
      <c r="B1842" s="46"/>
      <c r="C1842" s="46"/>
      <c r="D1842" s="46"/>
      <c r="E1842" s="47" t="s">
        <v>1964</v>
      </c>
      <c r="F1842" s="48" t="s">
        <v>2868</v>
      </c>
      <c r="G1842" s="48"/>
      <c r="H1842" s="49">
        <v>7503</v>
      </c>
      <c r="I1842" s="82" t="s">
        <v>424</v>
      </c>
      <c r="J1842" s="100"/>
      <c r="K1842" s="52">
        <v>0</v>
      </c>
      <c r="L1842" s="52">
        <v>0</v>
      </c>
      <c r="M1842" s="53">
        <v>85</v>
      </c>
      <c r="N1842" s="54">
        <v>10500</v>
      </c>
      <c r="O1842" s="341">
        <v>1</v>
      </c>
      <c r="P1842" s="54">
        <f>N1842/O1842</f>
        <v>10500</v>
      </c>
      <c r="Q1842" s="54"/>
      <c r="R1842" s="92">
        <v>10500</v>
      </c>
      <c r="S1842" s="53">
        <f t="shared" si="301"/>
        <v>0</v>
      </c>
      <c r="T1842" s="315">
        <f t="shared" si="302"/>
        <v>1016.4705882352941</v>
      </c>
      <c r="U1842" s="84">
        <f t="shared" si="303"/>
        <v>0</v>
      </c>
      <c r="V1842" s="84">
        <f t="shared" si="304"/>
        <v>0</v>
      </c>
      <c r="W1842" s="84">
        <v>0</v>
      </c>
      <c r="X1842" s="55">
        <f t="shared" si="305"/>
        <v>46153.002083333333</v>
      </c>
    </row>
    <row r="1843" spans="1:24" ht="43.5" hidden="1" x14ac:dyDescent="0.35">
      <c r="A1843" s="46">
        <f t="shared" si="306"/>
        <v>46153.002083333333</v>
      </c>
      <c r="B1843" s="46"/>
      <c r="C1843" s="46"/>
      <c r="D1843" s="46"/>
      <c r="E1843" s="47" t="s">
        <v>1964</v>
      </c>
      <c r="F1843" s="48" t="s">
        <v>2869</v>
      </c>
      <c r="G1843" s="48"/>
      <c r="H1843" s="49">
        <v>7503</v>
      </c>
      <c r="I1843" s="82" t="s">
        <v>424</v>
      </c>
      <c r="J1843" s="100"/>
      <c r="K1843" s="52">
        <v>0</v>
      </c>
      <c r="L1843" s="52">
        <v>0</v>
      </c>
      <c r="M1843" s="53">
        <v>85</v>
      </c>
      <c r="N1843" s="54">
        <v>6720</v>
      </c>
      <c r="O1843" s="341">
        <v>1</v>
      </c>
      <c r="P1843" s="54">
        <v>7281</v>
      </c>
      <c r="Q1843" s="54"/>
      <c r="R1843" s="92">
        <v>6720</v>
      </c>
      <c r="S1843" s="53">
        <f t="shared" si="301"/>
        <v>561</v>
      </c>
      <c r="T1843" s="315">
        <f t="shared" si="302"/>
        <v>1016.4705882352941</v>
      </c>
      <c r="U1843" s="84">
        <f t="shared" si="303"/>
        <v>13.245833333333334</v>
      </c>
      <c r="V1843" s="84">
        <f t="shared" si="304"/>
        <v>0.55190972222222223</v>
      </c>
      <c r="W1843" s="84">
        <v>0</v>
      </c>
      <c r="X1843" s="55">
        <f t="shared" si="305"/>
        <v>46153.553993055553</v>
      </c>
    </row>
    <row r="1844" spans="1:24" hidden="1" x14ac:dyDescent="0.35">
      <c r="A1844" s="46">
        <f t="shared" si="306"/>
        <v>46153.553993055553</v>
      </c>
      <c r="B1844" s="46"/>
      <c r="C1844" s="46"/>
      <c r="D1844" s="46"/>
      <c r="E1844" s="47" t="s">
        <v>1964</v>
      </c>
      <c r="F1844" s="48" t="s">
        <v>2870</v>
      </c>
      <c r="G1844" s="48"/>
      <c r="H1844" s="49" t="s">
        <v>2871</v>
      </c>
      <c r="I1844" s="82" t="s">
        <v>427</v>
      </c>
      <c r="J1844" s="100"/>
      <c r="K1844" s="52">
        <v>0</v>
      </c>
      <c r="L1844" s="52">
        <v>0</v>
      </c>
      <c r="M1844" s="53">
        <v>80</v>
      </c>
      <c r="N1844" s="54">
        <v>3150</v>
      </c>
      <c r="O1844" s="341">
        <v>1</v>
      </c>
      <c r="P1844" s="54">
        <f>N1844/O1844</f>
        <v>3150</v>
      </c>
      <c r="Q1844" s="54"/>
      <c r="R1844" s="92">
        <v>3150</v>
      </c>
      <c r="S1844" s="53">
        <f t="shared" si="301"/>
        <v>0</v>
      </c>
      <c r="T1844" s="315">
        <f t="shared" si="302"/>
        <v>1080</v>
      </c>
      <c r="U1844" s="84">
        <f t="shared" si="303"/>
        <v>0</v>
      </c>
      <c r="V1844" s="84">
        <f t="shared" si="304"/>
        <v>0</v>
      </c>
      <c r="W1844" s="84">
        <v>0</v>
      </c>
      <c r="X1844" s="55">
        <f t="shared" si="305"/>
        <v>46153.553993055553</v>
      </c>
    </row>
    <row r="1845" spans="1:24" ht="43.5" hidden="1" x14ac:dyDescent="0.35">
      <c r="A1845" s="46">
        <f t="shared" si="306"/>
        <v>46153.553993055553</v>
      </c>
      <c r="B1845" s="46"/>
      <c r="C1845" s="46"/>
      <c r="D1845" s="46"/>
      <c r="E1845" s="47" t="s">
        <v>1964</v>
      </c>
      <c r="F1845" s="48" t="s">
        <v>2869</v>
      </c>
      <c r="G1845" s="48"/>
      <c r="H1845" s="49" t="s">
        <v>2872</v>
      </c>
      <c r="I1845" s="82" t="s">
        <v>2867</v>
      </c>
      <c r="J1845" s="100"/>
      <c r="K1845" s="52">
        <v>0</v>
      </c>
      <c r="L1845" s="52">
        <v>0</v>
      </c>
      <c r="M1845" s="53">
        <v>80</v>
      </c>
      <c r="N1845" s="54">
        <v>2100</v>
      </c>
      <c r="O1845" s="341">
        <v>1</v>
      </c>
      <c r="P1845" s="54">
        <v>1631</v>
      </c>
      <c r="Q1845" s="54"/>
      <c r="R1845" s="92">
        <v>1631</v>
      </c>
      <c r="S1845" s="53">
        <f t="shared" si="301"/>
        <v>0</v>
      </c>
      <c r="T1845" s="315">
        <f t="shared" si="302"/>
        <v>1080</v>
      </c>
      <c r="U1845" s="84">
        <f t="shared" si="303"/>
        <v>0</v>
      </c>
      <c r="V1845" s="84">
        <f t="shared" si="304"/>
        <v>0</v>
      </c>
      <c r="W1845" s="84">
        <v>0</v>
      </c>
      <c r="X1845" s="55">
        <f t="shared" si="305"/>
        <v>46153.553993055553</v>
      </c>
    </row>
    <row r="1846" spans="1:24" ht="29" hidden="1" x14ac:dyDescent="0.35">
      <c r="A1846" s="46">
        <f t="shared" si="306"/>
        <v>46153.553993055553</v>
      </c>
      <c r="B1846" s="46"/>
      <c r="C1846" s="46"/>
      <c r="D1846" s="46"/>
      <c r="E1846" s="47" t="s">
        <v>1964</v>
      </c>
      <c r="F1846" s="57" t="s">
        <v>2873</v>
      </c>
      <c r="G1846" s="57"/>
      <c r="H1846" s="49" t="s">
        <v>2874</v>
      </c>
      <c r="I1846" s="85" t="s">
        <v>529</v>
      </c>
      <c r="J1846" s="100"/>
      <c r="K1846" s="52">
        <v>0</v>
      </c>
      <c r="L1846" s="52">
        <v>0</v>
      </c>
      <c r="M1846" s="53">
        <v>80</v>
      </c>
      <c r="N1846" s="54">
        <v>2520</v>
      </c>
      <c r="O1846" s="341">
        <v>1</v>
      </c>
      <c r="P1846" s="54">
        <v>2530</v>
      </c>
      <c r="Q1846" s="54"/>
      <c r="R1846" s="92">
        <v>2520</v>
      </c>
      <c r="S1846" s="53">
        <f t="shared" si="301"/>
        <v>10</v>
      </c>
      <c r="T1846" s="315">
        <f t="shared" si="302"/>
        <v>1080</v>
      </c>
      <c r="U1846" s="84">
        <f t="shared" si="303"/>
        <v>0.22222222222222221</v>
      </c>
      <c r="V1846" s="84">
        <f t="shared" si="304"/>
        <v>9.2592592592592587E-3</v>
      </c>
      <c r="W1846" s="84">
        <v>0</v>
      </c>
      <c r="X1846" s="55">
        <f t="shared" si="305"/>
        <v>46153.563252314816</v>
      </c>
    </row>
    <row r="1847" spans="1:24" ht="29" hidden="1" x14ac:dyDescent="0.35">
      <c r="A1847" s="46">
        <f t="shared" si="306"/>
        <v>46153.563252314816</v>
      </c>
      <c r="B1847" s="46"/>
      <c r="C1847" s="46"/>
      <c r="D1847" s="46"/>
      <c r="E1847" s="47" t="s">
        <v>1964</v>
      </c>
      <c r="F1847" s="57" t="s">
        <v>2875</v>
      </c>
      <c r="G1847" s="57"/>
      <c r="H1847" s="49" t="s">
        <v>2874</v>
      </c>
      <c r="I1847" s="85" t="s">
        <v>529</v>
      </c>
      <c r="J1847" s="100"/>
      <c r="K1847" s="52">
        <v>0</v>
      </c>
      <c r="L1847" s="52">
        <v>0</v>
      </c>
      <c r="M1847" s="53">
        <v>80</v>
      </c>
      <c r="N1847" s="54">
        <v>720</v>
      </c>
      <c r="O1847" s="341">
        <v>1</v>
      </c>
      <c r="P1847" s="54">
        <v>723</v>
      </c>
      <c r="Q1847" s="54"/>
      <c r="R1847" s="92">
        <v>720</v>
      </c>
      <c r="S1847" s="53">
        <f t="shared" si="301"/>
        <v>3</v>
      </c>
      <c r="T1847" s="315">
        <f t="shared" si="302"/>
        <v>1080</v>
      </c>
      <c r="U1847" s="84">
        <f t="shared" si="303"/>
        <v>6.6666666666666666E-2</v>
      </c>
      <c r="V1847" s="84">
        <f t="shared" si="304"/>
        <v>2.7777777777777779E-3</v>
      </c>
      <c r="W1847" s="84">
        <v>0</v>
      </c>
      <c r="X1847" s="55">
        <f t="shared" si="305"/>
        <v>46153.566030092596</v>
      </c>
    </row>
    <row r="1848" spans="1:24" ht="29" hidden="1" x14ac:dyDescent="0.35">
      <c r="A1848" s="46">
        <f t="shared" si="306"/>
        <v>46153.566030092596</v>
      </c>
      <c r="B1848" s="46"/>
      <c r="C1848" s="46"/>
      <c r="D1848" s="46"/>
      <c r="E1848" s="47" t="s">
        <v>1964</v>
      </c>
      <c r="F1848" s="57" t="s">
        <v>2876</v>
      </c>
      <c r="G1848" s="57"/>
      <c r="H1848" s="49" t="s">
        <v>2877</v>
      </c>
      <c r="I1848" s="85" t="s">
        <v>1408</v>
      </c>
      <c r="J1848" s="100"/>
      <c r="K1848" s="52">
        <v>0</v>
      </c>
      <c r="L1848" s="52">
        <v>0</v>
      </c>
      <c r="M1848" s="53">
        <v>78</v>
      </c>
      <c r="N1848" s="54">
        <v>5400</v>
      </c>
      <c r="O1848" s="341">
        <v>2</v>
      </c>
      <c r="P1848" s="54">
        <f>N1848/O1848</f>
        <v>2700</v>
      </c>
      <c r="Q1848" s="54"/>
      <c r="R1848" s="92">
        <v>2700</v>
      </c>
      <c r="S1848" s="53">
        <f t="shared" si="301"/>
        <v>0</v>
      </c>
      <c r="T1848" s="315">
        <f t="shared" si="302"/>
        <v>2215.3846153846152</v>
      </c>
      <c r="U1848" s="84">
        <f t="shared" si="303"/>
        <v>0</v>
      </c>
      <c r="V1848" s="84">
        <f t="shared" si="304"/>
        <v>0</v>
      </c>
      <c r="W1848" s="84">
        <v>0</v>
      </c>
      <c r="X1848" s="55">
        <f t="shared" si="305"/>
        <v>46153.566030092596</v>
      </c>
    </row>
    <row r="1849" spans="1:24" ht="29" hidden="1" x14ac:dyDescent="0.35">
      <c r="A1849" s="46">
        <f t="shared" si="306"/>
        <v>46153.566030092596</v>
      </c>
      <c r="B1849" s="46"/>
      <c r="C1849" s="46"/>
      <c r="D1849" s="46"/>
      <c r="E1849" s="47" t="s">
        <v>1964</v>
      </c>
      <c r="F1849" s="57" t="s">
        <v>2878</v>
      </c>
      <c r="G1849" s="57"/>
      <c r="H1849" s="49" t="s">
        <v>2877</v>
      </c>
      <c r="I1849" s="85" t="s">
        <v>1408</v>
      </c>
      <c r="J1849" s="100"/>
      <c r="K1849" s="52">
        <v>0</v>
      </c>
      <c r="L1849" s="52">
        <v>0</v>
      </c>
      <c r="M1849" s="53">
        <v>78</v>
      </c>
      <c r="N1849" s="54">
        <v>1620</v>
      </c>
      <c r="O1849" s="341">
        <v>2</v>
      </c>
      <c r="P1849" s="54">
        <v>818</v>
      </c>
      <c r="Q1849" s="54"/>
      <c r="R1849" s="92">
        <v>818</v>
      </c>
      <c r="S1849" s="53">
        <f t="shared" si="301"/>
        <v>0</v>
      </c>
      <c r="T1849" s="315">
        <f t="shared" si="302"/>
        <v>2215.3846153846152</v>
      </c>
      <c r="U1849" s="84">
        <f t="shared" si="303"/>
        <v>0</v>
      </c>
      <c r="V1849" s="84">
        <f t="shared" si="304"/>
        <v>0</v>
      </c>
      <c r="W1849" s="84">
        <v>0</v>
      </c>
      <c r="X1849" s="55">
        <f t="shared" si="305"/>
        <v>46153.566030092596</v>
      </c>
    </row>
    <row r="1850" spans="1:24" hidden="1" x14ac:dyDescent="0.35">
      <c r="A1850" s="46">
        <f t="shared" si="306"/>
        <v>46153.566030092596</v>
      </c>
      <c r="B1850" s="46"/>
      <c r="C1850" s="46"/>
      <c r="D1850" s="46"/>
      <c r="E1850" s="47" t="s">
        <v>1964</v>
      </c>
      <c r="F1850" s="57" t="s">
        <v>101</v>
      </c>
      <c r="G1850" s="57"/>
      <c r="H1850" s="49" t="s">
        <v>2879</v>
      </c>
      <c r="I1850" s="82" t="s">
        <v>81</v>
      </c>
      <c r="J1850" s="100"/>
      <c r="K1850" s="52">
        <v>0</v>
      </c>
      <c r="L1850" s="52">
        <v>0</v>
      </c>
      <c r="M1850" s="53">
        <v>100</v>
      </c>
      <c r="N1850" s="54">
        <v>1080</v>
      </c>
      <c r="O1850" s="341">
        <v>1</v>
      </c>
      <c r="P1850" s="54">
        <v>1081</v>
      </c>
      <c r="Q1850" s="54"/>
      <c r="R1850" s="92">
        <v>1081</v>
      </c>
      <c r="S1850" s="53">
        <f t="shared" si="301"/>
        <v>0</v>
      </c>
      <c r="T1850" s="315">
        <f t="shared" si="302"/>
        <v>864</v>
      </c>
      <c r="U1850" s="84">
        <f t="shared" si="303"/>
        <v>0</v>
      </c>
      <c r="V1850" s="84">
        <f t="shared" si="304"/>
        <v>0</v>
      </c>
      <c r="W1850" s="84">
        <v>0</v>
      </c>
      <c r="X1850" s="55">
        <f t="shared" si="305"/>
        <v>46153.566030092596</v>
      </c>
    </row>
    <row r="1851" spans="1:24" hidden="1" x14ac:dyDescent="0.35">
      <c r="A1851" s="46">
        <f t="shared" si="306"/>
        <v>46153.566030092596</v>
      </c>
      <c r="B1851" s="46"/>
      <c r="C1851" s="46"/>
      <c r="D1851" s="46"/>
      <c r="E1851" s="47" t="s">
        <v>1964</v>
      </c>
      <c r="F1851" s="57" t="s">
        <v>101</v>
      </c>
      <c r="G1851" s="57"/>
      <c r="H1851" s="49" t="s">
        <v>2880</v>
      </c>
      <c r="I1851" s="82" t="s">
        <v>83</v>
      </c>
      <c r="J1851" s="100"/>
      <c r="K1851" s="52">
        <v>0</v>
      </c>
      <c r="L1851" s="52">
        <v>0</v>
      </c>
      <c r="M1851" s="53">
        <v>100</v>
      </c>
      <c r="N1851" s="54">
        <v>168</v>
      </c>
      <c r="O1851" s="341">
        <v>1</v>
      </c>
      <c r="P1851" s="54">
        <v>198</v>
      </c>
      <c r="Q1851" s="54"/>
      <c r="R1851" s="92">
        <v>198</v>
      </c>
      <c r="S1851" s="53">
        <f t="shared" si="301"/>
        <v>0</v>
      </c>
      <c r="T1851" s="315">
        <f t="shared" si="302"/>
        <v>864</v>
      </c>
      <c r="U1851" s="84">
        <f t="shared" si="303"/>
        <v>0</v>
      </c>
      <c r="V1851" s="84">
        <f t="shared" si="304"/>
        <v>0</v>
      </c>
      <c r="W1851" s="84">
        <v>0</v>
      </c>
      <c r="X1851" s="55">
        <f t="shared" si="305"/>
        <v>46153.566030092596</v>
      </c>
    </row>
    <row r="1852" spans="1:24" hidden="1" x14ac:dyDescent="0.35">
      <c r="A1852" s="46">
        <f t="shared" si="306"/>
        <v>46153.566030092596</v>
      </c>
      <c r="B1852" s="46"/>
      <c r="C1852" s="46"/>
      <c r="D1852" s="46"/>
      <c r="E1852" s="47" t="s">
        <v>1964</v>
      </c>
      <c r="F1852" s="57" t="s">
        <v>101</v>
      </c>
      <c r="G1852" s="57"/>
      <c r="H1852" s="49" t="s">
        <v>2881</v>
      </c>
      <c r="I1852" s="82" t="s">
        <v>2882</v>
      </c>
      <c r="J1852" s="100"/>
      <c r="K1852" s="52">
        <v>0</v>
      </c>
      <c r="L1852" s="52">
        <v>0</v>
      </c>
      <c r="M1852" s="53">
        <v>100</v>
      </c>
      <c r="N1852" s="54">
        <v>48</v>
      </c>
      <c r="O1852" s="341">
        <v>1</v>
      </c>
      <c r="P1852" s="54">
        <f>N1852/O1852</f>
        <v>48</v>
      </c>
      <c r="Q1852" s="54"/>
      <c r="R1852" s="92">
        <v>48</v>
      </c>
      <c r="S1852" s="53">
        <f t="shared" si="301"/>
        <v>0</v>
      </c>
      <c r="T1852" s="315">
        <f t="shared" si="302"/>
        <v>864</v>
      </c>
      <c r="U1852" s="84">
        <f t="shared" si="303"/>
        <v>0</v>
      </c>
      <c r="V1852" s="84">
        <f t="shared" si="304"/>
        <v>0</v>
      </c>
      <c r="W1852" s="84">
        <v>0</v>
      </c>
      <c r="X1852" s="55">
        <f t="shared" si="305"/>
        <v>46153.566030092596</v>
      </c>
    </row>
    <row r="1853" spans="1:24" ht="29" hidden="1" x14ac:dyDescent="0.35">
      <c r="A1853" s="46">
        <f t="shared" si="306"/>
        <v>46153.566030092596</v>
      </c>
      <c r="B1853" s="46"/>
      <c r="C1853" s="46"/>
      <c r="D1853" s="46"/>
      <c r="E1853" s="47" t="s">
        <v>1964</v>
      </c>
      <c r="F1853" s="48" t="s">
        <v>2883</v>
      </c>
      <c r="G1853" s="48"/>
      <c r="H1853" s="49" t="s">
        <v>2884</v>
      </c>
      <c r="I1853" s="82" t="s">
        <v>2885</v>
      </c>
      <c r="J1853" s="100"/>
      <c r="K1853" s="52">
        <v>0</v>
      </c>
      <c r="L1853" s="52">
        <v>0</v>
      </c>
      <c r="M1853" s="53">
        <v>85</v>
      </c>
      <c r="N1853" s="54">
        <v>420</v>
      </c>
      <c r="O1853" s="341">
        <v>1</v>
      </c>
      <c r="P1853" s="54">
        <v>437</v>
      </c>
      <c r="Q1853" s="54"/>
      <c r="R1853" s="92">
        <v>437</v>
      </c>
      <c r="S1853" s="53">
        <f t="shared" si="301"/>
        <v>0</v>
      </c>
      <c r="T1853" s="315">
        <f t="shared" si="302"/>
        <v>1016.4705882352941</v>
      </c>
      <c r="U1853" s="84">
        <f t="shared" si="303"/>
        <v>0</v>
      </c>
      <c r="V1853" s="84">
        <f t="shared" si="304"/>
        <v>0</v>
      </c>
      <c r="W1853" s="84">
        <v>0</v>
      </c>
      <c r="X1853" s="55">
        <f t="shared" si="305"/>
        <v>46153.566030092596</v>
      </c>
    </row>
    <row r="1854" spans="1:24" ht="29" hidden="1" x14ac:dyDescent="0.35">
      <c r="A1854" s="46">
        <f t="shared" si="306"/>
        <v>46153.566030092596</v>
      </c>
      <c r="B1854" s="46"/>
      <c r="C1854" s="46"/>
      <c r="D1854" s="46"/>
      <c r="E1854" s="47" t="s">
        <v>1964</v>
      </c>
      <c r="F1854" s="48" t="s">
        <v>2883</v>
      </c>
      <c r="G1854" s="48"/>
      <c r="H1854" s="49" t="s">
        <v>2886</v>
      </c>
      <c r="I1854" s="82" t="s">
        <v>430</v>
      </c>
      <c r="J1854" s="100"/>
      <c r="K1854" s="52">
        <v>0</v>
      </c>
      <c r="L1854" s="52">
        <v>0</v>
      </c>
      <c r="M1854" s="53">
        <v>85</v>
      </c>
      <c r="N1854" s="54">
        <v>1680</v>
      </c>
      <c r="O1854" s="341">
        <v>1</v>
      </c>
      <c r="P1854" s="54">
        <f t="shared" ref="P1854:P1917" si="307">N1854/O1854</f>
        <v>1680</v>
      </c>
      <c r="Q1854" s="54"/>
      <c r="R1854" s="92">
        <v>1680</v>
      </c>
      <c r="S1854" s="53">
        <f t="shared" si="301"/>
        <v>0</v>
      </c>
      <c r="T1854" s="315">
        <f t="shared" si="302"/>
        <v>1016.4705882352941</v>
      </c>
      <c r="U1854" s="84">
        <f t="shared" si="303"/>
        <v>0</v>
      </c>
      <c r="V1854" s="84">
        <f t="shared" si="304"/>
        <v>0</v>
      </c>
      <c r="W1854" s="84">
        <v>0</v>
      </c>
      <c r="X1854" s="55">
        <f t="shared" si="305"/>
        <v>46153.566030092596</v>
      </c>
    </row>
    <row r="1855" spans="1:24" ht="29" hidden="1" x14ac:dyDescent="0.35">
      <c r="A1855" s="46">
        <f t="shared" si="306"/>
        <v>46153.566030092596</v>
      </c>
      <c r="B1855" s="46"/>
      <c r="C1855" s="46"/>
      <c r="D1855" s="46"/>
      <c r="E1855" s="47" t="s">
        <v>1964</v>
      </c>
      <c r="F1855" s="48" t="s">
        <v>2883</v>
      </c>
      <c r="G1855" s="48"/>
      <c r="H1855" s="49" t="s">
        <v>2887</v>
      </c>
      <c r="I1855" s="82" t="s">
        <v>2867</v>
      </c>
      <c r="J1855" s="100"/>
      <c r="K1855" s="52">
        <v>0</v>
      </c>
      <c r="L1855" s="52">
        <v>0</v>
      </c>
      <c r="M1855" s="53">
        <v>85</v>
      </c>
      <c r="N1855" s="54">
        <v>1680</v>
      </c>
      <c r="O1855" s="341">
        <v>1</v>
      </c>
      <c r="P1855" s="54">
        <f t="shared" si="307"/>
        <v>1680</v>
      </c>
      <c r="Q1855" s="54"/>
      <c r="R1855" s="92">
        <v>1680</v>
      </c>
      <c r="S1855" s="53">
        <f t="shared" si="301"/>
        <v>0</v>
      </c>
      <c r="T1855" s="315">
        <f t="shared" si="302"/>
        <v>1016.4705882352941</v>
      </c>
      <c r="U1855" s="84">
        <f t="shared" si="303"/>
        <v>0</v>
      </c>
      <c r="V1855" s="84">
        <f t="shared" si="304"/>
        <v>0</v>
      </c>
      <c r="W1855" s="84">
        <v>0</v>
      </c>
      <c r="X1855" s="55">
        <f t="shared" si="305"/>
        <v>46153.566030092596</v>
      </c>
    </row>
    <row r="1856" spans="1:24" ht="29" hidden="1" x14ac:dyDescent="0.35">
      <c r="A1856" s="46">
        <f t="shared" si="306"/>
        <v>46153.566030092596</v>
      </c>
      <c r="B1856" s="46"/>
      <c r="C1856" s="46"/>
      <c r="D1856" s="46"/>
      <c r="E1856" s="47" t="s">
        <v>1964</v>
      </c>
      <c r="F1856" s="48" t="s">
        <v>2888</v>
      </c>
      <c r="G1856" s="48"/>
      <c r="H1856" s="59" t="s">
        <v>2889</v>
      </c>
      <c r="I1856" s="390" t="s">
        <v>2890</v>
      </c>
      <c r="J1856" s="100"/>
      <c r="K1856" s="52">
        <v>0</v>
      </c>
      <c r="L1856" s="52">
        <v>0</v>
      </c>
      <c r="M1856" s="53">
        <v>80</v>
      </c>
      <c r="N1856" s="54">
        <v>50</v>
      </c>
      <c r="O1856" s="341">
        <v>1</v>
      </c>
      <c r="P1856" s="54">
        <f t="shared" si="307"/>
        <v>50</v>
      </c>
      <c r="Q1856" s="54"/>
      <c r="R1856" s="92">
        <v>50</v>
      </c>
      <c r="S1856" s="53">
        <f t="shared" si="301"/>
        <v>0</v>
      </c>
      <c r="T1856" s="315">
        <f t="shared" si="302"/>
        <v>1080</v>
      </c>
      <c r="U1856" s="84">
        <f t="shared" si="303"/>
        <v>0</v>
      </c>
      <c r="V1856" s="84">
        <f t="shared" si="304"/>
        <v>0</v>
      </c>
      <c r="W1856" s="84">
        <v>0.1</v>
      </c>
      <c r="X1856" s="55">
        <f t="shared" si="305"/>
        <v>46153.666030092594</v>
      </c>
    </row>
    <row r="1857" spans="1:24" ht="29" hidden="1" x14ac:dyDescent="0.35">
      <c r="A1857" s="46">
        <f t="shared" si="306"/>
        <v>46153.666030092594</v>
      </c>
      <c r="B1857" s="46"/>
      <c r="C1857" s="46"/>
      <c r="D1857" s="46"/>
      <c r="E1857" s="47" t="s">
        <v>1964</v>
      </c>
      <c r="F1857" s="48" t="s">
        <v>2891</v>
      </c>
      <c r="G1857" s="48"/>
      <c r="H1857" s="59" t="s">
        <v>2889</v>
      </c>
      <c r="I1857" s="390" t="s">
        <v>2890</v>
      </c>
      <c r="J1857" s="100"/>
      <c r="K1857" s="52">
        <v>0</v>
      </c>
      <c r="L1857" s="52">
        <v>0</v>
      </c>
      <c r="M1857" s="53">
        <v>80</v>
      </c>
      <c r="N1857" s="54">
        <v>50</v>
      </c>
      <c r="O1857" s="341">
        <v>1</v>
      </c>
      <c r="P1857" s="54">
        <f t="shared" si="307"/>
        <v>50</v>
      </c>
      <c r="Q1857" s="54"/>
      <c r="R1857" s="92">
        <v>50</v>
      </c>
      <c r="S1857" s="53">
        <f t="shared" si="301"/>
        <v>0</v>
      </c>
      <c r="T1857" s="315">
        <f t="shared" si="302"/>
        <v>1080</v>
      </c>
      <c r="U1857" s="84">
        <f t="shared" si="303"/>
        <v>0</v>
      </c>
      <c r="V1857" s="84">
        <f t="shared" si="304"/>
        <v>0</v>
      </c>
      <c r="W1857" s="84">
        <v>0</v>
      </c>
      <c r="X1857" s="55">
        <f t="shared" si="305"/>
        <v>46153.666030092594</v>
      </c>
    </row>
    <row r="1858" spans="1:24" ht="58" hidden="1" x14ac:dyDescent="0.35">
      <c r="A1858" s="46">
        <f t="shared" si="306"/>
        <v>46153.666030092594</v>
      </c>
      <c r="B1858" s="46"/>
      <c r="C1858" s="46"/>
      <c r="D1858" s="46"/>
      <c r="E1858" s="47" t="s">
        <v>1964</v>
      </c>
      <c r="F1858" s="48" t="s">
        <v>2892</v>
      </c>
      <c r="G1858" s="48"/>
      <c r="H1858" s="59" t="s">
        <v>2893</v>
      </c>
      <c r="I1858" s="390" t="s">
        <v>2894</v>
      </c>
      <c r="J1858" s="100"/>
      <c r="K1858" s="52">
        <v>0</v>
      </c>
      <c r="L1858" s="52">
        <v>0</v>
      </c>
      <c r="M1858" s="53">
        <v>80</v>
      </c>
      <c r="N1858" s="54">
        <v>1000</v>
      </c>
      <c r="O1858" s="341">
        <v>1</v>
      </c>
      <c r="P1858" s="54">
        <f t="shared" si="307"/>
        <v>1000</v>
      </c>
      <c r="Q1858" s="54"/>
      <c r="R1858" s="92">
        <v>1000</v>
      </c>
      <c r="S1858" s="53">
        <f t="shared" si="301"/>
        <v>0</v>
      </c>
      <c r="T1858" s="315">
        <f t="shared" si="302"/>
        <v>1080</v>
      </c>
      <c r="U1858" s="84">
        <f t="shared" si="303"/>
        <v>0</v>
      </c>
      <c r="V1858" s="84">
        <f t="shared" si="304"/>
        <v>0</v>
      </c>
      <c r="W1858" s="84">
        <v>0</v>
      </c>
      <c r="X1858" s="55">
        <f t="shared" si="305"/>
        <v>46153.666030092594</v>
      </c>
    </row>
    <row r="1859" spans="1:24" ht="58" hidden="1" x14ac:dyDescent="0.35">
      <c r="A1859" s="46">
        <f t="shared" si="306"/>
        <v>46153.666030092594</v>
      </c>
      <c r="B1859" s="46"/>
      <c r="C1859" s="46"/>
      <c r="D1859" s="46"/>
      <c r="E1859" s="47" t="s">
        <v>1964</v>
      </c>
      <c r="F1859" s="48" t="s">
        <v>2895</v>
      </c>
      <c r="G1859" s="48"/>
      <c r="H1859" s="59" t="s">
        <v>2896</v>
      </c>
      <c r="I1859" s="390" t="s">
        <v>2897</v>
      </c>
      <c r="J1859" s="100"/>
      <c r="K1859" s="52">
        <v>0</v>
      </c>
      <c r="L1859" s="52">
        <v>0</v>
      </c>
      <c r="M1859" s="53">
        <v>80</v>
      </c>
      <c r="N1859" s="54">
        <v>12000</v>
      </c>
      <c r="O1859" s="341">
        <v>1</v>
      </c>
      <c r="P1859" s="54">
        <f t="shared" si="307"/>
        <v>12000</v>
      </c>
      <c r="Q1859" s="54"/>
      <c r="R1859" s="92">
        <v>12000</v>
      </c>
      <c r="S1859" s="53">
        <f t="shared" si="301"/>
        <v>0</v>
      </c>
      <c r="T1859" s="315">
        <f t="shared" si="302"/>
        <v>1080</v>
      </c>
      <c r="U1859" s="84">
        <f t="shared" si="303"/>
        <v>0</v>
      </c>
      <c r="V1859" s="84">
        <f t="shared" si="304"/>
        <v>0</v>
      </c>
      <c r="W1859" s="84">
        <v>0</v>
      </c>
      <c r="X1859" s="55">
        <f t="shared" si="305"/>
        <v>46153.666030092594</v>
      </c>
    </row>
    <row r="1860" spans="1:24" ht="58" hidden="1" x14ac:dyDescent="0.35">
      <c r="A1860" s="46">
        <f t="shared" si="306"/>
        <v>46153.666030092594</v>
      </c>
      <c r="B1860" s="46"/>
      <c r="C1860" s="46"/>
      <c r="D1860" s="46"/>
      <c r="E1860" s="47" t="s">
        <v>1964</v>
      </c>
      <c r="F1860" s="48" t="s">
        <v>2895</v>
      </c>
      <c r="G1860" s="48"/>
      <c r="H1860" s="49" t="s">
        <v>2898</v>
      </c>
      <c r="I1860" s="390" t="s">
        <v>2897</v>
      </c>
      <c r="J1860" s="100"/>
      <c r="K1860" s="52">
        <v>0</v>
      </c>
      <c r="L1860" s="52">
        <v>0</v>
      </c>
      <c r="M1860" s="53">
        <v>80</v>
      </c>
      <c r="N1860" s="54">
        <v>2500</v>
      </c>
      <c r="O1860" s="341">
        <v>1</v>
      </c>
      <c r="P1860" s="54">
        <f t="shared" si="307"/>
        <v>2500</v>
      </c>
      <c r="Q1860" s="54"/>
      <c r="R1860" s="92">
        <v>2500</v>
      </c>
      <c r="S1860" s="53">
        <f t="shared" si="301"/>
        <v>0</v>
      </c>
      <c r="T1860" s="315">
        <f t="shared" si="302"/>
        <v>1080</v>
      </c>
      <c r="U1860" s="84">
        <f t="shared" si="303"/>
        <v>0</v>
      </c>
      <c r="V1860" s="84">
        <f t="shared" si="304"/>
        <v>0</v>
      </c>
      <c r="W1860" s="84">
        <v>0</v>
      </c>
      <c r="X1860" s="55">
        <f t="shared" si="305"/>
        <v>46153.666030092594</v>
      </c>
    </row>
    <row r="1861" spans="1:24" ht="58" hidden="1" x14ac:dyDescent="0.35">
      <c r="A1861" s="46">
        <f t="shared" si="306"/>
        <v>46153.666030092594</v>
      </c>
      <c r="B1861" s="46"/>
      <c r="C1861" s="46"/>
      <c r="D1861" s="46"/>
      <c r="E1861" s="47" t="s">
        <v>1964</v>
      </c>
      <c r="F1861" s="48" t="s">
        <v>2899</v>
      </c>
      <c r="G1861" s="48"/>
      <c r="H1861" s="49" t="s">
        <v>2900</v>
      </c>
      <c r="I1861" s="390" t="s">
        <v>2901</v>
      </c>
      <c r="J1861" s="100" t="s">
        <v>140</v>
      </c>
      <c r="K1861" s="52">
        <v>0</v>
      </c>
      <c r="L1861" s="52">
        <v>0</v>
      </c>
      <c r="M1861" s="53">
        <v>80</v>
      </c>
      <c r="N1861" s="54">
        <v>5000</v>
      </c>
      <c r="O1861" s="341">
        <v>1</v>
      </c>
      <c r="P1861" s="54">
        <f t="shared" si="307"/>
        <v>5000</v>
      </c>
      <c r="Q1861" s="54"/>
      <c r="R1861" s="92">
        <v>5000</v>
      </c>
      <c r="S1861" s="53">
        <f t="shared" si="301"/>
        <v>0</v>
      </c>
      <c r="T1861" s="315">
        <f t="shared" si="302"/>
        <v>1080</v>
      </c>
      <c r="U1861" s="84">
        <f t="shared" si="303"/>
        <v>0</v>
      </c>
      <c r="V1861" s="84">
        <f t="shared" si="304"/>
        <v>0</v>
      </c>
      <c r="W1861" s="84">
        <v>0</v>
      </c>
      <c r="X1861" s="55">
        <f t="shared" si="305"/>
        <v>46153.666030092594</v>
      </c>
    </row>
    <row r="1862" spans="1:24" ht="87" hidden="1" x14ac:dyDescent="0.35">
      <c r="A1862" s="46">
        <f t="shared" si="306"/>
        <v>46153.666030092594</v>
      </c>
      <c r="B1862" s="46"/>
      <c r="C1862" s="46"/>
      <c r="D1862" s="46"/>
      <c r="E1862" s="47" t="s">
        <v>1964</v>
      </c>
      <c r="F1862" s="48" t="s">
        <v>4257</v>
      </c>
      <c r="G1862" s="48"/>
      <c r="H1862" s="49" t="s">
        <v>2902</v>
      </c>
      <c r="I1862" s="390" t="s">
        <v>2903</v>
      </c>
      <c r="J1862" s="100" t="s">
        <v>140</v>
      </c>
      <c r="K1862" s="52">
        <v>0</v>
      </c>
      <c r="L1862" s="52">
        <v>0</v>
      </c>
      <c r="M1862" s="83">
        <v>80</v>
      </c>
      <c r="N1862" s="223">
        <v>10000</v>
      </c>
      <c r="O1862" s="314">
        <v>1</v>
      </c>
      <c r="P1862" s="223">
        <f t="shared" si="307"/>
        <v>10000</v>
      </c>
      <c r="Q1862" s="223"/>
      <c r="R1862" s="102">
        <v>10000</v>
      </c>
      <c r="S1862" s="83">
        <f t="shared" si="301"/>
        <v>0</v>
      </c>
      <c r="T1862" s="315">
        <f t="shared" si="302"/>
        <v>1080</v>
      </c>
      <c r="U1862" s="84">
        <f t="shared" si="303"/>
        <v>0</v>
      </c>
      <c r="V1862" s="84">
        <f t="shared" si="304"/>
        <v>0</v>
      </c>
      <c r="W1862" s="84">
        <v>0</v>
      </c>
      <c r="X1862" s="55">
        <f t="shared" si="305"/>
        <v>46153.666030092594</v>
      </c>
    </row>
    <row r="1863" spans="1:24" ht="87" hidden="1" x14ac:dyDescent="0.35">
      <c r="A1863" s="46">
        <f t="shared" si="306"/>
        <v>46153.666030092594</v>
      </c>
      <c r="B1863" s="46"/>
      <c r="C1863" s="46"/>
      <c r="D1863" s="46"/>
      <c r="E1863" s="47" t="s">
        <v>1964</v>
      </c>
      <c r="F1863" s="48" t="s">
        <v>4258</v>
      </c>
      <c r="G1863" s="48"/>
      <c r="H1863" s="49" t="s">
        <v>2902</v>
      </c>
      <c r="I1863" s="390" t="s">
        <v>2903</v>
      </c>
      <c r="J1863" s="100" t="s">
        <v>140</v>
      </c>
      <c r="K1863" s="52">
        <v>0</v>
      </c>
      <c r="L1863" s="52">
        <v>0</v>
      </c>
      <c r="M1863" s="83">
        <v>80</v>
      </c>
      <c r="N1863" s="223">
        <v>12241</v>
      </c>
      <c r="O1863" s="314">
        <v>1</v>
      </c>
      <c r="P1863" s="223">
        <f t="shared" si="307"/>
        <v>12241</v>
      </c>
      <c r="Q1863" s="223"/>
      <c r="R1863" s="102">
        <v>12241</v>
      </c>
      <c r="S1863" s="83">
        <f t="shared" si="301"/>
        <v>0</v>
      </c>
      <c r="T1863" s="315">
        <f t="shared" si="302"/>
        <v>1080</v>
      </c>
      <c r="U1863" s="84">
        <f t="shared" si="303"/>
        <v>0</v>
      </c>
      <c r="V1863" s="84">
        <f t="shared" si="304"/>
        <v>0</v>
      </c>
      <c r="W1863" s="84">
        <v>0</v>
      </c>
      <c r="X1863" s="55">
        <f t="shared" si="305"/>
        <v>46153.666030092594</v>
      </c>
    </row>
    <row r="1864" spans="1:24" ht="72.5" hidden="1" x14ac:dyDescent="0.35">
      <c r="A1864" s="46">
        <f t="shared" si="306"/>
        <v>46153.666030092594</v>
      </c>
      <c r="B1864" s="46"/>
      <c r="C1864" s="46"/>
      <c r="D1864" s="46"/>
      <c r="E1864" s="47" t="s">
        <v>134</v>
      </c>
      <c r="F1864" s="57" t="s">
        <v>4200</v>
      </c>
      <c r="G1864" s="57"/>
      <c r="H1864" s="216" t="s">
        <v>1038</v>
      </c>
      <c r="I1864" s="82" t="s">
        <v>470</v>
      </c>
      <c r="J1864" s="100" t="s">
        <v>140</v>
      </c>
      <c r="K1864" s="52">
        <v>0</v>
      </c>
      <c r="L1864" s="52">
        <v>0</v>
      </c>
      <c r="M1864" s="53">
        <v>187</v>
      </c>
      <c r="N1864" s="54">
        <v>2176</v>
      </c>
      <c r="O1864" s="341">
        <v>2</v>
      </c>
      <c r="P1864" s="54">
        <f t="shared" si="307"/>
        <v>1088</v>
      </c>
      <c r="Q1864" s="54"/>
      <c r="R1864" s="92">
        <v>1088</v>
      </c>
      <c r="S1864" s="53">
        <f t="shared" si="301"/>
        <v>0</v>
      </c>
      <c r="T1864" s="315">
        <f t="shared" si="302"/>
        <v>924.06417112299459</v>
      </c>
      <c r="U1864" s="84">
        <f t="shared" si="303"/>
        <v>0</v>
      </c>
      <c r="V1864" s="84">
        <f t="shared" si="304"/>
        <v>0</v>
      </c>
      <c r="W1864" s="84">
        <v>0</v>
      </c>
      <c r="X1864" s="55">
        <f t="shared" si="305"/>
        <v>46153.666030092594</v>
      </c>
    </row>
    <row r="1865" spans="1:24" ht="87" hidden="1" x14ac:dyDescent="0.35">
      <c r="A1865" s="46">
        <f t="shared" si="306"/>
        <v>46153.666030092594</v>
      </c>
      <c r="B1865" s="46"/>
      <c r="C1865" s="46"/>
      <c r="D1865" s="46"/>
      <c r="E1865" s="119" t="s">
        <v>1964</v>
      </c>
      <c r="F1865" s="48" t="s">
        <v>4258</v>
      </c>
      <c r="G1865" s="48"/>
      <c r="H1865" s="49" t="s">
        <v>2902</v>
      </c>
      <c r="I1865" s="390" t="s">
        <v>2903</v>
      </c>
      <c r="J1865" s="100" t="s">
        <v>140</v>
      </c>
      <c r="K1865" s="84">
        <v>0</v>
      </c>
      <c r="L1865" s="84">
        <v>0</v>
      </c>
      <c r="M1865" s="83">
        <v>85</v>
      </c>
      <c r="N1865" s="223">
        <v>18934</v>
      </c>
      <c r="O1865" s="314">
        <v>1</v>
      </c>
      <c r="P1865" s="223">
        <f t="shared" si="307"/>
        <v>18934</v>
      </c>
      <c r="Q1865" s="223"/>
      <c r="R1865" s="102">
        <v>18934</v>
      </c>
      <c r="S1865" s="83">
        <f t="shared" si="301"/>
        <v>0</v>
      </c>
      <c r="T1865" s="315">
        <f t="shared" si="302"/>
        <v>1016.4705882352941</v>
      </c>
      <c r="U1865" s="84">
        <f t="shared" si="303"/>
        <v>0</v>
      </c>
      <c r="V1865" s="84">
        <f t="shared" si="304"/>
        <v>0</v>
      </c>
      <c r="W1865" s="84">
        <v>0</v>
      </c>
      <c r="X1865" s="55">
        <f t="shared" si="305"/>
        <v>46153.666030092594</v>
      </c>
    </row>
    <row r="1866" spans="1:24" hidden="1" x14ac:dyDescent="0.35">
      <c r="A1866" s="46">
        <f t="shared" si="306"/>
        <v>46153.666030092594</v>
      </c>
      <c r="B1866" s="46"/>
      <c r="C1866" s="46"/>
      <c r="D1866" s="46"/>
      <c r="E1866" s="119" t="s">
        <v>1964</v>
      </c>
      <c r="F1866" s="48" t="s">
        <v>2904</v>
      </c>
      <c r="G1866" s="48"/>
      <c r="H1866" s="49" t="s">
        <v>2905</v>
      </c>
      <c r="I1866" s="390" t="s">
        <v>2906</v>
      </c>
      <c r="J1866" s="100" t="s">
        <v>140</v>
      </c>
      <c r="K1866" s="84">
        <v>0</v>
      </c>
      <c r="L1866" s="84">
        <v>0</v>
      </c>
      <c r="M1866" s="83">
        <v>85</v>
      </c>
      <c r="N1866" s="223">
        <v>78</v>
      </c>
      <c r="O1866" s="314">
        <v>1</v>
      </c>
      <c r="P1866" s="223">
        <f t="shared" si="307"/>
        <v>78</v>
      </c>
      <c r="Q1866" s="223"/>
      <c r="R1866" s="102">
        <v>78</v>
      </c>
      <c r="S1866" s="83">
        <f t="shared" si="301"/>
        <v>0</v>
      </c>
      <c r="T1866" s="315">
        <f t="shared" si="302"/>
        <v>1016.4705882352941</v>
      </c>
      <c r="U1866" s="84">
        <f t="shared" si="303"/>
        <v>0</v>
      </c>
      <c r="V1866" s="84">
        <f t="shared" si="304"/>
        <v>0</v>
      </c>
      <c r="W1866" s="84">
        <v>0</v>
      </c>
      <c r="X1866" s="55">
        <f t="shared" si="305"/>
        <v>46153.666030092594</v>
      </c>
    </row>
    <row r="1867" spans="1:24" hidden="1" x14ac:dyDescent="0.35">
      <c r="A1867" s="46">
        <f t="shared" si="306"/>
        <v>46153.666030092594</v>
      </c>
      <c r="B1867" s="46"/>
      <c r="C1867" s="46"/>
      <c r="D1867" s="46"/>
      <c r="E1867" s="119" t="s">
        <v>1964</v>
      </c>
      <c r="F1867" s="48" t="s">
        <v>2907</v>
      </c>
      <c r="G1867" s="48"/>
      <c r="H1867" s="49" t="s">
        <v>2908</v>
      </c>
      <c r="I1867" s="71" t="s">
        <v>2909</v>
      </c>
      <c r="J1867" s="100" t="s">
        <v>140</v>
      </c>
      <c r="K1867" s="84">
        <v>0</v>
      </c>
      <c r="L1867" s="84">
        <v>0</v>
      </c>
      <c r="M1867" s="83">
        <v>85</v>
      </c>
      <c r="N1867" s="223">
        <v>950</v>
      </c>
      <c r="O1867" s="314">
        <v>1</v>
      </c>
      <c r="P1867" s="223">
        <f t="shared" si="307"/>
        <v>950</v>
      </c>
      <c r="Q1867" s="223"/>
      <c r="R1867" s="102">
        <v>950</v>
      </c>
      <c r="S1867" s="83">
        <f t="shared" si="301"/>
        <v>0</v>
      </c>
      <c r="T1867" s="315">
        <f t="shared" si="302"/>
        <v>1016.4705882352941</v>
      </c>
      <c r="U1867" s="84">
        <f t="shared" si="303"/>
        <v>0</v>
      </c>
      <c r="V1867" s="84">
        <f t="shared" si="304"/>
        <v>0</v>
      </c>
      <c r="W1867" s="84">
        <v>0</v>
      </c>
      <c r="X1867" s="55">
        <f t="shared" si="305"/>
        <v>46153.666030092594</v>
      </c>
    </row>
    <row r="1868" spans="1:24" hidden="1" x14ac:dyDescent="0.35">
      <c r="A1868" s="46">
        <f t="shared" si="306"/>
        <v>46153.666030092594</v>
      </c>
      <c r="B1868" s="46"/>
      <c r="C1868" s="46"/>
      <c r="D1868" s="46"/>
      <c r="E1868" s="119" t="s">
        <v>1964</v>
      </c>
      <c r="F1868" s="48" t="s">
        <v>2910</v>
      </c>
      <c r="G1868" s="48"/>
      <c r="H1868" s="49" t="s">
        <v>2911</v>
      </c>
      <c r="I1868" s="390" t="s">
        <v>2912</v>
      </c>
      <c r="J1868" s="100" t="s">
        <v>140</v>
      </c>
      <c r="K1868" s="84">
        <v>0</v>
      </c>
      <c r="L1868" s="84">
        <v>0</v>
      </c>
      <c r="M1868" s="83">
        <v>85</v>
      </c>
      <c r="N1868" s="223">
        <v>192</v>
      </c>
      <c r="O1868" s="314">
        <v>1</v>
      </c>
      <c r="P1868" s="223">
        <f t="shared" si="307"/>
        <v>192</v>
      </c>
      <c r="Q1868" s="223"/>
      <c r="R1868" s="102">
        <v>192</v>
      </c>
      <c r="S1868" s="83">
        <f t="shared" si="301"/>
        <v>0</v>
      </c>
      <c r="T1868" s="315">
        <f t="shared" si="302"/>
        <v>1016.4705882352941</v>
      </c>
      <c r="U1868" s="84">
        <f t="shared" si="303"/>
        <v>0</v>
      </c>
      <c r="V1868" s="84">
        <f t="shared" si="304"/>
        <v>0</v>
      </c>
      <c r="W1868" s="84">
        <v>0</v>
      </c>
      <c r="X1868" s="55">
        <f t="shared" si="305"/>
        <v>46153.666030092594</v>
      </c>
    </row>
    <row r="1869" spans="1:24" hidden="1" x14ac:dyDescent="0.35">
      <c r="A1869" s="46">
        <f t="shared" si="306"/>
        <v>46153.666030092594</v>
      </c>
      <c r="B1869" s="46"/>
      <c r="C1869" s="46"/>
      <c r="D1869" s="46"/>
      <c r="E1869" s="119" t="s">
        <v>1964</v>
      </c>
      <c r="F1869" s="62" t="s">
        <v>2913</v>
      </c>
      <c r="G1869" s="62"/>
      <c r="H1869" s="49" t="s">
        <v>2914</v>
      </c>
      <c r="I1869" s="316" t="s">
        <v>2915</v>
      </c>
      <c r="J1869" s="100" t="s">
        <v>140</v>
      </c>
      <c r="K1869" s="52">
        <v>0</v>
      </c>
      <c r="L1869" s="52">
        <v>0</v>
      </c>
      <c r="M1869" s="53">
        <v>65</v>
      </c>
      <c r="N1869" s="54">
        <v>12000</v>
      </c>
      <c r="O1869" s="341">
        <v>1</v>
      </c>
      <c r="P1869" s="54">
        <f t="shared" si="307"/>
        <v>12000</v>
      </c>
      <c r="Q1869" s="54"/>
      <c r="R1869" s="92">
        <v>12000</v>
      </c>
      <c r="S1869" s="53">
        <f t="shared" si="301"/>
        <v>0</v>
      </c>
      <c r="T1869" s="315">
        <f t="shared" si="302"/>
        <v>1329.2307692307693</v>
      </c>
      <c r="U1869" s="84">
        <f t="shared" si="303"/>
        <v>0</v>
      </c>
      <c r="V1869" s="84">
        <f t="shared" si="304"/>
        <v>0</v>
      </c>
      <c r="W1869" s="84">
        <v>0</v>
      </c>
      <c r="X1869" s="55">
        <f t="shared" si="305"/>
        <v>46153.666030092594</v>
      </c>
    </row>
    <row r="1870" spans="1:24" hidden="1" x14ac:dyDescent="0.35">
      <c r="A1870" s="46">
        <f t="shared" si="306"/>
        <v>46153.666030092594</v>
      </c>
      <c r="B1870" s="46"/>
      <c r="C1870" s="46"/>
      <c r="D1870" s="46"/>
      <c r="E1870" s="119" t="s">
        <v>1964</v>
      </c>
      <c r="F1870" s="62" t="s">
        <v>2916</v>
      </c>
      <c r="G1870" s="62"/>
      <c r="H1870" s="49" t="s">
        <v>2917</v>
      </c>
      <c r="I1870" s="316" t="s">
        <v>2918</v>
      </c>
      <c r="J1870" s="100" t="s">
        <v>140</v>
      </c>
      <c r="K1870" s="52">
        <v>0</v>
      </c>
      <c r="L1870" s="52">
        <v>0</v>
      </c>
      <c r="M1870" s="53">
        <v>65</v>
      </c>
      <c r="N1870" s="54">
        <v>56</v>
      </c>
      <c r="O1870" s="341">
        <v>1</v>
      </c>
      <c r="P1870" s="54">
        <f t="shared" si="307"/>
        <v>56</v>
      </c>
      <c r="Q1870" s="54"/>
      <c r="R1870" s="92">
        <v>56</v>
      </c>
      <c r="S1870" s="53">
        <f t="shared" si="301"/>
        <v>0</v>
      </c>
      <c r="T1870" s="315">
        <f t="shared" si="302"/>
        <v>1329.2307692307693</v>
      </c>
      <c r="U1870" s="84">
        <f t="shared" si="303"/>
        <v>0</v>
      </c>
      <c r="V1870" s="84">
        <f t="shared" si="304"/>
        <v>0</v>
      </c>
      <c r="W1870" s="84">
        <v>0</v>
      </c>
      <c r="X1870" s="55">
        <f t="shared" si="305"/>
        <v>46153.666030092594</v>
      </c>
    </row>
    <row r="1871" spans="1:24" s="221" customFormat="1" hidden="1" x14ac:dyDescent="0.35">
      <c r="A1871" s="46">
        <f t="shared" si="306"/>
        <v>46153.666030092594</v>
      </c>
      <c r="B1871" s="46"/>
      <c r="C1871" s="46"/>
      <c r="D1871" s="46"/>
      <c r="E1871" s="47" t="s">
        <v>1964</v>
      </c>
      <c r="F1871" s="82" t="s">
        <v>513</v>
      </c>
      <c r="G1871" s="82"/>
      <c r="H1871" s="98" t="s">
        <v>2919</v>
      </c>
      <c r="I1871" s="104" t="s">
        <v>222</v>
      </c>
      <c r="J1871" s="104" t="s">
        <v>140</v>
      </c>
      <c r="K1871" s="91">
        <v>0</v>
      </c>
      <c r="L1871" s="91">
        <v>0</v>
      </c>
      <c r="M1871" s="92">
        <v>100</v>
      </c>
      <c r="N1871" s="94">
        <v>2000</v>
      </c>
      <c r="O1871" s="253">
        <v>1</v>
      </c>
      <c r="P1871" s="94">
        <f t="shared" si="307"/>
        <v>2000</v>
      </c>
      <c r="Q1871" s="94"/>
      <c r="R1871" s="92">
        <v>2000</v>
      </c>
      <c r="S1871" s="92">
        <f t="shared" si="301"/>
        <v>0</v>
      </c>
      <c r="T1871" s="254">
        <f t="shared" si="302"/>
        <v>864</v>
      </c>
      <c r="U1871" s="91">
        <f t="shared" si="303"/>
        <v>0</v>
      </c>
      <c r="V1871" s="91">
        <f t="shared" si="304"/>
        <v>0</v>
      </c>
      <c r="W1871" s="91">
        <v>0</v>
      </c>
      <c r="X1871" s="55">
        <f t="shared" si="305"/>
        <v>46153.666030092594</v>
      </c>
    </row>
    <row r="1872" spans="1:24" hidden="1" x14ac:dyDescent="0.35">
      <c r="A1872" s="46">
        <f t="shared" si="306"/>
        <v>46153.666030092594</v>
      </c>
      <c r="B1872" s="46"/>
      <c r="C1872" s="46"/>
      <c r="D1872" s="46"/>
      <c r="E1872" s="47" t="s">
        <v>1964</v>
      </c>
      <c r="F1872" s="97" t="s">
        <v>271</v>
      </c>
      <c r="G1872" s="97"/>
      <c r="H1872" s="98" t="s">
        <v>2432</v>
      </c>
      <c r="I1872" s="82" t="s">
        <v>470</v>
      </c>
      <c r="J1872" s="100" t="s">
        <v>140</v>
      </c>
      <c r="K1872" s="101">
        <v>0</v>
      </c>
      <c r="L1872" s="101">
        <v>0</v>
      </c>
      <c r="M1872" s="102">
        <v>187</v>
      </c>
      <c r="N1872" s="103">
        <v>4320</v>
      </c>
      <c r="O1872" s="171">
        <v>2</v>
      </c>
      <c r="P1872" s="103">
        <f t="shared" si="307"/>
        <v>2160</v>
      </c>
      <c r="Q1872" s="103"/>
      <c r="R1872" s="102">
        <v>2160</v>
      </c>
      <c r="S1872" s="102">
        <f t="shared" si="301"/>
        <v>0</v>
      </c>
      <c r="T1872" s="173">
        <f t="shared" si="302"/>
        <v>924.06417112299459</v>
      </c>
      <c r="U1872" s="101">
        <f t="shared" si="303"/>
        <v>0</v>
      </c>
      <c r="V1872" s="101">
        <f t="shared" si="304"/>
        <v>0</v>
      </c>
      <c r="W1872" s="91">
        <v>0</v>
      </c>
      <c r="X1872" s="55">
        <f t="shared" si="305"/>
        <v>46153.666030092594</v>
      </c>
    </row>
    <row r="1873" spans="1:24" s="594" customFormat="1" hidden="1" x14ac:dyDescent="0.35">
      <c r="A1873" s="46">
        <f t="shared" si="306"/>
        <v>46153.666030092594</v>
      </c>
      <c r="B1873" s="46"/>
      <c r="C1873" s="46"/>
      <c r="D1873" s="46"/>
      <c r="E1873" s="47" t="s">
        <v>43</v>
      </c>
      <c r="F1873" s="97" t="s">
        <v>271</v>
      </c>
      <c r="G1873" s="97"/>
      <c r="H1873" s="66">
        <v>10574</v>
      </c>
      <c r="I1873" s="82" t="s">
        <v>203</v>
      </c>
      <c r="J1873" s="51" t="s">
        <v>140</v>
      </c>
      <c r="K1873" s="52">
        <v>0</v>
      </c>
      <c r="L1873" s="52">
        <v>0</v>
      </c>
      <c r="M1873" s="92">
        <v>165</v>
      </c>
      <c r="N1873" s="54">
        <v>840</v>
      </c>
      <c r="O1873" s="341">
        <v>1</v>
      </c>
      <c r="P1873" s="54">
        <f t="shared" si="307"/>
        <v>840</v>
      </c>
      <c r="Q1873" s="54"/>
      <c r="R1873" s="92">
        <v>840</v>
      </c>
      <c r="S1873" s="53">
        <f t="shared" si="301"/>
        <v>0</v>
      </c>
      <c r="T1873" s="315">
        <f t="shared" si="302"/>
        <v>523.63636363636363</v>
      </c>
      <c r="U1873" s="84">
        <f t="shared" si="303"/>
        <v>0</v>
      </c>
      <c r="V1873" s="84">
        <f t="shared" si="304"/>
        <v>0</v>
      </c>
      <c r="W1873" s="84">
        <v>0</v>
      </c>
      <c r="X1873" s="55">
        <f t="shared" si="305"/>
        <v>46153.666030092594</v>
      </c>
    </row>
    <row r="1874" spans="1:24" s="596" customFormat="1" hidden="1" x14ac:dyDescent="0.35">
      <c r="A1874" s="46">
        <f t="shared" si="306"/>
        <v>46153.666030092594</v>
      </c>
      <c r="B1874" s="46"/>
      <c r="C1874" s="46"/>
      <c r="D1874" s="46"/>
      <c r="E1874" s="47" t="s">
        <v>43</v>
      </c>
      <c r="F1874" s="97" t="s">
        <v>271</v>
      </c>
      <c r="G1874" s="97"/>
      <c r="H1874" s="86" t="s">
        <v>2920</v>
      </c>
      <c r="I1874" s="87" t="s">
        <v>208</v>
      </c>
      <c r="J1874" s="51" t="s">
        <v>140</v>
      </c>
      <c r="K1874" s="52">
        <v>0</v>
      </c>
      <c r="L1874" s="52">
        <v>0</v>
      </c>
      <c r="M1874" s="92">
        <v>165</v>
      </c>
      <c r="N1874" s="88">
        <v>1890</v>
      </c>
      <c r="O1874" s="341">
        <v>1</v>
      </c>
      <c r="P1874" s="54">
        <f t="shared" si="307"/>
        <v>1890</v>
      </c>
      <c r="Q1874" s="54"/>
      <c r="R1874" s="595">
        <v>1890</v>
      </c>
      <c r="S1874" s="53">
        <f t="shared" si="301"/>
        <v>0</v>
      </c>
      <c r="T1874" s="343">
        <f t="shared" si="302"/>
        <v>523.63636363636363</v>
      </c>
      <c r="U1874" s="52">
        <f t="shared" si="303"/>
        <v>0</v>
      </c>
      <c r="V1874" s="52">
        <f t="shared" si="304"/>
        <v>0</v>
      </c>
      <c r="W1874" s="84">
        <v>0</v>
      </c>
      <c r="X1874" s="55">
        <f t="shared" si="305"/>
        <v>46153.666030092594</v>
      </c>
    </row>
    <row r="1875" spans="1:24" s="596" customFormat="1" hidden="1" x14ac:dyDescent="0.35">
      <c r="A1875" s="46">
        <f t="shared" si="306"/>
        <v>46153.666030092594</v>
      </c>
      <c r="B1875" s="46"/>
      <c r="C1875" s="46"/>
      <c r="D1875" s="46"/>
      <c r="E1875" s="47" t="s">
        <v>43</v>
      </c>
      <c r="F1875" s="97" t="s">
        <v>271</v>
      </c>
      <c r="G1875" s="97"/>
      <c r="H1875" s="49" t="s">
        <v>2921</v>
      </c>
      <c r="I1875" s="85" t="s">
        <v>205</v>
      </c>
      <c r="J1875" s="51" t="s">
        <v>140</v>
      </c>
      <c r="K1875" s="52">
        <v>0</v>
      </c>
      <c r="L1875" s="52">
        <v>0</v>
      </c>
      <c r="M1875" s="92">
        <v>165</v>
      </c>
      <c r="N1875" s="54">
        <v>630</v>
      </c>
      <c r="O1875" s="341">
        <v>1</v>
      </c>
      <c r="P1875" s="54">
        <f t="shared" si="307"/>
        <v>630</v>
      </c>
      <c r="Q1875" s="54"/>
      <c r="R1875" s="92">
        <v>630</v>
      </c>
      <c r="S1875" s="53">
        <f t="shared" si="301"/>
        <v>0</v>
      </c>
      <c r="T1875" s="315">
        <f t="shared" si="302"/>
        <v>523.63636363636363</v>
      </c>
      <c r="U1875" s="84">
        <f t="shared" si="303"/>
        <v>0</v>
      </c>
      <c r="V1875" s="84">
        <f t="shared" si="304"/>
        <v>0</v>
      </c>
      <c r="W1875" s="84">
        <v>0</v>
      </c>
      <c r="X1875" s="55">
        <f t="shared" si="305"/>
        <v>46153.666030092594</v>
      </c>
    </row>
    <row r="1876" spans="1:24" s="596" customFormat="1" hidden="1" x14ac:dyDescent="0.35">
      <c r="A1876" s="46">
        <f t="shared" si="306"/>
        <v>46153.666030092594</v>
      </c>
      <c r="B1876" s="46"/>
      <c r="C1876" s="46"/>
      <c r="D1876" s="46"/>
      <c r="E1876" s="47" t="s">
        <v>43</v>
      </c>
      <c r="F1876" s="97" t="s">
        <v>271</v>
      </c>
      <c r="G1876" s="97"/>
      <c r="H1876" s="90" t="s">
        <v>2922</v>
      </c>
      <c r="I1876" s="87" t="s">
        <v>210</v>
      </c>
      <c r="J1876" s="51" t="s">
        <v>140</v>
      </c>
      <c r="K1876" s="91">
        <v>0</v>
      </c>
      <c r="L1876" s="91">
        <v>0</v>
      </c>
      <c r="M1876" s="92">
        <v>165</v>
      </c>
      <c r="N1876" s="93">
        <v>210</v>
      </c>
      <c r="O1876" s="253">
        <v>1</v>
      </c>
      <c r="P1876" s="94">
        <f t="shared" si="307"/>
        <v>210</v>
      </c>
      <c r="Q1876" s="94"/>
      <c r="R1876" s="595">
        <v>210</v>
      </c>
      <c r="S1876" s="92">
        <f t="shared" si="301"/>
        <v>0</v>
      </c>
      <c r="T1876" s="254">
        <f t="shared" si="302"/>
        <v>523.63636363636363</v>
      </c>
      <c r="U1876" s="91">
        <f t="shared" si="303"/>
        <v>0</v>
      </c>
      <c r="V1876" s="91">
        <f t="shared" si="304"/>
        <v>0</v>
      </c>
      <c r="W1876" s="91">
        <v>0</v>
      </c>
      <c r="X1876" s="55">
        <f t="shared" si="305"/>
        <v>46153.666030092594</v>
      </c>
    </row>
    <row r="1877" spans="1:24" s="596" customFormat="1" hidden="1" x14ac:dyDescent="0.35">
      <c r="A1877" s="46">
        <f t="shared" si="306"/>
        <v>46153.666030092594</v>
      </c>
      <c r="B1877" s="46"/>
      <c r="C1877" s="46"/>
      <c r="D1877" s="46"/>
      <c r="E1877" s="47" t="s">
        <v>43</v>
      </c>
      <c r="F1877" s="97" t="s">
        <v>271</v>
      </c>
      <c r="G1877" s="97"/>
      <c r="H1877" s="90" t="s">
        <v>2923</v>
      </c>
      <c r="I1877" s="87" t="s">
        <v>212</v>
      </c>
      <c r="J1877" s="51" t="s">
        <v>140</v>
      </c>
      <c r="K1877" s="91">
        <v>0</v>
      </c>
      <c r="L1877" s="91">
        <v>0</v>
      </c>
      <c r="M1877" s="92">
        <v>165</v>
      </c>
      <c r="N1877" s="93">
        <v>210</v>
      </c>
      <c r="O1877" s="253">
        <v>1</v>
      </c>
      <c r="P1877" s="94">
        <f t="shared" si="307"/>
        <v>210</v>
      </c>
      <c r="Q1877" s="94"/>
      <c r="R1877" s="595">
        <v>210</v>
      </c>
      <c r="S1877" s="92">
        <f t="shared" si="301"/>
        <v>0</v>
      </c>
      <c r="T1877" s="254">
        <f t="shared" si="302"/>
        <v>523.63636363636363</v>
      </c>
      <c r="U1877" s="91">
        <f t="shared" si="303"/>
        <v>0</v>
      </c>
      <c r="V1877" s="91">
        <f t="shared" si="304"/>
        <v>0</v>
      </c>
      <c r="W1877" s="91">
        <v>0</v>
      </c>
      <c r="X1877" s="55">
        <f t="shared" si="305"/>
        <v>46153.666030092594</v>
      </c>
    </row>
    <row r="1878" spans="1:24" s="597" customFormat="1" hidden="1" x14ac:dyDescent="0.35">
      <c r="A1878" s="46">
        <f t="shared" si="306"/>
        <v>46153.666030092594</v>
      </c>
      <c r="B1878" s="46"/>
      <c r="C1878" s="46"/>
      <c r="D1878" s="46"/>
      <c r="E1878" s="47" t="s">
        <v>43</v>
      </c>
      <c r="F1878" s="97" t="s">
        <v>271</v>
      </c>
      <c r="G1878" s="97"/>
      <c r="H1878" s="86" t="s">
        <v>2924</v>
      </c>
      <c r="I1878" s="87" t="s">
        <v>208</v>
      </c>
      <c r="J1878" s="51" t="s">
        <v>140</v>
      </c>
      <c r="K1878" s="52">
        <v>0</v>
      </c>
      <c r="L1878" s="52">
        <v>0</v>
      </c>
      <c r="M1878" s="92">
        <v>165</v>
      </c>
      <c r="N1878" s="88">
        <v>1890</v>
      </c>
      <c r="O1878" s="341">
        <v>1</v>
      </c>
      <c r="P1878" s="54">
        <f t="shared" si="307"/>
        <v>1890</v>
      </c>
      <c r="Q1878" s="54"/>
      <c r="R1878" s="595">
        <v>1890</v>
      </c>
      <c r="S1878" s="53">
        <f t="shared" si="301"/>
        <v>0</v>
      </c>
      <c r="T1878" s="343">
        <f t="shared" si="302"/>
        <v>523.63636363636363</v>
      </c>
      <c r="U1878" s="52">
        <f t="shared" si="303"/>
        <v>0</v>
      </c>
      <c r="V1878" s="52">
        <f t="shared" si="304"/>
        <v>0</v>
      </c>
      <c r="W1878" s="84">
        <v>0</v>
      </c>
      <c r="X1878" s="55">
        <f t="shared" si="305"/>
        <v>46153.666030092594</v>
      </c>
    </row>
    <row r="1879" spans="1:24" s="597" customFormat="1" hidden="1" x14ac:dyDescent="0.35">
      <c r="A1879" s="46">
        <f t="shared" si="306"/>
        <v>46153.666030092594</v>
      </c>
      <c r="B1879" s="46"/>
      <c r="C1879" s="46"/>
      <c r="D1879" s="46"/>
      <c r="E1879" s="47" t="s">
        <v>1964</v>
      </c>
      <c r="F1879" s="97" t="s">
        <v>271</v>
      </c>
      <c r="G1879" s="97"/>
      <c r="H1879" s="66">
        <v>10762</v>
      </c>
      <c r="I1879" s="82" t="s">
        <v>203</v>
      </c>
      <c r="J1879" s="51" t="s">
        <v>140</v>
      </c>
      <c r="K1879" s="52">
        <v>0</v>
      </c>
      <c r="L1879" s="52">
        <v>0</v>
      </c>
      <c r="M1879" s="92">
        <v>165</v>
      </c>
      <c r="N1879" s="54">
        <v>1680</v>
      </c>
      <c r="O1879" s="341">
        <v>1</v>
      </c>
      <c r="P1879" s="54">
        <f t="shared" si="307"/>
        <v>1680</v>
      </c>
      <c r="Q1879" s="54"/>
      <c r="R1879" s="92">
        <v>1680</v>
      </c>
      <c r="S1879" s="53">
        <f t="shared" si="301"/>
        <v>0</v>
      </c>
      <c r="T1879" s="315">
        <f t="shared" si="302"/>
        <v>523.63636363636363</v>
      </c>
      <c r="U1879" s="84">
        <f t="shared" si="303"/>
        <v>0</v>
      </c>
      <c r="V1879" s="84">
        <f t="shared" si="304"/>
        <v>0</v>
      </c>
      <c r="W1879" s="84">
        <v>0</v>
      </c>
      <c r="X1879" s="55">
        <f t="shared" si="305"/>
        <v>46153.666030092594</v>
      </c>
    </row>
    <row r="1880" spans="1:24" s="543" customFormat="1" hidden="1" x14ac:dyDescent="0.35">
      <c r="A1880" s="46">
        <f t="shared" si="306"/>
        <v>46153.666030092594</v>
      </c>
      <c r="B1880" s="46"/>
      <c r="C1880" s="46"/>
      <c r="D1880" s="46"/>
      <c r="E1880" s="47" t="s">
        <v>1964</v>
      </c>
      <c r="F1880" s="97" t="s">
        <v>271</v>
      </c>
      <c r="G1880" s="97"/>
      <c r="H1880" s="49" t="s">
        <v>2925</v>
      </c>
      <c r="I1880" s="85" t="s">
        <v>205</v>
      </c>
      <c r="J1880" s="51" t="s">
        <v>140</v>
      </c>
      <c r="K1880" s="52">
        <v>0</v>
      </c>
      <c r="L1880" s="52">
        <v>0</v>
      </c>
      <c r="M1880" s="92">
        <v>165</v>
      </c>
      <c r="N1880" s="54">
        <v>630</v>
      </c>
      <c r="O1880" s="341">
        <v>1</v>
      </c>
      <c r="P1880" s="54">
        <f t="shared" si="307"/>
        <v>630</v>
      </c>
      <c r="Q1880" s="54"/>
      <c r="R1880" s="92">
        <v>630</v>
      </c>
      <c r="S1880" s="53">
        <f t="shared" si="301"/>
        <v>0</v>
      </c>
      <c r="T1880" s="315">
        <f t="shared" si="302"/>
        <v>523.63636363636363</v>
      </c>
      <c r="U1880" s="84">
        <f t="shared" si="303"/>
        <v>0</v>
      </c>
      <c r="V1880" s="84">
        <f t="shared" si="304"/>
        <v>0</v>
      </c>
      <c r="W1880" s="84">
        <v>0</v>
      </c>
      <c r="X1880" s="55">
        <f t="shared" si="305"/>
        <v>46153.666030092594</v>
      </c>
    </row>
    <row r="1881" spans="1:24" s="597" customFormat="1" hidden="1" x14ac:dyDescent="0.35">
      <c r="A1881" s="46">
        <f t="shared" si="306"/>
        <v>46153.666030092594</v>
      </c>
      <c r="B1881" s="46"/>
      <c r="C1881" s="46"/>
      <c r="D1881" s="46"/>
      <c r="E1881" s="47" t="s">
        <v>1964</v>
      </c>
      <c r="F1881" s="104" t="s">
        <v>2926</v>
      </c>
      <c r="G1881" s="104"/>
      <c r="H1881" s="90" t="s">
        <v>2927</v>
      </c>
      <c r="I1881" s="598" t="s">
        <v>2928</v>
      </c>
      <c r="J1881" s="51" t="s">
        <v>140</v>
      </c>
      <c r="K1881" s="91">
        <v>0</v>
      </c>
      <c r="L1881" s="91">
        <v>0</v>
      </c>
      <c r="M1881" s="92">
        <v>81</v>
      </c>
      <c r="N1881" s="226">
        <v>4527</v>
      </c>
      <c r="O1881" s="253">
        <v>1</v>
      </c>
      <c r="P1881" s="94">
        <f t="shared" si="307"/>
        <v>4527</v>
      </c>
      <c r="Q1881" s="94"/>
      <c r="R1881" s="182">
        <v>4527</v>
      </c>
      <c r="S1881" s="92">
        <f t="shared" si="301"/>
        <v>0</v>
      </c>
      <c r="T1881" s="254">
        <f t="shared" si="302"/>
        <v>1066.6666666666665</v>
      </c>
      <c r="U1881" s="91">
        <f t="shared" si="303"/>
        <v>0</v>
      </c>
      <c r="V1881" s="91">
        <f t="shared" si="304"/>
        <v>0</v>
      </c>
      <c r="W1881" s="91">
        <v>0</v>
      </c>
      <c r="X1881" s="55">
        <f t="shared" si="305"/>
        <v>46153.666030092594</v>
      </c>
    </row>
    <row r="1882" spans="1:24" s="221" customFormat="1" hidden="1" x14ac:dyDescent="0.35">
      <c r="A1882" s="46">
        <f t="shared" si="306"/>
        <v>46153.666030092594</v>
      </c>
      <c r="B1882" s="46"/>
      <c r="C1882" s="46"/>
      <c r="D1882" s="46"/>
      <c r="E1882" s="47" t="s">
        <v>1964</v>
      </c>
      <c r="F1882" s="97" t="s">
        <v>271</v>
      </c>
      <c r="G1882" s="97"/>
      <c r="H1882" s="66">
        <v>10888</v>
      </c>
      <c r="I1882" s="82" t="s">
        <v>203</v>
      </c>
      <c r="J1882" s="51" t="s">
        <v>140</v>
      </c>
      <c r="K1882" s="52">
        <v>0</v>
      </c>
      <c r="L1882" s="52">
        <v>0</v>
      </c>
      <c r="M1882" s="92">
        <v>165</v>
      </c>
      <c r="N1882" s="54">
        <v>1260</v>
      </c>
      <c r="O1882" s="341">
        <v>1</v>
      </c>
      <c r="P1882" s="54">
        <f t="shared" si="307"/>
        <v>1260</v>
      </c>
      <c r="Q1882" s="54"/>
      <c r="R1882" s="92">
        <v>1260</v>
      </c>
      <c r="S1882" s="53">
        <f t="shared" si="301"/>
        <v>0</v>
      </c>
      <c r="T1882" s="315">
        <f t="shared" si="302"/>
        <v>523.63636363636363</v>
      </c>
      <c r="U1882" s="84">
        <f t="shared" si="303"/>
        <v>0</v>
      </c>
      <c r="V1882" s="84">
        <f t="shared" si="304"/>
        <v>0</v>
      </c>
      <c r="W1882" s="84">
        <v>0</v>
      </c>
      <c r="X1882" s="55">
        <f t="shared" si="305"/>
        <v>46153.666030092594</v>
      </c>
    </row>
    <row r="1883" spans="1:24" s="221" customFormat="1" hidden="1" x14ac:dyDescent="0.35">
      <c r="A1883" s="46">
        <f t="shared" si="306"/>
        <v>46153.666030092594</v>
      </c>
      <c r="B1883" s="46"/>
      <c r="C1883" s="46"/>
      <c r="D1883" s="46"/>
      <c r="E1883" s="47" t="s">
        <v>1964</v>
      </c>
      <c r="F1883" s="97" t="s">
        <v>271</v>
      </c>
      <c r="G1883" s="97"/>
      <c r="H1883" s="86" t="s">
        <v>2929</v>
      </c>
      <c r="I1883" s="87" t="s">
        <v>208</v>
      </c>
      <c r="J1883" s="51" t="s">
        <v>140</v>
      </c>
      <c r="K1883" s="52">
        <v>0</v>
      </c>
      <c r="L1883" s="52">
        <v>0</v>
      </c>
      <c r="M1883" s="92">
        <v>165</v>
      </c>
      <c r="N1883" s="88">
        <v>1890</v>
      </c>
      <c r="O1883" s="341">
        <v>1</v>
      </c>
      <c r="P1883" s="54">
        <f t="shared" si="307"/>
        <v>1890</v>
      </c>
      <c r="Q1883" s="54"/>
      <c r="R1883" s="595">
        <v>1890</v>
      </c>
      <c r="S1883" s="53">
        <f t="shared" si="301"/>
        <v>0</v>
      </c>
      <c r="T1883" s="343">
        <f t="shared" si="302"/>
        <v>523.63636363636363</v>
      </c>
      <c r="U1883" s="52">
        <f t="shared" si="303"/>
        <v>0</v>
      </c>
      <c r="V1883" s="52">
        <f t="shared" si="304"/>
        <v>0</v>
      </c>
      <c r="W1883" s="84">
        <v>0</v>
      </c>
      <c r="X1883" s="55">
        <f t="shared" si="305"/>
        <v>46153.666030092594</v>
      </c>
    </row>
    <row r="1884" spans="1:24" s="221" customFormat="1" hidden="1" x14ac:dyDescent="0.35">
      <c r="A1884" s="46">
        <f t="shared" si="306"/>
        <v>46153.666030092594</v>
      </c>
      <c r="B1884" s="46"/>
      <c r="C1884" s="46"/>
      <c r="D1884" s="46"/>
      <c r="E1884" s="47" t="s">
        <v>1964</v>
      </c>
      <c r="F1884" s="97" t="s">
        <v>271</v>
      </c>
      <c r="G1884" s="97"/>
      <c r="H1884" s="49" t="s">
        <v>2930</v>
      </c>
      <c r="I1884" s="85" t="s">
        <v>205</v>
      </c>
      <c r="J1884" s="51" t="s">
        <v>140</v>
      </c>
      <c r="K1884" s="52">
        <v>0</v>
      </c>
      <c r="L1884" s="52">
        <v>0</v>
      </c>
      <c r="M1884" s="92">
        <v>165</v>
      </c>
      <c r="N1884" s="54">
        <v>630</v>
      </c>
      <c r="O1884" s="341">
        <v>1</v>
      </c>
      <c r="P1884" s="54">
        <f t="shared" si="307"/>
        <v>630</v>
      </c>
      <c r="Q1884" s="54"/>
      <c r="R1884" s="92">
        <v>630</v>
      </c>
      <c r="S1884" s="53">
        <f t="shared" si="301"/>
        <v>0</v>
      </c>
      <c r="T1884" s="315">
        <f t="shared" si="302"/>
        <v>523.63636363636363</v>
      </c>
      <c r="U1884" s="84">
        <f t="shared" si="303"/>
        <v>0</v>
      </c>
      <c r="V1884" s="84">
        <f t="shared" si="304"/>
        <v>0</v>
      </c>
      <c r="W1884" s="84">
        <v>0</v>
      </c>
      <c r="X1884" s="55">
        <f t="shared" si="305"/>
        <v>46153.666030092594</v>
      </c>
    </row>
    <row r="1885" spans="1:24" s="221" customFormat="1" hidden="1" x14ac:dyDescent="0.35">
      <c r="A1885" s="46">
        <f t="shared" si="306"/>
        <v>46153.666030092594</v>
      </c>
      <c r="B1885" s="46"/>
      <c r="C1885" s="46"/>
      <c r="D1885" s="46"/>
      <c r="E1885" s="47" t="s">
        <v>1964</v>
      </c>
      <c r="F1885" s="97" t="s">
        <v>271</v>
      </c>
      <c r="G1885" s="97"/>
      <c r="H1885" s="98" t="s">
        <v>2931</v>
      </c>
      <c r="I1885" s="82" t="s">
        <v>470</v>
      </c>
      <c r="J1885" s="100" t="s">
        <v>140</v>
      </c>
      <c r="K1885" s="101">
        <v>0</v>
      </c>
      <c r="L1885" s="101">
        <v>0</v>
      </c>
      <c r="M1885" s="102">
        <v>187</v>
      </c>
      <c r="N1885" s="103">
        <v>5040</v>
      </c>
      <c r="O1885" s="171">
        <v>2</v>
      </c>
      <c r="P1885" s="103">
        <f t="shared" si="307"/>
        <v>2520</v>
      </c>
      <c r="Q1885" s="103"/>
      <c r="R1885" s="102">
        <v>2520</v>
      </c>
      <c r="S1885" s="102">
        <f t="shared" si="301"/>
        <v>0</v>
      </c>
      <c r="T1885" s="173">
        <f t="shared" si="302"/>
        <v>924.06417112299459</v>
      </c>
      <c r="U1885" s="101">
        <f t="shared" si="303"/>
        <v>0</v>
      </c>
      <c r="V1885" s="101">
        <f t="shared" si="304"/>
        <v>0</v>
      </c>
      <c r="W1885" s="91">
        <v>0</v>
      </c>
      <c r="X1885" s="55">
        <f t="shared" si="305"/>
        <v>46153.666030092594</v>
      </c>
    </row>
    <row r="1886" spans="1:24" s="597" customFormat="1" hidden="1" x14ac:dyDescent="0.35">
      <c r="A1886" s="46">
        <f t="shared" si="306"/>
        <v>46153.666030092594</v>
      </c>
      <c r="B1886" s="46"/>
      <c r="C1886" s="46"/>
      <c r="D1886" s="46"/>
      <c r="E1886" s="47" t="s">
        <v>1964</v>
      </c>
      <c r="F1886" s="104" t="s">
        <v>2932</v>
      </c>
      <c r="G1886" s="104"/>
      <c r="H1886" s="90" t="s">
        <v>2933</v>
      </c>
      <c r="I1886" s="599" t="s">
        <v>2928</v>
      </c>
      <c r="J1886" s="51" t="s">
        <v>140</v>
      </c>
      <c r="K1886" s="91">
        <v>0</v>
      </c>
      <c r="L1886" s="91">
        <v>0</v>
      </c>
      <c r="M1886" s="92">
        <v>81</v>
      </c>
      <c r="N1886" s="93">
        <v>800</v>
      </c>
      <c r="O1886" s="253">
        <v>1</v>
      </c>
      <c r="P1886" s="94">
        <f t="shared" si="307"/>
        <v>800</v>
      </c>
      <c r="Q1886" s="94"/>
      <c r="R1886" s="595">
        <v>800</v>
      </c>
      <c r="S1886" s="92">
        <f t="shared" si="301"/>
        <v>0</v>
      </c>
      <c r="T1886" s="254">
        <f t="shared" si="302"/>
        <v>1066.6666666666665</v>
      </c>
      <c r="U1886" s="91">
        <f t="shared" si="303"/>
        <v>0</v>
      </c>
      <c r="V1886" s="91">
        <f t="shared" si="304"/>
        <v>0</v>
      </c>
      <c r="W1886" s="91">
        <v>0</v>
      </c>
      <c r="X1886" s="55">
        <f t="shared" si="305"/>
        <v>46153.666030092594</v>
      </c>
    </row>
    <row r="1887" spans="1:24" s="221" customFormat="1" hidden="1" x14ac:dyDescent="0.35">
      <c r="A1887" s="46">
        <f t="shared" si="306"/>
        <v>46153.666030092594</v>
      </c>
      <c r="B1887" s="46"/>
      <c r="C1887" s="46"/>
      <c r="D1887" s="46"/>
      <c r="E1887" s="47" t="s">
        <v>1964</v>
      </c>
      <c r="F1887" s="104" t="s">
        <v>2934</v>
      </c>
      <c r="G1887" s="104"/>
      <c r="H1887" s="90" t="s">
        <v>2935</v>
      </c>
      <c r="I1887" s="599" t="s">
        <v>2928</v>
      </c>
      <c r="J1887" s="51" t="s">
        <v>140</v>
      </c>
      <c r="K1887" s="91">
        <v>0</v>
      </c>
      <c r="L1887" s="91">
        <v>0</v>
      </c>
      <c r="M1887" s="92">
        <v>81</v>
      </c>
      <c r="N1887" s="93">
        <v>3000</v>
      </c>
      <c r="O1887" s="253">
        <v>1</v>
      </c>
      <c r="P1887" s="94">
        <f t="shared" si="307"/>
        <v>3000</v>
      </c>
      <c r="Q1887" s="94"/>
      <c r="R1887" s="595">
        <v>3000</v>
      </c>
      <c r="S1887" s="92">
        <f t="shared" si="301"/>
        <v>0</v>
      </c>
      <c r="T1887" s="254">
        <f t="shared" si="302"/>
        <v>1066.6666666666665</v>
      </c>
      <c r="U1887" s="91">
        <f t="shared" si="303"/>
        <v>0</v>
      </c>
      <c r="V1887" s="91">
        <f t="shared" si="304"/>
        <v>0</v>
      </c>
      <c r="W1887" s="91">
        <v>0</v>
      </c>
      <c r="X1887" s="55">
        <f t="shared" si="305"/>
        <v>46153.666030092594</v>
      </c>
    </row>
    <row r="1888" spans="1:24" s="221" customFormat="1" hidden="1" x14ac:dyDescent="0.35">
      <c r="A1888" s="46">
        <f t="shared" si="306"/>
        <v>46153.666030092594</v>
      </c>
      <c r="B1888" s="46"/>
      <c r="C1888" s="46"/>
      <c r="D1888" s="46"/>
      <c r="E1888" s="47" t="s">
        <v>1964</v>
      </c>
      <c r="F1888" s="104" t="s">
        <v>2936</v>
      </c>
      <c r="G1888" s="104"/>
      <c r="H1888" s="90" t="s">
        <v>2937</v>
      </c>
      <c r="I1888" s="599" t="s">
        <v>2928</v>
      </c>
      <c r="J1888" s="51" t="s">
        <v>140</v>
      </c>
      <c r="K1888" s="91">
        <v>0</v>
      </c>
      <c r="L1888" s="91">
        <v>0</v>
      </c>
      <c r="M1888" s="92">
        <v>81</v>
      </c>
      <c r="N1888" s="93">
        <v>3000</v>
      </c>
      <c r="O1888" s="253">
        <v>1</v>
      </c>
      <c r="P1888" s="94">
        <f t="shared" si="307"/>
        <v>3000</v>
      </c>
      <c r="Q1888" s="94"/>
      <c r="R1888" s="595">
        <v>3000</v>
      </c>
      <c r="S1888" s="92">
        <f t="shared" si="301"/>
        <v>0</v>
      </c>
      <c r="T1888" s="254">
        <f t="shared" si="302"/>
        <v>1066.6666666666665</v>
      </c>
      <c r="U1888" s="91">
        <f t="shared" si="303"/>
        <v>0</v>
      </c>
      <c r="V1888" s="91">
        <f t="shared" si="304"/>
        <v>0</v>
      </c>
      <c r="W1888" s="91">
        <v>0</v>
      </c>
      <c r="X1888" s="55">
        <f t="shared" si="305"/>
        <v>46153.666030092594</v>
      </c>
    </row>
    <row r="1889" spans="1:24" s="221" customFormat="1" hidden="1" x14ac:dyDescent="0.35">
      <c r="A1889" s="46">
        <f t="shared" si="306"/>
        <v>46153.666030092594</v>
      </c>
      <c r="B1889" s="46"/>
      <c r="C1889" s="46"/>
      <c r="D1889" s="46"/>
      <c r="E1889" s="47" t="s">
        <v>1964</v>
      </c>
      <c r="F1889" s="97" t="s">
        <v>271</v>
      </c>
      <c r="G1889" s="97"/>
      <c r="H1889" s="90" t="s">
        <v>2938</v>
      </c>
      <c r="I1889" s="599" t="s">
        <v>2928</v>
      </c>
      <c r="J1889" s="51" t="s">
        <v>140</v>
      </c>
      <c r="K1889" s="91">
        <v>0</v>
      </c>
      <c r="L1889" s="91">
        <v>0</v>
      </c>
      <c r="M1889" s="92">
        <v>81</v>
      </c>
      <c r="N1889" s="93">
        <v>500</v>
      </c>
      <c r="O1889" s="253">
        <v>1</v>
      </c>
      <c r="P1889" s="94">
        <f t="shared" si="307"/>
        <v>500</v>
      </c>
      <c r="Q1889" s="94"/>
      <c r="R1889" s="595">
        <v>500</v>
      </c>
      <c r="S1889" s="92">
        <f t="shared" si="301"/>
        <v>0</v>
      </c>
      <c r="T1889" s="254">
        <f t="shared" si="302"/>
        <v>1066.6666666666665</v>
      </c>
      <c r="U1889" s="91">
        <f t="shared" si="303"/>
        <v>0</v>
      </c>
      <c r="V1889" s="91">
        <f t="shared" si="304"/>
        <v>0</v>
      </c>
      <c r="W1889" s="91">
        <v>0</v>
      </c>
      <c r="X1889" s="55">
        <f t="shared" si="305"/>
        <v>46153.666030092594</v>
      </c>
    </row>
    <row r="1890" spans="1:24" s="221" customFormat="1" hidden="1" x14ac:dyDescent="0.35">
      <c r="A1890" s="46">
        <f t="shared" si="306"/>
        <v>46153.666030092594</v>
      </c>
      <c r="B1890" s="46"/>
      <c r="C1890" s="46"/>
      <c r="D1890" s="46"/>
      <c r="E1890" s="119" t="s">
        <v>2939</v>
      </c>
      <c r="F1890" s="62" t="s">
        <v>2940</v>
      </c>
      <c r="G1890" s="62"/>
      <c r="H1890" s="49" t="s">
        <v>2941</v>
      </c>
      <c r="I1890" s="316" t="s">
        <v>2918</v>
      </c>
      <c r="J1890" s="100" t="s">
        <v>140</v>
      </c>
      <c r="K1890" s="52">
        <v>0</v>
      </c>
      <c r="L1890" s="52">
        <v>0</v>
      </c>
      <c r="M1890" s="53">
        <v>65</v>
      </c>
      <c r="N1890" s="54">
        <v>504</v>
      </c>
      <c r="O1890" s="341">
        <v>1</v>
      </c>
      <c r="P1890" s="54">
        <f t="shared" si="307"/>
        <v>504</v>
      </c>
      <c r="Q1890" s="54"/>
      <c r="R1890" s="92">
        <v>504</v>
      </c>
      <c r="S1890" s="53">
        <f t="shared" si="301"/>
        <v>0</v>
      </c>
      <c r="T1890" s="315">
        <f t="shared" si="302"/>
        <v>1329.2307692307693</v>
      </c>
      <c r="U1890" s="84">
        <f t="shared" si="303"/>
        <v>0</v>
      </c>
      <c r="V1890" s="84">
        <f t="shared" si="304"/>
        <v>0</v>
      </c>
      <c r="W1890" s="84">
        <v>0</v>
      </c>
      <c r="X1890" s="55">
        <f t="shared" si="305"/>
        <v>46153.666030092594</v>
      </c>
    </row>
    <row r="1891" spans="1:24" s="221" customFormat="1" hidden="1" x14ac:dyDescent="0.35">
      <c r="A1891" s="46">
        <f t="shared" si="306"/>
        <v>46153.666030092594</v>
      </c>
      <c r="B1891" s="46"/>
      <c r="C1891" s="46"/>
      <c r="D1891" s="46"/>
      <c r="E1891" s="47" t="s">
        <v>1964</v>
      </c>
      <c r="F1891" s="97" t="s">
        <v>271</v>
      </c>
      <c r="G1891" s="97"/>
      <c r="H1891" s="98" t="s">
        <v>2114</v>
      </c>
      <c r="I1891" s="82" t="s">
        <v>470</v>
      </c>
      <c r="J1891" s="100" t="s">
        <v>140</v>
      </c>
      <c r="K1891" s="101">
        <v>0</v>
      </c>
      <c r="L1891" s="101">
        <v>0</v>
      </c>
      <c r="M1891" s="102">
        <v>187</v>
      </c>
      <c r="N1891" s="103">
        <v>2880</v>
      </c>
      <c r="O1891" s="171">
        <v>2</v>
      </c>
      <c r="P1891" s="103">
        <f t="shared" si="307"/>
        <v>1440</v>
      </c>
      <c r="Q1891" s="103"/>
      <c r="R1891" s="102">
        <v>1440</v>
      </c>
      <c r="S1891" s="102">
        <f t="shared" si="301"/>
        <v>0</v>
      </c>
      <c r="T1891" s="173">
        <f t="shared" si="302"/>
        <v>924.06417112299459</v>
      </c>
      <c r="U1891" s="101">
        <f t="shared" si="303"/>
        <v>0</v>
      </c>
      <c r="V1891" s="101">
        <f t="shared" si="304"/>
        <v>0</v>
      </c>
      <c r="W1891" s="91">
        <v>0</v>
      </c>
      <c r="X1891" s="55">
        <f t="shared" si="305"/>
        <v>46153.666030092594</v>
      </c>
    </row>
    <row r="1892" spans="1:24" s="221" customFormat="1" hidden="1" x14ac:dyDescent="0.35">
      <c r="A1892" s="46">
        <f t="shared" si="306"/>
        <v>46153.666030092594</v>
      </c>
      <c r="B1892" s="46"/>
      <c r="C1892" s="46"/>
      <c r="D1892" s="46"/>
      <c r="E1892" s="47" t="s">
        <v>1964</v>
      </c>
      <c r="F1892" s="97" t="s">
        <v>271</v>
      </c>
      <c r="G1892" s="97"/>
      <c r="H1892" s="98" t="s">
        <v>2942</v>
      </c>
      <c r="I1892" s="82" t="s">
        <v>470</v>
      </c>
      <c r="J1892" s="100" t="s">
        <v>140</v>
      </c>
      <c r="K1892" s="101">
        <v>0</v>
      </c>
      <c r="L1892" s="101">
        <v>0</v>
      </c>
      <c r="M1892" s="102">
        <v>187</v>
      </c>
      <c r="N1892" s="103">
        <v>5040</v>
      </c>
      <c r="O1892" s="171">
        <v>2</v>
      </c>
      <c r="P1892" s="103">
        <f t="shared" si="307"/>
        <v>2520</v>
      </c>
      <c r="Q1892" s="103"/>
      <c r="R1892" s="102">
        <v>2520</v>
      </c>
      <c r="S1892" s="102">
        <f t="shared" si="301"/>
        <v>0</v>
      </c>
      <c r="T1892" s="173">
        <f t="shared" si="302"/>
        <v>924.06417112299459</v>
      </c>
      <c r="U1892" s="101">
        <f t="shared" si="303"/>
        <v>0</v>
      </c>
      <c r="V1892" s="101">
        <f t="shared" si="304"/>
        <v>0</v>
      </c>
      <c r="W1892" s="91">
        <v>0</v>
      </c>
      <c r="X1892" s="55">
        <f t="shared" si="305"/>
        <v>46153.666030092594</v>
      </c>
    </row>
    <row r="1893" spans="1:24" s="221" customFormat="1" hidden="1" x14ac:dyDescent="0.35">
      <c r="A1893" s="46">
        <f t="shared" si="306"/>
        <v>46153.666030092594</v>
      </c>
      <c r="B1893" s="46"/>
      <c r="C1893" s="46"/>
      <c r="D1893" s="46"/>
      <c r="E1893" s="47" t="s">
        <v>1964</v>
      </c>
      <c r="F1893" s="97" t="s">
        <v>271</v>
      </c>
      <c r="G1893" s="97"/>
      <c r="H1893" s="98" t="s">
        <v>2943</v>
      </c>
      <c r="I1893" s="82" t="s">
        <v>470</v>
      </c>
      <c r="J1893" s="100" t="s">
        <v>140</v>
      </c>
      <c r="K1893" s="101">
        <v>0</v>
      </c>
      <c r="L1893" s="101">
        <v>0</v>
      </c>
      <c r="M1893" s="102">
        <v>187</v>
      </c>
      <c r="N1893" s="103">
        <v>5040</v>
      </c>
      <c r="O1893" s="171">
        <v>2</v>
      </c>
      <c r="P1893" s="103">
        <f t="shared" si="307"/>
        <v>2520</v>
      </c>
      <c r="Q1893" s="103"/>
      <c r="R1893" s="102">
        <v>2520</v>
      </c>
      <c r="S1893" s="102">
        <f t="shared" si="301"/>
        <v>0</v>
      </c>
      <c r="T1893" s="173">
        <f t="shared" si="302"/>
        <v>924.06417112299459</v>
      </c>
      <c r="U1893" s="101">
        <f t="shared" si="303"/>
        <v>0</v>
      </c>
      <c r="V1893" s="101">
        <f t="shared" si="304"/>
        <v>0</v>
      </c>
      <c r="W1893" s="91">
        <v>0</v>
      </c>
      <c r="X1893" s="55">
        <f t="shared" si="305"/>
        <v>46153.666030092594</v>
      </c>
    </row>
    <row r="1894" spans="1:24" s="221" customFormat="1" hidden="1" x14ac:dyDescent="0.35">
      <c r="A1894" s="46">
        <f t="shared" si="306"/>
        <v>46153.666030092594</v>
      </c>
      <c r="B1894" s="46"/>
      <c r="C1894" s="46"/>
      <c r="D1894" s="46"/>
      <c r="E1894" s="47" t="s">
        <v>1964</v>
      </c>
      <c r="F1894" s="104" t="s">
        <v>2944</v>
      </c>
      <c r="G1894" s="104"/>
      <c r="H1894" s="90" t="s">
        <v>2945</v>
      </c>
      <c r="I1894" s="599" t="s">
        <v>2946</v>
      </c>
      <c r="J1894" s="51" t="s">
        <v>140</v>
      </c>
      <c r="K1894" s="91">
        <v>0</v>
      </c>
      <c r="L1894" s="91">
        <v>0</v>
      </c>
      <c r="M1894" s="92">
        <v>100</v>
      </c>
      <c r="N1894" s="93">
        <v>5000</v>
      </c>
      <c r="O1894" s="253">
        <v>1</v>
      </c>
      <c r="P1894" s="94">
        <f t="shared" si="307"/>
        <v>5000</v>
      </c>
      <c r="Q1894" s="94"/>
      <c r="R1894" s="595">
        <v>5000</v>
      </c>
      <c r="S1894" s="92">
        <f t="shared" si="301"/>
        <v>0</v>
      </c>
      <c r="T1894" s="254">
        <f t="shared" si="302"/>
        <v>864</v>
      </c>
      <c r="U1894" s="91">
        <f t="shared" si="303"/>
        <v>0</v>
      </c>
      <c r="V1894" s="91">
        <f t="shared" si="304"/>
        <v>0</v>
      </c>
      <c r="W1894" s="91">
        <v>0</v>
      </c>
      <c r="X1894" s="55">
        <f t="shared" si="305"/>
        <v>46153.666030092594</v>
      </c>
    </row>
    <row r="1895" spans="1:24" s="221" customFormat="1" ht="43.5" hidden="1" x14ac:dyDescent="0.35">
      <c r="A1895" s="46">
        <f t="shared" si="306"/>
        <v>46153.666030092594</v>
      </c>
      <c r="B1895" s="46"/>
      <c r="C1895" s="46"/>
      <c r="D1895" s="46"/>
      <c r="E1895" s="47" t="s">
        <v>1964</v>
      </c>
      <c r="F1895" s="57" t="s">
        <v>2947</v>
      </c>
      <c r="G1895" s="57"/>
      <c r="H1895" s="49" t="s">
        <v>2948</v>
      </c>
      <c r="I1895" s="82" t="s">
        <v>2915</v>
      </c>
      <c r="J1895" s="51" t="s">
        <v>140</v>
      </c>
      <c r="K1895" s="52">
        <v>0</v>
      </c>
      <c r="L1895" s="52">
        <v>0</v>
      </c>
      <c r="M1895" s="53">
        <v>73</v>
      </c>
      <c r="N1895" s="54">
        <v>12000</v>
      </c>
      <c r="O1895" s="341">
        <v>1</v>
      </c>
      <c r="P1895" s="94">
        <f t="shared" si="307"/>
        <v>12000</v>
      </c>
      <c r="Q1895" s="94"/>
      <c r="R1895" s="92">
        <v>12000</v>
      </c>
      <c r="S1895" s="92">
        <f t="shared" si="301"/>
        <v>0</v>
      </c>
      <c r="T1895" s="254">
        <f t="shared" si="302"/>
        <v>1183.5616438356165</v>
      </c>
      <c r="U1895" s="91">
        <f t="shared" si="303"/>
        <v>0</v>
      </c>
      <c r="V1895" s="91">
        <f t="shared" si="304"/>
        <v>0</v>
      </c>
      <c r="W1895" s="101">
        <v>0</v>
      </c>
      <c r="X1895" s="55">
        <f t="shared" si="305"/>
        <v>46153.666030092594</v>
      </c>
    </row>
    <row r="1896" spans="1:24" hidden="1" x14ac:dyDescent="0.35">
      <c r="A1896" s="46">
        <f t="shared" si="306"/>
        <v>46153.666030092594</v>
      </c>
      <c r="B1896" s="46"/>
      <c r="C1896" s="46"/>
      <c r="D1896" s="46"/>
      <c r="E1896" s="47" t="s">
        <v>1964</v>
      </c>
      <c r="F1896" s="97" t="s">
        <v>271</v>
      </c>
      <c r="G1896" s="97"/>
      <c r="H1896" s="98" t="s">
        <v>2949</v>
      </c>
      <c r="I1896" s="82" t="s">
        <v>470</v>
      </c>
      <c r="J1896" s="100" t="s">
        <v>140</v>
      </c>
      <c r="K1896" s="101">
        <v>0</v>
      </c>
      <c r="L1896" s="101">
        <v>0</v>
      </c>
      <c r="M1896" s="102">
        <v>221</v>
      </c>
      <c r="N1896" s="103">
        <v>10000</v>
      </c>
      <c r="O1896" s="171">
        <v>2</v>
      </c>
      <c r="P1896" s="103">
        <f t="shared" si="307"/>
        <v>5000</v>
      </c>
      <c r="Q1896" s="103"/>
      <c r="R1896" s="102">
        <v>5000</v>
      </c>
      <c r="S1896" s="102">
        <f t="shared" si="301"/>
        <v>0</v>
      </c>
      <c r="T1896" s="173">
        <f t="shared" si="302"/>
        <v>781.90045248868773</v>
      </c>
      <c r="U1896" s="101">
        <f t="shared" si="303"/>
        <v>0</v>
      </c>
      <c r="V1896" s="101">
        <f t="shared" si="304"/>
        <v>0</v>
      </c>
      <c r="W1896" s="91">
        <v>0</v>
      </c>
      <c r="X1896" s="55">
        <f t="shared" si="305"/>
        <v>46153.666030092594</v>
      </c>
    </row>
    <row r="1897" spans="1:24" hidden="1" x14ac:dyDescent="0.35">
      <c r="A1897" s="46">
        <f t="shared" si="306"/>
        <v>46153.666030092594</v>
      </c>
      <c r="B1897" s="46"/>
      <c r="C1897" s="46"/>
      <c r="D1897" s="46"/>
      <c r="E1897" s="47" t="s">
        <v>1964</v>
      </c>
      <c r="F1897" s="97" t="s">
        <v>2950</v>
      </c>
      <c r="G1897" s="97"/>
      <c r="H1897" s="90" t="s">
        <v>2951</v>
      </c>
      <c r="I1897" s="599" t="s">
        <v>2928</v>
      </c>
      <c r="J1897" s="51" t="s">
        <v>140</v>
      </c>
      <c r="K1897" s="91">
        <v>0</v>
      </c>
      <c r="L1897" s="91">
        <v>0</v>
      </c>
      <c r="M1897" s="92">
        <v>81</v>
      </c>
      <c r="N1897" s="93">
        <v>4000</v>
      </c>
      <c r="O1897" s="253">
        <v>1</v>
      </c>
      <c r="P1897" s="94">
        <f t="shared" si="307"/>
        <v>4000</v>
      </c>
      <c r="Q1897" s="94"/>
      <c r="R1897" s="595">
        <v>4000</v>
      </c>
      <c r="S1897" s="92">
        <f t="shared" si="301"/>
        <v>0</v>
      </c>
      <c r="T1897" s="254">
        <f t="shared" si="302"/>
        <v>1066.6666666666665</v>
      </c>
      <c r="U1897" s="91">
        <f t="shared" si="303"/>
        <v>0</v>
      </c>
      <c r="V1897" s="91">
        <f t="shared" si="304"/>
        <v>0</v>
      </c>
      <c r="W1897" s="91">
        <v>0</v>
      </c>
      <c r="X1897" s="55">
        <f t="shared" si="305"/>
        <v>46153.666030092594</v>
      </c>
    </row>
    <row r="1898" spans="1:24" hidden="1" x14ac:dyDescent="0.35">
      <c r="A1898" s="46">
        <f t="shared" si="306"/>
        <v>46153.666030092594</v>
      </c>
      <c r="B1898" s="46"/>
      <c r="C1898" s="46"/>
      <c r="D1898" s="46"/>
      <c r="E1898" s="47" t="s">
        <v>1964</v>
      </c>
      <c r="F1898" s="97" t="s">
        <v>633</v>
      </c>
      <c r="G1898" s="97"/>
      <c r="H1898" s="90" t="s">
        <v>2952</v>
      </c>
      <c r="I1898" s="599" t="s">
        <v>2928</v>
      </c>
      <c r="J1898" s="51" t="s">
        <v>140</v>
      </c>
      <c r="K1898" s="91">
        <v>0</v>
      </c>
      <c r="L1898" s="91">
        <v>0</v>
      </c>
      <c r="M1898" s="92">
        <v>81</v>
      </c>
      <c r="N1898" s="93">
        <v>4000</v>
      </c>
      <c r="O1898" s="253">
        <v>1</v>
      </c>
      <c r="P1898" s="94">
        <f t="shared" si="307"/>
        <v>4000</v>
      </c>
      <c r="Q1898" s="94"/>
      <c r="R1898" s="595">
        <v>4000</v>
      </c>
      <c r="S1898" s="92">
        <f t="shared" si="301"/>
        <v>0</v>
      </c>
      <c r="T1898" s="254">
        <f t="shared" si="302"/>
        <v>1066.6666666666665</v>
      </c>
      <c r="U1898" s="91">
        <f t="shared" si="303"/>
        <v>0</v>
      </c>
      <c r="V1898" s="91">
        <f t="shared" si="304"/>
        <v>0</v>
      </c>
      <c r="W1898" s="91">
        <v>0</v>
      </c>
      <c r="X1898" s="55">
        <f t="shared" si="305"/>
        <v>46153.666030092594</v>
      </c>
    </row>
    <row r="1899" spans="1:24" s="118" customFormat="1" hidden="1" x14ac:dyDescent="0.35">
      <c r="A1899" s="46">
        <f t="shared" si="306"/>
        <v>46153.666030092594</v>
      </c>
      <c r="B1899" s="46"/>
      <c r="C1899" s="46"/>
      <c r="D1899" s="46"/>
      <c r="E1899" s="47" t="s">
        <v>2939</v>
      </c>
      <c r="F1899" s="82" t="s">
        <v>2953</v>
      </c>
      <c r="G1899" s="82"/>
      <c r="H1899" s="334" t="s">
        <v>2954</v>
      </c>
      <c r="I1899" s="71" t="s">
        <v>354</v>
      </c>
      <c r="J1899" s="170" t="s">
        <v>140</v>
      </c>
      <c r="K1899" s="101">
        <v>0</v>
      </c>
      <c r="L1899" s="101">
        <v>0</v>
      </c>
      <c r="M1899" s="102">
        <v>65</v>
      </c>
      <c r="N1899" s="103">
        <v>300</v>
      </c>
      <c r="O1899" s="171">
        <v>1</v>
      </c>
      <c r="P1899" s="103">
        <f t="shared" si="307"/>
        <v>300</v>
      </c>
      <c r="Q1899" s="103"/>
      <c r="R1899" s="102">
        <v>300</v>
      </c>
      <c r="S1899" s="102">
        <f t="shared" si="301"/>
        <v>0</v>
      </c>
      <c r="T1899" s="173">
        <f t="shared" si="302"/>
        <v>1329.2307692307693</v>
      </c>
      <c r="U1899" s="101">
        <f t="shared" si="303"/>
        <v>0</v>
      </c>
      <c r="V1899" s="101">
        <f t="shared" si="304"/>
        <v>0</v>
      </c>
      <c r="W1899" s="101">
        <v>0</v>
      </c>
      <c r="X1899" s="55">
        <f t="shared" si="305"/>
        <v>46153.666030092594</v>
      </c>
    </row>
    <row r="1900" spans="1:24" s="118" customFormat="1" hidden="1" x14ac:dyDescent="0.35">
      <c r="A1900" s="46">
        <f t="shared" si="306"/>
        <v>46153.666030092594</v>
      </c>
      <c r="B1900" s="46"/>
      <c r="C1900" s="46"/>
      <c r="D1900" s="46"/>
      <c r="E1900" s="47" t="s">
        <v>1964</v>
      </c>
      <c r="F1900" s="82" t="s">
        <v>2955</v>
      </c>
      <c r="G1900" s="82"/>
      <c r="H1900" s="334" t="s">
        <v>2956</v>
      </c>
      <c r="I1900" s="71" t="s">
        <v>1073</v>
      </c>
      <c r="J1900" s="170" t="s">
        <v>140</v>
      </c>
      <c r="K1900" s="101">
        <v>0</v>
      </c>
      <c r="L1900" s="101">
        <v>0</v>
      </c>
      <c r="M1900" s="102">
        <v>65</v>
      </c>
      <c r="N1900" s="103">
        <v>1000</v>
      </c>
      <c r="O1900" s="171">
        <v>1</v>
      </c>
      <c r="P1900" s="103">
        <f t="shared" si="307"/>
        <v>1000</v>
      </c>
      <c r="Q1900" s="103"/>
      <c r="R1900" s="102">
        <v>1000</v>
      </c>
      <c r="S1900" s="102">
        <f t="shared" si="301"/>
        <v>0</v>
      </c>
      <c r="T1900" s="173">
        <f t="shared" si="302"/>
        <v>1329.2307692307693</v>
      </c>
      <c r="U1900" s="101">
        <f t="shared" si="303"/>
        <v>0</v>
      </c>
      <c r="V1900" s="101">
        <f t="shared" si="304"/>
        <v>0</v>
      </c>
      <c r="W1900" s="101">
        <v>0</v>
      </c>
      <c r="X1900" s="55">
        <f t="shared" si="305"/>
        <v>46153.666030092594</v>
      </c>
    </row>
    <row r="1901" spans="1:24" s="118" customFormat="1" hidden="1" x14ac:dyDescent="0.35">
      <c r="A1901" s="46">
        <f t="shared" si="306"/>
        <v>46153.666030092594</v>
      </c>
      <c r="B1901" s="46"/>
      <c r="C1901" s="46"/>
      <c r="D1901" s="46"/>
      <c r="E1901" s="47" t="s">
        <v>1964</v>
      </c>
      <c r="F1901" s="82" t="s">
        <v>2957</v>
      </c>
      <c r="G1901" s="82"/>
      <c r="H1901" s="334" t="s">
        <v>2958</v>
      </c>
      <c r="I1901" s="71" t="s">
        <v>1207</v>
      </c>
      <c r="J1901" s="170" t="s">
        <v>140</v>
      </c>
      <c r="K1901" s="101">
        <v>0</v>
      </c>
      <c r="L1901" s="101">
        <v>0</v>
      </c>
      <c r="M1901" s="102">
        <v>65</v>
      </c>
      <c r="N1901" s="103">
        <v>200</v>
      </c>
      <c r="O1901" s="171">
        <v>1</v>
      </c>
      <c r="P1901" s="103">
        <f t="shared" si="307"/>
        <v>200</v>
      </c>
      <c r="Q1901" s="103"/>
      <c r="R1901" s="102">
        <v>200</v>
      </c>
      <c r="S1901" s="102">
        <f t="shared" ref="S1901:S1935" si="308">P1901-R1901</f>
        <v>0</v>
      </c>
      <c r="T1901" s="173">
        <f t="shared" ref="T1901:T1919" si="309">((3600/M1901)*O1901)*24</f>
        <v>1329.2307692307693</v>
      </c>
      <c r="U1901" s="101">
        <f t="shared" ref="U1901:U1926" si="310">(P1901-R1901)*M1901/3600</f>
        <v>0</v>
      </c>
      <c r="V1901" s="101">
        <f t="shared" ref="V1901:V1926" si="311">(P1901-R1901)*M1901/3600/24</f>
        <v>0</v>
      </c>
      <c r="W1901" s="101">
        <v>0</v>
      </c>
      <c r="X1901" s="55">
        <f t="shared" ref="X1901:X1935" si="312">A1901+K1901+V1901+W1901+L1901</f>
        <v>46153.666030092594</v>
      </c>
    </row>
    <row r="1902" spans="1:24" s="118" customFormat="1" hidden="1" x14ac:dyDescent="0.35">
      <c r="A1902" s="46">
        <f t="shared" ref="A1902:A1935" si="313">X1901</f>
        <v>46153.666030092594</v>
      </c>
      <c r="B1902" s="46"/>
      <c r="C1902" s="46"/>
      <c r="D1902" s="46"/>
      <c r="E1902" s="47" t="s">
        <v>1964</v>
      </c>
      <c r="F1902" s="82" t="s">
        <v>2959</v>
      </c>
      <c r="G1902" s="82"/>
      <c r="H1902" s="334" t="s">
        <v>2958</v>
      </c>
      <c r="I1902" s="46" t="s">
        <v>2565</v>
      </c>
      <c r="J1902" s="170" t="s">
        <v>140</v>
      </c>
      <c r="K1902" s="101">
        <v>0</v>
      </c>
      <c r="L1902" s="101">
        <v>0</v>
      </c>
      <c r="M1902" s="102">
        <v>65</v>
      </c>
      <c r="N1902" s="103">
        <v>50</v>
      </c>
      <c r="O1902" s="171">
        <v>1</v>
      </c>
      <c r="P1902" s="103">
        <f t="shared" si="307"/>
        <v>50</v>
      </c>
      <c r="Q1902" s="103"/>
      <c r="R1902" s="102">
        <v>50</v>
      </c>
      <c r="S1902" s="102">
        <f t="shared" si="308"/>
        <v>0</v>
      </c>
      <c r="T1902" s="173">
        <f t="shared" si="309"/>
        <v>1329.2307692307693</v>
      </c>
      <c r="U1902" s="101">
        <f t="shared" si="310"/>
        <v>0</v>
      </c>
      <c r="V1902" s="101">
        <f t="shared" si="311"/>
        <v>0</v>
      </c>
      <c r="W1902" s="101">
        <v>0</v>
      </c>
      <c r="X1902" s="55">
        <f t="shared" si="312"/>
        <v>46153.666030092594</v>
      </c>
    </row>
    <row r="1903" spans="1:24" s="221" customFormat="1" hidden="1" x14ac:dyDescent="0.35">
      <c r="A1903" s="46">
        <f t="shared" si="313"/>
        <v>46153.666030092594</v>
      </c>
      <c r="B1903" s="46"/>
      <c r="C1903" s="46"/>
      <c r="D1903" s="46"/>
      <c r="E1903" s="47" t="s">
        <v>1964</v>
      </c>
      <c r="F1903" s="97" t="s">
        <v>271</v>
      </c>
      <c r="G1903" s="97"/>
      <c r="H1903" s="90" t="s">
        <v>2960</v>
      </c>
      <c r="I1903" s="87" t="s">
        <v>208</v>
      </c>
      <c r="J1903" s="51" t="s">
        <v>140</v>
      </c>
      <c r="K1903" s="91">
        <v>0</v>
      </c>
      <c r="L1903" s="91">
        <v>0</v>
      </c>
      <c r="M1903" s="92">
        <v>165</v>
      </c>
      <c r="N1903" s="93">
        <v>1890</v>
      </c>
      <c r="O1903" s="253">
        <v>1</v>
      </c>
      <c r="P1903" s="94">
        <f t="shared" si="307"/>
        <v>1890</v>
      </c>
      <c r="Q1903" s="94"/>
      <c r="R1903" s="595">
        <v>1890</v>
      </c>
      <c r="S1903" s="92">
        <f t="shared" si="308"/>
        <v>0</v>
      </c>
      <c r="T1903" s="254">
        <f t="shared" si="309"/>
        <v>523.63636363636363</v>
      </c>
      <c r="U1903" s="91">
        <f t="shared" si="310"/>
        <v>0</v>
      </c>
      <c r="V1903" s="91">
        <f t="shared" si="311"/>
        <v>0</v>
      </c>
      <c r="W1903" s="101">
        <v>0</v>
      </c>
      <c r="X1903" s="55">
        <f t="shared" si="312"/>
        <v>46153.666030092594</v>
      </c>
    </row>
    <row r="1904" spans="1:24" s="221" customFormat="1" hidden="1" x14ac:dyDescent="0.35">
      <c r="A1904" s="46">
        <f t="shared" si="313"/>
        <v>46153.666030092594</v>
      </c>
      <c r="B1904" s="46"/>
      <c r="C1904" s="46"/>
      <c r="D1904" s="46"/>
      <c r="E1904" s="47" t="s">
        <v>1964</v>
      </c>
      <c r="F1904" s="97" t="s">
        <v>271</v>
      </c>
      <c r="G1904" s="97"/>
      <c r="H1904" s="90" t="s">
        <v>2961</v>
      </c>
      <c r="I1904" s="87" t="s">
        <v>210</v>
      </c>
      <c r="J1904" s="51" t="s">
        <v>140</v>
      </c>
      <c r="K1904" s="91">
        <v>0</v>
      </c>
      <c r="L1904" s="91">
        <v>0</v>
      </c>
      <c r="M1904" s="92">
        <v>165</v>
      </c>
      <c r="N1904" s="93">
        <v>1260</v>
      </c>
      <c r="O1904" s="253">
        <v>1</v>
      </c>
      <c r="P1904" s="94">
        <f t="shared" si="307"/>
        <v>1260</v>
      </c>
      <c r="Q1904" s="94"/>
      <c r="R1904" s="595">
        <v>1260</v>
      </c>
      <c r="S1904" s="92">
        <f t="shared" si="308"/>
        <v>0</v>
      </c>
      <c r="T1904" s="254">
        <f t="shared" si="309"/>
        <v>523.63636363636363</v>
      </c>
      <c r="U1904" s="91">
        <f t="shared" si="310"/>
        <v>0</v>
      </c>
      <c r="V1904" s="91">
        <f t="shared" si="311"/>
        <v>0</v>
      </c>
      <c r="W1904" s="101">
        <v>0</v>
      </c>
      <c r="X1904" s="55">
        <f t="shared" si="312"/>
        <v>46153.666030092594</v>
      </c>
    </row>
    <row r="1905" spans="1:24" s="221" customFormat="1" hidden="1" x14ac:dyDescent="0.35">
      <c r="A1905" s="46">
        <f t="shared" si="313"/>
        <v>46153.666030092594</v>
      </c>
      <c r="B1905" s="46"/>
      <c r="C1905" s="46"/>
      <c r="D1905" s="46"/>
      <c r="E1905" s="47" t="s">
        <v>1964</v>
      </c>
      <c r="F1905" s="97" t="s">
        <v>271</v>
      </c>
      <c r="G1905" s="97"/>
      <c r="H1905" s="90" t="s">
        <v>2962</v>
      </c>
      <c r="I1905" s="85" t="s">
        <v>205</v>
      </c>
      <c r="J1905" s="51" t="s">
        <v>140</v>
      </c>
      <c r="K1905" s="91">
        <v>0</v>
      </c>
      <c r="L1905" s="91">
        <v>0</v>
      </c>
      <c r="M1905" s="92">
        <v>165</v>
      </c>
      <c r="N1905" s="93">
        <v>1260</v>
      </c>
      <c r="O1905" s="253">
        <v>1</v>
      </c>
      <c r="P1905" s="94">
        <f t="shared" si="307"/>
        <v>1260</v>
      </c>
      <c r="Q1905" s="94"/>
      <c r="R1905" s="595">
        <v>1260</v>
      </c>
      <c r="S1905" s="92">
        <f t="shared" si="308"/>
        <v>0</v>
      </c>
      <c r="T1905" s="254">
        <f t="shared" si="309"/>
        <v>523.63636363636363</v>
      </c>
      <c r="U1905" s="91">
        <f t="shared" si="310"/>
        <v>0</v>
      </c>
      <c r="V1905" s="91">
        <f t="shared" si="311"/>
        <v>0</v>
      </c>
      <c r="W1905" s="101">
        <v>0</v>
      </c>
      <c r="X1905" s="55">
        <f t="shared" si="312"/>
        <v>46153.666030092594</v>
      </c>
    </row>
    <row r="1906" spans="1:24" s="221" customFormat="1" hidden="1" x14ac:dyDescent="0.35">
      <c r="A1906" s="46">
        <f t="shared" si="313"/>
        <v>46153.666030092594</v>
      </c>
      <c r="B1906" s="46"/>
      <c r="C1906" s="46"/>
      <c r="D1906" s="46"/>
      <c r="E1906" s="119" t="s">
        <v>2963</v>
      </c>
      <c r="F1906" s="82" t="s">
        <v>2964</v>
      </c>
      <c r="G1906" s="82"/>
      <c r="H1906" s="98" t="s">
        <v>2965</v>
      </c>
      <c r="I1906" s="390" t="s">
        <v>4259</v>
      </c>
      <c r="J1906" s="100" t="s">
        <v>140</v>
      </c>
      <c r="K1906" s="101">
        <v>0</v>
      </c>
      <c r="L1906" s="101">
        <v>0</v>
      </c>
      <c r="M1906" s="102">
        <v>85</v>
      </c>
      <c r="N1906" s="103">
        <v>120</v>
      </c>
      <c r="O1906" s="171">
        <v>1</v>
      </c>
      <c r="P1906" s="103">
        <f t="shared" si="307"/>
        <v>120</v>
      </c>
      <c r="Q1906" s="103"/>
      <c r="R1906" s="102">
        <v>120</v>
      </c>
      <c r="S1906" s="102">
        <f t="shared" si="308"/>
        <v>0</v>
      </c>
      <c r="T1906" s="173">
        <f t="shared" si="309"/>
        <v>1016.4705882352941</v>
      </c>
      <c r="U1906" s="101">
        <f t="shared" si="310"/>
        <v>0</v>
      </c>
      <c r="V1906" s="101">
        <f t="shared" si="311"/>
        <v>0</v>
      </c>
      <c r="W1906" s="101">
        <v>0</v>
      </c>
      <c r="X1906" s="55">
        <f t="shared" si="312"/>
        <v>46153.666030092594</v>
      </c>
    </row>
    <row r="1907" spans="1:24" s="221" customFormat="1" ht="26.5" hidden="1" x14ac:dyDescent="0.35">
      <c r="A1907" s="46">
        <f t="shared" si="313"/>
        <v>46153.666030092594</v>
      </c>
      <c r="B1907" s="46"/>
      <c r="C1907" s="46"/>
      <c r="D1907" s="46"/>
      <c r="E1907" s="47" t="s">
        <v>1964</v>
      </c>
      <c r="F1907" s="97" t="s">
        <v>2966</v>
      </c>
      <c r="G1907" s="97"/>
      <c r="H1907" s="98" t="s">
        <v>2967</v>
      </c>
      <c r="I1907" s="82" t="s">
        <v>4260</v>
      </c>
      <c r="J1907" s="51" t="s">
        <v>140</v>
      </c>
      <c r="K1907" s="91">
        <v>0</v>
      </c>
      <c r="L1907" s="91">
        <v>0</v>
      </c>
      <c r="M1907" s="92">
        <v>73</v>
      </c>
      <c r="N1907" s="94">
        <v>10200</v>
      </c>
      <c r="O1907" s="253">
        <v>1</v>
      </c>
      <c r="P1907" s="94">
        <f t="shared" si="307"/>
        <v>10200</v>
      </c>
      <c r="Q1907" s="94"/>
      <c r="R1907" s="92">
        <v>10200</v>
      </c>
      <c r="S1907" s="92">
        <f t="shared" si="308"/>
        <v>0</v>
      </c>
      <c r="T1907" s="254">
        <f t="shared" si="309"/>
        <v>1183.5616438356165</v>
      </c>
      <c r="U1907" s="91">
        <f t="shared" si="310"/>
        <v>0</v>
      </c>
      <c r="V1907" s="91">
        <f t="shared" si="311"/>
        <v>0</v>
      </c>
      <c r="W1907" s="101">
        <v>0</v>
      </c>
      <c r="X1907" s="55">
        <f t="shared" si="312"/>
        <v>46153.666030092594</v>
      </c>
    </row>
    <row r="1908" spans="1:24" s="221" customFormat="1" hidden="1" x14ac:dyDescent="0.35">
      <c r="A1908" s="46">
        <f t="shared" si="313"/>
        <v>46153.666030092594</v>
      </c>
      <c r="B1908" s="46"/>
      <c r="C1908" s="46"/>
      <c r="D1908" s="46"/>
      <c r="E1908" s="74" t="s">
        <v>1964</v>
      </c>
      <c r="F1908" s="77" t="s">
        <v>202</v>
      </c>
      <c r="G1908" s="77"/>
      <c r="H1908" s="340" t="s">
        <v>2968</v>
      </c>
      <c r="I1908" s="77" t="s">
        <v>2969</v>
      </c>
      <c r="J1908" s="491" t="s">
        <v>140</v>
      </c>
      <c r="K1908" s="110">
        <v>0</v>
      </c>
      <c r="L1908" s="110">
        <v>0</v>
      </c>
      <c r="M1908" s="427">
        <v>140</v>
      </c>
      <c r="N1908" s="428">
        <v>580</v>
      </c>
      <c r="O1908" s="429">
        <v>1</v>
      </c>
      <c r="P1908" s="428">
        <f t="shared" si="307"/>
        <v>580</v>
      </c>
      <c r="Q1908" s="428"/>
      <c r="R1908" s="427">
        <v>580</v>
      </c>
      <c r="S1908" s="427">
        <f t="shared" si="308"/>
        <v>0</v>
      </c>
      <c r="T1908" s="600">
        <f t="shared" si="309"/>
        <v>617.14285714285711</v>
      </c>
      <c r="U1908" s="601">
        <f t="shared" si="310"/>
        <v>0</v>
      </c>
      <c r="V1908" s="601">
        <f t="shared" si="311"/>
        <v>0</v>
      </c>
      <c r="W1908" s="101">
        <v>0</v>
      </c>
      <c r="X1908" s="55">
        <f t="shared" si="312"/>
        <v>46153.666030092594</v>
      </c>
    </row>
    <row r="1909" spans="1:24" s="221" customFormat="1" hidden="1" x14ac:dyDescent="0.35">
      <c r="A1909" s="46">
        <f t="shared" si="313"/>
        <v>46153.666030092594</v>
      </c>
      <c r="B1909" s="46"/>
      <c r="C1909" s="46"/>
      <c r="D1909" s="46"/>
      <c r="E1909" s="47" t="s">
        <v>1964</v>
      </c>
      <c r="F1909" s="97" t="s">
        <v>271</v>
      </c>
      <c r="G1909" s="97"/>
      <c r="H1909" s="90" t="s">
        <v>2970</v>
      </c>
      <c r="I1909" s="87" t="s">
        <v>208</v>
      </c>
      <c r="J1909" s="51" t="s">
        <v>140</v>
      </c>
      <c r="K1909" s="91">
        <v>0</v>
      </c>
      <c r="L1909" s="91">
        <v>0</v>
      </c>
      <c r="M1909" s="92">
        <v>165</v>
      </c>
      <c r="N1909" s="93">
        <v>1890</v>
      </c>
      <c r="O1909" s="253">
        <v>1</v>
      </c>
      <c r="P1909" s="94">
        <f t="shared" si="307"/>
        <v>1890</v>
      </c>
      <c r="Q1909" s="94"/>
      <c r="R1909" s="595">
        <v>1890</v>
      </c>
      <c r="S1909" s="92">
        <f t="shared" si="308"/>
        <v>0</v>
      </c>
      <c r="T1909" s="254">
        <f t="shared" si="309"/>
        <v>523.63636363636363</v>
      </c>
      <c r="U1909" s="91">
        <f t="shared" si="310"/>
        <v>0</v>
      </c>
      <c r="V1909" s="91">
        <f t="shared" si="311"/>
        <v>0</v>
      </c>
      <c r="W1909" s="101">
        <v>0</v>
      </c>
      <c r="X1909" s="55">
        <f t="shared" si="312"/>
        <v>46153.666030092594</v>
      </c>
    </row>
    <row r="1910" spans="1:24" s="221" customFormat="1" ht="26.5" hidden="1" x14ac:dyDescent="0.35">
      <c r="A1910" s="46">
        <f t="shared" si="313"/>
        <v>46153.666030092594</v>
      </c>
      <c r="B1910" s="46"/>
      <c r="C1910" s="46"/>
      <c r="D1910" s="46"/>
      <c r="E1910" s="47" t="s">
        <v>1964</v>
      </c>
      <c r="F1910" s="97" t="s">
        <v>2966</v>
      </c>
      <c r="G1910" s="97"/>
      <c r="H1910" s="98" t="s">
        <v>2967</v>
      </c>
      <c r="I1910" s="82" t="s">
        <v>4260</v>
      </c>
      <c r="J1910" s="51" t="s">
        <v>140</v>
      </c>
      <c r="K1910" s="91">
        <v>0</v>
      </c>
      <c r="L1910" s="91">
        <v>0</v>
      </c>
      <c r="M1910" s="92">
        <v>73</v>
      </c>
      <c r="N1910" s="94">
        <v>1428</v>
      </c>
      <c r="O1910" s="253">
        <v>1</v>
      </c>
      <c r="P1910" s="94">
        <f t="shared" si="307"/>
        <v>1428</v>
      </c>
      <c r="Q1910" s="94"/>
      <c r="R1910" s="92">
        <v>1428</v>
      </c>
      <c r="S1910" s="92">
        <f t="shared" si="308"/>
        <v>0</v>
      </c>
      <c r="T1910" s="254">
        <f t="shared" si="309"/>
        <v>1183.5616438356165</v>
      </c>
      <c r="U1910" s="91">
        <f t="shared" si="310"/>
        <v>0</v>
      </c>
      <c r="V1910" s="91">
        <f t="shared" si="311"/>
        <v>0</v>
      </c>
      <c r="W1910" s="101">
        <v>0</v>
      </c>
      <c r="X1910" s="55">
        <f t="shared" si="312"/>
        <v>46153.666030092594</v>
      </c>
    </row>
    <row r="1911" spans="1:24" s="221" customFormat="1" hidden="1" x14ac:dyDescent="0.35">
      <c r="A1911" s="46">
        <f t="shared" si="313"/>
        <v>46153.666030092594</v>
      </c>
      <c r="B1911" s="46"/>
      <c r="C1911" s="46"/>
      <c r="D1911" s="46"/>
      <c r="E1911" s="47" t="s">
        <v>2963</v>
      </c>
      <c r="F1911" s="82" t="s">
        <v>2971</v>
      </c>
      <c r="G1911" s="82"/>
      <c r="H1911" s="98" t="s">
        <v>2972</v>
      </c>
      <c r="I1911" s="390" t="s">
        <v>4261</v>
      </c>
      <c r="J1911" s="100" t="s">
        <v>140</v>
      </c>
      <c r="K1911" s="101">
        <v>0</v>
      </c>
      <c r="L1911" s="101">
        <v>0</v>
      </c>
      <c r="M1911" s="102">
        <v>85</v>
      </c>
      <c r="N1911" s="103">
        <v>12000</v>
      </c>
      <c r="O1911" s="171">
        <v>1</v>
      </c>
      <c r="P1911" s="103">
        <f t="shared" si="307"/>
        <v>12000</v>
      </c>
      <c r="Q1911" s="103"/>
      <c r="R1911" s="102">
        <v>12000</v>
      </c>
      <c r="S1911" s="102">
        <f t="shared" si="308"/>
        <v>0</v>
      </c>
      <c r="T1911" s="173">
        <f t="shared" si="309"/>
        <v>1016.4705882352941</v>
      </c>
      <c r="U1911" s="101">
        <f t="shared" si="310"/>
        <v>0</v>
      </c>
      <c r="V1911" s="101">
        <f t="shared" si="311"/>
        <v>0</v>
      </c>
      <c r="W1911" s="101">
        <v>0</v>
      </c>
      <c r="X1911" s="55">
        <f t="shared" si="312"/>
        <v>46153.666030092594</v>
      </c>
    </row>
    <row r="1912" spans="1:24" s="221" customFormat="1" hidden="1" x14ac:dyDescent="0.35">
      <c r="A1912" s="46">
        <f t="shared" si="313"/>
        <v>46153.666030092594</v>
      </c>
      <c r="B1912" s="46"/>
      <c r="C1912" s="46"/>
      <c r="D1912" s="46"/>
      <c r="E1912" s="47" t="s">
        <v>1964</v>
      </c>
      <c r="F1912" s="82" t="s">
        <v>2973</v>
      </c>
      <c r="G1912" s="82"/>
      <c r="H1912" s="98" t="s">
        <v>2974</v>
      </c>
      <c r="I1912" s="390" t="s">
        <v>4262</v>
      </c>
      <c r="J1912" s="100" t="s">
        <v>140</v>
      </c>
      <c r="K1912" s="101">
        <v>0</v>
      </c>
      <c r="L1912" s="101">
        <v>0</v>
      </c>
      <c r="M1912" s="102">
        <v>85</v>
      </c>
      <c r="N1912" s="103">
        <v>2280</v>
      </c>
      <c r="O1912" s="171">
        <v>1</v>
      </c>
      <c r="P1912" s="103">
        <f t="shared" si="307"/>
        <v>2280</v>
      </c>
      <c r="Q1912" s="103"/>
      <c r="R1912" s="102">
        <v>2280</v>
      </c>
      <c r="S1912" s="102">
        <f t="shared" si="308"/>
        <v>0</v>
      </c>
      <c r="T1912" s="173">
        <f t="shared" si="309"/>
        <v>1016.4705882352941</v>
      </c>
      <c r="U1912" s="101">
        <f t="shared" si="310"/>
        <v>0</v>
      </c>
      <c r="V1912" s="101">
        <f t="shared" si="311"/>
        <v>0</v>
      </c>
      <c r="W1912" s="101">
        <v>0</v>
      </c>
      <c r="X1912" s="55">
        <f t="shared" si="312"/>
        <v>46153.666030092594</v>
      </c>
    </row>
    <row r="1913" spans="1:24" s="221" customFormat="1" hidden="1" x14ac:dyDescent="0.35">
      <c r="A1913" s="46">
        <f t="shared" si="313"/>
        <v>46153.666030092594</v>
      </c>
      <c r="B1913" s="46"/>
      <c r="C1913" s="46"/>
      <c r="D1913" s="46"/>
      <c r="E1913" s="47" t="s">
        <v>1964</v>
      </c>
      <c r="F1913" s="97" t="s">
        <v>2975</v>
      </c>
      <c r="G1913" s="97"/>
      <c r="H1913" s="90" t="s">
        <v>2976</v>
      </c>
      <c r="I1913" s="602" t="s">
        <v>2928</v>
      </c>
      <c r="J1913" s="51" t="s">
        <v>140</v>
      </c>
      <c r="K1913" s="91">
        <v>0</v>
      </c>
      <c r="L1913" s="91">
        <v>0</v>
      </c>
      <c r="M1913" s="92">
        <v>81</v>
      </c>
      <c r="N1913" s="93">
        <v>3300</v>
      </c>
      <c r="O1913" s="253">
        <v>1</v>
      </c>
      <c r="P1913" s="94">
        <f t="shared" si="307"/>
        <v>3300</v>
      </c>
      <c r="Q1913" s="94"/>
      <c r="R1913" s="595">
        <v>3300</v>
      </c>
      <c r="S1913" s="92">
        <f t="shared" si="308"/>
        <v>0</v>
      </c>
      <c r="T1913" s="254">
        <f t="shared" si="309"/>
        <v>1066.6666666666665</v>
      </c>
      <c r="U1913" s="91">
        <f t="shared" si="310"/>
        <v>0</v>
      </c>
      <c r="V1913" s="91">
        <f t="shared" si="311"/>
        <v>0</v>
      </c>
      <c r="W1913" s="91">
        <v>0</v>
      </c>
      <c r="X1913" s="55">
        <f t="shared" si="312"/>
        <v>46153.666030092594</v>
      </c>
    </row>
    <row r="1914" spans="1:24" s="221" customFormat="1" hidden="1" x14ac:dyDescent="0.35">
      <c r="A1914" s="46">
        <f t="shared" si="313"/>
        <v>46153.666030092594</v>
      </c>
      <c r="B1914" s="46"/>
      <c r="C1914" s="46"/>
      <c r="D1914" s="46"/>
      <c r="E1914" s="47" t="s">
        <v>1964</v>
      </c>
      <c r="F1914" s="97" t="s">
        <v>271</v>
      </c>
      <c r="G1914" s="97"/>
      <c r="H1914" s="108">
        <v>12416</v>
      </c>
      <c r="I1914" s="82" t="s">
        <v>203</v>
      </c>
      <c r="J1914" s="51" t="s">
        <v>140</v>
      </c>
      <c r="K1914" s="91">
        <v>0</v>
      </c>
      <c r="L1914" s="91">
        <v>0</v>
      </c>
      <c r="M1914" s="92">
        <v>165</v>
      </c>
      <c r="N1914" s="94">
        <v>1260</v>
      </c>
      <c r="O1914" s="253">
        <v>1</v>
      </c>
      <c r="P1914" s="94">
        <f t="shared" si="307"/>
        <v>1260</v>
      </c>
      <c r="Q1914" s="94"/>
      <c r="R1914" s="92">
        <v>1260</v>
      </c>
      <c r="S1914" s="92">
        <f t="shared" si="308"/>
        <v>0</v>
      </c>
      <c r="T1914" s="173">
        <f t="shared" si="309"/>
        <v>523.63636363636363</v>
      </c>
      <c r="U1914" s="101">
        <f t="shared" si="310"/>
        <v>0</v>
      </c>
      <c r="V1914" s="101">
        <f t="shared" si="311"/>
        <v>0</v>
      </c>
      <c r="W1914" s="101">
        <v>0</v>
      </c>
      <c r="X1914" s="55">
        <f t="shared" si="312"/>
        <v>46153.666030092594</v>
      </c>
    </row>
    <row r="1915" spans="1:24" s="221" customFormat="1" hidden="1" x14ac:dyDescent="0.35">
      <c r="A1915" s="46">
        <f t="shared" si="313"/>
        <v>46153.666030092594</v>
      </c>
      <c r="B1915" s="46"/>
      <c r="C1915" s="46"/>
      <c r="D1915" s="46"/>
      <c r="E1915" s="47" t="s">
        <v>1964</v>
      </c>
      <c r="F1915" s="97" t="s">
        <v>271</v>
      </c>
      <c r="G1915" s="97"/>
      <c r="H1915" s="90" t="s">
        <v>2977</v>
      </c>
      <c r="I1915" s="87" t="s">
        <v>208</v>
      </c>
      <c r="J1915" s="51" t="s">
        <v>140</v>
      </c>
      <c r="K1915" s="91">
        <v>0</v>
      </c>
      <c r="L1915" s="91">
        <v>0</v>
      </c>
      <c r="M1915" s="92">
        <v>165</v>
      </c>
      <c r="N1915" s="93">
        <v>1890</v>
      </c>
      <c r="O1915" s="253">
        <v>1</v>
      </c>
      <c r="P1915" s="94">
        <f t="shared" si="307"/>
        <v>1890</v>
      </c>
      <c r="Q1915" s="94"/>
      <c r="R1915" s="595">
        <v>1890</v>
      </c>
      <c r="S1915" s="92">
        <f t="shared" si="308"/>
        <v>0</v>
      </c>
      <c r="T1915" s="254">
        <f t="shared" si="309"/>
        <v>523.63636363636363</v>
      </c>
      <c r="U1915" s="91">
        <f t="shared" si="310"/>
        <v>0</v>
      </c>
      <c r="V1915" s="91">
        <f t="shared" si="311"/>
        <v>0</v>
      </c>
      <c r="W1915" s="101">
        <v>0</v>
      </c>
      <c r="X1915" s="55">
        <f t="shared" si="312"/>
        <v>46153.666030092594</v>
      </c>
    </row>
    <row r="1916" spans="1:24" s="221" customFormat="1" hidden="1" x14ac:dyDescent="0.35">
      <c r="A1916" s="46">
        <f t="shared" si="313"/>
        <v>46153.666030092594</v>
      </c>
      <c r="B1916" s="46"/>
      <c r="C1916" s="46"/>
      <c r="D1916" s="46"/>
      <c r="E1916" s="119" t="s">
        <v>1964</v>
      </c>
      <c r="F1916" s="69" t="s">
        <v>2978</v>
      </c>
      <c r="G1916" s="69"/>
      <c r="H1916" s="98" t="s">
        <v>2979</v>
      </c>
      <c r="I1916" s="316" t="s">
        <v>4263</v>
      </c>
      <c r="J1916" s="100" t="s">
        <v>140</v>
      </c>
      <c r="K1916" s="91">
        <v>0</v>
      </c>
      <c r="L1916" s="91">
        <v>0</v>
      </c>
      <c r="M1916" s="92">
        <v>65</v>
      </c>
      <c r="N1916" s="94">
        <v>5980</v>
      </c>
      <c r="O1916" s="253">
        <v>1</v>
      </c>
      <c r="P1916" s="94">
        <f t="shared" si="307"/>
        <v>5980</v>
      </c>
      <c r="Q1916" s="94"/>
      <c r="R1916" s="92">
        <v>5980</v>
      </c>
      <c r="S1916" s="92">
        <f t="shared" si="308"/>
        <v>0</v>
      </c>
      <c r="T1916" s="173">
        <f t="shared" si="309"/>
        <v>1329.2307692307693</v>
      </c>
      <c r="U1916" s="101">
        <f t="shared" si="310"/>
        <v>0</v>
      </c>
      <c r="V1916" s="101">
        <f t="shared" si="311"/>
        <v>0</v>
      </c>
      <c r="W1916" s="101">
        <v>0</v>
      </c>
      <c r="X1916" s="55">
        <f t="shared" si="312"/>
        <v>46153.666030092594</v>
      </c>
    </row>
    <row r="1917" spans="1:24" s="221" customFormat="1" hidden="1" x14ac:dyDescent="0.35">
      <c r="A1917" s="123">
        <f t="shared" si="313"/>
        <v>46153.666030092594</v>
      </c>
      <c r="B1917" s="123"/>
      <c r="C1917" s="123"/>
      <c r="D1917" s="123"/>
      <c r="E1917" s="158" t="s">
        <v>1964</v>
      </c>
      <c r="F1917" s="125" t="s">
        <v>2980</v>
      </c>
      <c r="G1917" s="125" t="s">
        <v>1620</v>
      </c>
      <c r="H1917" s="603" t="s">
        <v>2981</v>
      </c>
      <c r="I1917" s="604" t="s">
        <v>2928</v>
      </c>
      <c r="J1917" s="128" t="s">
        <v>140</v>
      </c>
      <c r="K1917" s="129">
        <v>0</v>
      </c>
      <c r="L1917" s="129">
        <v>0</v>
      </c>
      <c r="M1917" s="130">
        <v>81</v>
      </c>
      <c r="N1917" s="605">
        <v>950</v>
      </c>
      <c r="O1917" s="189">
        <v>1</v>
      </c>
      <c r="P1917" s="131">
        <f t="shared" si="307"/>
        <v>950</v>
      </c>
      <c r="Q1917" s="131"/>
      <c r="R1917" s="176">
        <v>950</v>
      </c>
      <c r="S1917" s="130">
        <f t="shared" si="308"/>
        <v>0</v>
      </c>
      <c r="T1917" s="242">
        <f t="shared" si="309"/>
        <v>1066.6666666666665</v>
      </c>
      <c r="U1917" s="129">
        <f t="shared" si="310"/>
        <v>0</v>
      </c>
      <c r="V1917" s="129">
        <f t="shared" si="311"/>
        <v>0</v>
      </c>
      <c r="W1917" s="129">
        <v>0</v>
      </c>
      <c r="X1917" s="137">
        <f t="shared" si="312"/>
        <v>46153.666030092594</v>
      </c>
    </row>
    <row r="1918" spans="1:24" s="221" customFormat="1" hidden="1" x14ac:dyDescent="0.35">
      <c r="A1918" s="123">
        <f t="shared" si="313"/>
        <v>46153.666030092594</v>
      </c>
      <c r="B1918" s="123"/>
      <c r="C1918" s="123"/>
      <c r="D1918" s="123"/>
      <c r="E1918" s="158" t="s">
        <v>1964</v>
      </c>
      <c r="F1918" s="125" t="s">
        <v>2980</v>
      </c>
      <c r="G1918" s="125" t="s">
        <v>1620</v>
      </c>
      <c r="H1918" s="603" t="s">
        <v>2982</v>
      </c>
      <c r="I1918" s="604" t="s">
        <v>2928</v>
      </c>
      <c r="J1918" s="128" t="s">
        <v>140</v>
      </c>
      <c r="K1918" s="129">
        <v>0</v>
      </c>
      <c r="L1918" s="129">
        <v>0</v>
      </c>
      <c r="M1918" s="130">
        <v>81</v>
      </c>
      <c r="N1918" s="605">
        <v>1000</v>
      </c>
      <c r="O1918" s="189">
        <v>1</v>
      </c>
      <c r="P1918" s="131">
        <f t="shared" ref="P1918:P1919" si="314">N1918/O1918</f>
        <v>1000</v>
      </c>
      <c r="Q1918" s="131"/>
      <c r="R1918" s="176">
        <v>1000</v>
      </c>
      <c r="S1918" s="130">
        <f t="shared" si="308"/>
        <v>0</v>
      </c>
      <c r="T1918" s="242">
        <f t="shared" si="309"/>
        <v>1066.6666666666665</v>
      </c>
      <c r="U1918" s="129">
        <f t="shared" si="310"/>
        <v>0</v>
      </c>
      <c r="V1918" s="129">
        <f t="shared" si="311"/>
        <v>0</v>
      </c>
      <c r="W1918" s="129">
        <v>0</v>
      </c>
      <c r="X1918" s="137">
        <f t="shared" si="312"/>
        <v>46153.666030092594</v>
      </c>
    </row>
    <row r="1919" spans="1:24" s="221" customFormat="1" hidden="1" x14ac:dyDescent="0.35">
      <c r="A1919" s="123">
        <f t="shared" si="313"/>
        <v>46153.666030092594</v>
      </c>
      <c r="B1919" s="123"/>
      <c r="C1919" s="123"/>
      <c r="D1919" s="123"/>
      <c r="E1919" s="158" t="s">
        <v>1964</v>
      </c>
      <c r="F1919" s="125" t="s">
        <v>2983</v>
      </c>
      <c r="G1919" s="125" t="s">
        <v>327</v>
      </c>
      <c r="H1919" s="603" t="s">
        <v>2984</v>
      </c>
      <c r="I1919" s="604" t="s">
        <v>2928</v>
      </c>
      <c r="J1919" s="128" t="s">
        <v>140</v>
      </c>
      <c r="K1919" s="129">
        <v>0</v>
      </c>
      <c r="L1919" s="129">
        <v>0</v>
      </c>
      <c r="M1919" s="130">
        <v>81</v>
      </c>
      <c r="N1919" s="605">
        <v>3000</v>
      </c>
      <c r="O1919" s="189">
        <v>1</v>
      </c>
      <c r="P1919" s="131">
        <f t="shared" si="314"/>
        <v>3000</v>
      </c>
      <c r="Q1919" s="131"/>
      <c r="R1919" s="176">
        <v>3000</v>
      </c>
      <c r="S1919" s="130">
        <f t="shared" si="308"/>
        <v>0</v>
      </c>
      <c r="T1919" s="242">
        <f t="shared" si="309"/>
        <v>1066.6666666666665</v>
      </c>
      <c r="U1919" s="129">
        <f t="shared" si="310"/>
        <v>0</v>
      </c>
      <c r="V1919" s="129">
        <f t="shared" si="311"/>
        <v>0</v>
      </c>
      <c r="W1919" s="129">
        <v>0</v>
      </c>
      <c r="X1919" s="137">
        <f t="shared" si="312"/>
        <v>46153.666030092594</v>
      </c>
    </row>
    <row r="1920" spans="1:24" s="118" customFormat="1" ht="26.5" hidden="1" x14ac:dyDescent="0.35">
      <c r="A1920" s="123">
        <f t="shared" si="313"/>
        <v>46153.666030092594</v>
      </c>
      <c r="B1920" s="123"/>
      <c r="C1920" s="123"/>
      <c r="D1920" s="123"/>
      <c r="E1920" s="158" t="s">
        <v>1964</v>
      </c>
      <c r="F1920" s="187" t="s">
        <v>2985</v>
      </c>
      <c r="G1920" s="187" t="s">
        <v>327</v>
      </c>
      <c r="H1920" s="126" t="s">
        <v>2986</v>
      </c>
      <c r="I1920" s="187" t="s">
        <v>4264</v>
      </c>
      <c r="J1920" s="128" t="s">
        <v>140</v>
      </c>
      <c r="K1920" s="129">
        <v>0</v>
      </c>
      <c r="L1920" s="129">
        <v>0</v>
      </c>
      <c r="M1920" s="130">
        <v>50</v>
      </c>
      <c r="N1920" s="131">
        <v>12792</v>
      </c>
      <c r="O1920" s="130">
        <v>1</v>
      </c>
      <c r="P1920" s="131">
        <v>12792</v>
      </c>
      <c r="Q1920" s="131"/>
      <c r="R1920" s="176">
        <v>12792</v>
      </c>
      <c r="S1920" s="130">
        <f t="shared" si="308"/>
        <v>0</v>
      </c>
      <c r="T1920" s="130">
        <f>((3600/M1332)*O1332)*24</f>
        <v>1289.5522388059703</v>
      </c>
      <c r="U1920" s="129">
        <f t="shared" si="310"/>
        <v>0</v>
      </c>
      <c r="V1920" s="129">
        <f t="shared" si="311"/>
        <v>0</v>
      </c>
      <c r="W1920" s="129">
        <v>0</v>
      </c>
      <c r="X1920" s="137">
        <f t="shared" si="312"/>
        <v>46153.666030092594</v>
      </c>
    </row>
    <row r="1921" spans="1:24" hidden="1" x14ac:dyDescent="0.35">
      <c r="A1921" s="123">
        <f t="shared" si="313"/>
        <v>46153.666030092594</v>
      </c>
      <c r="B1921" s="123"/>
      <c r="C1921" s="123"/>
      <c r="D1921" s="123"/>
      <c r="E1921" s="158" t="s">
        <v>1964</v>
      </c>
      <c r="F1921" s="187" t="s">
        <v>2987</v>
      </c>
      <c r="G1921" s="187" t="s">
        <v>327</v>
      </c>
      <c r="H1921" s="126" t="s">
        <v>2988</v>
      </c>
      <c r="I1921" s="187" t="s">
        <v>4207</v>
      </c>
      <c r="J1921" s="128" t="s">
        <v>140</v>
      </c>
      <c r="K1921" s="129">
        <v>0</v>
      </c>
      <c r="L1921" s="129">
        <v>0</v>
      </c>
      <c r="M1921" s="130">
        <v>50</v>
      </c>
      <c r="N1921" s="131">
        <v>2000</v>
      </c>
      <c r="O1921" s="189">
        <v>1</v>
      </c>
      <c r="P1921" s="131">
        <f t="shared" ref="P1921:P1935" si="315">N1921/O1921</f>
        <v>2000</v>
      </c>
      <c r="Q1921" s="131"/>
      <c r="R1921" s="130">
        <v>2000</v>
      </c>
      <c r="S1921" s="130">
        <f t="shared" si="308"/>
        <v>0</v>
      </c>
      <c r="T1921" s="242">
        <f t="shared" ref="T1921:T1926" si="316">((3600/M1921)*O1921)*24</f>
        <v>1728</v>
      </c>
      <c r="U1921" s="129">
        <f t="shared" si="310"/>
        <v>0</v>
      </c>
      <c r="V1921" s="129">
        <f t="shared" si="311"/>
        <v>0</v>
      </c>
      <c r="W1921" s="129">
        <v>0</v>
      </c>
      <c r="X1921" s="137">
        <f t="shared" si="312"/>
        <v>46153.666030092594</v>
      </c>
    </row>
    <row r="1922" spans="1:24" hidden="1" x14ac:dyDescent="0.35">
      <c r="A1922" s="123">
        <f t="shared" si="313"/>
        <v>46153.666030092594</v>
      </c>
      <c r="B1922" s="123"/>
      <c r="C1922" s="123"/>
      <c r="D1922" s="123"/>
      <c r="E1922" s="158" t="s">
        <v>1964</v>
      </c>
      <c r="F1922" s="160" t="s">
        <v>2989</v>
      </c>
      <c r="G1922" s="160" t="s">
        <v>792</v>
      </c>
      <c r="H1922" s="126" t="s">
        <v>2990</v>
      </c>
      <c r="I1922" s="501" t="s">
        <v>2918</v>
      </c>
      <c r="J1922" s="175" t="s">
        <v>140</v>
      </c>
      <c r="K1922" s="129">
        <v>0</v>
      </c>
      <c r="L1922" s="129">
        <v>0</v>
      </c>
      <c r="M1922" s="130">
        <v>65</v>
      </c>
      <c r="N1922" s="131">
        <v>1356</v>
      </c>
      <c r="O1922" s="189">
        <v>1</v>
      </c>
      <c r="P1922" s="131">
        <f t="shared" si="315"/>
        <v>1356</v>
      </c>
      <c r="Q1922" s="131"/>
      <c r="R1922" s="130">
        <v>1356</v>
      </c>
      <c r="S1922" s="130">
        <f t="shared" si="308"/>
        <v>0</v>
      </c>
      <c r="T1922" s="168">
        <f t="shared" si="316"/>
        <v>1329.2307692307693</v>
      </c>
      <c r="U1922" s="163">
        <f t="shared" si="310"/>
        <v>0</v>
      </c>
      <c r="V1922" s="163">
        <f t="shared" si="311"/>
        <v>0</v>
      </c>
      <c r="W1922" s="163">
        <v>0</v>
      </c>
      <c r="X1922" s="137">
        <f t="shared" si="312"/>
        <v>46153.666030092594</v>
      </c>
    </row>
    <row r="1923" spans="1:24" s="487" customFormat="1" hidden="1" x14ac:dyDescent="0.35">
      <c r="A1923" s="123">
        <f t="shared" si="313"/>
        <v>46153.666030092594</v>
      </c>
      <c r="B1923" s="123"/>
      <c r="C1923" s="123"/>
      <c r="D1923" s="123"/>
      <c r="E1923" s="158" t="s">
        <v>1964</v>
      </c>
      <c r="F1923" s="125" t="s">
        <v>2991</v>
      </c>
      <c r="G1923" s="125" t="s">
        <v>792</v>
      </c>
      <c r="H1923" s="603" t="s">
        <v>2992</v>
      </c>
      <c r="I1923" s="604" t="s">
        <v>2928</v>
      </c>
      <c r="J1923" s="128" t="s">
        <v>140</v>
      </c>
      <c r="K1923" s="129">
        <v>0</v>
      </c>
      <c r="L1923" s="129">
        <v>0</v>
      </c>
      <c r="M1923" s="130">
        <v>81</v>
      </c>
      <c r="N1923" s="605">
        <v>3100</v>
      </c>
      <c r="O1923" s="189">
        <v>1</v>
      </c>
      <c r="P1923" s="131">
        <f t="shared" si="315"/>
        <v>3100</v>
      </c>
      <c r="Q1923" s="131"/>
      <c r="R1923" s="176">
        <v>3100</v>
      </c>
      <c r="S1923" s="130">
        <f t="shared" si="308"/>
        <v>0</v>
      </c>
      <c r="T1923" s="242">
        <f t="shared" si="316"/>
        <v>1066.6666666666665</v>
      </c>
      <c r="U1923" s="129">
        <f t="shared" si="310"/>
        <v>0</v>
      </c>
      <c r="V1923" s="129">
        <f t="shared" si="311"/>
        <v>0</v>
      </c>
      <c r="W1923" s="129">
        <v>0</v>
      </c>
      <c r="X1923" s="137">
        <f t="shared" si="312"/>
        <v>46153.666030092594</v>
      </c>
    </row>
    <row r="1924" spans="1:24" ht="26.5" hidden="1" x14ac:dyDescent="0.35">
      <c r="A1924" s="161">
        <f t="shared" si="313"/>
        <v>46153.666030092594</v>
      </c>
      <c r="B1924" s="161"/>
      <c r="C1924" s="161"/>
      <c r="D1924" s="161"/>
      <c r="E1924" s="158" t="s">
        <v>1964</v>
      </c>
      <c r="F1924" s="125" t="s">
        <v>823</v>
      </c>
      <c r="G1924" s="125" t="s">
        <v>359</v>
      </c>
      <c r="H1924" s="126" t="s">
        <v>2993</v>
      </c>
      <c r="I1924" s="175" t="s">
        <v>4213</v>
      </c>
      <c r="J1924" s="175" t="s">
        <v>826</v>
      </c>
      <c r="K1924" s="163">
        <v>0</v>
      </c>
      <c r="L1924" s="163">
        <v>0</v>
      </c>
      <c r="M1924" s="164">
        <v>50</v>
      </c>
      <c r="N1924" s="165">
        <v>4400</v>
      </c>
      <c r="O1924" s="166">
        <v>1</v>
      </c>
      <c r="P1924" s="165">
        <f t="shared" si="315"/>
        <v>4400</v>
      </c>
      <c r="Q1924" s="165"/>
      <c r="R1924" s="164">
        <v>4400</v>
      </c>
      <c r="S1924" s="164">
        <f t="shared" si="308"/>
        <v>0</v>
      </c>
      <c r="T1924" s="168">
        <f t="shared" si="316"/>
        <v>1728</v>
      </c>
      <c r="U1924" s="163">
        <f t="shared" si="310"/>
        <v>0</v>
      </c>
      <c r="V1924" s="163">
        <f t="shared" si="311"/>
        <v>0</v>
      </c>
      <c r="W1924" s="163">
        <v>0</v>
      </c>
      <c r="X1924" s="169">
        <f t="shared" si="312"/>
        <v>46153.666030092594</v>
      </c>
    </row>
    <row r="1925" spans="1:24" ht="26.5" hidden="1" x14ac:dyDescent="0.35">
      <c r="A1925" s="123">
        <f t="shared" si="313"/>
        <v>46153.666030092594</v>
      </c>
      <c r="B1925" s="123"/>
      <c r="C1925" s="123"/>
      <c r="D1925" s="123"/>
      <c r="E1925" s="124" t="s">
        <v>1964</v>
      </c>
      <c r="F1925" s="606" t="s">
        <v>2994</v>
      </c>
      <c r="G1925" s="606" t="s">
        <v>359</v>
      </c>
      <c r="H1925" s="262" t="s">
        <v>2995</v>
      </c>
      <c r="I1925" s="187" t="s">
        <v>4264</v>
      </c>
      <c r="J1925" s="175" t="s">
        <v>826</v>
      </c>
      <c r="K1925" s="586">
        <v>0</v>
      </c>
      <c r="L1925" s="586">
        <v>0</v>
      </c>
      <c r="M1925" s="263">
        <v>55</v>
      </c>
      <c r="N1925" s="607">
        <v>12792</v>
      </c>
      <c r="O1925" s="608">
        <v>1</v>
      </c>
      <c r="P1925" s="165">
        <f t="shared" si="315"/>
        <v>12792</v>
      </c>
      <c r="Q1925" s="165"/>
      <c r="R1925" s="130">
        <v>12792</v>
      </c>
      <c r="S1925" s="263">
        <f t="shared" si="308"/>
        <v>0</v>
      </c>
      <c r="T1925" s="609">
        <f t="shared" si="316"/>
        <v>1570.909090909091</v>
      </c>
      <c r="U1925" s="586">
        <f t="shared" si="310"/>
        <v>0</v>
      </c>
      <c r="V1925" s="586">
        <f t="shared" si="311"/>
        <v>0</v>
      </c>
      <c r="W1925" s="586">
        <v>0</v>
      </c>
      <c r="X1925" s="169">
        <f t="shared" si="312"/>
        <v>46153.666030092594</v>
      </c>
    </row>
    <row r="1926" spans="1:24" s="118" customFormat="1" hidden="1" x14ac:dyDescent="0.35">
      <c r="A1926" s="123">
        <f t="shared" si="313"/>
        <v>46153.666030092594</v>
      </c>
      <c r="B1926" s="123"/>
      <c r="C1926" s="123"/>
      <c r="D1926" s="123"/>
      <c r="E1926" s="124" t="s">
        <v>1964</v>
      </c>
      <c r="F1926" s="584" t="s">
        <v>2971</v>
      </c>
      <c r="G1926" s="584" t="s">
        <v>830</v>
      </c>
      <c r="H1926" s="610" t="s">
        <v>2996</v>
      </c>
      <c r="I1926" s="611" t="s">
        <v>2897</v>
      </c>
      <c r="J1926" s="128" t="s">
        <v>140</v>
      </c>
      <c r="K1926" s="586">
        <v>0</v>
      </c>
      <c r="L1926" s="586">
        <v>0</v>
      </c>
      <c r="M1926" s="263">
        <v>80</v>
      </c>
      <c r="N1926" s="607">
        <v>360</v>
      </c>
      <c r="O1926" s="608">
        <v>1</v>
      </c>
      <c r="P1926" s="607">
        <f t="shared" si="315"/>
        <v>360</v>
      </c>
      <c r="Q1926" s="607"/>
      <c r="R1926" s="130">
        <v>360</v>
      </c>
      <c r="S1926" s="263">
        <f t="shared" si="308"/>
        <v>0</v>
      </c>
      <c r="T1926" s="587">
        <f t="shared" si="316"/>
        <v>1080</v>
      </c>
      <c r="U1926" s="570">
        <f t="shared" si="310"/>
        <v>0</v>
      </c>
      <c r="V1926" s="570">
        <f t="shared" si="311"/>
        <v>0</v>
      </c>
      <c r="W1926" s="570">
        <v>0</v>
      </c>
      <c r="X1926" s="137">
        <f t="shared" si="312"/>
        <v>46153.666030092594</v>
      </c>
    </row>
    <row r="1927" spans="1:24" s="612" customFormat="1" ht="13" hidden="1" x14ac:dyDescent="0.3">
      <c r="A1927" s="46">
        <f t="shared" si="313"/>
        <v>46153.666030092594</v>
      </c>
      <c r="B1927" s="71">
        <v>46084</v>
      </c>
      <c r="C1927" s="260">
        <f t="shared" ref="C1927:C1935" si="317">B1927-A1927</f>
        <v>-69.666030092594156</v>
      </c>
      <c r="D1927" s="180"/>
      <c r="E1927" s="47" t="s">
        <v>1964</v>
      </c>
      <c r="F1927" s="82" t="s">
        <v>2997</v>
      </c>
      <c r="G1927" s="82" t="s">
        <v>839</v>
      </c>
      <c r="H1927" s="107" t="s">
        <v>2998</v>
      </c>
      <c r="I1927" s="390" t="s">
        <v>2999</v>
      </c>
      <c r="J1927" s="100" t="s">
        <v>140</v>
      </c>
      <c r="K1927" s="91">
        <v>0</v>
      </c>
      <c r="L1927" s="91">
        <v>0</v>
      </c>
      <c r="M1927" s="92">
        <v>100</v>
      </c>
      <c r="N1927" s="94">
        <v>32400</v>
      </c>
      <c r="O1927" s="253">
        <v>1</v>
      </c>
      <c r="P1927" s="94">
        <f t="shared" si="315"/>
        <v>32400</v>
      </c>
      <c r="Q1927" s="181">
        <v>0.8</v>
      </c>
      <c r="R1927" s="92">
        <v>32400</v>
      </c>
      <c r="S1927" s="102">
        <f t="shared" si="308"/>
        <v>0</v>
      </c>
      <c r="T1927" s="173">
        <f>((3600/M1927)*O1927)*24*Q1927</f>
        <v>691.2</v>
      </c>
      <c r="U1927" s="101">
        <f t="shared" ref="U1927:U1935" si="318">(P1927-R1927)*M1927/3600/Q1927</f>
        <v>0</v>
      </c>
      <c r="V1927" s="101">
        <f t="shared" ref="V1927:V1935" si="319">U1927/24</f>
        <v>0</v>
      </c>
      <c r="W1927" s="101">
        <v>0</v>
      </c>
      <c r="X1927" s="55">
        <f t="shared" si="312"/>
        <v>46153.666030092594</v>
      </c>
    </row>
    <row r="1928" spans="1:24" s="266" customFormat="1" ht="13" hidden="1" x14ac:dyDescent="0.3">
      <c r="A1928" s="123">
        <f t="shared" si="313"/>
        <v>46153.666030092594</v>
      </c>
      <c r="B1928" s="161">
        <v>46084</v>
      </c>
      <c r="C1928" s="190">
        <f t="shared" si="317"/>
        <v>-69.666030092594156</v>
      </c>
      <c r="D1928" s="183"/>
      <c r="E1928" s="124" t="s">
        <v>1964</v>
      </c>
      <c r="F1928" s="159" t="s">
        <v>2997</v>
      </c>
      <c r="G1928" s="159" t="s">
        <v>839</v>
      </c>
      <c r="H1928" s="188" t="s">
        <v>2998</v>
      </c>
      <c r="I1928" s="611" t="s">
        <v>2999</v>
      </c>
      <c r="J1928" s="175" t="s">
        <v>140</v>
      </c>
      <c r="K1928" s="129">
        <v>0</v>
      </c>
      <c r="L1928" s="129">
        <v>0</v>
      </c>
      <c r="M1928" s="130">
        <v>100</v>
      </c>
      <c r="N1928" s="131">
        <v>1800</v>
      </c>
      <c r="O1928" s="189">
        <v>1</v>
      </c>
      <c r="P1928" s="131">
        <f t="shared" si="315"/>
        <v>1800</v>
      </c>
      <c r="Q1928" s="185">
        <v>0.8</v>
      </c>
      <c r="R1928" s="130">
        <v>1800</v>
      </c>
      <c r="S1928" s="164">
        <f t="shared" si="308"/>
        <v>0</v>
      </c>
      <c r="T1928" s="168">
        <f>((3600/M1928)*O1928)*24*Q1928</f>
        <v>691.2</v>
      </c>
      <c r="U1928" s="163">
        <f t="shared" si="318"/>
        <v>0</v>
      </c>
      <c r="V1928" s="163">
        <f t="shared" si="319"/>
        <v>0</v>
      </c>
      <c r="W1928" s="163">
        <v>0</v>
      </c>
      <c r="X1928" s="137">
        <f t="shared" si="312"/>
        <v>46153.666030092594</v>
      </c>
    </row>
    <row r="1929" spans="1:24" s="186" customFormat="1" hidden="1" x14ac:dyDescent="0.35">
      <c r="A1929" s="123">
        <f t="shared" si="313"/>
        <v>46153.666030092594</v>
      </c>
      <c r="B1929" s="123">
        <v>46108.46533564815</v>
      </c>
      <c r="C1929" s="190">
        <f t="shared" si="317"/>
        <v>-45.200694444443798</v>
      </c>
      <c r="D1929" s="190"/>
      <c r="E1929" s="124" t="s">
        <v>1964</v>
      </c>
      <c r="F1929" s="184" t="s">
        <v>3000</v>
      </c>
      <c r="G1929" s="184" t="s">
        <v>398</v>
      </c>
      <c r="H1929" s="467">
        <v>13704</v>
      </c>
      <c r="I1929" s="159" t="s">
        <v>208</v>
      </c>
      <c r="J1929" s="128" t="s">
        <v>140</v>
      </c>
      <c r="K1929" s="129">
        <v>0</v>
      </c>
      <c r="L1929" s="129">
        <v>0</v>
      </c>
      <c r="M1929" s="130">
        <v>120</v>
      </c>
      <c r="N1929" s="131">
        <f>4450-2770</f>
        <v>1680</v>
      </c>
      <c r="O1929" s="189">
        <v>1</v>
      </c>
      <c r="P1929" s="131">
        <f t="shared" si="315"/>
        <v>1680</v>
      </c>
      <c r="Q1929" s="185">
        <v>0.8</v>
      </c>
      <c r="R1929" s="176">
        <v>1680</v>
      </c>
      <c r="S1929" s="164">
        <f t="shared" si="308"/>
        <v>0</v>
      </c>
      <c r="T1929" s="168">
        <f>((3600/M1929)*O1929)*21*Q1929</f>
        <v>504</v>
      </c>
      <c r="U1929" s="163">
        <f t="shared" si="318"/>
        <v>0</v>
      </c>
      <c r="V1929" s="163">
        <f t="shared" si="319"/>
        <v>0</v>
      </c>
      <c r="W1929" s="163">
        <v>0</v>
      </c>
      <c r="X1929" s="137">
        <f t="shared" si="312"/>
        <v>46153.666030092594</v>
      </c>
    </row>
    <row r="1930" spans="1:24" s="613" customFormat="1" hidden="1" x14ac:dyDescent="0.35">
      <c r="A1930" s="123">
        <f t="shared" si="313"/>
        <v>46153.666030092594</v>
      </c>
      <c r="B1930" s="123">
        <v>46131.097337962965</v>
      </c>
      <c r="C1930" s="190">
        <f t="shared" si="317"/>
        <v>-22.568692129629198</v>
      </c>
      <c r="D1930" s="183"/>
      <c r="E1930" s="124" t="s">
        <v>1964</v>
      </c>
      <c r="F1930" s="184" t="s">
        <v>3001</v>
      </c>
      <c r="G1930" s="184" t="s">
        <v>398</v>
      </c>
      <c r="H1930" s="467">
        <v>13503</v>
      </c>
      <c r="I1930" s="159" t="s">
        <v>203</v>
      </c>
      <c r="J1930" s="128" t="s">
        <v>140</v>
      </c>
      <c r="K1930" s="129">
        <v>0</v>
      </c>
      <c r="L1930" s="129">
        <v>0</v>
      </c>
      <c r="M1930" s="130">
        <v>120</v>
      </c>
      <c r="N1930" s="131">
        <f>1260+210+210</f>
        <v>1680</v>
      </c>
      <c r="O1930" s="130">
        <v>1</v>
      </c>
      <c r="P1930" s="131">
        <f t="shared" si="315"/>
        <v>1680</v>
      </c>
      <c r="Q1930" s="185">
        <v>0.8</v>
      </c>
      <c r="R1930" s="176">
        <v>1680</v>
      </c>
      <c r="S1930" s="164">
        <f t="shared" si="308"/>
        <v>0</v>
      </c>
      <c r="T1930" s="168">
        <f t="shared" ref="T1930:T1935" si="320">((3600/M1930)*O1930)*24*Q1930</f>
        <v>576</v>
      </c>
      <c r="U1930" s="163">
        <f t="shared" si="318"/>
        <v>0</v>
      </c>
      <c r="V1930" s="163">
        <f t="shared" si="319"/>
        <v>0</v>
      </c>
      <c r="W1930" s="163">
        <v>0</v>
      </c>
      <c r="X1930" s="137">
        <f t="shared" si="312"/>
        <v>46153.666030092594</v>
      </c>
    </row>
    <row r="1931" spans="1:24" s="613" customFormat="1" hidden="1" x14ac:dyDescent="0.35">
      <c r="A1931" s="123">
        <f t="shared" si="313"/>
        <v>46153.666030092594</v>
      </c>
      <c r="B1931" s="123">
        <v>46131.097337962965</v>
      </c>
      <c r="C1931" s="190">
        <f t="shared" si="317"/>
        <v>-22.568692129629198</v>
      </c>
      <c r="D1931" s="183"/>
      <c r="E1931" s="124" t="s">
        <v>1964</v>
      </c>
      <c r="F1931" s="184" t="s">
        <v>3001</v>
      </c>
      <c r="G1931" s="184" t="s">
        <v>398</v>
      </c>
      <c r="H1931" s="467">
        <v>13958</v>
      </c>
      <c r="I1931" s="159" t="s">
        <v>203</v>
      </c>
      <c r="J1931" s="128" t="s">
        <v>140</v>
      </c>
      <c r="K1931" s="129">
        <v>0</v>
      </c>
      <c r="L1931" s="129">
        <v>0</v>
      </c>
      <c r="M1931" s="130">
        <v>120</v>
      </c>
      <c r="N1931" s="131">
        <f>1260</f>
        <v>1260</v>
      </c>
      <c r="O1931" s="130">
        <v>1</v>
      </c>
      <c r="P1931" s="131">
        <f t="shared" si="315"/>
        <v>1260</v>
      </c>
      <c r="Q1931" s="185">
        <v>0.8</v>
      </c>
      <c r="R1931" s="176">
        <v>1260</v>
      </c>
      <c r="S1931" s="164">
        <f t="shared" si="308"/>
        <v>0</v>
      </c>
      <c r="T1931" s="168">
        <f t="shared" si="320"/>
        <v>576</v>
      </c>
      <c r="U1931" s="163">
        <f t="shared" si="318"/>
        <v>0</v>
      </c>
      <c r="V1931" s="163">
        <f t="shared" si="319"/>
        <v>0</v>
      </c>
      <c r="W1931" s="163">
        <v>0</v>
      </c>
      <c r="X1931" s="137">
        <f t="shared" si="312"/>
        <v>46153.666030092594</v>
      </c>
    </row>
    <row r="1932" spans="1:24" s="613" customFormat="1" hidden="1" x14ac:dyDescent="0.35">
      <c r="A1932" s="123">
        <f t="shared" si="313"/>
        <v>46153.666030092594</v>
      </c>
      <c r="B1932" s="123">
        <v>46126.097337962965</v>
      </c>
      <c r="C1932" s="183">
        <f t="shared" si="317"/>
        <v>-27.568692129629198</v>
      </c>
      <c r="D1932" s="183"/>
      <c r="E1932" s="124" t="s">
        <v>1964</v>
      </c>
      <c r="F1932" s="184" t="s">
        <v>3001</v>
      </c>
      <c r="G1932" s="184" t="s">
        <v>398</v>
      </c>
      <c r="H1932" s="467">
        <v>13705</v>
      </c>
      <c r="I1932" s="614" t="s">
        <v>205</v>
      </c>
      <c r="J1932" s="128" t="s">
        <v>140</v>
      </c>
      <c r="K1932" s="129">
        <v>0</v>
      </c>
      <c r="L1932" s="129">
        <v>0</v>
      </c>
      <c r="M1932" s="130">
        <v>120</v>
      </c>
      <c r="N1932" s="605">
        <v>1050</v>
      </c>
      <c r="O1932" s="189">
        <v>1</v>
      </c>
      <c r="P1932" s="131">
        <f t="shared" si="315"/>
        <v>1050</v>
      </c>
      <c r="Q1932" s="185">
        <v>0.8</v>
      </c>
      <c r="R1932" s="176">
        <v>1050</v>
      </c>
      <c r="S1932" s="164">
        <f t="shared" si="308"/>
        <v>0</v>
      </c>
      <c r="T1932" s="168">
        <f t="shared" si="320"/>
        <v>576</v>
      </c>
      <c r="U1932" s="163">
        <f t="shared" si="318"/>
        <v>0</v>
      </c>
      <c r="V1932" s="163">
        <f t="shared" si="319"/>
        <v>0</v>
      </c>
      <c r="W1932" s="163">
        <v>0</v>
      </c>
      <c r="X1932" s="137">
        <f t="shared" si="312"/>
        <v>46153.666030092594</v>
      </c>
    </row>
    <row r="1933" spans="1:24" s="613" customFormat="1" hidden="1" x14ac:dyDescent="0.35">
      <c r="A1933" s="123">
        <f t="shared" si="313"/>
        <v>46153.666030092594</v>
      </c>
      <c r="B1933" s="123">
        <v>46127.946296296293</v>
      </c>
      <c r="C1933" s="183">
        <f t="shared" si="317"/>
        <v>-25.719733796300716</v>
      </c>
      <c r="D1933" s="183"/>
      <c r="E1933" s="124" t="s">
        <v>1964</v>
      </c>
      <c r="F1933" s="184" t="s">
        <v>3001</v>
      </c>
      <c r="G1933" s="184" t="s">
        <v>398</v>
      </c>
      <c r="H1933" s="467">
        <v>13502</v>
      </c>
      <c r="I1933" s="614" t="s">
        <v>205</v>
      </c>
      <c r="J1933" s="128" t="s">
        <v>140</v>
      </c>
      <c r="K1933" s="129">
        <v>0</v>
      </c>
      <c r="L1933" s="129">
        <v>0</v>
      </c>
      <c r="M1933" s="130">
        <v>120</v>
      </c>
      <c r="N1933" s="605">
        <f>210*6</f>
        <v>1260</v>
      </c>
      <c r="O1933" s="189">
        <v>1</v>
      </c>
      <c r="P1933" s="131">
        <f t="shared" si="315"/>
        <v>1260</v>
      </c>
      <c r="Q1933" s="185">
        <v>0.8</v>
      </c>
      <c r="R1933" s="176">
        <v>1260</v>
      </c>
      <c r="S1933" s="164">
        <f t="shared" si="308"/>
        <v>0</v>
      </c>
      <c r="T1933" s="168">
        <f t="shared" si="320"/>
        <v>576</v>
      </c>
      <c r="U1933" s="163">
        <f t="shared" si="318"/>
        <v>0</v>
      </c>
      <c r="V1933" s="163">
        <f t="shared" si="319"/>
        <v>0</v>
      </c>
      <c r="W1933" s="163">
        <v>0</v>
      </c>
      <c r="X1933" s="137">
        <f t="shared" si="312"/>
        <v>46153.666030092594</v>
      </c>
    </row>
    <row r="1934" spans="1:24" s="613" customFormat="1" hidden="1" x14ac:dyDescent="0.35">
      <c r="A1934" s="123">
        <f t="shared" si="313"/>
        <v>46153.666030092594</v>
      </c>
      <c r="B1934" s="161">
        <v>46130</v>
      </c>
      <c r="C1934" s="183">
        <f t="shared" si="317"/>
        <v>-23.666030092594156</v>
      </c>
      <c r="D1934" s="190"/>
      <c r="E1934" s="124" t="s">
        <v>1964</v>
      </c>
      <c r="F1934" s="184" t="s">
        <v>3001</v>
      </c>
      <c r="G1934" s="184" t="s">
        <v>411</v>
      </c>
      <c r="H1934" s="467">
        <v>13500</v>
      </c>
      <c r="I1934" s="159" t="s">
        <v>212</v>
      </c>
      <c r="J1934" s="128" t="s">
        <v>140</v>
      </c>
      <c r="K1934" s="129">
        <v>0</v>
      </c>
      <c r="L1934" s="129">
        <v>0</v>
      </c>
      <c r="M1934" s="130">
        <v>120</v>
      </c>
      <c r="N1934" s="131">
        <f>630+210</f>
        <v>840</v>
      </c>
      <c r="O1934" s="189">
        <v>1</v>
      </c>
      <c r="P1934" s="131">
        <f t="shared" si="315"/>
        <v>840</v>
      </c>
      <c r="Q1934" s="185">
        <v>0.8</v>
      </c>
      <c r="R1934" s="176">
        <v>840</v>
      </c>
      <c r="S1934" s="164">
        <f t="shared" si="308"/>
        <v>0</v>
      </c>
      <c r="T1934" s="168">
        <f t="shared" si="320"/>
        <v>576</v>
      </c>
      <c r="U1934" s="163">
        <f t="shared" si="318"/>
        <v>0</v>
      </c>
      <c r="V1934" s="163">
        <f t="shared" si="319"/>
        <v>0</v>
      </c>
      <c r="W1934" s="163">
        <v>0</v>
      </c>
      <c r="X1934" s="137">
        <f t="shared" si="312"/>
        <v>46153.666030092594</v>
      </c>
    </row>
    <row r="1935" spans="1:24" s="613" customFormat="1" hidden="1" x14ac:dyDescent="0.35">
      <c r="A1935" s="123">
        <f t="shared" si="313"/>
        <v>46153.666030092594</v>
      </c>
      <c r="B1935" s="161">
        <v>46131</v>
      </c>
      <c r="C1935" s="183">
        <f t="shared" si="317"/>
        <v>-22.666030092594156</v>
      </c>
      <c r="D1935" s="190"/>
      <c r="E1935" s="124" t="s">
        <v>1964</v>
      </c>
      <c r="F1935" s="184" t="s">
        <v>3001</v>
      </c>
      <c r="G1935" s="184" t="s">
        <v>411</v>
      </c>
      <c r="H1935" s="467">
        <v>13977</v>
      </c>
      <c r="I1935" s="159" t="s">
        <v>214</v>
      </c>
      <c r="J1935" s="128" t="s">
        <v>140</v>
      </c>
      <c r="K1935" s="129">
        <v>0</v>
      </c>
      <c r="L1935" s="129">
        <v>0</v>
      </c>
      <c r="M1935" s="130">
        <v>120</v>
      </c>
      <c r="N1935" s="131">
        <v>630</v>
      </c>
      <c r="O1935" s="189">
        <v>1</v>
      </c>
      <c r="P1935" s="131">
        <f t="shared" si="315"/>
        <v>630</v>
      </c>
      <c r="Q1935" s="185">
        <v>0.8</v>
      </c>
      <c r="R1935" s="176">
        <v>630</v>
      </c>
      <c r="S1935" s="164">
        <f t="shared" si="308"/>
        <v>0</v>
      </c>
      <c r="T1935" s="168">
        <f t="shared" si="320"/>
        <v>576</v>
      </c>
      <c r="U1935" s="163">
        <f t="shared" si="318"/>
        <v>0</v>
      </c>
      <c r="V1935" s="163">
        <f t="shared" si="319"/>
        <v>0</v>
      </c>
      <c r="W1935" s="163">
        <v>0</v>
      </c>
      <c r="X1935" s="137">
        <f t="shared" si="312"/>
        <v>46153.666030092594</v>
      </c>
    </row>
    <row r="1936" spans="1:24" s="202" customFormat="1" ht="25" customHeight="1" x14ac:dyDescent="0.35">
      <c r="A1936" s="193">
        <f>X1935</f>
        <v>46153.666030092594</v>
      </c>
      <c r="B1936" s="193">
        <v>46155</v>
      </c>
      <c r="C1936" s="194">
        <f>B1936-A1936</f>
        <v>1.3339699074058444</v>
      </c>
      <c r="D1936" s="267"/>
      <c r="E1936" s="195" t="s">
        <v>1964</v>
      </c>
      <c r="F1936" s="615" t="s">
        <v>910</v>
      </c>
      <c r="G1936" s="615" t="s">
        <v>414</v>
      </c>
      <c r="H1936" s="616">
        <v>14023</v>
      </c>
      <c r="I1936" s="196" t="s">
        <v>203</v>
      </c>
      <c r="J1936" s="383" t="s">
        <v>140</v>
      </c>
      <c r="K1936" s="482">
        <v>0</v>
      </c>
      <c r="L1936" s="482">
        <v>0</v>
      </c>
      <c r="M1936" s="199">
        <v>120</v>
      </c>
      <c r="N1936" s="483">
        <v>1760</v>
      </c>
      <c r="O1936" s="199">
        <v>1</v>
      </c>
      <c r="P1936" s="483">
        <f>N1936/O1936</f>
        <v>1760</v>
      </c>
      <c r="Q1936" s="198">
        <v>0.8</v>
      </c>
      <c r="R1936" s="270"/>
      <c r="S1936" s="116">
        <f>P1936-R1936</f>
        <v>1760</v>
      </c>
      <c r="T1936" s="200">
        <f>((3600/M1936)*O1936)*24*Q1936</f>
        <v>576</v>
      </c>
      <c r="U1936" s="115">
        <f>(P1936-R1936)*M1936/3600/Q1936</f>
        <v>73.333333333333329</v>
      </c>
      <c r="V1936" s="115">
        <f>U1936/24</f>
        <v>3.0555555555555554</v>
      </c>
      <c r="W1936" s="115">
        <v>0</v>
      </c>
      <c r="X1936" s="201">
        <f>A1936+K1936+V1936+W1936+L1936</f>
        <v>46156.721585648149</v>
      </c>
    </row>
    <row r="1937" spans="1:24" s="89" customFormat="1" ht="25" customHeight="1" x14ac:dyDescent="0.35">
      <c r="A1937" s="203">
        <f>X1936</f>
        <v>46156.721585648149</v>
      </c>
      <c r="B1937" s="203">
        <v>46157</v>
      </c>
      <c r="C1937" s="286">
        <f>B1937-A1937</f>
        <v>0.27841435185109731</v>
      </c>
      <c r="D1937" s="286"/>
      <c r="E1937" s="204" t="s">
        <v>1964</v>
      </c>
      <c r="F1937" s="617" t="s">
        <v>3000</v>
      </c>
      <c r="G1937" s="617" t="s">
        <v>414</v>
      </c>
      <c r="H1937" s="618">
        <v>14101</v>
      </c>
      <c r="I1937" s="205" t="s">
        <v>208</v>
      </c>
      <c r="J1937" s="207" t="s">
        <v>140</v>
      </c>
      <c r="K1937" s="208">
        <v>0</v>
      </c>
      <c r="L1937" s="208">
        <v>0</v>
      </c>
      <c r="M1937" s="209">
        <v>120</v>
      </c>
      <c r="N1937" s="210">
        <v>2392</v>
      </c>
      <c r="O1937" s="486">
        <v>1</v>
      </c>
      <c r="P1937" s="210">
        <f>N1937/O1937</f>
        <v>2392</v>
      </c>
      <c r="Q1937" s="293">
        <v>0.8</v>
      </c>
      <c r="R1937" s="211"/>
      <c r="S1937" s="290">
        <f>P1937-R1937</f>
        <v>2392</v>
      </c>
      <c r="T1937" s="294">
        <f>((3600/M1937)*O1937)*21*Q1937</f>
        <v>504</v>
      </c>
      <c r="U1937" s="289">
        <f>(P1937-R1937)*M1937/3600/Q1937</f>
        <v>99.666666666666657</v>
      </c>
      <c r="V1937" s="289">
        <f>U1937/24</f>
        <v>4.1527777777777777</v>
      </c>
      <c r="W1937" s="289">
        <v>0</v>
      </c>
      <c r="X1937" s="212">
        <f>A1937+K1937+V1937+W1937+L1937</f>
        <v>46160.87436342593</v>
      </c>
    </row>
    <row r="1938" spans="1:24" s="89" customFormat="1" ht="25" customHeight="1" x14ac:dyDescent="0.35">
      <c r="A1938" s="203">
        <f>X1939</f>
        <v>46163.333854166667</v>
      </c>
      <c r="B1938" s="203">
        <v>46164</v>
      </c>
      <c r="C1938" s="286">
        <f>B1938-A1938</f>
        <v>0.66614583333284827</v>
      </c>
      <c r="D1938" s="203"/>
      <c r="E1938" s="204" t="s">
        <v>1964</v>
      </c>
      <c r="F1938" s="617" t="s">
        <v>3002</v>
      </c>
      <c r="G1938" s="617" t="s">
        <v>414</v>
      </c>
      <c r="H1938" s="619" t="s">
        <v>3003</v>
      </c>
      <c r="I1938" s="620" t="s">
        <v>2928</v>
      </c>
      <c r="J1938" s="207" t="s">
        <v>140</v>
      </c>
      <c r="K1938" s="208">
        <v>0.25</v>
      </c>
      <c r="L1938" s="208">
        <v>0.2</v>
      </c>
      <c r="M1938" s="209">
        <v>81</v>
      </c>
      <c r="N1938" s="621">
        <v>1000</v>
      </c>
      <c r="O1938" s="486">
        <v>1</v>
      </c>
      <c r="P1938" s="210">
        <f t="shared" ref="P1938" si="321">N1938/O1938</f>
        <v>1000</v>
      </c>
      <c r="Q1938" s="293">
        <v>0.8</v>
      </c>
      <c r="R1938" s="211"/>
      <c r="S1938" s="290">
        <f>P1938-R1938</f>
        <v>1000</v>
      </c>
      <c r="T1938" s="294">
        <f>((3600/M1938)*O1938)*21*Q1938</f>
        <v>746.66666666666663</v>
      </c>
      <c r="U1938" s="289">
        <f>(P1938-R1938)*M1938/3600/Q1938</f>
        <v>28.125</v>
      </c>
      <c r="V1938" s="289">
        <f>U1938/24</f>
        <v>1.171875</v>
      </c>
      <c r="W1938" s="289">
        <v>0</v>
      </c>
      <c r="X1938" s="212">
        <f t="shared" ref="X1938" si="322">A1938+K1938+V1938+W1938+L1938</f>
        <v>46164.955729166664</v>
      </c>
    </row>
    <row r="1939" spans="1:24" s="636" customFormat="1" ht="25" customHeight="1" x14ac:dyDescent="0.35">
      <c r="A1939" s="622">
        <f>X1937</f>
        <v>46160.87436342593</v>
      </c>
      <c r="B1939" s="622"/>
      <c r="C1939" s="622"/>
      <c r="D1939" s="622"/>
      <c r="E1939" s="623" t="s">
        <v>1964</v>
      </c>
      <c r="F1939" s="624"/>
      <c r="G1939" s="624"/>
      <c r="H1939" s="625"/>
      <c r="I1939" s="626" t="s">
        <v>4261</v>
      </c>
      <c r="J1939" s="627" t="s">
        <v>140</v>
      </c>
      <c r="K1939" s="628">
        <v>0</v>
      </c>
      <c r="L1939" s="628">
        <v>0</v>
      </c>
      <c r="M1939" s="629">
        <v>85</v>
      </c>
      <c r="N1939" s="630">
        <v>2000</v>
      </c>
      <c r="O1939" s="631">
        <v>1</v>
      </c>
      <c r="P1939" s="630">
        <f>N1939/O1939</f>
        <v>2000</v>
      </c>
      <c r="Q1939" s="632">
        <v>0.8</v>
      </c>
      <c r="R1939" s="633"/>
      <c r="S1939" s="629">
        <f>P1939-R1939</f>
        <v>2000</v>
      </c>
      <c r="T1939" s="634">
        <f>((3600/M1939)*O1939)*24*Q1939</f>
        <v>813.17647058823536</v>
      </c>
      <c r="U1939" s="628">
        <f>(P1939-R1939)*M1939/3600/Q1939</f>
        <v>59.027777777777771</v>
      </c>
      <c r="V1939" s="628">
        <f>U1939/24</f>
        <v>2.4594907407407405</v>
      </c>
      <c r="W1939" s="628">
        <v>0</v>
      </c>
      <c r="X1939" s="635">
        <f>A1939+K1939+V1939+W1939+L1939</f>
        <v>46163.333854166667</v>
      </c>
    </row>
    <row r="1940" spans="1:24" s="89" customFormat="1" ht="25" customHeight="1" x14ac:dyDescent="0.35">
      <c r="A1940" s="203"/>
      <c r="B1940" s="203"/>
      <c r="C1940" s="203"/>
      <c r="D1940" s="203"/>
      <c r="E1940" s="204"/>
      <c r="F1940" s="205"/>
      <c r="G1940" s="205"/>
      <c r="H1940" s="206"/>
      <c r="I1940" s="309"/>
      <c r="J1940" s="310"/>
      <c r="K1940" s="289"/>
      <c r="L1940" s="289"/>
      <c r="M1940" s="290"/>
      <c r="N1940" s="291"/>
      <c r="O1940" s="292"/>
      <c r="P1940" s="291"/>
      <c r="Q1940" s="293"/>
      <c r="R1940" s="211"/>
      <c r="S1940" s="290"/>
      <c r="T1940" s="294"/>
      <c r="U1940" s="289"/>
      <c r="V1940" s="289"/>
      <c r="W1940" s="289"/>
      <c r="X1940" s="212"/>
    </row>
    <row r="1941" spans="1:24" ht="34.5" x14ac:dyDescent="0.8">
      <c r="A1941" s="35" t="s">
        <v>2963</v>
      </c>
      <c r="B1941" s="35"/>
      <c r="C1941" s="35"/>
      <c r="D1941" s="35"/>
      <c r="E1941" s="637"/>
      <c r="F1941" s="389"/>
      <c r="G1941" s="389"/>
      <c r="H1941" s="311"/>
      <c r="I1941" s="214"/>
      <c r="J1941" s="40"/>
      <c r="K1941" s="41"/>
      <c r="L1941" s="41"/>
      <c r="M1941" s="42"/>
      <c r="N1941" s="43"/>
      <c r="O1941" s="312"/>
      <c r="P1941" s="44"/>
      <c r="Q1941" s="44"/>
      <c r="R1941" s="45"/>
      <c r="S1941" s="44"/>
      <c r="T1941" s="313"/>
      <c r="U1941" s="44"/>
      <c r="V1941" s="44"/>
      <c r="W1941" s="44"/>
      <c r="X1941" s="45"/>
    </row>
    <row r="1942" spans="1:24" hidden="1" x14ac:dyDescent="0.35">
      <c r="A1942" s="46">
        <f>S7</f>
        <v>46153</v>
      </c>
      <c r="B1942" s="46"/>
      <c r="C1942" s="46"/>
      <c r="D1942" s="46"/>
      <c r="E1942" s="47" t="s">
        <v>2963</v>
      </c>
      <c r="F1942" s="222" t="s">
        <v>113</v>
      </c>
      <c r="G1942" s="222"/>
      <c r="H1942" s="86" t="s">
        <v>3004</v>
      </c>
      <c r="I1942" s="104" t="s">
        <v>208</v>
      </c>
      <c r="J1942" s="51"/>
      <c r="K1942" s="52">
        <v>0</v>
      </c>
      <c r="L1942" s="52">
        <v>0</v>
      </c>
      <c r="M1942" s="53">
        <v>120</v>
      </c>
      <c r="N1942" s="54">
        <v>2100</v>
      </c>
      <c r="O1942" s="341">
        <v>1</v>
      </c>
      <c r="P1942" s="54">
        <f t="shared" ref="P1942:P1947" si="323">N1942/O1942</f>
        <v>2100</v>
      </c>
      <c r="Q1942" s="54"/>
      <c r="R1942" s="92">
        <v>2100</v>
      </c>
      <c r="S1942" s="53">
        <f t="shared" ref="S1942:S2005" si="324">P1942-R1942</f>
        <v>0</v>
      </c>
      <c r="T1942" s="343">
        <f t="shared" ref="T1942:T2005" si="325">((3600/M1942)*O1942)*24</f>
        <v>720</v>
      </c>
      <c r="U1942" s="52">
        <f t="shared" ref="U1942:U2005" si="326">(P1942-R1942)*M1942/3600</f>
        <v>0</v>
      </c>
      <c r="V1942" s="52">
        <f t="shared" ref="V1942:V2005" si="327">(P1942-R1942)*M1942/3600/24</f>
        <v>0</v>
      </c>
      <c r="W1942" s="52">
        <v>0</v>
      </c>
      <c r="X1942" s="55">
        <f t="shared" ref="X1942:X2005" si="328">A1942+K1942+L1942+V1942+W1942</f>
        <v>46153</v>
      </c>
    </row>
    <row r="1943" spans="1:24" hidden="1" x14ac:dyDescent="0.35">
      <c r="A1943" s="46">
        <f t="shared" ref="A1943:A2006" si="329">X1942</f>
        <v>46153</v>
      </c>
      <c r="B1943" s="46"/>
      <c r="C1943" s="46"/>
      <c r="D1943" s="46"/>
      <c r="E1943" s="47" t="s">
        <v>2963</v>
      </c>
      <c r="F1943" s="222" t="s">
        <v>113</v>
      </c>
      <c r="G1943" s="222"/>
      <c r="H1943" s="86" t="s">
        <v>3005</v>
      </c>
      <c r="I1943" s="104" t="s">
        <v>205</v>
      </c>
      <c r="J1943" s="51"/>
      <c r="K1943" s="52">
        <v>0</v>
      </c>
      <c r="L1943" s="52">
        <v>0</v>
      </c>
      <c r="M1943" s="53">
        <v>120</v>
      </c>
      <c r="N1943" s="54">
        <v>1470</v>
      </c>
      <c r="O1943" s="341">
        <v>1</v>
      </c>
      <c r="P1943" s="54">
        <f t="shared" si="323"/>
        <v>1470</v>
      </c>
      <c r="Q1943" s="54"/>
      <c r="R1943" s="92">
        <v>1470</v>
      </c>
      <c r="S1943" s="53">
        <f t="shared" si="324"/>
        <v>0</v>
      </c>
      <c r="T1943" s="343">
        <f t="shared" si="325"/>
        <v>720</v>
      </c>
      <c r="U1943" s="52">
        <f t="shared" si="326"/>
        <v>0</v>
      </c>
      <c r="V1943" s="52">
        <f t="shared" si="327"/>
        <v>0</v>
      </c>
      <c r="W1943" s="52">
        <v>0</v>
      </c>
      <c r="X1943" s="55">
        <f t="shared" si="328"/>
        <v>46153</v>
      </c>
    </row>
    <row r="1944" spans="1:24" hidden="1" x14ac:dyDescent="0.35">
      <c r="A1944" s="46">
        <f t="shared" si="329"/>
        <v>46153</v>
      </c>
      <c r="B1944" s="46"/>
      <c r="C1944" s="46"/>
      <c r="D1944" s="46"/>
      <c r="E1944" s="47" t="s">
        <v>2963</v>
      </c>
      <c r="F1944" s="222" t="s">
        <v>113</v>
      </c>
      <c r="G1944" s="222"/>
      <c r="H1944" s="86" t="s">
        <v>3006</v>
      </c>
      <c r="I1944" s="104" t="s">
        <v>208</v>
      </c>
      <c r="J1944" s="51"/>
      <c r="K1944" s="52">
        <v>0</v>
      </c>
      <c r="L1944" s="52">
        <v>0</v>
      </c>
      <c r="M1944" s="53">
        <v>120</v>
      </c>
      <c r="N1944" s="54">
        <v>1470</v>
      </c>
      <c r="O1944" s="341">
        <v>1</v>
      </c>
      <c r="P1944" s="54">
        <f t="shared" si="323"/>
        <v>1470</v>
      </c>
      <c r="Q1944" s="54"/>
      <c r="R1944" s="92">
        <v>1470</v>
      </c>
      <c r="S1944" s="53">
        <f t="shared" si="324"/>
        <v>0</v>
      </c>
      <c r="T1944" s="343">
        <f t="shared" si="325"/>
        <v>720</v>
      </c>
      <c r="U1944" s="52">
        <f t="shared" si="326"/>
        <v>0</v>
      </c>
      <c r="V1944" s="52">
        <f t="shared" si="327"/>
        <v>0</v>
      </c>
      <c r="W1944" s="52">
        <v>0</v>
      </c>
      <c r="X1944" s="55">
        <f t="shared" si="328"/>
        <v>46153</v>
      </c>
    </row>
    <row r="1945" spans="1:24" hidden="1" x14ac:dyDescent="0.35">
      <c r="A1945" s="46">
        <f t="shared" si="329"/>
        <v>46153</v>
      </c>
      <c r="B1945" s="46"/>
      <c r="C1945" s="46"/>
      <c r="D1945" s="46"/>
      <c r="E1945" s="47" t="s">
        <v>2963</v>
      </c>
      <c r="F1945" s="222" t="s">
        <v>113</v>
      </c>
      <c r="G1945" s="222"/>
      <c r="H1945" s="86" t="s">
        <v>429</v>
      </c>
      <c r="I1945" s="104" t="s">
        <v>210</v>
      </c>
      <c r="J1945" s="51"/>
      <c r="K1945" s="52">
        <v>0</v>
      </c>
      <c r="L1945" s="52">
        <v>0</v>
      </c>
      <c r="M1945" s="53">
        <v>120</v>
      </c>
      <c r="N1945" s="54">
        <v>420</v>
      </c>
      <c r="O1945" s="341">
        <v>1</v>
      </c>
      <c r="P1945" s="54">
        <f t="shared" si="323"/>
        <v>420</v>
      </c>
      <c r="Q1945" s="54"/>
      <c r="R1945" s="92">
        <v>420</v>
      </c>
      <c r="S1945" s="53">
        <f t="shared" si="324"/>
        <v>0</v>
      </c>
      <c r="T1945" s="343">
        <f t="shared" si="325"/>
        <v>720</v>
      </c>
      <c r="U1945" s="52">
        <f t="shared" si="326"/>
        <v>0</v>
      </c>
      <c r="V1945" s="52">
        <f t="shared" si="327"/>
        <v>0</v>
      </c>
      <c r="W1945" s="52">
        <v>0</v>
      </c>
      <c r="X1945" s="55">
        <f t="shared" si="328"/>
        <v>46153</v>
      </c>
    </row>
    <row r="1946" spans="1:24" hidden="1" x14ac:dyDescent="0.35">
      <c r="A1946" s="46">
        <f t="shared" si="329"/>
        <v>46153</v>
      </c>
      <c r="B1946" s="46"/>
      <c r="C1946" s="46"/>
      <c r="D1946" s="46"/>
      <c r="E1946" s="47" t="s">
        <v>2963</v>
      </c>
      <c r="F1946" s="222" t="s">
        <v>1372</v>
      </c>
      <c r="G1946" s="222"/>
      <c r="H1946" s="86" t="s">
        <v>3007</v>
      </c>
      <c r="I1946" s="104" t="s">
        <v>208</v>
      </c>
      <c r="J1946" s="51" t="s">
        <v>140</v>
      </c>
      <c r="K1946" s="52">
        <v>0</v>
      </c>
      <c r="L1946" s="52">
        <v>0</v>
      </c>
      <c r="M1946" s="53">
        <v>120</v>
      </c>
      <c r="N1946" s="54">
        <v>1260</v>
      </c>
      <c r="O1946" s="341">
        <v>1</v>
      </c>
      <c r="P1946" s="54">
        <f t="shared" si="323"/>
        <v>1260</v>
      </c>
      <c r="Q1946" s="54"/>
      <c r="R1946" s="92">
        <v>1260</v>
      </c>
      <c r="S1946" s="53">
        <f t="shared" si="324"/>
        <v>0</v>
      </c>
      <c r="T1946" s="343">
        <f t="shared" si="325"/>
        <v>720</v>
      </c>
      <c r="U1946" s="52">
        <f t="shared" si="326"/>
        <v>0</v>
      </c>
      <c r="V1946" s="52">
        <f t="shared" si="327"/>
        <v>0</v>
      </c>
      <c r="W1946" s="52">
        <v>0</v>
      </c>
      <c r="X1946" s="55">
        <f t="shared" si="328"/>
        <v>46153</v>
      </c>
    </row>
    <row r="1947" spans="1:24" hidden="1" x14ac:dyDescent="0.35">
      <c r="A1947" s="46">
        <f t="shared" si="329"/>
        <v>46153</v>
      </c>
      <c r="B1947" s="46"/>
      <c r="C1947" s="46"/>
      <c r="D1947" s="46"/>
      <c r="E1947" s="47" t="s">
        <v>2963</v>
      </c>
      <c r="F1947" s="222" t="s">
        <v>1372</v>
      </c>
      <c r="G1947" s="222"/>
      <c r="H1947" s="86" t="s">
        <v>3008</v>
      </c>
      <c r="I1947" s="104" t="s">
        <v>203</v>
      </c>
      <c r="J1947" s="51" t="s">
        <v>140</v>
      </c>
      <c r="K1947" s="52">
        <v>0</v>
      </c>
      <c r="L1947" s="52">
        <v>0</v>
      </c>
      <c r="M1947" s="53">
        <v>120</v>
      </c>
      <c r="N1947" s="54">
        <v>840</v>
      </c>
      <c r="O1947" s="341">
        <v>1</v>
      </c>
      <c r="P1947" s="54">
        <f t="shared" si="323"/>
        <v>840</v>
      </c>
      <c r="Q1947" s="54"/>
      <c r="R1947" s="92">
        <v>840</v>
      </c>
      <c r="S1947" s="53">
        <f t="shared" si="324"/>
        <v>0</v>
      </c>
      <c r="T1947" s="343">
        <f t="shared" si="325"/>
        <v>720</v>
      </c>
      <c r="U1947" s="52">
        <f t="shared" si="326"/>
        <v>0</v>
      </c>
      <c r="V1947" s="52">
        <f t="shared" si="327"/>
        <v>0</v>
      </c>
      <c r="W1947" s="52">
        <v>0</v>
      </c>
      <c r="X1947" s="55">
        <f t="shared" si="328"/>
        <v>46153</v>
      </c>
    </row>
    <row r="1948" spans="1:24" hidden="1" x14ac:dyDescent="0.35">
      <c r="A1948" s="46">
        <f t="shared" si="329"/>
        <v>46153</v>
      </c>
      <c r="B1948" s="46"/>
      <c r="C1948" s="46"/>
      <c r="D1948" s="46"/>
      <c r="E1948" s="47" t="s">
        <v>2963</v>
      </c>
      <c r="F1948" s="222" t="s">
        <v>1372</v>
      </c>
      <c r="G1948" s="222"/>
      <c r="H1948" s="86" t="s">
        <v>3009</v>
      </c>
      <c r="I1948" s="104" t="s">
        <v>203</v>
      </c>
      <c r="J1948" s="51" t="s">
        <v>140</v>
      </c>
      <c r="K1948" s="52">
        <v>0</v>
      </c>
      <c r="L1948" s="52">
        <v>0</v>
      </c>
      <c r="M1948" s="53">
        <v>120</v>
      </c>
      <c r="N1948" s="54">
        <v>420</v>
      </c>
      <c r="O1948" s="341">
        <v>1</v>
      </c>
      <c r="P1948" s="54">
        <v>630</v>
      </c>
      <c r="Q1948" s="54"/>
      <c r="R1948" s="92">
        <v>420</v>
      </c>
      <c r="S1948" s="53">
        <f t="shared" si="324"/>
        <v>210</v>
      </c>
      <c r="T1948" s="343">
        <f t="shared" si="325"/>
        <v>720</v>
      </c>
      <c r="U1948" s="52">
        <f t="shared" si="326"/>
        <v>7</v>
      </c>
      <c r="V1948" s="52">
        <f t="shared" si="327"/>
        <v>0.29166666666666669</v>
      </c>
      <c r="W1948" s="52">
        <v>0</v>
      </c>
      <c r="X1948" s="55">
        <f t="shared" si="328"/>
        <v>46153.291666666664</v>
      </c>
    </row>
    <row r="1949" spans="1:24" hidden="1" x14ac:dyDescent="0.35">
      <c r="A1949" s="46">
        <f t="shared" si="329"/>
        <v>46153.291666666664</v>
      </c>
      <c r="B1949" s="46"/>
      <c r="C1949" s="46"/>
      <c r="D1949" s="46"/>
      <c r="E1949" s="47" t="s">
        <v>2963</v>
      </c>
      <c r="F1949" s="222" t="s">
        <v>1372</v>
      </c>
      <c r="G1949" s="222"/>
      <c r="H1949" s="86" t="s">
        <v>3010</v>
      </c>
      <c r="I1949" s="104" t="s">
        <v>205</v>
      </c>
      <c r="J1949" s="51" t="s">
        <v>140</v>
      </c>
      <c r="K1949" s="52">
        <v>0</v>
      </c>
      <c r="L1949" s="52">
        <v>0</v>
      </c>
      <c r="M1949" s="53">
        <v>120</v>
      </c>
      <c r="N1949" s="54">
        <v>420</v>
      </c>
      <c r="O1949" s="341">
        <v>1</v>
      </c>
      <c r="P1949" s="54">
        <v>630</v>
      </c>
      <c r="Q1949" s="54"/>
      <c r="R1949" s="92">
        <v>420</v>
      </c>
      <c r="S1949" s="53">
        <f t="shared" si="324"/>
        <v>210</v>
      </c>
      <c r="T1949" s="343">
        <f t="shared" si="325"/>
        <v>720</v>
      </c>
      <c r="U1949" s="52">
        <f t="shared" si="326"/>
        <v>7</v>
      </c>
      <c r="V1949" s="52">
        <f t="shared" si="327"/>
        <v>0.29166666666666669</v>
      </c>
      <c r="W1949" s="52">
        <v>0</v>
      </c>
      <c r="X1949" s="55">
        <f t="shared" si="328"/>
        <v>46153.583333333328</v>
      </c>
    </row>
    <row r="1950" spans="1:24" hidden="1" x14ac:dyDescent="0.35">
      <c r="A1950" s="46">
        <f t="shared" si="329"/>
        <v>46153.583333333328</v>
      </c>
      <c r="B1950" s="46"/>
      <c r="C1950" s="46"/>
      <c r="D1950" s="46"/>
      <c r="E1950" s="47" t="s">
        <v>2963</v>
      </c>
      <c r="F1950" s="222" t="s">
        <v>1372</v>
      </c>
      <c r="G1950" s="222"/>
      <c r="H1950" s="86" t="s">
        <v>3011</v>
      </c>
      <c r="I1950" s="104" t="s">
        <v>210</v>
      </c>
      <c r="J1950" s="51" t="s">
        <v>140</v>
      </c>
      <c r="K1950" s="52">
        <v>0</v>
      </c>
      <c r="L1950" s="52">
        <v>0</v>
      </c>
      <c r="M1950" s="53">
        <v>120</v>
      </c>
      <c r="N1950" s="54">
        <v>420</v>
      </c>
      <c r="O1950" s="341">
        <v>1</v>
      </c>
      <c r="P1950" s="54">
        <v>420</v>
      </c>
      <c r="Q1950" s="54"/>
      <c r="R1950" s="92">
        <v>420</v>
      </c>
      <c r="S1950" s="53">
        <f t="shared" si="324"/>
        <v>0</v>
      </c>
      <c r="T1950" s="343">
        <f t="shared" si="325"/>
        <v>720</v>
      </c>
      <c r="U1950" s="52">
        <f t="shared" si="326"/>
        <v>0</v>
      </c>
      <c r="V1950" s="52">
        <f t="shared" si="327"/>
        <v>0</v>
      </c>
      <c r="W1950" s="52">
        <v>0</v>
      </c>
      <c r="X1950" s="55">
        <f t="shared" si="328"/>
        <v>46153.583333333328</v>
      </c>
    </row>
    <row r="1951" spans="1:24" hidden="1" x14ac:dyDescent="0.35">
      <c r="A1951" s="46">
        <f t="shared" si="329"/>
        <v>46153.583333333328</v>
      </c>
      <c r="B1951" s="46"/>
      <c r="C1951" s="46"/>
      <c r="D1951" s="46"/>
      <c r="E1951" s="47" t="s">
        <v>2963</v>
      </c>
      <c r="F1951" s="222" t="s">
        <v>1372</v>
      </c>
      <c r="G1951" s="222"/>
      <c r="H1951" s="86" t="s">
        <v>3012</v>
      </c>
      <c r="I1951" s="104" t="s">
        <v>2969</v>
      </c>
      <c r="J1951" s="51" t="s">
        <v>140</v>
      </c>
      <c r="K1951" s="52">
        <v>0</v>
      </c>
      <c r="L1951" s="52">
        <v>0</v>
      </c>
      <c r="M1951" s="53">
        <v>140</v>
      </c>
      <c r="N1951" s="54">
        <v>300</v>
      </c>
      <c r="O1951" s="341">
        <v>1</v>
      </c>
      <c r="P1951" s="54">
        <f t="shared" ref="P1951:P2014" si="330">N1951/O1951</f>
        <v>300</v>
      </c>
      <c r="Q1951" s="54"/>
      <c r="R1951" s="92">
        <v>300</v>
      </c>
      <c r="S1951" s="53">
        <f t="shared" si="324"/>
        <v>0</v>
      </c>
      <c r="T1951" s="343">
        <f t="shared" si="325"/>
        <v>617.14285714285711</v>
      </c>
      <c r="U1951" s="52">
        <f t="shared" si="326"/>
        <v>0</v>
      </c>
      <c r="V1951" s="52">
        <f t="shared" si="327"/>
        <v>0</v>
      </c>
      <c r="W1951" s="52">
        <v>0</v>
      </c>
      <c r="X1951" s="55">
        <f t="shared" si="328"/>
        <v>46153.583333333328</v>
      </c>
    </row>
    <row r="1952" spans="1:24" hidden="1" x14ac:dyDescent="0.35">
      <c r="A1952" s="46">
        <f t="shared" si="329"/>
        <v>46153.583333333328</v>
      </c>
      <c r="B1952" s="46"/>
      <c r="C1952" s="46"/>
      <c r="D1952" s="46"/>
      <c r="E1952" s="47" t="s">
        <v>2963</v>
      </c>
      <c r="F1952" s="222" t="s">
        <v>1372</v>
      </c>
      <c r="G1952" s="222"/>
      <c r="H1952" s="86" t="s">
        <v>3013</v>
      </c>
      <c r="I1952" s="104" t="s">
        <v>3014</v>
      </c>
      <c r="J1952" s="51" t="s">
        <v>140</v>
      </c>
      <c r="K1952" s="52">
        <v>0</v>
      </c>
      <c r="L1952" s="52">
        <v>0</v>
      </c>
      <c r="M1952" s="53">
        <v>160</v>
      </c>
      <c r="N1952" s="54">
        <v>300</v>
      </c>
      <c r="O1952" s="341">
        <v>1</v>
      </c>
      <c r="P1952" s="54">
        <f t="shared" si="330"/>
        <v>300</v>
      </c>
      <c r="Q1952" s="54"/>
      <c r="R1952" s="92">
        <v>300</v>
      </c>
      <c r="S1952" s="53">
        <f t="shared" si="324"/>
        <v>0</v>
      </c>
      <c r="T1952" s="343">
        <f t="shared" si="325"/>
        <v>540</v>
      </c>
      <c r="U1952" s="52">
        <f t="shared" si="326"/>
        <v>0</v>
      </c>
      <c r="V1952" s="52">
        <f t="shared" si="327"/>
        <v>0</v>
      </c>
      <c r="W1952" s="52">
        <v>0</v>
      </c>
      <c r="X1952" s="55">
        <f t="shared" si="328"/>
        <v>46153.583333333328</v>
      </c>
    </row>
    <row r="1953" spans="1:24" hidden="1" x14ac:dyDescent="0.35">
      <c r="A1953" s="46">
        <f t="shared" si="329"/>
        <v>46153.583333333328</v>
      </c>
      <c r="B1953" s="46"/>
      <c r="C1953" s="46"/>
      <c r="D1953" s="46"/>
      <c r="E1953" s="47" t="s">
        <v>2963</v>
      </c>
      <c r="F1953" s="222" t="s">
        <v>1372</v>
      </c>
      <c r="G1953" s="222"/>
      <c r="H1953" s="86" t="s">
        <v>3015</v>
      </c>
      <c r="I1953" s="638" t="s">
        <v>3016</v>
      </c>
      <c r="J1953" s="51" t="s">
        <v>140</v>
      </c>
      <c r="K1953" s="52">
        <v>0</v>
      </c>
      <c r="L1953" s="52">
        <v>0</v>
      </c>
      <c r="M1953" s="53">
        <v>650</v>
      </c>
      <c r="N1953" s="54">
        <v>51</v>
      </c>
      <c r="O1953" s="341">
        <v>1</v>
      </c>
      <c r="P1953" s="54">
        <f t="shared" si="330"/>
        <v>51</v>
      </c>
      <c r="Q1953" s="54"/>
      <c r="R1953" s="92">
        <v>51</v>
      </c>
      <c r="S1953" s="53">
        <f t="shared" si="324"/>
        <v>0</v>
      </c>
      <c r="T1953" s="343">
        <f t="shared" si="325"/>
        <v>132.92307692307691</v>
      </c>
      <c r="U1953" s="52">
        <f t="shared" si="326"/>
        <v>0</v>
      </c>
      <c r="V1953" s="52">
        <f t="shared" si="327"/>
        <v>0</v>
      </c>
      <c r="W1953" s="52">
        <v>0</v>
      </c>
      <c r="X1953" s="55">
        <f t="shared" si="328"/>
        <v>46153.583333333328</v>
      </c>
    </row>
    <row r="1954" spans="1:24" hidden="1" x14ac:dyDescent="0.35">
      <c r="A1954" s="46">
        <f t="shared" si="329"/>
        <v>46153.583333333328</v>
      </c>
      <c r="B1954" s="46"/>
      <c r="C1954" s="46"/>
      <c r="D1954" s="46"/>
      <c r="E1954" s="47" t="s">
        <v>2963</v>
      </c>
      <c r="F1954" s="222" t="s">
        <v>165</v>
      </c>
      <c r="G1954" s="222"/>
      <c r="H1954" s="86" t="s">
        <v>3017</v>
      </c>
      <c r="I1954" s="638" t="s">
        <v>208</v>
      </c>
      <c r="J1954" s="51" t="s">
        <v>140</v>
      </c>
      <c r="K1954" s="52">
        <v>0</v>
      </c>
      <c r="L1954" s="52">
        <v>0</v>
      </c>
      <c r="M1954" s="53">
        <v>120</v>
      </c>
      <c r="N1954" s="54">
        <v>1680</v>
      </c>
      <c r="O1954" s="341">
        <v>1</v>
      </c>
      <c r="P1954" s="54">
        <f t="shared" si="330"/>
        <v>1680</v>
      </c>
      <c r="Q1954" s="54"/>
      <c r="R1954" s="92">
        <v>1680</v>
      </c>
      <c r="S1954" s="53">
        <f t="shared" si="324"/>
        <v>0</v>
      </c>
      <c r="T1954" s="343">
        <f t="shared" si="325"/>
        <v>720</v>
      </c>
      <c r="U1954" s="52">
        <f t="shared" si="326"/>
        <v>0</v>
      </c>
      <c r="V1954" s="52">
        <f t="shared" si="327"/>
        <v>0</v>
      </c>
      <c r="W1954" s="52">
        <v>0</v>
      </c>
      <c r="X1954" s="55">
        <f t="shared" si="328"/>
        <v>46153.583333333328</v>
      </c>
    </row>
    <row r="1955" spans="1:24" hidden="1" x14ac:dyDescent="0.35">
      <c r="A1955" s="46">
        <f t="shared" si="329"/>
        <v>46153.583333333328</v>
      </c>
      <c r="B1955" s="46"/>
      <c r="C1955" s="46"/>
      <c r="D1955" s="46"/>
      <c r="E1955" s="47" t="s">
        <v>2963</v>
      </c>
      <c r="F1955" s="222" t="s">
        <v>165</v>
      </c>
      <c r="G1955" s="222"/>
      <c r="H1955" s="86" t="s">
        <v>3018</v>
      </c>
      <c r="I1955" s="638" t="s">
        <v>212</v>
      </c>
      <c r="J1955" s="51" t="s">
        <v>140</v>
      </c>
      <c r="K1955" s="52">
        <v>0</v>
      </c>
      <c r="L1955" s="52">
        <v>0</v>
      </c>
      <c r="M1955" s="53">
        <v>120</v>
      </c>
      <c r="N1955" s="54">
        <v>420</v>
      </c>
      <c r="O1955" s="341">
        <v>1</v>
      </c>
      <c r="P1955" s="54">
        <f t="shared" si="330"/>
        <v>420</v>
      </c>
      <c r="Q1955" s="54"/>
      <c r="R1955" s="92">
        <v>420</v>
      </c>
      <c r="S1955" s="53">
        <f t="shared" si="324"/>
        <v>0</v>
      </c>
      <c r="T1955" s="343">
        <f t="shared" si="325"/>
        <v>720</v>
      </c>
      <c r="U1955" s="52">
        <f t="shared" si="326"/>
        <v>0</v>
      </c>
      <c r="V1955" s="52">
        <f t="shared" si="327"/>
        <v>0</v>
      </c>
      <c r="W1955" s="52">
        <v>0</v>
      </c>
      <c r="X1955" s="55">
        <f t="shared" si="328"/>
        <v>46153.583333333328</v>
      </c>
    </row>
    <row r="1956" spans="1:24" hidden="1" x14ac:dyDescent="0.35">
      <c r="A1956" s="46">
        <f t="shared" si="329"/>
        <v>46153.583333333328</v>
      </c>
      <c r="B1956" s="46"/>
      <c r="C1956" s="46"/>
      <c r="D1956" s="46"/>
      <c r="E1956" s="47" t="s">
        <v>2963</v>
      </c>
      <c r="F1956" s="222" t="s">
        <v>165</v>
      </c>
      <c r="G1956" s="222"/>
      <c r="H1956" s="86" t="s">
        <v>3019</v>
      </c>
      <c r="I1956" s="638" t="s">
        <v>205</v>
      </c>
      <c r="J1956" s="51" t="s">
        <v>140</v>
      </c>
      <c r="K1956" s="52">
        <v>0</v>
      </c>
      <c r="L1956" s="52">
        <v>0</v>
      </c>
      <c r="M1956" s="53">
        <v>120</v>
      </c>
      <c r="N1956" s="54">
        <v>630</v>
      </c>
      <c r="O1956" s="341">
        <v>1</v>
      </c>
      <c r="P1956" s="54">
        <f t="shared" si="330"/>
        <v>630</v>
      </c>
      <c r="Q1956" s="54"/>
      <c r="R1956" s="92">
        <v>630</v>
      </c>
      <c r="S1956" s="53">
        <f t="shared" si="324"/>
        <v>0</v>
      </c>
      <c r="T1956" s="343">
        <f t="shared" si="325"/>
        <v>720</v>
      </c>
      <c r="U1956" s="52">
        <f t="shared" si="326"/>
        <v>0</v>
      </c>
      <c r="V1956" s="52">
        <f t="shared" si="327"/>
        <v>0</v>
      </c>
      <c r="W1956" s="52">
        <v>0</v>
      </c>
      <c r="X1956" s="55">
        <f t="shared" si="328"/>
        <v>46153.583333333328</v>
      </c>
    </row>
    <row r="1957" spans="1:24" hidden="1" x14ac:dyDescent="0.35">
      <c r="A1957" s="46">
        <f t="shared" si="329"/>
        <v>46153.583333333328</v>
      </c>
      <c r="B1957" s="46"/>
      <c r="C1957" s="46"/>
      <c r="D1957" s="46"/>
      <c r="E1957" s="47" t="s">
        <v>2963</v>
      </c>
      <c r="F1957" s="222" t="s">
        <v>165</v>
      </c>
      <c r="G1957" s="222"/>
      <c r="H1957" s="86" t="s">
        <v>3020</v>
      </c>
      <c r="I1957" s="104" t="s">
        <v>203</v>
      </c>
      <c r="J1957" s="51" t="s">
        <v>140</v>
      </c>
      <c r="K1957" s="52">
        <v>0</v>
      </c>
      <c r="L1957" s="52">
        <v>0</v>
      </c>
      <c r="M1957" s="53">
        <v>120</v>
      </c>
      <c r="N1957" s="54">
        <v>420</v>
      </c>
      <c r="O1957" s="341">
        <v>1</v>
      </c>
      <c r="P1957" s="54">
        <f t="shared" si="330"/>
        <v>420</v>
      </c>
      <c r="Q1957" s="54"/>
      <c r="R1957" s="92">
        <v>420</v>
      </c>
      <c r="S1957" s="53">
        <f t="shared" si="324"/>
        <v>0</v>
      </c>
      <c r="T1957" s="343">
        <f t="shared" si="325"/>
        <v>720</v>
      </c>
      <c r="U1957" s="52">
        <f t="shared" si="326"/>
        <v>0</v>
      </c>
      <c r="V1957" s="52">
        <f t="shared" si="327"/>
        <v>0</v>
      </c>
      <c r="W1957" s="52">
        <v>0</v>
      </c>
      <c r="X1957" s="55">
        <f t="shared" si="328"/>
        <v>46153.583333333328</v>
      </c>
    </row>
    <row r="1958" spans="1:24" hidden="1" x14ac:dyDescent="0.35">
      <c r="A1958" s="46">
        <f t="shared" si="329"/>
        <v>46153.583333333328</v>
      </c>
      <c r="B1958" s="46"/>
      <c r="C1958" s="46"/>
      <c r="D1958" s="46"/>
      <c r="E1958" s="47" t="s">
        <v>2963</v>
      </c>
      <c r="F1958" s="222" t="s">
        <v>14</v>
      </c>
      <c r="G1958" s="222"/>
      <c r="H1958" s="86" t="s">
        <v>14</v>
      </c>
      <c r="I1958" s="638" t="s">
        <v>3021</v>
      </c>
      <c r="J1958" s="51" t="s">
        <v>140</v>
      </c>
      <c r="K1958" s="52">
        <v>0</v>
      </c>
      <c r="L1958" s="52">
        <v>0</v>
      </c>
      <c r="M1958" s="53">
        <v>220</v>
      </c>
      <c r="N1958" s="54">
        <v>10</v>
      </c>
      <c r="O1958" s="341">
        <v>1</v>
      </c>
      <c r="P1958" s="54">
        <f t="shared" si="330"/>
        <v>10</v>
      </c>
      <c r="Q1958" s="54"/>
      <c r="R1958" s="92">
        <v>10</v>
      </c>
      <c r="S1958" s="53">
        <f t="shared" si="324"/>
        <v>0</v>
      </c>
      <c r="T1958" s="343">
        <f t="shared" si="325"/>
        <v>392.72727272727275</v>
      </c>
      <c r="U1958" s="52">
        <f t="shared" si="326"/>
        <v>0</v>
      </c>
      <c r="V1958" s="52">
        <f t="shared" si="327"/>
        <v>0</v>
      </c>
      <c r="W1958" s="52">
        <v>0</v>
      </c>
      <c r="X1958" s="55">
        <f t="shared" si="328"/>
        <v>46153.583333333328</v>
      </c>
    </row>
    <row r="1959" spans="1:24" hidden="1" x14ac:dyDescent="0.35">
      <c r="A1959" s="46">
        <f t="shared" si="329"/>
        <v>46153.583333333328</v>
      </c>
      <c r="B1959" s="46"/>
      <c r="C1959" s="46"/>
      <c r="D1959" s="46"/>
      <c r="E1959" s="47" t="s">
        <v>2963</v>
      </c>
      <c r="F1959" s="222" t="s">
        <v>3022</v>
      </c>
      <c r="G1959" s="222"/>
      <c r="H1959" s="86" t="s">
        <v>3023</v>
      </c>
      <c r="I1959" s="638" t="s">
        <v>3024</v>
      </c>
      <c r="J1959" s="51" t="s">
        <v>140</v>
      </c>
      <c r="K1959" s="52">
        <v>0</v>
      </c>
      <c r="L1959" s="52">
        <v>0</v>
      </c>
      <c r="M1959" s="53">
        <v>220</v>
      </c>
      <c r="N1959" s="54">
        <v>500</v>
      </c>
      <c r="O1959" s="341">
        <v>1</v>
      </c>
      <c r="P1959" s="54">
        <f t="shared" si="330"/>
        <v>500</v>
      </c>
      <c r="Q1959" s="54"/>
      <c r="R1959" s="92">
        <v>500</v>
      </c>
      <c r="S1959" s="53">
        <f t="shared" si="324"/>
        <v>0</v>
      </c>
      <c r="T1959" s="343">
        <f t="shared" si="325"/>
        <v>392.72727272727275</v>
      </c>
      <c r="U1959" s="52">
        <f t="shared" si="326"/>
        <v>0</v>
      </c>
      <c r="V1959" s="52">
        <f t="shared" si="327"/>
        <v>0</v>
      </c>
      <c r="W1959" s="52">
        <v>0</v>
      </c>
      <c r="X1959" s="55">
        <f t="shared" si="328"/>
        <v>46153.583333333328</v>
      </c>
    </row>
    <row r="1960" spans="1:24" hidden="1" x14ac:dyDescent="0.35">
      <c r="A1960" s="46">
        <f t="shared" si="329"/>
        <v>46153.583333333328</v>
      </c>
      <c r="B1960" s="46"/>
      <c r="C1960" s="46"/>
      <c r="D1960" s="46"/>
      <c r="E1960" s="47" t="s">
        <v>2963</v>
      </c>
      <c r="F1960" s="222" t="s">
        <v>3025</v>
      </c>
      <c r="G1960" s="222"/>
      <c r="H1960" s="86" t="s">
        <v>3026</v>
      </c>
      <c r="I1960" s="638" t="s">
        <v>3027</v>
      </c>
      <c r="J1960" s="51" t="s">
        <v>140</v>
      </c>
      <c r="K1960" s="52">
        <v>0</v>
      </c>
      <c r="L1960" s="52">
        <v>0</v>
      </c>
      <c r="M1960" s="53">
        <v>220</v>
      </c>
      <c r="N1960" s="54">
        <v>1400</v>
      </c>
      <c r="O1960" s="341">
        <v>1</v>
      </c>
      <c r="P1960" s="54">
        <f t="shared" si="330"/>
        <v>1400</v>
      </c>
      <c r="Q1960" s="54"/>
      <c r="R1960" s="92">
        <v>1400</v>
      </c>
      <c r="S1960" s="53">
        <f t="shared" si="324"/>
        <v>0</v>
      </c>
      <c r="T1960" s="343">
        <f t="shared" si="325"/>
        <v>392.72727272727275</v>
      </c>
      <c r="U1960" s="52">
        <f t="shared" si="326"/>
        <v>0</v>
      </c>
      <c r="V1960" s="52">
        <f t="shared" si="327"/>
        <v>0</v>
      </c>
      <c r="W1960" s="52">
        <v>0</v>
      </c>
      <c r="X1960" s="55">
        <f t="shared" si="328"/>
        <v>46153.583333333328</v>
      </c>
    </row>
    <row r="1961" spans="1:24" hidden="1" x14ac:dyDescent="0.35">
      <c r="A1961" s="46">
        <f t="shared" si="329"/>
        <v>46153.583333333328</v>
      </c>
      <c r="B1961" s="46"/>
      <c r="C1961" s="46"/>
      <c r="D1961" s="46"/>
      <c r="E1961" s="47" t="s">
        <v>2963</v>
      </c>
      <c r="F1961" s="222" t="s">
        <v>177</v>
      </c>
      <c r="G1961" s="222"/>
      <c r="H1961" s="86" t="s">
        <v>3028</v>
      </c>
      <c r="I1961" s="639" t="s">
        <v>208</v>
      </c>
      <c r="J1961" s="51" t="s">
        <v>140</v>
      </c>
      <c r="K1961" s="52">
        <v>0</v>
      </c>
      <c r="L1961" s="52">
        <v>0</v>
      </c>
      <c r="M1961" s="53">
        <v>120</v>
      </c>
      <c r="N1961" s="217">
        <v>1680</v>
      </c>
      <c r="O1961" s="341">
        <v>1</v>
      </c>
      <c r="P1961" s="54">
        <f t="shared" si="330"/>
        <v>1680</v>
      </c>
      <c r="Q1961" s="54"/>
      <c r="R1961" s="182">
        <v>1680</v>
      </c>
      <c r="S1961" s="53">
        <f t="shared" si="324"/>
        <v>0</v>
      </c>
      <c r="T1961" s="343">
        <f t="shared" si="325"/>
        <v>720</v>
      </c>
      <c r="U1961" s="52">
        <f t="shared" si="326"/>
        <v>0</v>
      </c>
      <c r="V1961" s="52">
        <f t="shared" si="327"/>
        <v>0</v>
      </c>
      <c r="W1961" s="52">
        <v>0</v>
      </c>
      <c r="X1961" s="55">
        <f t="shared" si="328"/>
        <v>46153.583333333328</v>
      </c>
    </row>
    <row r="1962" spans="1:24" hidden="1" x14ac:dyDescent="0.35">
      <c r="A1962" s="46">
        <f t="shared" si="329"/>
        <v>46153.583333333328</v>
      </c>
      <c r="B1962" s="46"/>
      <c r="C1962" s="46"/>
      <c r="D1962" s="46"/>
      <c r="E1962" s="47" t="s">
        <v>2963</v>
      </c>
      <c r="F1962" s="222" t="s">
        <v>177</v>
      </c>
      <c r="G1962" s="222"/>
      <c r="H1962" s="86" t="s">
        <v>3029</v>
      </c>
      <c r="I1962" s="639" t="s">
        <v>205</v>
      </c>
      <c r="J1962" s="51" t="s">
        <v>140</v>
      </c>
      <c r="K1962" s="52">
        <v>0</v>
      </c>
      <c r="L1962" s="52">
        <v>0</v>
      </c>
      <c r="M1962" s="53">
        <v>120</v>
      </c>
      <c r="N1962" s="217">
        <v>420</v>
      </c>
      <c r="O1962" s="341">
        <v>1</v>
      </c>
      <c r="P1962" s="54">
        <f t="shared" si="330"/>
        <v>420</v>
      </c>
      <c r="Q1962" s="54"/>
      <c r="R1962" s="182">
        <v>420</v>
      </c>
      <c r="S1962" s="53">
        <f t="shared" si="324"/>
        <v>0</v>
      </c>
      <c r="T1962" s="343">
        <f t="shared" si="325"/>
        <v>720</v>
      </c>
      <c r="U1962" s="52">
        <f t="shared" si="326"/>
        <v>0</v>
      </c>
      <c r="V1962" s="52">
        <f t="shared" si="327"/>
        <v>0</v>
      </c>
      <c r="W1962" s="52">
        <v>0</v>
      </c>
      <c r="X1962" s="55">
        <f t="shared" si="328"/>
        <v>46153.583333333328</v>
      </c>
    </row>
    <row r="1963" spans="1:24" hidden="1" x14ac:dyDescent="0.35">
      <c r="A1963" s="46">
        <f t="shared" si="329"/>
        <v>46153.583333333328</v>
      </c>
      <c r="B1963" s="46"/>
      <c r="C1963" s="46"/>
      <c r="D1963" s="46"/>
      <c r="E1963" s="47" t="s">
        <v>2963</v>
      </c>
      <c r="F1963" s="222" t="s">
        <v>177</v>
      </c>
      <c r="G1963" s="222"/>
      <c r="H1963" s="86" t="s">
        <v>3030</v>
      </c>
      <c r="I1963" s="639" t="s">
        <v>210</v>
      </c>
      <c r="J1963" s="51" t="s">
        <v>140</v>
      </c>
      <c r="K1963" s="52">
        <v>0</v>
      </c>
      <c r="L1963" s="52">
        <v>0</v>
      </c>
      <c r="M1963" s="53">
        <v>120</v>
      </c>
      <c r="N1963" s="217">
        <v>210</v>
      </c>
      <c r="O1963" s="341">
        <v>1</v>
      </c>
      <c r="P1963" s="54">
        <f t="shared" si="330"/>
        <v>210</v>
      </c>
      <c r="Q1963" s="54"/>
      <c r="R1963" s="182">
        <v>210</v>
      </c>
      <c r="S1963" s="53">
        <f t="shared" si="324"/>
        <v>0</v>
      </c>
      <c r="T1963" s="343">
        <f t="shared" si="325"/>
        <v>720</v>
      </c>
      <c r="U1963" s="52">
        <f t="shared" si="326"/>
        <v>0</v>
      </c>
      <c r="V1963" s="52">
        <f t="shared" si="327"/>
        <v>0</v>
      </c>
      <c r="W1963" s="52">
        <v>0</v>
      </c>
      <c r="X1963" s="55">
        <f t="shared" si="328"/>
        <v>46153.583333333328</v>
      </c>
    </row>
    <row r="1964" spans="1:24" hidden="1" x14ac:dyDescent="0.35">
      <c r="A1964" s="46">
        <f t="shared" si="329"/>
        <v>46153.583333333328</v>
      </c>
      <c r="B1964" s="46"/>
      <c r="C1964" s="46"/>
      <c r="D1964" s="46"/>
      <c r="E1964" s="47" t="s">
        <v>2963</v>
      </c>
      <c r="F1964" s="222" t="s">
        <v>177</v>
      </c>
      <c r="G1964" s="222"/>
      <c r="H1964" s="86" t="s">
        <v>3031</v>
      </c>
      <c r="I1964" s="639" t="s">
        <v>212</v>
      </c>
      <c r="J1964" s="51" t="s">
        <v>140</v>
      </c>
      <c r="K1964" s="52">
        <v>0</v>
      </c>
      <c r="L1964" s="52">
        <v>0</v>
      </c>
      <c r="M1964" s="53">
        <v>120</v>
      </c>
      <c r="N1964" s="217">
        <v>210</v>
      </c>
      <c r="O1964" s="341">
        <v>1</v>
      </c>
      <c r="P1964" s="54">
        <f t="shared" si="330"/>
        <v>210</v>
      </c>
      <c r="Q1964" s="54"/>
      <c r="R1964" s="182">
        <v>210</v>
      </c>
      <c r="S1964" s="53">
        <f t="shared" si="324"/>
        <v>0</v>
      </c>
      <c r="T1964" s="343">
        <f t="shared" si="325"/>
        <v>720</v>
      </c>
      <c r="U1964" s="52">
        <f t="shared" si="326"/>
        <v>0</v>
      </c>
      <c r="V1964" s="52">
        <f t="shared" si="327"/>
        <v>0</v>
      </c>
      <c r="W1964" s="52">
        <v>0</v>
      </c>
      <c r="X1964" s="55">
        <f t="shared" si="328"/>
        <v>46153.583333333328</v>
      </c>
    </row>
    <row r="1965" spans="1:24" hidden="1" x14ac:dyDescent="0.35">
      <c r="A1965" s="46">
        <f t="shared" si="329"/>
        <v>46153.583333333328</v>
      </c>
      <c r="B1965" s="46"/>
      <c r="C1965" s="46"/>
      <c r="D1965" s="46"/>
      <c r="E1965" s="47" t="s">
        <v>2963</v>
      </c>
      <c r="F1965" s="222" t="s">
        <v>177</v>
      </c>
      <c r="G1965" s="222"/>
      <c r="H1965" s="86" t="s">
        <v>3032</v>
      </c>
      <c r="I1965" s="639" t="s">
        <v>214</v>
      </c>
      <c r="J1965" s="51" t="s">
        <v>140</v>
      </c>
      <c r="K1965" s="52">
        <v>0</v>
      </c>
      <c r="L1965" s="52">
        <v>0</v>
      </c>
      <c r="M1965" s="53">
        <v>120</v>
      </c>
      <c r="N1965" s="217">
        <v>210</v>
      </c>
      <c r="O1965" s="341">
        <v>1</v>
      </c>
      <c r="P1965" s="54">
        <f t="shared" si="330"/>
        <v>210</v>
      </c>
      <c r="Q1965" s="54"/>
      <c r="R1965" s="182">
        <v>210</v>
      </c>
      <c r="S1965" s="53">
        <f t="shared" si="324"/>
        <v>0</v>
      </c>
      <c r="T1965" s="343">
        <f t="shared" si="325"/>
        <v>720</v>
      </c>
      <c r="U1965" s="52">
        <f t="shared" si="326"/>
        <v>0</v>
      </c>
      <c r="V1965" s="52">
        <f t="shared" si="327"/>
        <v>0</v>
      </c>
      <c r="W1965" s="52">
        <v>0</v>
      </c>
      <c r="X1965" s="55">
        <f t="shared" si="328"/>
        <v>46153.583333333328</v>
      </c>
    </row>
    <row r="1966" spans="1:24" hidden="1" x14ac:dyDescent="0.35">
      <c r="A1966" s="46">
        <f t="shared" si="329"/>
        <v>46153.583333333328</v>
      </c>
      <c r="B1966" s="46"/>
      <c r="C1966" s="46"/>
      <c r="D1966" s="46"/>
      <c r="E1966" s="47" t="s">
        <v>2963</v>
      </c>
      <c r="F1966" s="222" t="s">
        <v>177</v>
      </c>
      <c r="G1966" s="222"/>
      <c r="H1966" s="86" t="s">
        <v>3033</v>
      </c>
      <c r="I1966" s="639" t="s">
        <v>203</v>
      </c>
      <c r="J1966" s="51" t="s">
        <v>140</v>
      </c>
      <c r="K1966" s="52">
        <v>0</v>
      </c>
      <c r="L1966" s="52">
        <v>0</v>
      </c>
      <c r="M1966" s="53">
        <v>120</v>
      </c>
      <c r="N1966" s="640">
        <v>840</v>
      </c>
      <c r="O1966" s="341">
        <v>1</v>
      </c>
      <c r="P1966" s="54">
        <f t="shared" si="330"/>
        <v>840</v>
      </c>
      <c r="Q1966" s="54"/>
      <c r="R1966" s="427">
        <v>840</v>
      </c>
      <c r="S1966" s="53">
        <f t="shared" si="324"/>
        <v>0</v>
      </c>
      <c r="T1966" s="343">
        <f t="shared" si="325"/>
        <v>720</v>
      </c>
      <c r="U1966" s="52">
        <f t="shared" si="326"/>
        <v>0</v>
      </c>
      <c r="V1966" s="52">
        <f t="shared" si="327"/>
        <v>0</v>
      </c>
      <c r="W1966" s="52">
        <v>0</v>
      </c>
      <c r="X1966" s="55">
        <f t="shared" si="328"/>
        <v>46153.583333333328</v>
      </c>
    </row>
    <row r="1967" spans="1:24" hidden="1" x14ac:dyDescent="0.35">
      <c r="A1967" s="46">
        <f t="shared" si="329"/>
        <v>46153.583333333328</v>
      </c>
      <c r="B1967" s="46"/>
      <c r="C1967" s="46"/>
      <c r="D1967" s="46"/>
      <c r="E1967" s="47" t="s">
        <v>2963</v>
      </c>
      <c r="F1967" s="222" t="s">
        <v>501</v>
      </c>
      <c r="G1967" s="222"/>
      <c r="H1967" s="86" t="s">
        <v>3034</v>
      </c>
      <c r="I1967" s="639" t="s">
        <v>203</v>
      </c>
      <c r="J1967" s="51" t="s">
        <v>140</v>
      </c>
      <c r="K1967" s="52">
        <v>0</v>
      </c>
      <c r="L1967" s="52">
        <v>0</v>
      </c>
      <c r="M1967" s="53">
        <v>120</v>
      </c>
      <c r="N1967" s="217">
        <v>1470</v>
      </c>
      <c r="O1967" s="341">
        <v>1</v>
      </c>
      <c r="P1967" s="54">
        <f t="shared" si="330"/>
        <v>1470</v>
      </c>
      <c r="Q1967" s="54"/>
      <c r="R1967" s="182">
        <v>1470</v>
      </c>
      <c r="S1967" s="53">
        <f t="shared" si="324"/>
        <v>0</v>
      </c>
      <c r="T1967" s="343">
        <f t="shared" si="325"/>
        <v>720</v>
      </c>
      <c r="U1967" s="52">
        <f t="shared" si="326"/>
        <v>0</v>
      </c>
      <c r="V1967" s="52">
        <f t="shared" si="327"/>
        <v>0</v>
      </c>
      <c r="W1967" s="52">
        <v>0</v>
      </c>
      <c r="X1967" s="55">
        <f t="shared" si="328"/>
        <v>46153.583333333328</v>
      </c>
    </row>
    <row r="1968" spans="1:24" hidden="1" x14ac:dyDescent="0.35">
      <c r="A1968" s="46">
        <f t="shared" si="329"/>
        <v>46153.583333333328</v>
      </c>
      <c r="B1968" s="46"/>
      <c r="C1968" s="46"/>
      <c r="D1968" s="46"/>
      <c r="E1968" s="47" t="s">
        <v>2963</v>
      </c>
      <c r="F1968" s="222" t="s">
        <v>501</v>
      </c>
      <c r="G1968" s="222"/>
      <c r="H1968" s="86" t="s">
        <v>3035</v>
      </c>
      <c r="I1968" s="639" t="s">
        <v>205</v>
      </c>
      <c r="J1968" s="51" t="s">
        <v>140</v>
      </c>
      <c r="K1968" s="52">
        <v>0</v>
      </c>
      <c r="L1968" s="52">
        <v>0</v>
      </c>
      <c r="M1968" s="53">
        <v>120</v>
      </c>
      <c r="N1968" s="640">
        <v>630</v>
      </c>
      <c r="O1968" s="341">
        <v>1</v>
      </c>
      <c r="P1968" s="54">
        <f t="shared" si="330"/>
        <v>630</v>
      </c>
      <c r="Q1968" s="54"/>
      <c r="R1968" s="427">
        <v>630</v>
      </c>
      <c r="S1968" s="53">
        <f t="shared" si="324"/>
        <v>0</v>
      </c>
      <c r="T1968" s="343">
        <f t="shared" si="325"/>
        <v>720</v>
      </c>
      <c r="U1968" s="52">
        <f t="shared" si="326"/>
        <v>0</v>
      </c>
      <c r="V1968" s="52">
        <f t="shared" si="327"/>
        <v>0</v>
      </c>
      <c r="W1968" s="52">
        <v>0</v>
      </c>
      <c r="X1968" s="55">
        <f t="shared" si="328"/>
        <v>46153.583333333328</v>
      </c>
    </row>
    <row r="1969" spans="1:24" hidden="1" x14ac:dyDescent="0.35">
      <c r="A1969" s="46">
        <f t="shared" si="329"/>
        <v>46153.583333333328</v>
      </c>
      <c r="B1969" s="46"/>
      <c r="C1969" s="46"/>
      <c r="D1969" s="46"/>
      <c r="E1969" s="47" t="s">
        <v>2963</v>
      </c>
      <c r="F1969" s="222" t="s">
        <v>501</v>
      </c>
      <c r="G1969" s="222"/>
      <c r="H1969" s="86" t="s">
        <v>3036</v>
      </c>
      <c r="I1969" s="638" t="s">
        <v>3037</v>
      </c>
      <c r="J1969" s="51" t="s">
        <v>140</v>
      </c>
      <c r="K1969" s="52">
        <v>0</v>
      </c>
      <c r="L1969" s="52">
        <v>0</v>
      </c>
      <c r="M1969" s="53">
        <v>120</v>
      </c>
      <c r="N1969" s="640">
        <v>420</v>
      </c>
      <c r="O1969" s="341">
        <v>1</v>
      </c>
      <c r="P1969" s="54">
        <f t="shared" si="330"/>
        <v>420</v>
      </c>
      <c r="Q1969" s="54"/>
      <c r="R1969" s="427">
        <v>420</v>
      </c>
      <c r="S1969" s="53">
        <f t="shared" si="324"/>
        <v>0</v>
      </c>
      <c r="T1969" s="343">
        <f t="shared" si="325"/>
        <v>720</v>
      </c>
      <c r="U1969" s="52">
        <f t="shared" si="326"/>
        <v>0</v>
      </c>
      <c r="V1969" s="52">
        <f t="shared" si="327"/>
        <v>0</v>
      </c>
      <c r="W1969" s="52">
        <v>0</v>
      </c>
      <c r="X1969" s="55">
        <f t="shared" si="328"/>
        <v>46153.583333333328</v>
      </c>
    </row>
    <row r="1970" spans="1:24" hidden="1" x14ac:dyDescent="0.35">
      <c r="A1970" s="46">
        <f t="shared" si="329"/>
        <v>46153.583333333328</v>
      </c>
      <c r="B1970" s="46"/>
      <c r="C1970" s="46"/>
      <c r="D1970" s="46"/>
      <c r="E1970" s="47" t="s">
        <v>2963</v>
      </c>
      <c r="F1970" s="222" t="s">
        <v>501</v>
      </c>
      <c r="G1970" s="222"/>
      <c r="H1970" s="86" t="s">
        <v>3038</v>
      </c>
      <c r="I1970" s="641" t="s">
        <v>208</v>
      </c>
      <c r="J1970" s="51" t="s">
        <v>140</v>
      </c>
      <c r="K1970" s="52">
        <v>0</v>
      </c>
      <c r="L1970" s="52">
        <v>0</v>
      </c>
      <c r="M1970" s="53">
        <v>120</v>
      </c>
      <c r="N1970" s="640">
        <v>1050</v>
      </c>
      <c r="O1970" s="341">
        <v>1</v>
      </c>
      <c r="P1970" s="54">
        <f t="shared" si="330"/>
        <v>1050</v>
      </c>
      <c r="Q1970" s="54"/>
      <c r="R1970" s="427">
        <v>1050</v>
      </c>
      <c r="S1970" s="53">
        <f t="shared" si="324"/>
        <v>0</v>
      </c>
      <c r="T1970" s="343">
        <f t="shared" si="325"/>
        <v>720</v>
      </c>
      <c r="U1970" s="52">
        <f t="shared" si="326"/>
        <v>0</v>
      </c>
      <c r="V1970" s="52">
        <f t="shared" si="327"/>
        <v>0</v>
      </c>
      <c r="W1970" s="52">
        <v>0</v>
      </c>
      <c r="X1970" s="55">
        <f t="shared" si="328"/>
        <v>46153.583333333328</v>
      </c>
    </row>
    <row r="1971" spans="1:24" hidden="1" x14ac:dyDescent="0.35">
      <c r="A1971" s="46">
        <f t="shared" si="329"/>
        <v>46153.583333333328</v>
      </c>
      <c r="B1971" s="46"/>
      <c r="C1971" s="46"/>
      <c r="D1971" s="46"/>
      <c r="E1971" s="47" t="s">
        <v>2963</v>
      </c>
      <c r="F1971" s="222" t="s">
        <v>3039</v>
      </c>
      <c r="G1971" s="222"/>
      <c r="H1971" s="86" t="s">
        <v>3040</v>
      </c>
      <c r="I1971" s="104" t="s">
        <v>2969</v>
      </c>
      <c r="J1971" s="51" t="s">
        <v>140</v>
      </c>
      <c r="K1971" s="52">
        <v>0</v>
      </c>
      <c r="L1971" s="52">
        <v>0</v>
      </c>
      <c r="M1971" s="53">
        <v>140</v>
      </c>
      <c r="N1971" s="54">
        <v>100</v>
      </c>
      <c r="O1971" s="341">
        <v>1</v>
      </c>
      <c r="P1971" s="54">
        <f t="shared" si="330"/>
        <v>100</v>
      </c>
      <c r="Q1971" s="54"/>
      <c r="R1971" s="92">
        <v>100</v>
      </c>
      <c r="S1971" s="53">
        <f t="shared" si="324"/>
        <v>0</v>
      </c>
      <c r="T1971" s="343">
        <f t="shared" si="325"/>
        <v>617.14285714285711</v>
      </c>
      <c r="U1971" s="52">
        <f t="shared" si="326"/>
        <v>0</v>
      </c>
      <c r="V1971" s="52">
        <f t="shared" si="327"/>
        <v>0</v>
      </c>
      <c r="W1971" s="52">
        <v>0</v>
      </c>
      <c r="X1971" s="55">
        <f t="shared" si="328"/>
        <v>46153.583333333328</v>
      </c>
    </row>
    <row r="1972" spans="1:24" hidden="1" x14ac:dyDescent="0.35">
      <c r="A1972" s="46">
        <f t="shared" si="329"/>
        <v>46153.583333333328</v>
      </c>
      <c r="B1972" s="46"/>
      <c r="C1972" s="46"/>
      <c r="D1972" s="46"/>
      <c r="E1972" s="47" t="s">
        <v>2963</v>
      </c>
      <c r="F1972" s="222" t="s">
        <v>3039</v>
      </c>
      <c r="G1972" s="222"/>
      <c r="H1972" s="86" t="s">
        <v>3041</v>
      </c>
      <c r="I1972" s="104" t="s">
        <v>3014</v>
      </c>
      <c r="J1972" s="51" t="s">
        <v>140</v>
      </c>
      <c r="K1972" s="52">
        <v>0</v>
      </c>
      <c r="L1972" s="52">
        <v>0</v>
      </c>
      <c r="M1972" s="53">
        <v>160</v>
      </c>
      <c r="N1972" s="54">
        <v>340</v>
      </c>
      <c r="O1972" s="341">
        <v>1</v>
      </c>
      <c r="P1972" s="54">
        <f t="shared" si="330"/>
        <v>340</v>
      </c>
      <c r="Q1972" s="54"/>
      <c r="R1972" s="92">
        <v>340</v>
      </c>
      <c r="S1972" s="53">
        <f t="shared" si="324"/>
        <v>0</v>
      </c>
      <c r="T1972" s="343">
        <f t="shared" si="325"/>
        <v>540</v>
      </c>
      <c r="U1972" s="52">
        <f t="shared" si="326"/>
        <v>0</v>
      </c>
      <c r="V1972" s="52">
        <f t="shared" si="327"/>
        <v>0</v>
      </c>
      <c r="W1972" s="52">
        <v>0</v>
      </c>
      <c r="X1972" s="55">
        <f t="shared" si="328"/>
        <v>46153.583333333328</v>
      </c>
    </row>
    <row r="1973" spans="1:24" hidden="1" x14ac:dyDescent="0.35">
      <c r="A1973" s="46">
        <f t="shared" si="329"/>
        <v>46153.583333333328</v>
      </c>
      <c r="B1973" s="46"/>
      <c r="C1973" s="46"/>
      <c r="D1973" s="46"/>
      <c r="E1973" s="47" t="s">
        <v>2963</v>
      </c>
      <c r="F1973" s="222" t="s">
        <v>652</v>
      </c>
      <c r="G1973" s="222"/>
      <c r="H1973" s="86" t="s">
        <v>3042</v>
      </c>
      <c r="I1973" s="639" t="s">
        <v>208</v>
      </c>
      <c r="J1973" s="51" t="s">
        <v>140</v>
      </c>
      <c r="K1973" s="52">
        <v>0</v>
      </c>
      <c r="L1973" s="52">
        <v>0</v>
      </c>
      <c r="M1973" s="53">
        <v>120</v>
      </c>
      <c r="N1973" s="218">
        <v>2100</v>
      </c>
      <c r="O1973" s="341">
        <v>1</v>
      </c>
      <c r="P1973" s="54">
        <f t="shared" si="330"/>
        <v>2100</v>
      </c>
      <c r="Q1973" s="54"/>
      <c r="R1973" s="182">
        <v>2100</v>
      </c>
      <c r="S1973" s="53">
        <f t="shared" si="324"/>
        <v>0</v>
      </c>
      <c r="T1973" s="343">
        <f t="shared" si="325"/>
        <v>720</v>
      </c>
      <c r="U1973" s="52">
        <f t="shared" si="326"/>
        <v>0</v>
      </c>
      <c r="V1973" s="52">
        <f t="shared" si="327"/>
        <v>0</v>
      </c>
      <c r="W1973" s="52">
        <v>0</v>
      </c>
      <c r="X1973" s="55">
        <f t="shared" si="328"/>
        <v>46153.583333333328</v>
      </c>
    </row>
    <row r="1974" spans="1:24" hidden="1" x14ac:dyDescent="0.35">
      <c r="A1974" s="46">
        <f t="shared" si="329"/>
        <v>46153.583333333328</v>
      </c>
      <c r="B1974" s="46"/>
      <c r="C1974" s="46"/>
      <c r="D1974" s="46"/>
      <c r="E1974" s="47" t="s">
        <v>2963</v>
      </c>
      <c r="F1974" s="222" t="s">
        <v>3043</v>
      </c>
      <c r="G1974" s="222"/>
      <c r="H1974" s="86" t="s">
        <v>3044</v>
      </c>
      <c r="I1974" s="638" t="s">
        <v>3045</v>
      </c>
      <c r="J1974" s="51" t="s">
        <v>283</v>
      </c>
      <c r="K1974" s="52">
        <v>0</v>
      </c>
      <c r="L1974" s="52">
        <v>0</v>
      </c>
      <c r="M1974" s="53">
        <v>120</v>
      </c>
      <c r="N1974" s="218">
        <v>420</v>
      </c>
      <c r="O1974" s="341">
        <v>1</v>
      </c>
      <c r="P1974" s="54">
        <f t="shared" si="330"/>
        <v>420</v>
      </c>
      <c r="Q1974" s="54"/>
      <c r="R1974" s="182">
        <v>420</v>
      </c>
      <c r="S1974" s="53">
        <f t="shared" si="324"/>
        <v>0</v>
      </c>
      <c r="T1974" s="343">
        <f t="shared" si="325"/>
        <v>720</v>
      </c>
      <c r="U1974" s="52">
        <f t="shared" si="326"/>
        <v>0</v>
      </c>
      <c r="V1974" s="52">
        <f t="shared" si="327"/>
        <v>0</v>
      </c>
      <c r="W1974" s="52">
        <v>0</v>
      </c>
      <c r="X1974" s="55">
        <f t="shared" si="328"/>
        <v>46153.583333333328</v>
      </c>
    </row>
    <row r="1975" spans="1:24" hidden="1" x14ac:dyDescent="0.35">
      <c r="A1975" s="46">
        <f t="shared" si="329"/>
        <v>46153.583333333328</v>
      </c>
      <c r="B1975" s="46"/>
      <c r="C1975" s="46"/>
      <c r="D1975" s="46"/>
      <c r="E1975" s="47" t="s">
        <v>2963</v>
      </c>
      <c r="F1975" s="222" t="s">
        <v>652</v>
      </c>
      <c r="G1975" s="222"/>
      <c r="H1975" s="86" t="s">
        <v>3046</v>
      </c>
      <c r="I1975" s="638" t="s">
        <v>3016</v>
      </c>
      <c r="J1975" s="51" t="s">
        <v>140</v>
      </c>
      <c r="K1975" s="52">
        <v>0</v>
      </c>
      <c r="L1975" s="52">
        <v>0</v>
      </c>
      <c r="M1975" s="53">
        <v>650</v>
      </c>
      <c r="N1975" s="54">
        <v>50</v>
      </c>
      <c r="O1975" s="341">
        <v>1</v>
      </c>
      <c r="P1975" s="54">
        <f t="shared" si="330"/>
        <v>50</v>
      </c>
      <c r="Q1975" s="54"/>
      <c r="R1975" s="92">
        <v>50</v>
      </c>
      <c r="S1975" s="53">
        <f t="shared" si="324"/>
        <v>0</v>
      </c>
      <c r="T1975" s="343">
        <f t="shared" si="325"/>
        <v>132.92307692307691</v>
      </c>
      <c r="U1975" s="52">
        <f t="shared" si="326"/>
        <v>0</v>
      </c>
      <c r="V1975" s="52">
        <f t="shared" si="327"/>
        <v>0</v>
      </c>
      <c r="W1975" s="52">
        <v>0</v>
      </c>
      <c r="X1975" s="55">
        <f t="shared" si="328"/>
        <v>46153.583333333328</v>
      </c>
    </row>
    <row r="1976" spans="1:24" hidden="1" x14ac:dyDescent="0.35">
      <c r="A1976" s="46">
        <f t="shared" si="329"/>
        <v>46153.583333333328</v>
      </c>
      <c r="B1976" s="46"/>
      <c r="C1976" s="46"/>
      <c r="D1976" s="46"/>
      <c r="E1976" s="47" t="s">
        <v>2963</v>
      </c>
      <c r="F1976" s="222" t="s">
        <v>652</v>
      </c>
      <c r="G1976" s="222"/>
      <c r="H1976" s="86" t="s">
        <v>3047</v>
      </c>
      <c r="I1976" s="639" t="s">
        <v>205</v>
      </c>
      <c r="J1976" s="51" t="s">
        <v>140</v>
      </c>
      <c r="K1976" s="52">
        <v>0</v>
      </c>
      <c r="L1976" s="52">
        <v>0</v>
      </c>
      <c r="M1976" s="53">
        <v>120</v>
      </c>
      <c r="N1976" s="80">
        <v>630</v>
      </c>
      <c r="O1976" s="341">
        <v>1</v>
      </c>
      <c r="P1976" s="54">
        <f t="shared" si="330"/>
        <v>630</v>
      </c>
      <c r="Q1976" s="54"/>
      <c r="R1976" s="427">
        <v>630</v>
      </c>
      <c r="S1976" s="53">
        <f t="shared" si="324"/>
        <v>0</v>
      </c>
      <c r="T1976" s="343">
        <f t="shared" si="325"/>
        <v>720</v>
      </c>
      <c r="U1976" s="52">
        <f t="shared" si="326"/>
        <v>0</v>
      </c>
      <c r="V1976" s="52">
        <f t="shared" si="327"/>
        <v>0</v>
      </c>
      <c r="W1976" s="52">
        <v>0</v>
      </c>
      <c r="X1976" s="55">
        <f t="shared" si="328"/>
        <v>46153.583333333328</v>
      </c>
    </row>
    <row r="1977" spans="1:24" hidden="1" x14ac:dyDescent="0.35">
      <c r="A1977" s="46">
        <f t="shared" si="329"/>
        <v>46153.583333333328</v>
      </c>
      <c r="B1977" s="46"/>
      <c r="C1977" s="46"/>
      <c r="D1977" s="46"/>
      <c r="E1977" s="47" t="s">
        <v>2963</v>
      </c>
      <c r="F1977" s="222" t="s">
        <v>652</v>
      </c>
      <c r="G1977" s="222"/>
      <c r="H1977" s="86" t="s">
        <v>3048</v>
      </c>
      <c r="I1977" s="639" t="s">
        <v>208</v>
      </c>
      <c r="J1977" s="51" t="s">
        <v>140</v>
      </c>
      <c r="K1977" s="52">
        <v>0</v>
      </c>
      <c r="L1977" s="52">
        <v>0</v>
      </c>
      <c r="M1977" s="53">
        <v>120</v>
      </c>
      <c r="N1977" s="218">
        <v>3990</v>
      </c>
      <c r="O1977" s="341">
        <v>1</v>
      </c>
      <c r="P1977" s="54">
        <f t="shared" si="330"/>
        <v>3990</v>
      </c>
      <c r="Q1977" s="54"/>
      <c r="R1977" s="182">
        <v>3990</v>
      </c>
      <c r="S1977" s="53">
        <f t="shared" si="324"/>
        <v>0</v>
      </c>
      <c r="T1977" s="343">
        <f t="shared" si="325"/>
        <v>720</v>
      </c>
      <c r="U1977" s="52">
        <f t="shared" si="326"/>
        <v>0</v>
      </c>
      <c r="V1977" s="52">
        <f t="shared" si="327"/>
        <v>0</v>
      </c>
      <c r="W1977" s="52">
        <v>0</v>
      </c>
      <c r="X1977" s="55">
        <f t="shared" si="328"/>
        <v>46153.583333333328</v>
      </c>
    </row>
    <row r="1978" spans="1:24" hidden="1" x14ac:dyDescent="0.35">
      <c r="A1978" s="46">
        <f t="shared" si="329"/>
        <v>46153.583333333328</v>
      </c>
      <c r="B1978" s="46"/>
      <c r="C1978" s="46"/>
      <c r="D1978" s="46"/>
      <c r="E1978" s="47" t="s">
        <v>2963</v>
      </c>
      <c r="F1978" s="222" t="s">
        <v>652</v>
      </c>
      <c r="G1978" s="222"/>
      <c r="H1978" s="86" t="s">
        <v>3049</v>
      </c>
      <c r="I1978" s="639" t="s">
        <v>3050</v>
      </c>
      <c r="J1978" s="51" t="s">
        <v>140</v>
      </c>
      <c r="K1978" s="52">
        <v>0</v>
      </c>
      <c r="L1978" s="52">
        <v>0</v>
      </c>
      <c r="M1978" s="53">
        <v>120</v>
      </c>
      <c r="N1978" s="218">
        <v>500</v>
      </c>
      <c r="O1978" s="341">
        <v>1</v>
      </c>
      <c r="P1978" s="54">
        <f t="shared" si="330"/>
        <v>500</v>
      </c>
      <c r="Q1978" s="54"/>
      <c r="R1978" s="182">
        <v>500</v>
      </c>
      <c r="S1978" s="53">
        <f t="shared" si="324"/>
        <v>0</v>
      </c>
      <c r="T1978" s="343">
        <f t="shared" si="325"/>
        <v>720</v>
      </c>
      <c r="U1978" s="52">
        <f t="shared" si="326"/>
        <v>0</v>
      </c>
      <c r="V1978" s="52">
        <f t="shared" si="327"/>
        <v>0</v>
      </c>
      <c r="W1978" s="52">
        <v>0</v>
      </c>
      <c r="X1978" s="55">
        <f t="shared" si="328"/>
        <v>46153.583333333328</v>
      </c>
    </row>
    <row r="1979" spans="1:24" hidden="1" x14ac:dyDescent="0.35">
      <c r="A1979" s="46">
        <f t="shared" si="329"/>
        <v>46153.583333333328</v>
      </c>
      <c r="B1979" s="46"/>
      <c r="C1979" s="46"/>
      <c r="D1979" s="46"/>
      <c r="E1979" s="47" t="s">
        <v>2963</v>
      </c>
      <c r="F1979" s="642" t="s">
        <v>4200</v>
      </c>
      <c r="G1979" s="642"/>
      <c r="H1979" s="643" t="s">
        <v>518</v>
      </c>
      <c r="I1979" s="104" t="s">
        <v>470</v>
      </c>
      <c r="J1979" s="51" t="s">
        <v>140</v>
      </c>
      <c r="K1979" s="52">
        <v>0</v>
      </c>
      <c r="L1979" s="52">
        <v>0</v>
      </c>
      <c r="M1979" s="53">
        <v>187</v>
      </c>
      <c r="N1979" s="54">
        <v>2010</v>
      </c>
      <c r="O1979" s="341">
        <v>2</v>
      </c>
      <c r="P1979" s="54">
        <f t="shared" si="330"/>
        <v>1005</v>
      </c>
      <c r="Q1979" s="54"/>
      <c r="R1979" s="92">
        <v>1005</v>
      </c>
      <c r="S1979" s="53">
        <f t="shared" si="324"/>
        <v>0</v>
      </c>
      <c r="T1979" s="343">
        <f t="shared" si="325"/>
        <v>924.06417112299459</v>
      </c>
      <c r="U1979" s="52">
        <f t="shared" si="326"/>
        <v>0</v>
      </c>
      <c r="V1979" s="52">
        <f t="shared" si="327"/>
        <v>0</v>
      </c>
      <c r="W1979" s="52">
        <v>0</v>
      </c>
      <c r="X1979" s="55">
        <f t="shared" si="328"/>
        <v>46153.583333333328</v>
      </c>
    </row>
    <row r="1980" spans="1:24" hidden="1" x14ac:dyDescent="0.35">
      <c r="A1980" s="46">
        <f t="shared" si="329"/>
        <v>46153.583333333328</v>
      </c>
      <c r="B1980" s="46"/>
      <c r="C1980" s="46"/>
      <c r="D1980" s="46"/>
      <c r="E1980" s="47" t="s">
        <v>2963</v>
      </c>
      <c r="F1980" s="222" t="s">
        <v>4227</v>
      </c>
      <c r="G1980" s="222"/>
      <c r="H1980" s="86" t="s">
        <v>3051</v>
      </c>
      <c r="I1980" s="644" t="s">
        <v>3052</v>
      </c>
      <c r="J1980" s="51"/>
      <c r="K1980" s="52">
        <v>0</v>
      </c>
      <c r="L1980" s="52">
        <v>0</v>
      </c>
      <c r="M1980" s="53">
        <v>65</v>
      </c>
      <c r="N1980" s="54">
        <v>5006</v>
      </c>
      <c r="O1980" s="341">
        <v>1</v>
      </c>
      <c r="P1980" s="54">
        <f t="shared" si="330"/>
        <v>5006</v>
      </c>
      <c r="Q1980" s="54"/>
      <c r="R1980" s="92">
        <v>5006</v>
      </c>
      <c r="S1980" s="53">
        <f t="shared" si="324"/>
        <v>0</v>
      </c>
      <c r="T1980" s="343">
        <f t="shared" si="325"/>
        <v>1329.2307692307693</v>
      </c>
      <c r="U1980" s="52">
        <f t="shared" si="326"/>
        <v>0</v>
      </c>
      <c r="V1980" s="52">
        <f t="shared" si="327"/>
        <v>0</v>
      </c>
      <c r="W1980" s="52">
        <v>0</v>
      </c>
      <c r="X1980" s="55">
        <f t="shared" si="328"/>
        <v>46153.583333333328</v>
      </c>
    </row>
    <row r="1981" spans="1:24" hidden="1" x14ac:dyDescent="0.35">
      <c r="A1981" s="46">
        <f t="shared" si="329"/>
        <v>46153.583333333328</v>
      </c>
      <c r="B1981" s="46"/>
      <c r="C1981" s="46"/>
      <c r="D1981" s="46"/>
      <c r="E1981" s="47" t="s">
        <v>2963</v>
      </c>
      <c r="F1981" s="222" t="s">
        <v>4227</v>
      </c>
      <c r="G1981" s="222"/>
      <c r="H1981" s="86" t="s">
        <v>3053</v>
      </c>
      <c r="I1981" s="644" t="s">
        <v>3052</v>
      </c>
      <c r="J1981" s="51"/>
      <c r="K1981" s="52">
        <v>0</v>
      </c>
      <c r="L1981" s="52">
        <v>0</v>
      </c>
      <c r="M1981" s="53">
        <v>65</v>
      </c>
      <c r="N1981" s="54">
        <v>5006</v>
      </c>
      <c r="O1981" s="341">
        <v>1</v>
      </c>
      <c r="P1981" s="54">
        <f t="shared" si="330"/>
        <v>5006</v>
      </c>
      <c r="Q1981" s="54"/>
      <c r="R1981" s="92">
        <v>5006</v>
      </c>
      <c r="S1981" s="53">
        <f t="shared" si="324"/>
        <v>0</v>
      </c>
      <c r="T1981" s="343">
        <f t="shared" si="325"/>
        <v>1329.2307692307693</v>
      </c>
      <c r="U1981" s="52">
        <f t="shared" si="326"/>
        <v>0</v>
      </c>
      <c r="V1981" s="52">
        <f t="shared" si="327"/>
        <v>0</v>
      </c>
      <c r="W1981" s="52">
        <v>0</v>
      </c>
      <c r="X1981" s="55">
        <f t="shared" si="328"/>
        <v>46153.583333333328</v>
      </c>
    </row>
    <row r="1982" spans="1:24" hidden="1" x14ac:dyDescent="0.35">
      <c r="A1982" s="46">
        <f t="shared" si="329"/>
        <v>46153.583333333328</v>
      </c>
      <c r="B1982" s="46"/>
      <c r="C1982" s="46"/>
      <c r="D1982" s="46"/>
      <c r="E1982" s="47" t="s">
        <v>2963</v>
      </c>
      <c r="F1982" s="645" t="s">
        <v>3054</v>
      </c>
      <c r="G1982" s="645"/>
      <c r="H1982" s="86" t="s">
        <v>3055</v>
      </c>
      <c r="I1982" s="104" t="s">
        <v>3056</v>
      </c>
      <c r="J1982" s="51" t="s">
        <v>140</v>
      </c>
      <c r="K1982" s="52">
        <v>0</v>
      </c>
      <c r="L1982" s="52">
        <v>0</v>
      </c>
      <c r="M1982" s="53">
        <v>65</v>
      </c>
      <c r="N1982" s="54">
        <v>5000</v>
      </c>
      <c r="O1982" s="341">
        <v>1</v>
      </c>
      <c r="P1982" s="54">
        <f t="shared" si="330"/>
        <v>5000</v>
      </c>
      <c r="Q1982" s="54"/>
      <c r="R1982" s="92">
        <v>5000</v>
      </c>
      <c r="S1982" s="53">
        <f t="shared" si="324"/>
        <v>0</v>
      </c>
      <c r="T1982" s="343">
        <f t="shared" si="325"/>
        <v>1329.2307692307693</v>
      </c>
      <c r="U1982" s="52">
        <f t="shared" si="326"/>
        <v>0</v>
      </c>
      <c r="V1982" s="52">
        <f t="shared" si="327"/>
        <v>0</v>
      </c>
      <c r="W1982" s="52">
        <v>0</v>
      </c>
      <c r="X1982" s="55">
        <f t="shared" si="328"/>
        <v>46153.583333333328</v>
      </c>
    </row>
    <row r="1983" spans="1:24" hidden="1" x14ac:dyDescent="0.35">
      <c r="A1983" s="46">
        <f t="shared" si="329"/>
        <v>46153.583333333328</v>
      </c>
      <c r="B1983" s="46"/>
      <c r="C1983" s="46"/>
      <c r="D1983" s="46"/>
      <c r="E1983" s="47" t="s">
        <v>2963</v>
      </c>
      <c r="F1983" s="642" t="s">
        <v>3057</v>
      </c>
      <c r="G1983" s="642"/>
      <c r="H1983" s="86" t="s">
        <v>3058</v>
      </c>
      <c r="I1983" s="104" t="s">
        <v>3059</v>
      </c>
      <c r="J1983" s="51" t="s">
        <v>140</v>
      </c>
      <c r="K1983" s="52">
        <v>0</v>
      </c>
      <c r="L1983" s="52">
        <v>0</v>
      </c>
      <c r="M1983" s="53">
        <v>65</v>
      </c>
      <c r="N1983" s="54">
        <v>1000</v>
      </c>
      <c r="O1983" s="341">
        <v>1</v>
      </c>
      <c r="P1983" s="54">
        <f t="shared" si="330"/>
        <v>1000</v>
      </c>
      <c r="Q1983" s="54"/>
      <c r="R1983" s="92">
        <v>1000</v>
      </c>
      <c r="S1983" s="53">
        <f t="shared" si="324"/>
        <v>0</v>
      </c>
      <c r="T1983" s="343">
        <f t="shared" si="325"/>
        <v>1329.2307692307693</v>
      </c>
      <c r="U1983" s="52">
        <f t="shared" si="326"/>
        <v>0</v>
      </c>
      <c r="V1983" s="52">
        <f t="shared" si="327"/>
        <v>0</v>
      </c>
      <c r="W1983" s="52">
        <v>0</v>
      </c>
      <c r="X1983" s="55">
        <f t="shared" si="328"/>
        <v>46153.583333333328</v>
      </c>
    </row>
    <row r="1984" spans="1:24" hidden="1" x14ac:dyDescent="0.35">
      <c r="A1984" s="46">
        <f t="shared" si="329"/>
        <v>46153.583333333328</v>
      </c>
      <c r="B1984" s="46"/>
      <c r="C1984" s="46"/>
      <c r="D1984" s="46"/>
      <c r="E1984" s="47" t="s">
        <v>2963</v>
      </c>
      <c r="F1984" s="642" t="s">
        <v>3060</v>
      </c>
      <c r="G1984" s="642"/>
      <c r="H1984" s="86" t="s">
        <v>3061</v>
      </c>
      <c r="I1984" s="104" t="s">
        <v>2001</v>
      </c>
      <c r="J1984" s="51" t="s">
        <v>140</v>
      </c>
      <c r="K1984" s="52">
        <v>0</v>
      </c>
      <c r="L1984" s="52">
        <v>0</v>
      </c>
      <c r="M1984" s="53">
        <v>65</v>
      </c>
      <c r="N1984" s="54">
        <v>10434</v>
      </c>
      <c r="O1984" s="341">
        <v>1</v>
      </c>
      <c r="P1984" s="54">
        <f t="shared" si="330"/>
        <v>10434</v>
      </c>
      <c r="Q1984" s="54"/>
      <c r="R1984" s="92">
        <v>10434</v>
      </c>
      <c r="S1984" s="53">
        <f t="shared" si="324"/>
        <v>0</v>
      </c>
      <c r="T1984" s="343">
        <f t="shared" si="325"/>
        <v>1329.2307692307693</v>
      </c>
      <c r="U1984" s="52">
        <f t="shared" si="326"/>
        <v>0</v>
      </c>
      <c r="V1984" s="52">
        <f t="shared" si="327"/>
        <v>0</v>
      </c>
      <c r="W1984" s="52">
        <v>0</v>
      </c>
      <c r="X1984" s="55">
        <f t="shared" si="328"/>
        <v>46153.583333333328</v>
      </c>
    </row>
    <row r="1985" spans="1:24" hidden="1" x14ac:dyDescent="0.35">
      <c r="A1985" s="46">
        <f t="shared" si="329"/>
        <v>46153.583333333328</v>
      </c>
      <c r="B1985" s="46"/>
      <c r="C1985" s="46"/>
      <c r="D1985" s="46"/>
      <c r="E1985" s="47" t="s">
        <v>2963</v>
      </c>
      <c r="F1985" s="104" t="s">
        <v>543</v>
      </c>
      <c r="G1985" s="104"/>
      <c r="H1985" s="90" t="s">
        <v>3062</v>
      </c>
      <c r="I1985" s="639" t="s">
        <v>212</v>
      </c>
      <c r="J1985" s="51" t="s">
        <v>140</v>
      </c>
      <c r="K1985" s="91">
        <v>0</v>
      </c>
      <c r="L1985" s="91">
        <v>0</v>
      </c>
      <c r="M1985" s="92">
        <v>120</v>
      </c>
      <c r="N1985" s="226">
        <v>1680</v>
      </c>
      <c r="O1985" s="253">
        <v>1</v>
      </c>
      <c r="P1985" s="94">
        <f t="shared" si="330"/>
        <v>1680</v>
      </c>
      <c r="Q1985" s="94"/>
      <c r="R1985" s="182">
        <v>1680</v>
      </c>
      <c r="S1985" s="92">
        <f t="shared" si="324"/>
        <v>0</v>
      </c>
      <c r="T1985" s="254">
        <f t="shared" si="325"/>
        <v>720</v>
      </c>
      <c r="U1985" s="91">
        <f t="shared" si="326"/>
        <v>0</v>
      </c>
      <c r="V1985" s="91">
        <f t="shared" si="327"/>
        <v>0</v>
      </c>
      <c r="W1985" s="91">
        <v>0</v>
      </c>
      <c r="X1985" s="55">
        <f t="shared" si="328"/>
        <v>46153.583333333328</v>
      </c>
    </row>
    <row r="1986" spans="1:24" hidden="1" x14ac:dyDescent="0.35">
      <c r="A1986" s="46">
        <f t="shared" si="329"/>
        <v>46153.583333333328</v>
      </c>
      <c r="B1986" s="46"/>
      <c r="C1986" s="46"/>
      <c r="D1986" s="46"/>
      <c r="E1986" s="47" t="s">
        <v>2963</v>
      </c>
      <c r="F1986" s="104" t="s">
        <v>543</v>
      </c>
      <c r="G1986" s="104"/>
      <c r="H1986" s="90" t="s">
        <v>3063</v>
      </c>
      <c r="I1986" s="639" t="s">
        <v>205</v>
      </c>
      <c r="J1986" s="51" t="s">
        <v>140</v>
      </c>
      <c r="K1986" s="91">
        <v>0</v>
      </c>
      <c r="L1986" s="91">
        <v>0</v>
      </c>
      <c r="M1986" s="92">
        <v>120</v>
      </c>
      <c r="N1986" s="226">
        <v>1680</v>
      </c>
      <c r="O1986" s="253">
        <v>1</v>
      </c>
      <c r="P1986" s="94">
        <f t="shared" si="330"/>
        <v>1680</v>
      </c>
      <c r="Q1986" s="94"/>
      <c r="R1986" s="182">
        <v>1680</v>
      </c>
      <c r="S1986" s="92">
        <f t="shared" si="324"/>
        <v>0</v>
      </c>
      <c r="T1986" s="254">
        <f t="shared" si="325"/>
        <v>720</v>
      </c>
      <c r="U1986" s="91">
        <f t="shared" si="326"/>
        <v>0</v>
      </c>
      <c r="V1986" s="91">
        <f t="shared" si="327"/>
        <v>0</v>
      </c>
      <c r="W1986" s="91">
        <v>0</v>
      </c>
      <c r="X1986" s="55">
        <f t="shared" si="328"/>
        <v>46153.583333333328</v>
      </c>
    </row>
    <row r="1987" spans="1:24" hidden="1" x14ac:dyDescent="0.35">
      <c r="A1987" s="46">
        <f t="shared" si="329"/>
        <v>46153.583333333328</v>
      </c>
      <c r="B1987" s="46"/>
      <c r="C1987" s="46"/>
      <c r="D1987" s="46"/>
      <c r="E1987" s="47" t="s">
        <v>2963</v>
      </c>
      <c r="F1987" s="104" t="s">
        <v>543</v>
      </c>
      <c r="G1987" s="104"/>
      <c r="H1987" s="90" t="s">
        <v>3064</v>
      </c>
      <c r="I1987" s="87" t="s">
        <v>208</v>
      </c>
      <c r="J1987" s="51" t="s">
        <v>140</v>
      </c>
      <c r="K1987" s="91">
        <v>0</v>
      </c>
      <c r="L1987" s="91">
        <v>0</v>
      </c>
      <c r="M1987" s="92">
        <v>120</v>
      </c>
      <c r="N1987" s="93">
        <v>1680</v>
      </c>
      <c r="O1987" s="253">
        <v>1</v>
      </c>
      <c r="P1987" s="94">
        <f t="shared" si="330"/>
        <v>1680</v>
      </c>
      <c r="Q1987" s="94"/>
      <c r="R1987" s="595">
        <v>1680</v>
      </c>
      <c r="S1987" s="92">
        <f t="shared" si="324"/>
        <v>0</v>
      </c>
      <c r="T1987" s="254">
        <f t="shared" si="325"/>
        <v>720</v>
      </c>
      <c r="U1987" s="91">
        <f t="shared" si="326"/>
        <v>0</v>
      </c>
      <c r="V1987" s="91">
        <f t="shared" si="327"/>
        <v>0</v>
      </c>
      <c r="W1987" s="91">
        <v>0</v>
      </c>
      <c r="X1987" s="55">
        <f t="shared" si="328"/>
        <v>46153.583333333328</v>
      </c>
    </row>
    <row r="1988" spans="1:24" hidden="1" x14ac:dyDescent="0.35">
      <c r="A1988" s="46">
        <f t="shared" si="329"/>
        <v>46153.583333333328</v>
      </c>
      <c r="B1988" s="46"/>
      <c r="C1988" s="46"/>
      <c r="D1988" s="46"/>
      <c r="E1988" s="47" t="s">
        <v>2963</v>
      </c>
      <c r="F1988" s="104" t="s">
        <v>543</v>
      </c>
      <c r="G1988" s="104"/>
      <c r="H1988" s="90" t="s">
        <v>3065</v>
      </c>
      <c r="I1988" s="87" t="s">
        <v>203</v>
      </c>
      <c r="J1988" s="51" t="s">
        <v>140</v>
      </c>
      <c r="K1988" s="91">
        <v>0</v>
      </c>
      <c r="L1988" s="91">
        <v>0</v>
      </c>
      <c r="M1988" s="92">
        <v>120</v>
      </c>
      <c r="N1988" s="93">
        <v>840</v>
      </c>
      <c r="O1988" s="253">
        <v>1</v>
      </c>
      <c r="P1988" s="94">
        <f t="shared" si="330"/>
        <v>840</v>
      </c>
      <c r="Q1988" s="94"/>
      <c r="R1988" s="595">
        <v>840</v>
      </c>
      <c r="S1988" s="92">
        <f t="shared" si="324"/>
        <v>0</v>
      </c>
      <c r="T1988" s="254">
        <f t="shared" si="325"/>
        <v>720</v>
      </c>
      <c r="U1988" s="91">
        <f t="shared" si="326"/>
        <v>0</v>
      </c>
      <c r="V1988" s="91">
        <f t="shared" si="327"/>
        <v>0</v>
      </c>
      <c r="W1988" s="91">
        <v>0</v>
      </c>
      <c r="X1988" s="55">
        <f t="shared" si="328"/>
        <v>46153.583333333328</v>
      </c>
    </row>
    <row r="1989" spans="1:24" hidden="1" x14ac:dyDescent="0.35">
      <c r="A1989" s="46">
        <f t="shared" si="329"/>
        <v>46153.583333333328</v>
      </c>
      <c r="B1989" s="46"/>
      <c r="C1989" s="46"/>
      <c r="D1989" s="46"/>
      <c r="E1989" s="47" t="s">
        <v>2963</v>
      </c>
      <c r="F1989" s="104" t="s">
        <v>3066</v>
      </c>
      <c r="G1989" s="104"/>
      <c r="H1989" s="90" t="s">
        <v>3067</v>
      </c>
      <c r="I1989" s="638" t="s">
        <v>3016</v>
      </c>
      <c r="J1989" s="51" t="s">
        <v>140</v>
      </c>
      <c r="K1989" s="91">
        <v>0</v>
      </c>
      <c r="L1989" s="91">
        <v>0</v>
      </c>
      <c r="M1989" s="92">
        <v>650</v>
      </c>
      <c r="N1989" s="94">
        <v>25</v>
      </c>
      <c r="O1989" s="253">
        <v>1</v>
      </c>
      <c r="P1989" s="94">
        <f t="shared" si="330"/>
        <v>25</v>
      </c>
      <c r="Q1989" s="94"/>
      <c r="R1989" s="92">
        <v>25</v>
      </c>
      <c r="S1989" s="92">
        <f t="shared" si="324"/>
        <v>0</v>
      </c>
      <c r="T1989" s="254">
        <f t="shared" si="325"/>
        <v>132.92307692307691</v>
      </c>
      <c r="U1989" s="91">
        <f t="shared" si="326"/>
        <v>0</v>
      </c>
      <c r="V1989" s="91">
        <f t="shared" si="327"/>
        <v>0</v>
      </c>
      <c r="W1989" s="91">
        <v>0</v>
      </c>
      <c r="X1989" s="55">
        <f t="shared" si="328"/>
        <v>46153.583333333328</v>
      </c>
    </row>
    <row r="1990" spans="1:24" hidden="1" x14ac:dyDescent="0.35">
      <c r="A1990" s="46">
        <f t="shared" si="329"/>
        <v>46153.583333333328</v>
      </c>
      <c r="B1990" s="46"/>
      <c r="C1990" s="46"/>
      <c r="D1990" s="46"/>
      <c r="E1990" s="47" t="s">
        <v>2963</v>
      </c>
      <c r="F1990" s="104" t="s">
        <v>3068</v>
      </c>
      <c r="G1990" s="104"/>
      <c r="H1990" s="90" t="s">
        <v>3069</v>
      </c>
      <c r="I1990" s="638" t="s">
        <v>3016</v>
      </c>
      <c r="J1990" s="51" t="s">
        <v>140</v>
      </c>
      <c r="K1990" s="91">
        <v>0</v>
      </c>
      <c r="L1990" s="91">
        <v>0</v>
      </c>
      <c r="M1990" s="92">
        <v>650</v>
      </c>
      <c r="N1990" s="94">
        <v>25</v>
      </c>
      <c r="O1990" s="253">
        <v>1</v>
      </c>
      <c r="P1990" s="94">
        <f t="shared" si="330"/>
        <v>25</v>
      </c>
      <c r="Q1990" s="94"/>
      <c r="R1990" s="92">
        <v>25</v>
      </c>
      <c r="S1990" s="92">
        <f t="shared" si="324"/>
        <v>0</v>
      </c>
      <c r="T1990" s="254">
        <f t="shared" si="325"/>
        <v>132.92307692307691</v>
      </c>
      <c r="U1990" s="91">
        <f t="shared" si="326"/>
        <v>0</v>
      </c>
      <c r="V1990" s="91">
        <f t="shared" si="327"/>
        <v>0</v>
      </c>
      <c r="W1990" s="91">
        <v>0</v>
      </c>
      <c r="X1990" s="55">
        <f t="shared" si="328"/>
        <v>46153.583333333328</v>
      </c>
    </row>
    <row r="1991" spans="1:24" hidden="1" x14ac:dyDescent="0.35">
      <c r="A1991" s="46">
        <f t="shared" si="329"/>
        <v>46153.583333333328</v>
      </c>
      <c r="B1991" s="46"/>
      <c r="C1991" s="46"/>
      <c r="D1991" s="46"/>
      <c r="E1991" s="296" t="s">
        <v>2963</v>
      </c>
      <c r="F1991" s="350" t="s">
        <v>14</v>
      </c>
      <c r="G1991" s="350"/>
      <c r="H1991" s="646"/>
      <c r="I1991" s="350" t="s">
        <v>3070</v>
      </c>
      <c r="J1991" s="351" t="s">
        <v>140</v>
      </c>
      <c r="K1991" s="352">
        <v>0</v>
      </c>
      <c r="L1991" s="352">
        <v>0</v>
      </c>
      <c r="M1991" s="353">
        <v>140</v>
      </c>
      <c r="N1991" s="647">
        <v>20</v>
      </c>
      <c r="O1991" s="355">
        <v>1</v>
      </c>
      <c r="P1991" s="354">
        <f t="shared" si="330"/>
        <v>20</v>
      </c>
      <c r="Q1991" s="354"/>
      <c r="R1991" s="306">
        <v>20</v>
      </c>
      <c r="S1991" s="353">
        <f t="shared" si="324"/>
        <v>0</v>
      </c>
      <c r="T1991" s="356">
        <f t="shared" si="325"/>
        <v>617.14285714285711</v>
      </c>
      <c r="U1991" s="352">
        <f t="shared" si="326"/>
        <v>0</v>
      </c>
      <c r="V1991" s="352">
        <f t="shared" si="327"/>
        <v>0</v>
      </c>
      <c r="W1991" s="352">
        <v>0</v>
      </c>
      <c r="X1991" s="55">
        <f t="shared" si="328"/>
        <v>46153.583333333328</v>
      </c>
    </row>
    <row r="1992" spans="1:24" hidden="1" x14ac:dyDescent="0.35">
      <c r="A1992" s="46">
        <f t="shared" si="329"/>
        <v>46153.583333333328</v>
      </c>
      <c r="B1992" s="46"/>
      <c r="C1992" s="46"/>
      <c r="D1992" s="46"/>
      <c r="E1992" s="47" t="s">
        <v>2963</v>
      </c>
      <c r="F1992" s="222" t="s">
        <v>3025</v>
      </c>
      <c r="G1992" s="222"/>
      <c r="H1992" s="86" t="s">
        <v>3071</v>
      </c>
      <c r="I1992" s="638" t="s">
        <v>3072</v>
      </c>
      <c r="J1992" s="51" t="s">
        <v>140</v>
      </c>
      <c r="K1992" s="52">
        <v>0</v>
      </c>
      <c r="L1992" s="52">
        <v>0</v>
      </c>
      <c r="M1992" s="53">
        <v>220</v>
      </c>
      <c r="N1992" s="54">
        <v>52</v>
      </c>
      <c r="O1992" s="341">
        <v>1</v>
      </c>
      <c r="P1992" s="54">
        <f t="shared" si="330"/>
        <v>52</v>
      </c>
      <c r="Q1992" s="54"/>
      <c r="R1992" s="92">
        <v>52</v>
      </c>
      <c r="S1992" s="53">
        <f t="shared" si="324"/>
        <v>0</v>
      </c>
      <c r="T1992" s="343">
        <f t="shared" si="325"/>
        <v>392.72727272727275</v>
      </c>
      <c r="U1992" s="52">
        <f t="shared" si="326"/>
        <v>0</v>
      </c>
      <c r="V1992" s="52">
        <f t="shared" si="327"/>
        <v>0</v>
      </c>
      <c r="W1992" s="52">
        <v>0</v>
      </c>
      <c r="X1992" s="55">
        <f t="shared" si="328"/>
        <v>46153.583333333328</v>
      </c>
    </row>
    <row r="1993" spans="1:24" hidden="1" x14ac:dyDescent="0.35">
      <c r="A1993" s="46">
        <f t="shared" si="329"/>
        <v>46153.583333333328</v>
      </c>
      <c r="B1993" s="46"/>
      <c r="C1993" s="46"/>
      <c r="D1993" s="46"/>
      <c r="E1993" s="47" t="s">
        <v>2963</v>
      </c>
      <c r="F1993" s="222" t="s">
        <v>1362</v>
      </c>
      <c r="G1993" s="222"/>
      <c r="H1993" s="86" t="s">
        <v>1362</v>
      </c>
      <c r="I1993" s="638" t="s">
        <v>3073</v>
      </c>
      <c r="J1993" s="51" t="s">
        <v>140</v>
      </c>
      <c r="K1993" s="52">
        <v>0</v>
      </c>
      <c r="L1993" s="52">
        <v>0</v>
      </c>
      <c r="M1993" s="53">
        <v>220</v>
      </c>
      <c r="N1993" s="54">
        <v>50</v>
      </c>
      <c r="O1993" s="341">
        <v>1</v>
      </c>
      <c r="P1993" s="54">
        <f t="shared" si="330"/>
        <v>50</v>
      </c>
      <c r="Q1993" s="54"/>
      <c r="R1993" s="92">
        <v>50</v>
      </c>
      <c r="S1993" s="53">
        <f t="shared" si="324"/>
        <v>0</v>
      </c>
      <c r="T1993" s="343">
        <f t="shared" si="325"/>
        <v>392.72727272727275</v>
      </c>
      <c r="U1993" s="52">
        <f t="shared" si="326"/>
        <v>0</v>
      </c>
      <c r="V1993" s="52">
        <f t="shared" si="327"/>
        <v>0</v>
      </c>
      <c r="W1993" s="52">
        <v>0</v>
      </c>
      <c r="X1993" s="55">
        <f t="shared" si="328"/>
        <v>46153.583333333328</v>
      </c>
    </row>
    <row r="1994" spans="1:24" hidden="1" x14ac:dyDescent="0.35">
      <c r="A1994" s="46">
        <f t="shared" si="329"/>
        <v>46153.583333333328</v>
      </c>
      <c r="B1994" s="46"/>
      <c r="C1994" s="46"/>
      <c r="D1994" s="46"/>
      <c r="E1994" s="296" t="s">
        <v>2963</v>
      </c>
      <c r="F1994" s="350" t="s">
        <v>14</v>
      </c>
      <c r="G1994" s="350"/>
      <c r="H1994" s="646"/>
      <c r="I1994" s="648" t="s">
        <v>3074</v>
      </c>
      <c r="J1994" s="351" t="s">
        <v>140</v>
      </c>
      <c r="K1994" s="352">
        <v>0</v>
      </c>
      <c r="L1994" s="352">
        <v>0</v>
      </c>
      <c r="M1994" s="353">
        <v>60</v>
      </c>
      <c r="N1994" s="647">
        <v>20</v>
      </c>
      <c r="O1994" s="355">
        <v>1</v>
      </c>
      <c r="P1994" s="354">
        <f t="shared" si="330"/>
        <v>20</v>
      </c>
      <c r="Q1994" s="354"/>
      <c r="R1994" s="306">
        <v>20</v>
      </c>
      <c r="S1994" s="353">
        <f t="shared" si="324"/>
        <v>0</v>
      </c>
      <c r="T1994" s="356">
        <f t="shared" si="325"/>
        <v>1440</v>
      </c>
      <c r="U1994" s="352">
        <f t="shared" si="326"/>
        <v>0</v>
      </c>
      <c r="V1994" s="352">
        <f t="shared" si="327"/>
        <v>0</v>
      </c>
      <c r="W1994" s="352">
        <v>0</v>
      </c>
      <c r="X1994" s="55">
        <f t="shared" si="328"/>
        <v>46153.583333333328</v>
      </c>
    </row>
    <row r="1995" spans="1:24" hidden="1" x14ac:dyDescent="0.35">
      <c r="A1995" s="46">
        <f t="shared" si="329"/>
        <v>46153.583333333328</v>
      </c>
      <c r="B1995" s="46"/>
      <c r="C1995" s="46"/>
      <c r="D1995" s="46"/>
      <c r="E1995" s="47" t="s">
        <v>2963</v>
      </c>
      <c r="F1995" s="104" t="s">
        <v>3075</v>
      </c>
      <c r="G1995" s="104"/>
      <c r="H1995" s="90" t="s">
        <v>3076</v>
      </c>
      <c r="I1995" s="598" t="s">
        <v>3074</v>
      </c>
      <c r="J1995" s="51" t="s">
        <v>140</v>
      </c>
      <c r="K1995" s="91">
        <v>0</v>
      </c>
      <c r="L1995" s="91">
        <v>0</v>
      </c>
      <c r="M1995" s="92">
        <v>75</v>
      </c>
      <c r="N1995" s="226">
        <v>3050</v>
      </c>
      <c r="O1995" s="253">
        <v>1</v>
      </c>
      <c r="P1995" s="94">
        <f t="shared" si="330"/>
        <v>3050</v>
      </c>
      <c r="Q1995" s="94"/>
      <c r="R1995" s="182">
        <v>3050</v>
      </c>
      <c r="S1995" s="92">
        <f t="shared" si="324"/>
        <v>0</v>
      </c>
      <c r="T1995" s="254">
        <f t="shared" si="325"/>
        <v>1152</v>
      </c>
      <c r="U1995" s="91">
        <f t="shared" si="326"/>
        <v>0</v>
      </c>
      <c r="V1995" s="91">
        <f t="shared" si="327"/>
        <v>0</v>
      </c>
      <c r="W1995" s="91">
        <v>0</v>
      </c>
      <c r="X1995" s="55">
        <f t="shared" si="328"/>
        <v>46153.583333333328</v>
      </c>
    </row>
    <row r="1996" spans="1:24" hidden="1" x14ac:dyDescent="0.35">
      <c r="A1996" s="46">
        <f t="shared" si="329"/>
        <v>46153.583333333328</v>
      </c>
      <c r="B1996" s="46"/>
      <c r="C1996" s="46"/>
      <c r="D1996" s="46"/>
      <c r="E1996" s="47" t="s">
        <v>2963</v>
      </c>
      <c r="F1996" s="104" t="s">
        <v>3077</v>
      </c>
      <c r="G1996" s="104"/>
      <c r="H1996" s="90" t="s">
        <v>3078</v>
      </c>
      <c r="I1996" s="87" t="s">
        <v>210</v>
      </c>
      <c r="J1996" s="51" t="s">
        <v>140</v>
      </c>
      <c r="K1996" s="91">
        <v>0</v>
      </c>
      <c r="L1996" s="91">
        <v>0</v>
      </c>
      <c r="M1996" s="92">
        <v>120</v>
      </c>
      <c r="N1996" s="93">
        <v>420</v>
      </c>
      <c r="O1996" s="253">
        <v>1</v>
      </c>
      <c r="P1996" s="94">
        <f t="shared" si="330"/>
        <v>420</v>
      </c>
      <c r="Q1996" s="94"/>
      <c r="R1996" s="595">
        <v>420</v>
      </c>
      <c r="S1996" s="92">
        <f t="shared" si="324"/>
        <v>0</v>
      </c>
      <c r="T1996" s="254">
        <f t="shared" si="325"/>
        <v>720</v>
      </c>
      <c r="U1996" s="91">
        <f t="shared" si="326"/>
        <v>0</v>
      </c>
      <c r="V1996" s="91">
        <f t="shared" si="327"/>
        <v>0</v>
      </c>
      <c r="W1996" s="91">
        <v>0</v>
      </c>
      <c r="X1996" s="55">
        <f t="shared" si="328"/>
        <v>46153.583333333328</v>
      </c>
    </row>
    <row r="1997" spans="1:24" hidden="1" x14ac:dyDescent="0.35">
      <c r="A1997" s="46">
        <f t="shared" si="329"/>
        <v>46153.583333333328</v>
      </c>
      <c r="B1997" s="46"/>
      <c r="C1997" s="46"/>
      <c r="D1997" s="46"/>
      <c r="E1997" s="47" t="s">
        <v>2963</v>
      </c>
      <c r="F1997" s="104" t="s">
        <v>3077</v>
      </c>
      <c r="G1997" s="104"/>
      <c r="H1997" s="90" t="s">
        <v>3079</v>
      </c>
      <c r="I1997" s="87" t="s">
        <v>205</v>
      </c>
      <c r="J1997" s="51" t="s">
        <v>140</v>
      </c>
      <c r="K1997" s="91">
        <v>0</v>
      </c>
      <c r="L1997" s="91">
        <v>0</v>
      </c>
      <c r="M1997" s="92">
        <v>120</v>
      </c>
      <c r="N1997" s="93">
        <v>1260</v>
      </c>
      <c r="O1997" s="253">
        <v>1</v>
      </c>
      <c r="P1997" s="94">
        <f t="shared" si="330"/>
        <v>1260</v>
      </c>
      <c r="Q1997" s="94"/>
      <c r="R1997" s="595">
        <v>1260</v>
      </c>
      <c r="S1997" s="92">
        <f t="shared" si="324"/>
        <v>0</v>
      </c>
      <c r="T1997" s="254">
        <f t="shared" si="325"/>
        <v>720</v>
      </c>
      <c r="U1997" s="91">
        <f t="shared" si="326"/>
        <v>0</v>
      </c>
      <c r="V1997" s="91">
        <f t="shared" si="327"/>
        <v>0</v>
      </c>
      <c r="W1997" s="91">
        <v>0</v>
      </c>
      <c r="X1997" s="55">
        <f t="shared" si="328"/>
        <v>46153.583333333328</v>
      </c>
    </row>
    <row r="1998" spans="1:24" hidden="1" x14ac:dyDescent="0.35">
      <c r="A1998" s="46">
        <f t="shared" si="329"/>
        <v>46153.583333333328</v>
      </c>
      <c r="B1998" s="46"/>
      <c r="C1998" s="46"/>
      <c r="D1998" s="46"/>
      <c r="E1998" s="47" t="s">
        <v>2963</v>
      </c>
      <c r="F1998" s="104" t="s">
        <v>3077</v>
      </c>
      <c r="G1998" s="104"/>
      <c r="H1998" s="90" t="s">
        <v>3080</v>
      </c>
      <c r="I1998" s="87" t="s">
        <v>208</v>
      </c>
      <c r="J1998" s="51" t="s">
        <v>140</v>
      </c>
      <c r="K1998" s="91">
        <v>0</v>
      </c>
      <c r="L1998" s="91">
        <v>0</v>
      </c>
      <c r="M1998" s="92">
        <v>120</v>
      </c>
      <c r="N1998" s="93">
        <v>1260</v>
      </c>
      <c r="O1998" s="253">
        <v>1</v>
      </c>
      <c r="P1998" s="94">
        <f t="shared" si="330"/>
        <v>1260</v>
      </c>
      <c r="Q1998" s="94"/>
      <c r="R1998" s="595">
        <v>1260</v>
      </c>
      <c r="S1998" s="92">
        <f t="shared" si="324"/>
        <v>0</v>
      </c>
      <c r="T1998" s="254">
        <f t="shared" si="325"/>
        <v>720</v>
      </c>
      <c r="U1998" s="91">
        <f t="shared" si="326"/>
        <v>0</v>
      </c>
      <c r="V1998" s="91">
        <f t="shared" si="327"/>
        <v>0</v>
      </c>
      <c r="W1998" s="91">
        <v>0</v>
      </c>
      <c r="X1998" s="55">
        <f t="shared" si="328"/>
        <v>46153.583333333328</v>
      </c>
    </row>
    <row r="1999" spans="1:24" hidden="1" x14ac:dyDescent="0.35">
      <c r="A1999" s="46">
        <f t="shared" si="329"/>
        <v>46153.583333333328</v>
      </c>
      <c r="B1999" s="46"/>
      <c r="C1999" s="46"/>
      <c r="D1999" s="46"/>
      <c r="E1999" s="47" t="s">
        <v>2963</v>
      </c>
      <c r="F1999" s="104" t="s">
        <v>3077</v>
      </c>
      <c r="G1999" s="104"/>
      <c r="H1999" s="90" t="s">
        <v>3081</v>
      </c>
      <c r="I1999" s="87" t="s">
        <v>203</v>
      </c>
      <c r="J1999" s="51" t="s">
        <v>140</v>
      </c>
      <c r="K1999" s="91">
        <v>0</v>
      </c>
      <c r="L1999" s="91">
        <v>0</v>
      </c>
      <c r="M1999" s="92">
        <v>120</v>
      </c>
      <c r="N1999" s="93">
        <v>1260</v>
      </c>
      <c r="O1999" s="253">
        <v>1</v>
      </c>
      <c r="P1999" s="94">
        <f t="shared" si="330"/>
        <v>1260</v>
      </c>
      <c r="Q1999" s="94"/>
      <c r="R1999" s="595">
        <v>1260</v>
      </c>
      <c r="S1999" s="92">
        <f t="shared" si="324"/>
        <v>0</v>
      </c>
      <c r="T1999" s="254">
        <f t="shared" si="325"/>
        <v>720</v>
      </c>
      <c r="U1999" s="91">
        <f t="shared" si="326"/>
        <v>0</v>
      </c>
      <c r="V1999" s="91">
        <f t="shared" si="327"/>
        <v>0</v>
      </c>
      <c r="W1999" s="91">
        <v>0</v>
      </c>
      <c r="X1999" s="55">
        <f t="shared" si="328"/>
        <v>46153.583333333328</v>
      </c>
    </row>
    <row r="2000" spans="1:24" hidden="1" x14ac:dyDescent="0.35">
      <c r="A2000" s="46">
        <f t="shared" si="329"/>
        <v>46153.583333333328</v>
      </c>
      <c r="B2000" s="46"/>
      <c r="C2000" s="46"/>
      <c r="D2000" s="46"/>
      <c r="E2000" s="47" t="s">
        <v>2963</v>
      </c>
      <c r="F2000" s="104" t="s">
        <v>189</v>
      </c>
      <c r="G2000" s="104"/>
      <c r="H2000" s="86" t="s">
        <v>3082</v>
      </c>
      <c r="I2000" s="639" t="s">
        <v>3050</v>
      </c>
      <c r="J2000" s="51" t="s">
        <v>140</v>
      </c>
      <c r="K2000" s="52">
        <v>0</v>
      </c>
      <c r="L2000" s="52">
        <v>0</v>
      </c>
      <c r="M2000" s="53">
        <v>120</v>
      </c>
      <c r="N2000" s="218">
        <v>300</v>
      </c>
      <c r="O2000" s="341">
        <v>1</v>
      </c>
      <c r="P2000" s="54">
        <f t="shared" si="330"/>
        <v>300</v>
      </c>
      <c r="Q2000" s="54"/>
      <c r="R2000" s="182">
        <v>300</v>
      </c>
      <c r="S2000" s="53">
        <f t="shared" si="324"/>
        <v>0</v>
      </c>
      <c r="T2000" s="343">
        <f t="shared" si="325"/>
        <v>720</v>
      </c>
      <c r="U2000" s="52">
        <f t="shared" si="326"/>
        <v>0</v>
      </c>
      <c r="V2000" s="52">
        <f t="shared" si="327"/>
        <v>0</v>
      </c>
      <c r="W2000" s="52">
        <v>0</v>
      </c>
      <c r="X2000" s="55">
        <f t="shared" si="328"/>
        <v>46153.583333333328</v>
      </c>
    </row>
    <row r="2001" spans="1:24" hidden="1" x14ac:dyDescent="0.35">
      <c r="A2001" s="46">
        <f t="shared" si="329"/>
        <v>46153.583333333328</v>
      </c>
      <c r="B2001" s="46"/>
      <c r="C2001" s="46"/>
      <c r="D2001" s="46"/>
      <c r="E2001" s="47" t="s">
        <v>2963</v>
      </c>
      <c r="F2001" s="222" t="s">
        <v>3083</v>
      </c>
      <c r="G2001" s="222"/>
      <c r="H2001" s="86" t="s">
        <v>3084</v>
      </c>
      <c r="I2001" s="638" t="s">
        <v>3024</v>
      </c>
      <c r="J2001" s="51" t="s">
        <v>140</v>
      </c>
      <c r="K2001" s="52">
        <v>0</v>
      </c>
      <c r="L2001" s="52">
        <v>0</v>
      </c>
      <c r="M2001" s="53">
        <v>220</v>
      </c>
      <c r="N2001" s="54">
        <v>110</v>
      </c>
      <c r="O2001" s="341">
        <v>1</v>
      </c>
      <c r="P2001" s="54">
        <f t="shared" si="330"/>
        <v>110</v>
      </c>
      <c r="Q2001" s="54"/>
      <c r="R2001" s="92">
        <v>110</v>
      </c>
      <c r="S2001" s="53">
        <f t="shared" si="324"/>
        <v>0</v>
      </c>
      <c r="T2001" s="343">
        <f t="shared" si="325"/>
        <v>392.72727272727275</v>
      </c>
      <c r="U2001" s="52">
        <f t="shared" si="326"/>
        <v>0</v>
      </c>
      <c r="V2001" s="52">
        <f t="shared" si="327"/>
        <v>0</v>
      </c>
      <c r="W2001" s="52">
        <v>0</v>
      </c>
      <c r="X2001" s="55">
        <f t="shared" si="328"/>
        <v>46153.583333333328</v>
      </c>
    </row>
    <row r="2002" spans="1:24" hidden="1" x14ac:dyDescent="0.35">
      <c r="A2002" s="46">
        <f t="shared" si="329"/>
        <v>46153.583333333328</v>
      </c>
      <c r="B2002" s="46"/>
      <c r="C2002" s="46"/>
      <c r="D2002" s="46"/>
      <c r="E2002" s="47" t="s">
        <v>2963</v>
      </c>
      <c r="F2002" s="222" t="s">
        <v>3083</v>
      </c>
      <c r="G2002" s="222"/>
      <c r="H2002" s="86" t="s">
        <v>3085</v>
      </c>
      <c r="I2002" s="638" t="s">
        <v>3072</v>
      </c>
      <c r="J2002" s="51" t="s">
        <v>140</v>
      </c>
      <c r="K2002" s="52">
        <v>0</v>
      </c>
      <c r="L2002" s="52">
        <v>0</v>
      </c>
      <c r="M2002" s="53">
        <v>220</v>
      </c>
      <c r="N2002" s="54">
        <v>600</v>
      </c>
      <c r="O2002" s="341">
        <v>1</v>
      </c>
      <c r="P2002" s="54">
        <f t="shared" si="330"/>
        <v>600</v>
      </c>
      <c r="Q2002" s="54"/>
      <c r="R2002" s="92">
        <v>600</v>
      </c>
      <c r="S2002" s="53">
        <f t="shared" si="324"/>
        <v>0</v>
      </c>
      <c r="T2002" s="343">
        <f t="shared" si="325"/>
        <v>392.72727272727275</v>
      </c>
      <c r="U2002" s="52">
        <f t="shared" si="326"/>
        <v>0</v>
      </c>
      <c r="V2002" s="52">
        <f t="shared" si="327"/>
        <v>0</v>
      </c>
      <c r="W2002" s="52">
        <v>0</v>
      </c>
      <c r="X2002" s="55">
        <f t="shared" si="328"/>
        <v>46153.583333333328</v>
      </c>
    </row>
    <row r="2003" spans="1:24" hidden="1" x14ac:dyDescent="0.35">
      <c r="A2003" s="46">
        <f t="shared" si="329"/>
        <v>46153.583333333328</v>
      </c>
      <c r="B2003" s="46"/>
      <c r="C2003" s="46"/>
      <c r="D2003" s="46"/>
      <c r="E2003" s="47" t="s">
        <v>2963</v>
      </c>
      <c r="F2003" s="104" t="s">
        <v>3075</v>
      </c>
      <c r="G2003" s="104"/>
      <c r="H2003" s="90" t="s">
        <v>3086</v>
      </c>
      <c r="I2003" s="598" t="s">
        <v>3074</v>
      </c>
      <c r="J2003" s="51" t="s">
        <v>140</v>
      </c>
      <c r="K2003" s="91">
        <v>0</v>
      </c>
      <c r="L2003" s="91">
        <v>0</v>
      </c>
      <c r="M2003" s="92">
        <v>75</v>
      </c>
      <c r="N2003" s="226">
        <v>1123</v>
      </c>
      <c r="O2003" s="253">
        <v>1</v>
      </c>
      <c r="P2003" s="94">
        <f t="shared" si="330"/>
        <v>1123</v>
      </c>
      <c r="Q2003" s="94"/>
      <c r="R2003" s="182">
        <v>1123</v>
      </c>
      <c r="S2003" s="92">
        <f t="shared" si="324"/>
        <v>0</v>
      </c>
      <c r="T2003" s="254">
        <f t="shared" si="325"/>
        <v>1152</v>
      </c>
      <c r="U2003" s="91">
        <f t="shared" si="326"/>
        <v>0</v>
      </c>
      <c r="V2003" s="91">
        <f t="shared" si="327"/>
        <v>0</v>
      </c>
      <c r="W2003" s="91">
        <v>0</v>
      </c>
      <c r="X2003" s="55">
        <f t="shared" si="328"/>
        <v>46153.583333333328</v>
      </c>
    </row>
    <row r="2004" spans="1:24" hidden="1" x14ac:dyDescent="0.35">
      <c r="A2004" s="46">
        <f t="shared" si="329"/>
        <v>46153.583333333328</v>
      </c>
      <c r="B2004" s="46"/>
      <c r="C2004" s="46"/>
      <c r="D2004" s="46"/>
      <c r="E2004" s="47" t="s">
        <v>2963</v>
      </c>
      <c r="F2004" s="104" t="s">
        <v>898</v>
      </c>
      <c r="G2004" s="104"/>
      <c r="H2004" s="90" t="s">
        <v>3087</v>
      </c>
      <c r="I2004" s="598" t="s">
        <v>3074</v>
      </c>
      <c r="J2004" s="51" t="s">
        <v>140</v>
      </c>
      <c r="K2004" s="91">
        <v>0</v>
      </c>
      <c r="L2004" s="91">
        <v>0</v>
      </c>
      <c r="M2004" s="92">
        <v>75</v>
      </c>
      <c r="N2004" s="226">
        <v>2000</v>
      </c>
      <c r="O2004" s="253">
        <v>1</v>
      </c>
      <c r="P2004" s="94">
        <f t="shared" si="330"/>
        <v>2000</v>
      </c>
      <c r="Q2004" s="94"/>
      <c r="R2004" s="182">
        <v>2000</v>
      </c>
      <c r="S2004" s="92">
        <f t="shared" si="324"/>
        <v>0</v>
      </c>
      <c r="T2004" s="254">
        <f t="shared" si="325"/>
        <v>1152</v>
      </c>
      <c r="U2004" s="91">
        <f t="shared" si="326"/>
        <v>0</v>
      </c>
      <c r="V2004" s="91">
        <f t="shared" si="327"/>
        <v>0</v>
      </c>
      <c r="W2004" s="91">
        <v>0</v>
      </c>
      <c r="X2004" s="55">
        <f t="shared" si="328"/>
        <v>46153.583333333328</v>
      </c>
    </row>
    <row r="2005" spans="1:24" hidden="1" x14ac:dyDescent="0.35">
      <c r="A2005" s="46">
        <f t="shared" si="329"/>
        <v>46153.583333333328</v>
      </c>
      <c r="B2005" s="46"/>
      <c r="C2005" s="46"/>
      <c r="D2005" s="46"/>
      <c r="E2005" s="74" t="s">
        <v>2963</v>
      </c>
      <c r="F2005" s="649" t="s">
        <v>202</v>
      </c>
      <c r="G2005" s="649"/>
      <c r="H2005" s="643" t="s">
        <v>3088</v>
      </c>
      <c r="I2005" s="64" t="s">
        <v>203</v>
      </c>
      <c r="J2005" s="60" t="s">
        <v>140</v>
      </c>
      <c r="K2005" s="78">
        <v>0</v>
      </c>
      <c r="L2005" s="78">
        <v>0</v>
      </c>
      <c r="M2005" s="79">
        <v>120</v>
      </c>
      <c r="N2005" s="80">
        <v>1260</v>
      </c>
      <c r="O2005" s="392">
        <v>1</v>
      </c>
      <c r="P2005" s="428">
        <f t="shared" si="330"/>
        <v>1260</v>
      </c>
      <c r="Q2005" s="428"/>
      <c r="R2005" s="427">
        <v>1260</v>
      </c>
      <c r="S2005" s="427">
        <f t="shared" si="324"/>
        <v>0</v>
      </c>
      <c r="T2005" s="430">
        <f t="shared" si="325"/>
        <v>720</v>
      </c>
      <c r="U2005" s="110">
        <f t="shared" si="326"/>
        <v>0</v>
      </c>
      <c r="V2005" s="110">
        <f t="shared" si="327"/>
        <v>0</v>
      </c>
      <c r="W2005" s="91">
        <v>0</v>
      </c>
      <c r="X2005" s="55">
        <f t="shared" si="328"/>
        <v>46153.583333333328</v>
      </c>
    </row>
    <row r="2006" spans="1:24" ht="29" hidden="1" x14ac:dyDescent="0.35">
      <c r="A2006" s="46">
        <f t="shared" si="329"/>
        <v>46153.583333333328</v>
      </c>
      <c r="B2006" s="46"/>
      <c r="C2006" s="46"/>
      <c r="D2006" s="46"/>
      <c r="E2006" s="74" t="s">
        <v>2963</v>
      </c>
      <c r="F2006" s="75" t="s">
        <v>202</v>
      </c>
      <c r="G2006" s="75"/>
      <c r="H2006" s="216" t="s">
        <v>3089</v>
      </c>
      <c r="I2006" s="77" t="s">
        <v>208</v>
      </c>
      <c r="J2006" s="491" t="s">
        <v>140</v>
      </c>
      <c r="K2006" s="78">
        <v>0</v>
      </c>
      <c r="L2006" s="78">
        <v>0</v>
      </c>
      <c r="M2006" s="79">
        <v>120</v>
      </c>
      <c r="N2006" s="80">
        <v>2100</v>
      </c>
      <c r="O2006" s="392">
        <v>1</v>
      </c>
      <c r="P2006" s="428">
        <f t="shared" si="330"/>
        <v>2100</v>
      </c>
      <c r="Q2006" s="428"/>
      <c r="R2006" s="427">
        <v>2100</v>
      </c>
      <c r="S2006" s="427">
        <f t="shared" ref="S2006:S2069" si="331">P2006-R2006</f>
        <v>0</v>
      </c>
      <c r="T2006" s="600">
        <f t="shared" ref="T2006:T2069" si="332">((3600/M2006)*O2006)*24</f>
        <v>720</v>
      </c>
      <c r="U2006" s="601">
        <f t="shared" ref="U2006:U2069" si="333">(P2006-R2006)*M2006/3600</f>
        <v>0</v>
      </c>
      <c r="V2006" s="601">
        <f t="shared" ref="V2006:V2069" si="334">(P2006-R2006)*M2006/3600/24</f>
        <v>0</v>
      </c>
      <c r="W2006" s="101">
        <v>0</v>
      </c>
      <c r="X2006" s="55">
        <f t="shared" ref="X2006:X2069" si="335">A2006+K2006+L2006+V2006+W2006</f>
        <v>46153.583333333328</v>
      </c>
    </row>
    <row r="2007" spans="1:24" ht="29" hidden="1" x14ac:dyDescent="0.35">
      <c r="A2007" s="46">
        <f t="shared" ref="A2007:A2070" si="336">X2006</f>
        <v>46153.583333333328</v>
      </c>
      <c r="B2007" s="46"/>
      <c r="C2007" s="46"/>
      <c r="D2007" s="46"/>
      <c r="E2007" s="74" t="s">
        <v>2963</v>
      </c>
      <c r="F2007" s="75" t="s">
        <v>202</v>
      </c>
      <c r="G2007" s="75"/>
      <c r="H2007" s="216" t="s">
        <v>3090</v>
      </c>
      <c r="I2007" s="77" t="s">
        <v>2969</v>
      </c>
      <c r="J2007" s="491" t="s">
        <v>140</v>
      </c>
      <c r="K2007" s="78">
        <v>0</v>
      </c>
      <c r="L2007" s="78">
        <v>0</v>
      </c>
      <c r="M2007" s="79">
        <v>140</v>
      </c>
      <c r="N2007" s="80">
        <v>600</v>
      </c>
      <c r="O2007" s="392">
        <v>1</v>
      </c>
      <c r="P2007" s="428">
        <f t="shared" si="330"/>
        <v>600</v>
      </c>
      <c r="Q2007" s="428"/>
      <c r="R2007" s="427">
        <v>600</v>
      </c>
      <c r="S2007" s="427">
        <f t="shared" si="331"/>
        <v>0</v>
      </c>
      <c r="T2007" s="600">
        <f t="shared" si="332"/>
        <v>617.14285714285711</v>
      </c>
      <c r="U2007" s="601">
        <f t="shared" si="333"/>
        <v>0</v>
      </c>
      <c r="V2007" s="601">
        <f t="shared" si="334"/>
        <v>0</v>
      </c>
      <c r="W2007" s="101">
        <v>0</v>
      </c>
      <c r="X2007" s="55">
        <f t="shared" si="335"/>
        <v>46153.583333333328</v>
      </c>
    </row>
    <row r="2008" spans="1:24" s="221" customFormat="1" ht="29" hidden="1" x14ac:dyDescent="0.35">
      <c r="A2008" s="46">
        <f t="shared" si="336"/>
        <v>46153.583333333328</v>
      </c>
      <c r="B2008" s="46"/>
      <c r="C2008" s="46"/>
      <c r="D2008" s="46"/>
      <c r="E2008" s="47" t="s">
        <v>2963</v>
      </c>
      <c r="F2008" s="48" t="s">
        <v>3091</v>
      </c>
      <c r="G2008" s="48"/>
      <c r="H2008" s="49" t="s">
        <v>3092</v>
      </c>
      <c r="I2008" s="82" t="s">
        <v>3050</v>
      </c>
      <c r="J2008" s="100" t="s">
        <v>140</v>
      </c>
      <c r="K2008" s="52">
        <v>0</v>
      </c>
      <c r="L2008" s="52">
        <v>0</v>
      </c>
      <c r="M2008" s="53">
        <v>120</v>
      </c>
      <c r="N2008" s="54">
        <v>600</v>
      </c>
      <c r="O2008" s="341">
        <v>1</v>
      </c>
      <c r="P2008" s="54">
        <f t="shared" si="330"/>
        <v>600</v>
      </c>
      <c r="Q2008" s="54"/>
      <c r="R2008" s="92">
        <v>600</v>
      </c>
      <c r="S2008" s="53">
        <f t="shared" si="331"/>
        <v>0</v>
      </c>
      <c r="T2008" s="343">
        <f t="shared" si="332"/>
        <v>720</v>
      </c>
      <c r="U2008" s="52">
        <f t="shared" si="333"/>
        <v>0</v>
      </c>
      <c r="V2008" s="52">
        <f t="shared" si="334"/>
        <v>0</v>
      </c>
      <c r="W2008" s="52">
        <v>0</v>
      </c>
      <c r="X2008" s="55">
        <f t="shared" si="335"/>
        <v>46153.583333333328</v>
      </c>
    </row>
    <row r="2009" spans="1:24" s="221" customFormat="1" ht="29" hidden="1" x14ac:dyDescent="0.35">
      <c r="A2009" s="46">
        <f t="shared" si="336"/>
        <v>46153.583333333328</v>
      </c>
      <c r="B2009" s="46"/>
      <c r="C2009" s="46"/>
      <c r="D2009" s="46"/>
      <c r="E2009" s="47" t="s">
        <v>2963</v>
      </c>
      <c r="F2009" s="48" t="s">
        <v>3091</v>
      </c>
      <c r="G2009" s="48"/>
      <c r="H2009" s="49" t="s">
        <v>3093</v>
      </c>
      <c r="I2009" s="82" t="s">
        <v>3014</v>
      </c>
      <c r="J2009" s="51" t="s">
        <v>140</v>
      </c>
      <c r="K2009" s="52">
        <v>0</v>
      </c>
      <c r="L2009" s="52">
        <v>0</v>
      </c>
      <c r="M2009" s="53">
        <v>160</v>
      </c>
      <c r="N2009" s="54">
        <v>274</v>
      </c>
      <c r="O2009" s="341">
        <v>1</v>
      </c>
      <c r="P2009" s="54">
        <f t="shared" si="330"/>
        <v>274</v>
      </c>
      <c r="Q2009" s="54"/>
      <c r="R2009" s="92">
        <v>274</v>
      </c>
      <c r="S2009" s="53">
        <f t="shared" si="331"/>
        <v>0</v>
      </c>
      <c r="T2009" s="343">
        <f t="shared" si="332"/>
        <v>540</v>
      </c>
      <c r="U2009" s="52">
        <f t="shared" si="333"/>
        <v>0</v>
      </c>
      <c r="V2009" s="52">
        <f t="shared" si="334"/>
        <v>0</v>
      </c>
      <c r="W2009" s="52">
        <v>0</v>
      </c>
      <c r="X2009" s="55">
        <f t="shared" si="335"/>
        <v>46153.583333333328</v>
      </c>
    </row>
    <row r="2010" spans="1:24" hidden="1" x14ac:dyDescent="0.35">
      <c r="A2010" s="46">
        <f t="shared" si="336"/>
        <v>46153.583333333328</v>
      </c>
      <c r="B2010" s="46"/>
      <c r="C2010" s="46"/>
      <c r="D2010" s="46"/>
      <c r="E2010" s="47" t="s">
        <v>2963</v>
      </c>
      <c r="F2010" s="82" t="s">
        <v>3094</v>
      </c>
      <c r="G2010" s="82"/>
      <c r="H2010" s="98" t="s">
        <v>3095</v>
      </c>
      <c r="I2010" s="72" t="s">
        <v>3016</v>
      </c>
      <c r="J2010" s="100" t="s">
        <v>140</v>
      </c>
      <c r="K2010" s="91">
        <v>0</v>
      </c>
      <c r="L2010" s="91">
        <v>0</v>
      </c>
      <c r="M2010" s="92">
        <v>650</v>
      </c>
      <c r="N2010" s="94">
        <v>39</v>
      </c>
      <c r="O2010" s="253">
        <v>1</v>
      </c>
      <c r="P2010" s="94">
        <f t="shared" si="330"/>
        <v>39</v>
      </c>
      <c r="Q2010" s="94"/>
      <c r="R2010" s="92">
        <v>39</v>
      </c>
      <c r="S2010" s="92">
        <f t="shared" si="331"/>
        <v>0</v>
      </c>
      <c r="T2010" s="173">
        <f t="shared" si="332"/>
        <v>132.92307692307691</v>
      </c>
      <c r="U2010" s="101">
        <f t="shared" si="333"/>
        <v>0</v>
      </c>
      <c r="V2010" s="101">
        <f t="shared" si="334"/>
        <v>0</v>
      </c>
      <c r="W2010" s="101">
        <v>0</v>
      </c>
      <c r="X2010" s="55">
        <f t="shared" si="335"/>
        <v>46153.583333333328</v>
      </c>
    </row>
    <row r="2011" spans="1:24" s="221" customFormat="1" hidden="1" x14ac:dyDescent="0.35">
      <c r="A2011" s="46">
        <f t="shared" si="336"/>
        <v>46153.583333333328</v>
      </c>
      <c r="B2011" s="46"/>
      <c r="C2011" s="46"/>
      <c r="D2011" s="46"/>
      <c r="E2011" s="47" t="s">
        <v>2963</v>
      </c>
      <c r="F2011" s="82" t="s">
        <v>3096</v>
      </c>
      <c r="G2011" s="82"/>
      <c r="H2011" s="49" t="s">
        <v>3097</v>
      </c>
      <c r="I2011" s="72" t="s">
        <v>3098</v>
      </c>
      <c r="J2011" s="100" t="s">
        <v>140</v>
      </c>
      <c r="K2011" s="91">
        <v>0</v>
      </c>
      <c r="L2011" s="91">
        <v>0</v>
      </c>
      <c r="M2011" s="92">
        <v>650</v>
      </c>
      <c r="N2011" s="94">
        <v>100</v>
      </c>
      <c r="O2011" s="253">
        <v>1</v>
      </c>
      <c r="P2011" s="54">
        <f t="shared" si="330"/>
        <v>100</v>
      </c>
      <c r="Q2011" s="54"/>
      <c r="R2011" s="92">
        <v>100</v>
      </c>
      <c r="S2011" s="92">
        <f t="shared" si="331"/>
        <v>0</v>
      </c>
      <c r="T2011" s="173">
        <f t="shared" si="332"/>
        <v>132.92307692307691</v>
      </c>
      <c r="U2011" s="101">
        <f t="shared" si="333"/>
        <v>0</v>
      </c>
      <c r="V2011" s="101">
        <f t="shared" si="334"/>
        <v>0</v>
      </c>
      <c r="W2011" s="101">
        <v>0</v>
      </c>
      <c r="X2011" s="55">
        <f t="shared" si="335"/>
        <v>46153.583333333328</v>
      </c>
    </row>
    <row r="2012" spans="1:24" hidden="1" x14ac:dyDescent="0.35">
      <c r="A2012" s="46">
        <f t="shared" si="336"/>
        <v>46153.583333333328</v>
      </c>
      <c r="B2012" s="46"/>
      <c r="C2012" s="46"/>
      <c r="D2012" s="46"/>
      <c r="E2012" s="47" t="s">
        <v>2963</v>
      </c>
      <c r="F2012" s="82" t="s">
        <v>3094</v>
      </c>
      <c r="G2012" s="82"/>
      <c r="H2012" s="98" t="s">
        <v>3095</v>
      </c>
      <c r="I2012" s="72" t="s">
        <v>3016</v>
      </c>
      <c r="J2012" s="100" t="s">
        <v>140</v>
      </c>
      <c r="K2012" s="91">
        <v>0</v>
      </c>
      <c r="L2012" s="91">
        <v>0</v>
      </c>
      <c r="M2012" s="92">
        <v>650</v>
      </c>
      <c r="N2012" s="94">
        <v>43</v>
      </c>
      <c r="O2012" s="253">
        <v>1</v>
      </c>
      <c r="P2012" s="94">
        <f t="shared" si="330"/>
        <v>43</v>
      </c>
      <c r="Q2012" s="94"/>
      <c r="R2012" s="92">
        <v>43</v>
      </c>
      <c r="S2012" s="92">
        <f t="shared" si="331"/>
        <v>0</v>
      </c>
      <c r="T2012" s="173">
        <f t="shared" si="332"/>
        <v>132.92307692307691</v>
      </c>
      <c r="U2012" s="101">
        <f t="shared" si="333"/>
        <v>0</v>
      </c>
      <c r="V2012" s="101">
        <f t="shared" si="334"/>
        <v>0</v>
      </c>
      <c r="W2012" s="101">
        <v>0</v>
      </c>
      <c r="X2012" s="55">
        <f t="shared" si="335"/>
        <v>46153.583333333328</v>
      </c>
    </row>
    <row r="2013" spans="1:24" hidden="1" x14ac:dyDescent="0.35">
      <c r="A2013" s="46">
        <f t="shared" si="336"/>
        <v>46153.583333333328</v>
      </c>
      <c r="B2013" s="46"/>
      <c r="C2013" s="46"/>
      <c r="D2013" s="46"/>
      <c r="E2013" s="47" t="s">
        <v>2963</v>
      </c>
      <c r="F2013" s="82" t="s">
        <v>3099</v>
      </c>
      <c r="G2013" s="82"/>
      <c r="H2013" s="98" t="s">
        <v>3100</v>
      </c>
      <c r="I2013" s="72" t="s">
        <v>3016</v>
      </c>
      <c r="J2013" s="100" t="s">
        <v>140</v>
      </c>
      <c r="K2013" s="91">
        <v>0</v>
      </c>
      <c r="L2013" s="91">
        <v>0</v>
      </c>
      <c r="M2013" s="92">
        <v>650</v>
      </c>
      <c r="N2013" s="94">
        <v>15</v>
      </c>
      <c r="O2013" s="253">
        <v>1</v>
      </c>
      <c r="P2013" s="94">
        <f t="shared" si="330"/>
        <v>15</v>
      </c>
      <c r="Q2013" s="94"/>
      <c r="R2013" s="92">
        <v>15</v>
      </c>
      <c r="S2013" s="92">
        <f t="shared" si="331"/>
        <v>0</v>
      </c>
      <c r="T2013" s="173">
        <f t="shared" si="332"/>
        <v>132.92307692307691</v>
      </c>
      <c r="U2013" s="101">
        <f t="shared" si="333"/>
        <v>0</v>
      </c>
      <c r="V2013" s="101">
        <f t="shared" si="334"/>
        <v>0</v>
      </c>
      <c r="W2013" s="101">
        <v>0</v>
      </c>
      <c r="X2013" s="55">
        <f t="shared" si="335"/>
        <v>46153.583333333328</v>
      </c>
    </row>
    <row r="2014" spans="1:24" s="221" customFormat="1" hidden="1" x14ac:dyDescent="0.35">
      <c r="A2014" s="46">
        <f t="shared" si="336"/>
        <v>46153.583333333328</v>
      </c>
      <c r="B2014" s="46"/>
      <c r="C2014" s="46"/>
      <c r="D2014" s="46"/>
      <c r="E2014" s="47" t="s">
        <v>2963</v>
      </c>
      <c r="F2014" s="82" t="s">
        <v>3101</v>
      </c>
      <c r="G2014" s="82"/>
      <c r="H2014" s="98" t="s">
        <v>3102</v>
      </c>
      <c r="I2014" s="72" t="s">
        <v>3016</v>
      </c>
      <c r="J2014" s="100" t="s">
        <v>140</v>
      </c>
      <c r="K2014" s="91">
        <v>0</v>
      </c>
      <c r="L2014" s="91">
        <v>0</v>
      </c>
      <c r="M2014" s="92">
        <v>650</v>
      </c>
      <c r="N2014" s="94">
        <v>25</v>
      </c>
      <c r="O2014" s="253">
        <v>1</v>
      </c>
      <c r="P2014" s="54">
        <f t="shared" si="330"/>
        <v>25</v>
      </c>
      <c r="Q2014" s="54"/>
      <c r="R2014" s="92">
        <v>25</v>
      </c>
      <c r="S2014" s="92">
        <f t="shared" si="331"/>
        <v>0</v>
      </c>
      <c r="T2014" s="173">
        <f t="shared" si="332"/>
        <v>132.92307692307691</v>
      </c>
      <c r="U2014" s="101">
        <f t="shared" si="333"/>
        <v>0</v>
      </c>
      <c r="V2014" s="101">
        <f t="shared" si="334"/>
        <v>0</v>
      </c>
      <c r="W2014" s="101">
        <v>0</v>
      </c>
      <c r="X2014" s="55">
        <f t="shared" si="335"/>
        <v>46153.583333333328</v>
      </c>
    </row>
    <row r="2015" spans="1:24" s="221" customFormat="1" hidden="1" x14ac:dyDescent="0.35">
      <c r="A2015" s="46">
        <f t="shared" si="336"/>
        <v>46153.583333333328</v>
      </c>
      <c r="B2015" s="46"/>
      <c r="C2015" s="46"/>
      <c r="D2015" s="46"/>
      <c r="E2015" s="47" t="s">
        <v>2963</v>
      </c>
      <c r="F2015" s="82" t="s">
        <v>2071</v>
      </c>
      <c r="G2015" s="82"/>
      <c r="H2015" s="98" t="s">
        <v>3103</v>
      </c>
      <c r="I2015" s="72" t="s">
        <v>3016</v>
      </c>
      <c r="J2015" s="100" t="s">
        <v>140</v>
      </c>
      <c r="K2015" s="91">
        <v>0</v>
      </c>
      <c r="L2015" s="91">
        <v>0</v>
      </c>
      <c r="M2015" s="92">
        <v>650</v>
      </c>
      <c r="N2015" s="94">
        <v>225</v>
      </c>
      <c r="O2015" s="253">
        <v>1</v>
      </c>
      <c r="P2015" s="54">
        <f t="shared" ref="P2015:P2032" si="337">N2015/O2015</f>
        <v>225</v>
      </c>
      <c r="Q2015" s="54"/>
      <c r="R2015" s="92">
        <v>225</v>
      </c>
      <c r="S2015" s="92">
        <f t="shared" si="331"/>
        <v>0</v>
      </c>
      <c r="T2015" s="173">
        <f t="shared" si="332"/>
        <v>132.92307692307691</v>
      </c>
      <c r="U2015" s="101">
        <f t="shared" si="333"/>
        <v>0</v>
      </c>
      <c r="V2015" s="101">
        <f t="shared" si="334"/>
        <v>0</v>
      </c>
      <c r="W2015" s="101">
        <v>0</v>
      </c>
      <c r="X2015" s="55">
        <f t="shared" si="335"/>
        <v>46153.583333333328</v>
      </c>
    </row>
    <row r="2016" spans="1:24" s="221" customFormat="1" hidden="1" x14ac:dyDescent="0.35">
      <c r="A2016" s="46">
        <f t="shared" si="336"/>
        <v>46153.583333333328</v>
      </c>
      <c r="B2016" s="46"/>
      <c r="C2016" s="46"/>
      <c r="D2016" s="46"/>
      <c r="E2016" s="47" t="s">
        <v>2963</v>
      </c>
      <c r="F2016" s="104" t="s">
        <v>3104</v>
      </c>
      <c r="G2016" s="104"/>
      <c r="H2016" s="90" t="s">
        <v>3105</v>
      </c>
      <c r="I2016" s="598" t="s">
        <v>2928</v>
      </c>
      <c r="J2016" s="51" t="s">
        <v>140</v>
      </c>
      <c r="K2016" s="91">
        <v>0</v>
      </c>
      <c r="L2016" s="91">
        <v>0</v>
      </c>
      <c r="M2016" s="92">
        <v>75</v>
      </c>
      <c r="N2016" s="226">
        <v>600</v>
      </c>
      <c r="O2016" s="253">
        <v>1</v>
      </c>
      <c r="P2016" s="94">
        <f t="shared" si="337"/>
        <v>600</v>
      </c>
      <c r="Q2016" s="94"/>
      <c r="R2016" s="182">
        <v>600</v>
      </c>
      <c r="S2016" s="92">
        <f t="shared" si="331"/>
        <v>0</v>
      </c>
      <c r="T2016" s="254">
        <f t="shared" si="332"/>
        <v>1152</v>
      </c>
      <c r="U2016" s="91">
        <f t="shared" si="333"/>
        <v>0</v>
      </c>
      <c r="V2016" s="91">
        <f t="shared" si="334"/>
        <v>0</v>
      </c>
      <c r="W2016" s="91">
        <v>0</v>
      </c>
      <c r="X2016" s="55">
        <f t="shared" si="335"/>
        <v>46153.583333333328</v>
      </c>
    </row>
    <row r="2017" spans="1:24" s="221" customFormat="1" hidden="1" x14ac:dyDescent="0.35">
      <c r="A2017" s="46">
        <f t="shared" si="336"/>
        <v>46153.583333333328</v>
      </c>
      <c r="B2017" s="46"/>
      <c r="C2017" s="46"/>
      <c r="D2017" s="46"/>
      <c r="E2017" s="47" t="s">
        <v>2963</v>
      </c>
      <c r="F2017" s="104" t="s">
        <v>3106</v>
      </c>
      <c r="G2017" s="104"/>
      <c r="H2017" s="90" t="s">
        <v>3107</v>
      </c>
      <c r="I2017" s="598" t="s">
        <v>2928</v>
      </c>
      <c r="J2017" s="51" t="s">
        <v>140</v>
      </c>
      <c r="K2017" s="91">
        <v>0</v>
      </c>
      <c r="L2017" s="91">
        <v>0</v>
      </c>
      <c r="M2017" s="92">
        <v>75</v>
      </c>
      <c r="N2017" s="226">
        <v>350</v>
      </c>
      <c r="O2017" s="253">
        <v>1</v>
      </c>
      <c r="P2017" s="94">
        <f t="shared" si="337"/>
        <v>350</v>
      </c>
      <c r="Q2017" s="94"/>
      <c r="R2017" s="182">
        <v>350</v>
      </c>
      <c r="S2017" s="92">
        <f t="shared" si="331"/>
        <v>0</v>
      </c>
      <c r="T2017" s="254">
        <f t="shared" si="332"/>
        <v>1152</v>
      </c>
      <c r="U2017" s="91">
        <f t="shared" si="333"/>
        <v>0</v>
      </c>
      <c r="V2017" s="91">
        <f t="shared" si="334"/>
        <v>0</v>
      </c>
      <c r="W2017" s="91">
        <v>0</v>
      </c>
      <c r="X2017" s="55">
        <f t="shared" si="335"/>
        <v>46153.583333333328</v>
      </c>
    </row>
    <row r="2018" spans="1:24" s="221" customFormat="1" hidden="1" x14ac:dyDescent="0.35">
      <c r="A2018" s="46">
        <f t="shared" si="336"/>
        <v>46153.583333333328</v>
      </c>
      <c r="B2018" s="46"/>
      <c r="C2018" s="46"/>
      <c r="D2018" s="46"/>
      <c r="E2018" s="47" t="s">
        <v>2963</v>
      </c>
      <c r="F2018" s="104" t="s">
        <v>1372</v>
      </c>
      <c r="G2018" s="104"/>
      <c r="H2018" s="90" t="s">
        <v>3108</v>
      </c>
      <c r="I2018" s="598" t="s">
        <v>2928</v>
      </c>
      <c r="J2018" s="51" t="s">
        <v>140</v>
      </c>
      <c r="K2018" s="91">
        <v>0</v>
      </c>
      <c r="L2018" s="91">
        <v>0</v>
      </c>
      <c r="M2018" s="92">
        <v>75</v>
      </c>
      <c r="N2018" s="226">
        <v>800</v>
      </c>
      <c r="O2018" s="253">
        <v>1</v>
      </c>
      <c r="P2018" s="94">
        <f t="shared" si="337"/>
        <v>800</v>
      </c>
      <c r="Q2018" s="94"/>
      <c r="R2018" s="182">
        <v>800</v>
      </c>
      <c r="S2018" s="92">
        <f t="shared" si="331"/>
        <v>0</v>
      </c>
      <c r="T2018" s="254">
        <f t="shared" si="332"/>
        <v>1152</v>
      </c>
      <c r="U2018" s="91">
        <f t="shared" si="333"/>
        <v>0</v>
      </c>
      <c r="V2018" s="91">
        <f t="shared" si="334"/>
        <v>0</v>
      </c>
      <c r="W2018" s="91">
        <v>0</v>
      </c>
      <c r="X2018" s="55">
        <f t="shared" si="335"/>
        <v>46153.583333333328</v>
      </c>
    </row>
    <row r="2019" spans="1:24" s="221" customFormat="1" hidden="1" x14ac:dyDescent="0.35">
      <c r="A2019" s="46">
        <f t="shared" si="336"/>
        <v>46153.583333333328</v>
      </c>
      <c r="B2019" s="46"/>
      <c r="C2019" s="46"/>
      <c r="D2019" s="46"/>
      <c r="E2019" s="47" t="s">
        <v>2963</v>
      </c>
      <c r="F2019" s="82" t="s">
        <v>3109</v>
      </c>
      <c r="G2019" s="82"/>
      <c r="H2019" s="98" t="s">
        <v>3110</v>
      </c>
      <c r="I2019" s="72" t="s">
        <v>3016</v>
      </c>
      <c r="J2019" s="100" t="s">
        <v>140</v>
      </c>
      <c r="K2019" s="101">
        <v>0</v>
      </c>
      <c r="L2019" s="101">
        <v>0</v>
      </c>
      <c r="M2019" s="92">
        <v>650</v>
      </c>
      <c r="N2019" s="94">
        <v>88</v>
      </c>
      <c r="O2019" s="253">
        <v>1</v>
      </c>
      <c r="P2019" s="94">
        <f t="shared" si="337"/>
        <v>88</v>
      </c>
      <c r="Q2019" s="94"/>
      <c r="R2019" s="92">
        <v>88</v>
      </c>
      <c r="S2019" s="92">
        <f t="shared" si="331"/>
        <v>0</v>
      </c>
      <c r="T2019" s="173">
        <f t="shared" si="332"/>
        <v>132.92307692307691</v>
      </c>
      <c r="U2019" s="101">
        <f t="shared" si="333"/>
        <v>0</v>
      </c>
      <c r="V2019" s="101">
        <f t="shared" si="334"/>
        <v>0</v>
      </c>
      <c r="W2019" s="101">
        <v>0</v>
      </c>
      <c r="X2019" s="55">
        <f t="shared" si="335"/>
        <v>46153.583333333328</v>
      </c>
    </row>
    <row r="2020" spans="1:24" s="221" customFormat="1" hidden="1" x14ac:dyDescent="0.35">
      <c r="A2020" s="46">
        <f t="shared" si="336"/>
        <v>46153.583333333328</v>
      </c>
      <c r="B2020" s="46"/>
      <c r="C2020" s="46"/>
      <c r="D2020" s="46"/>
      <c r="E2020" s="47" t="s">
        <v>2963</v>
      </c>
      <c r="F2020" s="82" t="s">
        <v>271</v>
      </c>
      <c r="G2020" s="82"/>
      <c r="H2020" s="90" t="s">
        <v>3111</v>
      </c>
      <c r="I2020" s="104" t="s">
        <v>3112</v>
      </c>
      <c r="J2020" s="51" t="s">
        <v>140</v>
      </c>
      <c r="K2020" s="52">
        <v>0</v>
      </c>
      <c r="L2020" s="52">
        <v>0</v>
      </c>
      <c r="M2020" s="53">
        <v>140</v>
      </c>
      <c r="N2020" s="54">
        <v>300</v>
      </c>
      <c r="O2020" s="341">
        <v>1</v>
      </c>
      <c r="P2020" s="54">
        <f t="shared" si="337"/>
        <v>300</v>
      </c>
      <c r="Q2020" s="54"/>
      <c r="R2020" s="92">
        <v>300</v>
      </c>
      <c r="S2020" s="53">
        <f t="shared" si="331"/>
        <v>0</v>
      </c>
      <c r="T2020" s="343">
        <f t="shared" si="332"/>
        <v>617.14285714285711</v>
      </c>
      <c r="U2020" s="52">
        <f t="shared" si="333"/>
        <v>0</v>
      </c>
      <c r="V2020" s="52">
        <f t="shared" si="334"/>
        <v>0</v>
      </c>
      <c r="W2020" s="52">
        <v>0</v>
      </c>
      <c r="X2020" s="55">
        <f t="shared" si="335"/>
        <v>46153.583333333328</v>
      </c>
    </row>
    <row r="2021" spans="1:24" s="221" customFormat="1" hidden="1" x14ac:dyDescent="0.35">
      <c r="A2021" s="46">
        <f t="shared" si="336"/>
        <v>46153.583333333328</v>
      </c>
      <c r="B2021" s="46"/>
      <c r="C2021" s="46"/>
      <c r="D2021" s="46"/>
      <c r="E2021" s="47" t="s">
        <v>2963</v>
      </c>
      <c r="F2021" s="82" t="s">
        <v>271</v>
      </c>
      <c r="G2021" s="82"/>
      <c r="H2021" s="90" t="s">
        <v>3113</v>
      </c>
      <c r="I2021" s="104" t="s">
        <v>3114</v>
      </c>
      <c r="J2021" s="51" t="s">
        <v>140</v>
      </c>
      <c r="K2021" s="52">
        <v>0</v>
      </c>
      <c r="L2021" s="52">
        <v>0</v>
      </c>
      <c r="M2021" s="53">
        <v>160</v>
      </c>
      <c r="N2021" s="54">
        <v>20</v>
      </c>
      <c r="O2021" s="341">
        <v>1</v>
      </c>
      <c r="P2021" s="54">
        <f t="shared" si="337"/>
        <v>20</v>
      </c>
      <c r="Q2021" s="54"/>
      <c r="R2021" s="92">
        <v>20</v>
      </c>
      <c r="S2021" s="53">
        <f t="shared" si="331"/>
        <v>0</v>
      </c>
      <c r="T2021" s="343">
        <f t="shared" si="332"/>
        <v>540</v>
      </c>
      <c r="U2021" s="52">
        <f t="shared" si="333"/>
        <v>0</v>
      </c>
      <c r="V2021" s="52">
        <f t="shared" si="334"/>
        <v>0</v>
      </c>
      <c r="W2021" s="52">
        <v>0</v>
      </c>
      <c r="X2021" s="55">
        <f t="shared" si="335"/>
        <v>46153.583333333328</v>
      </c>
    </row>
    <row r="2022" spans="1:24" s="221" customFormat="1" hidden="1" x14ac:dyDescent="0.35">
      <c r="A2022" s="46">
        <f t="shared" si="336"/>
        <v>46153.583333333328</v>
      </c>
      <c r="B2022" s="46"/>
      <c r="C2022" s="46"/>
      <c r="D2022" s="46"/>
      <c r="E2022" s="47" t="s">
        <v>2963</v>
      </c>
      <c r="F2022" s="82" t="s">
        <v>271</v>
      </c>
      <c r="G2022" s="82"/>
      <c r="H2022" s="90" t="s">
        <v>3115</v>
      </c>
      <c r="I2022" s="104" t="s">
        <v>3116</v>
      </c>
      <c r="J2022" s="51" t="s">
        <v>140</v>
      </c>
      <c r="K2022" s="52">
        <v>0</v>
      </c>
      <c r="L2022" s="52">
        <v>0</v>
      </c>
      <c r="M2022" s="53">
        <v>160</v>
      </c>
      <c r="N2022" s="54">
        <v>150</v>
      </c>
      <c r="O2022" s="341">
        <v>1</v>
      </c>
      <c r="P2022" s="54">
        <f t="shared" si="337"/>
        <v>150</v>
      </c>
      <c r="Q2022" s="54"/>
      <c r="R2022" s="92">
        <v>150</v>
      </c>
      <c r="S2022" s="53">
        <f t="shared" si="331"/>
        <v>0</v>
      </c>
      <c r="T2022" s="343">
        <f t="shared" si="332"/>
        <v>540</v>
      </c>
      <c r="U2022" s="52">
        <f t="shared" si="333"/>
        <v>0</v>
      </c>
      <c r="V2022" s="52">
        <f t="shared" si="334"/>
        <v>0</v>
      </c>
      <c r="W2022" s="52">
        <v>0</v>
      </c>
      <c r="X2022" s="55">
        <f t="shared" si="335"/>
        <v>46153.583333333328</v>
      </c>
    </row>
    <row r="2023" spans="1:24" s="221" customFormat="1" hidden="1" x14ac:dyDescent="0.35">
      <c r="A2023" s="46">
        <f t="shared" si="336"/>
        <v>46153.583333333328</v>
      </c>
      <c r="B2023" s="46"/>
      <c r="C2023" s="46"/>
      <c r="D2023" s="46"/>
      <c r="E2023" s="47" t="s">
        <v>2963</v>
      </c>
      <c r="F2023" s="82" t="s">
        <v>271</v>
      </c>
      <c r="G2023" s="82"/>
      <c r="H2023" s="90" t="s">
        <v>3113</v>
      </c>
      <c r="I2023" s="104" t="s">
        <v>3114</v>
      </c>
      <c r="J2023" s="51" t="s">
        <v>140</v>
      </c>
      <c r="K2023" s="52">
        <v>0</v>
      </c>
      <c r="L2023" s="52">
        <v>0</v>
      </c>
      <c r="M2023" s="53">
        <v>160</v>
      </c>
      <c r="N2023" s="54">
        <v>130</v>
      </c>
      <c r="O2023" s="341">
        <v>1</v>
      </c>
      <c r="P2023" s="54">
        <f t="shared" si="337"/>
        <v>130</v>
      </c>
      <c r="Q2023" s="54"/>
      <c r="R2023" s="92">
        <v>130</v>
      </c>
      <c r="S2023" s="53">
        <f t="shared" si="331"/>
        <v>0</v>
      </c>
      <c r="T2023" s="343">
        <f t="shared" si="332"/>
        <v>540</v>
      </c>
      <c r="U2023" s="52">
        <f t="shared" si="333"/>
        <v>0</v>
      </c>
      <c r="V2023" s="52">
        <f t="shared" si="334"/>
        <v>0</v>
      </c>
      <c r="W2023" s="52">
        <v>0</v>
      </c>
      <c r="X2023" s="55">
        <f t="shared" si="335"/>
        <v>46153.583333333328</v>
      </c>
    </row>
    <row r="2024" spans="1:24" s="221" customFormat="1" hidden="1" x14ac:dyDescent="0.35">
      <c r="A2024" s="46">
        <f t="shared" si="336"/>
        <v>46153.583333333328</v>
      </c>
      <c r="B2024" s="46"/>
      <c r="C2024" s="46"/>
      <c r="D2024" s="46"/>
      <c r="E2024" s="47" t="s">
        <v>2963</v>
      </c>
      <c r="F2024" s="82" t="s">
        <v>1372</v>
      </c>
      <c r="G2024" s="82"/>
      <c r="H2024" s="86" t="s">
        <v>3117</v>
      </c>
      <c r="I2024" s="639" t="s">
        <v>3050</v>
      </c>
      <c r="J2024" s="51" t="s">
        <v>140</v>
      </c>
      <c r="K2024" s="52">
        <v>0</v>
      </c>
      <c r="L2024" s="52">
        <v>0</v>
      </c>
      <c r="M2024" s="53">
        <v>120</v>
      </c>
      <c r="N2024" s="218">
        <v>300</v>
      </c>
      <c r="O2024" s="341">
        <v>1</v>
      </c>
      <c r="P2024" s="54">
        <f t="shared" si="337"/>
        <v>300</v>
      </c>
      <c r="Q2024" s="54"/>
      <c r="R2024" s="182">
        <v>300</v>
      </c>
      <c r="S2024" s="53">
        <f t="shared" si="331"/>
        <v>0</v>
      </c>
      <c r="T2024" s="343">
        <f t="shared" si="332"/>
        <v>720</v>
      </c>
      <c r="U2024" s="52">
        <f t="shared" si="333"/>
        <v>0</v>
      </c>
      <c r="V2024" s="52">
        <f t="shared" si="334"/>
        <v>0</v>
      </c>
      <c r="W2024" s="52">
        <v>0</v>
      </c>
      <c r="X2024" s="55">
        <f t="shared" si="335"/>
        <v>46153.583333333328</v>
      </c>
    </row>
    <row r="2025" spans="1:24" s="221" customFormat="1" hidden="1" x14ac:dyDescent="0.35">
      <c r="A2025" s="46">
        <f t="shared" si="336"/>
        <v>46153.583333333328</v>
      </c>
      <c r="B2025" s="46"/>
      <c r="C2025" s="46"/>
      <c r="D2025" s="46"/>
      <c r="E2025" s="47" t="s">
        <v>2963</v>
      </c>
      <c r="F2025" s="82" t="s">
        <v>3118</v>
      </c>
      <c r="G2025" s="82"/>
      <c r="H2025" s="90" t="s">
        <v>3119</v>
      </c>
      <c r="I2025" s="72" t="s">
        <v>3120</v>
      </c>
      <c r="J2025" s="100" t="s">
        <v>140</v>
      </c>
      <c r="K2025" s="91">
        <v>0</v>
      </c>
      <c r="L2025" s="91">
        <v>0</v>
      </c>
      <c r="M2025" s="92">
        <v>145</v>
      </c>
      <c r="N2025" s="94">
        <v>161</v>
      </c>
      <c r="O2025" s="253">
        <v>1</v>
      </c>
      <c r="P2025" s="94">
        <f t="shared" si="337"/>
        <v>161</v>
      </c>
      <c r="Q2025" s="94"/>
      <c r="R2025" s="92">
        <v>161</v>
      </c>
      <c r="S2025" s="92">
        <f t="shared" si="331"/>
        <v>0</v>
      </c>
      <c r="T2025" s="173">
        <f t="shared" si="332"/>
        <v>595.86206896551721</v>
      </c>
      <c r="U2025" s="101">
        <f t="shared" si="333"/>
        <v>0</v>
      </c>
      <c r="V2025" s="101">
        <f t="shared" si="334"/>
        <v>0</v>
      </c>
      <c r="W2025" s="101">
        <v>0</v>
      </c>
      <c r="X2025" s="55">
        <f t="shared" si="335"/>
        <v>46153.583333333328</v>
      </c>
    </row>
    <row r="2026" spans="1:24" s="221" customFormat="1" hidden="1" x14ac:dyDescent="0.35">
      <c r="A2026" s="46">
        <f t="shared" si="336"/>
        <v>46153.583333333328</v>
      </c>
      <c r="B2026" s="46"/>
      <c r="C2026" s="46"/>
      <c r="D2026" s="46"/>
      <c r="E2026" s="47" t="s">
        <v>2963</v>
      </c>
      <c r="F2026" s="82" t="s">
        <v>3121</v>
      </c>
      <c r="G2026" s="82"/>
      <c r="H2026" s="98" t="s">
        <v>3122</v>
      </c>
      <c r="I2026" s="72" t="s">
        <v>3120</v>
      </c>
      <c r="J2026" s="100" t="s">
        <v>140</v>
      </c>
      <c r="K2026" s="91">
        <v>0</v>
      </c>
      <c r="L2026" s="91">
        <v>0</v>
      </c>
      <c r="M2026" s="92">
        <v>145</v>
      </c>
      <c r="N2026" s="93">
        <v>3253</v>
      </c>
      <c r="O2026" s="253">
        <v>1</v>
      </c>
      <c r="P2026" s="94">
        <f t="shared" si="337"/>
        <v>3253</v>
      </c>
      <c r="Q2026" s="94"/>
      <c r="R2026" s="595">
        <v>3253</v>
      </c>
      <c r="S2026" s="92">
        <f t="shared" si="331"/>
        <v>0</v>
      </c>
      <c r="T2026" s="173">
        <f t="shared" si="332"/>
        <v>595.86206896551721</v>
      </c>
      <c r="U2026" s="101">
        <f t="shared" si="333"/>
        <v>0</v>
      </c>
      <c r="V2026" s="101">
        <f t="shared" si="334"/>
        <v>0</v>
      </c>
      <c r="W2026" s="101">
        <v>0</v>
      </c>
      <c r="X2026" s="55">
        <f t="shared" si="335"/>
        <v>46153.583333333328</v>
      </c>
    </row>
    <row r="2027" spans="1:24" s="221" customFormat="1" hidden="1" x14ac:dyDescent="0.35">
      <c r="A2027" s="46">
        <f t="shared" si="336"/>
        <v>46153.583333333328</v>
      </c>
      <c r="B2027" s="46"/>
      <c r="C2027" s="46"/>
      <c r="D2027" s="46"/>
      <c r="E2027" s="47" t="s">
        <v>2963</v>
      </c>
      <c r="F2027" s="104"/>
      <c r="G2027" s="104"/>
      <c r="H2027" s="90" t="s">
        <v>3123</v>
      </c>
      <c r="I2027" s="598" t="s">
        <v>2928</v>
      </c>
      <c r="J2027" s="51" t="s">
        <v>140</v>
      </c>
      <c r="K2027" s="91">
        <v>0</v>
      </c>
      <c r="L2027" s="91">
        <v>0</v>
      </c>
      <c r="M2027" s="92">
        <v>81</v>
      </c>
      <c r="N2027" s="226">
        <v>1500</v>
      </c>
      <c r="O2027" s="253">
        <v>1</v>
      </c>
      <c r="P2027" s="94">
        <f t="shared" si="337"/>
        <v>1500</v>
      </c>
      <c r="Q2027" s="94"/>
      <c r="R2027" s="182">
        <v>1500</v>
      </c>
      <c r="S2027" s="92">
        <f t="shared" si="331"/>
        <v>0</v>
      </c>
      <c r="T2027" s="254">
        <f t="shared" si="332"/>
        <v>1066.6666666666665</v>
      </c>
      <c r="U2027" s="91">
        <f t="shared" si="333"/>
        <v>0</v>
      </c>
      <c r="V2027" s="91">
        <f t="shared" si="334"/>
        <v>0</v>
      </c>
      <c r="W2027" s="91">
        <v>0</v>
      </c>
      <c r="X2027" s="55">
        <f t="shared" si="335"/>
        <v>46153.583333333328</v>
      </c>
    </row>
    <row r="2028" spans="1:24" s="221" customFormat="1" hidden="1" x14ac:dyDescent="0.35">
      <c r="A2028" s="46">
        <f t="shared" si="336"/>
        <v>46153.583333333328</v>
      </c>
      <c r="B2028" s="46"/>
      <c r="C2028" s="46"/>
      <c r="D2028" s="46"/>
      <c r="E2028" s="47" t="s">
        <v>2963</v>
      </c>
      <c r="F2028" s="82" t="s">
        <v>3121</v>
      </c>
      <c r="G2028" s="82"/>
      <c r="H2028" s="98" t="s">
        <v>3122</v>
      </c>
      <c r="I2028" s="72" t="s">
        <v>3120</v>
      </c>
      <c r="J2028" s="100" t="s">
        <v>140</v>
      </c>
      <c r="K2028" s="91">
        <v>0</v>
      </c>
      <c r="L2028" s="91">
        <v>0</v>
      </c>
      <c r="M2028" s="92">
        <v>100</v>
      </c>
      <c r="N2028" s="93">
        <v>4000</v>
      </c>
      <c r="O2028" s="253">
        <v>1</v>
      </c>
      <c r="P2028" s="94">
        <f t="shared" si="337"/>
        <v>4000</v>
      </c>
      <c r="Q2028" s="94"/>
      <c r="R2028" s="595">
        <v>4000</v>
      </c>
      <c r="S2028" s="92">
        <f t="shared" si="331"/>
        <v>0</v>
      </c>
      <c r="T2028" s="173">
        <f t="shared" si="332"/>
        <v>864</v>
      </c>
      <c r="U2028" s="101">
        <f t="shared" si="333"/>
        <v>0</v>
      </c>
      <c r="V2028" s="101">
        <f t="shared" si="334"/>
        <v>0</v>
      </c>
      <c r="W2028" s="101">
        <v>0</v>
      </c>
      <c r="X2028" s="55">
        <f t="shared" si="335"/>
        <v>46153.583333333328</v>
      </c>
    </row>
    <row r="2029" spans="1:24" s="221" customFormat="1" hidden="1" x14ac:dyDescent="0.35">
      <c r="A2029" s="46">
        <f t="shared" si="336"/>
        <v>46153.583333333328</v>
      </c>
      <c r="B2029" s="46"/>
      <c r="C2029" s="46"/>
      <c r="D2029" s="46"/>
      <c r="E2029" s="47" t="s">
        <v>2963</v>
      </c>
      <c r="F2029" s="82" t="s">
        <v>3121</v>
      </c>
      <c r="G2029" s="82"/>
      <c r="H2029" s="98" t="s">
        <v>3122</v>
      </c>
      <c r="I2029" s="72" t="s">
        <v>3120</v>
      </c>
      <c r="J2029" s="100" t="s">
        <v>140</v>
      </c>
      <c r="K2029" s="91">
        <v>0</v>
      </c>
      <c r="L2029" s="91">
        <v>0</v>
      </c>
      <c r="M2029" s="92">
        <v>100</v>
      </c>
      <c r="N2029" s="54">
        <v>5360</v>
      </c>
      <c r="O2029" s="253">
        <v>1</v>
      </c>
      <c r="P2029" s="94">
        <f t="shared" si="337"/>
        <v>5360</v>
      </c>
      <c r="Q2029" s="94"/>
      <c r="R2029" s="92">
        <v>5360</v>
      </c>
      <c r="S2029" s="92">
        <f t="shared" si="331"/>
        <v>0</v>
      </c>
      <c r="T2029" s="173">
        <f t="shared" si="332"/>
        <v>864</v>
      </c>
      <c r="U2029" s="101">
        <f t="shared" si="333"/>
        <v>0</v>
      </c>
      <c r="V2029" s="101">
        <f t="shared" si="334"/>
        <v>0</v>
      </c>
      <c r="W2029" s="101">
        <v>0</v>
      </c>
      <c r="X2029" s="55">
        <f t="shared" si="335"/>
        <v>46153.583333333328</v>
      </c>
    </row>
    <row r="2030" spans="1:24" s="221" customFormat="1" hidden="1" x14ac:dyDescent="0.35">
      <c r="A2030" s="46">
        <f t="shared" si="336"/>
        <v>46153.583333333328</v>
      </c>
      <c r="B2030" s="46"/>
      <c r="C2030" s="46"/>
      <c r="D2030" s="46"/>
      <c r="E2030" s="195" t="s">
        <v>2963</v>
      </c>
      <c r="F2030" s="196" t="s">
        <v>3124</v>
      </c>
      <c r="G2030" s="196"/>
      <c r="H2030" s="113" t="s">
        <v>3125</v>
      </c>
      <c r="I2030" s="650" t="s">
        <v>3120</v>
      </c>
      <c r="J2030" s="114" t="s">
        <v>140</v>
      </c>
      <c r="K2030" s="482">
        <v>0</v>
      </c>
      <c r="L2030" s="482">
        <v>0</v>
      </c>
      <c r="M2030" s="199">
        <v>100</v>
      </c>
      <c r="N2030" s="483">
        <v>4010</v>
      </c>
      <c r="O2030" s="484">
        <v>1</v>
      </c>
      <c r="P2030" s="483">
        <f t="shared" si="337"/>
        <v>4010</v>
      </c>
      <c r="Q2030" s="483"/>
      <c r="R2030" s="199">
        <v>4010</v>
      </c>
      <c r="S2030" s="199">
        <f t="shared" si="331"/>
        <v>0</v>
      </c>
      <c r="T2030" s="200">
        <f t="shared" si="332"/>
        <v>864</v>
      </c>
      <c r="U2030" s="115">
        <f t="shared" si="333"/>
        <v>0</v>
      </c>
      <c r="V2030" s="115">
        <f t="shared" si="334"/>
        <v>0</v>
      </c>
      <c r="W2030" s="115">
        <v>0</v>
      </c>
      <c r="X2030" s="55">
        <f t="shared" si="335"/>
        <v>46153.583333333328</v>
      </c>
    </row>
    <row r="2031" spans="1:24" hidden="1" x14ac:dyDescent="0.35">
      <c r="A2031" s="46">
        <f t="shared" si="336"/>
        <v>46153.583333333328</v>
      </c>
      <c r="B2031" s="46"/>
      <c r="C2031" s="46"/>
      <c r="D2031" s="46"/>
      <c r="E2031" s="47" t="s">
        <v>2963</v>
      </c>
      <c r="F2031" s="222" t="s">
        <v>3126</v>
      </c>
      <c r="G2031" s="222"/>
      <c r="H2031" s="90" t="s">
        <v>3127</v>
      </c>
      <c r="I2031" s="638" t="s">
        <v>3072</v>
      </c>
      <c r="J2031" s="51" t="s">
        <v>140</v>
      </c>
      <c r="K2031" s="52">
        <v>0</v>
      </c>
      <c r="L2031" s="52">
        <v>0</v>
      </c>
      <c r="M2031" s="53">
        <v>220</v>
      </c>
      <c r="N2031" s="54">
        <v>1000</v>
      </c>
      <c r="O2031" s="341">
        <v>1</v>
      </c>
      <c r="P2031" s="54">
        <f t="shared" si="337"/>
        <v>1000</v>
      </c>
      <c r="Q2031" s="54"/>
      <c r="R2031" s="92">
        <v>1000</v>
      </c>
      <c r="S2031" s="53">
        <f t="shared" si="331"/>
        <v>0</v>
      </c>
      <c r="T2031" s="343">
        <f t="shared" si="332"/>
        <v>392.72727272727275</v>
      </c>
      <c r="U2031" s="52">
        <f t="shared" si="333"/>
        <v>0</v>
      </c>
      <c r="V2031" s="52">
        <f t="shared" si="334"/>
        <v>0</v>
      </c>
      <c r="W2031" s="52">
        <v>0</v>
      </c>
      <c r="X2031" s="55">
        <f t="shared" si="335"/>
        <v>46153.583333333328</v>
      </c>
    </row>
    <row r="2032" spans="1:24" hidden="1" x14ac:dyDescent="0.35">
      <c r="A2032" s="46">
        <f t="shared" si="336"/>
        <v>46153.583333333328</v>
      </c>
      <c r="B2032" s="46"/>
      <c r="C2032" s="46"/>
      <c r="D2032" s="46"/>
      <c r="E2032" s="47" t="s">
        <v>2963</v>
      </c>
      <c r="F2032" s="222" t="s">
        <v>3126</v>
      </c>
      <c r="G2032" s="222"/>
      <c r="H2032" s="90" t="s">
        <v>3128</v>
      </c>
      <c r="I2032" s="638" t="s">
        <v>3024</v>
      </c>
      <c r="J2032" s="51" t="s">
        <v>140</v>
      </c>
      <c r="K2032" s="52">
        <v>0</v>
      </c>
      <c r="L2032" s="52">
        <v>0</v>
      </c>
      <c r="M2032" s="53">
        <v>220</v>
      </c>
      <c r="N2032" s="54">
        <v>150</v>
      </c>
      <c r="O2032" s="341">
        <v>1</v>
      </c>
      <c r="P2032" s="54">
        <f t="shared" si="337"/>
        <v>150</v>
      </c>
      <c r="Q2032" s="54"/>
      <c r="R2032" s="92">
        <v>150</v>
      </c>
      <c r="S2032" s="53">
        <f t="shared" si="331"/>
        <v>0</v>
      </c>
      <c r="T2032" s="343">
        <f t="shared" si="332"/>
        <v>392.72727272727275</v>
      </c>
      <c r="U2032" s="52">
        <f t="shared" si="333"/>
        <v>0</v>
      </c>
      <c r="V2032" s="52">
        <f t="shared" si="334"/>
        <v>0</v>
      </c>
      <c r="W2032" s="52">
        <v>0</v>
      </c>
      <c r="X2032" s="55">
        <f t="shared" si="335"/>
        <v>46153.583333333328</v>
      </c>
    </row>
    <row r="2033" spans="1:24" s="221" customFormat="1" hidden="1" x14ac:dyDescent="0.35">
      <c r="A2033" s="46">
        <f t="shared" si="336"/>
        <v>46153.583333333328</v>
      </c>
      <c r="B2033" s="46"/>
      <c r="C2033" s="46"/>
      <c r="D2033" s="46"/>
      <c r="E2033" s="47" t="s">
        <v>2963</v>
      </c>
      <c r="F2033" s="82" t="s">
        <v>271</v>
      </c>
      <c r="G2033" s="82"/>
      <c r="H2033" s="90" t="s">
        <v>3129</v>
      </c>
      <c r="I2033" s="598" t="s">
        <v>3130</v>
      </c>
      <c r="J2033" s="51" t="s">
        <v>140</v>
      </c>
      <c r="K2033" s="91">
        <v>0</v>
      </c>
      <c r="L2033" s="91">
        <v>0</v>
      </c>
      <c r="M2033" s="92">
        <v>170</v>
      </c>
      <c r="N2033" s="226">
        <v>500</v>
      </c>
      <c r="O2033" s="253">
        <v>1</v>
      </c>
      <c r="P2033" s="94">
        <v>500</v>
      </c>
      <c r="Q2033" s="94"/>
      <c r="R2033" s="182">
        <v>500</v>
      </c>
      <c r="S2033" s="92">
        <f t="shared" si="331"/>
        <v>0</v>
      </c>
      <c r="T2033" s="254">
        <f t="shared" si="332"/>
        <v>508.23529411764707</v>
      </c>
      <c r="U2033" s="91">
        <f t="shared" si="333"/>
        <v>0</v>
      </c>
      <c r="V2033" s="91">
        <f t="shared" si="334"/>
        <v>0</v>
      </c>
      <c r="W2033" s="91">
        <v>0</v>
      </c>
      <c r="X2033" s="55">
        <f t="shared" si="335"/>
        <v>46153.583333333328</v>
      </c>
    </row>
    <row r="2034" spans="1:24" s="221" customFormat="1" hidden="1" x14ac:dyDescent="0.35">
      <c r="A2034" s="46">
        <f t="shared" si="336"/>
        <v>46153.583333333328</v>
      </c>
      <c r="B2034" s="46"/>
      <c r="C2034" s="46"/>
      <c r="D2034" s="46"/>
      <c r="E2034" s="47" t="s">
        <v>2963</v>
      </c>
      <c r="F2034" s="82" t="s">
        <v>271</v>
      </c>
      <c r="G2034" s="82"/>
      <c r="H2034" s="90" t="s">
        <v>3115</v>
      </c>
      <c r="I2034" s="104" t="s">
        <v>3116</v>
      </c>
      <c r="J2034" s="51" t="s">
        <v>140</v>
      </c>
      <c r="K2034" s="52">
        <v>0</v>
      </c>
      <c r="L2034" s="52">
        <v>0</v>
      </c>
      <c r="M2034" s="53">
        <v>160</v>
      </c>
      <c r="N2034" s="54">
        <v>150</v>
      </c>
      <c r="O2034" s="341">
        <v>1</v>
      </c>
      <c r="P2034" s="54">
        <f t="shared" ref="P2034:P2068" si="338">N2034/O2034</f>
        <v>150</v>
      </c>
      <c r="Q2034" s="54"/>
      <c r="R2034" s="92">
        <v>150</v>
      </c>
      <c r="S2034" s="53">
        <f t="shared" si="331"/>
        <v>0</v>
      </c>
      <c r="T2034" s="343">
        <f t="shared" si="332"/>
        <v>540</v>
      </c>
      <c r="U2034" s="52">
        <f t="shared" si="333"/>
        <v>0</v>
      </c>
      <c r="V2034" s="52">
        <f t="shared" si="334"/>
        <v>0</v>
      </c>
      <c r="W2034" s="52">
        <v>0</v>
      </c>
      <c r="X2034" s="55">
        <f t="shared" si="335"/>
        <v>46153.583333333328</v>
      </c>
    </row>
    <row r="2035" spans="1:24" s="221" customFormat="1" hidden="1" x14ac:dyDescent="0.35">
      <c r="A2035" s="46">
        <f t="shared" si="336"/>
        <v>46153.583333333328</v>
      </c>
      <c r="B2035" s="46"/>
      <c r="C2035" s="46"/>
      <c r="D2035" s="46"/>
      <c r="E2035" s="47" t="s">
        <v>2963</v>
      </c>
      <c r="F2035" s="82" t="s">
        <v>271</v>
      </c>
      <c r="G2035" s="82"/>
      <c r="H2035" s="90" t="s">
        <v>3113</v>
      </c>
      <c r="I2035" s="104" t="s">
        <v>3114</v>
      </c>
      <c r="J2035" s="51" t="s">
        <v>140</v>
      </c>
      <c r="K2035" s="52">
        <v>0</v>
      </c>
      <c r="L2035" s="52">
        <v>0</v>
      </c>
      <c r="M2035" s="53">
        <v>160</v>
      </c>
      <c r="N2035" s="54">
        <v>130</v>
      </c>
      <c r="O2035" s="341">
        <v>1</v>
      </c>
      <c r="P2035" s="54">
        <f t="shared" si="338"/>
        <v>130</v>
      </c>
      <c r="Q2035" s="54"/>
      <c r="R2035" s="92">
        <v>130</v>
      </c>
      <c r="S2035" s="53">
        <f t="shared" si="331"/>
        <v>0</v>
      </c>
      <c r="T2035" s="343">
        <f t="shared" si="332"/>
        <v>540</v>
      </c>
      <c r="U2035" s="52">
        <f t="shared" si="333"/>
        <v>0</v>
      </c>
      <c r="V2035" s="52">
        <f t="shared" si="334"/>
        <v>0</v>
      </c>
      <c r="W2035" s="52">
        <v>0</v>
      </c>
      <c r="X2035" s="55">
        <f t="shared" si="335"/>
        <v>46153.583333333328</v>
      </c>
    </row>
    <row r="2036" spans="1:24" s="221" customFormat="1" hidden="1" x14ac:dyDescent="0.35">
      <c r="A2036" s="46">
        <f t="shared" si="336"/>
        <v>46153.583333333328</v>
      </c>
      <c r="B2036" s="46"/>
      <c r="C2036" s="46"/>
      <c r="D2036" s="46"/>
      <c r="E2036" s="47" t="s">
        <v>2963</v>
      </c>
      <c r="F2036" s="222" t="s">
        <v>1480</v>
      </c>
      <c r="G2036" s="222"/>
      <c r="H2036" s="90" t="s">
        <v>3131</v>
      </c>
      <c r="I2036" s="638" t="s">
        <v>3072</v>
      </c>
      <c r="J2036" s="51" t="s">
        <v>140</v>
      </c>
      <c r="K2036" s="52">
        <v>0</v>
      </c>
      <c r="L2036" s="52">
        <v>0</v>
      </c>
      <c r="M2036" s="53">
        <v>220</v>
      </c>
      <c r="N2036" s="54">
        <v>300</v>
      </c>
      <c r="O2036" s="341">
        <v>1</v>
      </c>
      <c r="P2036" s="54">
        <f t="shared" si="338"/>
        <v>300</v>
      </c>
      <c r="Q2036" s="54"/>
      <c r="R2036" s="92">
        <v>300</v>
      </c>
      <c r="S2036" s="53">
        <f t="shared" si="331"/>
        <v>0</v>
      </c>
      <c r="T2036" s="343">
        <f t="shared" si="332"/>
        <v>392.72727272727275</v>
      </c>
      <c r="U2036" s="52">
        <f t="shared" si="333"/>
        <v>0</v>
      </c>
      <c r="V2036" s="52">
        <f t="shared" si="334"/>
        <v>0</v>
      </c>
      <c r="W2036" s="52">
        <v>0</v>
      </c>
      <c r="X2036" s="55">
        <f t="shared" si="335"/>
        <v>46153.583333333328</v>
      </c>
    </row>
    <row r="2037" spans="1:24" s="221" customFormat="1" hidden="1" x14ac:dyDescent="0.35">
      <c r="A2037" s="46">
        <f t="shared" si="336"/>
        <v>46153.583333333328</v>
      </c>
      <c r="B2037" s="46"/>
      <c r="C2037" s="46"/>
      <c r="D2037" s="46"/>
      <c r="E2037" s="46" t="s">
        <v>2963</v>
      </c>
      <c r="F2037" s="82" t="s">
        <v>3132</v>
      </c>
      <c r="G2037" s="82"/>
      <c r="H2037" s="49" t="s">
        <v>3133</v>
      </c>
      <c r="I2037" s="82" t="s">
        <v>3050</v>
      </c>
      <c r="J2037" s="100" t="s">
        <v>140</v>
      </c>
      <c r="K2037" s="52">
        <v>0</v>
      </c>
      <c r="L2037" s="52">
        <v>0</v>
      </c>
      <c r="M2037" s="53">
        <v>120</v>
      </c>
      <c r="N2037" s="54">
        <v>400</v>
      </c>
      <c r="O2037" s="341">
        <v>1</v>
      </c>
      <c r="P2037" s="54">
        <f t="shared" si="338"/>
        <v>400</v>
      </c>
      <c r="Q2037" s="54"/>
      <c r="R2037" s="92">
        <v>400</v>
      </c>
      <c r="S2037" s="53">
        <f t="shared" si="331"/>
        <v>0</v>
      </c>
      <c r="T2037" s="343">
        <f t="shared" si="332"/>
        <v>720</v>
      </c>
      <c r="U2037" s="52">
        <f t="shared" si="333"/>
        <v>0</v>
      </c>
      <c r="V2037" s="52">
        <f t="shared" si="334"/>
        <v>0</v>
      </c>
      <c r="W2037" s="52">
        <v>0</v>
      </c>
      <c r="X2037" s="55">
        <f t="shared" si="335"/>
        <v>46153.583333333328</v>
      </c>
    </row>
    <row r="2038" spans="1:24" s="221" customFormat="1" hidden="1" x14ac:dyDescent="0.35">
      <c r="A2038" s="46">
        <f t="shared" si="336"/>
        <v>46153.583333333328</v>
      </c>
      <c r="B2038" s="46"/>
      <c r="C2038" s="46"/>
      <c r="D2038" s="46"/>
      <c r="E2038" s="47" t="s">
        <v>2963</v>
      </c>
      <c r="F2038" s="82" t="s">
        <v>3124</v>
      </c>
      <c r="G2038" s="82"/>
      <c r="H2038" s="98" t="s">
        <v>3125</v>
      </c>
      <c r="I2038" s="72" t="s">
        <v>3120</v>
      </c>
      <c r="J2038" s="100" t="s">
        <v>140</v>
      </c>
      <c r="K2038" s="91">
        <v>0</v>
      </c>
      <c r="L2038" s="91">
        <v>0</v>
      </c>
      <c r="M2038" s="92">
        <v>100</v>
      </c>
      <c r="N2038" s="94">
        <v>12422</v>
      </c>
      <c r="O2038" s="253">
        <v>1</v>
      </c>
      <c r="P2038" s="94">
        <f t="shared" si="338"/>
        <v>12422</v>
      </c>
      <c r="Q2038" s="94"/>
      <c r="R2038" s="92">
        <v>12422</v>
      </c>
      <c r="S2038" s="92">
        <f t="shared" si="331"/>
        <v>0</v>
      </c>
      <c r="T2038" s="173">
        <f t="shared" si="332"/>
        <v>864</v>
      </c>
      <c r="U2038" s="101">
        <f t="shared" si="333"/>
        <v>0</v>
      </c>
      <c r="V2038" s="101">
        <f t="shared" si="334"/>
        <v>0</v>
      </c>
      <c r="W2038" s="101">
        <v>0</v>
      </c>
      <c r="X2038" s="55">
        <f t="shared" si="335"/>
        <v>46153.583333333328</v>
      </c>
    </row>
    <row r="2039" spans="1:24" s="597" customFormat="1" hidden="1" x14ac:dyDescent="0.35">
      <c r="A2039" s="46">
        <f t="shared" si="336"/>
        <v>46153.583333333328</v>
      </c>
      <c r="B2039" s="46"/>
      <c r="C2039" s="46"/>
      <c r="D2039" s="46"/>
      <c r="E2039" s="47" t="s">
        <v>2963</v>
      </c>
      <c r="F2039" s="104" t="s">
        <v>2932</v>
      </c>
      <c r="G2039" s="104"/>
      <c r="H2039" s="90" t="s">
        <v>2933</v>
      </c>
      <c r="I2039" s="599" t="s">
        <v>2928</v>
      </c>
      <c r="J2039" s="51" t="s">
        <v>140</v>
      </c>
      <c r="K2039" s="91">
        <v>0</v>
      </c>
      <c r="L2039" s="91">
        <v>0</v>
      </c>
      <c r="M2039" s="92">
        <v>81</v>
      </c>
      <c r="N2039" s="93">
        <v>4050</v>
      </c>
      <c r="O2039" s="253">
        <v>1</v>
      </c>
      <c r="P2039" s="94">
        <f t="shared" si="338"/>
        <v>4050</v>
      </c>
      <c r="Q2039" s="94"/>
      <c r="R2039" s="595">
        <v>4050</v>
      </c>
      <c r="S2039" s="92">
        <f t="shared" si="331"/>
        <v>0</v>
      </c>
      <c r="T2039" s="254">
        <f t="shared" si="332"/>
        <v>1066.6666666666665</v>
      </c>
      <c r="U2039" s="91">
        <f t="shared" si="333"/>
        <v>0</v>
      </c>
      <c r="V2039" s="91">
        <f t="shared" si="334"/>
        <v>0</v>
      </c>
      <c r="W2039" s="91">
        <v>0</v>
      </c>
      <c r="X2039" s="55">
        <f t="shared" si="335"/>
        <v>46153.583333333328</v>
      </c>
    </row>
    <row r="2040" spans="1:24" s="221" customFormat="1" hidden="1" x14ac:dyDescent="0.35">
      <c r="A2040" s="46">
        <f t="shared" si="336"/>
        <v>46153.583333333328</v>
      </c>
      <c r="B2040" s="46"/>
      <c r="C2040" s="46"/>
      <c r="D2040" s="46"/>
      <c r="E2040" s="47" t="s">
        <v>2963</v>
      </c>
      <c r="F2040" s="82" t="s">
        <v>3109</v>
      </c>
      <c r="G2040" s="82"/>
      <c r="H2040" s="98" t="s">
        <v>3110</v>
      </c>
      <c r="I2040" s="72" t="s">
        <v>3016</v>
      </c>
      <c r="J2040" s="100" t="s">
        <v>140</v>
      </c>
      <c r="K2040" s="101">
        <v>0</v>
      </c>
      <c r="L2040" s="101">
        <v>0</v>
      </c>
      <c r="M2040" s="92">
        <v>650</v>
      </c>
      <c r="N2040" s="94">
        <v>80</v>
      </c>
      <c r="O2040" s="253">
        <v>1</v>
      </c>
      <c r="P2040" s="94">
        <f t="shared" si="338"/>
        <v>80</v>
      </c>
      <c r="Q2040" s="94"/>
      <c r="R2040" s="92">
        <v>80</v>
      </c>
      <c r="S2040" s="92">
        <f t="shared" si="331"/>
        <v>0</v>
      </c>
      <c r="T2040" s="173">
        <f t="shared" si="332"/>
        <v>132.92307692307691</v>
      </c>
      <c r="U2040" s="101">
        <f t="shared" si="333"/>
        <v>0</v>
      </c>
      <c r="V2040" s="101">
        <f t="shared" si="334"/>
        <v>0</v>
      </c>
      <c r="W2040" s="101">
        <v>0</v>
      </c>
      <c r="X2040" s="55">
        <f t="shared" si="335"/>
        <v>46153.583333333328</v>
      </c>
    </row>
    <row r="2041" spans="1:24" s="221" customFormat="1" hidden="1" x14ac:dyDescent="0.35">
      <c r="A2041" s="46">
        <f t="shared" si="336"/>
        <v>46153.583333333328</v>
      </c>
      <c r="B2041" s="46"/>
      <c r="C2041" s="46"/>
      <c r="D2041" s="46"/>
      <c r="E2041" s="47" t="s">
        <v>2963</v>
      </c>
      <c r="F2041" s="82" t="s">
        <v>3124</v>
      </c>
      <c r="G2041" s="82"/>
      <c r="H2041" s="98" t="s">
        <v>3125</v>
      </c>
      <c r="I2041" s="72" t="s">
        <v>3120</v>
      </c>
      <c r="J2041" s="100" t="s">
        <v>140</v>
      </c>
      <c r="K2041" s="91">
        <v>0</v>
      </c>
      <c r="L2041" s="91">
        <v>0</v>
      </c>
      <c r="M2041" s="92">
        <v>100</v>
      </c>
      <c r="N2041" s="94">
        <v>208</v>
      </c>
      <c r="O2041" s="253">
        <v>1</v>
      </c>
      <c r="P2041" s="94">
        <f t="shared" si="338"/>
        <v>208</v>
      </c>
      <c r="Q2041" s="94"/>
      <c r="R2041" s="92">
        <v>208</v>
      </c>
      <c r="S2041" s="92">
        <f t="shared" si="331"/>
        <v>0</v>
      </c>
      <c r="T2041" s="173">
        <f t="shared" si="332"/>
        <v>864</v>
      </c>
      <c r="U2041" s="101">
        <f t="shared" si="333"/>
        <v>0</v>
      </c>
      <c r="V2041" s="101">
        <f t="shared" si="334"/>
        <v>0</v>
      </c>
      <c r="W2041" s="101">
        <v>0</v>
      </c>
      <c r="X2041" s="55">
        <f t="shared" si="335"/>
        <v>46153.583333333328</v>
      </c>
    </row>
    <row r="2042" spans="1:24" s="221" customFormat="1" hidden="1" x14ac:dyDescent="0.35">
      <c r="A2042" s="46">
        <f t="shared" si="336"/>
        <v>46153.583333333328</v>
      </c>
      <c r="B2042" s="46"/>
      <c r="C2042" s="46"/>
      <c r="D2042" s="46"/>
      <c r="E2042" s="47" t="s">
        <v>2963</v>
      </c>
      <c r="F2042" s="82" t="s">
        <v>3134</v>
      </c>
      <c r="G2042" s="82"/>
      <c r="H2042" s="98" t="s">
        <v>3135</v>
      </c>
      <c r="I2042" s="72" t="s">
        <v>3120</v>
      </c>
      <c r="J2042" s="100" t="s">
        <v>140</v>
      </c>
      <c r="K2042" s="91">
        <v>0</v>
      </c>
      <c r="L2042" s="91">
        <v>0</v>
      </c>
      <c r="M2042" s="92">
        <v>100</v>
      </c>
      <c r="N2042" s="94">
        <v>11613</v>
      </c>
      <c r="O2042" s="253">
        <v>1</v>
      </c>
      <c r="P2042" s="94">
        <f t="shared" si="338"/>
        <v>11613</v>
      </c>
      <c r="Q2042" s="94"/>
      <c r="R2042" s="92">
        <v>11613</v>
      </c>
      <c r="S2042" s="92">
        <f t="shared" si="331"/>
        <v>0</v>
      </c>
      <c r="T2042" s="173">
        <f t="shared" si="332"/>
        <v>864</v>
      </c>
      <c r="U2042" s="101">
        <f t="shared" si="333"/>
        <v>0</v>
      </c>
      <c r="V2042" s="101">
        <f t="shared" si="334"/>
        <v>0</v>
      </c>
      <c r="W2042" s="101">
        <v>0</v>
      </c>
      <c r="X2042" s="55">
        <f t="shared" si="335"/>
        <v>46153.583333333328</v>
      </c>
    </row>
    <row r="2043" spans="1:24" ht="26.5" hidden="1" x14ac:dyDescent="0.35">
      <c r="A2043" s="46">
        <f t="shared" si="336"/>
        <v>46153.583333333328</v>
      </c>
      <c r="B2043" s="46"/>
      <c r="C2043" s="46"/>
      <c r="D2043" s="46"/>
      <c r="E2043" s="47" t="s">
        <v>2963</v>
      </c>
      <c r="F2043" s="82" t="s">
        <v>501</v>
      </c>
      <c r="G2043" s="82"/>
      <c r="H2043" s="90" t="s">
        <v>3136</v>
      </c>
      <c r="I2043" s="639" t="s">
        <v>3050</v>
      </c>
      <c r="J2043" s="51" t="s">
        <v>140</v>
      </c>
      <c r="K2043" s="91">
        <v>0</v>
      </c>
      <c r="L2043" s="91">
        <v>0</v>
      </c>
      <c r="M2043" s="92">
        <v>120</v>
      </c>
      <c r="N2043" s="226">
        <v>600</v>
      </c>
      <c r="O2043" s="253">
        <v>1</v>
      </c>
      <c r="P2043" s="94">
        <f t="shared" si="338"/>
        <v>600</v>
      </c>
      <c r="Q2043" s="94"/>
      <c r="R2043" s="182">
        <v>600</v>
      </c>
      <c r="S2043" s="92">
        <f t="shared" si="331"/>
        <v>0</v>
      </c>
      <c r="T2043" s="254">
        <f t="shared" si="332"/>
        <v>720</v>
      </c>
      <c r="U2043" s="91">
        <f t="shared" si="333"/>
        <v>0</v>
      </c>
      <c r="V2043" s="91">
        <f t="shared" si="334"/>
        <v>0</v>
      </c>
      <c r="W2043" s="91">
        <v>0</v>
      </c>
      <c r="X2043" s="55">
        <f t="shared" si="335"/>
        <v>46153.583333333328</v>
      </c>
    </row>
    <row r="2044" spans="1:24" s="221" customFormat="1" ht="26.5" hidden="1" x14ac:dyDescent="0.35">
      <c r="A2044" s="46">
        <f t="shared" si="336"/>
        <v>46153.583333333328</v>
      </c>
      <c r="B2044" s="46"/>
      <c r="C2044" s="46"/>
      <c r="D2044" s="46"/>
      <c r="E2044" s="47" t="s">
        <v>2963</v>
      </c>
      <c r="F2044" s="82" t="s">
        <v>652</v>
      </c>
      <c r="G2044" s="82"/>
      <c r="H2044" s="98" t="s">
        <v>3137</v>
      </c>
      <c r="I2044" s="72" t="s">
        <v>3016</v>
      </c>
      <c r="J2044" s="100" t="s">
        <v>140</v>
      </c>
      <c r="K2044" s="101">
        <v>0</v>
      </c>
      <c r="L2044" s="101">
        <v>0</v>
      </c>
      <c r="M2044" s="92">
        <v>650</v>
      </c>
      <c r="N2044" s="94">
        <v>80</v>
      </c>
      <c r="O2044" s="253">
        <v>1</v>
      </c>
      <c r="P2044" s="94">
        <f t="shared" si="338"/>
        <v>80</v>
      </c>
      <c r="Q2044" s="94"/>
      <c r="R2044" s="92">
        <v>80</v>
      </c>
      <c r="S2044" s="92">
        <f t="shared" si="331"/>
        <v>0</v>
      </c>
      <c r="T2044" s="173">
        <f t="shared" si="332"/>
        <v>132.92307692307691</v>
      </c>
      <c r="U2044" s="101">
        <f t="shared" si="333"/>
        <v>0</v>
      </c>
      <c r="V2044" s="101">
        <f t="shared" si="334"/>
        <v>0</v>
      </c>
      <c r="W2044" s="101">
        <v>0</v>
      </c>
      <c r="X2044" s="55">
        <f t="shared" si="335"/>
        <v>46153.583333333328</v>
      </c>
    </row>
    <row r="2045" spans="1:24" ht="26.5" hidden="1" x14ac:dyDescent="0.35">
      <c r="A2045" s="46">
        <f t="shared" si="336"/>
        <v>46153.583333333328</v>
      </c>
      <c r="B2045" s="46"/>
      <c r="C2045" s="46"/>
      <c r="D2045" s="46"/>
      <c r="E2045" s="47" t="s">
        <v>2963</v>
      </c>
      <c r="F2045" s="82" t="s">
        <v>652</v>
      </c>
      <c r="G2045" s="82"/>
      <c r="H2045" s="86" t="s">
        <v>3138</v>
      </c>
      <c r="I2045" s="104" t="s">
        <v>3014</v>
      </c>
      <c r="J2045" s="51" t="s">
        <v>140</v>
      </c>
      <c r="K2045" s="52">
        <v>0</v>
      </c>
      <c r="L2045" s="52">
        <v>0</v>
      </c>
      <c r="M2045" s="53">
        <v>160</v>
      </c>
      <c r="N2045" s="54">
        <v>300</v>
      </c>
      <c r="O2045" s="341">
        <v>1</v>
      </c>
      <c r="P2045" s="54">
        <f t="shared" si="338"/>
        <v>300</v>
      </c>
      <c r="Q2045" s="54"/>
      <c r="R2045" s="92">
        <v>300</v>
      </c>
      <c r="S2045" s="53">
        <f t="shared" si="331"/>
        <v>0</v>
      </c>
      <c r="T2045" s="343">
        <f t="shared" si="332"/>
        <v>540</v>
      </c>
      <c r="U2045" s="52">
        <f t="shared" si="333"/>
        <v>0</v>
      </c>
      <c r="V2045" s="52">
        <f t="shared" si="334"/>
        <v>0</v>
      </c>
      <c r="W2045" s="52">
        <v>0</v>
      </c>
      <c r="X2045" s="55">
        <f t="shared" si="335"/>
        <v>46153.583333333328</v>
      </c>
    </row>
    <row r="2046" spans="1:24" s="221" customFormat="1" hidden="1" x14ac:dyDescent="0.35">
      <c r="A2046" s="46">
        <f t="shared" si="336"/>
        <v>46153.583333333328</v>
      </c>
      <c r="B2046" s="46"/>
      <c r="C2046" s="46"/>
      <c r="D2046" s="46"/>
      <c r="E2046" s="47" t="s">
        <v>2963</v>
      </c>
      <c r="F2046" s="82" t="s">
        <v>3134</v>
      </c>
      <c r="G2046" s="82"/>
      <c r="H2046" s="98" t="s">
        <v>3135</v>
      </c>
      <c r="I2046" s="72" t="s">
        <v>3120</v>
      </c>
      <c r="J2046" s="100" t="s">
        <v>140</v>
      </c>
      <c r="K2046" s="91">
        <v>0</v>
      </c>
      <c r="L2046" s="91">
        <v>0</v>
      </c>
      <c r="M2046" s="92">
        <v>100</v>
      </c>
      <c r="N2046" s="94">
        <v>6052</v>
      </c>
      <c r="O2046" s="253">
        <v>1</v>
      </c>
      <c r="P2046" s="94">
        <f t="shared" si="338"/>
        <v>6052</v>
      </c>
      <c r="Q2046" s="94"/>
      <c r="R2046" s="92">
        <v>6052</v>
      </c>
      <c r="S2046" s="92">
        <f t="shared" si="331"/>
        <v>0</v>
      </c>
      <c r="T2046" s="173">
        <f t="shared" si="332"/>
        <v>864</v>
      </c>
      <c r="U2046" s="101">
        <f t="shared" si="333"/>
        <v>0</v>
      </c>
      <c r="V2046" s="101">
        <f t="shared" si="334"/>
        <v>0</v>
      </c>
      <c r="W2046" s="101">
        <v>0</v>
      </c>
      <c r="X2046" s="55">
        <f t="shared" si="335"/>
        <v>46153.583333333328</v>
      </c>
    </row>
    <row r="2047" spans="1:24" s="221" customFormat="1" hidden="1" x14ac:dyDescent="0.35">
      <c r="A2047" s="46">
        <f t="shared" si="336"/>
        <v>46153.583333333328</v>
      </c>
      <c r="B2047" s="46"/>
      <c r="C2047" s="46"/>
      <c r="D2047" s="46"/>
      <c r="E2047" s="47" t="s">
        <v>2963</v>
      </c>
      <c r="F2047" s="82" t="s">
        <v>3139</v>
      </c>
      <c r="G2047" s="82"/>
      <c r="H2047" s="98" t="s">
        <v>3140</v>
      </c>
      <c r="I2047" s="72" t="s">
        <v>3120</v>
      </c>
      <c r="J2047" s="100" t="s">
        <v>140</v>
      </c>
      <c r="K2047" s="91">
        <v>0</v>
      </c>
      <c r="L2047" s="91">
        <v>0</v>
      </c>
      <c r="M2047" s="92">
        <v>100</v>
      </c>
      <c r="N2047" s="94">
        <v>3888</v>
      </c>
      <c r="O2047" s="253">
        <v>1</v>
      </c>
      <c r="P2047" s="94">
        <f t="shared" si="338"/>
        <v>3888</v>
      </c>
      <c r="Q2047" s="94"/>
      <c r="R2047" s="92">
        <v>3888</v>
      </c>
      <c r="S2047" s="92">
        <f t="shared" si="331"/>
        <v>0</v>
      </c>
      <c r="T2047" s="173">
        <f t="shared" si="332"/>
        <v>864</v>
      </c>
      <c r="U2047" s="101">
        <f t="shared" si="333"/>
        <v>0</v>
      </c>
      <c r="V2047" s="101">
        <f t="shared" si="334"/>
        <v>0</v>
      </c>
      <c r="W2047" s="101">
        <v>0</v>
      </c>
      <c r="X2047" s="55">
        <f t="shared" si="335"/>
        <v>46153.583333333328</v>
      </c>
    </row>
    <row r="2048" spans="1:24" s="221" customFormat="1" hidden="1" x14ac:dyDescent="0.35">
      <c r="A2048" s="46">
        <f t="shared" si="336"/>
        <v>46153.583333333328</v>
      </c>
      <c r="B2048" s="46"/>
      <c r="C2048" s="46"/>
      <c r="D2048" s="46"/>
      <c r="E2048" s="47" t="s">
        <v>2963</v>
      </c>
      <c r="F2048" s="97" t="s">
        <v>271</v>
      </c>
      <c r="G2048" s="97"/>
      <c r="H2048" s="86" t="s">
        <v>3141</v>
      </c>
      <c r="I2048" s="87" t="s">
        <v>208</v>
      </c>
      <c r="J2048" s="51" t="s">
        <v>140</v>
      </c>
      <c r="K2048" s="52">
        <v>0</v>
      </c>
      <c r="L2048" s="52">
        <v>0</v>
      </c>
      <c r="M2048" s="92">
        <v>165</v>
      </c>
      <c r="N2048" s="88">
        <v>1470</v>
      </c>
      <c r="O2048" s="341">
        <v>1</v>
      </c>
      <c r="P2048" s="54">
        <f t="shared" si="338"/>
        <v>1470</v>
      </c>
      <c r="Q2048" s="54"/>
      <c r="R2048" s="595">
        <v>1470</v>
      </c>
      <c r="S2048" s="53">
        <f t="shared" si="331"/>
        <v>0</v>
      </c>
      <c r="T2048" s="343">
        <f t="shared" si="332"/>
        <v>523.63636363636363</v>
      </c>
      <c r="U2048" s="52">
        <f t="shared" si="333"/>
        <v>0</v>
      </c>
      <c r="V2048" s="52">
        <f t="shared" si="334"/>
        <v>0</v>
      </c>
      <c r="W2048" s="84">
        <v>0</v>
      </c>
      <c r="X2048" s="55">
        <f t="shared" si="335"/>
        <v>46153.583333333328</v>
      </c>
    </row>
    <row r="2049" spans="1:24" s="221" customFormat="1" hidden="1" x14ac:dyDescent="0.35">
      <c r="A2049" s="46">
        <f t="shared" si="336"/>
        <v>46153.583333333328</v>
      </c>
      <c r="B2049" s="46"/>
      <c r="C2049" s="46"/>
      <c r="D2049" s="46"/>
      <c r="E2049" s="47" t="s">
        <v>2963</v>
      </c>
      <c r="F2049" s="97" t="s">
        <v>271</v>
      </c>
      <c r="G2049" s="97"/>
      <c r="H2049" s="49" t="s">
        <v>3142</v>
      </c>
      <c r="I2049" s="85" t="s">
        <v>205</v>
      </c>
      <c r="J2049" s="51" t="s">
        <v>140</v>
      </c>
      <c r="K2049" s="52">
        <v>0</v>
      </c>
      <c r="L2049" s="52">
        <v>0</v>
      </c>
      <c r="M2049" s="92">
        <v>165</v>
      </c>
      <c r="N2049" s="54">
        <v>1470</v>
      </c>
      <c r="O2049" s="341">
        <v>1</v>
      </c>
      <c r="P2049" s="54">
        <f t="shared" si="338"/>
        <v>1470</v>
      </c>
      <c r="Q2049" s="54"/>
      <c r="R2049" s="92">
        <v>1470</v>
      </c>
      <c r="S2049" s="53">
        <f t="shared" si="331"/>
        <v>0</v>
      </c>
      <c r="T2049" s="315">
        <f t="shared" si="332"/>
        <v>523.63636363636363</v>
      </c>
      <c r="U2049" s="84">
        <f t="shared" si="333"/>
        <v>0</v>
      </c>
      <c r="V2049" s="84">
        <f t="shared" si="334"/>
        <v>0</v>
      </c>
      <c r="W2049" s="84">
        <v>0</v>
      </c>
      <c r="X2049" s="55">
        <f t="shared" si="335"/>
        <v>46153.583333333328</v>
      </c>
    </row>
    <row r="2050" spans="1:24" hidden="1" x14ac:dyDescent="0.35">
      <c r="A2050" s="46">
        <f t="shared" si="336"/>
        <v>46153.583333333328</v>
      </c>
      <c r="B2050" s="46"/>
      <c r="C2050" s="46"/>
      <c r="D2050" s="46"/>
      <c r="E2050" s="47" t="s">
        <v>2963</v>
      </c>
      <c r="F2050" s="82" t="s">
        <v>1520</v>
      </c>
      <c r="G2050" s="82"/>
      <c r="H2050" s="107" t="s">
        <v>3143</v>
      </c>
      <c r="I2050" s="71" t="s">
        <v>3144</v>
      </c>
      <c r="J2050" s="51" t="s">
        <v>140</v>
      </c>
      <c r="K2050" s="52">
        <v>0</v>
      </c>
      <c r="L2050" s="52">
        <v>0</v>
      </c>
      <c r="M2050" s="53">
        <v>116</v>
      </c>
      <c r="N2050" s="54">
        <v>400</v>
      </c>
      <c r="O2050" s="341">
        <v>1</v>
      </c>
      <c r="P2050" s="54">
        <f t="shared" si="338"/>
        <v>400</v>
      </c>
      <c r="Q2050" s="54"/>
      <c r="R2050" s="92">
        <v>400</v>
      </c>
      <c r="S2050" s="53">
        <f t="shared" si="331"/>
        <v>0</v>
      </c>
      <c r="T2050" s="343">
        <f t="shared" si="332"/>
        <v>744.82758620689651</v>
      </c>
      <c r="U2050" s="52">
        <f t="shared" si="333"/>
        <v>0</v>
      </c>
      <c r="V2050" s="52">
        <f t="shared" si="334"/>
        <v>0</v>
      </c>
      <c r="W2050" s="52">
        <v>0</v>
      </c>
      <c r="X2050" s="55">
        <f t="shared" si="335"/>
        <v>46153.583333333328</v>
      </c>
    </row>
    <row r="2051" spans="1:24" hidden="1" x14ac:dyDescent="0.35">
      <c r="A2051" s="46">
        <f t="shared" si="336"/>
        <v>46153.583333333328</v>
      </c>
      <c r="B2051" s="46"/>
      <c r="C2051" s="46"/>
      <c r="D2051" s="46"/>
      <c r="E2051" s="47" t="s">
        <v>2963</v>
      </c>
      <c r="F2051" s="82" t="s">
        <v>1520</v>
      </c>
      <c r="G2051" s="82"/>
      <c r="H2051" s="107" t="s">
        <v>3145</v>
      </c>
      <c r="I2051" s="71" t="s">
        <v>3146</v>
      </c>
      <c r="J2051" s="51" t="s">
        <v>140</v>
      </c>
      <c r="K2051" s="52">
        <v>0</v>
      </c>
      <c r="L2051" s="52">
        <v>0</v>
      </c>
      <c r="M2051" s="53">
        <v>116</v>
      </c>
      <c r="N2051" s="54">
        <v>400</v>
      </c>
      <c r="O2051" s="341">
        <v>1</v>
      </c>
      <c r="P2051" s="54">
        <f t="shared" si="338"/>
        <v>400</v>
      </c>
      <c r="Q2051" s="54"/>
      <c r="R2051" s="92">
        <v>400</v>
      </c>
      <c r="S2051" s="53">
        <f t="shared" si="331"/>
        <v>0</v>
      </c>
      <c r="T2051" s="343">
        <f t="shared" si="332"/>
        <v>744.82758620689651</v>
      </c>
      <c r="U2051" s="52">
        <f t="shared" si="333"/>
        <v>0</v>
      </c>
      <c r="V2051" s="52">
        <f t="shared" si="334"/>
        <v>0</v>
      </c>
      <c r="W2051" s="52">
        <v>0</v>
      </c>
      <c r="X2051" s="55">
        <f t="shared" si="335"/>
        <v>46153.583333333328</v>
      </c>
    </row>
    <row r="2052" spans="1:24" hidden="1" x14ac:dyDescent="0.35">
      <c r="A2052" s="46">
        <f t="shared" si="336"/>
        <v>46153.583333333328</v>
      </c>
      <c r="B2052" s="46"/>
      <c r="C2052" s="46"/>
      <c r="D2052" s="46"/>
      <c r="E2052" s="47" t="s">
        <v>2963</v>
      </c>
      <c r="F2052" s="82" t="s">
        <v>1520</v>
      </c>
      <c r="G2052" s="82"/>
      <c r="H2052" s="107" t="s">
        <v>3147</v>
      </c>
      <c r="I2052" s="71" t="s">
        <v>3148</v>
      </c>
      <c r="J2052" s="51" t="s">
        <v>140</v>
      </c>
      <c r="K2052" s="52">
        <v>0</v>
      </c>
      <c r="L2052" s="52">
        <v>0</v>
      </c>
      <c r="M2052" s="53">
        <v>116</v>
      </c>
      <c r="N2052" s="54">
        <v>400</v>
      </c>
      <c r="O2052" s="341">
        <v>1</v>
      </c>
      <c r="P2052" s="54">
        <f t="shared" si="338"/>
        <v>400</v>
      </c>
      <c r="Q2052" s="54"/>
      <c r="R2052" s="92">
        <v>400</v>
      </c>
      <c r="S2052" s="53">
        <f t="shared" si="331"/>
        <v>0</v>
      </c>
      <c r="T2052" s="343">
        <f t="shared" si="332"/>
        <v>744.82758620689651</v>
      </c>
      <c r="U2052" s="52">
        <f t="shared" si="333"/>
        <v>0</v>
      </c>
      <c r="V2052" s="52">
        <f t="shared" si="334"/>
        <v>0</v>
      </c>
      <c r="W2052" s="52">
        <v>0</v>
      </c>
      <c r="X2052" s="55">
        <f t="shared" si="335"/>
        <v>46153.583333333328</v>
      </c>
    </row>
    <row r="2053" spans="1:24" hidden="1" x14ac:dyDescent="0.35">
      <c r="A2053" s="46">
        <f t="shared" si="336"/>
        <v>46153.583333333328</v>
      </c>
      <c r="B2053" s="46"/>
      <c r="C2053" s="46"/>
      <c r="D2053" s="46"/>
      <c r="E2053" s="47" t="s">
        <v>2963</v>
      </c>
      <c r="F2053" s="82" t="s">
        <v>1520</v>
      </c>
      <c r="G2053" s="82"/>
      <c r="H2053" s="107" t="s">
        <v>3149</v>
      </c>
      <c r="I2053" s="71" t="s">
        <v>3150</v>
      </c>
      <c r="J2053" s="51" t="s">
        <v>140</v>
      </c>
      <c r="K2053" s="52">
        <v>0</v>
      </c>
      <c r="L2053" s="52">
        <v>0.2</v>
      </c>
      <c r="M2053" s="53">
        <v>116</v>
      </c>
      <c r="N2053" s="54">
        <v>400</v>
      </c>
      <c r="O2053" s="341">
        <v>1</v>
      </c>
      <c r="P2053" s="54">
        <f t="shared" si="338"/>
        <v>400</v>
      </c>
      <c r="Q2053" s="54"/>
      <c r="R2053" s="92">
        <v>400</v>
      </c>
      <c r="S2053" s="53">
        <f t="shared" si="331"/>
        <v>0</v>
      </c>
      <c r="T2053" s="343">
        <f t="shared" si="332"/>
        <v>744.82758620689651</v>
      </c>
      <c r="U2053" s="52">
        <f t="shared" si="333"/>
        <v>0</v>
      </c>
      <c r="V2053" s="52">
        <f t="shared" si="334"/>
        <v>0</v>
      </c>
      <c r="W2053" s="52">
        <v>0</v>
      </c>
      <c r="X2053" s="55">
        <f t="shared" si="335"/>
        <v>46153.783333333326</v>
      </c>
    </row>
    <row r="2054" spans="1:24" hidden="1" x14ac:dyDescent="0.35">
      <c r="A2054" s="46">
        <f t="shared" si="336"/>
        <v>46153.783333333326</v>
      </c>
      <c r="B2054" s="46"/>
      <c r="C2054" s="46"/>
      <c r="D2054" s="46"/>
      <c r="E2054" s="47" t="s">
        <v>2963</v>
      </c>
      <c r="F2054" s="82" t="s">
        <v>1520</v>
      </c>
      <c r="G2054" s="82"/>
      <c r="H2054" s="107" t="s">
        <v>3151</v>
      </c>
      <c r="I2054" s="71" t="s">
        <v>3152</v>
      </c>
      <c r="J2054" s="51" t="s">
        <v>140</v>
      </c>
      <c r="K2054" s="52">
        <v>0</v>
      </c>
      <c r="L2054" s="52">
        <v>0</v>
      </c>
      <c r="M2054" s="53">
        <v>116</v>
      </c>
      <c r="N2054" s="54">
        <v>220</v>
      </c>
      <c r="O2054" s="341">
        <v>1</v>
      </c>
      <c r="P2054" s="54">
        <f t="shared" si="338"/>
        <v>220</v>
      </c>
      <c r="Q2054" s="54"/>
      <c r="R2054" s="92">
        <v>220</v>
      </c>
      <c r="S2054" s="53">
        <f t="shared" si="331"/>
        <v>0</v>
      </c>
      <c r="T2054" s="343">
        <f t="shared" si="332"/>
        <v>744.82758620689651</v>
      </c>
      <c r="U2054" s="52">
        <f t="shared" si="333"/>
        <v>0</v>
      </c>
      <c r="V2054" s="52">
        <f t="shared" si="334"/>
        <v>0</v>
      </c>
      <c r="W2054" s="52">
        <v>0</v>
      </c>
      <c r="X2054" s="55">
        <f t="shared" si="335"/>
        <v>46153.783333333326</v>
      </c>
    </row>
    <row r="2055" spans="1:24" s="221" customFormat="1" hidden="1" x14ac:dyDescent="0.35">
      <c r="A2055" s="46">
        <f t="shared" si="336"/>
        <v>46153.783333333326</v>
      </c>
      <c r="B2055" s="46"/>
      <c r="C2055" s="46"/>
      <c r="D2055" s="46"/>
      <c r="E2055" s="47" t="s">
        <v>2963</v>
      </c>
      <c r="F2055" s="97" t="s">
        <v>271</v>
      </c>
      <c r="G2055" s="97"/>
      <c r="H2055" s="86" t="s">
        <v>3153</v>
      </c>
      <c r="I2055" s="87" t="s">
        <v>208</v>
      </c>
      <c r="J2055" s="51" t="s">
        <v>140</v>
      </c>
      <c r="K2055" s="52">
        <v>0</v>
      </c>
      <c r="L2055" s="52">
        <v>0</v>
      </c>
      <c r="M2055" s="92">
        <v>165</v>
      </c>
      <c r="N2055" s="88">
        <v>1890</v>
      </c>
      <c r="O2055" s="341">
        <v>1</v>
      </c>
      <c r="P2055" s="54">
        <f t="shared" si="338"/>
        <v>1890</v>
      </c>
      <c r="Q2055" s="54"/>
      <c r="R2055" s="595">
        <v>1890</v>
      </c>
      <c r="S2055" s="53">
        <f t="shared" si="331"/>
        <v>0</v>
      </c>
      <c r="T2055" s="343">
        <f t="shared" si="332"/>
        <v>523.63636363636363</v>
      </c>
      <c r="U2055" s="52">
        <f t="shared" si="333"/>
        <v>0</v>
      </c>
      <c r="V2055" s="52">
        <f t="shared" si="334"/>
        <v>0</v>
      </c>
      <c r="W2055" s="84">
        <v>0</v>
      </c>
      <c r="X2055" s="55">
        <f t="shared" si="335"/>
        <v>46153.783333333326</v>
      </c>
    </row>
    <row r="2056" spans="1:24" s="221" customFormat="1" hidden="1" x14ac:dyDescent="0.35">
      <c r="A2056" s="46">
        <f t="shared" si="336"/>
        <v>46153.783333333326</v>
      </c>
      <c r="B2056" s="46"/>
      <c r="C2056" s="46"/>
      <c r="D2056" s="46"/>
      <c r="E2056" s="47" t="s">
        <v>2963</v>
      </c>
      <c r="F2056" s="97" t="s">
        <v>271</v>
      </c>
      <c r="G2056" s="97"/>
      <c r="H2056" s="49" t="s">
        <v>3154</v>
      </c>
      <c r="I2056" s="85" t="s">
        <v>205</v>
      </c>
      <c r="J2056" s="51" t="s">
        <v>140</v>
      </c>
      <c r="K2056" s="52">
        <v>0</v>
      </c>
      <c r="L2056" s="52">
        <v>0</v>
      </c>
      <c r="M2056" s="92">
        <v>165</v>
      </c>
      <c r="N2056" s="54">
        <v>290</v>
      </c>
      <c r="O2056" s="341">
        <v>1</v>
      </c>
      <c r="P2056" s="54">
        <f t="shared" si="338"/>
        <v>290</v>
      </c>
      <c r="Q2056" s="54"/>
      <c r="R2056" s="92">
        <v>290</v>
      </c>
      <c r="S2056" s="53">
        <f t="shared" si="331"/>
        <v>0</v>
      </c>
      <c r="T2056" s="315">
        <f t="shared" si="332"/>
        <v>523.63636363636363</v>
      </c>
      <c r="U2056" s="84">
        <f t="shared" si="333"/>
        <v>0</v>
      </c>
      <c r="V2056" s="84">
        <f t="shared" si="334"/>
        <v>0</v>
      </c>
      <c r="W2056" s="84">
        <v>0</v>
      </c>
      <c r="X2056" s="55">
        <f t="shared" si="335"/>
        <v>46153.783333333326</v>
      </c>
    </row>
    <row r="2057" spans="1:24" s="221" customFormat="1" hidden="1" x14ac:dyDescent="0.35">
      <c r="A2057" s="46">
        <f t="shared" si="336"/>
        <v>46153.783333333326</v>
      </c>
      <c r="B2057" s="46"/>
      <c r="C2057" s="46"/>
      <c r="D2057" s="46"/>
      <c r="E2057" s="47" t="s">
        <v>2963</v>
      </c>
      <c r="F2057" s="97" t="s">
        <v>271</v>
      </c>
      <c r="G2057" s="97"/>
      <c r="H2057" s="49" t="s">
        <v>3155</v>
      </c>
      <c r="I2057" s="85" t="s">
        <v>203</v>
      </c>
      <c r="J2057" s="51" t="s">
        <v>140</v>
      </c>
      <c r="K2057" s="52">
        <v>0</v>
      </c>
      <c r="L2057" s="52">
        <v>0</v>
      </c>
      <c r="M2057" s="92">
        <v>165</v>
      </c>
      <c r="N2057" s="54">
        <v>1260</v>
      </c>
      <c r="O2057" s="341">
        <v>1</v>
      </c>
      <c r="P2057" s="54">
        <f t="shared" si="338"/>
        <v>1260</v>
      </c>
      <c r="Q2057" s="54"/>
      <c r="R2057" s="92">
        <v>1260</v>
      </c>
      <c r="S2057" s="53">
        <f t="shared" si="331"/>
        <v>0</v>
      </c>
      <c r="T2057" s="315">
        <f t="shared" si="332"/>
        <v>523.63636363636363</v>
      </c>
      <c r="U2057" s="84">
        <f t="shared" si="333"/>
        <v>0</v>
      </c>
      <c r="V2057" s="84">
        <f t="shared" si="334"/>
        <v>0</v>
      </c>
      <c r="W2057" s="84">
        <v>0</v>
      </c>
      <c r="X2057" s="55">
        <f t="shared" si="335"/>
        <v>46153.783333333326</v>
      </c>
    </row>
    <row r="2058" spans="1:24" s="221" customFormat="1" hidden="1" x14ac:dyDescent="0.35">
      <c r="A2058" s="46">
        <f t="shared" si="336"/>
        <v>46153.783333333326</v>
      </c>
      <c r="B2058" s="46"/>
      <c r="C2058" s="46"/>
      <c r="D2058" s="46"/>
      <c r="E2058" s="47" t="s">
        <v>2963</v>
      </c>
      <c r="F2058" s="97" t="s">
        <v>271</v>
      </c>
      <c r="G2058" s="97"/>
      <c r="H2058" s="49" t="s">
        <v>3154</v>
      </c>
      <c r="I2058" s="85" t="s">
        <v>205</v>
      </c>
      <c r="J2058" s="51" t="s">
        <v>140</v>
      </c>
      <c r="K2058" s="52">
        <v>0</v>
      </c>
      <c r="L2058" s="52">
        <v>0</v>
      </c>
      <c r="M2058" s="92">
        <v>165</v>
      </c>
      <c r="N2058" s="54">
        <v>1180</v>
      </c>
      <c r="O2058" s="341">
        <v>1</v>
      </c>
      <c r="P2058" s="54">
        <f t="shared" si="338"/>
        <v>1180</v>
      </c>
      <c r="Q2058" s="54"/>
      <c r="R2058" s="92">
        <v>1180</v>
      </c>
      <c r="S2058" s="53">
        <f t="shared" si="331"/>
        <v>0</v>
      </c>
      <c r="T2058" s="315">
        <f t="shared" si="332"/>
        <v>523.63636363636363</v>
      </c>
      <c r="U2058" s="84">
        <f t="shared" si="333"/>
        <v>0</v>
      </c>
      <c r="V2058" s="84">
        <f t="shared" si="334"/>
        <v>0</v>
      </c>
      <c r="W2058" s="84">
        <v>0</v>
      </c>
      <c r="X2058" s="55">
        <f t="shared" si="335"/>
        <v>46153.783333333326</v>
      </c>
    </row>
    <row r="2059" spans="1:24" s="221" customFormat="1" hidden="1" x14ac:dyDescent="0.35">
      <c r="A2059" s="46">
        <f t="shared" si="336"/>
        <v>46153.783333333326</v>
      </c>
      <c r="B2059" s="46"/>
      <c r="C2059" s="46"/>
      <c r="D2059" s="46"/>
      <c r="E2059" s="47" t="s">
        <v>2963</v>
      </c>
      <c r="F2059" s="97" t="s">
        <v>271</v>
      </c>
      <c r="G2059" s="97"/>
      <c r="H2059" s="86" t="s">
        <v>3156</v>
      </c>
      <c r="I2059" s="87" t="s">
        <v>208</v>
      </c>
      <c r="J2059" s="51" t="s">
        <v>140</v>
      </c>
      <c r="K2059" s="52">
        <v>0</v>
      </c>
      <c r="L2059" s="52">
        <v>0</v>
      </c>
      <c r="M2059" s="92">
        <v>165</v>
      </c>
      <c r="N2059" s="88">
        <v>840</v>
      </c>
      <c r="O2059" s="341">
        <v>1</v>
      </c>
      <c r="P2059" s="54">
        <f t="shared" si="338"/>
        <v>840</v>
      </c>
      <c r="Q2059" s="54"/>
      <c r="R2059" s="595">
        <v>840</v>
      </c>
      <c r="S2059" s="53">
        <f t="shared" si="331"/>
        <v>0</v>
      </c>
      <c r="T2059" s="343">
        <f t="shared" si="332"/>
        <v>523.63636363636363</v>
      </c>
      <c r="U2059" s="52">
        <f t="shared" si="333"/>
        <v>0</v>
      </c>
      <c r="V2059" s="52">
        <f t="shared" si="334"/>
        <v>0</v>
      </c>
      <c r="W2059" s="84">
        <v>0</v>
      </c>
      <c r="X2059" s="55">
        <f t="shared" si="335"/>
        <v>46153.783333333326</v>
      </c>
    </row>
    <row r="2060" spans="1:24" s="221" customFormat="1" hidden="1" x14ac:dyDescent="0.35">
      <c r="A2060" s="46">
        <f t="shared" si="336"/>
        <v>46153.783333333326</v>
      </c>
      <c r="B2060" s="46"/>
      <c r="C2060" s="46"/>
      <c r="D2060" s="46"/>
      <c r="E2060" s="47" t="s">
        <v>2963</v>
      </c>
      <c r="F2060" s="97" t="s">
        <v>271</v>
      </c>
      <c r="G2060" s="97"/>
      <c r="H2060" s="49" t="s">
        <v>3157</v>
      </c>
      <c r="I2060" s="85" t="s">
        <v>203</v>
      </c>
      <c r="J2060" s="51" t="s">
        <v>140</v>
      </c>
      <c r="K2060" s="52">
        <v>0</v>
      </c>
      <c r="L2060" s="52">
        <v>0</v>
      </c>
      <c r="M2060" s="92">
        <v>165</v>
      </c>
      <c r="N2060" s="54">
        <v>1050</v>
      </c>
      <c r="O2060" s="341">
        <v>1</v>
      </c>
      <c r="P2060" s="54">
        <f t="shared" si="338"/>
        <v>1050</v>
      </c>
      <c r="Q2060" s="54"/>
      <c r="R2060" s="92">
        <v>1050</v>
      </c>
      <c r="S2060" s="53">
        <f t="shared" si="331"/>
        <v>0</v>
      </c>
      <c r="T2060" s="315">
        <f t="shared" si="332"/>
        <v>523.63636363636363</v>
      </c>
      <c r="U2060" s="84">
        <f t="shared" si="333"/>
        <v>0</v>
      </c>
      <c r="V2060" s="84">
        <f t="shared" si="334"/>
        <v>0</v>
      </c>
      <c r="W2060" s="84">
        <v>0</v>
      </c>
      <c r="X2060" s="55">
        <f t="shared" si="335"/>
        <v>46153.783333333326</v>
      </c>
    </row>
    <row r="2061" spans="1:24" s="221" customFormat="1" hidden="1" x14ac:dyDescent="0.35">
      <c r="A2061" s="46">
        <f t="shared" si="336"/>
        <v>46153.783333333326</v>
      </c>
      <c r="B2061" s="46"/>
      <c r="C2061" s="46"/>
      <c r="D2061" s="46"/>
      <c r="E2061" s="47" t="s">
        <v>2963</v>
      </c>
      <c r="F2061" s="97" t="s">
        <v>271</v>
      </c>
      <c r="G2061" s="97"/>
      <c r="H2061" s="86" t="s">
        <v>3158</v>
      </c>
      <c r="I2061" s="87" t="s">
        <v>208</v>
      </c>
      <c r="J2061" s="51" t="s">
        <v>140</v>
      </c>
      <c r="K2061" s="52">
        <v>0</v>
      </c>
      <c r="L2061" s="52">
        <v>0</v>
      </c>
      <c r="M2061" s="92">
        <v>165</v>
      </c>
      <c r="N2061" s="88">
        <v>1680</v>
      </c>
      <c r="O2061" s="341">
        <v>1</v>
      </c>
      <c r="P2061" s="54">
        <f t="shared" si="338"/>
        <v>1680</v>
      </c>
      <c r="Q2061" s="54"/>
      <c r="R2061" s="595">
        <v>1680</v>
      </c>
      <c r="S2061" s="53">
        <f t="shared" si="331"/>
        <v>0</v>
      </c>
      <c r="T2061" s="343">
        <f t="shared" si="332"/>
        <v>523.63636363636363</v>
      </c>
      <c r="U2061" s="52">
        <f t="shared" si="333"/>
        <v>0</v>
      </c>
      <c r="V2061" s="52">
        <f t="shared" si="334"/>
        <v>0</v>
      </c>
      <c r="W2061" s="84">
        <v>0</v>
      </c>
      <c r="X2061" s="55">
        <f t="shared" si="335"/>
        <v>46153.783333333326</v>
      </c>
    </row>
    <row r="2062" spans="1:24" s="221" customFormat="1" hidden="1" x14ac:dyDescent="0.35">
      <c r="A2062" s="46">
        <f t="shared" si="336"/>
        <v>46153.783333333326</v>
      </c>
      <c r="B2062" s="46"/>
      <c r="C2062" s="46"/>
      <c r="D2062" s="46"/>
      <c r="E2062" s="47" t="s">
        <v>2963</v>
      </c>
      <c r="F2062" s="97" t="s">
        <v>271</v>
      </c>
      <c r="G2062" s="97"/>
      <c r="H2062" s="49" t="s">
        <v>3159</v>
      </c>
      <c r="I2062" s="85" t="s">
        <v>205</v>
      </c>
      <c r="J2062" s="51" t="s">
        <v>140</v>
      </c>
      <c r="K2062" s="52">
        <v>0</v>
      </c>
      <c r="L2062" s="52">
        <v>0</v>
      </c>
      <c r="M2062" s="92">
        <v>165</v>
      </c>
      <c r="N2062" s="54">
        <v>1260</v>
      </c>
      <c r="O2062" s="341">
        <v>1</v>
      </c>
      <c r="P2062" s="54">
        <f t="shared" si="338"/>
        <v>1260</v>
      </c>
      <c r="Q2062" s="54"/>
      <c r="R2062" s="92">
        <v>1260</v>
      </c>
      <c r="S2062" s="53">
        <f t="shared" si="331"/>
        <v>0</v>
      </c>
      <c r="T2062" s="315">
        <f t="shared" si="332"/>
        <v>523.63636363636363</v>
      </c>
      <c r="U2062" s="84">
        <f t="shared" si="333"/>
        <v>0</v>
      </c>
      <c r="V2062" s="84">
        <f t="shared" si="334"/>
        <v>0</v>
      </c>
      <c r="W2062" s="84">
        <v>0</v>
      </c>
      <c r="X2062" s="55">
        <f t="shared" si="335"/>
        <v>46153.783333333326</v>
      </c>
    </row>
    <row r="2063" spans="1:24" s="221" customFormat="1" hidden="1" x14ac:dyDescent="0.35">
      <c r="A2063" s="46">
        <f t="shared" si="336"/>
        <v>46153.783333333326</v>
      </c>
      <c r="B2063" s="46"/>
      <c r="C2063" s="46"/>
      <c r="D2063" s="46"/>
      <c r="E2063" s="47" t="s">
        <v>2963</v>
      </c>
      <c r="F2063" s="48" t="s">
        <v>3160</v>
      </c>
      <c r="G2063" s="48"/>
      <c r="H2063" s="49" t="s">
        <v>3161</v>
      </c>
      <c r="I2063" s="82" t="s">
        <v>3050</v>
      </c>
      <c r="J2063" s="100" t="s">
        <v>140</v>
      </c>
      <c r="K2063" s="52">
        <v>0</v>
      </c>
      <c r="L2063" s="52">
        <v>0</v>
      </c>
      <c r="M2063" s="53">
        <v>120</v>
      </c>
      <c r="N2063" s="54">
        <v>900</v>
      </c>
      <c r="O2063" s="341">
        <v>1</v>
      </c>
      <c r="P2063" s="54">
        <f t="shared" si="338"/>
        <v>900</v>
      </c>
      <c r="Q2063" s="54"/>
      <c r="R2063" s="92">
        <v>900</v>
      </c>
      <c r="S2063" s="53">
        <f t="shared" si="331"/>
        <v>0</v>
      </c>
      <c r="T2063" s="343">
        <f t="shared" si="332"/>
        <v>720</v>
      </c>
      <c r="U2063" s="52">
        <f t="shared" si="333"/>
        <v>0</v>
      </c>
      <c r="V2063" s="52">
        <f t="shared" si="334"/>
        <v>0</v>
      </c>
      <c r="W2063" s="52">
        <v>0</v>
      </c>
      <c r="X2063" s="55">
        <f t="shared" si="335"/>
        <v>46153.783333333326</v>
      </c>
    </row>
    <row r="2064" spans="1:24" s="221" customFormat="1" hidden="1" x14ac:dyDescent="0.35">
      <c r="A2064" s="46">
        <f t="shared" si="336"/>
        <v>46153.783333333326</v>
      </c>
      <c r="B2064" s="46"/>
      <c r="C2064" s="46"/>
      <c r="D2064" s="46"/>
      <c r="E2064" s="47" t="s">
        <v>2963</v>
      </c>
      <c r="F2064" s="97" t="s">
        <v>271</v>
      </c>
      <c r="G2064" s="97"/>
      <c r="H2064" s="49" t="s">
        <v>3162</v>
      </c>
      <c r="I2064" s="85" t="s">
        <v>203</v>
      </c>
      <c r="J2064" s="51" t="s">
        <v>140</v>
      </c>
      <c r="K2064" s="52">
        <v>0</v>
      </c>
      <c r="L2064" s="52">
        <v>0</v>
      </c>
      <c r="M2064" s="92">
        <v>165</v>
      </c>
      <c r="N2064" s="54">
        <v>1050</v>
      </c>
      <c r="O2064" s="341">
        <v>1</v>
      </c>
      <c r="P2064" s="54">
        <f t="shared" si="338"/>
        <v>1050</v>
      </c>
      <c r="Q2064" s="54"/>
      <c r="R2064" s="92">
        <v>1050</v>
      </c>
      <c r="S2064" s="53">
        <f t="shared" si="331"/>
        <v>0</v>
      </c>
      <c r="T2064" s="315">
        <f t="shared" si="332"/>
        <v>523.63636363636363</v>
      </c>
      <c r="U2064" s="84">
        <f t="shared" si="333"/>
        <v>0</v>
      </c>
      <c r="V2064" s="84">
        <f t="shared" si="334"/>
        <v>0</v>
      </c>
      <c r="W2064" s="84">
        <v>0</v>
      </c>
      <c r="X2064" s="55">
        <f t="shared" si="335"/>
        <v>46153.783333333326</v>
      </c>
    </row>
    <row r="2065" spans="1:24" s="221" customFormat="1" hidden="1" x14ac:dyDescent="0.35">
      <c r="A2065" s="46">
        <f t="shared" si="336"/>
        <v>46153.783333333326</v>
      </c>
      <c r="B2065" s="46"/>
      <c r="C2065" s="46"/>
      <c r="D2065" s="46"/>
      <c r="E2065" s="47" t="s">
        <v>2963</v>
      </c>
      <c r="F2065" s="97" t="s">
        <v>271</v>
      </c>
      <c r="G2065" s="97"/>
      <c r="H2065" s="49" t="s">
        <v>3159</v>
      </c>
      <c r="I2065" s="85" t="s">
        <v>205</v>
      </c>
      <c r="J2065" s="51" t="s">
        <v>140</v>
      </c>
      <c r="K2065" s="52">
        <v>0</v>
      </c>
      <c r="L2065" s="52">
        <v>0</v>
      </c>
      <c r="M2065" s="92">
        <v>165</v>
      </c>
      <c r="N2065" s="54">
        <v>630</v>
      </c>
      <c r="O2065" s="341">
        <v>1</v>
      </c>
      <c r="P2065" s="54">
        <f t="shared" si="338"/>
        <v>630</v>
      </c>
      <c r="Q2065" s="54"/>
      <c r="R2065" s="92">
        <v>630</v>
      </c>
      <c r="S2065" s="53">
        <f t="shared" si="331"/>
        <v>0</v>
      </c>
      <c r="T2065" s="315">
        <f t="shared" si="332"/>
        <v>523.63636363636363</v>
      </c>
      <c r="U2065" s="84">
        <f t="shared" si="333"/>
        <v>0</v>
      </c>
      <c r="V2065" s="84">
        <f t="shared" si="334"/>
        <v>0</v>
      </c>
      <c r="W2065" s="84">
        <v>0</v>
      </c>
      <c r="X2065" s="55">
        <f t="shared" si="335"/>
        <v>46153.783333333326</v>
      </c>
    </row>
    <row r="2066" spans="1:24" s="221" customFormat="1" hidden="1" x14ac:dyDescent="0.35">
      <c r="A2066" s="46">
        <f t="shared" si="336"/>
        <v>46153.783333333326</v>
      </c>
      <c r="B2066" s="46"/>
      <c r="C2066" s="46"/>
      <c r="D2066" s="46"/>
      <c r="E2066" s="47" t="s">
        <v>2963</v>
      </c>
      <c r="F2066" s="97" t="s">
        <v>271</v>
      </c>
      <c r="G2066" s="97"/>
      <c r="H2066" s="90" t="s">
        <v>3163</v>
      </c>
      <c r="I2066" s="87" t="s">
        <v>208</v>
      </c>
      <c r="J2066" s="51" t="s">
        <v>140</v>
      </c>
      <c r="K2066" s="91">
        <v>0</v>
      </c>
      <c r="L2066" s="91">
        <v>0</v>
      </c>
      <c r="M2066" s="92">
        <v>165</v>
      </c>
      <c r="N2066" s="93">
        <v>1260</v>
      </c>
      <c r="O2066" s="253">
        <v>1</v>
      </c>
      <c r="P2066" s="94">
        <f t="shared" si="338"/>
        <v>1260</v>
      </c>
      <c r="Q2066" s="94"/>
      <c r="R2066" s="595">
        <v>1260</v>
      </c>
      <c r="S2066" s="92">
        <f t="shared" si="331"/>
        <v>0</v>
      </c>
      <c r="T2066" s="254">
        <f t="shared" si="332"/>
        <v>523.63636363636363</v>
      </c>
      <c r="U2066" s="91">
        <f t="shared" si="333"/>
        <v>0</v>
      </c>
      <c r="V2066" s="91">
        <f t="shared" si="334"/>
        <v>0</v>
      </c>
      <c r="W2066" s="101">
        <v>0</v>
      </c>
      <c r="X2066" s="55">
        <f t="shared" si="335"/>
        <v>46153.783333333326</v>
      </c>
    </row>
    <row r="2067" spans="1:24" s="221" customFormat="1" hidden="1" x14ac:dyDescent="0.35">
      <c r="A2067" s="46">
        <f t="shared" si="336"/>
        <v>46153.783333333326</v>
      </c>
      <c r="B2067" s="46"/>
      <c r="C2067" s="46"/>
      <c r="D2067" s="46"/>
      <c r="E2067" s="47" t="s">
        <v>2963</v>
      </c>
      <c r="F2067" s="97" t="s">
        <v>271</v>
      </c>
      <c r="G2067" s="97"/>
      <c r="H2067" s="90" t="s">
        <v>3164</v>
      </c>
      <c r="I2067" s="87" t="s">
        <v>210</v>
      </c>
      <c r="J2067" s="51" t="s">
        <v>140</v>
      </c>
      <c r="K2067" s="91">
        <v>0</v>
      </c>
      <c r="L2067" s="91">
        <v>0</v>
      </c>
      <c r="M2067" s="92">
        <v>165</v>
      </c>
      <c r="N2067" s="93">
        <v>1260</v>
      </c>
      <c r="O2067" s="253">
        <v>1</v>
      </c>
      <c r="P2067" s="94">
        <f t="shared" si="338"/>
        <v>1260</v>
      </c>
      <c r="Q2067" s="94"/>
      <c r="R2067" s="595">
        <v>1260</v>
      </c>
      <c r="S2067" s="92">
        <f t="shared" si="331"/>
        <v>0</v>
      </c>
      <c r="T2067" s="254">
        <f t="shared" si="332"/>
        <v>523.63636363636363</v>
      </c>
      <c r="U2067" s="91">
        <f t="shared" si="333"/>
        <v>0</v>
      </c>
      <c r="V2067" s="91">
        <f t="shared" si="334"/>
        <v>0</v>
      </c>
      <c r="W2067" s="101">
        <v>0</v>
      </c>
      <c r="X2067" s="55">
        <f t="shared" si="335"/>
        <v>46153.783333333326</v>
      </c>
    </row>
    <row r="2068" spans="1:24" s="221" customFormat="1" hidden="1" x14ac:dyDescent="0.35">
      <c r="A2068" s="46">
        <f t="shared" si="336"/>
        <v>46153.783333333326</v>
      </c>
      <c r="B2068" s="46"/>
      <c r="C2068" s="46"/>
      <c r="D2068" s="46"/>
      <c r="E2068" s="47" t="s">
        <v>2963</v>
      </c>
      <c r="F2068" s="97" t="s">
        <v>271</v>
      </c>
      <c r="G2068" s="97"/>
      <c r="H2068" s="90" t="s">
        <v>3165</v>
      </c>
      <c r="I2068" s="87" t="s">
        <v>208</v>
      </c>
      <c r="J2068" s="51" t="s">
        <v>140</v>
      </c>
      <c r="K2068" s="91">
        <v>0</v>
      </c>
      <c r="L2068" s="91">
        <v>0</v>
      </c>
      <c r="M2068" s="92">
        <v>165</v>
      </c>
      <c r="N2068" s="93">
        <v>1890</v>
      </c>
      <c r="O2068" s="253">
        <v>1</v>
      </c>
      <c r="P2068" s="94">
        <f t="shared" si="338"/>
        <v>1890</v>
      </c>
      <c r="Q2068" s="94"/>
      <c r="R2068" s="595">
        <v>1890</v>
      </c>
      <c r="S2068" s="92">
        <f t="shared" si="331"/>
        <v>0</v>
      </c>
      <c r="T2068" s="254">
        <f t="shared" si="332"/>
        <v>523.63636363636363</v>
      </c>
      <c r="U2068" s="91">
        <f t="shared" si="333"/>
        <v>0</v>
      </c>
      <c r="V2068" s="91">
        <f t="shared" si="334"/>
        <v>0</v>
      </c>
      <c r="W2068" s="101">
        <v>0</v>
      </c>
      <c r="X2068" s="55">
        <f t="shared" si="335"/>
        <v>46153.783333333326</v>
      </c>
    </row>
    <row r="2069" spans="1:24" s="221" customFormat="1" hidden="1" x14ac:dyDescent="0.35">
      <c r="A2069" s="46">
        <f t="shared" si="336"/>
        <v>46153.783333333326</v>
      </c>
      <c r="B2069" s="46"/>
      <c r="C2069" s="46"/>
      <c r="D2069" s="46"/>
      <c r="E2069" s="47" t="s">
        <v>2963</v>
      </c>
      <c r="F2069" s="82" t="s">
        <v>271</v>
      </c>
      <c r="G2069" s="82"/>
      <c r="H2069" s="90" t="s">
        <v>3166</v>
      </c>
      <c r="I2069" s="598" t="s">
        <v>3130</v>
      </c>
      <c r="J2069" s="51" t="s">
        <v>140</v>
      </c>
      <c r="K2069" s="91">
        <v>0</v>
      </c>
      <c r="L2069" s="91">
        <v>0</v>
      </c>
      <c r="M2069" s="92">
        <v>170</v>
      </c>
      <c r="N2069" s="226">
        <v>500</v>
      </c>
      <c r="O2069" s="253">
        <v>1</v>
      </c>
      <c r="P2069" s="94">
        <v>500</v>
      </c>
      <c r="Q2069" s="94"/>
      <c r="R2069" s="182">
        <v>500</v>
      </c>
      <c r="S2069" s="92">
        <f t="shared" si="331"/>
        <v>0</v>
      </c>
      <c r="T2069" s="254">
        <f t="shared" si="332"/>
        <v>508.23529411764707</v>
      </c>
      <c r="U2069" s="91">
        <f t="shared" si="333"/>
        <v>0</v>
      </c>
      <c r="V2069" s="91">
        <f t="shared" si="334"/>
        <v>0</v>
      </c>
      <c r="W2069" s="91">
        <v>0</v>
      </c>
      <c r="X2069" s="55">
        <f t="shared" si="335"/>
        <v>46153.783333333326</v>
      </c>
    </row>
    <row r="2070" spans="1:24" s="221" customFormat="1" ht="26.5" hidden="1" x14ac:dyDescent="0.35">
      <c r="A2070" s="46">
        <f t="shared" si="336"/>
        <v>46153.783333333326</v>
      </c>
      <c r="B2070" s="46"/>
      <c r="C2070" s="46"/>
      <c r="D2070" s="46"/>
      <c r="E2070" s="47" t="s">
        <v>2963</v>
      </c>
      <c r="F2070" s="48" t="s">
        <v>3160</v>
      </c>
      <c r="G2070" s="48"/>
      <c r="H2070" s="49" t="s">
        <v>3167</v>
      </c>
      <c r="I2070" s="82" t="s">
        <v>3168</v>
      </c>
      <c r="J2070" s="100" t="s">
        <v>140</v>
      </c>
      <c r="K2070" s="91">
        <v>0</v>
      </c>
      <c r="L2070" s="91">
        <v>0</v>
      </c>
      <c r="M2070" s="92">
        <v>120</v>
      </c>
      <c r="N2070" s="94">
        <v>1000</v>
      </c>
      <c r="O2070" s="253">
        <v>1</v>
      </c>
      <c r="P2070" s="94">
        <f t="shared" ref="P2070:P2081" si="339">N2070/O2070</f>
        <v>1000</v>
      </c>
      <c r="Q2070" s="94"/>
      <c r="R2070" s="92">
        <v>1000</v>
      </c>
      <c r="S2070" s="92">
        <f t="shared" ref="S2070:S2091" si="340">P2070-R2070</f>
        <v>0</v>
      </c>
      <c r="T2070" s="254">
        <f t="shared" ref="T2070:T2091" si="341">((3600/M2070)*O2070)*24</f>
        <v>720</v>
      </c>
      <c r="U2070" s="91">
        <f t="shared" ref="U2070:U2091" si="342">(P2070-R2070)*M2070/3600</f>
        <v>0</v>
      </c>
      <c r="V2070" s="91">
        <f t="shared" ref="V2070:V2091" si="343">(P2070-R2070)*M2070/3600/24</f>
        <v>0</v>
      </c>
      <c r="W2070" s="91">
        <v>0</v>
      </c>
      <c r="X2070" s="55">
        <f t="shared" ref="X2070:X2084" si="344">A2070+K2070+L2070+V2070+W2070</f>
        <v>46153.783333333326</v>
      </c>
    </row>
    <row r="2071" spans="1:24" s="221" customFormat="1" hidden="1" x14ac:dyDescent="0.35">
      <c r="A2071" s="46">
        <f t="shared" ref="A2071:A2099" si="345">X2070</f>
        <v>46153.783333333326</v>
      </c>
      <c r="B2071" s="46"/>
      <c r="C2071" s="46"/>
      <c r="D2071" s="46"/>
      <c r="E2071" s="47" t="s">
        <v>2963</v>
      </c>
      <c r="F2071" s="97" t="s">
        <v>271</v>
      </c>
      <c r="G2071" s="97"/>
      <c r="H2071" s="49" t="s">
        <v>3169</v>
      </c>
      <c r="I2071" s="85" t="s">
        <v>203</v>
      </c>
      <c r="J2071" s="51" t="s">
        <v>140</v>
      </c>
      <c r="K2071" s="52">
        <v>0</v>
      </c>
      <c r="L2071" s="52">
        <v>0</v>
      </c>
      <c r="M2071" s="92">
        <v>165</v>
      </c>
      <c r="N2071" s="54">
        <v>1260</v>
      </c>
      <c r="O2071" s="341">
        <v>1</v>
      </c>
      <c r="P2071" s="54">
        <f t="shared" si="339"/>
        <v>1260</v>
      </c>
      <c r="Q2071" s="54"/>
      <c r="R2071" s="92">
        <v>1260</v>
      </c>
      <c r="S2071" s="53">
        <f t="shared" si="340"/>
        <v>0</v>
      </c>
      <c r="T2071" s="315">
        <f t="shared" si="341"/>
        <v>523.63636363636363</v>
      </c>
      <c r="U2071" s="84">
        <f t="shared" si="342"/>
        <v>0</v>
      </c>
      <c r="V2071" s="84">
        <f t="shared" si="343"/>
        <v>0</v>
      </c>
      <c r="W2071" s="84">
        <v>0</v>
      </c>
      <c r="X2071" s="55">
        <f t="shared" si="344"/>
        <v>46153.783333333326</v>
      </c>
    </row>
    <row r="2072" spans="1:24" s="221" customFormat="1" hidden="1" x14ac:dyDescent="0.35">
      <c r="A2072" s="46">
        <f t="shared" si="345"/>
        <v>46153.783333333326</v>
      </c>
      <c r="B2072" s="46"/>
      <c r="C2072" s="46"/>
      <c r="D2072" s="46"/>
      <c r="E2072" s="47" t="s">
        <v>2963</v>
      </c>
      <c r="F2072" s="82" t="s">
        <v>3170</v>
      </c>
      <c r="G2072" s="82"/>
      <c r="H2072" s="98" t="s">
        <v>3171</v>
      </c>
      <c r="I2072" s="85" t="s">
        <v>3016</v>
      </c>
      <c r="J2072" s="100" t="s">
        <v>140</v>
      </c>
      <c r="K2072" s="101">
        <v>0</v>
      </c>
      <c r="L2072" s="101">
        <v>0</v>
      </c>
      <c r="M2072" s="92">
        <v>650</v>
      </c>
      <c r="N2072" s="94">
        <v>180</v>
      </c>
      <c r="O2072" s="253">
        <v>1</v>
      </c>
      <c r="P2072" s="94">
        <f t="shared" si="339"/>
        <v>180</v>
      </c>
      <c r="Q2072" s="94"/>
      <c r="R2072" s="92">
        <v>180</v>
      </c>
      <c r="S2072" s="92">
        <f t="shared" si="340"/>
        <v>0</v>
      </c>
      <c r="T2072" s="173">
        <f t="shared" si="341"/>
        <v>132.92307692307691</v>
      </c>
      <c r="U2072" s="101">
        <f t="shared" si="342"/>
        <v>0</v>
      </c>
      <c r="V2072" s="101">
        <f t="shared" si="343"/>
        <v>0</v>
      </c>
      <c r="W2072" s="101">
        <v>0</v>
      </c>
      <c r="X2072" s="55">
        <f t="shared" si="344"/>
        <v>46153.783333333326</v>
      </c>
    </row>
    <row r="2073" spans="1:24" s="221" customFormat="1" hidden="1" x14ac:dyDescent="0.35">
      <c r="A2073" s="46">
        <f t="shared" si="345"/>
        <v>46153.783333333326</v>
      </c>
      <c r="B2073" s="46"/>
      <c r="C2073" s="46"/>
      <c r="D2073" s="46"/>
      <c r="E2073" s="47" t="s">
        <v>2963</v>
      </c>
      <c r="F2073" s="97" t="s">
        <v>3172</v>
      </c>
      <c r="G2073" s="97"/>
      <c r="H2073" s="108">
        <v>12013</v>
      </c>
      <c r="I2073" s="85" t="s">
        <v>3173</v>
      </c>
      <c r="J2073" s="51" t="s">
        <v>140</v>
      </c>
      <c r="K2073" s="91">
        <v>0</v>
      </c>
      <c r="L2073" s="91">
        <v>0</v>
      </c>
      <c r="M2073" s="92">
        <v>90</v>
      </c>
      <c r="N2073" s="94">
        <v>0</v>
      </c>
      <c r="O2073" s="253">
        <v>1</v>
      </c>
      <c r="P2073" s="94">
        <f t="shared" si="339"/>
        <v>0</v>
      </c>
      <c r="Q2073" s="94"/>
      <c r="R2073" s="92">
        <v>0</v>
      </c>
      <c r="S2073" s="92">
        <f t="shared" si="340"/>
        <v>0</v>
      </c>
      <c r="T2073" s="173">
        <f t="shared" si="341"/>
        <v>960</v>
      </c>
      <c r="U2073" s="101">
        <f t="shared" si="342"/>
        <v>0</v>
      </c>
      <c r="V2073" s="101">
        <f t="shared" si="343"/>
        <v>0</v>
      </c>
      <c r="W2073" s="101">
        <v>0</v>
      </c>
      <c r="X2073" s="55">
        <f t="shared" si="344"/>
        <v>46153.783333333326</v>
      </c>
    </row>
    <row r="2074" spans="1:24" s="221" customFormat="1" hidden="1" x14ac:dyDescent="0.35">
      <c r="A2074" s="46">
        <f t="shared" si="345"/>
        <v>46153.783333333326</v>
      </c>
      <c r="B2074" s="46"/>
      <c r="C2074" s="46"/>
      <c r="D2074" s="46"/>
      <c r="E2074" s="119" t="s">
        <v>1964</v>
      </c>
      <c r="F2074" s="82" t="s">
        <v>3174</v>
      </c>
      <c r="G2074" s="82"/>
      <c r="H2074" s="98" t="s">
        <v>3175</v>
      </c>
      <c r="I2074" s="390" t="s">
        <v>4262</v>
      </c>
      <c r="J2074" s="100" t="s">
        <v>140</v>
      </c>
      <c r="K2074" s="101">
        <v>0</v>
      </c>
      <c r="L2074" s="101">
        <v>0</v>
      </c>
      <c r="M2074" s="102">
        <v>85</v>
      </c>
      <c r="N2074" s="103">
        <v>4800</v>
      </c>
      <c r="O2074" s="171">
        <v>1</v>
      </c>
      <c r="P2074" s="103">
        <f t="shared" si="339"/>
        <v>4800</v>
      </c>
      <c r="Q2074" s="103"/>
      <c r="R2074" s="102">
        <v>4800</v>
      </c>
      <c r="S2074" s="102">
        <f t="shared" si="340"/>
        <v>0</v>
      </c>
      <c r="T2074" s="173">
        <f t="shared" si="341"/>
        <v>1016.4705882352941</v>
      </c>
      <c r="U2074" s="101">
        <f t="shared" si="342"/>
        <v>0</v>
      </c>
      <c r="V2074" s="101">
        <f t="shared" si="343"/>
        <v>0</v>
      </c>
      <c r="W2074" s="101">
        <v>0</v>
      </c>
      <c r="X2074" s="55">
        <f t="shared" si="344"/>
        <v>46153.783333333326</v>
      </c>
    </row>
    <row r="2075" spans="1:24" s="221" customFormat="1" hidden="1" x14ac:dyDescent="0.35">
      <c r="A2075" s="46">
        <f t="shared" si="345"/>
        <v>46153.783333333326</v>
      </c>
      <c r="B2075" s="46"/>
      <c r="C2075" s="46"/>
      <c r="D2075" s="46"/>
      <c r="E2075" s="47" t="s">
        <v>2963</v>
      </c>
      <c r="F2075" s="82" t="s">
        <v>3091</v>
      </c>
      <c r="G2075" s="82"/>
      <c r="H2075" s="98" t="s">
        <v>3176</v>
      </c>
      <c r="I2075" s="82" t="s">
        <v>3177</v>
      </c>
      <c r="J2075" s="100" t="s">
        <v>140</v>
      </c>
      <c r="K2075" s="91">
        <v>0</v>
      </c>
      <c r="L2075" s="91">
        <v>0</v>
      </c>
      <c r="M2075" s="92">
        <v>120</v>
      </c>
      <c r="N2075" s="94">
        <v>540</v>
      </c>
      <c r="O2075" s="253">
        <v>1</v>
      </c>
      <c r="P2075" s="94">
        <f t="shared" si="339"/>
        <v>540</v>
      </c>
      <c r="Q2075" s="94"/>
      <c r="R2075" s="92">
        <v>540</v>
      </c>
      <c r="S2075" s="92">
        <f t="shared" si="340"/>
        <v>0</v>
      </c>
      <c r="T2075" s="254">
        <f t="shared" si="341"/>
        <v>720</v>
      </c>
      <c r="U2075" s="91">
        <f t="shared" si="342"/>
        <v>0</v>
      </c>
      <c r="V2075" s="91">
        <f t="shared" si="343"/>
        <v>0</v>
      </c>
      <c r="W2075" s="91">
        <v>0</v>
      </c>
      <c r="X2075" s="55">
        <f t="shared" si="344"/>
        <v>46153.783333333326</v>
      </c>
    </row>
    <row r="2076" spans="1:24" hidden="1" x14ac:dyDescent="0.35">
      <c r="A2076" s="46">
        <f t="shared" si="345"/>
        <v>46153.783333333326</v>
      </c>
      <c r="B2076" s="46"/>
      <c r="C2076" s="46"/>
      <c r="D2076" s="46"/>
      <c r="E2076" s="47" t="s">
        <v>2963</v>
      </c>
      <c r="F2076" s="104" t="s">
        <v>3178</v>
      </c>
      <c r="G2076" s="104"/>
      <c r="H2076" s="98" t="s">
        <v>3179</v>
      </c>
      <c r="I2076" s="638" t="s">
        <v>3024</v>
      </c>
      <c r="J2076" s="51" t="s">
        <v>140</v>
      </c>
      <c r="K2076" s="91">
        <v>0</v>
      </c>
      <c r="L2076" s="91">
        <v>0</v>
      </c>
      <c r="M2076" s="92">
        <v>220</v>
      </c>
      <c r="N2076" s="94">
        <v>350</v>
      </c>
      <c r="O2076" s="253">
        <v>1</v>
      </c>
      <c r="P2076" s="94">
        <f t="shared" si="339"/>
        <v>350</v>
      </c>
      <c r="Q2076" s="94"/>
      <c r="R2076" s="92">
        <v>350</v>
      </c>
      <c r="S2076" s="92">
        <f t="shared" si="340"/>
        <v>0</v>
      </c>
      <c r="T2076" s="254">
        <f t="shared" si="341"/>
        <v>392.72727272727275</v>
      </c>
      <c r="U2076" s="91">
        <f t="shared" si="342"/>
        <v>0</v>
      </c>
      <c r="V2076" s="91">
        <f t="shared" si="343"/>
        <v>0</v>
      </c>
      <c r="W2076" s="91">
        <v>0</v>
      </c>
      <c r="X2076" s="55">
        <f t="shared" si="344"/>
        <v>46153.783333333326</v>
      </c>
    </row>
    <row r="2077" spans="1:24" s="221" customFormat="1" hidden="1" x14ac:dyDescent="0.35">
      <c r="A2077" s="46">
        <f t="shared" si="345"/>
        <v>46153.783333333326</v>
      </c>
      <c r="B2077" s="46"/>
      <c r="C2077" s="46"/>
      <c r="D2077" s="46"/>
      <c r="E2077" s="47" t="s">
        <v>2963</v>
      </c>
      <c r="F2077" s="82" t="s">
        <v>3180</v>
      </c>
      <c r="G2077" s="82"/>
      <c r="H2077" s="98" t="s">
        <v>3181</v>
      </c>
      <c r="I2077" s="85" t="s">
        <v>3016</v>
      </c>
      <c r="J2077" s="100" t="s">
        <v>140</v>
      </c>
      <c r="K2077" s="101">
        <v>0</v>
      </c>
      <c r="L2077" s="101">
        <v>0</v>
      </c>
      <c r="M2077" s="92">
        <v>650</v>
      </c>
      <c r="N2077" s="94">
        <v>150</v>
      </c>
      <c r="O2077" s="253">
        <v>1</v>
      </c>
      <c r="P2077" s="94">
        <f t="shared" si="339"/>
        <v>150</v>
      </c>
      <c r="Q2077" s="94"/>
      <c r="R2077" s="92">
        <v>150</v>
      </c>
      <c r="S2077" s="92">
        <f t="shared" si="340"/>
        <v>0</v>
      </c>
      <c r="T2077" s="173">
        <f t="shared" si="341"/>
        <v>132.92307692307691</v>
      </c>
      <c r="U2077" s="101">
        <f t="shared" si="342"/>
        <v>0</v>
      </c>
      <c r="V2077" s="101">
        <f t="shared" si="343"/>
        <v>0</v>
      </c>
      <c r="W2077" s="101">
        <v>0</v>
      </c>
      <c r="X2077" s="55">
        <f t="shared" si="344"/>
        <v>46153.783333333326</v>
      </c>
    </row>
    <row r="2078" spans="1:24" s="221" customFormat="1" hidden="1" x14ac:dyDescent="0.35">
      <c r="A2078" s="46">
        <f t="shared" si="345"/>
        <v>46153.783333333326</v>
      </c>
      <c r="B2078" s="46"/>
      <c r="C2078" s="46"/>
      <c r="D2078" s="46"/>
      <c r="E2078" s="47" t="s">
        <v>2963</v>
      </c>
      <c r="F2078" s="82" t="s">
        <v>3182</v>
      </c>
      <c r="G2078" s="82"/>
      <c r="H2078" s="90" t="s">
        <v>3183</v>
      </c>
      <c r="I2078" s="651" t="s">
        <v>3130</v>
      </c>
      <c r="J2078" s="51" t="s">
        <v>140</v>
      </c>
      <c r="K2078" s="91">
        <v>0</v>
      </c>
      <c r="L2078" s="91">
        <v>0</v>
      </c>
      <c r="M2078" s="92">
        <v>170</v>
      </c>
      <c r="N2078" s="226">
        <v>300</v>
      </c>
      <c r="O2078" s="253">
        <v>1</v>
      </c>
      <c r="P2078" s="94">
        <f t="shared" si="339"/>
        <v>300</v>
      </c>
      <c r="Q2078" s="94"/>
      <c r="R2078" s="182">
        <v>300</v>
      </c>
      <c r="S2078" s="92">
        <f t="shared" si="340"/>
        <v>0</v>
      </c>
      <c r="T2078" s="254">
        <f t="shared" si="341"/>
        <v>508.23529411764707</v>
      </c>
      <c r="U2078" s="91">
        <f t="shared" si="342"/>
        <v>0</v>
      </c>
      <c r="V2078" s="91">
        <f t="shared" si="343"/>
        <v>0</v>
      </c>
      <c r="W2078" s="91">
        <v>0</v>
      </c>
      <c r="X2078" s="55">
        <f t="shared" si="344"/>
        <v>46153.783333333326</v>
      </c>
    </row>
    <row r="2079" spans="1:24" s="221" customFormat="1" ht="26.5" hidden="1" x14ac:dyDescent="0.35">
      <c r="A2079" s="46">
        <f t="shared" si="345"/>
        <v>46153.783333333326</v>
      </c>
      <c r="B2079" s="46"/>
      <c r="C2079" s="46"/>
      <c r="D2079" s="46"/>
      <c r="E2079" s="47" t="s">
        <v>2963</v>
      </c>
      <c r="F2079" s="48" t="s">
        <v>3160</v>
      </c>
      <c r="G2079" s="48"/>
      <c r="H2079" s="49" t="s">
        <v>3184</v>
      </c>
      <c r="I2079" s="82" t="s">
        <v>3168</v>
      </c>
      <c r="J2079" s="100" t="s">
        <v>140</v>
      </c>
      <c r="K2079" s="91">
        <v>0</v>
      </c>
      <c r="L2079" s="91">
        <v>0</v>
      </c>
      <c r="M2079" s="92">
        <v>120</v>
      </c>
      <c r="N2079" s="94">
        <v>1000</v>
      </c>
      <c r="O2079" s="253">
        <v>1</v>
      </c>
      <c r="P2079" s="94">
        <f t="shared" si="339"/>
        <v>1000</v>
      </c>
      <c r="Q2079" s="94"/>
      <c r="R2079" s="92">
        <v>1000</v>
      </c>
      <c r="S2079" s="92">
        <f t="shared" si="340"/>
        <v>0</v>
      </c>
      <c r="T2079" s="254">
        <f t="shared" si="341"/>
        <v>720</v>
      </c>
      <c r="U2079" s="91">
        <f t="shared" si="342"/>
        <v>0</v>
      </c>
      <c r="V2079" s="91">
        <f t="shared" si="343"/>
        <v>0</v>
      </c>
      <c r="W2079" s="91">
        <v>0</v>
      </c>
      <c r="X2079" s="55">
        <f t="shared" si="344"/>
        <v>46153.783333333326</v>
      </c>
    </row>
    <row r="2080" spans="1:24" s="221" customFormat="1" hidden="1" x14ac:dyDescent="0.35">
      <c r="A2080" s="46">
        <f t="shared" si="345"/>
        <v>46153.783333333326</v>
      </c>
      <c r="B2080" s="46"/>
      <c r="C2080" s="46"/>
      <c r="D2080" s="46"/>
      <c r="E2080" s="47" t="s">
        <v>2963</v>
      </c>
      <c r="F2080" s="82" t="s">
        <v>3185</v>
      </c>
      <c r="G2080" s="82"/>
      <c r="H2080" s="98" t="s">
        <v>3186</v>
      </c>
      <c r="I2080" s="85" t="s">
        <v>3016</v>
      </c>
      <c r="J2080" s="100" t="s">
        <v>140</v>
      </c>
      <c r="K2080" s="101">
        <v>0</v>
      </c>
      <c r="L2080" s="101">
        <v>0</v>
      </c>
      <c r="M2080" s="92">
        <v>650</v>
      </c>
      <c r="N2080" s="94">
        <v>74</v>
      </c>
      <c r="O2080" s="253">
        <v>1</v>
      </c>
      <c r="P2080" s="94">
        <f t="shared" si="339"/>
        <v>74</v>
      </c>
      <c r="Q2080" s="94"/>
      <c r="R2080" s="92">
        <v>74</v>
      </c>
      <c r="S2080" s="92">
        <f t="shared" si="340"/>
        <v>0</v>
      </c>
      <c r="T2080" s="173">
        <f t="shared" si="341"/>
        <v>132.92307692307691</v>
      </c>
      <c r="U2080" s="101">
        <f t="shared" si="342"/>
        <v>0</v>
      </c>
      <c r="V2080" s="101">
        <f t="shared" si="343"/>
        <v>0</v>
      </c>
      <c r="W2080" s="101">
        <v>0</v>
      </c>
      <c r="X2080" s="55">
        <f t="shared" si="344"/>
        <v>46153.783333333326</v>
      </c>
    </row>
    <row r="2081" spans="1:24" s="221" customFormat="1" hidden="1" x14ac:dyDescent="0.35">
      <c r="A2081" s="46">
        <f t="shared" si="345"/>
        <v>46153.783333333326</v>
      </c>
      <c r="B2081" s="46"/>
      <c r="C2081" s="46"/>
      <c r="D2081" s="46"/>
      <c r="E2081" s="296" t="s">
        <v>2963</v>
      </c>
      <c r="F2081" s="297" t="s">
        <v>3187</v>
      </c>
      <c r="G2081" s="297"/>
      <c r="H2081" s="367" t="s">
        <v>3187</v>
      </c>
      <c r="I2081" s="652" t="s">
        <v>3120</v>
      </c>
      <c r="J2081" s="300" t="s">
        <v>140</v>
      </c>
      <c r="K2081" s="352">
        <v>0</v>
      </c>
      <c r="L2081" s="352">
        <v>0</v>
      </c>
      <c r="M2081" s="353">
        <v>100</v>
      </c>
      <c r="N2081" s="354">
        <v>50</v>
      </c>
      <c r="O2081" s="355">
        <v>1</v>
      </c>
      <c r="P2081" s="354">
        <f t="shared" si="339"/>
        <v>50</v>
      </c>
      <c r="Q2081" s="354"/>
      <c r="R2081" s="353">
        <v>50</v>
      </c>
      <c r="S2081" s="353">
        <f t="shared" si="340"/>
        <v>0</v>
      </c>
      <c r="T2081" s="307">
        <f t="shared" si="341"/>
        <v>864</v>
      </c>
      <c r="U2081" s="301">
        <f t="shared" si="342"/>
        <v>0</v>
      </c>
      <c r="V2081" s="301">
        <f t="shared" si="343"/>
        <v>0</v>
      </c>
      <c r="W2081" s="301">
        <v>0</v>
      </c>
      <c r="X2081" s="55">
        <f t="shared" si="344"/>
        <v>46153.783333333326</v>
      </c>
    </row>
    <row r="2082" spans="1:24" s="221" customFormat="1" hidden="1" x14ac:dyDescent="0.35">
      <c r="A2082" s="46">
        <f t="shared" si="345"/>
        <v>46153.783333333326</v>
      </c>
      <c r="B2082" s="46"/>
      <c r="C2082" s="46"/>
      <c r="D2082" s="46"/>
      <c r="E2082" s="47" t="s">
        <v>2963</v>
      </c>
      <c r="F2082" s="82" t="s">
        <v>3188</v>
      </c>
      <c r="G2082" s="82"/>
      <c r="H2082" s="90" t="s">
        <v>3189</v>
      </c>
      <c r="I2082" s="651" t="s">
        <v>3130</v>
      </c>
      <c r="J2082" s="51" t="s">
        <v>140</v>
      </c>
      <c r="K2082" s="91">
        <v>0</v>
      </c>
      <c r="L2082" s="91">
        <v>0</v>
      </c>
      <c r="M2082" s="92">
        <v>170</v>
      </c>
      <c r="N2082" s="226">
        <v>500</v>
      </c>
      <c r="O2082" s="253">
        <v>1</v>
      </c>
      <c r="P2082" s="94">
        <v>500</v>
      </c>
      <c r="Q2082" s="94"/>
      <c r="R2082" s="182">
        <v>500</v>
      </c>
      <c r="S2082" s="92">
        <f t="shared" si="340"/>
        <v>0</v>
      </c>
      <c r="T2082" s="254">
        <f t="shared" si="341"/>
        <v>508.23529411764707</v>
      </c>
      <c r="U2082" s="91">
        <f t="shared" si="342"/>
        <v>0</v>
      </c>
      <c r="V2082" s="91">
        <f t="shared" si="343"/>
        <v>0</v>
      </c>
      <c r="W2082" s="91">
        <v>0</v>
      </c>
      <c r="X2082" s="55">
        <f t="shared" si="344"/>
        <v>46153.783333333326</v>
      </c>
    </row>
    <row r="2083" spans="1:24" s="221" customFormat="1" hidden="1" x14ac:dyDescent="0.35">
      <c r="A2083" s="46">
        <f t="shared" si="345"/>
        <v>46153.783333333326</v>
      </c>
      <c r="B2083" s="46"/>
      <c r="C2083" s="46"/>
      <c r="D2083" s="46"/>
      <c r="E2083" s="47" t="s">
        <v>2963</v>
      </c>
      <c r="F2083" s="97" t="s">
        <v>3190</v>
      </c>
      <c r="G2083" s="97"/>
      <c r="H2083" s="90" t="s">
        <v>3191</v>
      </c>
      <c r="I2083" s="87" t="s">
        <v>205</v>
      </c>
      <c r="J2083" s="51" t="s">
        <v>140</v>
      </c>
      <c r="K2083" s="91">
        <v>0</v>
      </c>
      <c r="L2083" s="91">
        <v>0</v>
      </c>
      <c r="M2083" s="92">
        <v>165</v>
      </c>
      <c r="N2083" s="93">
        <v>420</v>
      </c>
      <c r="O2083" s="253">
        <v>1</v>
      </c>
      <c r="P2083" s="94">
        <f t="shared" ref="P2083:P2091" si="346">N2083/O2083</f>
        <v>420</v>
      </c>
      <c r="Q2083" s="94"/>
      <c r="R2083" s="595">
        <v>420</v>
      </c>
      <c r="S2083" s="92">
        <f t="shared" si="340"/>
        <v>0</v>
      </c>
      <c r="T2083" s="254">
        <f t="shared" si="341"/>
        <v>523.63636363636363</v>
      </c>
      <c r="U2083" s="91">
        <f t="shared" si="342"/>
        <v>0</v>
      </c>
      <c r="V2083" s="91">
        <f t="shared" si="343"/>
        <v>0</v>
      </c>
      <c r="W2083" s="101">
        <v>0</v>
      </c>
      <c r="X2083" s="55">
        <f t="shared" si="344"/>
        <v>46153.783333333326</v>
      </c>
    </row>
    <row r="2084" spans="1:24" s="221" customFormat="1" hidden="1" x14ac:dyDescent="0.35">
      <c r="A2084" s="46">
        <f t="shared" si="345"/>
        <v>46153.783333333326</v>
      </c>
      <c r="B2084" s="46"/>
      <c r="C2084" s="46"/>
      <c r="D2084" s="46"/>
      <c r="E2084" s="47" t="s">
        <v>2963</v>
      </c>
      <c r="F2084" s="97" t="s">
        <v>271</v>
      </c>
      <c r="G2084" s="97"/>
      <c r="H2084" s="108">
        <v>12645</v>
      </c>
      <c r="I2084" s="82" t="s">
        <v>208</v>
      </c>
      <c r="J2084" s="51" t="s">
        <v>140</v>
      </c>
      <c r="K2084" s="91">
        <v>0</v>
      </c>
      <c r="L2084" s="91">
        <v>0</v>
      </c>
      <c r="M2084" s="92">
        <v>165</v>
      </c>
      <c r="N2084" s="94">
        <v>1260</v>
      </c>
      <c r="O2084" s="253">
        <v>1</v>
      </c>
      <c r="P2084" s="94">
        <f t="shared" si="346"/>
        <v>1260</v>
      </c>
      <c r="Q2084" s="94"/>
      <c r="R2084" s="92">
        <v>1260</v>
      </c>
      <c r="S2084" s="92">
        <f t="shared" si="340"/>
        <v>0</v>
      </c>
      <c r="T2084" s="173">
        <f t="shared" si="341"/>
        <v>523.63636363636363</v>
      </c>
      <c r="U2084" s="101">
        <f t="shared" si="342"/>
        <v>0</v>
      </c>
      <c r="V2084" s="101">
        <f t="shared" si="343"/>
        <v>0</v>
      </c>
      <c r="W2084" s="101">
        <v>0</v>
      </c>
      <c r="X2084" s="55">
        <f t="shared" si="344"/>
        <v>46153.783333333326</v>
      </c>
    </row>
    <row r="2085" spans="1:24" s="221" customFormat="1" hidden="1" x14ac:dyDescent="0.35">
      <c r="A2085" s="46">
        <f t="shared" si="345"/>
        <v>46153.783333333326</v>
      </c>
      <c r="B2085" s="46"/>
      <c r="C2085" s="46"/>
      <c r="D2085" s="46"/>
      <c r="E2085" s="47" t="s">
        <v>2963</v>
      </c>
      <c r="F2085" s="97" t="s">
        <v>3192</v>
      </c>
      <c r="G2085" s="97" t="s">
        <v>327</v>
      </c>
      <c r="H2085" s="108">
        <v>12779</v>
      </c>
      <c r="I2085" s="82" t="s">
        <v>203</v>
      </c>
      <c r="J2085" s="51" t="s">
        <v>140</v>
      </c>
      <c r="K2085" s="91">
        <v>0</v>
      </c>
      <c r="L2085" s="91">
        <v>0</v>
      </c>
      <c r="M2085" s="92">
        <v>118</v>
      </c>
      <c r="N2085" s="94">
        <v>1470</v>
      </c>
      <c r="O2085" s="253">
        <v>1</v>
      </c>
      <c r="P2085" s="94">
        <f t="shared" si="346"/>
        <v>1470</v>
      </c>
      <c r="Q2085" s="94"/>
      <c r="R2085" s="182">
        <v>1470</v>
      </c>
      <c r="S2085" s="92">
        <f t="shared" si="340"/>
        <v>0</v>
      </c>
      <c r="T2085" s="173">
        <f t="shared" si="341"/>
        <v>732.20338983050851</v>
      </c>
      <c r="U2085" s="101">
        <f t="shared" si="342"/>
        <v>0</v>
      </c>
      <c r="V2085" s="101">
        <f t="shared" si="343"/>
        <v>0</v>
      </c>
      <c r="W2085" s="101">
        <v>0</v>
      </c>
      <c r="X2085" s="55">
        <f>A2085+K2085+V2085+W2085+L2085</f>
        <v>46153.783333333326</v>
      </c>
    </row>
    <row r="2086" spans="1:24" s="221" customFormat="1" hidden="1" x14ac:dyDescent="0.35">
      <c r="A2086" s="123">
        <f t="shared" si="345"/>
        <v>46153.783333333326</v>
      </c>
      <c r="B2086" s="123"/>
      <c r="C2086" s="123"/>
      <c r="D2086" s="123"/>
      <c r="E2086" s="124" t="s">
        <v>2963</v>
      </c>
      <c r="F2086" s="125" t="s">
        <v>3192</v>
      </c>
      <c r="G2086" s="125" t="s">
        <v>327</v>
      </c>
      <c r="H2086" s="603" t="s">
        <v>3193</v>
      </c>
      <c r="I2086" s="614" t="s">
        <v>205</v>
      </c>
      <c r="J2086" s="128" t="s">
        <v>140</v>
      </c>
      <c r="K2086" s="129">
        <v>0</v>
      </c>
      <c r="L2086" s="129">
        <v>0</v>
      </c>
      <c r="M2086" s="130">
        <v>118</v>
      </c>
      <c r="N2086" s="605">
        <v>210</v>
      </c>
      <c r="O2086" s="189">
        <v>1</v>
      </c>
      <c r="P2086" s="131">
        <f t="shared" si="346"/>
        <v>210</v>
      </c>
      <c r="Q2086" s="131"/>
      <c r="R2086" s="176">
        <v>210</v>
      </c>
      <c r="S2086" s="130">
        <f t="shared" si="340"/>
        <v>0</v>
      </c>
      <c r="T2086" s="242">
        <f t="shared" si="341"/>
        <v>732.20338983050851</v>
      </c>
      <c r="U2086" s="129">
        <f t="shared" si="342"/>
        <v>0</v>
      </c>
      <c r="V2086" s="129">
        <f t="shared" si="343"/>
        <v>0</v>
      </c>
      <c r="W2086" s="163">
        <v>0</v>
      </c>
      <c r="X2086" s="137">
        <f>A2086+K2086+V2086+W2086+L2086</f>
        <v>46153.783333333326</v>
      </c>
    </row>
    <row r="2087" spans="1:24" s="221" customFormat="1" hidden="1" x14ac:dyDescent="0.35">
      <c r="A2087" s="123">
        <f t="shared" si="345"/>
        <v>46153.783333333326</v>
      </c>
      <c r="B2087" s="123"/>
      <c r="C2087" s="123"/>
      <c r="D2087" s="123"/>
      <c r="E2087" s="124" t="s">
        <v>2963</v>
      </c>
      <c r="F2087" s="125" t="s">
        <v>3192</v>
      </c>
      <c r="G2087" s="125" t="s">
        <v>327</v>
      </c>
      <c r="H2087" s="467">
        <v>12781</v>
      </c>
      <c r="I2087" s="159" t="s">
        <v>208</v>
      </c>
      <c r="J2087" s="128" t="s">
        <v>140</v>
      </c>
      <c r="K2087" s="129">
        <v>0</v>
      </c>
      <c r="L2087" s="129">
        <v>0</v>
      </c>
      <c r="M2087" s="130">
        <v>118</v>
      </c>
      <c r="N2087" s="131">
        <v>1470</v>
      </c>
      <c r="O2087" s="189">
        <v>1</v>
      </c>
      <c r="P2087" s="131">
        <f t="shared" si="346"/>
        <v>1470</v>
      </c>
      <c r="Q2087" s="131"/>
      <c r="R2087" s="176">
        <v>1470</v>
      </c>
      <c r="S2087" s="130">
        <f t="shared" si="340"/>
        <v>0</v>
      </c>
      <c r="T2087" s="168">
        <f t="shared" si="341"/>
        <v>732.20338983050851</v>
      </c>
      <c r="U2087" s="163">
        <f t="shared" si="342"/>
        <v>0</v>
      </c>
      <c r="V2087" s="163">
        <f t="shared" si="343"/>
        <v>0</v>
      </c>
      <c r="W2087" s="163">
        <v>0</v>
      </c>
      <c r="X2087" s="137">
        <f>A2087+K2087+V2087+W2087+L2087</f>
        <v>46153.783333333326</v>
      </c>
    </row>
    <row r="2088" spans="1:24" s="221" customFormat="1" ht="26.5" hidden="1" x14ac:dyDescent="0.35">
      <c r="A2088" s="123">
        <f t="shared" si="345"/>
        <v>46153.783333333326</v>
      </c>
      <c r="B2088" s="123"/>
      <c r="C2088" s="123"/>
      <c r="D2088" s="123"/>
      <c r="E2088" s="124" t="s">
        <v>2963</v>
      </c>
      <c r="F2088" s="125" t="s">
        <v>2190</v>
      </c>
      <c r="G2088" s="125" t="s">
        <v>2193</v>
      </c>
      <c r="H2088" s="467">
        <v>12869</v>
      </c>
      <c r="I2088" s="159" t="s">
        <v>208</v>
      </c>
      <c r="J2088" s="128" t="s">
        <v>140</v>
      </c>
      <c r="K2088" s="129">
        <v>0</v>
      </c>
      <c r="L2088" s="129">
        <v>0</v>
      </c>
      <c r="M2088" s="130">
        <v>118</v>
      </c>
      <c r="N2088" s="131">
        <f>210*4</f>
        <v>840</v>
      </c>
      <c r="O2088" s="189">
        <v>1</v>
      </c>
      <c r="P2088" s="131">
        <f t="shared" si="346"/>
        <v>840</v>
      </c>
      <c r="Q2088" s="131"/>
      <c r="R2088" s="176">
        <v>840</v>
      </c>
      <c r="S2088" s="130">
        <f t="shared" si="340"/>
        <v>0</v>
      </c>
      <c r="T2088" s="168">
        <f t="shared" si="341"/>
        <v>732.20338983050851</v>
      </c>
      <c r="U2088" s="163">
        <f t="shared" si="342"/>
        <v>0</v>
      </c>
      <c r="V2088" s="163">
        <f t="shared" si="343"/>
        <v>0</v>
      </c>
      <c r="W2088" s="163">
        <v>0</v>
      </c>
      <c r="X2088" s="137">
        <f>A2088+K2088+V2088+W2088+L2088</f>
        <v>46153.783333333326</v>
      </c>
    </row>
    <row r="2089" spans="1:24" s="221" customFormat="1" ht="26.5" hidden="1" x14ac:dyDescent="0.35">
      <c r="A2089" s="123">
        <f t="shared" si="345"/>
        <v>46153.783333333326</v>
      </c>
      <c r="B2089" s="123"/>
      <c r="C2089" s="123"/>
      <c r="D2089" s="123"/>
      <c r="E2089" s="124" t="s">
        <v>2963</v>
      </c>
      <c r="F2089" s="125" t="s">
        <v>2190</v>
      </c>
      <c r="G2089" s="125" t="s">
        <v>2193</v>
      </c>
      <c r="H2089" s="467">
        <v>12870</v>
      </c>
      <c r="I2089" s="614" t="s">
        <v>205</v>
      </c>
      <c r="J2089" s="128" t="s">
        <v>140</v>
      </c>
      <c r="K2089" s="129">
        <v>0</v>
      </c>
      <c r="L2089" s="129">
        <v>0</v>
      </c>
      <c r="M2089" s="130">
        <v>118</v>
      </c>
      <c r="N2089" s="605">
        <v>210</v>
      </c>
      <c r="O2089" s="189">
        <v>1</v>
      </c>
      <c r="P2089" s="131">
        <f t="shared" si="346"/>
        <v>210</v>
      </c>
      <c r="Q2089" s="131"/>
      <c r="R2089" s="176">
        <v>210</v>
      </c>
      <c r="S2089" s="130">
        <f t="shared" si="340"/>
        <v>0</v>
      </c>
      <c r="T2089" s="242">
        <f t="shared" si="341"/>
        <v>732.20338983050851</v>
      </c>
      <c r="U2089" s="129">
        <f t="shared" si="342"/>
        <v>0</v>
      </c>
      <c r="V2089" s="129">
        <f t="shared" si="343"/>
        <v>0</v>
      </c>
      <c r="W2089" s="163">
        <v>0</v>
      </c>
      <c r="X2089" s="137">
        <f>A2089+K2089+V2089+W2089+L2089</f>
        <v>46153.783333333326</v>
      </c>
    </row>
    <row r="2090" spans="1:24" s="221" customFormat="1" ht="26.5" hidden="1" x14ac:dyDescent="0.35">
      <c r="A2090" s="123">
        <f t="shared" si="345"/>
        <v>46153.783333333326</v>
      </c>
      <c r="B2090" s="123"/>
      <c r="C2090" s="123"/>
      <c r="D2090" s="123"/>
      <c r="E2090" s="124" t="s">
        <v>2963</v>
      </c>
      <c r="F2090" s="125" t="s">
        <v>2190</v>
      </c>
      <c r="G2090" s="125" t="s">
        <v>2193</v>
      </c>
      <c r="H2090" s="603" t="s">
        <v>3194</v>
      </c>
      <c r="I2090" s="184" t="s">
        <v>3014</v>
      </c>
      <c r="J2090" s="128" t="s">
        <v>140</v>
      </c>
      <c r="K2090" s="129">
        <v>0</v>
      </c>
      <c r="L2090" s="129">
        <v>0</v>
      </c>
      <c r="M2090" s="130">
        <v>160</v>
      </c>
      <c r="N2090" s="131">
        <v>800</v>
      </c>
      <c r="O2090" s="189">
        <v>1</v>
      </c>
      <c r="P2090" s="131">
        <f t="shared" si="346"/>
        <v>800</v>
      </c>
      <c r="Q2090" s="131"/>
      <c r="R2090" s="130">
        <v>800</v>
      </c>
      <c r="S2090" s="130">
        <f t="shared" si="340"/>
        <v>0</v>
      </c>
      <c r="T2090" s="242">
        <f t="shared" si="341"/>
        <v>540</v>
      </c>
      <c r="U2090" s="129">
        <f t="shared" si="342"/>
        <v>0</v>
      </c>
      <c r="V2090" s="129">
        <f t="shared" si="343"/>
        <v>0</v>
      </c>
      <c r="W2090" s="129">
        <v>0</v>
      </c>
      <c r="X2090" s="137">
        <f>A2090+K2090+L2090+V2090+W2090</f>
        <v>46153.783333333326</v>
      </c>
    </row>
    <row r="2091" spans="1:24" s="221" customFormat="1" ht="26.5" hidden="1" x14ac:dyDescent="0.35">
      <c r="A2091" s="123">
        <f t="shared" si="345"/>
        <v>46153.783333333326</v>
      </c>
      <c r="B2091" s="123"/>
      <c r="C2091" s="123"/>
      <c r="D2091" s="123"/>
      <c r="E2091" s="124" t="s">
        <v>2963</v>
      </c>
      <c r="F2091" s="125" t="s">
        <v>2190</v>
      </c>
      <c r="G2091" s="125" t="s">
        <v>2193</v>
      </c>
      <c r="H2091" s="603" t="s">
        <v>3195</v>
      </c>
      <c r="I2091" s="159" t="s">
        <v>3196</v>
      </c>
      <c r="J2091" s="128" t="s">
        <v>140</v>
      </c>
      <c r="K2091" s="129">
        <v>0</v>
      </c>
      <c r="L2091" s="129">
        <v>0</v>
      </c>
      <c r="M2091" s="130">
        <v>140</v>
      </c>
      <c r="N2091" s="131">
        <v>800</v>
      </c>
      <c r="O2091" s="189">
        <v>1</v>
      </c>
      <c r="P2091" s="131">
        <f t="shared" si="346"/>
        <v>800</v>
      </c>
      <c r="Q2091" s="131"/>
      <c r="R2091" s="130">
        <v>800</v>
      </c>
      <c r="S2091" s="130">
        <f t="shared" si="340"/>
        <v>0</v>
      </c>
      <c r="T2091" s="242">
        <f t="shared" si="341"/>
        <v>617.14285714285711</v>
      </c>
      <c r="U2091" s="129">
        <f t="shared" si="342"/>
        <v>0</v>
      </c>
      <c r="V2091" s="129">
        <f t="shared" si="343"/>
        <v>0</v>
      </c>
      <c r="W2091" s="129">
        <v>0</v>
      </c>
      <c r="X2091" s="137">
        <f>A2091+K2091+L2091+V2091+W2091</f>
        <v>46153.783333333326</v>
      </c>
    </row>
    <row r="2092" spans="1:24" s="221" customFormat="1" ht="21" hidden="1" x14ac:dyDescent="0.35">
      <c r="A2092" s="295">
        <f t="shared" si="345"/>
        <v>46153.783333333326</v>
      </c>
      <c r="B2092" s="295"/>
      <c r="C2092" s="295"/>
      <c r="D2092" s="295"/>
      <c r="E2092" s="296"/>
      <c r="F2092" s="366"/>
      <c r="G2092" s="366"/>
      <c r="H2092" s="646"/>
      <c r="I2092" s="653" t="s">
        <v>3197</v>
      </c>
      <c r="J2092" s="351"/>
      <c r="K2092" s="352"/>
      <c r="L2092" s="352"/>
      <c r="M2092" s="353"/>
      <c r="N2092" s="354"/>
      <c r="O2092" s="355"/>
      <c r="P2092" s="354"/>
      <c r="Q2092" s="354"/>
      <c r="R2092" s="353"/>
      <c r="S2092" s="353"/>
      <c r="T2092" s="356"/>
      <c r="U2092" s="352"/>
      <c r="V2092" s="352"/>
      <c r="W2092" s="352"/>
      <c r="X2092" s="308">
        <f>A2092</f>
        <v>46153.783333333326</v>
      </c>
    </row>
    <row r="2093" spans="1:24" s="221" customFormat="1" ht="26.5" hidden="1" x14ac:dyDescent="0.35">
      <c r="A2093" s="46">
        <f t="shared" si="345"/>
        <v>46153.783333333326</v>
      </c>
      <c r="B2093" s="46"/>
      <c r="C2093" s="46"/>
      <c r="D2093" s="46"/>
      <c r="E2093" s="47" t="s">
        <v>2963</v>
      </c>
      <c r="F2093" s="97" t="s">
        <v>2190</v>
      </c>
      <c r="G2093" s="97" t="s">
        <v>2193</v>
      </c>
      <c r="H2093" s="108">
        <v>13047</v>
      </c>
      <c r="I2093" s="644" t="s">
        <v>205</v>
      </c>
      <c r="J2093" s="51" t="s">
        <v>140</v>
      </c>
      <c r="K2093" s="91">
        <v>0</v>
      </c>
      <c r="L2093" s="91">
        <v>0</v>
      </c>
      <c r="M2093" s="92">
        <v>118</v>
      </c>
      <c r="N2093" s="93">
        <f>210*7</f>
        <v>1470</v>
      </c>
      <c r="O2093" s="253">
        <v>1</v>
      </c>
      <c r="P2093" s="94">
        <f t="shared" ref="P2093:P2116" si="347">N2093/O2093</f>
        <v>1470</v>
      </c>
      <c r="Q2093" s="94"/>
      <c r="R2093" s="182">
        <v>1470</v>
      </c>
      <c r="S2093" s="92">
        <f t="shared" ref="S2093:S2116" si="348">P2093-R2093</f>
        <v>0</v>
      </c>
      <c r="T2093" s="254">
        <f t="shared" ref="T2093:T2111" si="349">((3600/M2093)*O2093)*24</f>
        <v>732.20338983050851</v>
      </c>
      <c r="U2093" s="91">
        <f t="shared" ref="U2093:U2111" si="350">(P2093-R2093)*M2093/3600</f>
        <v>0</v>
      </c>
      <c r="V2093" s="91">
        <f t="shared" ref="V2093:V2111" si="351">(P2093-R2093)*M2093/3600/24</f>
        <v>0</v>
      </c>
      <c r="W2093" s="101">
        <v>0</v>
      </c>
      <c r="X2093" s="55">
        <f t="shared" ref="X2093:X2100" si="352">A2093+K2093+V2093+W2093+L2093</f>
        <v>46153.783333333326</v>
      </c>
    </row>
    <row r="2094" spans="1:24" ht="26.5" hidden="1" x14ac:dyDescent="0.35">
      <c r="A2094" s="123">
        <f t="shared" si="345"/>
        <v>46153.783333333326</v>
      </c>
      <c r="B2094" s="123"/>
      <c r="C2094" s="123"/>
      <c r="D2094" s="123"/>
      <c r="E2094" s="124" t="s">
        <v>2963</v>
      </c>
      <c r="F2094" s="125" t="s">
        <v>2190</v>
      </c>
      <c r="G2094" s="125" t="s">
        <v>2193</v>
      </c>
      <c r="H2094" s="467">
        <v>13048</v>
      </c>
      <c r="I2094" s="159" t="s">
        <v>208</v>
      </c>
      <c r="J2094" s="128" t="s">
        <v>140</v>
      </c>
      <c r="K2094" s="129">
        <v>0</v>
      </c>
      <c r="L2094" s="129">
        <v>0</v>
      </c>
      <c r="M2094" s="130">
        <v>118</v>
      </c>
      <c r="N2094" s="131">
        <f>210*8</f>
        <v>1680</v>
      </c>
      <c r="O2094" s="189">
        <v>1</v>
      </c>
      <c r="P2094" s="131">
        <f t="shared" si="347"/>
        <v>1680</v>
      </c>
      <c r="Q2094" s="131"/>
      <c r="R2094" s="176">
        <v>1680</v>
      </c>
      <c r="S2094" s="130">
        <f t="shared" si="348"/>
        <v>0</v>
      </c>
      <c r="T2094" s="168">
        <f t="shared" si="349"/>
        <v>732.20338983050851</v>
      </c>
      <c r="U2094" s="163">
        <f t="shared" si="350"/>
        <v>0</v>
      </c>
      <c r="V2094" s="163">
        <f t="shared" si="351"/>
        <v>0</v>
      </c>
      <c r="W2094" s="163">
        <v>0</v>
      </c>
      <c r="X2094" s="137">
        <f t="shared" si="352"/>
        <v>46153.783333333326</v>
      </c>
    </row>
    <row r="2095" spans="1:24" ht="26.5" hidden="1" x14ac:dyDescent="0.35">
      <c r="A2095" s="46">
        <f t="shared" si="345"/>
        <v>46153.783333333326</v>
      </c>
      <c r="B2095" s="46"/>
      <c r="C2095" s="46"/>
      <c r="D2095" s="46"/>
      <c r="E2095" s="47" t="s">
        <v>2963</v>
      </c>
      <c r="F2095" s="97" t="s">
        <v>2190</v>
      </c>
      <c r="G2095" s="97" t="s">
        <v>2193</v>
      </c>
      <c r="H2095" s="108">
        <v>13049</v>
      </c>
      <c r="I2095" s="644" t="s">
        <v>212</v>
      </c>
      <c r="J2095" s="51" t="s">
        <v>140</v>
      </c>
      <c r="K2095" s="91">
        <v>0</v>
      </c>
      <c r="L2095" s="91">
        <v>0</v>
      </c>
      <c r="M2095" s="92">
        <v>118</v>
      </c>
      <c r="N2095" s="93">
        <f>420-60</f>
        <v>360</v>
      </c>
      <c r="O2095" s="253">
        <v>1</v>
      </c>
      <c r="P2095" s="94">
        <f t="shared" si="347"/>
        <v>360</v>
      </c>
      <c r="Q2095" s="94"/>
      <c r="R2095" s="182">
        <v>360</v>
      </c>
      <c r="S2095" s="92">
        <f t="shared" si="348"/>
        <v>0</v>
      </c>
      <c r="T2095" s="254">
        <f t="shared" si="349"/>
        <v>732.20338983050851</v>
      </c>
      <c r="U2095" s="91">
        <f t="shared" si="350"/>
        <v>0</v>
      </c>
      <c r="V2095" s="91">
        <f t="shared" si="351"/>
        <v>0</v>
      </c>
      <c r="W2095" s="101">
        <v>0</v>
      </c>
      <c r="X2095" s="55">
        <f t="shared" si="352"/>
        <v>46153.783333333326</v>
      </c>
    </row>
    <row r="2096" spans="1:24" s="221" customFormat="1" ht="26.5" hidden="1" x14ac:dyDescent="0.35">
      <c r="A2096" s="123">
        <f t="shared" si="345"/>
        <v>46153.783333333326</v>
      </c>
      <c r="B2096" s="123"/>
      <c r="C2096" s="123"/>
      <c r="D2096" s="123"/>
      <c r="E2096" s="124" t="s">
        <v>2963</v>
      </c>
      <c r="F2096" s="125" t="s">
        <v>2190</v>
      </c>
      <c r="G2096" s="125" t="s">
        <v>2193</v>
      </c>
      <c r="H2096" s="467">
        <v>13050</v>
      </c>
      <c r="I2096" s="159" t="s">
        <v>214</v>
      </c>
      <c r="J2096" s="128" t="s">
        <v>140</v>
      </c>
      <c r="K2096" s="129">
        <v>0</v>
      </c>
      <c r="L2096" s="129">
        <v>0</v>
      </c>
      <c r="M2096" s="130">
        <v>118</v>
      </c>
      <c r="N2096" s="131">
        <v>210</v>
      </c>
      <c r="O2096" s="189">
        <v>1</v>
      </c>
      <c r="P2096" s="131">
        <f t="shared" si="347"/>
        <v>210</v>
      </c>
      <c r="Q2096" s="131"/>
      <c r="R2096" s="176">
        <v>210</v>
      </c>
      <c r="S2096" s="130">
        <f t="shared" si="348"/>
        <v>0</v>
      </c>
      <c r="T2096" s="168">
        <f t="shared" si="349"/>
        <v>732.20338983050851</v>
      </c>
      <c r="U2096" s="163">
        <f t="shared" si="350"/>
        <v>0</v>
      </c>
      <c r="V2096" s="163">
        <f t="shared" si="351"/>
        <v>0</v>
      </c>
      <c r="W2096" s="163">
        <v>0</v>
      </c>
      <c r="X2096" s="137">
        <f t="shared" si="352"/>
        <v>46153.783333333326</v>
      </c>
    </row>
    <row r="2097" spans="1:24" s="221" customFormat="1" ht="26.5" hidden="1" x14ac:dyDescent="0.35">
      <c r="A2097" s="123">
        <f t="shared" si="345"/>
        <v>46153.783333333326</v>
      </c>
      <c r="B2097" s="123"/>
      <c r="C2097" s="123"/>
      <c r="D2097" s="123"/>
      <c r="E2097" s="124" t="s">
        <v>2963</v>
      </c>
      <c r="F2097" s="125" t="s">
        <v>3192</v>
      </c>
      <c r="G2097" s="125" t="s">
        <v>2193</v>
      </c>
      <c r="H2097" s="467">
        <v>13086</v>
      </c>
      <c r="I2097" s="159" t="s">
        <v>203</v>
      </c>
      <c r="J2097" s="128" t="s">
        <v>140</v>
      </c>
      <c r="K2097" s="129">
        <v>0</v>
      </c>
      <c r="L2097" s="129">
        <v>0</v>
      </c>
      <c r="M2097" s="130">
        <v>118</v>
      </c>
      <c r="N2097" s="131">
        <v>1470</v>
      </c>
      <c r="O2097" s="189">
        <v>1</v>
      </c>
      <c r="P2097" s="131">
        <f t="shared" si="347"/>
        <v>1470</v>
      </c>
      <c r="Q2097" s="131"/>
      <c r="R2097" s="176">
        <v>1470</v>
      </c>
      <c r="S2097" s="130">
        <f t="shared" si="348"/>
        <v>0</v>
      </c>
      <c r="T2097" s="168">
        <f t="shared" si="349"/>
        <v>732.20338983050851</v>
      </c>
      <c r="U2097" s="163">
        <f t="shared" si="350"/>
        <v>0</v>
      </c>
      <c r="V2097" s="163">
        <f t="shared" si="351"/>
        <v>0</v>
      </c>
      <c r="W2097" s="163">
        <v>0</v>
      </c>
      <c r="X2097" s="137">
        <f t="shared" si="352"/>
        <v>46153.783333333326</v>
      </c>
    </row>
    <row r="2098" spans="1:24" s="221" customFormat="1" ht="26.5" hidden="1" x14ac:dyDescent="0.35">
      <c r="A2098" s="123">
        <f t="shared" si="345"/>
        <v>46153.783333333326</v>
      </c>
      <c r="B2098" s="123"/>
      <c r="C2098" s="123"/>
      <c r="D2098" s="123"/>
      <c r="E2098" s="124" t="s">
        <v>2963</v>
      </c>
      <c r="F2098" s="125" t="s">
        <v>2190</v>
      </c>
      <c r="G2098" s="125" t="s">
        <v>361</v>
      </c>
      <c r="H2098" s="467">
        <v>13147</v>
      </c>
      <c r="I2098" s="159" t="s">
        <v>208</v>
      </c>
      <c r="J2098" s="128" t="s">
        <v>140</v>
      </c>
      <c r="K2098" s="129">
        <v>0</v>
      </c>
      <c r="L2098" s="129">
        <v>0</v>
      </c>
      <c r="M2098" s="130">
        <v>118</v>
      </c>
      <c r="N2098" s="131">
        <v>1470</v>
      </c>
      <c r="O2098" s="189">
        <v>1</v>
      </c>
      <c r="P2098" s="131">
        <f t="shared" si="347"/>
        <v>1470</v>
      </c>
      <c r="Q2098" s="131"/>
      <c r="R2098" s="176">
        <v>1470</v>
      </c>
      <c r="S2098" s="130">
        <f t="shared" si="348"/>
        <v>0</v>
      </c>
      <c r="T2098" s="168">
        <f t="shared" si="349"/>
        <v>732.20338983050851</v>
      </c>
      <c r="U2098" s="163">
        <f t="shared" si="350"/>
        <v>0</v>
      </c>
      <c r="V2098" s="163">
        <f t="shared" si="351"/>
        <v>0</v>
      </c>
      <c r="W2098" s="163">
        <v>0</v>
      </c>
      <c r="X2098" s="137">
        <f t="shared" si="352"/>
        <v>46153.783333333326</v>
      </c>
    </row>
    <row r="2099" spans="1:24" s="221" customFormat="1" ht="26.5" hidden="1" x14ac:dyDescent="0.35">
      <c r="A2099" s="123">
        <f t="shared" si="345"/>
        <v>46153.783333333326</v>
      </c>
      <c r="B2099" s="123"/>
      <c r="C2099" s="123"/>
      <c r="D2099" s="123"/>
      <c r="E2099" s="124" t="s">
        <v>2963</v>
      </c>
      <c r="F2099" s="125" t="s">
        <v>2190</v>
      </c>
      <c r="G2099" s="125" t="s">
        <v>2193</v>
      </c>
      <c r="H2099" s="467">
        <v>13167</v>
      </c>
      <c r="I2099" s="614" t="s">
        <v>205</v>
      </c>
      <c r="J2099" s="128" t="s">
        <v>140</v>
      </c>
      <c r="K2099" s="129">
        <v>0</v>
      </c>
      <c r="L2099" s="129">
        <v>0</v>
      </c>
      <c r="M2099" s="130">
        <v>118</v>
      </c>
      <c r="N2099" s="605">
        <f>210*3</f>
        <v>630</v>
      </c>
      <c r="O2099" s="189">
        <v>1</v>
      </c>
      <c r="P2099" s="131">
        <f t="shared" si="347"/>
        <v>630</v>
      </c>
      <c r="Q2099" s="131"/>
      <c r="R2099" s="176">
        <v>630</v>
      </c>
      <c r="S2099" s="130">
        <f t="shared" si="348"/>
        <v>0</v>
      </c>
      <c r="T2099" s="242">
        <f t="shared" si="349"/>
        <v>732.20338983050851</v>
      </c>
      <c r="U2099" s="129">
        <f t="shared" si="350"/>
        <v>0</v>
      </c>
      <c r="V2099" s="129">
        <f t="shared" si="351"/>
        <v>0</v>
      </c>
      <c r="W2099" s="163">
        <v>0</v>
      </c>
      <c r="X2099" s="137">
        <f t="shared" si="352"/>
        <v>46153.783333333326</v>
      </c>
    </row>
    <row r="2100" spans="1:24" s="221" customFormat="1" ht="26.5" hidden="1" x14ac:dyDescent="0.35">
      <c r="A2100" s="123">
        <f>X2098</f>
        <v>46153.783333333326</v>
      </c>
      <c r="B2100" s="123"/>
      <c r="C2100" s="123"/>
      <c r="D2100" s="123"/>
      <c r="E2100" s="124" t="s">
        <v>2963</v>
      </c>
      <c r="F2100" s="125" t="s">
        <v>3192</v>
      </c>
      <c r="G2100" s="125" t="s">
        <v>2193</v>
      </c>
      <c r="H2100" s="467">
        <v>13168</v>
      </c>
      <c r="I2100" s="159" t="s">
        <v>203</v>
      </c>
      <c r="J2100" s="128" t="s">
        <v>140</v>
      </c>
      <c r="K2100" s="129">
        <v>0</v>
      </c>
      <c r="L2100" s="129">
        <v>0</v>
      </c>
      <c r="M2100" s="130">
        <v>118</v>
      </c>
      <c r="N2100" s="131">
        <f>210*4</f>
        <v>840</v>
      </c>
      <c r="O2100" s="189">
        <v>1</v>
      </c>
      <c r="P2100" s="131">
        <f t="shared" si="347"/>
        <v>840</v>
      </c>
      <c r="Q2100" s="131"/>
      <c r="R2100" s="176">
        <v>840</v>
      </c>
      <c r="S2100" s="130">
        <f t="shared" si="348"/>
        <v>0</v>
      </c>
      <c r="T2100" s="168">
        <f t="shared" si="349"/>
        <v>732.20338983050851</v>
      </c>
      <c r="U2100" s="163">
        <f t="shared" si="350"/>
        <v>0</v>
      </c>
      <c r="V2100" s="163">
        <f t="shared" si="351"/>
        <v>0</v>
      </c>
      <c r="W2100" s="163">
        <v>0</v>
      </c>
      <c r="X2100" s="137">
        <f t="shared" si="352"/>
        <v>46153.783333333326</v>
      </c>
    </row>
    <row r="2101" spans="1:24" ht="26.5" hidden="1" x14ac:dyDescent="0.35">
      <c r="A2101" s="123">
        <f t="shared" ref="A2101:A2106" si="353">X2100</f>
        <v>46153.783333333326</v>
      </c>
      <c r="B2101" s="123"/>
      <c r="C2101" s="123"/>
      <c r="D2101" s="123"/>
      <c r="E2101" s="124" t="s">
        <v>2963</v>
      </c>
      <c r="F2101" s="159" t="s">
        <v>652</v>
      </c>
      <c r="G2101" s="159" t="s">
        <v>359</v>
      </c>
      <c r="H2101" s="126" t="s">
        <v>3198</v>
      </c>
      <c r="I2101" s="159" t="s">
        <v>3168</v>
      </c>
      <c r="J2101" s="175" t="s">
        <v>140</v>
      </c>
      <c r="K2101" s="129">
        <v>0</v>
      </c>
      <c r="L2101" s="129">
        <v>0</v>
      </c>
      <c r="M2101" s="130">
        <v>120</v>
      </c>
      <c r="N2101" s="131">
        <v>1000</v>
      </c>
      <c r="O2101" s="189">
        <v>1</v>
      </c>
      <c r="P2101" s="131">
        <f t="shared" si="347"/>
        <v>1000</v>
      </c>
      <c r="Q2101" s="131"/>
      <c r="R2101" s="130">
        <v>1000</v>
      </c>
      <c r="S2101" s="130">
        <f t="shared" si="348"/>
        <v>0</v>
      </c>
      <c r="T2101" s="242">
        <f t="shared" si="349"/>
        <v>720</v>
      </c>
      <c r="U2101" s="129">
        <f t="shared" si="350"/>
        <v>0</v>
      </c>
      <c r="V2101" s="129">
        <f t="shared" si="351"/>
        <v>0</v>
      </c>
      <c r="W2101" s="129">
        <v>0</v>
      </c>
      <c r="X2101" s="137">
        <f>A2101+K2101+L2101+V2101+W2101</f>
        <v>46153.783333333326</v>
      </c>
    </row>
    <row r="2102" spans="1:24" ht="26.5" hidden="1" x14ac:dyDescent="0.35">
      <c r="A2102" s="123">
        <f t="shared" si="353"/>
        <v>46153.783333333326</v>
      </c>
      <c r="B2102" s="123"/>
      <c r="C2102" s="123"/>
      <c r="D2102" s="123"/>
      <c r="E2102" s="124" t="s">
        <v>2963</v>
      </c>
      <c r="F2102" s="125" t="s">
        <v>2190</v>
      </c>
      <c r="G2102" s="125" t="s">
        <v>2193</v>
      </c>
      <c r="H2102" s="603" t="s">
        <v>3199</v>
      </c>
      <c r="I2102" s="654" t="s">
        <v>3130</v>
      </c>
      <c r="J2102" s="128" t="s">
        <v>140</v>
      </c>
      <c r="K2102" s="129">
        <v>0</v>
      </c>
      <c r="L2102" s="129">
        <v>0</v>
      </c>
      <c r="M2102" s="130">
        <v>360</v>
      </c>
      <c r="N2102" s="257">
        <v>250</v>
      </c>
      <c r="O2102" s="189">
        <v>1</v>
      </c>
      <c r="P2102" s="131">
        <f t="shared" si="347"/>
        <v>250</v>
      </c>
      <c r="Q2102" s="131"/>
      <c r="R2102" s="176">
        <v>250</v>
      </c>
      <c r="S2102" s="130">
        <f t="shared" si="348"/>
        <v>0</v>
      </c>
      <c r="T2102" s="242">
        <f t="shared" si="349"/>
        <v>240</v>
      </c>
      <c r="U2102" s="129">
        <f t="shared" si="350"/>
        <v>0</v>
      </c>
      <c r="V2102" s="129">
        <f t="shared" si="351"/>
        <v>0</v>
      </c>
      <c r="W2102" s="129">
        <v>0</v>
      </c>
      <c r="X2102" s="137">
        <f>A2102+K2102+L2102+V2102+W2102</f>
        <v>46153.783333333326</v>
      </c>
    </row>
    <row r="2103" spans="1:24" ht="26.5" hidden="1" x14ac:dyDescent="0.35">
      <c r="A2103" s="123">
        <f t="shared" si="353"/>
        <v>46153.783333333326</v>
      </c>
      <c r="B2103" s="123"/>
      <c r="C2103" s="123"/>
      <c r="D2103" s="123"/>
      <c r="E2103" s="124" t="s">
        <v>2963</v>
      </c>
      <c r="F2103" s="159" t="s">
        <v>652</v>
      </c>
      <c r="G2103" s="159" t="s">
        <v>359</v>
      </c>
      <c r="H2103" s="603" t="s">
        <v>3200</v>
      </c>
      <c r="I2103" s="184" t="s">
        <v>3014</v>
      </c>
      <c r="J2103" s="128" t="s">
        <v>140</v>
      </c>
      <c r="K2103" s="129">
        <v>0</v>
      </c>
      <c r="L2103" s="129">
        <v>0</v>
      </c>
      <c r="M2103" s="130">
        <v>160</v>
      </c>
      <c r="N2103" s="131">
        <f>800-474</f>
        <v>326</v>
      </c>
      <c r="O2103" s="189">
        <v>1</v>
      </c>
      <c r="P2103" s="131">
        <f t="shared" si="347"/>
        <v>326</v>
      </c>
      <c r="Q2103" s="131"/>
      <c r="R2103" s="130">
        <v>326</v>
      </c>
      <c r="S2103" s="130">
        <f t="shared" si="348"/>
        <v>0</v>
      </c>
      <c r="T2103" s="242">
        <f t="shared" si="349"/>
        <v>540</v>
      </c>
      <c r="U2103" s="129">
        <f t="shared" si="350"/>
        <v>0</v>
      </c>
      <c r="V2103" s="129">
        <f t="shared" si="351"/>
        <v>0</v>
      </c>
      <c r="W2103" s="129">
        <v>0</v>
      </c>
      <c r="X2103" s="137">
        <f>A2103+K2103+L2103+V2103+W2103</f>
        <v>46153.783333333326</v>
      </c>
    </row>
    <row r="2104" spans="1:24" ht="26.5" hidden="1" x14ac:dyDescent="0.35">
      <c r="A2104" s="123">
        <f t="shared" si="353"/>
        <v>46153.783333333326</v>
      </c>
      <c r="B2104" s="123"/>
      <c r="C2104" s="123"/>
      <c r="D2104" s="123"/>
      <c r="E2104" s="124" t="s">
        <v>2963</v>
      </c>
      <c r="F2104" s="159" t="s">
        <v>652</v>
      </c>
      <c r="G2104" s="159" t="s">
        <v>359</v>
      </c>
      <c r="H2104" s="603" t="s">
        <v>3201</v>
      </c>
      <c r="I2104" s="159" t="s">
        <v>3196</v>
      </c>
      <c r="J2104" s="128" t="s">
        <v>140</v>
      </c>
      <c r="K2104" s="129">
        <v>0</v>
      </c>
      <c r="L2104" s="129">
        <v>0</v>
      </c>
      <c r="M2104" s="130">
        <v>140</v>
      </c>
      <c r="N2104" s="131">
        <v>326</v>
      </c>
      <c r="O2104" s="189">
        <v>1</v>
      </c>
      <c r="P2104" s="131">
        <f t="shared" si="347"/>
        <v>326</v>
      </c>
      <c r="Q2104" s="131"/>
      <c r="R2104" s="130">
        <v>326</v>
      </c>
      <c r="S2104" s="130">
        <f t="shared" si="348"/>
        <v>0</v>
      </c>
      <c r="T2104" s="242">
        <f t="shared" si="349"/>
        <v>617.14285714285711</v>
      </c>
      <c r="U2104" s="129">
        <f t="shared" si="350"/>
        <v>0</v>
      </c>
      <c r="V2104" s="129">
        <f t="shared" si="351"/>
        <v>0</v>
      </c>
      <c r="W2104" s="129">
        <v>0</v>
      </c>
      <c r="X2104" s="137">
        <f>A2104+K2104+L2104+V2104+W2104</f>
        <v>46153.783333333326</v>
      </c>
    </row>
    <row r="2105" spans="1:24" hidden="1" x14ac:dyDescent="0.35">
      <c r="A2105" s="123">
        <f t="shared" si="353"/>
        <v>46153.783333333326</v>
      </c>
      <c r="B2105" s="123"/>
      <c r="C2105" s="123"/>
      <c r="D2105" s="123"/>
      <c r="E2105" s="124" t="s">
        <v>2963</v>
      </c>
      <c r="F2105" s="159" t="s">
        <v>378</v>
      </c>
      <c r="G2105" s="125" t="s">
        <v>3202</v>
      </c>
      <c r="H2105" s="467">
        <v>13336</v>
      </c>
      <c r="I2105" s="159" t="s">
        <v>212</v>
      </c>
      <c r="J2105" s="128" t="s">
        <v>140</v>
      </c>
      <c r="K2105" s="129">
        <v>0</v>
      </c>
      <c r="L2105" s="129">
        <v>0</v>
      </c>
      <c r="M2105" s="130">
        <v>118</v>
      </c>
      <c r="N2105" s="131">
        <v>420</v>
      </c>
      <c r="O2105" s="189">
        <v>1</v>
      </c>
      <c r="P2105" s="131">
        <f t="shared" si="347"/>
        <v>420</v>
      </c>
      <c r="Q2105" s="131"/>
      <c r="R2105" s="176">
        <v>420</v>
      </c>
      <c r="S2105" s="130">
        <f t="shared" si="348"/>
        <v>0</v>
      </c>
      <c r="T2105" s="168">
        <f t="shared" si="349"/>
        <v>732.20338983050851</v>
      </c>
      <c r="U2105" s="163">
        <f t="shared" si="350"/>
        <v>0</v>
      </c>
      <c r="V2105" s="163">
        <f t="shared" si="351"/>
        <v>0</v>
      </c>
      <c r="W2105" s="163">
        <v>0</v>
      </c>
      <c r="X2105" s="137">
        <f>A2105+K2105+V2105+W2105+L2105</f>
        <v>46153.783333333326</v>
      </c>
    </row>
    <row r="2106" spans="1:24" ht="26.5" hidden="1" x14ac:dyDescent="0.35">
      <c r="A2106" s="123">
        <f t="shared" si="353"/>
        <v>46153.783333333326</v>
      </c>
      <c r="B2106" s="123"/>
      <c r="C2106" s="123"/>
      <c r="D2106" s="123"/>
      <c r="E2106" s="124" t="s">
        <v>2963</v>
      </c>
      <c r="F2106" s="159" t="s">
        <v>652</v>
      </c>
      <c r="G2106" s="125" t="s">
        <v>3202</v>
      </c>
      <c r="H2106" s="467">
        <v>13330</v>
      </c>
      <c r="I2106" s="159" t="s">
        <v>208</v>
      </c>
      <c r="J2106" s="128" t="s">
        <v>140</v>
      </c>
      <c r="K2106" s="129">
        <v>0</v>
      </c>
      <c r="L2106" s="129">
        <v>0</v>
      </c>
      <c r="M2106" s="130">
        <v>118</v>
      </c>
      <c r="N2106" s="131">
        <f>210*7</f>
        <v>1470</v>
      </c>
      <c r="O2106" s="189">
        <v>1</v>
      </c>
      <c r="P2106" s="131">
        <f t="shared" si="347"/>
        <v>1470</v>
      </c>
      <c r="Q2106" s="131"/>
      <c r="R2106" s="176">
        <v>1470</v>
      </c>
      <c r="S2106" s="130">
        <f t="shared" si="348"/>
        <v>0</v>
      </c>
      <c r="T2106" s="168">
        <f t="shared" si="349"/>
        <v>732.20338983050851</v>
      </c>
      <c r="U2106" s="163">
        <f t="shared" si="350"/>
        <v>0</v>
      </c>
      <c r="V2106" s="163">
        <f t="shared" si="351"/>
        <v>0</v>
      </c>
      <c r="W2106" s="163">
        <v>0</v>
      </c>
      <c r="X2106" s="137">
        <f>A2106+K2106+V2106+W2106+L2106</f>
        <v>46153.783333333326</v>
      </c>
    </row>
    <row r="2107" spans="1:24" ht="26.5" hidden="1" x14ac:dyDescent="0.35">
      <c r="A2107" s="123">
        <f>X1926</f>
        <v>46153.666030092594</v>
      </c>
      <c r="B2107" s="123"/>
      <c r="C2107" s="123"/>
      <c r="D2107" s="123"/>
      <c r="E2107" s="124" t="s">
        <v>2963</v>
      </c>
      <c r="F2107" s="159" t="s">
        <v>652</v>
      </c>
      <c r="G2107" s="125" t="s">
        <v>3202</v>
      </c>
      <c r="H2107" s="467">
        <v>13331</v>
      </c>
      <c r="I2107" s="614" t="s">
        <v>205</v>
      </c>
      <c r="J2107" s="128" t="s">
        <v>140</v>
      </c>
      <c r="K2107" s="129">
        <v>0</v>
      </c>
      <c r="L2107" s="129">
        <v>0</v>
      </c>
      <c r="M2107" s="130">
        <v>118</v>
      </c>
      <c r="N2107" s="605">
        <f>210*6</f>
        <v>1260</v>
      </c>
      <c r="O2107" s="189">
        <v>1</v>
      </c>
      <c r="P2107" s="131">
        <f t="shared" si="347"/>
        <v>1260</v>
      </c>
      <c r="Q2107" s="131"/>
      <c r="R2107" s="176">
        <v>1260</v>
      </c>
      <c r="S2107" s="130">
        <f t="shared" si="348"/>
        <v>0</v>
      </c>
      <c r="T2107" s="242">
        <f t="shared" si="349"/>
        <v>732.20338983050851</v>
      </c>
      <c r="U2107" s="129">
        <f t="shared" si="350"/>
        <v>0</v>
      </c>
      <c r="V2107" s="129">
        <f t="shared" si="351"/>
        <v>0</v>
      </c>
      <c r="W2107" s="163">
        <v>0</v>
      </c>
      <c r="X2107" s="137">
        <f>A2107+K2107+V2107+W2107+L2107</f>
        <v>46153.666030092594</v>
      </c>
    </row>
    <row r="2108" spans="1:24" s="511" customFormat="1" ht="26.5" hidden="1" x14ac:dyDescent="0.35">
      <c r="A2108" s="46">
        <f t="shared" ref="A2108:A2116" si="354">X2107</f>
        <v>46153.666030092594</v>
      </c>
      <c r="B2108" s="46"/>
      <c r="C2108" s="46"/>
      <c r="D2108" s="46"/>
      <c r="E2108" s="47" t="s">
        <v>2963</v>
      </c>
      <c r="F2108" s="82" t="s">
        <v>652</v>
      </c>
      <c r="G2108" s="97" t="s">
        <v>3202</v>
      </c>
      <c r="H2108" s="108">
        <v>13332</v>
      </c>
      <c r="I2108" s="82" t="s">
        <v>203</v>
      </c>
      <c r="J2108" s="51" t="s">
        <v>140</v>
      </c>
      <c r="K2108" s="91">
        <v>0</v>
      </c>
      <c r="L2108" s="91">
        <v>0</v>
      </c>
      <c r="M2108" s="92">
        <v>118</v>
      </c>
      <c r="N2108" s="94">
        <f>210*6</f>
        <v>1260</v>
      </c>
      <c r="O2108" s="92">
        <v>1</v>
      </c>
      <c r="P2108" s="94">
        <f t="shared" si="347"/>
        <v>1260</v>
      </c>
      <c r="Q2108" s="94"/>
      <c r="R2108" s="182">
        <v>1260</v>
      </c>
      <c r="S2108" s="92">
        <f t="shared" si="348"/>
        <v>0</v>
      </c>
      <c r="T2108" s="102">
        <f t="shared" si="349"/>
        <v>732.20338983050851</v>
      </c>
      <c r="U2108" s="101">
        <f t="shared" si="350"/>
        <v>0</v>
      </c>
      <c r="V2108" s="101">
        <f t="shared" si="351"/>
        <v>0</v>
      </c>
      <c r="W2108" s="101">
        <v>0</v>
      </c>
      <c r="X2108" s="55">
        <f>A2108+K2108+V2108+W2108+L2108</f>
        <v>46153.666030092594</v>
      </c>
    </row>
    <row r="2109" spans="1:24" s="186" customFormat="1" hidden="1" x14ac:dyDescent="0.35">
      <c r="A2109" s="123">
        <f t="shared" si="354"/>
        <v>46153.666030092594</v>
      </c>
      <c r="B2109" s="123"/>
      <c r="C2109" s="123"/>
      <c r="D2109" s="123"/>
      <c r="E2109" s="124" t="s">
        <v>2963</v>
      </c>
      <c r="F2109" s="159" t="s">
        <v>3203</v>
      </c>
      <c r="G2109" s="125" t="s">
        <v>839</v>
      </c>
      <c r="H2109" s="467">
        <v>13429</v>
      </c>
      <c r="I2109" s="159" t="s">
        <v>208</v>
      </c>
      <c r="J2109" s="128" t="s">
        <v>140</v>
      </c>
      <c r="K2109" s="129">
        <v>0</v>
      </c>
      <c r="L2109" s="129">
        <v>0</v>
      </c>
      <c r="M2109" s="130">
        <v>118</v>
      </c>
      <c r="N2109" s="131">
        <v>1280</v>
      </c>
      <c r="O2109" s="189">
        <v>1</v>
      </c>
      <c r="P2109" s="131">
        <f t="shared" si="347"/>
        <v>1280</v>
      </c>
      <c r="Q2109" s="131"/>
      <c r="R2109" s="176">
        <v>1280</v>
      </c>
      <c r="S2109" s="130">
        <f t="shared" si="348"/>
        <v>0</v>
      </c>
      <c r="T2109" s="168">
        <f t="shared" si="349"/>
        <v>732.20338983050851</v>
      </c>
      <c r="U2109" s="163">
        <f t="shared" si="350"/>
        <v>0</v>
      </c>
      <c r="V2109" s="163">
        <f t="shared" si="351"/>
        <v>0</v>
      </c>
      <c r="W2109" s="163">
        <v>0</v>
      </c>
      <c r="X2109" s="137">
        <f>A2109+K2109+V2109+W2109+L2109</f>
        <v>46153.666030092594</v>
      </c>
    </row>
    <row r="2110" spans="1:24" s="186" customFormat="1" hidden="1" x14ac:dyDescent="0.35">
      <c r="A2110" s="123">
        <f t="shared" si="354"/>
        <v>46153.666030092594</v>
      </c>
      <c r="B2110" s="123"/>
      <c r="C2110" s="123"/>
      <c r="D2110" s="123"/>
      <c r="E2110" s="124" t="s">
        <v>2963</v>
      </c>
      <c r="F2110" s="125" t="s">
        <v>3204</v>
      </c>
      <c r="G2110" s="125" t="s">
        <v>839</v>
      </c>
      <c r="H2110" s="603" t="s">
        <v>3205</v>
      </c>
      <c r="I2110" s="654" t="s">
        <v>3130</v>
      </c>
      <c r="J2110" s="128" t="s">
        <v>140</v>
      </c>
      <c r="K2110" s="129">
        <v>0</v>
      </c>
      <c r="L2110" s="129">
        <v>0</v>
      </c>
      <c r="M2110" s="130">
        <v>170</v>
      </c>
      <c r="N2110" s="257">
        <v>300</v>
      </c>
      <c r="O2110" s="189">
        <v>1</v>
      </c>
      <c r="P2110" s="131">
        <f t="shared" si="347"/>
        <v>300</v>
      </c>
      <c r="Q2110" s="131"/>
      <c r="R2110" s="176">
        <v>300</v>
      </c>
      <c r="S2110" s="130">
        <f t="shared" si="348"/>
        <v>0</v>
      </c>
      <c r="T2110" s="242">
        <f t="shared" si="349"/>
        <v>508.23529411764707</v>
      </c>
      <c r="U2110" s="129">
        <f t="shared" si="350"/>
        <v>0</v>
      </c>
      <c r="V2110" s="129">
        <f t="shared" si="351"/>
        <v>0</v>
      </c>
      <c r="W2110" s="129">
        <v>0</v>
      </c>
      <c r="X2110" s="137">
        <f>A2110+K2110+L2110+V2110+W2110</f>
        <v>46153.666030092594</v>
      </c>
    </row>
    <row r="2111" spans="1:24" s="186" customFormat="1" hidden="1" x14ac:dyDescent="0.35">
      <c r="A2111" s="123">
        <f t="shared" si="354"/>
        <v>46153.666030092594</v>
      </c>
      <c r="B2111" s="123"/>
      <c r="C2111" s="123"/>
      <c r="D2111" s="123"/>
      <c r="E2111" s="124" t="s">
        <v>2963</v>
      </c>
      <c r="F2111" s="160" t="s">
        <v>3206</v>
      </c>
      <c r="G2111" s="160" t="s">
        <v>839</v>
      </c>
      <c r="H2111" s="126" t="s">
        <v>3207</v>
      </c>
      <c r="I2111" s="501" t="s">
        <v>4263</v>
      </c>
      <c r="J2111" s="175" t="s">
        <v>140</v>
      </c>
      <c r="K2111" s="129">
        <v>0</v>
      </c>
      <c r="L2111" s="129">
        <v>0</v>
      </c>
      <c r="M2111" s="130">
        <v>65</v>
      </c>
      <c r="N2111" s="131">
        <v>2250</v>
      </c>
      <c r="O2111" s="189">
        <v>1</v>
      </c>
      <c r="P2111" s="131">
        <f t="shared" si="347"/>
        <v>2250</v>
      </c>
      <c r="Q2111" s="131"/>
      <c r="R2111" s="130">
        <v>2250</v>
      </c>
      <c r="S2111" s="130">
        <f t="shared" si="348"/>
        <v>0</v>
      </c>
      <c r="T2111" s="168">
        <f t="shared" si="349"/>
        <v>1329.2307692307693</v>
      </c>
      <c r="U2111" s="163">
        <f t="shared" si="350"/>
        <v>0</v>
      </c>
      <c r="V2111" s="163">
        <f t="shared" si="351"/>
        <v>0</v>
      </c>
      <c r="W2111" s="163">
        <v>0</v>
      </c>
      <c r="X2111" s="137">
        <f>A2111+K2111+V2111+W2111+L2111</f>
        <v>46153.666030092594</v>
      </c>
    </row>
    <row r="2112" spans="1:24" s="221" customFormat="1" hidden="1" x14ac:dyDescent="0.35">
      <c r="A2112" s="123">
        <f t="shared" si="354"/>
        <v>46153.666030092594</v>
      </c>
      <c r="B2112" s="161">
        <v>46059</v>
      </c>
      <c r="C2112" s="183">
        <f>B2112-A2112</f>
        <v>-94.666030092594156</v>
      </c>
      <c r="D2112" s="183"/>
      <c r="E2112" s="124" t="s">
        <v>2963</v>
      </c>
      <c r="F2112" s="184" t="s">
        <v>3208</v>
      </c>
      <c r="G2112" s="184" t="s">
        <v>386</v>
      </c>
      <c r="H2112" s="603" t="s">
        <v>3209</v>
      </c>
      <c r="I2112" s="655" t="s">
        <v>2928</v>
      </c>
      <c r="J2112" s="128" t="s">
        <v>140</v>
      </c>
      <c r="K2112" s="129">
        <v>0</v>
      </c>
      <c r="L2112" s="129">
        <v>0</v>
      </c>
      <c r="M2112" s="130">
        <v>81</v>
      </c>
      <c r="N2112" s="605">
        <v>3000</v>
      </c>
      <c r="O2112" s="189">
        <v>1</v>
      </c>
      <c r="P2112" s="131">
        <f t="shared" si="347"/>
        <v>3000</v>
      </c>
      <c r="Q2112" s="185">
        <v>0.8</v>
      </c>
      <c r="R2112" s="546">
        <v>3000</v>
      </c>
      <c r="S2112" s="164">
        <f t="shared" si="348"/>
        <v>0</v>
      </c>
      <c r="T2112" s="168">
        <f>((3600/M2112)*O2112)*24*Q2112</f>
        <v>853.33333333333326</v>
      </c>
      <c r="U2112" s="163">
        <f>(P2112-R2112)*M2112/3600/Q2112</f>
        <v>0</v>
      </c>
      <c r="V2112" s="163">
        <f>U2112/24</f>
        <v>0</v>
      </c>
      <c r="W2112" s="163">
        <v>0</v>
      </c>
      <c r="X2112" s="137">
        <f>A2112+K2112+L2112+V2112+W2112</f>
        <v>46153.666030092594</v>
      </c>
    </row>
    <row r="2113" spans="1:24" s="221" customFormat="1" hidden="1" x14ac:dyDescent="0.35">
      <c r="A2113" s="123">
        <f t="shared" si="354"/>
        <v>46153.666030092594</v>
      </c>
      <c r="B2113" s="123">
        <v>46061</v>
      </c>
      <c r="C2113" s="190">
        <f>B2113-A2113</f>
        <v>-92.666030092594156</v>
      </c>
      <c r="D2113" s="190"/>
      <c r="E2113" s="124" t="s">
        <v>2963</v>
      </c>
      <c r="F2113" s="125" t="s">
        <v>2190</v>
      </c>
      <c r="G2113" s="125" t="s">
        <v>386</v>
      </c>
      <c r="H2113" s="603" t="s">
        <v>3210</v>
      </c>
      <c r="I2113" s="654" t="s">
        <v>3130</v>
      </c>
      <c r="J2113" s="128" t="s">
        <v>140</v>
      </c>
      <c r="K2113" s="129">
        <v>0</v>
      </c>
      <c r="L2113" s="129">
        <v>0</v>
      </c>
      <c r="M2113" s="130">
        <v>200</v>
      </c>
      <c r="N2113" s="257">
        <v>432</v>
      </c>
      <c r="O2113" s="189">
        <v>1</v>
      </c>
      <c r="P2113" s="131">
        <f t="shared" si="347"/>
        <v>432</v>
      </c>
      <c r="Q2113" s="185">
        <v>0.8</v>
      </c>
      <c r="R2113" s="176">
        <v>432</v>
      </c>
      <c r="S2113" s="164">
        <f t="shared" si="348"/>
        <v>0</v>
      </c>
      <c r="T2113" s="168">
        <f>((3600/M2113)*O2113)*24*Q2113</f>
        <v>345.6</v>
      </c>
      <c r="U2113" s="163">
        <f>(P2113-R2113)*M2113/3600/Q2113</f>
        <v>0</v>
      </c>
      <c r="V2113" s="163">
        <f>U2113/24</f>
        <v>0</v>
      </c>
      <c r="W2113" s="163">
        <v>0</v>
      </c>
      <c r="X2113" s="137">
        <f>A2113+K2113+L2113+V2113+W2113</f>
        <v>46153.666030092594</v>
      </c>
    </row>
    <row r="2114" spans="1:24" s="541" customFormat="1" hidden="1" x14ac:dyDescent="0.35">
      <c r="A2114" s="123">
        <f t="shared" si="354"/>
        <v>46153.666030092594</v>
      </c>
      <c r="B2114" s="123">
        <v>46066</v>
      </c>
      <c r="C2114" s="190">
        <f>B2114-A2114</f>
        <v>-87.666030092594156</v>
      </c>
      <c r="D2114" s="190"/>
      <c r="E2114" s="124" t="s">
        <v>2963</v>
      </c>
      <c r="F2114" s="184" t="s">
        <v>3001</v>
      </c>
      <c r="G2114" s="184" t="s">
        <v>839</v>
      </c>
      <c r="H2114" s="467">
        <v>13501</v>
      </c>
      <c r="I2114" s="159" t="s">
        <v>208</v>
      </c>
      <c r="J2114" s="128" t="s">
        <v>140</v>
      </c>
      <c r="K2114" s="129">
        <v>0</v>
      </c>
      <c r="L2114" s="129">
        <v>0</v>
      </c>
      <c r="M2114" s="130">
        <v>118</v>
      </c>
      <c r="N2114" s="131">
        <f>2520-1890</f>
        <v>630</v>
      </c>
      <c r="O2114" s="189">
        <v>1</v>
      </c>
      <c r="P2114" s="131">
        <f t="shared" si="347"/>
        <v>630</v>
      </c>
      <c r="Q2114" s="185">
        <v>0.8</v>
      </c>
      <c r="R2114" s="176">
        <f>210*3</f>
        <v>630</v>
      </c>
      <c r="S2114" s="164">
        <f t="shared" si="348"/>
        <v>0</v>
      </c>
      <c r="T2114" s="168">
        <f>((3600/M2114)*O2114)*24*Q2114</f>
        <v>585.76271186440681</v>
      </c>
      <c r="U2114" s="163">
        <f>(P2114-R2114)*M2114/3600/Q2114</f>
        <v>0</v>
      </c>
      <c r="V2114" s="163">
        <f>U2114/24</f>
        <v>0</v>
      </c>
      <c r="W2114" s="163">
        <v>0</v>
      </c>
      <c r="X2114" s="137">
        <f>A2114+K2114+V2114+W2114+L2114</f>
        <v>46153.666030092594</v>
      </c>
    </row>
    <row r="2115" spans="1:24" hidden="1" x14ac:dyDescent="0.35">
      <c r="A2115" s="513">
        <f t="shared" si="354"/>
        <v>46153.666030092594</v>
      </c>
      <c r="B2115" s="513">
        <v>46062</v>
      </c>
      <c r="C2115" s="514">
        <f>B2115-A2115</f>
        <v>-91.666030092594156</v>
      </c>
      <c r="D2115" s="514"/>
      <c r="E2115" s="296" t="s">
        <v>2963</v>
      </c>
      <c r="F2115" s="516" t="s">
        <v>1213</v>
      </c>
      <c r="G2115" s="517"/>
      <c r="H2115" s="516" t="s">
        <v>14</v>
      </c>
      <c r="I2115" s="518" t="s">
        <v>3211</v>
      </c>
      <c r="J2115" s="519" t="s">
        <v>140</v>
      </c>
      <c r="K2115" s="520">
        <v>0</v>
      </c>
      <c r="L2115" s="520">
        <v>0</v>
      </c>
      <c r="M2115" s="521">
        <v>60</v>
      </c>
      <c r="N2115" s="522">
        <v>100</v>
      </c>
      <c r="O2115" s="521">
        <v>1</v>
      </c>
      <c r="P2115" s="522">
        <f t="shared" si="347"/>
        <v>100</v>
      </c>
      <c r="Q2115" s="305">
        <v>0.8</v>
      </c>
      <c r="R2115" s="521">
        <v>100</v>
      </c>
      <c r="S2115" s="302">
        <f t="shared" si="348"/>
        <v>0</v>
      </c>
      <c r="T2115" s="307">
        <f>((3600/M2115)*O2115)*24*Q2115</f>
        <v>1152</v>
      </c>
      <c r="U2115" s="301">
        <f>(P2115-R2115)*M2115/3600/Q2115</f>
        <v>0</v>
      </c>
      <c r="V2115" s="301">
        <f>U2115/24</f>
        <v>0</v>
      </c>
      <c r="W2115" s="301">
        <v>0</v>
      </c>
      <c r="X2115" s="523">
        <f>A2115+K2115+V2115+W2115+L2115</f>
        <v>46153.666030092594</v>
      </c>
    </row>
    <row r="2116" spans="1:24" s="186" customFormat="1" hidden="1" x14ac:dyDescent="0.35">
      <c r="A2116" s="123">
        <f t="shared" si="354"/>
        <v>46153.666030092594</v>
      </c>
      <c r="B2116" s="123">
        <v>46091.752835648149</v>
      </c>
      <c r="C2116" s="190">
        <f>B2116-A2116</f>
        <v>-61.913194444445253</v>
      </c>
      <c r="D2116" s="190" t="s">
        <v>2673</v>
      </c>
      <c r="E2116" s="124" t="s">
        <v>2963</v>
      </c>
      <c r="F2116" s="184" t="s">
        <v>3000</v>
      </c>
      <c r="G2116" s="184" t="s">
        <v>839</v>
      </c>
      <c r="H2116" s="467">
        <v>13501</v>
      </c>
      <c r="I2116" s="159" t="s">
        <v>208</v>
      </c>
      <c r="J2116" s="128" t="s">
        <v>140</v>
      </c>
      <c r="K2116" s="129">
        <v>0</v>
      </c>
      <c r="L2116" s="129">
        <v>0</v>
      </c>
      <c r="M2116" s="130">
        <v>118</v>
      </c>
      <c r="N2116" s="131">
        <f>1890</f>
        <v>1890</v>
      </c>
      <c r="O2116" s="189">
        <v>1</v>
      </c>
      <c r="P2116" s="131">
        <f t="shared" si="347"/>
        <v>1890</v>
      </c>
      <c r="Q2116" s="185">
        <v>0.8</v>
      </c>
      <c r="R2116" s="176">
        <v>1890</v>
      </c>
      <c r="S2116" s="164">
        <f t="shared" si="348"/>
        <v>0</v>
      </c>
      <c r="T2116" s="168">
        <f>((3600/M2116)*O2116)*24*Q2116</f>
        <v>585.76271186440681</v>
      </c>
      <c r="U2116" s="163">
        <f>(P2116-R2116)*M2116/3600/Q2116</f>
        <v>0</v>
      </c>
      <c r="V2116" s="163">
        <f>U2116/24</f>
        <v>0</v>
      </c>
      <c r="W2116" s="163">
        <v>0</v>
      </c>
      <c r="X2116" s="137">
        <f>A2116+K2116+V2116+W2116+L2116</f>
        <v>46153.666030092594</v>
      </c>
    </row>
    <row r="2117" spans="1:24" s="670" customFormat="1" ht="25" hidden="1" customHeight="1" x14ac:dyDescent="0.35">
      <c r="A2117" s="656">
        <v>46100.666030092594</v>
      </c>
      <c r="B2117" s="656">
        <v>46097.46533564815</v>
      </c>
      <c r="C2117" s="656"/>
      <c r="D2117" s="656"/>
      <c r="E2117" s="657"/>
      <c r="F2117" s="658"/>
      <c r="G2117" s="658"/>
      <c r="H2117" s="659"/>
      <c r="I2117" s="660" t="s">
        <v>3212</v>
      </c>
      <c r="J2117" s="661"/>
      <c r="K2117" s="662"/>
      <c r="L2117" s="662"/>
      <c r="M2117" s="663"/>
      <c r="N2117" s="664"/>
      <c r="O2117" s="665"/>
      <c r="P2117" s="666"/>
      <c r="Q2117" s="666"/>
      <c r="R2117" s="667"/>
      <c r="S2117" s="663"/>
      <c r="T2117" s="668"/>
      <c r="U2117" s="662"/>
      <c r="V2117" s="662"/>
      <c r="W2117" s="662">
        <v>4</v>
      </c>
      <c r="X2117" s="669">
        <f>A2117+K2117+L2117+V2117+W2117+2</f>
        <v>46106.666030092594</v>
      </c>
    </row>
    <row r="2118" spans="1:24" s="613" customFormat="1" ht="25" hidden="1" customHeight="1" x14ac:dyDescent="0.35">
      <c r="A2118" s="161">
        <f>X2116</f>
        <v>46153.666030092594</v>
      </c>
      <c r="B2118" s="123">
        <v>46129.248379629629</v>
      </c>
      <c r="C2118" s="183">
        <f t="shared" ref="C2118:C2125" si="355">B2118-A2118</f>
        <v>-24.417650462964957</v>
      </c>
      <c r="D2118" s="123" t="s">
        <v>3213</v>
      </c>
      <c r="E2118" s="124" t="s">
        <v>2963</v>
      </c>
      <c r="F2118" s="184" t="s">
        <v>3001</v>
      </c>
      <c r="G2118" s="184" t="s">
        <v>398</v>
      </c>
      <c r="H2118" s="603" t="s">
        <v>3214</v>
      </c>
      <c r="I2118" s="184" t="s">
        <v>3177</v>
      </c>
      <c r="J2118" s="128" t="s">
        <v>140</v>
      </c>
      <c r="K2118" s="129">
        <v>0</v>
      </c>
      <c r="L2118" s="129">
        <v>0</v>
      </c>
      <c r="M2118" s="130">
        <v>160</v>
      </c>
      <c r="N2118" s="131">
        <v>600</v>
      </c>
      <c r="O2118" s="189">
        <v>1</v>
      </c>
      <c r="P2118" s="131">
        <f t="shared" ref="P2118:P2125" si="356">N2118/O2118</f>
        <v>600</v>
      </c>
      <c r="Q2118" s="185">
        <v>0.8</v>
      </c>
      <c r="R2118" s="130">
        <v>600</v>
      </c>
      <c r="S2118" s="164">
        <f t="shared" ref="S2118:S2125" si="357">P2118-R2118</f>
        <v>0</v>
      </c>
      <c r="T2118" s="168">
        <f t="shared" ref="T2118:T2125" si="358">((3600/M2118)*O2118)*24*Q2118</f>
        <v>432</v>
      </c>
      <c r="U2118" s="163">
        <f t="shared" ref="U2118:U2125" si="359">(P2118-R2118)*M2118/3600/Q2118</f>
        <v>0</v>
      </c>
      <c r="V2118" s="163">
        <f t="shared" ref="V2118:V2125" si="360">U2118/24</f>
        <v>0</v>
      </c>
      <c r="W2118" s="163">
        <v>0</v>
      </c>
      <c r="X2118" s="137">
        <f t="shared" ref="X2118:X2125" si="361">A2118+K2118+L2118+V2118+W2118</f>
        <v>46153.666030092594</v>
      </c>
    </row>
    <row r="2119" spans="1:24" s="613" customFormat="1" ht="25" hidden="1" customHeight="1" x14ac:dyDescent="0.35">
      <c r="A2119" s="161">
        <f t="shared" ref="A2119:A2125" si="362">X2118</f>
        <v>46153.666030092594</v>
      </c>
      <c r="B2119" s="123">
        <v>46127.248379629629</v>
      </c>
      <c r="C2119" s="183">
        <f t="shared" si="355"/>
        <v>-26.417650462964957</v>
      </c>
      <c r="D2119" s="123" t="s">
        <v>3213</v>
      </c>
      <c r="E2119" s="124" t="s">
        <v>2963</v>
      </c>
      <c r="F2119" s="184" t="s">
        <v>3001</v>
      </c>
      <c r="G2119" s="184" t="s">
        <v>398</v>
      </c>
      <c r="H2119" s="603" t="s">
        <v>3215</v>
      </c>
      <c r="I2119" s="159" t="s">
        <v>3196</v>
      </c>
      <c r="J2119" s="128" t="s">
        <v>140</v>
      </c>
      <c r="K2119" s="129">
        <v>0</v>
      </c>
      <c r="L2119" s="129">
        <v>0</v>
      </c>
      <c r="M2119" s="130">
        <v>140</v>
      </c>
      <c r="N2119" s="131">
        <v>600</v>
      </c>
      <c r="O2119" s="189">
        <v>1</v>
      </c>
      <c r="P2119" s="131">
        <f t="shared" si="356"/>
        <v>600</v>
      </c>
      <c r="Q2119" s="185">
        <v>0.8</v>
      </c>
      <c r="R2119" s="130">
        <v>600</v>
      </c>
      <c r="S2119" s="164">
        <f t="shared" si="357"/>
        <v>0</v>
      </c>
      <c r="T2119" s="168">
        <f t="shared" si="358"/>
        <v>493.71428571428572</v>
      </c>
      <c r="U2119" s="163">
        <f t="shared" si="359"/>
        <v>0</v>
      </c>
      <c r="V2119" s="163">
        <f t="shared" si="360"/>
        <v>0</v>
      </c>
      <c r="W2119" s="163">
        <v>0</v>
      </c>
      <c r="X2119" s="137">
        <f t="shared" si="361"/>
        <v>46153.666030092594</v>
      </c>
    </row>
    <row r="2120" spans="1:24" s="613" customFormat="1" ht="25" hidden="1" customHeight="1" x14ac:dyDescent="0.35">
      <c r="A2120" s="161">
        <f t="shared" si="362"/>
        <v>46153.666030092594</v>
      </c>
      <c r="B2120" s="123">
        <v>46104</v>
      </c>
      <c r="C2120" s="190">
        <f t="shared" si="355"/>
        <v>-49.666030092594156</v>
      </c>
      <c r="D2120" s="190"/>
      <c r="E2120" s="124" t="s">
        <v>2963</v>
      </c>
      <c r="F2120" s="159" t="s">
        <v>3216</v>
      </c>
      <c r="G2120" s="159" t="s">
        <v>386</v>
      </c>
      <c r="H2120" s="126" t="s">
        <v>3217</v>
      </c>
      <c r="I2120" s="159" t="s">
        <v>3168</v>
      </c>
      <c r="J2120" s="175" t="s">
        <v>140</v>
      </c>
      <c r="K2120" s="129">
        <v>0</v>
      </c>
      <c r="L2120" s="129">
        <v>0</v>
      </c>
      <c r="M2120" s="130">
        <v>170</v>
      </c>
      <c r="N2120" s="131">
        <v>1191</v>
      </c>
      <c r="O2120" s="189">
        <v>1</v>
      </c>
      <c r="P2120" s="131">
        <f t="shared" si="356"/>
        <v>1191</v>
      </c>
      <c r="Q2120" s="185">
        <v>0.8</v>
      </c>
      <c r="R2120" s="130">
        <v>1191</v>
      </c>
      <c r="S2120" s="164">
        <f t="shared" si="357"/>
        <v>0</v>
      </c>
      <c r="T2120" s="168">
        <f t="shared" si="358"/>
        <v>406.58823529411768</v>
      </c>
      <c r="U2120" s="163">
        <f t="shared" si="359"/>
        <v>0</v>
      </c>
      <c r="V2120" s="163">
        <f t="shared" si="360"/>
        <v>0</v>
      </c>
      <c r="W2120" s="163">
        <v>0</v>
      </c>
      <c r="X2120" s="137">
        <f t="shared" si="361"/>
        <v>46153.666030092594</v>
      </c>
    </row>
    <row r="2121" spans="1:24" s="613" customFormat="1" ht="25" hidden="1" customHeight="1" x14ac:dyDescent="0.35">
      <c r="A2121" s="161">
        <f t="shared" si="362"/>
        <v>46153.666030092594</v>
      </c>
      <c r="B2121" s="123">
        <v>46139</v>
      </c>
      <c r="C2121" s="190">
        <f t="shared" si="355"/>
        <v>-14.666030092594156</v>
      </c>
      <c r="D2121" s="123" t="s">
        <v>3213</v>
      </c>
      <c r="E2121" s="124" t="s">
        <v>2963</v>
      </c>
      <c r="F2121" s="159" t="s">
        <v>3216</v>
      </c>
      <c r="G2121" s="159" t="s">
        <v>386</v>
      </c>
      <c r="H2121" s="126" t="s">
        <v>3218</v>
      </c>
      <c r="I2121" s="159" t="s">
        <v>3168</v>
      </c>
      <c r="J2121" s="175" t="s">
        <v>140</v>
      </c>
      <c r="K2121" s="129">
        <v>0</v>
      </c>
      <c r="L2121" s="129">
        <v>0</v>
      </c>
      <c r="M2121" s="130">
        <v>170</v>
      </c>
      <c r="N2121" s="131">
        <f>1390</f>
        <v>1390</v>
      </c>
      <c r="O2121" s="189">
        <v>1</v>
      </c>
      <c r="P2121" s="131">
        <f t="shared" si="356"/>
        <v>1390</v>
      </c>
      <c r="Q2121" s="185">
        <v>0.8</v>
      </c>
      <c r="R2121" s="130">
        <v>1390</v>
      </c>
      <c r="S2121" s="164">
        <f t="shared" si="357"/>
        <v>0</v>
      </c>
      <c r="T2121" s="168">
        <f t="shared" si="358"/>
        <v>406.58823529411768</v>
      </c>
      <c r="U2121" s="163">
        <f t="shared" si="359"/>
        <v>0</v>
      </c>
      <c r="V2121" s="163">
        <f t="shared" si="360"/>
        <v>0</v>
      </c>
      <c r="W2121" s="163">
        <v>0</v>
      </c>
      <c r="X2121" s="137">
        <f t="shared" si="361"/>
        <v>46153.666030092594</v>
      </c>
    </row>
    <row r="2122" spans="1:24" s="613" customFormat="1" ht="25" hidden="1" customHeight="1" x14ac:dyDescent="0.35">
      <c r="A2122" s="161">
        <f t="shared" si="362"/>
        <v>46153.666030092594</v>
      </c>
      <c r="B2122" s="123">
        <v>46135</v>
      </c>
      <c r="C2122" s="190">
        <f t="shared" si="355"/>
        <v>-18.666030092594156</v>
      </c>
      <c r="D2122" s="123" t="s">
        <v>3213</v>
      </c>
      <c r="E2122" s="124" t="s">
        <v>2963</v>
      </c>
      <c r="F2122" s="159" t="s">
        <v>3219</v>
      </c>
      <c r="G2122" s="159" t="s">
        <v>398</v>
      </c>
      <c r="H2122" s="126" t="s">
        <v>3220</v>
      </c>
      <c r="I2122" s="177" t="s">
        <v>3016</v>
      </c>
      <c r="J2122" s="175" t="s">
        <v>140</v>
      </c>
      <c r="K2122" s="163">
        <v>0</v>
      </c>
      <c r="L2122" s="163">
        <v>0</v>
      </c>
      <c r="M2122" s="130">
        <v>750</v>
      </c>
      <c r="N2122" s="131">
        <v>50</v>
      </c>
      <c r="O2122" s="189">
        <v>1</v>
      </c>
      <c r="P2122" s="131">
        <f t="shared" si="356"/>
        <v>50</v>
      </c>
      <c r="Q2122" s="185">
        <v>0.8</v>
      </c>
      <c r="R2122" s="130">
        <v>50</v>
      </c>
      <c r="S2122" s="164">
        <f t="shared" si="357"/>
        <v>0</v>
      </c>
      <c r="T2122" s="168">
        <f t="shared" si="358"/>
        <v>92.16</v>
      </c>
      <c r="U2122" s="163">
        <f t="shared" si="359"/>
        <v>0</v>
      </c>
      <c r="V2122" s="163">
        <f t="shared" si="360"/>
        <v>0</v>
      </c>
      <c r="W2122" s="163">
        <v>0</v>
      </c>
      <c r="X2122" s="137">
        <f>A2122+K2122+L2122+V2122+W2122</f>
        <v>46153.666030092594</v>
      </c>
    </row>
    <row r="2123" spans="1:24" s="243" customFormat="1" ht="25" customHeight="1" x14ac:dyDescent="0.35">
      <c r="A2123" s="192">
        <f t="shared" si="362"/>
        <v>46153.666030092594</v>
      </c>
      <c r="B2123" s="193">
        <v>46121</v>
      </c>
      <c r="C2123" s="194">
        <f t="shared" si="355"/>
        <v>-32.666030092594156</v>
      </c>
      <c r="D2123" s="193" t="s">
        <v>3221</v>
      </c>
      <c r="E2123" s="195" t="s">
        <v>2963</v>
      </c>
      <c r="F2123" s="196" t="s">
        <v>3222</v>
      </c>
      <c r="G2123" s="196" t="s">
        <v>1675</v>
      </c>
      <c r="H2123" s="113" t="s">
        <v>3223</v>
      </c>
      <c r="I2123" s="671" t="s">
        <v>3120</v>
      </c>
      <c r="J2123" s="114" t="s">
        <v>140</v>
      </c>
      <c r="K2123" s="482">
        <v>0</v>
      </c>
      <c r="L2123" s="482">
        <v>0</v>
      </c>
      <c r="M2123" s="199">
        <v>100</v>
      </c>
      <c r="N2123" s="483">
        <v>15000</v>
      </c>
      <c r="O2123" s="484">
        <v>1</v>
      </c>
      <c r="P2123" s="483">
        <v>7820</v>
      </c>
      <c r="Q2123" s="198">
        <v>0.8</v>
      </c>
      <c r="R2123" s="199">
        <v>3095</v>
      </c>
      <c r="S2123" s="116">
        <f t="shared" si="357"/>
        <v>4725</v>
      </c>
      <c r="T2123" s="200">
        <f t="shared" si="358"/>
        <v>691.2</v>
      </c>
      <c r="U2123" s="115">
        <f t="shared" si="359"/>
        <v>164.0625</v>
      </c>
      <c r="V2123" s="115">
        <f t="shared" si="360"/>
        <v>6.8359375</v>
      </c>
      <c r="W2123" s="115">
        <v>6</v>
      </c>
      <c r="X2123" s="201">
        <f t="shared" si="361"/>
        <v>46166.501967592594</v>
      </c>
    </row>
    <row r="2124" spans="1:24" s="89" customFormat="1" ht="25" customHeight="1" x14ac:dyDescent="0.35">
      <c r="A2124" s="271">
        <f t="shared" si="362"/>
        <v>46166.501967592594</v>
      </c>
      <c r="B2124" s="203">
        <v>46123</v>
      </c>
      <c r="C2124" s="286">
        <f t="shared" si="355"/>
        <v>-43.501967592594156</v>
      </c>
      <c r="D2124" s="203" t="s">
        <v>3221</v>
      </c>
      <c r="E2124" s="204" t="s">
        <v>2963</v>
      </c>
      <c r="F2124" s="205" t="s">
        <v>3222</v>
      </c>
      <c r="G2124" s="205" t="s">
        <v>1675</v>
      </c>
      <c r="H2124" s="206" t="s">
        <v>3223</v>
      </c>
      <c r="I2124" s="672" t="s">
        <v>4265</v>
      </c>
      <c r="J2124" s="310" t="s">
        <v>140</v>
      </c>
      <c r="K2124" s="208">
        <v>0</v>
      </c>
      <c r="L2124" s="208">
        <v>0</v>
      </c>
      <c r="M2124" s="209">
        <v>100</v>
      </c>
      <c r="N2124" s="210">
        <v>20</v>
      </c>
      <c r="O2124" s="486">
        <v>1</v>
      </c>
      <c r="P2124" s="210">
        <f t="shared" si="356"/>
        <v>20</v>
      </c>
      <c r="Q2124" s="293">
        <v>0.8</v>
      </c>
      <c r="R2124" s="209"/>
      <c r="S2124" s="290">
        <f t="shared" si="357"/>
        <v>20</v>
      </c>
      <c r="T2124" s="294">
        <f t="shared" si="358"/>
        <v>691.2</v>
      </c>
      <c r="U2124" s="289">
        <f t="shared" si="359"/>
        <v>0.69444444444444442</v>
      </c>
      <c r="V2124" s="289">
        <f t="shared" si="360"/>
        <v>2.8935185185185185E-2</v>
      </c>
      <c r="W2124" s="289">
        <v>0</v>
      </c>
      <c r="X2124" s="285">
        <f t="shared" si="361"/>
        <v>46166.530902777777</v>
      </c>
    </row>
    <row r="2125" spans="1:24" ht="25" customHeight="1" x14ac:dyDescent="0.35">
      <c r="A2125" s="271">
        <f t="shared" si="362"/>
        <v>46166.530902777777</v>
      </c>
      <c r="B2125" s="548">
        <v>46125</v>
      </c>
      <c r="C2125" s="576">
        <f t="shared" si="355"/>
        <v>-41.530902777776646</v>
      </c>
      <c r="D2125" s="203" t="s">
        <v>3221</v>
      </c>
      <c r="E2125" s="273" t="s">
        <v>2963</v>
      </c>
      <c r="F2125" s="673" t="s">
        <v>2674</v>
      </c>
      <c r="G2125" s="561" t="s">
        <v>398</v>
      </c>
      <c r="H2125" s="674" t="s">
        <v>3224</v>
      </c>
      <c r="I2125" s="675" t="s">
        <v>3130</v>
      </c>
      <c r="J2125" s="562" t="s">
        <v>140</v>
      </c>
      <c r="K2125" s="563">
        <v>0.25</v>
      </c>
      <c r="L2125" s="563">
        <v>0.2</v>
      </c>
      <c r="M2125" s="564">
        <v>200</v>
      </c>
      <c r="N2125" s="676">
        <v>432</v>
      </c>
      <c r="O2125" s="566">
        <v>1</v>
      </c>
      <c r="P2125" s="565">
        <f t="shared" si="356"/>
        <v>432</v>
      </c>
      <c r="Q2125" s="282">
        <v>0.8</v>
      </c>
      <c r="R2125" s="283"/>
      <c r="S2125" s="279">
        <f t="shared" si="357"/>
        <v>432</v>
      </c>
      <c r="T2125" s="284">
        <f t="shared" si="358"/>
        <v>345.6</v>
      </c>
      <c r="U2125" s="278">
        <f t="shared" si="359"/>
        <v>30</v>
      </c>
      <c r="V2125" s="278">
        <f t="shared" si="360"/>
        <v>1.25</v>
      </c>
      <c r="W2125" s="278">
        <v>0</v>
      </c>
      <c r="X2125" s="285">
        <f t="shared" si="361"/>
        <v>46168.230902777774</v>
      </c>
    </row>
    <row r="2126" spans="1:24" ht="25" customHeight="1" x14ac:dyDescent="0.35">
      <c r="A2126" s="548"/>
      <c r="B2126" s="548"/>
      <c r="C2126" s="576"/>
      <c r="D2126" s="272"/>
      <c r="E2126" s="273"/>
      <c r="F2126" s="673"/>
      <c r="G2126" s="561"/>
      <c r="H2126" s="674"/>
      <c r="I2126" s="675"/>
      <c r="J2126" s="562"/>
      <c r="K2126" s="563"/>
      <c r="L2126" s="563"/>
      <c r="M2126" s="564"/>
      <c r="N2126" s="676"/>
      <c r="O2126" s="566"/>
      <c r="P2126" s="565"/>
      <c r="Q2126" s="282"/>
      <c r="R2126" s="283"/>
      <c r="S2126" s="279"/>
      <c r="T2126" s="284"/>
      <c r="U2126" s="278"/>
      <c r="V2126" s="278"/>
      <c r="W2126" s="278"/>
      <c r="X2126" s="285"/>
    </row>
    <row r="2127" spans="1:24" ht="44.25" customHeight="1" x14ac:dyDescent="0.8">
      <c r="A2127" s="35" t="s">
        <v>3225</v>
      </c>
      <c r="B2127" s="35"/>
      <c r="C2127" s="35"/>
      <c r="D2127" s="35"/>
      <c r="E2127" s="36"/>
      <c r="F2127" s="213"/>
      <c r="G2127" s="213"/>
      <c r="H2127" s="311"/>
      <c r="I2127" s="214"/>
      <c r="J2127" s="40"/>
      <c r="K2127" s="41"/>
      <c r="L2127" s="41"/>
      <c r="M2127" s="42"/>
      <c r="N2127" s="43"/>
      <c r="O2127" s="312"/>
      <c r="P2127" s="44"/>
      <c r="Q2127" s="44"/>
      <c r="R2127" s="45"/>
      <c r="S2127" s="44"/>
      <c r="T2127" s="313"/>
      <c r="U2127" s="44"/>
      <c r="V2127" s="44"/>
      <c r="W2127" s="44"/>
      <c r="X2127" s="45"/>
    </row>
    <row r="2128" spans="1:24" s="118" customFormat="1" hidden="1" x14ac:dyDescent="0.35">
      <c r="A2128" s="71">
        <f>S7</f>
        <v>46153</v>
      </c>
      <c r="B2128" s="71"/>
      <c r="C2128" s="71"/>
      <c r="D2128" s="71"/>
      <c r="E2128" s="119" t="s">
        <v>134</v>
      </c>
      <c r="F2128" s="48" t="s">
        <v>920</v>
      </c>
      <c r="G2128" s="48"/>
      <c r="H2128" s="49">
        <v>7290</v>
      </c>
      <c r="I2128" s="82" t="s">
        <v>921</v>
      </c>
      <c r="J2128" s="100"/>
      <c r="K2128" s="84">
        <v>0</v>
      </c>
      <c r="L2128" s="84">
        <v>0</v>
      </c>
      <c r="M2128" s="83">
        <v>270</v>
      </c>
      <c r="N2128" s="223">
        <v>2000</v>
      </c>
      <c r="O2128" s="314">
        <v>1</v>
      </c>
      <c r="P2128" s="223">
        <v>2276</v>
      </c>
      <c r="Q2128" s="223"/>
      <c r="R2128" s="102">
        <v>2000</v>
      </c>
      <c r="S2128" s="83">
        <f t="shared" ref="S2128:S2182" si="363">P2128-R2128</f>
        <v>276</v>
      </c>
      <c r="T2128" s="315">
        <f t="shared" ref="T2128:T2191" si="364">((3600/M2128)*O2128)*24</f>
        <v>320</v>
      </c>
      <c r="U2128" s="84">
        <f t="shared" ref="U2128:U2191" si="365">(P2128-R2128)*M2128/3600</f>
        <v>20.7</v>
      </c>
      <c r="V2128" s="84">
        <f t="shared" ref="V2128:V2191" si="366">(P2128-R2128)*M2128/3600/24</f>
        <v>0.86249999999999993</v>
      </c>
      <c r="W2128" s="84">
        <v>0</v>
      </c>
      <c r="X2128" s="255">
        <f t="shared" ref="X2128:X2191" si="367">A2128+K2128+V2128+W2128+L2128</f>
        <v>46153.862500000003</v>
      </c>
    </row>
    <row r="2129" spans="1:24" s="118" customFormat="1" ht="29" hidden="1" x14ac:dyDescent="0.35">
      <c r="A2129" s="71">
        <f t="shared" ref="A2129:A2192" si="368">X2128</f>
        <v>46153.862500000003</v>
      </c>
      <c r="B2129" s="71"/>
      <c r="C2129" s="71"/>
      <c r="D2129" s="71"/>
      <c r="E2129" s="119" t="s">
        <v>134</v>
      </c>
      <c r="F2129" s="48" t="s">
        <v>55</v>
      </c>
      <c r="G2129" s="48"/>
      <c r="H2129" s="49">
        <v>7571</v>
      </c>
      <c r="I2129" s="106" t="s">
        <v>922</v>
      </c>
      <c r="J2129" s="100"/>
      <c r="K2129" s="84">
        <v>0</v>
      </c>
      <c r="L2129" s="84">
        <v>0</v>
      </c>
      <c r="M2129" s="83">
        <v>105</v>
      </c>
      <c r="N2129" s="223">
        <v>450</v>
      </c>
      <c r="O2129" s="314">
        <v>1</v>
      </c>
      <c r="P2129" s="223">
        <f>N2129/O2129</f>
        <v>450</v>
      </c>
      <c r="Q2129" s="223"/>
      <c r="R2129" s="102">
        <v>450</v>
      </c>
      <c r="S2129" s="83">
        <f t="shared" si="363"/>
        <v>0</v>
      </c>
      <c r="T2129" s="315">
        <f t="shared" si="364"/>
        <v>822.85714285714289</v>
      </c>
      <c r="U2129" s="84">
        <f t="shared" si="365"/>
        <v>0</v>
      </c>
      <c r="V2129" s="84">
        <f t="shared" si="366"/>
        <v>0</v>
      </c>
      <c r="W2129" s="84">
        <v>0</v>
      </c>
      <c r="X2129" s="255">
        <f t="shared" si="367"/>
        <v>46153.862500000003</v>
      </c>
    </row>
    <row r="2130" spans="1:24" s="118" customFormat="1" ht="29" hidden="1" x14ac:dyDescent="0.35">
      <c r="A2130" s="71">
        <f t="shared" si="368"/>
        <v>46153.862500000003</v>
      </c>
      <c r="B2130" s="71"/>
      <c r="C2130" s="71"/>
      <c r="D2130" s="71"/>
      <c r="E2130" s="119" t="s">
        <v>134</v>
      </c>
      <c r="F2130" s="48" t="s">
        <v>55</v>
      </c>
      <c r="G2130" s="48"/>
      <c r="H2130" s="49">
        <v>7572</v>
      </c>
      <c r="I2130" s="106" t="s">
        <v>923</v>
      </c>
      <c r="J2130" s="100"/>
      <c r="K2130" s="84">
        <v>0</v>
      </c>
      <c r="L2130" s="84">
        <v>0</v>
      </c>
      <c r="M2130" s="83">
        <v>105</v>
      </c>
      <c r="N2130" s="223">
        <v>72</v>
      </c>
      <c r="O2130" s="314">
        <v>1</v>
      </c>
      <c r="P2130" s="223">
        <f>N2130/O2130</f>
        <v>72</v>
      </c>
      <c r="Q2130" s="223"/>
      <c r="R2130" s="102">
        <v>72</v>
      </c>
      <c r="S2130" s="83">
        <f t="shared" si="363"/>
        <v>0</v>
      </c>
      <c r="T2130" s="315">
        <f t="shared" si="364"/>
        <v>822.85714285714289</v>
      </c>
      <c r="U2130" s="84">
        <f t="shared" si="365"/>
        <v>0</v>
      </c>
      <c r="V2130" s="84">
        <f t="shared" si="366"/>
        <v>0</v>
      </c>
      <c r="W2130" s="84">
        <v>0</v>
      </c>
      <c r="X2130" s="255">
        <f t="shared" si="367"/>
        <v>46153.862500000003</v>
      </c>
    </row>
    <row r="2131" spans="1:24" s="118" customFormat="1" ht="29" hidden="1" x14ac:dyDescent="0.35">
      <c r="A2131" s="71">
        <f t="shared" si="368"/>
        <v>46153.862500000003</v>
      </c>
      <c r="B2131" s="71"/>
      <c r="C2131" s="71"/>
      <c r="D2131" s="71"/>
      <c r="E2131" s="119" t="s">
        <v>134</v>
      </c>
      <c r="F2131" s="48" t="s">
        <v>55</v>
      </c>
      <c r="G2131" s="48"/>
      <c r="H2131" s="49">
        <v>7573</v>
      </c>
      <c r="I2131" s="106" t="s">
        <v>924</v>
      </c>
      <c r="J2131" s="100"/>
      <c r="K2131" s="84">
        <v>0</v>
      </c>
      <c r="L2131" s="84">
        <v>0</v>
      </c>
      <c r="M2131" s="83">
        <v>105</v>
      </c>
      <c r="N2131" s="223">
        <v>420</v>
      </c>
      <c r="O2131" s="314">
        <v>1</v>
      </c>
      <c r="P2131" s="223">
        <f>N2131/O2131</f>
        <v>420</v>
      </c>
      <c r="Q2131" s="223"/>
      <c r="R2131" s="102">
        <v>420</v>
      </c>
      <c r="S2131" s="83">
        <f t="shared" si="363"/>
        <v>0</v>
      </c>
      <c r="T2131" s="315">
        <f t="shared" si="364"/>
        <v>822.85714285714289</v>
      </c>
      <c r="U2131" s="84">
        <f t="shared" si="365"/>
        <v>0</v>
      </c>
      <c r="V2131" s="84">
        <f t="shared" si="366"/>
        <v>0</v>
      </c>
      <c r="W2131" s="84">
        <v>0</v>
      </c>
      <c r="X2131" s="255">
        <f t="shared" si="367"/>
        <v>46153.862500000003</v>
      </c>
    </row>
    <row r="2132" spans="1:24" s="118" customFormat="1" ht="29" hidden="1" x14ac:dyDescent="0.35">
      <c r="A2132" s="71">
        <f t="shared" si="368"/>
        <v>46153.862500000003</v>
      </c>
      <c r="B2132" s="71"/>
      <c r="C2132" s="71"/>
      <c r="D2132" s="71"/>
      <c r="E2132" s="119" t="s">
        <v>134</v>
      </c>
      <c r="F2132" s="48" t="s">
        <v>55</v>
      </c>
      <c r="G2132" s="48"/>
      <c r="H2132" s="49">
        <v>7574</v>
      </c>
      <c r="I2132" s="106" t="s">
        <v>925</v>
      </c>
      <c r="J2132" s="100"/>
      <c r="K2132" s="84">
        <v>0</v>
      </c>
      <c r="L2132" s="84">
        <v>0</v>
      </c>
      <c r="M2132" s="83">
        <v>105</v>
      </c>
      <c r="N2132" s="223">
        <v>420</v>
      </c>
      <c r="O2132" s="314">
        <v>1</v>
      </c>
      <c r="P2132" s="223">
        <f>N2132/O2132</f>
        <v>420</v>
      </c>
      <c r="Q2132" s="223"/>
      <c r="R2132" s="102">
        <v>420</v>
      </c>
      <c r="S2132" s="83">
        <f t="shared" si="363"/>
        <v>0</v>
      </c>
      <c r="T2132" s="315">
        <f t="shared" si="364"/>
        <v>822.85714285714289</v>
      </c>
      <c r="U2132" s="84">
        <f t="shared" si="365"/>
        <v>0</v>
      </c>
      <c r="V2132" s="84">
        <f t="shared" si="366"/>
        <v>0</v>
      </c>
      <c r="W2132" s="84">
        <v>0</v>
      </c>
      <c r="X2132" s="255">
        <f t="shared" si="367"/>
        <v>46153.862500000003</v>
      </c>
    </row>
    <row r="2133" spans="1:24" s="118" customFormat="1" hidden="1" x14ac:dyDescent="0.35">
      <c r="A2133" s="71">
        <f t="shared" si="368"/>
        <v>46153.862500000003</v>
      </c>
      <c r="B2133" s="71"/>
      <c r="C2133" s="71"/>
      <c r="D2133" s="71"/>
      <c r="E2133" s="119" t="s">
        <v>134</v>
      </c>
      <c r="F2133" s="48" t="s">
        <v>926</v>
      </c>
      <c r="G2133" s="48"/>
      <c r="H2133" s="49">
        <v>7415</v>
      </c>
      <c r="I2133" s="82" t="s">
        <v>419</v>
      </c>
      <c r="J2133" s="100"/>
      <c r="K2133" s="84">
        <v>0</v>
      </c>
      <c r="L2133" s="84">
        <v>0</v>
      </c>
      <c r="M2133" s="83">
        <v>106</v>
      </c>
      <c r="N2133" s="223">
        <v>4200</v>
      </c>
      <c r="O2133" s="314">
        <v>1</v>
      </c>
      <c r="P2133" s="223">
        <v>2000</v>
      </c>
      <c r="Q2133" s="223"/>
      <c r="R2133" s="102">
        <v>2000</v>
      </c>
      <c r="S2133" s="83">
        <f t="shared" si="363"/>
        <v>0</v>
      </c>
      <c r="T2133" s="315">
        <f t="shared" si="364"/>
        <v>815.09433962264154</v>
      </c>
      <c r="U2133" s="84">
        <f t="shared" si="365"/>
        <v>0</v>
      </c>
      <c r="V2133" s="84">
        <f t="shared" si="366"/>
        <v>0</v>
      </c>
      <c r="W2133" s="84">
        <v>0</v>
      </c>
      <c r="X2133" s="255">
        <f t="shared" si="367"/>
        <v>46153.862500000003</v>
      </c>
    </row>
    <row r="2134" spans="1:24" s="118" customFormat="1" hidden="1" x14ac:dyDescent="0.35">
      <c r="A2134" s="71">
        <f t="shared" si="368"/>
        <v>46153.862500000003</v>
      </c>
      <c r="B2134" s="71"/>
      <c r="C2134" s="71"/>
      <c r="D2134" s="71"/>
      <c r="E2134" s="119" t="s">
        <v>134</v>
      </c>
      <c r="F2134" s="48" t="s">
        <v>927</v>
      </c>
      <c r="G2134" s="48"/>
      <c r="H2134" s="49">
        <v>7602</v>
      </c>
      <c r="I2134" s="82" t="s">
        <v>921</v>
      </c>
      <c r="J2134" s="100"/>
      <c r="K2134" s="84">
        <v>0</v>
      </c>
      <c r="L2134" s="84">
        <v>0</v>
      </c>
      <c r="M2134" s="83">
        <v>270</v>
      </c>
      <c r="N2134" s="223">
        <v>2000</v>
      </c>
      <c r="O2134" s="314">
        <v>1</v>
      </c>
      <c r="P2134" s="223">
        <v>100</v>
      </c>
      <c r="Q2134" s="223"/>
      <c r="R2134" s="102">
        <v>100</v>
      </c>
      <c r="S2134" s="83">
        <f t="shared" si="363"/>
        <v>0</v>
      </c>
      <c r="T2134" s="315">
        <f t="shared" si="364"/>
        <v>320</v>
      </c>
      <c r="U2134" s="84">
        <f t="shared" si="365"/>
        <v>0</v>
      </c>
      <c r="V2134" s="84">
        <f t="shared" si="366"/>
        <v>0</v>
      </c>
      <c r="W2134" s="84">
        <v>0</v>
      </c>
      <c r="X2134" s="255">
        <f t="shared" si="367"/>
        <v>46153.862500000003</v>
      </c>
    </row>
    <row r="2135" spans="1:24" s="118" customFormat="1" hidden="1" x14ac:dyDescent="0.35">
      <c r="A2135" s="71">
        <f t="shared" si="368"/>
        <v>46153.862500000003</v>
      </c>
      <c r="B2135" s="71"/>
      <c r="C2135" s="71"/>
      <c r="D2135" s="71"/>
      <c r="E2135" s="119" t="s">
        <v>134</v>
      </c>
      <c r="F2135" s="48" t="s">
        <v>928</v>
      </c>
      <c r="G2135" s="48"/>
      <c r="H2135" s="49"/>
      <c r="I2135" s="106" t="s">
        <v>929</v>
      </c>
      <c r="J2135" s="100"/>
      <c r="K2135" s="84">
        <v>0</v>
      </c>
      <c r="L2135" s="84">
        <v>0</v>
      </c>
      <c r="M2135" s="83">
        <v>100</v>
      </c>
      <c r="N2135" s="223">
        <v>400</v>
      </c>
      <c r="O2135" s="314">
        <v>1</v>
      </c>
      <c r="P2135" s="223">
        <v>410</v>
      </c>
      <c r="Q2135" s="223"/>
      <c r="R2135" s="102">
        <v>400</v>
      </c>
      <c r="S2135" s="83">
        <f t="shared" si="363"/>
        <v>10</v>
      </c>
      <c r="T2135" s="315">
        <f t="shared" si="364"/>
        <v>864</v>
      </c>
      <c r="U2135" s="84">
        <f t="shared" si="365"/>
        <v>0.27777777777777779</v>
      </c>
      <c r="V2135" s="84">
        <f t="shared" si="366"/>
        <v>1.1574074074074075E-2</v>
      </c>
      <c r="W2135" s="84">
        <v>0</v>
      </c>
      <c r="X2135" s="255">
        <f t="shared" si="367"/>
        <v>46153.874074074076</v>
      </c>
    </row>
    <row r="2136" spans="1:24" s="118" customFormat="1" hidden="1" x14ac:dyDescent="0.35">
      <c r="A2136" s="71">
        <f t="shared" si="368"/>
        <v>46153.874074074076</v>
      </c>
      <c r="B2136" s="71"/>
      <c r="C2136" s="71"/>
      <c r="D2136" s="71"/>
      <c r="E2136" s="119" t="s">
        <v>134</v>
      </c>
      <c r="F2136" s="48" t="s">
        <v>65</v>
      </c>
      <c r="G2136" s="48"/>
      <c r="H2136" s="49" t="s">
        <v>930</v>
      </c>
      <c r="I2136" s="99" t="s">
        <v>931</v>
      </c>
      <c r="J2136" s="100"/>
      <c r="K2136" s="84">
        <v>0</v>
      </c>
      <c r="L2136" s="84">
        <v>0</v>
      </c>
      <c r="M2136" s="83">
        <v>90</v>
      </c>
      <c r="N2136" s="223">
        <v>500</v>
      </c>
      <c r="O2136" s="314">
        <v>1</v>
      </c>
      <c r="P2136" s="223">
        <v>509</v>
      </c>
      <c r="Q2136" s="223"/>
      <c r="R2136" s="102">
        <v>500</v>
      </c>
      <c r="S2136" s="83">
        <f t="shared" si="363"/>
        <v>9</v>
      </c>
      <c r="T2136" s="315">
        <f t="shared" si="364"/>
        <v>960</v>
      </c>
      <c r="U2136" s="84">
        <f t="shared" si="365"/>
        <v>0.22500000000000001</v>
      </c>
      <c r="V2136" s="84">
        <f t="shared" si="366"/>
        <v>9.3749999999999997E-3</v>
      </c>
      <c r="W2136" s="84">
        <v>0</v>
      </c>
      <c r="X2136" s="255">
        <f t="shared" si="367"/>
        <v>46153.883449074077</v>
      </c>
    </row>
    <row r="2137" spans="1:24" s="118" customFormat="1" hidden="1" x14ac:dyDescent="0.35">
      <c r="A2137" s="71">
        <f t="shared" si="368"/>
        <v>46153.883449074077</v>
      </c>
      <c r="B2137" s="71"/>
      <c r="C2137" s="71"/>
      <c r="D2137" s="71"/>
      <c r="E2137" s="119" t="s">
        <v>134</v>
      </c>
      <c r="F2137" s="48" t="s">
        <v>65</v>
      </c>
      <c r="G2137" s="48"/>
      <c r="H2137" s="49" t="s">
        <v>932</v>
      </c>
      <c r="I2137" s="82" t="s">
        <v>933</v>
      </c>
      <c r="J2137" s="100"/>
      <c r="K2137" s="84">
        <v>0</v>
      </c>
      <c r="L2137" s="84">
        <v>0</v>
      </c>
      <c r="M2137" s="83">
        <v>90</v>
      </c>
      <c r="N2137" s="223">
        <v>200</v>
      </c>
      <c r="O2137" s="314">
        <v>1</v>
      </c>
      <c r="P2137" s="223">
        <f>N2137/O2137</f>
        <v>200</v>
      </c>
      <c r="Q2137" s="223"/>
      <c r="R2137" s="102">
        <v>200</v>
      </c>
      <c r="S2137" s="83">
        <f t="shared" si="363"/>
        <v>0</v>
      </c>
      <c r="T2137" s="315">
        <f t="shared" si="364"/>
        <v>960</v>
      </c>
      <c r="U2137" s="84">
        <f t="shared" si="365"/>
        <v>0</v>
      </c>
      <c r="V2137" s="84">
        <f t="shared" si="366"/>
        <v>0</v>
      </c>
      <c r="W2137" s="84">
        <v>0</v>
      </c>
      <c r="X2137" s="255">
        <f t="shared" si="367"/>
        <v>46153.883449074077</v>
      </c>
    </row>
    <row r="2138" spans="1:24" s="118" customFormat="1" hidden="1" x14ac:dyDescent="0.35">
      <c r="A2138" s="71">
        <f t="shared" si="368"/>
        <v>46153.883449074077</v>
      </c>
      <c r="B2138" s="71"/>
      <c r="C2138" s="71"/>
      <c r="D2138" s="71"/>
      <c r="E2138" s="119" t="s">
        <v>134</v>
      </c>
      <c r="F2138" s="48" t="s">
        <v>70</v>
      </c>
      <c r="G2138" s="48"/>
      <c r="H2138" s="49"/>
      <c r="I2138" s="82" t="s">
        <v>934</v>
      </c>
      <c r="J2138" s="100"/>
      <c r="K2138" s="84">
        <v>0</v>
      </c>
      <c r="L2138" s="84">
        <v>0</v>
      </c>
      <c r="M2138" s="83">
        <v>90</v>
      </c>
      <c r="N2138" s="223">
        <v>20</v>
      </c>
      <c r="O2138" s="314">
        <v>1</v>
      </c>
      <c r="P2138" s="223">
        <f>N2138/O2138</f>
        <v>20</v>
      </c>
      <c r="Q2138" s="223"/>
      <c r="R2138" s="102">
        <v>20</v>
      </c>
      <c r="S2138" s="83">
        <f t="shared" si="363"/>
        <v>0</v>
      </c>
      <c r="T2138" s="315">
        <f t="shared" si="364"/>
        <v>960</v>
      </c>
      <c r="U2138" s="84">
        <f t="shared" si="365"/>
        <v>0</v>
      </c>
      <c r="V2138" s="84">
        <f t="shared" si="366"/>
        <v>0</v>
      </c>
      <c r="W2138" s="84">
        <v>0</v>
      </c>
      <c r="X2138" s="255">
        <f t="shared" si="367"/>
        <v>46153.883449074077</v>
      </c>
    </row>
    <row r="2139" spans="1:24" s="118" customFormat="1" hidden="1" x14ac:dyDescent="0.35">
      <c r="A2139" s="71">
        <f t="shared" si="368"/>
        <v>46153.883449074077</v>
      </c>
      <c r="B2139" s="71"/>
      <c r="C2139" s="71"/>
      <c r="D2139" s="71"/>
      <c r="E2139" s="119" t="s">
        <v>134</v>
      </c>
      <c r="F2139" s="48" t="s">
        <v>927</v>
      </c>
      <c r="G2139" s="48"/>
      <c r="H2139" s="49">
        <v>7602</v>
      </c>
      <c r="I2139" s="82" t="s">
        <v>921</v>
      </c>
      <c r="J2139" s="100"/>
      <c r="K2139" s="84">
        <v>0</v>
      </c>
      <c r="L2139" s="84">
        <v>0</v>
      </c>
      <c r="M2139" s="83">
        <v>270</v>
      </c>
      <c r="N2139" s="223">
        <v>2000</v>
      </c>
      <c r="O2139" s="314">
        <v>1</v>
      </c>
      <c r="P2139" s="223">
        <f>N2139/O2139</f>
        <v>2000</v>
      </c>
      <c r="Q2139" s="223"/>
      <c r="R2139" s="102">
        <v>2000</v>
      </c>
      <c r="S2139" s="83">
        <f t="shared" si="363"/>
        <v>0</v>
      </c>
      <c r="T2139" s="315">
        <f t="shared" si="364"/>
        <v>320</v>
      </c>
      <c r="U2139" s="84">
        <f t="shared" si="365"/>
        <v>0</v>
      </c>
      <c r="V2139" s="84">
        <f t="shared" si="366"/>
        <v>0</v>
      </c>
      <c r="W2139" s="84">
        <v>0</v>
      </c>
      <c r="X2139" s="255">
        <f t="shared" si="367"/>
        <v>46153.883449074077</v>
      </c>
    </row>
    <row r="2140" spans="1:24" s="118" customFormat="1" hidden="1" x14ac:dyDescent="0.35">
      <c r="A2140" s="71">
        <f t="shared" si="368"/>
        <v>46153.883449074077</v>
      </c>
      <c r="B2140" s="71"/>
      <c r="C2140" s="71"/>
      <c r="D2140" s="71"/>
      <c r="E2140" s="119" t="s">
        <v>134</v>
      </c>
      <c r="F2140" s="48" t="s">
        <v>935</v>
      </c>
      <c r="G2140" s="48"/>
      <c r="H2140" s="49">
        <v>7833</v>
      </c>
      <c r="I2140" s="82" t="s">
        <v>921</v>
      </c>
      <c r="J2140" s="100"/>
      <c r="K2140" s="84">
        <v>0</v>
      </c>
      <c r="L2140" s="84">
        <v>0</v>
      </c>
      <c r="M2140" s="83">
        <v>220</v>
      </c>
      <c r="N2140" s="223">
        <v>2000</v>
      </c>
      <c r="O2140" s="314">
        <v>1</v>
      </c>
      <c r="P2140" s="223">
        <v>2396</v>
      </c>
      <c r="Q2140" s="223"/>
      <c r="R2140" s="102">
        <v>2396</v>
      </c>
      <c r="S2140" s="83">
        <f t="shared" si="363"/>
        <v>0</v>
      </c>
      <c r="T2140" s="315">
        <f t="shared" si="364"/>
        <v>392.72727272727275</v>
      </c>
      <c r="U2140" s="84">
        <f t="shared" si="365"/>
        <v>0</v>
      </c>
      <c r="V2140" s="84">
        <f t="shared" si="366"/>
        <v>0</v>
      </c>
      <c r="W2140" s="84">
        <v>0</v>
      </c>
      <c r="X2140" s="255">
        <f t="shared" si="367"/>
        <v>46153.883449074077</v>
      </c>
    </row>
    <row r="2141" spans="1:24" s="118" customFormat="1" hidden="1" x14ac:dyDescent="0.35">
      <c r="A2141" s="71">
        <f t="shared" si="368"/>
        <v>46153.883449074077</v>
      </c>
      <c r="B2141" s="71"/>
      <c r="C2141" s="71"/>
      <c r="D2141" s="71"/>
      <c r="E2141" s="119" t="s">
        <v>134</v>
      </c>
      <c r="F2141" s="56" t="s">
        <v>936</v>
      </c>
      <c r="G2141" s="56"/>
      <c r="H2141" s="49">
        <v>7643</v>
      </c>
      <c r="I2141" s="99" t="s">
        <v>97</v>
      </c>
      <c r="J2141" s="100"/>
      <c r="K2141" s="84">
        <v>0</v>
      </c>
      <c r="L2141" s="84">
        <v>0</v>
      </c>
      <c r="M2141" s="83">
        <v>110</v>
      </c>
      <c r="N2141" s="223">
        <v>3000</v>
      </c>
      <c r="O2141" s="314">
        <v>1</v>
      </c>
      <c r="P2141" s="223">
        <v>3596</v>
      </c>
      <c r="Q2141" s="223"/>
      <c r="R2141" s="102">
        <v>3596</v>
      </c>
      <c r="S2141" s="83">
        <f t="shared" si="363"/>
        <v>0</v>
      </c>
      <c r="T2141" s="315">
        <f t="shared" si="364"/>
        <v>785.4545454545455</v>
      </c>
      <c r="U2141" s="84">
        <f t="shared" si="365"/>
        <v>0</v>
      </c>
      <c r="V2141" s="84">
        <f t="shared" si="366"/>
        <v>0</v>
      </c>
      <c r="W2141" s="84">
        <v>0</v>
      </c>
      <c r="X2141" s="255">
        <f t="shared" si="367"/>
        <v>46153.883449074077</v>
      </c>
    </row>
    <row r="2142" spans="1:24" s="118" customFormat="1" ht="29" hidden="1" x14ac:dyDescent="0.35">
      <c r="A2142" s="71">
        <f t="shared" si="368"/>
        <v>46153.883449074077</v>
      </c>
      <c r="B2142" s="71"/>
      <c r="C2142" s="71"/>
      <c r="D2142" s="71"/>
      <c r="E2142" s="119" t="s">
        <v>134</v>
      </c>
      <c r="F2142" s="48" t="s">
        <v>937</v>
      </c>
      <c r="G2142" s="48"/>
      <c r="H2142" s="49" t="s">
        <v>938</v>
      </c>
      <c r="I2142" s="82" t="s">
        <v>939</v>
      </c>
      <c r="J2142" s="100"/>
      <c r="K2142" s="84">
        <v>0</v>
      </c>
      <c r="L2142" s="84">
        <v>0</v>
      </c>
      <c r="M2142" s="83">
        <v>120</v>
      </c>
      <c r="N2142" s="223">
        <v>2000</v>
      </c>
      <c r="O2142" s="314">
        <v>2</v>
      </c>
      <c r="P2142" s="223">
        <v>1019</v>
      </c>
      <c r="Q2142" s="223"/>
      <c r="R2142" s="102">
        <v>1019</v>
      </c>
      <c r="S2142" s="83">
        <f t="shared" si="363"/>
        <v>0</v>
      </c>
      <c r="T2142" s="315">
        <f t="shared" si="364"/>
        <v>1440</v>
      </c>
      <c r="U2142" s="84">
        <f t="shared" si="365"/>
        <v>0</v>
      </c>
      <c r="V2142" s="84">
        <f t="shared" si="366"/>
        <v>0</v>
      </c>
      <c r="W2142" s="84">
        <v>0</v>
      </c>
      <c r="X2142" s="255">
        <f t="shared" si="367"/>
        <v>46153.883449074077</v>
      </c>
    </row>
    <row r="2143" spans="1:24" s="118" customFormat="1" hidden="1" x14ac:dyDescent="0.35">
      <c r="A2143" s="71">
        <f t="shared" si="368"/>
        <v>46153.883449074077</v>
      </c>
      <c r="B2143" s="71"/>
      <c r="C2143" s="71"/>
      <c r="D2143" s="71"/>
      <c r="E2143" s="119" t="s">
        <v>134</v>
      </c>
      <c r="F2143" s="48" t="s">
        <v>940</v>
      </c>
      <c r="G2143" s="48"/>
      <c r="H2143" s="49" t="s">
        <v>941</v>
      </c>
      <c r="I2143" s="82" t="s">
        <v>942</v>
      </c>
      <c r="J2143" s="100"/>
      <c r="K2143" s="84">
        <v>0</v>
      </c>
      <c r="L2143" s="84">
        <v>0</v>
      </c>
      <c r="M2143" s="83">
        <v>125</v>
      </c>
      <c r="N2143" s="223">
        <v>500</v>
      </c>
      <c r="O2143" s="314">
        <v>1</v>
      </c>
      <c r="P2143" s="223">
        <f>N2143/O2143</f>
        <v>500</v>
      </c>
      <c r="Q2143" s="223"/>
      <c r="R2143" s="102">
        <v>500</v>
      </c>
      <c r="S2143" s="83">
        <f t="shared" si="363"/>
        <v>0</v>
      </c>
      <c r="T2143" s="315">
        <f t="shared" si="364"/>
        <v>691.2</v>
      </c>
      <c r="U2143" s="84">
        <f t="shared" si="365"/>
        <v>0</v>
      </c>
      <c r="V2143" s="84">
        <f t="shared" si="366"/>
        <v>0</v>
      </c>
      <c r="W2143" s="84">
        <v>0</v>
      </c>
      <c r="X2143" s="255">
        <f t="shared" si="367"/>
        <v>46153.883449074077</v>
      </c>
    </row>
    <row r="2144" spans="1:24" s="118" customFormat="1" hidden="1" x14ac:dyDescent="0.35">
      <c r="A2144" s="71">
        <f t="shared" si="368"/>
        <v>46153.883449074077</v>
      </c>
      <c r="B2144" s="71"/>
      <c r="C2144" s="71"/>
      <c r="D2144" s="71"/>
      <c r="E2144" s="119" t="s">
        <v>134</v>
      </c>
      <c r="F2144" s="48" t="s">
        <v>940</v>
      </c>
      <c r="G2144" s="48"/>
      <c r="H2144" s="49" t="s">
        <v>943</v>
      </c>
      <c r="I2144" s="82" t="s">
        <v>944</v>
      </c>
      <c r="J2144" s="100"/>
      <c r="K2144" s="84">
        <v>0</v>
      </c>
      <c r="L2144" s="84">
        <v>0</v>
      </c>
      <c r="M2144" s="83">
        <v>100</v>
      </c>
      <c r="N2144" s="223">
        <v>500</v>
      </c>
      <c r="O2144" s="314">
        <v>1</v>
      </c>
      <c r="P2144" s="223">
        <f>N2144/O2144</f>
        <v>500</v>
      </c>
      <c r="Q2144" s="223"/>
      <c r="R2144" s="102">
        <v>500</v>
      </c>
      <c r="S2144" s="83">
        <f t="shared" si="363"/>
        <v>0</v>
      </c>
      <c r="T2144" s="315">
        <f t="shared" si="364"/>
        <v>864</v>
      </c>
      <c r="U2144" s="84">
        <f t="shared" si="365"/>
        <v>0</v>
      </c>
      <c r="V2144" s="84">
        <f t="shared" si="366"/>
        <v>0</v>
      </c>
      <c r="W2144" s="84">
        <v>0</v>
      </c>
      <c r="X2144" s="255">
        <f t="shared" si="367"/>
        <v>46153.883449074077</v>
      </c>
    </row>
    <row r="2145" spans="1:24" s="118" customFormat="1" hidden="1" x14ac:dyDescent="0.35">
      <c r="A2145" s="71">
        <f t="shared" si="368"/>
        <v>46153.883449074077</v>
      </c>
      <c r="B2145" s="71"/>
      <c r="C2145" s="71"/>
      <c r="D2145" s="71"/>
      <c r="E2145" s="119" t="s">
        <v>134</v>
      </c>
      <c r="F2145" s="48" t="s">
        <v>945</v>
      </c>
      <c r="G2145" s="48"/>
      <c r="H2145" s="49" t="s">
        <v>946</v>
      </c>
      <c r="I2145" s="82" t="s">
        <v>947</v>
      </c>
      <c r="J2145" s="100"/>
      <c r="K2145" s="84">
        <v>0</v>
      </c>
      <c r="L2145" s="84">
        <v>0</v>
      </c>
      <c r="M2145" s="83">
        <v>90</v>
      </c>
      <c r="N2145" s="223">
        <v>5000</v>
      </c>
      <c r="O2145" s="314">
        <v>1</v>
      </c>
      <c r="P2145" s="223">
        <v>5312</v>
      </c>
      <c r="Q2145" s="223"/>
      <c r="R2145" s="102">
        <v>5312</v>
      </c>
      <c r="S2145" s="83">
        <f t="shared" si="363"/>
        <v>0</v>
      </c>
      <c r="T2145" s="315">
        <f t="shared" si="364"/>
        <v>960</v>
      </c>
      <c r="U2145" s="84">
        <f t="shared" si="365"/>
        <v>0</v>
      </c>
      <c r="V2145" s="84">
        <f t="shared" si="366"/>
        <v>0</v>
      </c>
      <c r="W2145" s="84">
        <v>0</v>
      </c>
      <c r="X2145" s="255">
        <f t="shared" si="367"/>
        <v>46153.883449074077</v>
      </c>
    </row>
    <row r="2146" spans="1:24" s="118" customFormat="1" ht="29" hidden="1" x14ac:dyDescent="0.35">
      <c r="A2146" s="71">
        <f t="shared" si="368"/>
        <v>46153.883449074077</v>
      </c>
      <c r="B2146" s="71"/>
      <c r="C2146" s="71"/>
      <c r="D2146" s="71"/>
      <c r="E2146" s="119" t="s">
        <v>134</v>
      </c>
      <c r="F2146" s="57" t="s">
        <v>948</v>
      </c>
      <c r="G2146" s="57"/>
      <c r="H2146" s="49" t="s">
        <v>949</v>
      </c>
      <c r="I2146" s="99" t="s">
        <v>950</v>
      </c>
      <c r="J2146" s="100"/>
      <c r="K2146" s="84">
        <v>0</v>
      </c>
      <c r="L2146" s="84">
        <v>0</v>
      </c>
      <c r="M2146" s="83">
        <v>100</v>
      </c>
      <c r="N2146" s="223">
        <v>4850</v>
      </c>
      <c r="O2146" s="314">
        <v>1</v>
      </c>
      <c r="P2146" s="223">
        <v>5509</v>
      </c>
      <c r="Q2146" s="223"/>
      <c r="R2146" s="102">
        <v>5509</v>
      </c>
      <c r="S2146" s="83">
        <f t="shared" si="363"/>
        <v>0</v>
      </c>
      <c r="T2146" s="315">
        <f t="shared" si="364"/>
        <v>864</v>
      </c>
      <c r="U2146" s="84">
        <f t="shared" si="365"/>
        <v>0</v>
      </c>
      <c r="V2146" s="84">
        <f t="shared" si="366"/>
        <v>0</v>
      </c>
      <c r="W2146" s="84">
        <v>0</v>
      </c>
      <c r="X2146" s="255">
        <f t="shared" si="367"/>
        <v>46153.883449074077</v>
      </c>
    </row>
    <row r="2147" spans="1:24" s="118" customFormat="1" ht="29" hidden="1" x14ac:dyDescent="0.35">
      <c r="A2147" s="71">
        <f t="shared" si="368"/>
        <v>46153.883449074077</v>
      </c>
      <c r="B2147" s="71"/>
      <c r="C2147" s="71"/>
      <c r="D2147" s="71"/>
      <c r="E2147" s="119" t="s">
        <v>134</v>
      </c>
      <c r="F2147" s="57" t="s">
        <v>951</v>
      </c>
      <c r="G2147" s="57"/>
      <c r="H2147" s="49" t="s">
        <v>952</v>
      </c>
      <c r="I2147" s="99" t="s">
        <v>953</v>
      </c>
      <c r="J2147" s="100"/>
      <c r="K2147" s="84">
        <v>0</v>
      </c>
      <c r="L2147" s="84">
        <v>0</v>
      </c>
      <c r="M2147" s="83">
        <v>100</v>
      </c>
      <c r="N2147" s="223">
        <v>5850</v>
      </c>
      <c r="O2147" s="314">
        <v>1</v>
      </c>
      <c r="P2147" s="223">
        <v>720</v>
      </c>
      <c r="Q2147" s="223"/>
      <c r="R2147" s="102">
        <v>720</v>
      </c>
      <c r="S2147" s="83">
        <f t="shared" si="363"/>
        <v>0</v>
      </c>
      <c r="T2147" s="315">
        <f t="shared" si="364"/>
        <v>864</v>
      </c>
      <c r="U2147" s="84">
        <f t="shared" si="365"/>
        <v>0</v>
      </c>
      <c r="V2147" s="84">
        <f t="shared" si="366"/>
        <v>0</v>
      </c>
      <c r="W2147" s="84">
        <v>0</v>
      </c>
      <c r="X2147" s="255">
        <f t="shared" si="367"/>
        <v>46153.883449074077</v>
      </c>
    </row>
    <row r="2148" spans="1:24" s="118" customFormat="1" hidden="1" x14ac:dyDescent="0.35">
      <c r="A2148" s="71">
        <f t="shared" si="368"/>
        <v>46153.883449074077</v>
      </c>
      <c r="B2148" s="71"/>
      <c r="C2148" s="71"/>
      <c r="D2148" s="71"/>
      <c r="E2148" s="119" t="s">
        <v>134</v>
      </c>
      <c r="F2148" s="48" t="s">
        <v>104</v>
      </c>
      <c r="G2148" s="48"/>
      <c r="H2148" s="49" t="s">
        <v>954</v>
      </c>
      <c r="I2148" s="82" t="s">
        <v>921</v>
      </c>
      <c r="J2148" s="100"/>
      <c r="K2148" s="84">
        <v>0</v>
      </c>
      <c r="L2148" s="84">
        <v>0</v>
      </c>
      <c r="M2148" s="83">
        <v>220</v>
      </c>
      <c r="N2148" s="223">
        <v>1500</v>
      </c>
      <c r="O2148" s="314">
        <v>1</v>
      </c>
      <c r="P2148" s="223">
        <v>1553</v>
      </c>
      <c r="Q2148" s="223"/>
      <c r="R2148" s="102">
        <v>1553</v>
      </c>
      <c r="S2148" s="83">
        <f t="shared" si="363"/>
        <v>0</v>
      </c>
      <c r="T2148" s="315">
        <f t="shared" si="364"/>
        <v>392.72727272727275</v>
      </c>
      <c r="U2148" s="84">
        <f t="shared" si="365"/>
        <v>0</v>
      </c>
      <c r="V2148" s="84">
        <f t="shared" si="366"/>
        <v>0</v>
      </c>
      <c r="W2148" s="84">
        <v>0</v>
      </c>
      <c r="X2148" s="255">
        <f t="shared" si="367"/>
        <v>46153.883449074077</v>
      </c>
    </row>
    <row r="2149" spans="1:24" s="118" customFormat="1" hidden="1" x14ac:dyDescent="0.35">
      <c r="A2149" s="71">
        <f t="shared" si="368"/>
        <v>46153.883449074077</v>
      </c>
      <c r="B2149" s="71"/>
      <c r="C2149" s="71"/>
      <c r="D2149" s="71"/>
      <c r="E2149" s="119" t="s">
        <v>134</v>
      </c>
      <c r="F2149" s="57" t="s">
        <v>955</v>
      </c>
      <c r="G2149" s="57"/>
      <c r="H2149" s="49" t="s">
        <v>952</v>
      </c>
      <c r="I2149" s="99" t="s">
        <v>953</v>
      </c>
      <c r="J2149" s="100"/>
      <c r="K2149" s="84">
        <v>0</v>
      </c>
      <c r="L2149" s="84">
        <v>0</v>
      </c>
      <c r="M2149" s="83">
        <v>100</v>
      </c>
      <c r="N2149" s="223">
        <v>5150</v>
      </c>
      <c r="O2149" s="314">
        <v>1</v>
      </c>
      <c r="P2149" s="223">
        <f t="shared" ref="P2149:P2185" si="369">N2149/O2149</f>
        <v>5150</v>
      </c>
      <c r="Q2149" s="223"/>
      <c r="R2149" s="102">
        <v>5150</v>
      </c>
      <c r="S2149" s="83">
        <f t="shared" si="363"/>
        <v>0</v>
      </c>
      <c r="T2149" s="315">
        <f t="shared" si="364"/>
        <v>864</v>
      </c>
      <c r="U2149" s="84">
        <f t="shared" si="365"/>
        <v>0</v>
      </c>
      <c r="V2149" s="84">
        <f t="shared" si="366"/>
        <v>0</v>
      </c>
      <c r="W2149" s="84">
        <v>0</v>
      </c>
      <c r="X2149" s="255">
        <f t="shared" si="367"/>
        <v>46153.883449074077</v>
      </c>
    </row>
    <row r="2150" spans="1:24" s="118" customFormat="1" hidden="1" x14ac:dyDescent="0.35">
      <c r="A2150" s="71">
        <f t="shared" si="368"/>
        <v>46153.883449074077</v>
      </c>
      <c r="B2150" s="71"/>
      <c r="C2150" s="71"/>
      <c r="D2150" s="71"/>
      <c r="E2150" s="119" t="s">
        <v>134</v>
      </c>
      <c r="F2150" s="48" t="s">
        <v>414</v>
      </c>
      <c r="G2150" s="48"/>
      <c r="H2150" s="49" t="s">
        <v>956</v>
      </c>
      <c r="I2150" s="82" t="s">
        <v>921</v>
      </c>
      <c r="J2150" s="100"/>
      <c r="K2150" s="84">
        <v>0</v>
      </c>
      <c r="L2150" s="84">
        <v>0</v>
      </c>
      <c r="M2150" s="83">
        <v>220</v>
      </c>
      <c r="N2150" s="223">
        <v>1500</v>
      </c>
      <c r="O2150" s="314">
        <v>1</v>
      </c>
      <c r="P2150" s="223">
        <f t="shared" si="369"/>
        <v>1500</v>
      </c>
      <c r="Q2150" s="223"/>
      <c r="R2150" s="102">
        <v>1500</v>
      </c>
      <c r="S2150" s="83">
        <f t="shared" si="363"/>
        <v>0</v>
      </c>
      <c r="T2150" s="315">
        <f t="shared" si="364"/>
        <v>392.72727272727275</v>
      </c>
      <c r="U2150" s="84">
        <f t="shared" si="365"/>
        <v>0</v>
      </c>
      <c r="V2150" s="84">
        <f t="shared" si="366"/>
        <v>0</v>
      </c>
      <c r="W2150" s="84">
        <v>0</v>
      </c>
      <c r="X2150" s="255">
        <f t="shared" si="367"/>
        <v>46153.883449074077</v>
      </c>
    </row>
    <row r="2151" spans="1:24" s="118" customFormat="1" hidden="1" x14ac:dyDescent="0.35">
      <c r="A2151" s="71">
        <f t="shared" si="368"/>
        <v>46153.883449074077</v>
      </c>
      <c r="B2151" s="71"/>
      <c r="C2151" s="71"/>
      <c r="D2151" s="71"/>
      <c r="E2151" s="119" t="s">
        <v>134</v>
      </c>
      <c r="F2151" s="48" t="s">
        <v>104</v>
      </c>
      <c r="G2151" s="48"/>
      <c r="H2151" s="49" t="s">
        <v>957</v>
      </c>
      <c r="I2151" s="99" t="s">
        <v>495</v>
      </c>
      <c r="J2151" s="100"/>
      <c r="K2151" s="84">
        <v>0</v>
      </c>
      <c r="L2151" s="84">
        <v>0</v>
      </c>
      <c r="M2151" s="83">
        <v>65</v>
      </c>
      <c r="N2151" s="223">
        <v>200</v>
      </c>
      <c r="O2151" s="314">
        <v>1</v>
      </c>
      <c r="P2151" s="223">
        <f t="shared" si="369"/>
        <v>200</v>
      </c>
      <c r="Q2151" s="223"/>
      <c r="R2151" s="102">
        <v>200</v>
      </c>
      <c r="S2151" s="83">
        <f t="shared" si="363"/>
        <v>0</v>
      </c>
      <c r="T2151" s="315">
        <f t="shared" si="364"/>
        <v>1329.2307692307693</v>
      </c>
      <c r="U2151" s="84">
        <f t="shared" si="365"/>
        <v>0</v>
      </c>
      <c r="V2151" s="84">
        <f t="shared" si="366"/>
        <v>0</v>
      </c>
      <c r="W2151" s="84">
        <v>0</v>
      </c>
      <c r="X2151" s="255">
        <f t="shared" si="367"/>
        <v>46153.883449074077</v>
      </c>
    </row>
    <row r="2152" spans="1:24" s="118" customFormat="1" hidden="1" x14ac:dyDescent="0.35">
      <c r="A2152" s="71">
        <f t="shared" si="368"/>
        <v>46153.883449074077</v>
      </c>
      <c r="B2152" s="71"/>
      <c r="C2152" s="71"/>
      <c r="D2152" s="71"/>
      <c r="E2152" s="119" t="s">
        <v>134</v>
      </c>
      <c r="F2152" s="48" t="s">
        <v>104</v>
      </c>
      <c r="G2152" s="48"/>
      <c r="H2152" s="49" t="s">
        <v>958</v>
      </c>
      <c r="I2152" s="316" t="s">
        <v>486</v>
      </c>
      <c r="J2152" s="100"/>
      <c r="K2152" s="84">
        <v>0</v>
      </c>
      <c r="L2152" s="84">
        <v>0</v>
      </c>
      <c r="M2152" s="83">
        <v>65</v>
      </c>
      <c r="N2152" s="223">
        <v>700</v>
      </c>
      <c r="O2152" s="314">
        <v>1</v>
      </c>
      <c r="P2152" s="223">
        <f t="shared" si="369"/>
        <v>700</v>
      </c>
      <c r="Q2152" s="223"/>
      <c r="R2152" s="102">
        <v>700</v>
      </c>
      <c r="S2152" s="83">
        <f t="shared" si="363"/>
        <v>0</v>
      </c>
      <c r="T2152" s="315">
        <f t="shared" si="364"/>
        <v>1329.2307692307693</v>
      </c>
      <c r="U2152" s="84">
        <f t="shared" si="365"/>
        <v>0</v>
      </c>
      <c r="V2152" s="84">
        <f t="shared" si="366"/>
        <v>0</v>
      </c>
      <c r="W2152" s="84">
        <v>0</v>
      </c>
      <c r="X2152" s="255">
        <f t="shared" si="367"/>
        <v>46153.883449074077</v>
      </c>
    </row>
    <row r="2153" spans="1:24" s="118" customFormat="1" hidden="1" x14ac:dyDescent="0.35">
      <c r="A2153" s="71">
        <f t="shared" si="368"/>
        <v>46153.883449074077</v>
      </c>
      <c r="B2153" s="71"/>
      <c r="C2153" s="71"/>
      <c r="D2153" s="71"/>
      <c r="E2153" s="119" t="s">
        <v>134</v>
      </c>
      <c r="F2153" s="48" t="s">
        <v>959</v>
      </c>
      <c r="G2153" s="48"/>
      <c r="H2153" s="49" t="s">
        <v>960</v>
      </c>
      <c r="I2153" s="82" t="s">
        <v>961</v>
      </c>
      <c r="J2153" s="100"/>
      <c r="K2153" s="84">
        <v>0</v>
      </c>
      <c r="L2153" s="84">
        <v>0</v>
      </c>
      <c r="M2153" s="83">
        <v>90</v>
      </c>
      <c r="N2153" s="223">
        <v>500</v>
      </c>
      <c r="O2153" s="314">
        <v>1</v>
      </c>
      <c r="P2153" s="223">
        <f t="shared" si="369"/>
        <v>500</v>
      </c>
      <c r="Q2153" s="223"/>
      <c r="R2153" s="102">
        <v>500</v>
      </c>
      <c r="S2153" s="83">
        <f t="shared" si="363"/>
        <v>0</v>
      </c>
      <c r="T2153" s="315">
        <f t="shared" si="364"/>
        <v>960</v>
      </c>
      <c r="U2153" s="84">
        <f t="shared" si="365"/>
        <v>0</v>
      </c>
      <c r="V2153" s="84">
        <f t="shared" si="366"/>
        <v>0</v>
      </c>
      <c r="W2153" s="84">
        <v>0</v>
      </c>
      <c r="X2153" s="255">
        <f t="shared" si="367"/>
        <v>46153.883449074077</v>
      </c>
    </row>
    <row r="2154" spans="1:24" s="118" customFormat="1" hidden="1" x14ac:dyDescent="0.35">
      <c r="A2154" s="71">
        <f t="shared" si="368"/>
        <v>46153.883449074077</v>
      </c>
      <c r="B2154" s="71"/>
      <c r="C2154" s="71"/>
      <c r="D2154" s="71"/>
      <c r="E2154" s="119" t="s">
        <v>134</v>
      </c>
      <c r="F2154" s="48" t="s">
        <v>962</v>
      </c>
      <c r="G2154" s="48"/>
      <c r="H2154" s="49" t="s">
        <v>963</v>
      </c>
      <c r="I2154" s="82" t="s">
        <v>964</v>
      </c>
      <c r="J2154" s="100"/>
      <c r="K2154" s="84">
        <v>0</v>
      </c>
      <c r="L2154" s="84">
        <v>0</v>
      </c>
      <c r="M2154" s="83">
        <v>90</v>
      </c>
      <c r="N2154" s="223">
        <v>500</v>
      </c>
      <c r="O2154" s="314">
        <v>1</v>
      </c>
      <c r="P2154" s="223">
        <f t="shared" si="369"/>
        <v>500</v>
      </c>
      <c r="Q2154" s="223"/>
      <c r="R2154" s="102">
        <v>500</v>
      </c>
      <c r="S2154" s="83">
        <f t="shared" si="363"/>
        <v>0</v>
      </c>
      <c r="T2154" s="315">
        <f t="shared" si="364"/>
        <v>960</v>
      </c>
      <c r="U2154" s="84">
        <f t="shared" si="365"/>
        <v>0</v>
      </c>
      <c r="V2154" s="84">
        <f t="shared" si="366"/>
        <v>0</v>
      </c>
      <c r="W2154" s="84">
        <v>0</v>
      </c>
      <c r="X2154" s="255">
        <f t="shared" si="367"/>
        <v>46153.883449074077</v>
      </c>
    </row>
    <row r="2155" spans="1:24" s="118" customFormat="1" hidden="1" x14ac:dyDescent="0.35">
      <c r="A2155" s="71">
        <f t="shared" si="368"/>
        <v>46153.883449074077</v>
      </c>
      <c r="B2155" s="71"/>
      <c r="C2155" s="71"/>
      <c r="D2155" s="71"/>
      <c r="E2155" s="119" t="s">
        <v>134</v>
      </c>
      <c r="F2155" s="48" t="s">
        <v>113</v>
      </c>
      <c r="G2155" s="48"/>
      <c r="H2155" s="49" t="s">
        <v>965</v>
      </c>
      <c r="I2155" s="82" t="s">
        <v>966</v>
      </c>
      <c r="J2155" s="100"/>
      <c r="K2155" s="84">
        <v>0</v>
      </c>
      <c r="L2155" s="84">
        <v>0</v>
      </c>
      <c r="M2155" s="83">
        <v>95</v>
      </c>
      <c r="N2155" s="223">
        <v>4274</v>
      </c>
      <c r="O2155" s="314">
        <v>1</v>
      </c>
      <c r="P2155" s="223">
        <f t="shared" si="369"/>
        <v>4274</v>
      </c>
      <c r="Q2155" s="223"/>
      <c r="R2155" s="102">
        <v>4274</v>
      </c>
      <c r="S2155" s="83">
        <f t="shared" si="363"/>
        <v>0</v>
      </c>
      <c r="T2155" s="315">
        <f t="shared" si="364"/>
        <v>909.47368421052624</v>
      </c>
      <c r="U2155" s="84">
        <f t="shared" si="365"/>
        <v>0</v>
      </c>
      <c r="V2155" s="84">
        <f t="shared" si="366"/>
        <v>0</v>
      </c>
      <c r="W2155" s="84">
        <v>0</v>
      </c>
      <c r="X2155" s="255">
        <f t="shared" si="367"/>
        <v>46153.883449074077</v>
      </c>
    </row>
    <row r="2156" spans="1:24" s="118" customFormat="1" hidden="1" x14ac:dyDescent="0.35">
      <c r="A2156" s="71">
        <f t="shared" si="368"/>
        <v>46153.883449074077</v>
      </c>
      <c r="B2156" s="71"/>
      <c r="C2156" s="71"/>
      <c r="D2156" s="71"/>
      <c r="E2156" s="119" t="s">
        <v>134</v>
      </c>
      <c r="F2156" s="62" t="s">
        <v>135</v>
      </c>
      <c r="G2156" s="62"/>
      <c r="H2156" s="63" t="s">
        <v>967</v>
      </c>
      <c r="I2156" s="69" t="s">
        <v>968</v>
      </c>
      <c r="J2156" s="77"/>
      <c r="K2156" s="84">
        <v>0</v>
      </c>
      <c r="L2156" s="84">
        <v>0</v>
      </c>
      <c r="M2156" s="83">
        <v>90</v>
      </c>
      <c r="N2156" s="320">
        <v>200</v>
      </c>
      <c r="O2156" s="314">
        <v>1</v>
      </c>
      <c r="P2156" s="223">
        <f t="shared" si="369"/>
        <v>200</v>
      </c>
      <c r="Q2156" s="223"/>
      <c r="R2156" s="101">
        <v>200</v>
      </c>
      <c r="S2156" s="83">
        <f t="shared" si="363"/>
        <v>0</v>
      </c>
      <c r="T2156" s="315">
        <f t="shared" si="364"/>
        <v>960</v>
      </c>
      <c r="U2156" s="84">
        <f t="shared" si="365"/>
        <v>0</v>
      </c>
      <c r="V2156" s="84">
        <f t="shared" si="366"/>
        <v>0</v>
      </c>
      <c r="W2156" s="84">
        <v>0</v>
      </c>
      <c r="X2156" s="255">
        <f t="shared" si="367"/>
        <v>46153.883449074077</v>
      </c>
    </row>
    <row r="2157" spans="1:24" s="118" customFormat="1" hidden="1" x14ac:dyDescent="0.35">
      <c r="A2157" s="71">
        <f t="shared" si="368"/>
        <v>46153.883449074077</v>
      </c>
      <c r="B2157" s="71"/>
      <c r="C2157" s="71"/>
      <c r="D2157" s="71"/>
      <c r="E2157" s="119" t="s">
        <v>134</v>
      </c>
      <c r="F2157" s="62" t="s">
        <v>135</v>
      </c>
      <c r="G2157" s="62"/>
      <c r="H2157" s="63" t="s">
        <v>969</v>
      </c>
      <c r="I2157" s="69" t="s">
        <v>970</v>
      </c>
      <c r="J2157" s="77"/>
      <c r="K2157" s="84">
        <v>0</v>
      </c>
      <c r="L2157" s="84">
        <v>0</v>
      </c>
      <c r="M2157" s="83">
        <v>90</v>
      </c>
      <c r="N2157" s="320">
        <v>200</v>
      </c>
      <c r="O2157" s="314">
        <v>1</v>
      </c>
      <c r="P2157" s="223">
        <f t="shared" si="369"/>
        <v>200</v>
      </c>
      <c r="Q2157" s="223"/>
      <c r="R2157" s="101">
        <v>200</v>
      </c>
      <c r="S2157" s="83">
        <f t="shared" si="363"/>
        <v>0</v>
      </c>
      <c r="T2157" s="315">
        <f t="shared" si="364"/>
        <v>960</v>
      </c>
      <c r="U2157" s="84">
        <f t="shared" si="365"/>
        <v>0</v>
      </c>
      <c r="V2157" s="84">
        <f t="shared" si="366"/>
        <v>0</v>
      </c>
      <c r="W2157" s="84"/>
      <c r="X2157" s="255">
        <f t="shared" si="367"/>
        <v>46153.883449074077</v>
      </c>
    </row>
    <row r="2158" spans="1:24" s="118" customFormat="1" hidden="1" x14ac:dyDescent="0.35">
      <c r="A2158" s="71">
        <f t="shared" si="368"/>
        <v>46153.883449074077</v>
      </c>
      <c r="B2158" s="71"/>
      <c r="C2158" s="71"/>
      <c r="D2158" s="71"/>
      <c r="E2158" s="119" t="s">
        <v>134</v>
      </c>
      <c r="F2158" s="62" t="s">
        <v>135</v>
      </c>
      <c r="G2158" s="62"/>
      <c r="H2158" s="63" t="s">
        <v>971</v>
      </c>
      <c r="I2158" s="69" t="s">
        <v>972</v>
      </c>
      <c r="J2158" s="77"/>
      <c r="K2158" s="84">
        <v>0</v>
      </c>
      <c r="L2158" s="84">
        <v>0</v>
      </c>
      <c r="M2158" s="83">
        <v>90</v>
      </c>
      <c r="N2158" s="320">
        <v>200</v>
      </c>
      <c r="O2158" s="314">
        <v>1</v>
      </c>
      <c r="P2158" s="223">
        <f t="shared" si="369"/>
        <v>200</v>
      </c>
      <c r="Q2158" s="223"/>
      <c r="R2158" s="101">
        <v>200</v>
      </c>
      <c r="S2158" s="83">
        <f t="shared" si="363"/>
        <v>0</v>
      </c>
      <c r="T2158" s="315">
        <f t="shared" si="364"/>
        <v>960</v>
      </c>
      <c r="U2158" s="84">
        <f t="shared" si="365"/>
        <v>0</v>
      </c>
      <c r="V2158" s="84">
        <f t="shared" si="366"/>
        <v>0</v>
      </c>
      <c r="W2158" s="84"/>
      <c r="X2158" s="255">
        <f t="shared" si="367"/>
        <v>46153.883449074077</v>
      </c>
    </row>
    <row r="2159" spans="1:24" s="118" customFormat="1" hidden="1" x14ac:dyDescent="0.35">
      <c r="A2159" s="71">
        <f t="shared" si="368"/>
        <v>46153.883449074077</v>
      </c>
      <c r="B2159" s="71"/>
      <c r="C2159" s="71"/>
      <c r="D2159" s="71"/>
      <c r="E2159" s="119" t="s">
        <v>134</v>
      </c>
      <c r="F2159" s="62" t="s">
        <v>135</v>
      </c>
      <c r="G2159" s="62"/>
      <c r="H2159" s="63" t="s">
        <v>973</v>
      </c>
      <c r="I2159" s="69" t="s">
        <v>974</v>
      </c>
      <c r="J2159" s="77"/>
      <c r="K2159" s="84">
        <v>0</v>
      </c>
      <c r="L2159" s="84">
        <v>0</v>
      </c>
      <c r="M2159" s="83">
        <v>90</v>
      </c>
      <c r="N2159" s="320">
        <v>500</v>
      </c>
      <c r="O2159" s="314">
        <v>1</v>
      </c>
      <c r="P2159" s="223">
        <f t="shared" si="369"/>
        <v>500</v>
      </c>
      <c r="Q2159" s="223"/>
      <c r="R2159" s="101">
        <v>500</v>
      </c>
      <c r="S2159" s="83">
        <f t="shared" si="363"/>
        <v>0</v>
      </c>
      <c r="T2159" s="315">
        <f t="shared" si="364"/>
        <v>960</v>
      </c>
      <c r="U2159" s="84">
        <f t="shared" si="365"/>
        <v>0</v>
      </c>
      <c r="V2159" s="84">
        <f t="shared" si="366"/>
        <v>0</v>
      </c>
      <c r="W2159" s="84"/>
      <c r="X2159" s="255">
        <f t="shared" si="367"/>
        <v>46153.883449074077</v>
      </c>
    </row>
    <row r="2160" spans="1:24" s="118" customFormat="1" hidden="1" x14ac:dyDescent="0.35">
      <c r="A2160" s="71">
        <f t="shared" si="368"/>
        <v>46153.883449074077</v>
      </c>
      <c r="B2160" s="71"/>
      <c r="C2160" s="71"/>
      <c r="D2160" s="71"/>
      <c r="E2160" s="119" t="s">
        <v>134</v>
      </c>
      <c r="F2160" s="62" t="s">
        <v>135</v>
      </c>
      <c r="G2160" s="62"/>
      <c r="H2160" s="63" t="s">
        <v>975</v>
      </c>
      <c r="I2160" s="69" t="s">
        <v>137</v>
      </c>
      <c r="J2160" s="77"/>
      <c r="K2160" s="84">
        <v>0</v>
      </c>
      <c r="L2160" s="84">
        <v>0</v>
      </c>
      <c r="M2160" s="83">
        <v>90</v>
      </c>
      <c r="N2160" s="320">
        <v>2000</v>
      </c>
      <c r="O2160" s="314">
        <v>1</v>
      </c>
      <c r="P2160" s="223">
        <f t="shared" si="369"/>
        <v>2000</v>
      </c>
      <c r="Q2160" s="223"/>
      <c r="R2160" s="101">
        <v>2000</v>
      </c>
      <c r="S2160" s="83">
        <f t="shared" si="363"/>
        <v>0</v>
      </c>
      <c r="T2160" s="315">
        <f t="shared" si="364"/>
        <v>960</v>
      </c>
      <c r="U2160" s="84">
        <f t="shared" si="365"/>
        <v>0</v>
      </c>
      <c r="V2160" s="84">
        <f t="shared" si="366"/>
        <v>0</v>
      </c>
      <c r="W2160" s="84"/>
      <c r="X2160" s="255">
        <f t="shared" si="367"/>
        <v>46153.883449074077</v>
      </c>
    </row>
    <row r="2161" spans="1:24" s="118" customFormat="1" ht="26.5" hidden="1" x14ac:dyDescent="0.35">
      <c r="A2161" s="71">
        <f t="shared" si="368"/>
        <v>46153.883449074077</v>
      </c>
      <c r="B2161" s="71"/>
      <c r="C2161" s="71"/>
      <c r="D2161" s="71"/>
      <c r="E2161" s="119" t="s">
        <v>134</v>
      </c>
      <c r="F2161" s="62" t="s">
        <v>976</v>
      </c>
      <c r="G2161" s="62"/>
      <c r="H2161" s="319" t="s">
        <v>977</v>
      </c>
      <c r="I2161" s="71" t="s">
        <v>978</v>
      </c>
      <c r="J2161" s="100"/>
      <c r="K2161" s="84">
        <v>0</v>
      </c>
      <c r="L2161" s="84">
        <v>0</v>
      </c>
      <c r="M2161" s="83">
        <v>270</v>
      </c>
      <c r="N2161" s="320">
        <v>1500</v>
      </c>
      <c r="O2161" s="314">
        <v>1</v>
      </c>
      <c r="P2161" s="223">
        <f t="shared" si="369"/>
        <v>1500</v>
      </c>
      <c r="Q2161" s="223"/>
      <c r="R2161" s="101">
        <v>1500</v>
      </c>
      <c r="S2161" s="83">
        <f t="shared" si="363"/>
        <v>0</v>
      </c>
      <c r="T2161" s="315">
        <f t="shared" si="364"/>
        <v>320</v>
      </c>
      <c r="U2161" s="84">
        <f t="shared" si="365"/>
        <v>0</v>
      </c>
      <c r="V2161" s="84">
        <f t="shared" si="366"/>
        <v>0</v>
      </c>
      <c r="W2161" s="84">
        <v>0</v>
      </c>
      <c r="X2161" s="255">
        <f t="shared" si="367"/>
        <v>46153.883449074077</v>
      </c>
    </row>
    <row r="2162" spans="1:24" s="118" customFormat="1" hidden="1" x14ac:dyDescent="0.35">
      <c r="A2162" s="71">
        <f t="shared" si="368"/>
        <v>46153.883449074077</v>
      </c>
      <c r="B2162" s="71"/>
      <c r="C2162" s="71"/>
      <c r="D2162" s="71"/>
      <c r="E2162" s="119" t="s">
        <v>134</v>
      </c>
      <c r="F2162" s="48" t="s">
        <v>284</v>
      </c>
      <c r="G2162" s="48"/>
      <c r="H2162" s="49" t="s">
        <v>979</v>
      </c>
      <c r="I2162" s="82" t="s">
        <v>457</v>
      </c>
      <c r="J2162" s="100"/>
      <c r="K2162" s="84">
        <v>0</v>
      </c>
      <c r="L2162" s="84">
        <v>0</v>
      </c>
      <c r="M2162" s="83">
        <v>90</v>
      </c>
      <c r="N2162" s="223">
        <v>1000</v>
      </c>
      <c r="O2162" s="314">
        <v>1</v>
      </c>
      <c r="P2162" s="223">
        <f t="shared" si="369"/>
        <v>1000</v>
      </c>
      <c r="Q2162" s="223"/>
      <c r="R2162" s="102">
        <v>1000</v>
      </c>
      <c r="S2162" s="83">
        <f t="shared" si="363"/>
        <v>0</v>
      </c>
      <c r="T2162" s="315">
        <f t="shared" si="364"/>
        <v>960</v>
      </c>
      <c r="U2162" s="84">
        <f t="shared" si="365"/>
        <v>0</v>
      </c>
      <c r="V2162" s="84">
        <f t="shared" si="366"/>
        <v>0</v>
      </c>
      <c r="W2162" s="84">
        <v>0</v>
      </c>
      <c r="X2162" s="255">
        <f t="shared" si="367"/>
        <v>46153.883449074077</v>
      </c>
    </row>
    <row r="2163" spans="1:24" s="118" customFormat="1" hidden="1" x14ac:dyDescent="0.35">
      <c r="A2163" s="71">
        <f t="shared" si="368"/>
        <v>46153.883449074077</v>
      </c>
      <c r="B2163" s="71"/>
      <c r="C2163" s="71"/>
      <c r="D2163" s="71"/>
      <c r="E2163" s="119" t="s">
        <v>134</v>
      </c>
      <c r="F2163" s="57" t="s">
        <v>131</v>
      </c>
      <c r="G2163" s="57"/>
      <c r="H2163" s="216" t="s">
        <v>980</v>
      </c>
      <c r="I2163" s="82" t="s">
        <v>470</v>
      </c>
      <c r="J2163" s="100" t="s">
        <v>140</v>
      </c>
      <c r="K2163" s="84">
        <v>0</v>
      </c>
      <c r="L2163" s="84">
        <v>0</v>
      </c>
      <c r="M2163" s="83">
        <v>187</v>
      </c>
      <c r="N2163" s="223">
        <v>4320</v>
      </c>
      <c r="O2163" s="314">
        <v>2</v>
      </c>
      <c r="P2163" s="223">
        <f t="shared" si="369"/>
        <v>2160</v>
      </c>
      <c r="Q2163" s="223"/>
      <c r="R2163" s="102">
        <v>2160</v>
      </c>
      <c r="S2163" s="83">
        <f t="shared" si="363"/>
        <v>0</v>
      </c>
      <c r="T2163" s="315">
        <f t="shared" si="364"/>
        <v>924.06417112299459</v>
      </c>
      <c r="U2163" s="84">
        <f t="shared" si="365"/>
        <v>0</v>
      </c>
      <c r="V2163" s="84">
        <f t="shared" si="366"/>
        <v>0</v>
      </c>
      <c r="W2163" s="84">
        <v>0</v>
      </c>
      <c r="X2163" s="255">
        <f t="shared" si="367"/>
        <v>46153.883449074077</v>
      </c>
    </row>
    <row r="2164" spans="1:24" s="118" customFormat="1" hidden="1" x14ac:dyDescent="0.35">
      <c r="A2164" s="71">
        <f t="shared" si="368"/>
        <v>46153.883449074077</v>
      </c>
      <c r="B2164" s="71"/>
      <c r="C2164" s="71"/>
      <c r="D2164" s="71"/>
      <c r="E2164" s="119" t="s">
        <v>134</v>
      </c>
      <c r="F2164" s="48" t="s">
        <v>981</v>
      </c>
      <c r="G2164" s="48"/>
      <c r="H2164" s="49" t="s">
        <v>982</v>
      </c>
      <c r="I2164" s="82" t="s">
        <v>983</v>
      </c>
      <c r="J2164" s="100" t="s">
        <v>140</v>
      </c>
      <c r="K2164" s="84">
        <v>0</v>
      </c>
      <c r="L2164" s="84">
        <v>0</v>
      </c>
      <c r="M2164" s="83">
        <v>90</v>
      </c>
      <c r="N2164" s="223">
        <v>1000</v>
      </c>
      <c r="O2164" s="314">
        <v>1</v>
      </c>
      <c r="P2164" s="223">
        <f t="shared" si="369"/>
        <v>1000</v>
      </c>
      <c r="Q2164" s="223"/>
      <c r="R2164" s="102">
        <v>1000</v>
      </c>
      <c r="S2164" s="83">
        <f t="shared" si="363"/>
        <v>0</v>
      </c>
      <c r="T2164" s="315">
        <f t="shared" si="364"/>
        <v>960</v>
      </c>
      <c r="U2164" s="84">
        <f t="shared" si="365"/>
        <v>0</v>
      </c>
      <c r="V2164" s="84">
        <f t="shared" si="366"/>
        <v>0</v>
      </c>
      <c r="W2164" s="84">
        <v>0</v>
      </c>
      <c r="X2164" s="255">
        <f t="shared" si="367"/>
        <v>46153.883449074077</v>
      </c>
    </row>
    <row r="2165" spans="1:24" s="118" customFormat="1" hidden="1" x14ac:dyDescent="0.35">
      <c r="A2165" s="71">
        <f t="shared" si="368"/>
        <v>46153.883449074077</v>
      </c>
      <c r="B2165" s="71"/>
      <c r="C2165" s="71"/>
      <c r="D2165" s="71"/>
      <c r="E2165" s="119" t="s">
        <v>134</v>
      </c>
      <c r="F2165" s="48" t="s">
        <v>984</v>
      </c>
      <c r="G2165" s="48"/>
      <c r="H2165" s="49" t="s">
        <v>985</v>
      </c>
      <c r="I2165" s="99" t="s">
        <v>486</v>
      </c>
      <c r="J2165" s="100" t="s">
        <v>140</v>
      </c>
      <c r="K2165" s="84">
        <v>0</v>
      </c>
      <c r="L2165" s="84">
        <v>0</v>
      </c>
      <c r="M2165" s="83">
        <v>65</v>
      </c>
      <c r="N2165" s="223">
        <v>1957</v>
      </c>
      <c r="O2165" s="314">
        <v>1</v>
      </c>
      <c r="P2165" s="223">
        <f t="shared" si="369"/>
        <v>1957</v>
      </c>
      <c r="Q2165" s="223"/>
      <c r="R2165" s="102">
        <v>1957</v>
      </c>
      <c r="S2165" s="83">
        <f t="shared" si="363"/>
        <v>0</v>
      </c>
      <c r="T2165" s="315">
        <f t="shared" si="364"/>
        <v>1329.2307692307693</v>
      </c>
      <c r="U2165" s="84">
        <f t="shared" si="365"/>
        <v>0</v>
      </c>
      <c r="V2165" s="84">
        <f t="shared" si="366"/>
        <v>0</v>
      </c>
      <c r="W2165" s="84">
        <v>0</v>
      </c>
      <c r="X2165" s="255">
        <f t="shared" si="367"/>
        <v>46153.883449074077</v>
      </c>
    </row>
    <row r="2166" spans="1:24" s="118" customFormat="1" hidden="1" x14ac:dyDescent="0.35">
      <c r="A2166" s="71">
        <f t="shared" si="368"/>
        <v>46153.883449074077</v>
      </c>
      <c r="B2166" s="71"/>
      <c r="C2166" s="71"/>
      <c r="D2166" s="71"/>
      <c r="E2166" s="119" t="s">
        <v>134</v>
      </c>
      <c r="F2166" s="48" t="s">
        <v>986</v>
      </c>
      <c r="G2166" s="48"/>
      <c r="H2166" s="49" t="s">
        <v>987</v>
      </c>
      <c r="I2166" s="99" t="s">
        <v>488</v>
      </c>
      <c r="J2166" s="100" t="s">
        <v>140</v>
      </c>
      <c r="K2166" s="84">
        <v>0</v>
      </c>
      <c r="L2166" s="84">
        <v>0</v>
      </c>
      <c r="M2166" s="83">
        <v>65</v>
      </c>
      <c r="N2166" s="223">
        <v>575</v>
      </c>
      <c r="O2166" s="314">
        <v>1</v>
      </c>
      <c r="P2166" s="223">
        <f t="shared" si="369"/>
        <v>575</v>
      </c>
      <c r="Q2166" s="223"/>
      <c r="R2166" s="102">
        <v>575</v>
      </c>
      <c r="S2166" s="83">
        <f t="shared" si="363"/>
        <v>0</v>
      </c>
      <c r="T2166" s="315">
        <f t="shared" si="364"/>
        <v>1329.2307692307693</v>
      </c>
      <c r="U2166" s="84">
        <f t="shared" si="365"/>
        <v>0</v>
      </c>
      <c r="V2166" s="84">
        <f t="shared" si="366"/>
        <v>0</v>
      </c>
      <c r="W2166" s="84">
        <v>0</v>
      </c>
      <c r="X2166" s="255">
        <f t="shared" si="367"/>
        <v>46153.883449074077</v>
      </c>
    </row>
    <row r="2167" spans="1:24" s="118" customFormat="1" hidden="1" x14ac:dyDescent="0.35">
      <c r="A2167" s="71">
        <f t="shared" si="368"/>
        <v>46153.883449074077</v>
      </c>
      <c r="B2167" s="71"/>
      <c r="C2167" s="71"/>
      <c r="D2167" s="71"/>
      <c r="E2167" s="119" t="s">
        <v>134</v>
      </c>
      <c r="F2167" s="48" t="s">
        <v>988</v>
      </c>
      <c r="G2167" s="48"/>
      <c r="H2167" s="59" t="s">
        <v>989</v>
      </c>
      <c r="I2167" s="99" t="s">
        <v>488</v>
      </c>
      <c r="J2167" s="100" t="s">
        <v>140</v>
      </c>
      <c r="K2167" s="84">
        <v>0</v>
      </c>
      <c r="L2167" s="84">
        <v>0</v>
      </c>
      <c r="M2167" s="83">
        <v>65</v>
      </c>
      <c r="N2167" s="223">
        <v>300</v>
      </c>
      <c r="O2167" s="314">
        <v>1</v>
      </c>
      <c r="P2167" s="223">
        <f t="shared" si="369"/>
        <v>300</v>
      </c>
      <c r="Q2167" s="223"/>
      <c r="R2167" s="102">
        <v>300</v>
      </c>
      <c r="S2167" s="83">
        <f t="shared" si="363"/>
        <v>0</v>
      </c>
      <c r="T2167" s="315">
        <f t="shared" si="364"/>
        <v>1329.2307692307693</v>
      </c>
      <c r="U2167" s="84">
        <f t="shared" si="365"/>
        <v>0</v>
      </c>
      <c r="V2167" s="84">
        <f t="shared" si="366"/>
        <v>0</v>
      </c>
      <c r="W2167" s="84">
        <v>0</v>
      </c>
      <c r="X2167" s="255">
        <f t="shared" si="367"/>
        <v>46153.883449074077</v>
      </c>
    </row>
    <row r="2168" spans="1:24" s="118" customFormat="1" ht="43.5" hidden="1" x14ac:dyDescent="0.35">
      <c r="A2168" s="71">
        <f t="shared" si="368"/>
        <v>46153.883449074077</v>
      </c>
      <c r="B2168" s="71"/>
      <c r="C2168" s="71"/>
      <c r="D2168" s="71"/>
      <c r="E2168" s="119" t="s">
        <v>134</v>
      </c>
      <c r="F2168" s="48" t="s">
        <v>990</v>
      </c>
      <c r="G2168" s="48"/>
      <c r="H2168" s="49" t="s">
        <v>991</v>
      </c>
      <c r="I2168" s="99" t="s">
        <v>480</v>
      </c>
      <c r="J2168" s="100" t="s">
        <v>140</v>
      </c>
      <c r="K2168" s="84">
        <v>0</v>
      </c>
      <c r="L2168" s="84">
        <v>0</v>
      </c>
      <c r="M2168" s="83">
        <v>65</v>
      </c>
      <c r="N2168" s="223">
        <v>120</v>
      </c>
      <c r="O2168" s="314">
        <v>1</v>
      </c>
      <c r="P2168" s="223">
        <f t="shared" si="369"/>
        <v>120</v>
      </c>
      <c r="Q2168" s="223"/>
      <c r="R2168" s="102">
        <v>120</v>
      </c>
      <c r="S2168" s="83">
        <f t="shared" si="363"/>
        <v>0</v>
      </c>
      <c r="T2168" s="315">
        <f t="shared" si="364"/>
        <v>1329.2307692307693</v>
      </c>
      <c r="U2168" s="84">
        <f t="shared" si="365"/>
        <v>0</v>
      </c>
      <c r="V2168" s="84">
        <f t="shared" si="366"/>
        <v>0</v>
      </c>
      <c r="W2168" s="84">
        <v>0</v>
      </c>
      <c r="X2168" s="255">
        <f t="shared" si="367"/>
        <v>46153.883449074077</v>
      </c>
    </row>
    <row r="2169" spans="1:24" s="118" customFormat="1" hidden="1" x14ac:dyDescent="0.35">
      <c r="A2169" s="71">
        <f t="shared" si="368"/>
        <v>46153.883449074077</v>
      </c>
      <c r="B2169" s="71"/>
      <c r="C2169" s="71"/>
      <c r="D2169" s="71"/>
      <c r="E2169" s="119" t="s">
        <v>134</v>
      </c>
      <c r="F2169" s="48" t="s">
        <v>992</v>
      </c>
      <c r="G2169" s="48"/>
      <c r="H2169" s="49" t="s">
        <v>993</v>
      </c>
      <c r="I2169" s="99" t="s">
        <v>493</v>
      </c>
      <c r="J2169" s="100" t="s">
        <v>140</v>
      </c>
      <c r="K2169" s="84">
        <v>0</v>
      </c>
      <c r="L2169" s="84">
        <v>0</v>
      </c>
      <c r="M2169" s="83">
        <v>65</v>
      </c>
      <c r="N2169" s="223">
        <v>400</v>
      </c>
      <c r="O2169" s="314">
        <v>1</v>
      </c>
      <c r="P2169" s="223">
        <f t="shared" si="369"/>
        <v>400</v>
      </c>
      <c r="Q2169" s="223"/>
      <c r="R2169" s="102">
        <v>400</v>
      </c>
      <c r="S2169" s="83">
        <f t="shared" si="363"/>
        <v>0</v>
      </c>
      <c r="T2169" s="315">
        <f t="shared" si="364"/>
        <v>1329.2307692307693</v>
      </c>
      <c r="U2169" s="84">
        <f t="shared" si="365"/>
        <v>0</v>
      </c>
      <c r="V2169" s="84">
        <f t="shared" si="366"/>
        <v>0</v>
      </c>
      <c r="W2169" s="84">
        <v>0</v>
      </c>
      <c r="X2169" s="255">
        <f t="shared" si="367"/>
        <v>46153.883449074077</v>
      </c>
    </row>
    <row r="2170" spans="1:24" s="118" customFormat="1" hidden="1" x14ac:dyDescent="0.35">
      <c r="A2170" s="71">
        <f t="shared" si="368"/>
        <v>46153.883449074077</v>
      </c>
      <c r="B2170" s="71"/>
      <c r="C2170" s="71"/>
      <c r="D2170" s="71"/>
      <c r="E2170" s="119" t="s">
        <v>134</v>
      </c>
      <c r="F2170" s="48" t="s">
        <v>984</v>
      </c>
      <c r="G2170" s="48"/>
      <c r="H2170" s="49" t="s">
        <v>994</v>
      </c>
      <c r="I2170" s="99" t="s">
        <v>483</v>
      </c>
      <c r="J2170" s="100" t="s">
        <v>140</v>
      </c>
      <c r="K2170" s="84">
        <v>0</v>
      </c>
      <c r="L2170" s="84">
        <v>0</v>
      </c>
      <c r="M2170" s="83">
        <v>65</v>
      </c>
      <c r="N2170" s="223">
        <v>325</v>
      </c>
      <c r="O2170" s="314">
        <v>1</v>
      </c>
      <c r="P2170" s="223">
        <f t="shared" si="369"/>
        <v>325</v>
      </c>
      <c r="Q2170" s="223"/>
      <c r="R2170" s="102">
        <v>325</v>
      </c>
      <c r="S2170" s="83">
        <f t="shared" si="363"/>
        <v>0</v>
      </c>
      <c r="T2170" s="315">
        <f t="shared" si="364"/>
        <v>1329.2307692307693</v>
      </c>
      <c r="U2170" s="84">
        <f t="shared" si="365"/>
        <v>0</v>
      </c>
      <c r="V2170" s="84">
        <f t="shared" si="366"/>
        <v>0</v>
      </c>
      <c r="W2170" s="84">
        <v>0</v>
      </c>
      <c r="X2170" s="255">
        <f t="shared" si="367"/>
        <v>46153.883449074077</v>
      </c>
    </row>
    <row r="2171" spans="1:24" s="118" customFormat="1" hidden="1" x14ac:dyDescent="0.35">
      <c r="A2171" s="71">
        <f t="shared" si="368"/>
        <v>46153.883449074077</v>
      </c>
      <c r="B2171" s="71"/>
      <c r="C2171" s="71"/>
      <c r="D2171" s="71"/>
      <c r="E2171" s="119" t="s">
        <v>134</v>
      </c>
      <c r="F2171" s="48" t="s">
        <v>995</v>
      </c>
      <c r="G2171" s="48"/>
      <c r="H2171" s="49" t="s">
        <v>996</v>
      </c>
      <c r="I2171" s="99" t="s">
        <v>495</v>
      </c>
      <c r="J2171" s="100" t="s">
        <v>140</v>
      </c>
      <c r="K2171" s="84">
        <v>0</v>
      </c>
      <c r="L2171" s="84">
        <v>0</v>
      </c>
      <c r="M2171" s="83">
        <v>65</v>
      </c>
      <c r="N2171" s="223">
        <v>600</v>
      </c>
      <c r="O2171" s="314">
        <v>1</v>
      </c>
      <c r="P2171" s="223">
        <f t="shared" si="369"/>
        <v>600</v>
      </c>
      <c r="Q2171" s="223"/>
      <c r="R2171" s="102">
        <v>600</v>
      </c>
      <c r="S2171" s="83">
        <f t="shared" si="363"/>
        <v>0</v>
      </c>
      <c r="T2171" s="315">
        <f t="shared" si="364"/>
        <v>1329.2307692307693</v>
      </c>
      <c r="U2171" s="84">
        <f t="shared" si="365"/>
        <v>0</v>
      </c>
      <c r="V2171" s="84">
        <f t="shared" si="366"/>
        <v>0</v>
      </c>
      <c r="W2171" s="84">
        <v>0</v>
      </c>
      <c r="X2171" s="255">
        <f t="shared" si="367"/>
        <v>46153.883449074077</v>
      </c>
    </row>
    <row r="2172" spans="1:24" s="118" customFormat="1" ht="26.5" hidden="1" x14ac:dyDescent="0.35">
      <c r="A2172" s="71">
        <f t="shared" si="368"/>
        <v>46153.883449074077</v>
      </c>
      <c r="B2172" s="71"/>
      <c r="C2172" s="71"/>
      <c r="D2172" s="71"/>
      <c r="E2172" s="119" t="s">
        <v>134</v>
      </c>
      <c r="F2172" s="62" t="s">
        <v>997</v>
      </c>
      <c r="G2172" s="62"/>
      <c r="H2172" s="319" t="s">
        <v>998</v>
      </c>
      <c r="I2172" s="71" t="s">
        <v>999</v>
      </c>
      <c r="J2172" s="100" t="s">
        <v>140</v>
      </c>
      <c r="K2172" s="84">
        <v>0</v>
      </c>
      <c r="L2172" s="84">
        <v>0</v>
      </c>
      <c r="M2172" s="83">
        <v>270</v>
      </c>
      <c r="N2172" s="317">
        <v>1500</v>
      </c>
      <c r="O2172" s="314">
        <v>1</v>
      </c>
      <c r="P2172" s="223">
        <f t="shared" si="369"/>
        <v>1500</v>
      </c>
      <c r="Q2172" s="223"/>
      <c r="R2172" s="346">
        <v>1500</v>
      </c>
      <c r="S2172" s="83">
        <f t="shared" si="363"/>
        <v>0</v>
      </c>
      <c r="T2172" s="315">
        <f t="shared" si="364"/>
        <v>320</v>
      </c>
      <c r="U2172" s="84">
        <f t="shared" si="365"/>
        <v>0</v>
      </c>
      <c r="V2172" s="84">
        <f t="shared" si="366"/>
        <v>0</v>
      </c>
      <c r="W2172" s="84">
        <v>0</v>
      </c>
      <c r="X2172" s="255">
        <f t="shared" si="367"/>
        <v>46153.883449074077</v>
      </c>
    </row>
    <row r="2173" spans="1:24" s="118" customFormat="1" hidden="1" x14ac:dyDescent="0.35">
      <c r="A2173" s="71">
        <f t="shared" si="368"/>
        <v>46153.883449074077</v>
      </c>
      <c r="B2173" s="71"/>
      <c r="C2173" s="71"/>
      <c r="D2173" s="71"/>
      <c r="E2173" s="119" t="s">
        <v>134</v>
      </c>
      <c r="F2173" s="48" t="s">
        <v>1000</v>
      </c>
      <c r="G2173" s="48"/>
      <c r="H2173" s="63" t="s">
        <v>1001</v>
      </c>
      <c r="I2173" s="69" t="s">
        <v>1002</v>
      </c>
      <c r="J2173" s="100" t="s">
        <v>140</v>
      </c>
      <c r="K2173" s="84">
        <v>0</v>
      </c>
      <c r="L2173" s="84">
        <v>0</v>
      </c>
      <c r="M2173" s="83">
        <v>100</v>
      </c>
      <c r="N2173" s="320">
        <v>216</v>
      </c>
      <c r="O2173" s="314">
        <v>1</v>
      </c>
      <c r="P2173" s="223">
        <f t="shared" si="369"/>
        <v>216</v>
      </c>
      <c r="Q2173" s="223"/>
      <c r="R2173" s="101">
        <v>216</v>
      </c>
      <c r="S2173" s="83">
        <f t="shared" si="363"/>
        <v>0</v>
      </c>
      <c r="T2173" s="315">
        <f t="shared" si="364"/>
        <v>864</v>
      </c>
      <c r="U2173" s="84">
        <f t="shared" si="365"/>
        <v>0</v>
      </c>
      <c r="V2173" s="84">
        <f t="shared" si="366"/>
        <v>0</v>
      </c>
      <c r="W2173" s="84">
        <v>0</v>
      </c>
      <c r="X2173" s="255">
        <f t="shared" si="367"/>
        <v>46153.883449074077</v>
      </c>
    </row>
    <row r="2174" spans="1:24" s="118" customFormat="1" ht="26.5" hidden="1" x14ac:dyDescent="0.35">
      <c r="A2174" s="71">
        <f t="shared" si="368"/>
        <v>46153.883449074077</v>
      </c>
      <c r="B2174" s="71"/>
      <c r="C2174" s="71"/>
      <c r="D2174" s="71"/>
      <c r="E2174" s="119" t="s">
        <v>134</v>
      </c>
      <c r="F2174" s="48" t="s">
        <v>1000</v>
      </c>
      <c r="G2174" s="48"/>
      <c r="H2174" s="63" t="s">
        <v>1003</v>
      </c>
      <c r="I2174" s="69" t="s">
        <v>1004</v>
      </c>
      <c r="J2174" s="100" t="s">
        <v>140</v>
      </c>
      <c r="K2174" s="84">
        <v>0</v>
      </c>
      <c r="L2174" s="84">
        <v>0</v>
      </c>
      <c r="M2174" s="83">
        <v>100</v>
      </c>
      <c r="N2174" s="320">
        <v>216</v>
      </c>
      <c r="O2174" s="314">
        <v>1</v>
      </c>
      <c r="P2174" s="223">
        <f t="shared" si="369"/>
        <v>216</v>
      </c>
      <c r="Q2174" s="223"/>
      <c r="R2174" s="101">
        <v>216</v>
      </c>
      <c r="S2174" s="83">
        <f t="shared" si="363"/>
        <v>0</v>
      </c>
      <c r="T2174" s="315">
        <f t="shared" si="364"/>
        <v>864</v>
      </c>
      <c r="U2174" s="84">
        <f t="shared" si="365"/>
        <v>0</v>
      </c>
      <c r="V2174" s="84">
        <f t="shared" si="366"/>
        <v>0</v>
      </c>
      <c r="W2174" s="84">
        <v>0</v>
      </c>
      <c r="X2174" s="255">
        <f t="shared" si="367"/>
        <v>46153.883449074077</v>
      </c>
    </row>
    <row r="2175" spans="1:24" s="118" customFormat="1" hidden="1" x14ac:dyDescent="0.35">
      <c r="A2175" s="71">
        <f t="shared" si="368"/>
        <v>46153.883449074077</v>
      </c>
      <c r="B2175" s="71"/>
      <c r="C2175" s="71"/>
      <c r="D2175" s="71"/>
      <c r="E2175" s="119" t="s">
        <v>134</v>
      </c>
      <c r="F2175" s="48" t="s">
        <v>460</v>
      </c>
      <c r="G2175" s="48"/>
      <c r="H2175" s="49" t="s">
        <v>461</v>
      </c>
      <c r="I2175" s="82" t="s">
        <v>191</v>
      </c>
      <c r="J2175" s="100" t="s">
        <v>140</v>
      </c>
      <c r="K2175" s="84">
        <v>0</v>
      </c>
      <c r="L2175" s="84">
        <v>0</v>
      </c>
      <c r="M2175" s="83">
        <v>67</v>
      </c>
      <c r="N2175" s="223">
        <v>410</v>
      </c>
      <c r="O2175" s="314">
        <v>1</v>
      </c>
      <c r="P2175" s="223">
        <f t="shared" si="369"/>
        <v>410</v>
      </c>
      <c r="Q2175" s="223"/>
      <c r="R2175" s="102">
        <v>410</v>
      </c>
      <c r="S2175" s="83">
        <f t="shared" si="363"/>
        <v>0</v>
      </c>
      <c r="T2175" s="315">
        <f t="shared" si="364"/>
        <v>1289.5522388059703</v>
      </c>
      <c r="U2175" s="84">
        <f t="shared" si="365"/>
        <v>0</v>
      </c>
      <c r="V2175" s="84">
        <f t="shared" si="366"/>
        <v>0</v>
      </c>
      <c r="W2175" s="84">
        <v>0</v>
      </c>
      <c r="X2175" s="255">
        <f t="shared" si="367"/>
        <v>46153.883449074077</v>
      </c>
    </row>
    <row r="2176" spans="1:24" s="118" customFormat="1" hidden="1" x14ac:dyDescent="0.35">
      <c r="A2176" s="71">
        <f t="shared" si="368"/>
        <v>46153.883449074077</v>
      </c>
      <c r="B2176" s="71"/>
      <c r="C2176" s="71"/>
      <c r="D2176" s="71"/>
      <c r="E2176" s="119" t="s">
        <v>134</v>
      </c>
      <c r="F2176" s="48" t="s">
        <v>460</v>
      </c>
      <c r="G2176" s="48"/>
      <c r="H2176" s="49" t="s">
        <v>461</v>
      </c>
      <c r="I2176" s="82" t="s">
        <v>191</v>
      </c>
      <c r="J2176" s="100" t="s">
        <v>140</v>
      </c>
      <c r="K2176" s="84">
        <v>0</v>
      </c>
      <c r="L2176" s="84">
        <v>0</v>
      </c>
      <c r="M2176" s="83">
        <v>67</v>
      </c>
      <c r="N2176" s="223">
        <v>1685</v>
      </c>
      <c r="O2176" s="314">
        <v>1</v>
      </c>
      <c r="P2176" s="223">
        <f t="shared" si="369"/>
        <v>1685</v>
      </c>
      <c r="Q2176" s="223"/>
      <c r="R2176" s="102">
        <v>1685</v>
      </c>
      <c r="S2176" s="83">
        <f t="shared" si="363"/>
        <v>0</v>
      </c>
      <c r="T2176" s="315">
        <f t="shared" si="364"/>
        <v>1289.5522388059703</v>
      </c>
      <c r="U2176" s="84">
        <f t="shared" si="365"/>
        <v>0</v>
      </c>
      <c r="V2176" s="84">
        <f t="shared" si="366"/>
        <v>0</v>
      </c>
      <c r="W2176" s="84">
        <v>0</v>
      </c>
      <c r="X2176" s="255">
        <f t="shared" si="367"/>
        <v>46153.883449074077</v>
      </c>
    </row>
    <row r="2177" spans="1:24" s="118" customFormat="1" hidden="1" x14ac:dyDescent="0.35">
      <c r="A2177" s="71">
        <f t="shared" si="368"/>
        <v>46153.883449074077</v>
      </c>
      <c r="B2177" s="71"/>
      <c r="C2177" s="71"/>
      <c r="D2177" s="71"/>
      <c r="E2177" s="119" t="s">
        <v>134</v>
      </c>
      <c r="F2177" s="48" t="s">
        <v>460</v>
      </c>
      <c r="G2177" s="48"/>
      <c r="H2177" s="49" t="s">
        <v>466</v>
      </c>
      <c r="I2177" s="82" t="s">
        <v>277</v>
      </c>
      <c r="J2177" s="100" t="s">
        <v>140</v>
      </c>
      <c r="K2177" s="84">
        <v>0</v>
      </c>
      <c r="L2177" s="84">
        <v>0</v>
      </c>
      <c r="M2177" s="83">
        <v>67</v>
      </c>
      <c r="N2177" s="223">
        <v>1050</v>
      </c>
      <c r="O2177" s="314">
        <v>1</v>
      </c>
      <c r="P2177" s="223">
        <f t="shared" si="369"/>
        <v>1050</v>
      </c>
      <c r="Q2177" s="223"/>
      <c r="R2177" s="102">
        <v>1050</v>
      </c>
      <c r="S2177" s="83">
        <f t="shared" si="363"/>
        <v>0</v>
      </c>
      <c r="T2177" s="315">
        <f t="shared" si="364"/>
        <v>1289.5522388059703</v>
      </c>
      <c r="U2177" s="84">
        <f t="shared" si="365"/>
        <v>0</v>
      </c>
      <c r="V2177" s="84">
        <f t="shared" si="366"/>
        <v>0</v>
      </c>
      <c r="W2177" s="84">
        <v>0</v>
      </c>
      <c r="X2177" s="255">
        <f t="shared" si="367"/>
        <v>46153.883449074077</v>
      </c>
    </row>
    <row r="2178" spans="1:24" s="118" customFormat="1" hidden="1" x14ac:dyDescent="0.35">
      <c r="A2178" s="71">
        <f t="shared" si="368"/>
        <v>46153.883449074077</v>
      </c>
      <c r="B2178" s="71"/>
      <c r="C2178" s="71"/>
      <c r="D2178" s="71"/>
      <c r="E2178" s="119" t="s">
        <v>134</v>
      </c>
      <c r="F2178" s="48" t="s">
        <v>460</v>
      </c>
      <c r="G2178" s="48"/>
      <c r="H2178" s="49" t="s">
        <v>464</v>
      </c>
      <c r="I2178" s="82" t="s">
        <v>191</v>
      </c>
      <c r="J2178" s="100" t="s">
        <v>140</v>
      </c>
      <c r="K2178" s="84">
        <v>0</v>
      </c>
      <c r="L2178" s="84">
        <v>0</v>
      </c>
      <c r="M2178" s="83">
        <v>67</v>
      </c>
      <c r="N2178" s="223">
        <v>3550</v>
      </c>
      <c r="O2178" s="314">
        <v>1</v>
      </c>
      <c r="P2178" s="223">
        <f t="shared" si="369"/>
        <v>3550</v>
      </c>
      <c r="Q2178" s="223"/>
      <c r="R2178" s="102">
        <v>3550</v>
      </c>
      <c r="S2178" s="83">
        <f t="shared" si="363"/>
        <v>0</v>
      </c>
      <c r="T2178" s="315">
        <f t="shared" si="364"/>
        <v>1289.5522388059703</v>
      </c>
      <c r="U2178" s="84">
        <f t="shared" si="365"/>
        <v>0</v>
      </c>
      <c r="V2178" s="84">
        <f t="shared" si="366"/>
        <v>0</v>
      </c>
      <c r="W2178" s="84">
        <v>0</v>
      </c>
      <c r="X2178" s="255">
        <f t="shared" si="367"/>
        <v>46153.883449074077</v>
      </c>
    </row>
    <row r="2179" spans="1:24" s="118" customFormat="1" hidden="1" x14ac:dyDescent="0.35">
      <c r="A2179" s="71">
        <f t="shared" si="368"/>
        <v>46153.883449074077</v>
      </c>
      <c r="B2179" s="71"/>
      <c r="C2179" s="71"/>
      <c r="D2179" s="71"/>
      <c r="E2179" s="119" t="s">
        <v>134</v>
      </c>
      <c r="F2179" s="48" t="s">
        <v>1005</v>
      </c>
      <c r="G2179" s="48"/>
      <c r="H2179" s="49" t="s">
        <v>1006</v>
      </c>
      <c r="I2179" s="82" t="s">
        <v>191</v>
      </c>
      <c r="J2179" s="100" t="s">
        <v>140</v>
      </c>
      <c r="K2179" s="84">
        <v>0</v>
      </c>
      <c r="L2179" s="84">
        <v>0</v>
      </c>
      <c r="M2179" s="83">
        <v>67</v>
      </c>
      <c r="N2179" s="223">
        <v>3780</v>
      </c>
      <c r="O2179" s="314">
        <v>1</v>
      </c>
      <c r="P2179" s="223">
        <f t="shared" si="369"/>
        <v>3780</v>
      </c>
      <c r="Q2179" s="223"/>
      <c r="R2179" s="102">
        <v>3780</v>
      </c>
      <c r="S2179" s="83">
        <f t="shared" si="363"/>
        <v>0</v>
      </c>
      <c r="T2179" s="315">
        <f t="shared" si="364"/>
        <v>1289.5522388059703</v>
      </c>
      <c r="U2179" s="84">
        <f t="shared" si="365"/>
        <v>0</v>
      </c>
      <c r="V2179" s="84">
        <f t="shared" si="366"/>
        <v>0</v>
      </c>
      <c r="W2179" s="84">
        <v>0</v>
      </c>
      <c r="X2179" s="255">
        <f t="shared" si="367"/>
        <v>46153.883449074077</v>
      </c>
    </row>
    <row r="2180" spans="1:24" s="118" customFormat="1" hidden="1" x14ac:dyDescent="0.35">
      <c r="A2180" s="71">
        <f t="shared" si="368"/>
        <v>46153.883449074077</v>
      </c>
      <c r="B2180" s="71"/>
      <c r="C2180" s="71"/>
      <c r="D2180" s="71"/>
      <c r="E2180" s="119" t="s">
        <v>134</v>
      </c>
      <c r="F2180" s="48" t="s">
        <v>1005</v>
      </c>
      <c r="G2180" s="48"/>
      <c r="H2180" s="49" t="s">
        <v>1007</v>
      </c>
      <c r="I2180" s="82" t="s">
        <v>274</v>
      </c>
      <c r="J2180" s="100" t="s">
        <v>140</v>
      </c>
      <c r="K2180" s="84">
        <v>0</v>
      </c>
      <c r="L2180" s="84">
        <v>0</v>
      </c>
      <c r="M2180" s="83">
        <v>67</v>
      </c>
      <c r="N2180" s="223">
        <v>1680</v>
      </c>
      <c r="O2180" s="314">
        <v>1</v>
      </c>
      <c r="P2180" s="223">
        <f t="shared" si="369"/>
        <v>1680</v>
      </c>
      <c r="Q2180" s="223"/>
      <c r="R2180" s="102">
        <v>1680</v>
      </c>
      <c r="S2180" s="83">
        <f t="shared" si="363"/>
        <v>0</v>
      </c>
      <c r="T2180" s="315">
        <f t="shared" si="364"/>
        <v>1289.5522388059703</v>
      </c>
      <c r="U2180" s="84">
        <f t="shared" si="365"/>
        <v>0</v>
      </c>
      <c r="V2180" s="84">
        <f t="shared" si="366"/>
        <v>0</v>
      </c>
      <c r="W2180" s="84">
        <v>0</v>
      </c>
      <c r="X2180" s="255">
        <f t="shared" si="367"/>
        <v>46153.883449074077</v>
      </c>
    </row>
    <row r="2181" spans="1:24" s="118" customFormat="1" hidden="1" x14ac:dyDescent="0.35">
      <c r="A2181" s="71">
        <f t="shared" si="368"/>
        <v>46153.883449074077</v>
      </c>
      <c r="B2181" s="71"/>
      <c r="C2181" s="71"/>
      <c r="D2181" s="71"/>
      <c r="E2181" s="119" t="s">
        <v>134</v>
      </c>
      <c r="F2181" s="48" t="s">
        <v>1005</v>
      </c>
      <c r="G2181" s="48"/>
      <c r="H2181" s="49" t="s">
        <v>1008</v>
      </c>
      <c r="I2181" s="82" t="s">
        <v>380</v>
      </c>
      <c r="J2181" s="100" t="s">
        <v>140</v>
      </c>
      <c r="K2181" s="84">
        <v>0</v>
      </c>
      <c r="L2181" s="84">
        <v>0</v>
      </c>
      <c r="M2181" s="83">
        <v>67</v>
      </c>
      <c r="N2181" s="223">
        <v>210</v>
      </c>
      <c r="O2181" s="314">
        <v>1</v>
      </c>
      <c r="P2181" s="223">
        <f t="shared" si="369"/>
        <v>210</v>
      </c>
      <c r="Q2181" s="223"/>
      <c r="R2181" s="102">
        <v>210</v>
      </c>
      <c r="S2181" s="83">
        <f t="shared" si="363"/>
        <v>0</v>
      </c>
      <c r="T2181" s="315">
        <f t="shared" si="364"/>
        <v>1289.5522388059703</v>
      </c>
      <c r="U2181" s="84">
        <f t="shared" si="365"/>
        <v>0</v>
      </c>
      <c r="V2181" s="84">
        <f t="shared" si="366"/>
        <v>0</v>
      </c>
      <c r="W2181" s="84">
        <v>0</v>
      </c>
      <c r="X2181" s="255">
        <f t="shared" si="367"/>
        <v>46153.883449074077</v>
      </c>
    </row>
    <row r="2182" spans="1:24" s="118" customFormat="1" hidden="1" x14ac:dyDescent="0.35">
      <c r="A2182" s="71">
        <f t="shared" si="368"/>
        <v>46153.883449074077</v>
      </c>
      <c r="B2182" s="71"/>
      <c r="C2182" s="71"/>
      <c r="D2182" s="71"/>
      <c r="E2182" s="119" t="s">
        <v>134</v>
      </c>
      <c r="F2182" s="48" t="s">
        <v>1005</v>
      </c>
      <c r="G2182" s="48"/>
      <c r="H2182" s="49" t="s">
        <v>1009</v>
      </c>
      <c r="I2182" s="82" t="s">
        <v>409</v>
      </c>
      <c r="J2182" s="100" t="s">
        <v>140</v>
      </c>
      <c r="K2182" s="84">
        <v>0</v>
      </c>
      <c r="L2182" s="84">
        <v>0</v>
      </c>
      <c r="M2182" s="83">
        <v>67</v>
      </c>
      <c r="N2182" s="321">
        <v>210</v>
      </c>
      <c r="O2182" s="314">
        <v>1</v>
      </c>
      <c r="P2182" s="223">
        <f t="shared" si="369"/>
        <v>210</v>
      </c>
      <c r="Q2182" s="223"/>
      <c r="R2182" s="348">
        <v>210</v>
      </c>
      <c r="S2182" s="83">
        <f t="shared" si="363"/>
        <v>0</v>
      </c>
      <c r="T2182" s="315">
        <f t="shared" si="364"/>
        <v>1289.5522388059703</v>
      </c>
      <c r="U2182" s="84">
        <f t="shared" si="365"/>
        <v>0</v>
      </c>
      <c r="V2182" s="84">
        <f t="shared" si="366"/>
        <v>0</v>
      </c>
      <c r="W2182" s="84">
        <v>0</v>
      </c>
      <c r="X2182" s="255">
        <f t="shared" si="367"/>
        <v>46153.883449074077</v>
      </c>
    </row>
    <row r="2183" spans="1:24" s="118" customFormat="1" hidden="1" x14ac:dyDescent="0.35">
      <c r="A2183" s="71">
        <f t="shared" si="368"/>
        <v>46153.883449074077</v>
      </c>
      <c r="B2183" s="71"/>
      <c r="C2183" s="71"/>
      <c r="D2183" s="71"/>
      <c r="E2183" s="119" t="s">
        <v>134</v>
      </c>
      <c r="F2183" s="48" t="s">
        <v>1005</v>
      </c>
      <c r="G2183" s="48"/>
      <c r="H2183" s="49" t="s">
        <v>1010</v>
      </c>
      <c r="I2183" s="82" t="s">
        <v>277</v>
      </c>
      <c r="J2183" s="100" t="s">
        <v>140</v>
      </c>
      <c r="K2183" s="84">
        <v>0</v>
      </c>
      <c r="L2183" s="84">
        <v>0</v>
      </c>
      <c r="M2183" s="83">
        <v>67</v>
      </c>
      <c r="N2183" s="321">
        <v>420</v>
      </c>
      <c r="O2183" s="314">
        <v>1</v>
      </c>
      <c r="P2183" s="223">
        <f t="shared" si="369"/>
        <v>420</v>
      </c>
      <c r="Q2183" s="223"/>
      <c r="R2183" s="348">
        <v>420</v>
      </c>
      <c r="S2183" s="83">
        <v>0</v>
      </c>
      <c r="T2183" s="315">
        <f t="shared" si="364"/>
        <v>1289.5522388059703</v>
      </c>
      <c r="U2183" s="84">
        <f t="shared" si="365"/>
        <v>0</v>
      </c>
      <c r="V2183" s="84">
        <f t="shared" si="366"/>
        <v>0</v>
      </c>
      <c r="W2183" s="84">
        <v>0</v>
      </c>
      <c r="X2183" s="255">
        <f t="shared" si="367"/>
        <v>46153.883449074077</v>
      </c>
    </row>
    <row r="2184" spans="1:24" s="118" customFormat="1" hidden="1" x14ac:dyDescent="0.35">
      <c r="A2184" s="71">
        <f t="shared" si="368"/>
        <v>46153.883449074077</v>
      </c>
      <c r="B2184" s="71"/>
      <c r="C2184" s="71"/>
      <c r="D2184" s="71"/>
      <c r="E2184" s="119" t="s">
        <v>134</v>
      </c>
      <c r="F2184" s="48" t="s">
        <v>1005</v>
      </c>
      <c r="G2184" s="48"/>
      <c r="H2184" s="49" t="s">
        <v>1011</v>
      </c>
      <c r="I2184" s="71" t="s">
        <v>1012</v>
      </c>
      <c r="J2184" s="100" t="s">
        <v>140</v>
      </c>
      <c r="K2184" s="84">
        <v>0</v>
      </c>
      <c r="L2184" s="84">
        <v>0</v>
      </c>
      <c r="M2184" s="83">
        <v>67</v>
      </c>
      <c r="N2184" s="317">
        <v>420</v>
      </c>
      <c r="O2184" s="314">
        <v>1</v>
      </c>
      <c r="P2184" s="223">
        <f t="shared" si="369"/>
        <v>420</v>
      </c>
      <c r="Q2184" s="223"/>
      <c r="R2184" s="346">
        <v>420</v>
      </c>
      <c r="S2184" s="83">
        <f t="shared" ref="S2184:S2247" si="370">P2184-R2184</f>
        <v>0</v>
      </c>
      <c r="T2184" s="315">
        <f t="shared" si="364"/>
        <v>1289.5522388059703</v>
      </c>
      <c r="U2184" s="84">
        <f t="shared" si="365"/>
        <v>0</v>
      </c>
      <c r="V2184" s="84">
        <f t="shared" si="366"/>
        <v>0</v>
      </c>
      <c r="W2184" s="84">
        <v>0</v>
      </c>
      <c r="X2184" s="255">
        <f t="shared" si="367"/>
        <v>46153.883449074077</v>
      </c>
    </row>
    <row r="2185" spans="1:24" s="118" customFormat="1" hidden="1" x14ac:dyDescent="0.35">
      <c r="A2185" s="71">
        <f t="shared" si="368"/>
        <v>46153.883449074077</v>
      </c>
      <c r="B2185" s="71"/>
      <c r="C2185" s="71"/>
      <c r="D2185" s="71"/>
      <c r="E2185" s="119" t="s">
        <v>134</v>
      </c>
      <c r="F2185" s="48" t="s">
        <v>1005</v>
      </c>
      <c r="G2185" s="48"/>
      <c r="H2185" s="49" t="s">
        <v>1013</v>
      </c>
      <c r="I2185" s="71" t="s">
        <v>1014</v>
      </c>
      <c r="J2185" s="100" t="s">
        <v>140</v>
      </c>
      <c r="K2185" s="84">
        <v>0</v>
      </c>
      <c r="L2185" s="84">
        <v>0</v>
      </c>
      <c r="M2185" s="83">
        <v>67</v>
      </c>
      <c r="N2185" s="317">
        <v>3150</v>
      </c>
      <c r="O2185" s="314">
        <v>1</v>
      </c>
      <c r="P2185" s="223">
        <f t="shared" si="369"/>
        <v>3150</v>
      </c>
      <c r="Q2185" s="223"/>
      <c r="R2185" s="346">
        <v>3150</v>
      </c>
      <c r="S2185" s="83">
        <f t="shared" si="370"/>
        <v>0</v>
      </c>
      <c r="T2185" s="315">
        <f t="shared" si="364"/>
        <v>1289.5522388059703</v>
      </c>
      <c r="U2185" s="84">
        <f t="shared" si="365"/>
        <v>0</v>
      </c>
      <c r="V2185" s="84">
        <f t="shared" si="366"/>
        <v>0</v>
      </c>
      <c r="W2185" s="84">
        <v>0</v>
      </c>
      <c r="X2185" s="255">
        <f t="shared" si="367"/>
        <v>46153.883449074077</v>
      </c>
    </row>
    <row r="2186" spans="1:24" s="118" customFormat="1" ht="26.5" hidden="1" x14ac:dyDescent="0.35">
      <c r="A2186" s="71">
        <f t="shared" si="368"/>
        <v>46153.883449074077</v>
      </c>
      <c r="B2186" s="71"/>
      <c r="C2186" s="71"/>
      <c r="D2186" s="71"/>
      <c r="E2186" s="119" t="s">
        <v>134</v>
      </c>
      <c r="F2186" s="48" t="s">
        <v>1015</v>
      </c>
      <c r="G2186" s="48"/>
      <c r="H2186" s="59" t="s">
        <v>1016</v>
      </c>
      <c r="I2186" s="71" t="s">
        <v>999</v>
      </c>
      <c r="J2186" s="100" t="s">
        <v>140</v>
      </c>
      <c r="K2186" s="84">
        <v>0</v>
      </c>
      <c r="L2186" s="84">
        <v>0</v>
      </c>
      <c r="M2186" s="83">
        <v>270</v>
      </c>
      <c r="N2186" s="317">
        <v>2000</v>
      </c>
      <c r="O2186" s="314">
        <v>1</v>
      </c>
      <c r="P2186" s="223">
        <v>2000</v>
      </c>
      <c r="Q2186" s="223"/>
      <c r="R2186" s="346">
        <v>2000</v>
      </c>
      <c r="S2186" s="83">
        <f t="shared" si="370"/>
        <v>0</v>
      </c>
      <c r="T2186" s="315">
        <f t="shared" si="364"/>
        <v>320</v>
      </c>
      <c r="U2186" s="84">
        <f t="shared" si="365"/>
        <v>0</v>
      </c>
      <c r="V2186" s="84">
        <f t="shared" si="366"/>
        <v>0</v>
      </c>
      <c r="W2186" s="84">
        <v>0</v>
      </c>
      <c r="X2186" s="255">
        <f t="shared" si="367"/>
        <v>46153.883449074077</v>
      </c>
    </row>
    <row r="2187" spans="1:24" s="118" customFormat="1" ht="29" hidden="1" x14ac:dyDescent="0.35">
      <c r="A2187" s="71">
        <f t="shared" si="368"/>
        <v>46153.883449074077</v>
      </c>
      <c r="B2187" s="71"/>
      <c r="C2187" s="71"/>
      <c r="D2187" s="71"/>
      <c r="E2187" s="119" t="s">
        <v>134</v>
      </c>
      <c r="F2187" s="48" t="s">
        <v>177</v>
      </c>
      <c r="G2187" s="48"/>
      <c r="H2187" s="59" t="s">
        <v>1017</v>
      </c>
      <c r="I2187" s="71" t="s">
        <v>999</v>
      </c>
      <c r="J2187" s="100" t="s">
        <v>140</v>
      </c>
      <c r="K2187" s="84">
        <v>0</v>
      </c>
      <c r="L2187" s="84">
        <v>0</v>
      </c>
      <c r="M2187" s="83">
        <v>270</v>
      </c>
      <c r="N2187" s="317">
        <v>2000</v>
      </c>
      <c r="O2187" s="314">
        <v>1</v>
      </c>
      <c r="P2187" s="223">
        <v>2000</v>
      </c>
      <c r="Q2187" s="223"/>
      <c r="R2187" s="346">
        <v>2000</v>
      </c>
      <c r="S2187" s="83">
        <f t="shared" si="370"/>
        <v>0</v>
      </c>
      <c r="T2187" s="315">
        <f t="shared" si="364"/>
        <v>320</v>
      </c>
      <c r="U2187" s="84">
        <f t="shared" si="365"/>
        <v>0</v>
      </c>
      <c r="V2187" s="84">
        <f t="shared" si="366"/>
        <v>0</v>
      </c>
      <c r="W2187" s="84">
        <v>0</v>
      </c>
      <c r="X2187" s="255">
        <f t="shared" si="367"/>
        <v>46153.883449074077</v>
      </c>
    </row>
    <row r="2188" spans="1:24" s="118" customFormat="1" ht="29" hidden="1" x14ac:dyDescent="0.35">
      <c r="A2188" s="71">
        <f t="shared" si="368"/>
        <v>46153.883449074077</v>
      </c>
      <c r="B2188" s="71"/>
      <c r="C2188" s="71"/>
      <c r="D2188" s="71"/>
      <c r="E2188" s="119" t="s">
        <v>134</v>
      </c>
      <c r="F2188" s="48" t="s">
        <v>177</v>
      </c>
      <c r="G2188" s="48"/>
      <c r="H2188" s="49" t="s">
        <v>500</v>
      </c>
      <c r="I2188" s="82" t="s">
        <v>191</v>
      </c>
      <c r="J2188" s="100" t="s">
        <v>140</v>
      </c>
      <c r="K2188" s="84">
        <v>0</v>
      </c>
      <c r="L2188" s="84">
        <v>0</v>
      </c>
      <c r="M2188" s="83">
        <v>67</v>
      </c>
      <c r="N2188" s="223">
        <v>2520</v>
      </c>
      <c r="O2188" s="314">
        <v>1</v>
      </c>
      <c r="P2188" s="223">
        <f t="shared" ref="P2188:P2209" si="371">N2188/O2188</f>
        <v>2520</v>
      </c>
      <c r="Q2188" s="223"/>
      <c r="R2188" s="102">
        <v>2520</v>
      </c>
      <c r="S2188" s="83">
        <f t="shared" si="370"/>
        <v>0</v>
      </c>
      <c r="T2188" s="315">
        <f t="shared" si="364"/>
        <v>1289.5522388059703</v>
      </c>
      <c r="U2188" s="84">
        <f t="shared" si="365"/>
        <v>0</v>
      </c>
      <c r="V2188" s="84">
        <f t="shared" si="366"/>
        <v>0</v>
      </c>
      <c r="W2188" s="84">
        <v>0</v>
      </c>
      <c r="X2188" s="255">
        <f t="shared" si="367"/>
        <v>46153.883449074077</v>
      </c>
    </row>
    <row r="2189" spans="1:24" s="118" customFormat="1" ht="29" hidden="1" x14ac:dyDescent="0.35">
      <c r="A2189" s="71">
        <f t="shared" si="368"/>
        <v>46153.883449074077</v>
      </c>
      <c r="B2189" s="71"/>
      <c r="C2189" s="71"/>
      <c r="D2189" s="71"/>
      <c r="E2189" s="119" t="s">
        <v>134</v>
      </c>
      <c r="F2189" s="48" t="s">
        <v>177</v>
      </c>
      <c r="G2189" s="48"/>
      <c r="H2189" s="49" t="s">
        <v>1018</v>
      </c>
      <c r="I2189" s="82" t="s">
        <v>274</v>
      </c>
      <c r="J2189" s="100" t="s">
        <v>140</v>
      </c>
      <c r="K2189" s="84">
        <v>0</v>
      </c>
      <c r="L2189" s="84">
        <v>0</v>
      </c>
      <c r="M2189" s="83">
        <v>67</v>
      </c>
      <c r="N2189" s="223">
        <v>2100</v>
      </c>
      <c r="O2189" s="314">
        <v>1</v>
      </c>
      <c r="P2189" s="223">
        <f t="shared" si="371"/>
        <v>2100</v>
      </c>
      <c r="Q2189" s="223"/>
      <c r="R2189" s="102">
        <v>2100</v>
      </c>
      <c r="S2189" s="83">
        <f t="shared" si="370"/>
        <v>0</v>
      </c>
      <c r="T2189" s="315">
        <f t="shared" si="364"/>
        <v>1289.5522388059703</v>
      </c>
      <c r="U2189" s="84">
        <f t="shared" si="365"/>
        <v>0</v>
      </c>
      <c r="V2189" s="84">
        <f t="shared" si="366"/>
        <v>0</v>
      </c>
      <c r="W2189" s="84">
        <v>0</v>
      </c>
      <c r="X2189" s="255">
        <f t="shared" si="367"/>
        <v>46153.883449074077</v>
      </c>
    </row>
    <row r="2190" spans="1:24" s="118" customFormat="1" ht="29" hidden="1" x14ac:dyDescent="0.35">
      <c r="A2190" s="71">
        <f t="shared" si="368"/>
        <v>46153.883449074077</v>
      </c>
      <c r="B2190" s="71"/>
      <c r="C2190" s="71"/>
      <c r="D2190" s="71"/>
      <c r="E2190" s="119" t="s">
        <v>134</v>
      </c>
      <c r="F2190" s="48" t="s">
        <v>177</v>
      </c>
      <c r="G2190" s="48"/>
      <c r="H2190" s="49"/>
      <c r="I2190" s="82" t="s">
        <v>380</v>
      </c>
      <c r="J2190" s="100" t="s">
        <v>140</v>
      </c>
      <c r="K2190" s="84">
        <v>0</v>
      </c>
      <c r="L2190" s="84">
        <v>0</v>
      </c>
      <c r="M2190" s="83">
        <v>67</v>
      </c>
      <c r="N2190" s="223">
        <v>420</v>
      </c>
      <c r="O2190" s="314">
        <v>1</v>
      </c>
      <c r="P2190" s="223">
        <f t="shared" si="371"/>
        <v>420</v>
      </c>
      <c r="Q2190" s="223"/>
      <c r="R2190" s="102">
        <v>420</v>
      </c>
      <c r="S2190" s="83">
        <f t="shared" si="370"/>
        <v>0</v>
      </c>
      <c r="T2190" s="315">
        <f t="shared" si="364"/>
        <v>1289.5522388059703</v>
      </c>
      <c r="U2190" s="84">
        <f t="shared" si="365"/>
        <v>0</v>
      </c>
      <c r="V2190" s="84">
        <f t="shared" si="366"/>
        <v>0</v>
      </c>
      <c r="W2190" s="84">
        <v>0</v>
      </c>
      <c r="X2190" s="255">
        <f t="shared" si="367"/>
        <v>46153.883449074077</v>
      </c>
    </row>
    <row r="2191" spans="1:24" s="118" customFormat="1" ht="43.5" hidden="1" x14ac:dyDescent="0.35">
      <c r="A2191" s="71">
        <f t="shared" si="368"/>
        <v>46153.883449074077</v>
      </c>
      <c r="B2191" s="71"/>
      <c r="C2191" s="71"/>
      <c r="D2191" s="71"/>
      <c r="E2191" s="119" t="s">
        <v>134</v>
      </c>
      <c r="F2191" s="48" t="s">
        <v>1019</v>
      </c>
      <c r="G2191" s="48"/>
      <c r="H2191" s="49" t="s">
        <v>1020</v>
      </c>
      <c r="I2191" s="82" t="s">
        <v>194</v>
      </c>
      <c r="J2191" s="100" t="s">
        <v>283</v>
      </c>
      <c r="K2191" s="84">
        <v>0</v>
      </c>
      <c r="L2191" s="84">
        <v>0</v>
      </c>
      <c r="M2191" s="83">
        <v>67</v>
      </c>
      <c r="N2191" s="223">
        <v>1080</v>
      </c>
      <c r="O2191" s="314">
        <v>1</v>
      </c>
      <c r="P2191" s="223">
        <f t="shared" si="371"/>
        <v>1080</v>
      </c>
      <c r="Q2191" s="223"/>
      <c r="R2191" s="102">
        <v>1080</v>
      </c>
      <c r="S2191" s="83">
        <f t="shared" si="370"/>
        <v>0</v>
      </c>
      <c r="T2191" s="315">
        <f t="shared" si="364"/>
        <v>1289.5522388059703</v>
      </c>
      <c r="U2191" s="84">
        <f t="shared" si="365"/>
        <v>0</v>
      </c>
      <c r="V2191" s="84">
        <f t="shared" si="366"/>
        <v>0</v>
      </c>
      <c r="W2191" s="84">
        <v>0</v>
      </c>
      <c r="X2191" s="255">
        <f t="shared" si="367"/>
        <v>46153.883449074077</v>
      </c>
    </row>
    <row r="2192" spans="1:24" s="118" customFormat="1" hidden="1" x14ac:dyDescent="0.35">
      <c r="A2192" s="71">
        <f t="shared" si="368"/>
        <v>46153.883449074077</v>
      </c>
      <c r="B2192" s="71"/>
      <c r="C2192" s="71"/>
      <c r="D2192" s="71"/>
      <c r="E2192" s="119" t="s">
        <v>134</v>
      </c>
      <c r="F2192" s="62" t="s">
        <v>1021</v>
      </c>
      <c r="G2192" s="62"/>
      <c r="H2192" s="49" t="s">
        <v>1022</v>
      </c>
      <c r="I2192" s="99" t="s">
        <v>1023</v>
      </c>
      <c r="J2192" s="100" t="s">
        <v>140</v>
      </c>
      <c r="K2192" s="84">
        <v>0</v>
      </c>
      <c r="L2192" s="84">
        <v>0</v>
      </c>
      <c r="M2192" s="83">
        <v>90</v>
      </c>
      <c r="N2192" s="223">
        <v>5000</v>
      </c>
      <c r="O2192" s="314">
        <v>1</v>
      </c>
      <c r="P2192" s="223">
        <f t="shared" si="371"/>
        <v>5000</v>
      </c>
      <c r="Q2192" s="223"/>
      <c r="R2192" s="102">
        <v>5000</v>
      </c>
      <c r="S2192" s="83">
        <f t="shared" si="370"/>
        <v>0</v>
      </c>
      <c r="T2192" s="315">
        <f t="shared" ref="T2192:T2255" si="372">((3600/M2192)*O2192)*24</f>
        <v>960</v>
      </c>
      <c r="U2192" s="84">
        <f t="shared" ref="U2192:U2255" si="373">(P2192-R2192)*M2192/3600</f>
        <v>0</v>
      </c>
      <c r="V2192" s="84">
        <f t="shared" ref="V2192:V2255" si="374">(P2192-R2192)*M2192/3600/24</f>
        <v>0</v>
      </c>
      <c r="W2192" s="84">
        <v>0</v>
      </c>
      <c r="X2192" s="255">
        <f t="shared" ref="X2192:X2255" si="375">A2192+K2192+V2192+W2192+L2192</f>
        <v>46153.883449074077</v>
      </c>
    </row>
    <row r="2193" spans="1:24" s="118" customFormat="1" hidden="1" x14ac:dyDescent="0.35">
      <c r="A2193" s="71">
        <f t="shared" ref="A2193:A2256" si="376">X2192</f>
        <v>46153.883449074077</v>
      </c>
      <c r="B2193" s="71"/>
      <c r="C2193" s="71"/>
      <c r="D2193" s="71"/>
      <c r="E2193" s="119" t="s">
        <v>134</v>
      </c>
      <c r="F2193" s="48" t="s">
        <v>1024</v>
      </c>
      <c r="G2193" s="48"/>
      <c r="H2193" s="49" t="s">
        <v>1025</v>
      </c>
      <c r="I2193" s="82" t="s">
        <v>108</v>
      </c>
      <c r="J2193" s="100" t="s">
        <v>140</v>
      </c>
      <c r="K2193" s="84">
        <v>0</v>
      </c>
      <c r="L2193" s="84">
        <v>0</v>
      </c>
      <c r="M2193" s="83">
        <v>800</v>
      </c>
      <c r="N2193" s="223">
        <v>50</v>
      </c>
      <c r="O2193" s="314">
        <v>1</v>
      </c>
      <c r="P2193" s="223">
        <f t="shared" si="371"/>
        <v>50</v>
      </c>
      <c r="Q2193" s="223"/>
      <c r="R2193" s="102">
        <v>50</v>
      </c>
      <c r="S2193" s="83">
        <f t="shared" si="370"/>
        <v>0</v>
      </c>
      <c r="T2193" s="315">
        <f t="shared" si="372"/>
        <v>108</v>
      </c>
      <c r="U2193" s="84">
        <f t="shared" si="373"/>
        <v>0</v>
      </c>
      <c r="V2193" s="84">
        <f t="shared" si="374"/>
        <v>0</v>
      </c>
      <c r="W2193" s="84">
        <v>0</v>
      </c>
      <c r="X2193" s="255">
        <f t="shared" si="375"/>
        <v>46153.883449074077</v>
      </c>
    </row>
    <row r="2194" spans="1:24" s="118" customFormat="1" hidden="1" x14ac:dyDescent="0.35">
      <c r="A2194" s="71">
        <f t="shared" si="376"/>
        <v>46153.883449074077</v>
      </c>
      <c r="B2194" s="71"/>
      <c r="C2194" s="71"/>
      <c r="D2194" s="71"/>
      <c r="E2194" s="119" t="s">
        <v>134</v>
      </c>
      <c r="F2194" s="56" t="s">
        <v>1026</v>
      </c>
      <c r="G2194" s="56"/>
      <c r="H2194" s="59" t="s">
        <v>1027</v>
      </c>
      <c r="I2194" s="82" t="s">
        <v>1028</v>
      </c>
      <c r="J2194" s="100" t="s">
        <v>140</v>
      </c>
      <c r="K2194" s="84">
        <v>0</v>
      </c>
      <c r="L2194" s="84">
        <v>0</v>
      </c>
      <c r="M2194" s="83">
        <v>120</v>
      </c>
      <c r="N2194" s="223">
        <v>1000</v>
      </c>
      <c r="O2194" s="314">
        <v>1</v>
      </c>
      <c r="P2194" s="223">
        <f t="shared" si="371"/>
        <v>1000</v>
      </c>
      <c r="Q2194" s="223"/>
      <c r="R2194" s="102">
        <v>1000</v>
      </c>
      <c r="S2194" s="83">
        <f t="shared" si="370"/>
        <v>0</v>
      </c>
      <c r="T2194" s="315">
        <f t="shared" si="372"/>
        <v>720</v>
      </c>
      <c r="U2194" s="84">
        <f t="shared" si="373"/>
        <v>0</v>
      </c>
      <c r="V2194" s="84">
        <f t="shared" si="374"/>
        <v>0</v>
      </c>
      <c r="W2194" s="84">
        <v>0</v>
      </c>
      <c r="X2194" s="255">
        <f t="shared" si="375"/>
        <v>46153.883449074077</v>
      </c>
    </row>
    <row r="2195" spans="1:24" s="118" customFormat="1" hidden="1" x14ac:dyDescent="0.35">
      <c r="A2195" s="71">
        <f t="shared" si="376"/>
        <v>46153.883449074077</v>
      </c>
      <c r="B2195" s="71"/>
      <c r="C2195" s="71"/>
      <c r="D2195" s="71"/>
      <c r="E2195" s="119" t="s">
        <v>134</v>
      </c>
      <c r="F2195" s="56" t="s">
        <v>1026</v>
      </c>
      <c r="G2195" s="56"/>
      <c r="H2195" s="76" t="s">
        <v>1029</v>
      </c>
      <c r="I2195" s="77" t="s">
        <v>1030</v>
      </c>
      <c r="J2195" s="100" t="s">
        <v>140</v>
      </c>
      <c r="K2195" s="84">
        <v>0</v>
      </c>
      <c r="L2195" s="84">
        <v>0</v>
      </c>
      <c r="M2195" s="322">
        <v>120</v>
      </c>
      <c r="N2195" s="323">
        <v>1000</v>
      </c>
      <c r="O2195" s="324">
        <v>1</v>
      </c>
      <c r="P2195" s="223">
        <f t="shared" si="371"/>
        <v>1000</v>
      </c>
      <c r="Q2195" s="223"/>
      <c r="R2195" s="677">
        <v>1000</v>
      </c>
      <c r="S2195" s="83">
        <f t="shared" si="370"/>
        <v>0</v>
      </c>
      <c r="T2195" s="315">
        <f t="shared" si="372"/>
        <v>720</v>
      </c>
      <c r="U2195" s="84">
        <f t="shared" si="373"/>
        <v>0</v>
      </c>
      <c r="V2195" s="84">
        <f t="shared" si="374"/>
        <v>0</v>
      </c>
      <c r="W2195" s="84">
        <v>0</v>
      </c>
      <c r="X2195" s="255">
        <f t="shared" si="375"/>
        <v>46153.883449074077</v>
      </c>
    </row>
    <row r="2196" spans="1:24" s="118" customFormat="1" hidden="1" x14ac:dyDescent="0.35">
      <c r="A2196" s="71">
        <f t="shared" si="376"/>
        <v>46153.883449074077</v>
      </c>
      <c r="B2196" s="71"/>
      <c r="C2196" s="71"/>
      <c r="D2196" s="71"/>
      <c r="E2196" s="119" t="s">
        <v>134</v>
      </c>
      <c r="F2196" s="48" t="s">
        <v>1031</v>
      </c>
      <c r="G2196" s="48"/>
      <c r="H2196" s="49" t="s">
        <v>1032</v>
      </c>
      <c r="I2196" s="82" t="s">
        <v>536</v>
      </c>
      <c r="J2196" s="100" t="s">
        <v>140</v>
      </c>
      <c r="K2196" s="84">
        <v>0</v>
      </c>
      <c r="L2196" s="84">
        <v>0</v>
      </c>
      <c r="M2196" s="83">
        <v>120</v>
      </c>
      <c r="N2196" s="223">
        <v>2000</v>
      </c>
      <c r="O2196" s="314">
        <v>1</v>
      </c>
      <c r="P2196" s="223">
        <f t="shared" si="371"/>
        <v>2000</v>
      </c>
      <c r="Q2196" s="223"/>
      <c r="R2196" s="102">
        <v>2000</v>
      </c>
      <c r="S2196" s="83">
        <f t="shared" si="370"/>
        <v>0</v>
      </c>
      <c r="T2196" s="315">
        <f t="shared" si="372"/>
        <v>720</v>
      </c>
      <c r="U2196" s="84">
        <f t="shared" si="373"/>
        <v>0</v>
      </c>
      <c r="V2196" s="84">
        <f t="shared" si="374"/>
        <v>0</v>
      </c>
      <c r="W2196" s="84">
        <v>0</v>
      </c>
      <c r="X2196" s="255">
        <f t="shared" si="375"/>
        <v>46153.883449074077</v>
      </c>
    </row>
    <row r="2197" spans="1:24" s="118" customFormat="1" ht="29" hidden="1" x14ac:dyDescent="0.35">
      <c r="A2197" s="71">
        <f t="shared" si="376"/>
        <v>46153.883449074077</v>
      </c>
      <c r="B2197" s="71"/>
      <c r="C2197" s="71"/>
      <c r="D2197" s="71"/>
      <c r="E2197" s="119" t="s">
        <v>134</v>
      </c>
      <c r="F2197" s="48" t="s">
        <v>501</v>
      </c>
      <c r="G2197" s="48"/>
      <c r="H2197" s="59" t="s">
        <v>1033</v>
      </c>
      <c r="I2197" s="71" t="s">
        <v>999</v>
      </c>
      <c r="J2197" s="100" t="s">
        <v>140</v>
      </c>
      <c r="K2197" s="84">
        <v>0</v>
      </c>
      <c r="L2197" s="84">
        <v>0</v>
      </c>
      <c r="M2197" s="83">
        <v>270</v>
      </c>
      <c r="N2197" s="317">
        <v>1700</v>
      </c>
      <c r="O2197" s="314">
        <v>1</v>
      </c>
      <c r="P2197" s="223">
        <f t="shared" si="371"/>
        <v>1700</v>
      </c>
      <c r="Q2197" s="223"/>
      <c r="R2197" s="346">
        <v>1700</v>
      </c>
      <c r="S2197" s="83">
        <f t="shared" si="370"/>
        <v>0</v>
      </c>
      <c r="T2197" s="315">
        <f t="shared" si="372"/>
        <v>320</v>
      </c>
      <c r="U2197" s="84">
        <f t="shared" si="373"/>
        <v>0</v>
      </c>
      <c r="V2197" s="84">
        <f t="shared" si="374"/>
        <v>0</v>
      </c>
      <c r="W2197" s="84">
        <v>0</v>
      </c>
      <c r="X2197" s="255">
        <f t="shared" si="375"/>
        <v>46153.883449074077</v>
      </c>
    </row>
    <row r="2198" spans="1:24" s="118" customFormat="1" ht="29" hidden="1" x14ac:dyDescent="0.35">
      <c r="A2198" s="71">
        <f t="shared" si="376"/>
        <v>46153.883449074077</v>
      </c>
      <c r="B2198" s="71"/>
      <c r="C2198" s="71"/>
      <c r="D2198" s="71"/>
      <c r="E2198" s="96" t="s">
        <v>134</v>
      </c>
      <c r="F2198" s="325" t="s">
        <v>1034</v>
      </c>
      <c r="G2198" s="325"/>
      <c r="H2198" s="326" t="s">
        <v>1035</v>
      </c>
      <c r="I2198" s="327" t="s">
        <v>488</v>
      </c>
      <c r="J2198" s="170" t="s">
        <v>140</v>
      </c>
      <c r="K2198" s="328">
        <v>0</v>
      </c>
      <c r="L2198" s="328">
        <v>0</v>
      </c>
      <c r="M2198" s="329">
        <v>65</v>
      </c>
      <c r="N2198" s="330">
        <v>800</v>
      </c>
      <c r="O2198" s="331">
        <v>1</v>
      </c>
      <c r="P2198" s="330">
        <f t="shared" si="371"/>
        <v>800</v>
      </c>
      <c r="Q2198" s="330"/>
      <c r="R2198" s="102">
        <v>800</v>
      </c>
      <c r="S2198" s="329">
        <f t="shared" si="370"/>
        <v>0</v>
      </c>
      <c r="T2198" s="332">
        <f t="shared" si="372"/>
        <v>1329.2307692307693</v>
      </c>
      <c r="U2198" s="328">
        <f t="shared" si="373"/>
        <v>0</v>
      </c>
      <c r="V2198" s="328">
        <f t="shared" si="374"/>
        <v>0</v>
      </c>
      <c r="W2198" s="328">
        <v>0</v>
      </c>
      <c r="X2198" s="255">
        <f t="shared" si="375"/>
        <v>46153.883449074077</v>
      </c>
    </row>
    <row r="2199" spans="1:24" s="118" customFormat="1" ht="29" hidden="1" x14ac:dyDescent="0.35">
      <c r="A2199" s="71">
        <f t="shared" si="376"/>
        <v>46153.883449074077</v>
      </c>
      <c r="B2199" s="71"/>
      <c r="C2199" s="71"/>
      <c r="D2199" s="71"/>
      <c r="E2199" s="96" t="s">
        <v>134</v>
      </c>
      <c r="F2199" s="325" t="s">
        <v>1034</v>
      </c>
      <c r="G2199" s="325"/>
      <c r="H2199" s="326" t="s">
        <v>1036</v>
      </c>
      <c r="I2199" s="327" t="s">
        <v>493</v>
      </c>
      <c r="J2199" s="170" t="s">
        <v>140</v>
      </c>
      <c r="K2199" s="328">
        <v>0</v>
      </c>
      <c r="L2199" s="328">
        <v>0</v>
      </c>
      <c r="M2199" s="329">
        <v>65</v>
      </c>
      <c r="N2199" s="330">
        <v>1800</v>
      </c>
      <c r="O2199" s="331">
        <v>1</v>
      </c>
      <c r="P2199" s="330">
        <f t="shared" si="371"/>
        <v>1800</v>
      </c>
      <c r="Q2199" s="330"/>
      <c r="R2199" s="102">
        <v>1800</v>
      </c>
      <c r="S2199" s="329">
        <f t="shared" si="370"/>
        <v>0</v>
      </c>
      <c r="T2199" s="332">
        <f t="shared" si="372"/>
        <v>1329.2307692307693</v>
      </c>
      <c r="U2199" s="328">
        <f t="shared" si="373"/>
        <v>0</v>
      </c>
      <c r="V2199" s="328">
        <f t="shared" si="374"/>
        <v>0</v>
      </c>
      <c r="W2199" s="328">
        <v>0</v>
      </c>
      <c r="X2199" s="255">
        <f t="shared" si="375"/>
        <v>46153.883449074077</v>
      </c>
    </row>
    <row r="2200" spans="1:24" s="118" customFormat="1" ht="29" hidden="1" x14ac:dyDescent="0.35">
      <c r="A2200" s="71">
        <f t="shared" si="376"/>
        <v>46153.883449074077</v>
      </c>
      <c r="B2200" s="71"/>
      <c r="C2200" s="71"/>
      <c r="D2200" s="71"/>
      <c r="E2200" s="119" t="s">
        <v>134</v>
      </c>
      <c r="F2200" s="48" t="s">
        <v>1034</v>
      </c>
      <c r="G2200" s="48"/>
      <c r="H2200" s="49" t="s">
        <v>1037</v>
      </c>
      <c r="I2200" s="99" t="s">
        <v>483</v>
      </c>
      <c r="J2200" s="100" t="s">
        <v>140</v>
      </c>
      <c r="K2200" s="84">
        <v>0</v>
      </c>
      <c r="L2200" s="84">
        <v>0</v>
      </c>
      <c r="M2200" s="83">
        <v>65</v>
      </c>
      <c r="N2200" s="223">
        <v>325</v>
      </c>
      <c r="O2200" s="314">
        <v>1</v>
      </c>
      <c r="P2200" s="330">
        <f t="shared" si="371"/>
        <v>325</v>
      </c>
      <c r="Q2200" s="330"/>
      <c r="R2200" s="102">
        <v>325</v>
      </c>
      <c r="S2200" s="83">
        <f t="shared" si="370"/>
        <v>0</v>
      </c>
      <c r="T2200" s="315">
        <f t="shared" si="372"/>
        <v>1329.2307692307693</v>
      </c>
      <c r="U2200" s="84">
        <f t="shared" si="373"/>
        <v>0</v>
      </c>
      <c r="V2200" s="84">
        <f t="shared" si="374"/>
        <v>0</v>
      </c>
      <c r="W2200" s="84">
        <v>0</v>
      </c>
      <c r="X2200" s="255">
        <f t="shared" si="375"/>
        <v>46153.883449074077</v>
      </c>
    </row>
    <row r="2201" spans="1:24" s="118" customFormat="1" ht="72.5" hidden="1" x14ac:dyDescent="0.35">
      <c r="A2201" s="71">
        <f t="shared" si="376"/>
        <v>46153.883449074077</v>
      </c>
      <c r="B2201" s="71"/>
      <c r="C2201" s="71"/>
      <c r="D2201" s="71"/>
      <c r="E2201" s="119" t="s">
        <v>134</v>
      </c>
      <c r="F2201" s="57" t="s">
        <v>4200</v>
      </c>
      <c r="G2201" s="57"/>
      <c r="H2201" s="216" t="s">
        <v>1038</v>
      </c>
      <c r="I2201" s="82" t="s">
        <v>470</v>
      </c>
      <c r="J2201" s="100" t="s">
        <v>140</v>
      </c>
      <c r="K2201" s="84">
        <v>0</v>
      </c>
      <c r="L2201" s="84">
        <v>0</v>
      </c>
      <c r="M2201" s="83">
        <v>187</v>
      </c>
      <c r="N2201" s="223">
        <v>6710</v>
      </c>
      <c r="O2201" s="314">
        <v>2</v>
      </c>
      <c r="P2201" s="223">
        <f t="shared" si="371"/>
        <v>3355</v>
      </c>
      <c r="Q2201" s="223"/>
      <c r="R2201" s="102">
        <v>3355</v>
      </c>
      <c r="S2201" s="83">
        <f t="shared" si="370"/>
        <v>0</v>
      </c>
      <c r="T2201" s="315">
        <f t="shared" si="372"/>
        <v>924.06417112299459</v>
      </c>
      <c r="U2201" s="84">
        <f t="shared" si="373"/>
        <v>0</v>
      </c>
      <c r="V2201" s="84">
        <f t="shared" si="374"/>
        <v>0</v>
      </c>
      <c r="W2201" s="84">
        <v>0</v>
      </c>
      <c r="X2201" s="255">
        <f t="shared" si="375"/>
        <v>46153.883449074077</v>
      </c>
    </row>
    <row r="2202" spans="1:24" s="118" customFormat="1" ht="29" hidden="1" x14ac:dyDescent="0.35">
      <c r="A2202" s="71">
        <f t="shared" si="376"/>
        <v>46153.883449074077</v>
      </c>
      <c r="B2202" s="71"/>
      <c r="C2202" s="71"/>
      <c r="D2202" s="71"/>
      <c r="E2202" s="119" t="s">
        <v>134</v>
      </c>
      <c r="F2202" s="48" t="s">
        <v>1034</v>
      </c>
      <c r="G2202" s="48"/>
      <c r="H2202" s="49" t="s">
        <v>1039</v>
      </c>
      <c r="I2202" s="99" t="s">
        <v>486</v>
      </c>
      <c r="J2202" s="100" t="s">
        <v>140</v>
      </c>
      <c r="K2202" s="84">
        <v>0</v>
      </c>
      <c r="L2202" s="84">
        <v>0</v>
      </c>
      <c r="M2202" s="83">
        <v>65</v>
      </c>
      <c r="N2202" s="223">
        <v>1957</v>
      </c>
      <c r="O2202" s="314">
        <v>1</v>
      </c>
      <c r="P2202" s="223">
        <f t="shared" si="371"/>
        <v>1957</v>
      </c>
      <c r="Q2202" s="223"/>
      <c r="R2202" s="102">
        <v>1957</v>
      </c>
      <c r="S2202" s="83">
        <f t="shared" si="370"/>
        <v>0</v>
      </c>
      <c r="T2202" s="315">
        <f t="shared" si="372"/>
        <v>1329.2307692307693</v>
      </c>
      <c r="U2202" s="84">
        <f t="shared" si="373"/>
        <v>0</v>
      </c>
      <c r="V2202" s="84">
        <f t="shared" si="374"/>
        <v>0</v>
      </c>
      <c r="W2202" s="84">
        <v>0</v>
      </c>
      <c r="X2202" s="255">
        <f t="shared" si="375"/>
        <v>46153.883449074077</v>
      </c>
    </row>
    <row r="2203" spans="1:24" s="118" customFormat="1" ht="29" hidden="1" x14ac:dyDescent="0.35">
      <c r="A2203" s="71">
        <f t="shared" si="376"/>
        <v>46153.883449074077</v>
      </c>
      <c r="B2203" s="71"/>
      <c r="C2203" s="71"/>
      <c r="D2203" s="71"/>
      <c r="E2203" s="119" t="s">
        <v>134</v>
      </c>
      <c r="F2203" s="48" t="s">
        <v>1034</v>
      </c>
      <c r="G2203" s="48"/>
      <c r="H2203" s="49" t="s">
        <v>1040</v>
      </c>
      <c r="I2203" s="99" t="s">
        <v>495</v>
      </c>
      <c r="J2203" s="100" t="s">
        <v>140</v>
      </c>
      <c r="K2203" s="84">
        <v>0</v>
      </c>
      <c r="L2203" s="84">
        <v>0</v>
      </c>
      <c r="M2203" s="83">
        <v>65</v>
      </c>
      <c r="N2203" s="223">
        <v>600</v>
      </c>
      <c r="O2203" s="314">
        <v>1</v>
      </c>
      <c r="P2203" s="223">
        <f t="shared" si="371"/>
        <v>600</v>
      </c>
      <c r="Q2203" s="223"/>
      <c r="R2203" s="102">
        <v>600</v>
      </c>
      <c r="S2203" s="83">
        <f t="shared" si="370"/>
        <v>0</v>
      </c>
      <c r="T2203" s="315">
        <f t="shared" si="372"/>
        <v>1329.2307692307693</v>
      </c>
      <c r="U2203" s="84">
        <f t="shared" si="373"/>
        <v>0</v>
      </c>
      <c r="V2203" s="84">
        <f t="shared" si="374"/>
        <v>0</v>
      </c>
      <c r="W2203" s="84">
        <v>0</v>
      </c>
      <c r="X2203" s="255">
        <f t="shared" si="375"/>
        <v>46153.883449074077</v>
      </c>
    </row>
    <row r="2204" spans="1:24" s="118" customFormat="1" hidden="1" x14ac:dyDescent="0.35">
      <c r="A2204" s="71">
        <f t="shared" si="376"/>
        <v>46153.883449074077</v>
      </c>
      <c r="B2204" s="71"/>
      <c r="C2204" s="71"/>
      <c r="D2204" s="71"/>
      <c r="E2204" s="119" t="s">
        <v>134</v>
      </c>
      <c r="F2204" s="48" t="s">
        <v>1041</v>
      </c>
      <c r="G2204" s="48"/>
      <c r="H2204" s="49" t="s">
        <v>1042</v>
      </c>
      <c r="I2204" s="82" t="s">
        <v>108</v>
      </c>
      <c r="J2204" s="100" t="s">
        <v>140</v>
      </c>
      <c r="K2204" s="84">
        <v>0</v>
      </c>
      <c r="L2204" s="84">
        <v>0</v>
      </c>
      <c r="M2204" s="83">
        <v>800</v>
      </c>
      <c r="N2204" s="223">
        <v>25</v>
      </c>
      <c r="O2204" s="314">
        <v>1</v>
      </c>
      <c r="P2204" s="223">
        <f t="shared" si="371"/>
        <v>25</v>
      </c>
      <c r="Q2204" s="223"/>
      <c r="R2204" s="102">
        <v>25</v>
      </c>
      <c r="S2204" s="83">
        <f t="shared" si="370"/>
        <v>0</v>
      </c>
      <c r="T2204" s="315">
        <f t="shared" si="372"/>
        <v>108</v>
      </c>
      <c r="U2204" s="84">
        <f t="shared" si="373"/>
        <v>0</v>
      </c>
      <c r="V2204" s="84">
        <f t="shared" si="374"/>
        <v>0</v>
      </c>
      <c r="W2204" s="84">
        <v>0</v>
      </c>
      <c r="X2204" s="255">
        <f t="shared" si="375"/>
        <v>46153.883449074077</v>
      </c>
    </row>
    <row r="2205" spans="1:24" s="118" customFormat="1" ht="29" hidden="1" x14ac:dyDescent="0.35">
      <c r="A2205" s="71">
        <f t="shared" si="376"/>
        <v>46153.883449074077</v>
      </c>
      <c r="B2205" s="71"/>
      <c r="C2205" s="71"/>
      <c r="D2205" s="71"/>
      <c r="E2205" s="119" t="s">
        <v>134</v>
      </c>
      <c r="F2205" s="48" t="s">
        <v>652</v>
      </c>
      <c r="G2205" s="48"/>
      <c r="H2205" s="49" t="s">
        <v>1043</v>
      </c>
      <c r="I2205" s="82" t="s">
        <v>108</v>
      </c>
      <c r="J2205" s="100" t="s">
        <v>140</v>
      </c>
      <c r="K2205" s="84">
        <v>0</v>
      </c>
      <c r="L2205" s="84">
        <v>0</v>
      </c>
      <c r="M2205" s="83">
        <v>800</v>
      </c>
      <c r="N2205" s="223">
        <v>50</v>
      </c>
      <c r="O2205" s="314">
        <v>1</v>
      </c>
      <c r="P2205" s="223">
        <f t="shared" si="371"/>
        <v>50</v>
      </c>
      <c r="Q2205" s="223"/>
      <c r="R2205" s="102">
        <v>50</v>
      </c>
      <c r="S2205" s="83">
        <f t="shared" si="370"/>
        <v>0</v>
      </c>
      <c r="T2205" s="315">
        <f t="shared" si="372"/>
        <v>108</v>
      </c>
      <c r="U2205" s="84">
        <f t="shared" si="373"/>
        <v>0</v>
      </c>
      <c r="V2205" s="84">
        <f t="shared" si="374"/>
        <v>0</v>
      </c>
      <c r="W2205" s="84">
        <v>0</v>
      </c>
      <c r="X2205" s="255">
        <f t="shared" si="375"/>
        <v>46153.883449074077</v>
      </c>
    </row>
    <row r="2206" spans="1:24" s="118" customFormat="1" ht="29" hidden="1" x14ac:dyDescent="0.35">
      <c r="A2206" s="71">
        <f t="shared" si="376"/>
        <v>46153.883449074077</v>
      </c>
      <c r="B2206" s="71"/>
      <c r="C2206" s="71"/>
      <c r="D2206" s="71"/>
      <c r="E2206" s="119" t="s">
        <v>134</v>
      </c>
      <c r="F2206" s="48" t="s">
        <v>652</v>
      </c>
      <c r="G2206" s="48"/>
      <c r="H2206" s="59" t="s">
        <v>1044</v>
      </c>
      <c r="I2206" s="71" t="s">
        <v>999</v>
      </c>
      <c r="J2206" s="100" t="s">
        <v>140</v>
      </c>
      <c r="K2206" s="84">
        <v>0</v>
      </c>
      <c r="L2206" s="84">
        <v>0</v>
      </c>
      <c r="M2206" s="83">
        <v>270</v>
      </c>
      <c r="N2206" s="317">
        <v>706</v>
      </c>
      <c r="O2206" s="314">
        <v>1</v>
      </c>
      <c r="P2206" s="223">
        <f t="shared" si="371"/>
        <v>706</v>
      </c>
      <c r="Q2206" s="223"/>
      <c r="R2206" s="346">
        <v>706</v>
      </c>
      <c r="S2206" s="83">
        <f t="shared" si="370"/>
        <v>0</v>
      </c>
      <c r="T2206" s="315">
        <f t="shared" si="372"/>
        <v>320</v>
      </c>
      <c r="U2206" s="84">
        <f t="shared" si="373"/>
        <v>0</v>
      </c>
      <c r="V2206" s="84">
        <f t="shared" si="374"/>
        <v>0</v>
      </c>
      <c r="W2206" s="84">
        <v>0</v>
      </c>
      <c r="X2206" s="255">
        <f t="shared" si="375"/>
        <v>46153.883449074077</v>
      </c>
    </row>
    <row r="2207" spans="1:24" s="118" customFormat="1" ht="26.5" hidden="1" x14ac:dyDescent="0.35">
      <c r="A2207" s="71">
        <f t="shared" si="376"/>
        <v>46153.883449074077</v>
      </c>
      <c r="B2207" s="71"/>
      <c r="C2207" s="71"/>
      <c r="D2207" s="71"/>
      <c r="E2207" s="119" t="s">
        <v>134</v>
      </c>
      <c r="F2207" s="48" t="s">
        <v>1045</v>
      </c>
      <c r="G2207" s="48"/>
      <c r="H2207" s="59" t="s">
        <v>1046</v>
      </c>
      <c r="I2207" s="106" t="s">
        <v>1047</v>
      </c>
      <c r="J2207" s="100" t="s">
        <v>140</v>
      </c>
      <c r="K2207" s="84">
        <v>0</v>
      </c>
      <c r="L2207" s="84">
        <v>0</v>
      </c>
      <c r="M2207" s="83">
        <v>100</v>
      </c>
      <c r="N2207" s="223">
        <v>1050</v>
      </c>
      <c r="O2207" s="314">
        <v>1</v>
      </c>
      <c r="P2207" s="223">
        <f t="shared" si="371"/>
        <v>1050</v>
      </c>
      <c r="Q2207" s="223"/>
      <c r="R2207" s="102">
        <v>1050</v>
      </c>
      <c r="S2207" s="83">
        <f t="shared" si="370"/>
        <v>0</v>
      </c>
      <c r="T2207" s="315">
        <f t="shared" si="372"/>
        <v>864</v>
      </c>
      <c r="U2207" s="84">
        <f t="shared" si="373"/>
        <v>0</v>
      </c>
      <c r="V2207" s="84">
        <f t="shared" si="374"/>
        <v>0</v>
      </c>
      <c r="W2207" s="84">
        <v>0</v>
      </c>
      <c r="X2207" s="255">
        <f t="shared" si="375"/>
        <v>46153.883449074077</v>
      </c>
    </row>
    <row r="2208" spans="1:24" s="118" customFormat="1" ht="29" hidden="1" x14ac:dyDescent="0.35">
      <c r="A2208" s="71">
        <f t="shared" si="376"/>
        <v>46153.883449074077</v>
      </c>
      <c r="B2208" s="71"/>
      <c r="C2208" s="71"/>
      <c r="D2208" s="71"/>
      <c r="E2208" s="119" t="s">
        <v>134</v>
      </c>
      <c r="F2208" s="48" t="s">
        <v>652</v>
      </c>
      <c r="G2208" s="48"/>
      <c r="H2208" s="49" t="s">
        <v>1048</v>
      </c>
      <c r="I2208" s="333" t="s">
        <v>1049</v>
      </c>
      <c r="J2208" s="100" t="s">
        <v>140</v>
      </c>
      <c r="K2208" s="84">
        <v>0</v>
      </c>
      <c r="L2208" s="84">
        <v>0</v>
      </c>
      <c r="M2208" s="83">
        <v>95</v>
      </c>
      <c r="N2208" s="223">
        <v>250</v>
      </c>
      <c r="O2208" s="314">
        <v>1</v>
      </c>
      <c r="P2208" s="223">
        <f t="shared" si="371"/>
        <v>250</v>
      </c>
      <c r="Q2208" s="223"/>
      <c r="R2208" s="102">
        <v>250</v>
      </c>
      <c r="S2208" s="83">
        <f t="shared" si="370"/>
        <v>0</v>
      </c>
      <c r="T2208" s="315">
        <f t="shared" si="372"/>
        <v>909.47368421052624</v>
      </c>
      <c r="U2208" s="84">
        <f t="shared" si="373"/>
        <v>0</v>
      </c>
      <c r="V2208" s="84">
        <f t="shared" si="374"/>
        <v>0</v>
      </c>
      <c r="W2208" s="84">
        <v>0</v>
      </c>
      <c r="X2208" s="255">
        <f t="shared" si="375"/>
        <v>46153.883449074077</v>
      </c>
    </row>
    <row r="2209" spans="1:24" s="118" customFormat="1" ht="29" hidden="1" x14ac:dyDescent="0.35">
      <c r="A2209" s="71">
        <f t="shared" si="376"/>
        <v>46153.883449074077</v>
      </c>
      <c r="B2209" s="71"/>
      <c r="C2209" s="71"/>
      <c r="D2209" s="71"/>
      <c r="E2209" s="119" t="s">
        <v>134</v>
      </c>
      <c r="F2209" s="48" t="s">
        <v>652</v>
      </c>
      <c r="G2209" s="48"/>
      <c r="H2209" s="49" t="s">
        <v>1050</v>
      </c>
      <c r="I2209" s="333" t="s">
        <v>1051</v>
      </c>
      <c r="J2209" s="100" t="s">
        <v>140</v>
      </c>
      <c r="K2209" s="84">
        <v>0</v>
      </c>
      <c r="L2209" s="84">
        <v>0</v>
      </c>
      <c r="M2209" s="83">
        <v>95</v>
      </c>
      <c r="N2209" s="223">
        <v>1000</v>
      </c>
      <c r="O2209" s="314">
        <v>1</v>
      </c>
      <c r="P2209" s="223">
        <f t="shared" si="371"/>
        <v>1000</v>
      </c>
      <c r="Q2209" s="223"/>
      <c r="R2209" s="102">
        <v>1000</v>
      </c>
      <c r="S2209" s="83">
        <f t="shared" si="370"/>
        <v>0</v>
      </c>
      <c r="T2209" s="315">
        <f t="shared" si="372"/>
        <v>909.47368421052624</v>
      </c>
      <c r="U2209" s="84">
        <f t="shared" si="373"/>
        <v>0</v>
      </c>
      <c r="V2209" s="84">
        <f t="shared" si="374"/>
        <v>0</v>
      </c>
      <c r="W2209" s="84">
        <v>0</v>
      </c>
      <c r="X2209" s="255">
        <f t="shared" si="375"/>
        <v>46153.883449074077</v>
      </c>
    </row>
    <row r="2210" spans="1:24" s="118" customFormat="1" ht="29" hidden="1" x14ac:dyDescent="0.35">
      <c r="A2210" s="71">
        <f t="shared" si="376"/>
        <v>46153.883449074077</v>
      </c>
      <c r="B2210" s="71"/>
      <c r="C2210" s="71"/>
      <c r="D2210" s="71"/>
      <c r="E2210" s="119" t="s">
        <v>134</v>
      </c>
      <c r="F2210" s="62" t="s">
        <v>652</v>
      </c>
      <c r="G2210" s="62"/>
      <c r="H2210" s="49" t="s">
        <v>1052</v>
      </c>
      <c r="I2210" s="82" t="s">
        <v>222</v>
      </c>
      <c r="J2210" s="100" t="s">
        <v>140</v>
      </c>
      <c r="K2210" s="84">
        <v>0</v>
      </c>
      <c r="L2210" s="84">
        <v>0</v>
      </c>
      <c r="M2210" s="83">
        <v>100</v>
      </c>
      <c r="N2210" s="223">
        <v>1000</v>
      </c>
      <c r="O2210" s="314">
        <v>1</v>
      </c>
      <c r="P2210" s="223">
        <v>1000</v>
      </c>
      <c r="Q2210" s="223"/>
      <c r="R2210" s="102">
        <v>1000</v>
      </c>
      <c r="S2210" s="83">
        <f t="shared" si="370"/>
        <v>0</v>
      </c>
      <c r="T2210" s="315">
        <f t="shared" si="372"/>
        <v>864</v>
      </c>
      <c r="U2210" s="84">
        <f t="shared" si="373"/>
        <v>0</v>
      </c>
      <c r="V2210" s="84">
        <f t="shared" si="374"/>
        <v>0</v>
      </c>
      <c r="W2210" s="84">
        <v>0</v>
      </c>
      <c r="X2210" s="255">
        <f t="shared" si="375"/>
        <v>46153.883449074077</v>
      </c>
    </row>
    <row r="2211" spans="1:24" s="118" customFormat="1" hidden="1" x14ac:dyDescent="0.35">
      <c r="A2211" s="71">
        <f t="shared" si="376"/>
        <v>46153.883449074077</v>
      </c>
      <c r="B2211" s="71"/>
      <c r="C2211" s="71"/>
      <c r="D2211" s="71"/>
      <c r="E2211" s="119" t="s">
        <v>134</v>
      </c>
      <c r="F2211" s="48" t="s">
        <v>1053</v>
      </c>
      <c r="G2211" s="48"/>
      <c r="H2211" s="49" t="s">
        <v>1054</v>
      </c>
      <c r="I2211" s="82" t="s">
        <v>1055</v>
      </c>
      <c r="J2211" s="100" t="s">
        <v>140</v>
      </c>
      <c r="K2211" s="84">
        <v>0</v>
      </c>
      <c r="L2211" s="84">
        <v>0</v>
      </c>
      <c r="M2211" s="83">
        <v>60</v>
      </c>
      <c r="N2211" s="223">
        <v>4700</v>
      </c>
      <c r="O2211" s="314">
        <v>1</v>
      </c>
      <c r="P2211" s="223">
        <f t="shared" ref="P2211:P2273" si="377">N2211/O2211</f>
        <v>4700</v>
      </c>
      <c r="Q2211" s="223"/>
      <c r="R2211" s="102">
        <v>4700</v>
      </c>
      <c r="S2211" s="83">
        <f t="shared" si="370"/>
        <v>0</v>
      </c>
      <c r="T2211" s="315">
        <f t="shared" si="372"/>
        <v>1440</v>
      </c>
      <c r="U2211" s="84">
        <f t="shared" si="373"/>
        <v>0</v>
      </c>
      <c r="V2211" s="84">
        <f t="shared" si="374"/>
        <v>0</v>
      </c>
      <c r="W2211" s="84">
        <v>0</v>
      </c>
      <c r="X2211" s="255">
        <f t="shared" si="375"/>
        <v>46153.883449074077</v>
      </c>
    </row>
    <row r="2212" spans="1:24" s="118" customFormat="1" hidden="1" x14ac:dyDescent="0.35">
      <c r="A2212" s="71">
        <f t="shared" si="376"/>
        <v>46153.883449074077</v>
      </c>
      <c r="B2212" s="71"/>
      <c r="C2212" s="71"/>
      <c r="D2212" s="71"/>
      <c r="E2212" s="119" t="s">
        <v>134</v>
      </c>
      <c r="F2212" s="48" t="s">
        <v>1053</v>
      </c>
      <c r="G2212" s="48"/>
      <c r="H2212" s="49" t="s">
        <v>1056</v>
      </c>
      <c r="I2212" s="82" t="s">
        <v>1057</v>
      </c>
      <c r="J2212" s="100" t="s">
        <v>140</v>
      </c>
      <c r="K2212" s="84">
        <v>0</v>
      </c>
      <c r="L2212" s="84">
        <v>0</v>
      </c>
      <c r="M2212" s="83">
        <v>60</v>
      </c>
      <c r="N2212" s="223">
        <v>300</v>
      </c>
      <c r="O2212" s="314">
        <v>1</v>
      </c>
      <c r="P2212" s="223">
        <f t="shared" si="377"/>
        <v>300</v>
      </c>
      <c r="Q2212" s="223"/>
      <c r="R2212" s="102">
        <v>300</v>
      </c>
      <c r="S2212" s="83">
        <f t="shared" si="370"/>
        <v>0</v>
      </c>
      <c r="T2212" s="315">
        <f t="shared" si="372"/>
        <v>1440</v>
      </c>
      <c r="U2212" s="84">
        <f t="shared" si="373"/>
        <v>0</v>
      </c>
      <c r="V2212" s="84">
        <f t="shared" si="374"/>
        <v>0</v>
      </c>
      <c r="W2212" s="84">
        <v>0</v>
      </c>
      <c r="X2212" s="255">
        <f t="shared" si="375"/>
        <v>46153.883449074077</v>
      </c>
    </row>
    <row r="2213" spans="1:24" s="118" customFormat="1" ht="72.5" hidden="1" x14ac:dyDescent="0.35">
      <c r="A2213" s="71">
        <f t="shared" si="376"/>
        <v>46153.883449074077</v>
      </c>
      <c r="B2213" s="71"/>
      <c r="C2213" s="71"/>
      <c r="D2213" s="71"/>
      <c r="E2213" s="119" t="s">
        <v>134</v>
      </c>
      <c r="F2213" s="57" t="s">
        <v>4200</v>
      </c>
      <c r="G2213" s="57"/>
      <c r="H2213" s="216" t="s">
        <v>518</v>
      </c>
      <c r="I2213" s="82" t="s">
        <v>470</v>
      </c>
      <c r="J2213" s="100" t="s">
        <v>140</v>
      </c>
      <c r="K2213" s="84">
        <v>0</v>
      </c>
      <c r="L2213" s="84">
        <v>0</v>
      </c>
      <c r="M2213" s="83">
        <v>187</v>
      </c>
      <c r="N2213" s="223">
        <v>5518</v>
      </c>
      <c r="O2213" s="314">
        <v>2</v>
      </c>
      <c r="P2213" s="223">
        <f t="shared" si="377"/>
        <v>2759</v>
      </c>
      <c r="Q2213" s="223"/>
      <c r="R2213" s="102">
        <v>2759</v>
      </c>
      <c r="S2213" s="83">
        <f t="shared" si="370"/>
        <v>0</v>
      </c>
      <c r="T2213" s="315">
        <f t="shared" si="372"/>
        <v>924.06417112299459</v>
      </c>
      <c r="U2213" s="84">
        <f t="shared" si="373"/>
        <v>0</v>
      </c>
      <c r="V2213" s="84">
        <f t="shared" si="374"/>
        <v>0</v>
      </c>
      <c r="W2213" s="84">
        <v>0</v>
      </c>
      <c r="X2213" s="255">
        <f t="shared" si="375"/>
        <v>46153.883449074077</v>
      </c>
    </row>
    <row r="2214" spans="1:24" s="118" customFormat="1" ht="29" hidden="1" x14ac:dyDescent="0.35">
      <c r="A2214" s="71">
        <f t="shared" si="376"/>
        <v>46153.883449074077</v>
      </c>
      <c r="B2214" s="71"/>
      <c r="C2214" s="71"/>
      <c r="D2214" s="71"/>
      <c r="E2214" s="119" t="s">
        <v>134</v>
      </c>
      <c r="F2214" s="57" t="s">
        <v>1058</v>
      </c>
      <c r="G2214" s="57"/>
      <c r="H2214" s="49" t="s">
        <v>1059</v>
      </c>
      <c r="I2214" s="71" t="s">
        <v>1060</v>
      </c>
      <c r="J2214" s="100" t="s">
        <v>140</v>
      </c>
      <c r="K2214" s="84">
        <v>0</v>
      </c>
      <c r="L2214" s="84">
        <v>0</v>
      </c>
      <c r="M2214" s="83">
        <v>187</v>
      </c>
      <c r="N2214" s="223">
        <v>2304</v>
      </c>
      <c r="O2214" s="314">
        <v>2</v>
      </c>
      <c r="P2214" s="223">
        <f t="shared" si="377"/>
        <v>1152</v>
      </c>
      <c r="Q2214" s="223"/>
      <c r="R2214" s="102">
        <v>1152</v>
      </c>
      <c r="S2214" s="83">
        <f t="shared" si="370"/>
        <v>0</v>
      </c>
      <c r="T2214" s="315">
        <f t="shared" si="372"/>
        <v>924.06417112299459</v>
      </c>
      <c r="U2214" s="84">
        <f t="shared" si="373"/>
        <v>0</v>
      </c>
      <c r="V2214" s="84">
        <f t="shared" si="374"/>
        <v>0</v>
      </c>
      <c r="W2214" s="84">
        <v>0</v>
      </c>
      <c r="X2214" s="255">
        <f t="shared" si="375"/>
        <v>46153.883449074077</v>
      </c>
    </row>
    <row r="2215" spans="1:24" s="118" customFormat="1" hidden="1" x14ac:dyDescent="0.35">
      <c r="A2215" s="71">
        <f t="shared" si="376"/>
        <v>46153.883449074077</v>
      </c>
      <c r="B2215" s="71"/>
      <c r="C2215" s="71"/>
      <c r="D2215" s="71"/>
      <c r="E2215" s="96" t="s">
        <v>134</v>
      </c>
      <c r="F2215" s="48" t="s">
        <v>534</v>
      </c>
      <c r="G2215" s="48"/>
      <c r="H2215" s="49" t="s">
        <v>1061</v>
      </c>
      <c r="I2215" s="82" t="s">
        <v>457</v>
      </c>
      <c r="J2215" s="100" t="s">
        <v>140</v>
      </c>
      <c r="K2215" s="84">
        <v>0</v>
      </c>
      <c r="L2215" s="84">
        <v>0</v>
      </c>
      <c r="M2215" s="83">
        <v>120</v>
      </c>
      <c r="N2215" s="223">
        <v>1000</v>
      </c>
      <c r="O2215" s="314">
        <v>1</v>
      </c>
      <c r="P2215" s="223">
        <f t="shared" si="377"/>
        <v>1000</v>
      </c>
      <c r="Q2215" s="223"/>
      <c r="R2215" s="102">
        <v>1000</v>
      </c>
      <c r="S2215" s="83">
        <f t="shared" si="370"/>
        <v>0</v>
      </c>
      <c r="T2215" s="315">
        <f t="shared" si="372"/>
        <v>720</v>
      </c>
      <c r="U2215" s="84">
        <f t="shared" si="373"/>
        <v>0</v>
      </c>
      <c r="V2215" s="84">
        <f t="shared" si="374"/>
        <v>0</v>
      </c>
      <c r="W2215" s="84">
        <v>0</v>
      </c>
      <c r="X2215" s="255">
        <f t="shared" si="375"/>
        <v>46153.883449074077</v>
      </c>
    </row>
    <row r="2216" spans="1:24" s="118" customFormat="1" hidden="1" x14ac:dyDescent="0.35">
      <c r="A2216" s="71">
        <f t="shared" si="376"/>
        <v>46153.883449074077</v>
      </c>
      <c r="B2216" s="71"/>
      <c r="C2216" s="71"/>
      <c r="D2216" s="71"/>
      <c r="E2216" s="96" t="s">
        <v>134</v>
      </c>
      <c r="F2216" s="57" t="s">
        <v>1062</v>
      </c>
      <c r="G2216" s="57"/>
      <c r="H2216" s="49" t="s">
        <v>1063</v>
      </c>
      <c r="I2216" s="99" t="s">
        <v>160</v>
      </c>
      <c r="J2216" s="100" t="s">
        <v>283</v>
      </c>
      <c r="K2216" s="84">
        <v>0</v>
      </c>
      <c r="L2216" s="84">
        <v>0</v>
      </c>
      <c r="M2216" s="83">
        <v>50</v>
      </c>
      <c r="N2216" s="223">
        <v>12000</v>
      </c>
      <c r="O2216" s="314">
        <v>1</v>
      </c>
      <c r="P2216" s="223">
        <f t="shared" si="377"/>
        <v>12000</v>
      </c>
      <c r="Q2216" s="223"/>
      <c r="R2216" s="102">
        <v>12000</v>
      </c>
      <c r="S2216" s="83">
        <f t="shared" si="370"/>
        <v>0</v>
      </c>
      <c r="T2216" s="315">
        <f t="shared" si="372"/>
        <v>1728</v>
      </c>
      <c r="U2216" s="84">
        <f t="shared" si="373"/>
        <v>0</v>
      </c>
      <c r="V2216" s="84">
        <f t="shared" si="374"/>
        <v>0</v>
      </c>
      <c r="W2216" s="84">
        <v>0</v>
      </c>
      <c r="X2216" s="255">
        <f t="shared" si="375"/>
        <v>46153.883449074077</v>
      </c>
    </row>
    <row r="2217" spans="1:24" s="118" customFormat="1" ht="29" hidden="1" x14ac:dyDescent="0.35">
      <c r="A2217" s="71">
        <f t="shared" si="376"/>
        <v>46153.883449074077</v>
      </c>
      <c r="B2217" s="71"/>
      <c r="C2217" s="71"/>
      <c r="D2217" s="71"/>
      <c r="E2217" s="119" t="s">
        <v>134</v>
      </c>
      <c r="F2217" s="48" t="s">
        <v>1064</v>
      </c>
      <c r="G2217" s="48"/>
      <c r="H2217" s="49" t="s">
        <v>1065</v>
      </c>
      <c r="I2217" s="71" t="s">
        <v>1066</v>
      </c>
      <c r="J2217" s="100" t="s">
        <v>140</v>
      </c>
      <c r="K2217" s="84">
        <v>0</v>
      </c>
      <c r="L2217" s="84">
        <v>0</v>
      </c>
      <c r="M2217" s="83">
        <v>65</v>
      </c>
      <c r="N2217" s="223">
        <v>525</v>
      </c>
      <c r="O2217" s="314">
        <v>1</v>
      </c>
      <c r="P2217" s="223">
        <f t="shared" si="377"/>
        <v>525</v>
      </c>
      <c r="Q2217" s="223"/>
      <c r="R2217" s="102">
        <v>525</v>
      </c>
      <c r="S2217" s="83">
        <f t="shared" si="370"/>
        <v>0</v>
      </c>
      <c r="T2217" s="315">
        <f t="shared" si="372"/>
        <v>1329.2307692307693</v>
      </c>
      <c r="U2217" s="84">
        <f t="shared" si="373"/>
        <v>0</v>
      </c>
      <c r="V2217" s="84">
        <f t="shared" si="374"/>
        <v>0</v>
      </c>
      <c r="W2217" s="84">
        <v>0</v>
      </c>
      <c r="X2217" s="255">
        <f t="shared" si="375"/>
        <v>46153.883449074077</v>
      </c>
    </row>
    <row r="2218" spans="1:24" s="118" customFormat="1" hidden="1" x14ac:dyDescent="0.35">
      <c r="A2218" s="71">
        <f t="shared" si="376"/>
        <v>46153.883449074077</v>
      </c>
      <c r="B2218" s="71"/>
      <c r="C2218" s="71"/>
      <c r="D2218" s="71"/>
      <c r="E2218" s="119" t="s">
        <v>134</v>
      </c>
      <c r="F2218" s="48" t="s">
        <v>1067</v>
      </c>
      <c r="G2218" s="48"/>
      <c r="H2218" s="49" t="s">
        <v>1068</v>
      </c>
      <c r="I2218" s="71" t="s">
        <v>351</v>
      </c>
      <c r="J2218" s="100" t="s">
        <v>140</v>
      </c>
      <c r="K2218" s="84">
        <v>0</v>
      </c>
      <c r="L2218" s="84">
        <v>0</v>
      </c>
      <c r="M2218" s="83">
        <v>65</v>
      </c>
      <c r="N2218" s="223">
        <v>125</v>
      </c>
      <c r="O2218" s="314">
        <v>1</v>
      </c>
      <c r="P2218" s="223">
        <f t="shared" si="377"/>
        <v>125</v>
      </c>
      <c r="Q2218" s="223"/>
      <c r="R2218" s="102">
        <v>125</v>
      </c>
      <c r="S2218" s="83">
        <f t="shared" si="370"/>
        <v>0</v>
      </c>
      <c r="T2218" s="315">
        <f t="shared" si="372"/>
        <v>1329.2307692307693</v>
      </c>
      <c r="U2218" s="84">
        <f t="shared" si="373"/>
        <v>0</v>
      </c>
      <c r="V2218" s="84">
        <f t="shared" si="374"/>
        <v>0</v>
      </c>
      <c r="W2218" s="84">
        <v>0</v>
      </c>
      <c r="X2218" s="255">
        <f t="shared" si="375"/>
        <v>46153.883449074077</v>
      </c>
    </row>
    <row r="2219" spans="1:24" s="118" customFormat="1" hidden="1" x14ac:dyDescent="0.35">
      <c r="A2219" s="71">
        <f t="shared" si="376"/>
        <v>46153.883449074077</v>
      </c>
      <c r="B2219" s="71"/>
      <c r="C2219" s="71"/>
      <c r="D2219" s="71"/>
      <c r="E2219" s="96" t="s">
        <v>134</v>
      </c>
      <c r="F2219" s="48" t="s">
        <v>1069</v>
      </c>
      <c r="G2219" s="48"/>
      <c r="H2219" s="326" t="s">
        <v>1070</v>
      </c>
      <c r="I2219" s="71" t="s">
        <v>339</v>
      </c>
      <c r="J2219" s="170" t="s">
        <v>140</v>
      </c>
      <c r="K2219" s="84">
        <v>0</v>
      </c>
      <c r="L2219" s="84">
        <v>0</v>
      </c>
      <c r="M2219" s="83">
        <v>65</v>
      </c>
      <c r="N2219" s="223">
        <v>200</v>
      </c>
      <c r="O2219" s="331">
        <v>1</v>
      </c>
      <c r="P2219" s="330">
        <f t="shared" si="377"/>
        <v>200</v>
      </c>
      <c r="Q2219" s="330"/>
      <c r="R2219" s="102">
        <v>200</v>
      </c>
      <c r="S2219" s="329">
        <f t="shared" si="370"/>
        <v>0</v>
      </c>
      <c r="T2219" s="332">
        <f t="shared" si="372"/>
        <v>1329.2307692307693</v>
      </c>
      <c r="U2219" s="328">
        <f t="shared" si="373"/>
        <v>0</v>
      </c>
      <c r="V2219" s="328">
        <f t="shared" si="374"/>
        <v>0</v>
      </c>
      <c r="W2219" s="328">
        <v>0</v>
      </c>
      <c r="X2219" s="255">
        <f t="shared" si="375"/>
        <v>46153.883449074077</v>
      </c>
    </row>
    <row r="2220" spans="1:24" s="118" customFormat="1" ht="26.5" hidden="1" x14ac:dyDescent="0.35">
      <c r="A2220" s="71">
        <f t="shared" si="376"/>
        <v>46153.883449074077</v>
      </c>
      <c r="B2220" s="71"/>
      <c r="C2220" s="71"/>
      <c r="D2220" s="71"/>
      <c r="E2220" s="96" t="s">
        <v>134</v>
      </c>
      <c r="F2220" s="82" t="s">
        <v>1064</v>
      </c>
      <c r="G2220" s="82"/>
      <c r="H2220" s="334" t="s">
        <v>1071</v>
      </c>
      <c r="I2220" s="71" t="s">
        <v>339</v>
      </c>
      <c r="J2220" s="170" t="s">
        <v>140</v>
      </c>
      <c r="K2220" s="101">
        <v>0</v>
      </c>
      <c r="L2220" s="101">
        <v>0</v>
      </c>
      <c r="M2220" s="102">
        <v>65</v>
      </c>
      <c r="N2220" s="103">
        <v>700</v>
      </c>
      <c r="O2220" s="335">
        <v>1</v>
      </c>
      <c r="P2220" s="336">
        <f t="shared" si="377"/>
        <v>700</v>
      </c>
      <c r="Q2220" s="336"/>
      <c r="R2220" s="102">
        <v>700</v>
      </c>
      <c r="S2220" s="337">
        <f t="shared" si="370"/>
        <v>0</v>
      </c>
      <c r="T2220" s="338">
        <f t="shared" si="372"/>
        <v>1329.2307692307693</v>
      </c>
      <c r="U2220" s="339">
        <f t="shared" si="373"/>
        <v>0</v>
      </c>
      <c r="V2220" s="339">
        <f t="shared" si="374"/>
        <v>0</v>
      </c>
      <c r="W2220" s="339">
        <v>0</v>
      </c>
      <c r="X2220" s="255">
        <f t="shared" si="375"/>
        <v>46153.883449074077</v>
      </c>
    </row>
    <row r="2221" spans="1:24" s="118" customFormat="1" ht="26.5" hidden="1" x14ac:dyDescent="0.35">
      <c r="A2221" s="71">
        <f t="shared" si="376"/>
        <v>46153.883449074077</v>
      </c>
      <c r="B2221" s="71"/>
      <c r="C2221" s="71"/>
      <c r="D2221" s="71"/>
      <c r="E2221" s="96" t="s">
        <v>134</v>
      </c>
      <c r="F2221" s="82" t="s">
        <v>1064</v>
      </c>
      <c r="G2221" s="82"/>
      <c r="H2221" s="334" t="s">
        <v>1072</v>
      </c>
      <c r="I2221" s="73" t="s">
        <v>1073</v>
      </c>
      <c r="J2221" s="170" t="s">
        <v>140</v>
      </c>
      <c r="K2221" s="339">
        <v>0</v>
      </c>
      <c r="L2221" s="339">
        <v>0</v>
      </c>
      <c r="M2221" s="337">
        <v>65</v>
      </c>
      <c r="N2221" s="336">
        <v>500</v>
      </c>
      <c r="O2221" s="335">
        <v>1</v>
      </c>
      <c r="P2221" s="336">
        <f t="shared" si="377"/>
        <v>500</v>
      </c>
      <c r="Q2221" s="336"/>
      <c r="R2221" s="102">
        <v>500</v>
      </c>
      <c r="S2221" s="337">
        <f t="shared" si="370"/>
        <v>0</v>
      </c>
      <c r="T2221" s="338">
        <f t="shared" si="372"/>
        <v>1329.2307692307693</v>
      </c>
      <c r="U2221" s="339">
        <f t="shared" si="373"/>
        <v>0</v>
      </c>
      <c r="V2221" s="339">
        <f t="shared" si="374"/>
        <v>0</v>
      </c>
      <c r="W2221" s="339">
        <v>0</v>
      </c>
      <c r="X2221" s="255">
        <f t="shared" si="375"/>
        <v>46153.883449074077</v>
      </c>
    </row>
    <row r="2222" spans="1:24" s="118" customFormat="1" ht="26.5" hidden="1" x14ac:dyDescent="0.35">
      <c r="A2222" s="71">
        <f t="shared" si="376"/>
        <v>46153.883449074077</v>
      </c>
      <c r="B2222" s="71"/>
      <c r="C2222" s="71"/>
      <c r="D2222" s="71"/>
      <c r="E2222" s="96" t="s">
        <v>134</v>
      </c>
      <c r="F2222" s="82" t="s">
        <v>1064</v>
      </c>
      <c r="G2222" s="82"/>
      <c r="H2222" s="334" t="s">
        <v>1074</v>
      </c>
      <c r="I2222" s="71" t="s">
        <v>348</v>
      </c>
      <c r="J2222" s="170" t="s">
        <v>140</v>
      </c>
      <c r="K2222" s="339">
        <v>0</v>
      </c>
      <c r="L2222" s="339">
        <v>0</v>
      </c>
      <c r="M2222" s="337">
        <v>65</v>
      </c>
      <c r="N2222" s="336">
        <v>200</v>
      </c>
      <c r="O2222" s="335">
        <v>1</v>
      </c>
      <c r="P2222" s="336">
        <f t="shared" si="377"/>
        <v>200</v>
      </c>
      <c r="Q2222" s="336"/>
      <c r="R2222" s="102">
        <v>200</v>
      </c>
      <c r="S2222" s="337">
        <f t="shared" si="370"/>
        <v>0</v>
      </c>
      <c r="T2222" s="338">
        <f t="shared" si="372"/>
        <v>1329.2307692307693</v>
      </c>
      <c r="U2222" s="339">
        <f t="shared" si="373"/>
        <v>0</v>
      </c>
      <c r="V2222" s="339">
        <f t="shared" si="374"/>
        <v>0</v>
      </c>
      <c r="W2222" s="339">
        <v>0</v>
      </c>
      <c r="X2222" s="255">
        <f t="shared" si="375"/>
        <v>46153.883449074077</v>
      </c>
    </row>
    <row r="2223" spans="1:24" s="118" customFormat="1" ht="26.5" hidden="1" x14ac:dyDescent="0.35">
      <c r="A2223" s="71">
        <f t="shared" si="376"/>
        <v>46153.883449074077</v>
      </c>
      <c r="B2223" s="71"/>
      <c r="C2223" s="71"/>
      <c r="D2223" s="71"/>
      <c r="E2223" s="96" t="s">
        <v>134</v>
      </c>
      <c r="F2223" s="82" t="s">
        <v>1064</v>
      </c>
      <c r="G2223" s="82"/>
      <c r="H2223" s="334" t="s">
        <v>1075</v>
      </c>
      <c r="I2223" s="71" t="s">
        <v>345</v>
      </c>
      <c r="J2223" s="170" t="s">
        <v>140</v>
      </c>
      <c r="K2223" s="339">
        <v>0</v>
      </c>
      <c r="L2223" s="339">
        <v>0</v>
      </c>
      <c r="M2223" s="337">
        <v>65</v>
      </c>
      <c r="N2223" s="336">
        <v>200</v>
      </c>
      <c r="O2223" s="335">
        <v>1</v>
      </c>
      <c r="P2223" s="336">
        <f t="shared" si="377"/>
        <v>200</v>
      </c>
      <c r="Q2223" s="336"/>
      <c r="R2223" s="102">
        <v>200</v>
      </c>
      <c r="S2223" s="337">
        <f t="shared" si="370"/>
        <v>0</v>
      </c>
      <c r="T2223" s="338">
        <f t="shared" si="372"/>
        <v>1329.2307692307693</v>
      </c>
      <c r="U2223" s="339">
        <f t="shared" si="373"/>
        <v>0</v>
      </c>
      <c r="V2223" s="339">
        <f t="shared" si="374"/>
        <v>0</v>
      </c>
      <c r="W2223" s="339">
        <v>0</v>
      </c>
      <c r="X2223" s="255">
        <f t="shared" si="375"/>
        <v>46153.883449074077</v>
      </c>
    </row>
    <row r="2224" spans="1:24" s="118" customFormat="1" ht="26.5" hidden="1" x14ac:dyDescent="0.35">
      <c r="A2224" s="71">
        <f t="shared" si="376"/>
        <v>46153.883449074077</v>
      </c>
      <c r="B2224" s="71"/>
      <c r="C2224" s="71"/>
      <c r="D2224" s="71"/>
      <c r="E2224" s="119" t="s">
        <v>134</v>
      </c>
      <c r="F2224" s="82" t="s">
        <v>1064</v>
      </c>
      <c r="G2224" s="82"/>
      <c r="H2224" s="98" t="s">
        <v>1065</v>
      </c>
      <c r="I2224" s="71" t="s">
        <v>1066</v>
      </c>
      <c r="J2224" s="100" t="s">
        <v>140</v>
      </c>
      <c r="K2224" s="101">
        <v>0</v>
      </c>
      <c r="L2224" s="101">
        <v>0</v>
      </c>
      <c r="M2224" s="102">
        <v>65</v>
      </c>
      <c r="N2224" s="103">
        <v>525</v>
      </c>
      <c r="O2224" s="171">
        <v>1</v>
      </c>
      <c r="P2224" s="103">
        <f t="shared" si="377"/>
        <v>525</v>
      </c>
      <c r="Q2224" s="103"/>
      <c r="R2224" s="102">
        <v>525</v>
      </c>
      <c r="S2224" s="102">
        <f t="shared" si="370"/>
        <v>0</v>
      </c>
      <c r="T2224" s="173">
        <f t="shared" si="372"/>
        <v>1329.2307692307693</v>
      </c>
      <c r="U2224" s="101">
        <f t="shared" si="373"/>
        <v>0</v>
      </c>
      <c r="V2224" s="101">
        <f t="shared" si="374"/>
        <v>0</v>
      </c>
      <c r="W2224" s="101">
        <v>0</v>
      </c>
      <c r="X2224" s="255">
        <f t="shared" si="375"/>
        <v>46153.883449074077</v>
      </c>
    </row>
    <row r="2225" spans="1:24" s="118" customFormat="1" ht="29" hidden="1" x14ac:dyDescent="0.35">
      <c r="A2225" s="71">
        <f t="shared" si="376"/>
        <v>46153.883449074077</v>
      </c>
      <c r="B2225" s="71"/>
      <c r="C2225" s="71"/>
      <c r="D2225" s="71"/>
      <c r="E2225" s="119" t="s">
        <v>134</v>
      </c>
      <c r="F2225" s="57" t="s">
        <v>1076</v>
      </c>
      <c r="G2225" s="57"/>
      <c r="H2225" s="49" t="s">
        <v>1077</v>
      </c>
      <c r="I2225" s="82" t="s">
        <v>81</v>
      </c>
      <c r="J2225" s="100" t="s">
        <v>140</v>
      </c>
      <c r="K2225" s="84">
        <v>0</v>
      </c>
      <c r="L2225" s="84">
        <v>0</v>
      </c>
      <c r="M2225" s="83">
        <v>95</v>
      </c>
      <c r="N2225" s="223">
        <v>2000</v>
      </c>
      <c r="O2225" s="314">
        <v>1</v>
      </c>
      <c r="P2225" s="223">
        <f t="shared" si="377"/>
        <v>2000</v>
      </c>
      <c r="Q2225" s="223"/>
      <c r="R2225" s="102">
        <v>2000</v>
      </c>
      <c r="S2225" s="83">
        <f t="shared" si="370"/>
        <v>0</v>
      </c>
      <c r="T2225" s="315">
        <f t="shared" si="372"/>
        <v>909.47368421052624</v>
      </c>
      <c r="U2225" s="84">
        <f t="shared" si="373"/>
        <v>0</v>
      </c>
      <c r="V2225" s="84">
        <f t="shared" si="374"/>
        <v>0</v>
      </c>
      <c r="W2225" s="84">
        <v>0</v>
      </c>
      <c r="X2225" s="255">
        <f t="shared" si="375"/>
        <v>46153.883449074077</v>
      </c>
    </row>
    <row r="2226" spans="1:24" s="118" customFormat="1" ht="39.5" hidden="1" x14ac:dyDescent="0.35">
      <c r="A2226" s="71">
        <f t="shared" si="376"/>
        <v>46153.883449074077</v>
      </c>
      <c r="B2226" s="71"/>
      <c r="C2226" s="71"/>
      <c r="D2226" s="71"/>
      <c r="E2226" s="96" t="s">
        <v>134</v>
      </c>
      <c r="F2226" s="97" t="s">
        <v>4212</v>
      </c>
      <c r="G2226" s="97"/>
      <c r="H2226" s="340" t="s">
        <v>1078</v>
      </c>
      <c r="I2226" s="82" t="s">
        <v>470</v>
      </c>
      <c r="J2226" s="100" t="s">
        <v>140</v>
      </c>
      <c r="K2226" s="101">
        <v>0</v>
      </c>
      <c r="L2226" s="101">
        <v>0</v>
      </c>
      <c r="M2226" s="102">
        <v>187</v>
      </c>
      <c r="N2226" s="103">
        <v>3000</v>
      </c>
      <c r="O2226" s="171">
        <v>2</v>
      </c>
      <c r="P2226" s="103">
        <f t="shared" si="377"/>
        <v>1500</v>
      </c>
      <c r="Q2226" s="103"/>
      <c r="R2226" s="102">
        <v>1500</v>
      </c>
      <c r="S2226" s="102">
        <f t="shared" si="370"/>
        <v>0</v>
      </c>
      <c r="T2226" s="173">
        <f t="shared" si="372"/>
        <v>924.06417112299459</v>
      </c>
      <c r="U2226" s="101">
        <f t="shared" si="373"/>
        <v>0</v>
      </c>
      <c r="V2226" s="101">
        <f t="shared" si="374"/>
        <v>0</v>
      </c>
      <c r="W2226" s="101">
        <v>0</v>
      </c>
      <c r="X2226" s="255">
        <f t="shared" si="375"/>
        <v>46153.883449074077</v>
      </c>
    </row>
    <row r="2227" spans="1:24" s="118" customFormat="1" ht="26.5" hidden="1" x14ac:dyDescent="0.35">
      <c r="A2227" s="71">
        <f t="shared" si="376"/>
        <v>46153.883449074077</v>
      </c>
      <c r="B2227" s="71"/>
      <c r="C2227" s="71"/>
      <c r="D2227" s="71"/>
      <c r="E2227" s="119" t="s">
        <v>134</v>
      </c>
      <c r="F2227" s="82" t="s">
        <v>1079</v>
      </c>
      <c r="G2227" s="82"/>
      <c r="H2227" s="319" t="s">
        <v>1080</v>
      </c>
      <c r="I2227" s="71" t="s">
        <v>978</v>
      </c>
      <c r="J2227" s="100" t="s">
        <v>140</v>
      </c>
      <c r="K2227" s="101">
        <v>0</v>
      </c>
      <c r="L2227" s="101">
        <v>0</v>
      </c>
      <c r="M2227" s="83">
        <v>270</v>
      </c>
      <c r="N2227" s="317">
        <v>533</v>
      </c>
      <c r="O2227" s="314">
        <v>1</v>
      </c>
      <c r="P2227" s="223">
        <f t="shared" si="377"/>
        <v>533</v>
      </c>
      <c r="Q2227" s="223"/>
      <c r="R2227" s="346">
        <v>533</v>
      </c>
      <c r="S2227" s="83">
        <f t="shared" si="370"/>
        <v>0</v>
      </c>
      <c r="T2227" s="315">
        <f t="shared" si="372"/>
        <v>320</v>
      </c>
      <c r="U2227" s="84">
        <f t="shared" si="373"/>
        <v>0</v>
      </c>
      <c r="V2227" s="84">
        <f t="shared" si="374"/>
        <v>0</v>
      </c>
      <c r="W2227" s="84">
        <v>0</v>
      </c>
      <c r="X2227" s="255">
        <f t="shared" si="375"/>
        <v>46153.883449074077</v>
      </c>
    </row>
    <row r="2228" spans="1:24" s="118" customFormat="1" ht="29" hidden="1" x14ac:dyDescent="0.35">
      <c r="A2228" s="71">
        <f t="shared" si="376"/>
        <v>46153.883449074077</v>
      </c>
      <c r="B2228" s="71"/>
      <c r="C2228" s="71"/>
      <c r="D2228" s="71"/>
      <c r="E2228" s="119" t="s">
        <v>134</v>
      </c>
      <c r="F2228" s="57" t="s">
        <v>1076</v>
      </c>
      <c r="G2228" s="57"/>
      <c r="H2228" s="340" t="s">
        <v>1081</v>
      </c>
      <c r="I2228" s="82" t="s">
        <v>470</v>
      </c>
      <c r="J2228" s="100" t="s">
        <v>140</v>
      </c>
      <c r="K2228" s="101">
        <v>0</v>
      </c>
      <c r="L2228" s="84">
        <v>0</v>
      </c>
      <c r="M2228" s="102">
        <v>187</v>
      </c>
      <c r="N2228" s="103">
        <v>5760</v>
      </c>
      <c r="O2228" s="171">
        <v>2</v>
      </c>
      <c r="P2228" s="103">
        <f t="shared" si="377"/>
        <v>2880</v>
      </c>
      <c r="Q2228" s="103"/>
      <c r="R2228" s="102">
        <v>2880</v>
      </c>
      <c r="S2228" s="102">
        <f t="shared" si="370"/>
        <v>0</v>
      </c>
      <c r="T2228" s="173">
        <f t="shared" si="372"/>
        <v>924.06417112299459</v>
      </c>
      <c r="U2228" s="101">
        <f t="shared" si="373"/>
        <v>0</v>
      </c>
      <c r="V2228" s="101">
        <f t="shared" si="374"/>
        <v>0</v>
      </c>
      <c r="W2228" s="101">
        <v>0</v>
      </c>
      <c r="X2228" s="255">
        <f t="shared" si="375"/>
        <v>46153.883449074077</v>
      </c>
    </row>
    <row r="2229" spans="1:24" s="118" customFormat="1" hidden="1" x14ac:dyDescent="0.35">
      <c r="A2229" s="71">
        <f t="shared" si="376"/>
        <v>46153.883449074077</v>
      </c>
      <c r="B2229" s="71"/>
      <c r="C2229" s="71"/>
      <c r="D2229" s="71"/>
      <c r="E2229" s="119" t="s">
        <v>134</v>
      </c>
      <c r="F2229" s="57" t="s">
        <v>1082</v>
      </c>
      <c r="G2229" s="57"/>
      <c r="H2229" s="98" t="s">
        <v>1083</v>
      </c>
      <c r="I2229" s="82" t="s">
        <v>470</v>
      </c>
      <c r="J2229" s="100" t="s">
        <v>140</v>
      </c>
      <c r="K2229" s="84">
        <v>0</v>
      </c>
      <c r="L2229" s="84">
        <v>0</v>
      </c>
      <c r="M2229" s="102">
        <v>187</v>
      </c>
      <c r="N2229" s="103">
        <v>4310</v>
      </c>
      <c r="O2229" s="171">
        <v>2</v>
      </c>
      <c r="P2229" s="103">
        <f t="shared" si="377"/>
        <v>2155</v>
      </c>
      <c r="Q2229" s="103"/>
      <c r="R2229" s="102">
        <v>2155</v>
      </c>
      <c r="S2229" s="102">
        <f t="shared" si="370"/>
        <v>0</v>
      </c>
      <c r="T2229" s="173">
        <f t="shared" si="372"/>
        <v>924.06417112299459</v>
      </c>
      <c r="U2229" s="101">
        <f t="shared" si="373"/>
        <v>0</v>
      </c>
      <c r="V2229" s="101">
        <f t="shared" si="374"/>
        <v>0</v>
      </c>
      <c r="W2229" s="101">
        <v>0</v>
      </c>
      <c r="X2229" s="255">
        <f t="shared" si="375"/>
        <v>46153.883449074077</v>
      </c>
    </row>
    <row r="2230" spans="1:24" s="118" customFormat="1" ht="26.5" hidden="1" x14ac:dyDescent="0.35">
      <c r="A2230" s="71">
        <f t="shared" si="376"/>
        <v>46153.883449074077</v>
      </c>
      <c r="B2230" s="71"/>
      <c r="C2230" s="71"/>
      <c r="D2230" s="71"/>
      <c r="E2230" s="119" t="s">
        <v>134</v>
      </c>
      <c r="F2230" s="97" t="s">
        <v>1084</v>
      </c>
      <c r="G2230" s="97"/>
      <c r="H2230" s="98" t="s">
        <v>1085</v>
      </c>
      <c r="I2230" s="82" t="s">
        <v>470</v>
      </c>
      <c r="J2230" s="100" t="s">
        <v>140</v>
      </c>
      <c r="K2230" s="84">
        <v>0</v>
      </c>
      <c r="L2230" s="84">
        <v>0</v>
      </c>
      <c r="M2230" s="102">
        <v>187</v>
      </c>
      <c r="N2230" s="103">
        <v>960</v>
      </c>
      <c r="O2230" s="171">
        <v>2</v>
      </c>
      <c r="P2230" s="103">
        <f t="shared" si="377"/>
        <v>480</v>
      </c>
      <c r="Q2230" s="103"/>
      <c r="R2230" s="102">
        <v>480</v>
      </c>
      <c r="S2230" s="102">
        <f t="shared" si="370"/>
        <v>0</v>
      </c>
      <c r="T2230" s="173">
        <f t="shared" si="372"/>
        <v>924.06417112299459</v>
      </c>
      <c r="U2230" s="101">
        <f t="shared" si="373"/>
        <v>0</v>
      </c>
      <c r="V2230" s="101">
        <f t="shared" si="374"/>
        <v>0</v>
      </c>
      <c r="W2230" s="101">
        <v>0</v>
      </c>
      <c r="X2230" s="255">
        <f t="shared" si="375"/>
        <v>46153.883449074077</v>
      </c>
    </row>
    <row r="2231" spans="1:24" s="118" customFormat="1" ht="26.5" hidden="1" x14ac:dyDescent="0.35">
      <c r="A2231" s="71">
        <f t="shared" si="376"/>
        <v>46153.883449074077</v>
      </c>
      <c r="B2231" s="71"/>
      <c r="C2231" s="71"/>
      <c r="D2231" s="71"/>
      <c r="E2231" s="119" t="s">
        <v>134</v>
      </c>
      <c r="F2231" s="97" t="s">
        <v>1084</v>
      </c>
      <c r="G2231" s="97"/>
      <c r="H2231" s="49" t="s">
        <v>1086</v>
      </c>
      <c r="I2231" s="106" t="s">
        <v>710</v>
      </c>
      <c r="J2231" s="100" t="s">
        <v>140</v>
      </c>
      <c r="K2231" s="84">
        <v>0</v>
      </c>
      <c r="L2231" s="84">
        <v>0</v>
      </c>
      <c r="M2231" s="83">
        <v>105</v>
      </c>
      <c r="N2231" s="223">
        <v>400</v>
      </c>
      <c r="O2231" s="314">
        <v>1</v>
      </c>
      <c r="P2231" s="223">
        <f t="shared" si="377"/>
        <v>400</v>
      </c>
      <c r="Q2231" s="223"/>
      <c r="R2231" s="102">
        <v>400</v>
      </c>
      <c r="S2231" s="83">
        <f t="shared" si="370"/>
        <v>0</v>
      </c>
      <c r="T2231" s="315">
        <f t="shared" si="372"/>
        <v>822.85714285714289</v>
      </c>
      <c r="U2231" s="84">
        <f t="shared" si="373"/>
        <v>0</v>
      </c>
      <c r="V2231" s="84">
        <f t="shared" si="374"/>
        <v>0</v>
      </c>
      <c r="W2231" s="84">
        <v>0</v>
      </c>
      <c r="X2231" s="255">
        <f t="shared" si="375"/>
        <v>46153.883449074077</v>
      </c>
    </row>
    <row r="2232" spans="1:24" s="118" customFormat="1" ht="26.5" hidden="1" x14ac:dyDescent="0.35">
      <c r="A2232" s="71">
        <f t="shared" si="376"/>
        <v>46153.883449074077</v>
      </c>
      <c r="B2232" s="71"/>
      <c r="C2232" s="71"/>
      <c r="D2232" s="71"/>
      <c r="E2232" s="119" t="s">
        <v>134</v>
      </c>
      <c r="F2232" s="97" t="s">
        <v>1084</v>
      </c>
      <c r="G2232" s="97"/>
      <c r="H2232" s="49" t="s">
        <v>1087</v>
      </c>
      <c r="I2232" s="106" t="s">
        <v>848</v>
      </c>
      <c r="J2232" s="100" t="s">
        <v>140</v>
      </c>
      <c r="K2232" s="84">
        <v>0</v>
      </c>
      <c r="L2232" s="84">
        <v>0</v>
      </c>
      <c r="M2232" s="83">
        <v>105</v>
      </c>
      <c r="N2232" s="223">
        <v>78</v>
      </c>
      <c r="O2232" s="314">
        <v>1</v>
      </c>
      <c r="P2232" s="223">
        <f t="shared" si="377"/>
        <v>78</v>
      </c>
      <c r="Q2232" s="223"/>
      <c r="R2232" s="102">
        <v>78</v>
      </c>
      <c r="S2232" s="83">
        <f t="shared" si="370"/>
        <v>0</v>
      </c>
      <c r="T2232" s="315">
        <f t="shared" si="372"/>
        <v>822.85714285714289</v>
      </c>
      <c r="U2232" s="84">
        <f t="shared" si="373"/>
        <v>0</v>
      </c>
      <c r="V2232" s="84">
        <f t="shared" si="374"/>
        <v>0</v>
      </c>
      <c r="W2232" s="84">
        <v>0</v>
      </c>
      <c r="X2232" s="255">
        <f t="shared" si="375"/>
        <v>46153.883449074077</v>
      </c>
    </row>
    <row r="2233" spans="1:24" s="118" customFormat="1" ht="26.5" hidden="1" x14ac:dyDescent="0.35">
      <c r="A2233" s="71">
        <f t="shared" si="376"/>
        <v>46153.883449074077</v>
      </c>
      <c r="B2233" s="71"/>
      <c r="C2233" s="71"/>
      <c r="D2233" s="71"/>
      <c r="E2233" s="96" t="s">
        <v>134</v>
      </c>
      <c r="F2233" s="97" t="s">
        <v>1084</v>
      </c>
      <c r="G2233" s="97"/>
      <c r="H2233" s="49" t="s">
        <v>1088</v>
      </c>
      <c r="I2233" s="106" t="s">
        <v>846</v>
      </c>
      <c r="J2233" s="100" t="s">
        <v>140</v>
      </c>
      <c r="K2233" s="84">
        <v>0</v>
      </c>
      <c r="L2233" s="84">
        <v>0</v>
      </c>
      <c r="M2233" s="83">
        <v>105</v>
      </c>
      <c r="N2233" s="223">
        <v>78</v>
      </c>
      <c r="O2233" s="314">
        <v>1</v>
      </c>
      <c r="P2233" s="223">
        <f t="shared" si="377"/>
        <v>78</v>
      </c>
      <c r="Q2233" s="223"/>
      <c r="R2233" s="102">
        <v>78</v>
      </c>
      <c r="S2233" s="83">
        <f t="shared" si="370"/>
        <v>0</v>
      </c>
      <c r="T2233" s="315">
        <f t="shared" si="372"/>
        <v>822.85714285714289</v>
      </c>
      <c r="U2233" s="84">
        <f t="shared" si="373"/>
        <v>0</v>
      </c>
      <c r="V2233" s="84">
        <f t="shared" si="374"/>
        <v>0</v>
      </c>
      <c r="W2233" s="84">
        <v>0</v>
      </c>
      <c r="X2233" s="255">
        <f t="shared" si="375"/>
        <v>46153.883449074077</v>
      </c>
    </row>
    <row r="2234" spans="1:24" s="118" customFormat="1" hidden="1" x14ac:dyDescent="0.35">
      <c r="A2234" s="71">
        <f t="shared" si="376"/>
        <v>46153.883449074077</v>
      </c>
      <c r="B2234" s="71"/>
      <c r="C2234" s="71"/>
      <c r="D2234" s="71"/>
      <c r="E2234" s="119" t="s">
        <v>134</v>
      </c>
      <c r="F2234" s="82" t="s">
        <v>1089</v>
      </c>
      <c r="G2234" s="82"/>
      <c r="H2234" s="49" t="s">
        <v>1090</v>
      </c>
      <c r="I2234" s="71" t="s">
        <v>1066</v>
      </c>
      <c r="J2234" s="100" t="s">
        <v>140</v>
      </c>
      <c r="K2234" s="84">
        <v>0</v>
      </c>
      <c r="L2234" s="328">
        <v>0</v>
      </c>
      <c r="M2234" s="329">
        <v>65</v>
      </c>
      <c r="N2234" s="330">
        <v>560</v>
      </c>
      <c r="O2234" s="331">
        <v>1</v>
      </c>
      <c r="P2234" s="330">
        <f t="shared" si="377"/>
        <v>560</v>
      </c>
      <c r="Q2234" s="330"/>
      <c r="R2234" s="102">
        <v>560</v>
      </c>
      <c r="S2234" s="329">
        <f t="shared" si="370"/>
        <v>0</v>
      </c>
      <c r="T2234" s="332">
        <f t="shared" si="372"/>
        <v>1329.2307692307693</v>
      </c>
      <c r="U2234" s="328">
        <f t="shared" si="373"/>
        <v>0</v>
      </c>
      <c r="V2234" s="328">
        <f t="shared" si="374"/>
        <v>0</v>
      </c>
      <c r="W2234" s="328">
        <v>0</v>
      </c>
      <c r="X2234" s="255">
        <f t="shared" si="375"/>
        <v>46153.883449074077</v>
      </c>
    </row>
    <row r="2235" spans="1:24" s="118" customFormat="1" hidden="1" x14ac:dyDescent="0.35">
      <c r="A2235" s="71">
        <f t="shared" si="376"/>
        <v>46153.883449074077</v>
      </c>
      <c r="B2235" s="71"/>
      <c r="C2235" s="71"/>
      <c r="D2235" s="71"/>
      <c r="E2235" s="119" t="s">
        <v>134</v>
      </c>
      <c r="F2235" s="82" t="s">
        <v>1091</v>
      </c>
      <c r="G2235" s="82"/>
      <c r="H2235" s="49" t="s">
        <v>1092</v>
      </c>
      <c r="I2235" s="71" t="s">
        <v>351</v>
      </c>
      <c r="J2235" s="100" t="s">
        <v>140</v>
      </c>
      <c r="K2235" s="84">
        <v>0</v>
      </c>
      <c r="L2235" s="328">
        <v>0</v>
      </c>
      <c r="M2235" s="329">
        <v>65</v>
      </c>
      <c r="N2235" s="330">
        <v>267</v>
      </c>
      <c r="O2235" s="331">
        <v>1</v>
      </c>
      <c r="P2235" s="330">
        <f t="shared" si="377"/>
        <v>267</v>
      </c>
      <c r="Q2235" s="330"/>
      <c r="R2235" s="102">
        <v>267</v>
      </c>
      <c r="S2235" s="329">
        <f t="shared" si="370"/>
        <v>0</v>
      </c>
      <c r="T2235" s="332">
        <f t="shared" si="372"/>
        <v>1329.2307692307693</v>
      </c>
      <c r="U2235" s="328">
        <f t="shared" si="373"/>
        <v>0</v>
      </c>
      <c r="V2235" s="328">
        <f t="shared" si="374"/>
        <v>0</v>
      </c>
      <c r="W2235" s="328">
        <v>0</v>
      </c>
      <c r="X2235" s="255">
        <f t="shared" si="375"/>
        <v>46153.883449074077</v>
      </c>
    </row>
    <row r="2236" spans="1:24" s="118" customFormat="1" hidden="1" x14ac:dyDescent="0.35">
      <c r="A2236" s="71">
        <f t="shared" si="376"/>
        <v>46153.883449074077</v>
      </c>
      <c r="B2236" s="71"/>
      <c r="C2236" s="71"/>
      <c r="D2236" s="71"/>
      <c r="E2236" s="96" t="s">
        <v>134</v>
      </c>
      <c r="F2236" s="82" t="s">
        <v>1093</v>
      </c>
      <c r="G2236" s="82"/>
      <c r="H2236" s="334" t="s">
        <v>1094</v>
      </c>
      <c r="I2236" s="73" t="s">
        <v>1073</v>
      </c>
      <c r="J2236" s="170" t="s">
        <v>140</v>
      </c>
      <c r="K2236" s="84">
        <v>0</v>
      </c>
      <c r="L2236" s="328">
        <v>0</v>
      </c>
      <c r="M2236" s="337">
        <v>65</v>
      </c>
      <c r="N2236" s="336">
        <v>870</v>
      </c>
      <c r="O2236" s="335">
        <v>1</v>
      </c>
      <c r="P2236" s="336">
        <f t="shared" si="377"/>
        <v>870</v>
      </c>
      <c r="Q2236" s="336"/>
      <c r="R2236" s="102">
        <v>870</v>
      </c>
      <c r="S2236" s="337">
        <f t="shared" si="370"/>
        <v>0</v>
      </c>
      <c r="T2236" s="338">
        <f t="shared" si="372"/>
        <v>1329.2307692307693</v>
      </c>
      <c r="U2236" s="339">
        <f t="shared" si="373"/>
        <v>0</v>
      </c>
      <c r="V2236" s="339">
        <f t="shared" si="374"/>
        <v>0</v>
      </c>
      <c r="W2236" s="339">
        <v>0</v>
      </c>
      <c r="X2236" s="255">
        <f t="shared" si="375"/>
        <v>46153.883449074077</v>
      </c>
    </row>
    <row r="2237" spans="1:24" s="118" customFormat="1" hidden="1" x14ac:dyDescent="0.35">
      <c r="A2237" s="71">
        <f t="shared" si="376"/>
        <v>46153.883449074077</v>
      </c>
      <c r="B2237" s="71"/>
      <c r="C2237" s="71"/>
      <c r="D2237" s="71"/>
      <c r="E2237" s="96" t="s">
        <v>134</v>
      </c>
      <c r="F2237" s="82" t="s">
        <v>1095</v>
      </c>
      <c r="G2237" s="82"/>
      <c r="H2237" s="334" t="s">
        <v>1096</v>
      </c>
      <c r="I2237" s="71" t="s">
        <v>348</v>
      </c>
      <c r="J2237" s="170" t="s">
        <v>140</v>
      </c>
      <c r="K2237" s="84">
        <v>0</v>
      </c>
      <c r="L2237" s="328">
        <v>0</v>
      </c>
      <c r="M2237" s="337">
        <v>65</v>
      </c>
      <c r="N2237" s="336">
        <v>380</v>
      </c>
      <c r="O2237" s="335">
        <v>1</v>
      </c>
      <c r="P2237" s="336">
        <f t="shared" si="377"/>
        <v>380</v>
      </c>
      <c r="Q2237" s="336"/>
      <c r="R2237" s="102">
        <v>380</v>
      </c>
      <c r="S2237" s="337">
        <f t="shared" si="370"/>
        <v>0</v>
      </c>
      <c r="T2237" s="338">
        <f t="shared" si="372"/>
        <v>1329.2307692307693</v>
      </c>
      <c r="U2237" s="339">
        <f t="shared" si="373"/>
        <v>0</v>
      </c>
      <c r="V2237" s="339">
        <f t="shared" si="374"/>
        <v>0</v>
      </c>
      <c r="W2237" s="339">
        <v>0</v>
      </c>
      <c r="X2237" s="255">
        <f t="shared" si="375"/>
        <v>46153.883449074077</v>
      </c>
    </row>
    <row r="2238" spans="1:24" s="118" customFormat="1" hidden="1" x14ac:dyDescent="0.35">
      <c r="A2238" s="71">
        <f t="shared" si="376"/>
        <v>46153.883449074077</v>
      </c>
      <c r="B2238" s="71"/>
      <c r="C2238" s="71"/>
      <c r="D2238" s="71"/>
      <c r="E2238" s="96" t="s">
        <v>134</v>
      </c>
      <c r="F2238" s="82" t="s">
        <v>1097</v>
      </c>
      <c r="G2238" s="82"/>
      <c r="H2238" s="326" t="s">
        <v>1098</v>
      </c>
      <c r="I2238" s="71" t="s">
        <v>339</v>
      </c>
      <c r="J2238" s="170" t="s">
        <v>140</v>
      </c>
      <c r="K2238" s="84">
        <v>0</v>
      </c>
      <c r="L2238" s="328">
        <v>0</v>
      </c>
      <c r="M2238" s="329">
        <v>65</v>
      </c>
      <c r="N2238" s="330">
        <v>1390</v>
      </c>
      <c r="O2238" s="331">
        <v>1</v>
      </c>
      <c r="P2238" s="330">
        <f t="shared" si="377"/>
        <v>1390</v>
      </c>
      <c r="Q2238" s="330"/>
      <c r="R2238" s="102">
        <v>1390</v>
      </c>
      <c r="S2238" s="329">
        <f t="shared" si="370"/>
        <v>0</v>
      </c>
      <c r="T2238" s="332">
        <f t="shared" si="372"/>
        <v>1329.2307692307693</v>
      </c>
      <c r="U2238" s="328">
        <f t="shared" si="373"/>
        <v>0</v>
      </c>
      <c r="V2238" s="328">
        <f t="shared" si="374"/>
        <v>0</v>
      </c>
      <c r="W2238" s="328">
        <v>0</v>
      </c>
      <c r="X2238" s="255">
        <f t="shared" si="375"/>
        <v>46153.883449074077</v>
      </c>
    </row>
    <row r="2239" spans="1:24" s="118" customFormat="1" hidden="1" x14ac:dyDescent="0.35">
      <c r="A2239" s="71">
        <f t="shared" si="376"/>
        <v>46153.883449074077</v>
      </c>
      <c r="B2239" s="71"/>
      <c r="C2239" s="71"/>
      <c r="D2239" s="71"/>
      <c r="E2239" s="96" t="s">
        <v>134</v>
      </c>
      <c r="F2239" s="82" t="s">
        <v>1099</v>
      </c>
      <c r="G2239" s="82"/>
      <c r="H2239" s="334" t="s">
        <v>1100</v>
      </c>
      <c r="I2239" s="71" t="s">
        <v>345</v>
      </c>
      <c r="J2239" s="170" t="s">
        <v>140</v>
      </c>
      <c r="K2239" s="84">
        <v>0</v>
      </c>
      <c r="L2239" s="84">
        <v>0</v>
      </c>
      <c r="M2239" s="102">
        <v>65</v>
      </c>
      <c r="N2239" s="103">
        <v>200</v>
      </c>
      <c r="O2239" s="171">
        <v>1</v>
      </c>
      <c r="P2239" s="103">
        <f t="shared" si="377"/>
        <v>200</v>
      </c>
      <c r="Q2239" s="103"/>
      <c r="R2239" s="102">
        <v>200</v>
      </c>
      <c r="S2239" s="102">
        <f t="shared" si="370"/>
        <v>0</v>
      </c>
      <c r="T2239" s="173">
        <f t="shared" si="372"/>
        <v>1329.2307692307693</v>
      </c>
      <c r="U2239" s="101">
        <f t="shared" si="373"/>
        <v>0</v>
      </c>
      <c r="V2239" s="101">
        <f t="shared" si="374"/>
        <v>0</v>
      </c>
      <c r="W2239" s="101">
        <v>0</v>
      </c>
      <c r="X2239" s="255">
        <f t="shared" si="375"/>
        <v>46153.883449074077</v>
      </c>
    </row>
    <row r="2240" spans="1:24" s="118" customFormat="1" ht="26.5" hidden="1" x14ac:dyDescent="0.35">
      <c r="A2240" s="71">
        <f t="shared" si="376"/>
        <v>46153.883449074077</v>
      </c>
      <c r="B2240" s="71"/>
      <c r="C2240" s="71"/>
      <c r="D2240" s="71"/>
      <c r="E2240" s="119" t="s">
        <v>134</v>
      </c>
      <c r="F2240" s="82" t="s">
        <v>1084</v>
      </c>
      <c r="G2240" s="82"/>
      <c r="H2240" s="49" t="s">
        <v>1101</v>
      </c>
      <c r="I2240" s="82" t="s">
        <v>108</v>
      </c>
      <c r="J2240" s="100" t="s">
        <v>140</v>
      </c>
      <c r="K2240" s="84">
        <v>0</v>
      </c>
      <c r="L2240" s="84">
        <v>0</v>
      </c>
      <c r="M2240" s="83">
        <v>800</v>
      </c>
      <c r="N2240" s="223">
        <v>50</v>
      </c>
      <c r="O2240" s="314">
        <v>1</v>
      </c>
      <c r="P2240" s="103">
        <f t="shared" si="377"/>
        <v>50</v>
      </c>
      <c r="Q2240" s="103"/>
      <c r="R2240" s="102">
        <v>50</v>
      </c>
      <c r="S2240" s="83">
        <f t="shared" si="370"/>
        <v>0</v>
      </c>
      <c r="T2240" s="315">
        <f t="shared" si="372"/>
        <v>108</v>
      </c>
      <c r="U2240" s="84">
        <f t="shared" si="373"/>
        <v>0</v>
      </c>
      <c r="V2240" s="84">
        <f t="shared" si="374"/>
        <v>0</v>
      </c>
      <c r="W2240" s="84">
        <v>0</v>
      </c>
      <c r="X2240" s="255">
        <f t="shared" si="375"/>
        <v>46153.883449074077</v>
      </c>
    </row>
    <row r="2241" spans="1:24" s="118" customFormat="1" ht="26.5" hidden="1" x14ac:dyDescent="0.35">
      <c r="A2241" s="71">
        <f t="shared" si="376"/>
        <v>46153.883449074077</v>
      </c>
      <c r="B2241" s="71"/>
      <c r="C2241" s="71"/>
      <c r="D2241" s="71"/>
      <c r="E2241" s="119" t="s">
        <v>134</v>
      </c>
      <c r="F2241" s="82" t="s">
        <v>1084</v>
      </c>
      <c r="G2241" s="82"/>
      <c r="H2241" s="98" t="s">
        <v>1085</v>
      </c>
      <c r="I2241" s="82" t="s">
        <v>470</v>
      </c>
      <c r="J2241" s="100" t="s">
        <v>140</v>
      </c>
      <c r="K2241" s="84">
        <v>0</v>
      </c>
      <c r="L2241" s="84">
        <v>0</v>
      </c>
      <c r="M2241" s="102">
        <v>187</v>
      </c>
      <c r="N2241" s="103">
        <v>5280</v>
      </c>
      <c r="O2241" s="171">
        <v>2</v>
      </c>
      <c r="P2241" s="103">
        <f t="shared" si="377"/>
        <v>2640</v>
      </c>
      <c r="Q2241" s="103"/>
      <c r="R2241" s="102">
        <v>2640</v>
      </c>
      <c r="S2241" s="102">
        <f t="shared" si="370"/>
        <v>0</v>
      </c>
      <c r="T2241" s="173">
        <f t="shared" si="372"/>
        <v>924.06417112299459</v>
      </c>
      <c r="U2241" s="101">
        <f t="shared" si="373"/>
        <v>0</v>
      </c>
      <c r="V2241" s="101">
        <f t="shared" si="374"/>
        <v>0</v>
      </c>
      <c r="W2241" s="101">
        <v>0</v>
      </c>
      <c r="X2241" s="255">
        <f t="shared" si="375"/>
        <v>46153.883449074077</v>
      </c>
    </row>
    <row r="2242" spans="1:24" s="118" customFormat="1" ht="26.5" hidden="1" x14ac:dyDescent="0.35">
      <c r="A2242" s="71">
        <f t="shared" si="376"/>
        <v>46153.883449074077</v>
      </c>
      <c r="B2242" s="71"/>
      <c r="C2242" s="71"/>
      <c r="D2242" s="71"/>
      <c r="E2242" s="119" t="s">
        <v>134</v>
      </c>
      <c r="F2242" s="48" t="s">
        <v>1102</v>
      </c>
      <c r="G2242" s="48"/>
      <c r="H2242" s="59" t="s">
        <v>1103</v>
      </c>
      <c r="I2242" s="71" t="s">
        <v>999</v>
      </c>
      <c r="J2242" s="100" t="s">
        <v>140</v>
      </c>
      <c r="K2242" s="84">
        <v>0</v>
      </c>
      <c r="L2242" s="84">
        <v>0</v>
      </c>
      <c r="M2242" s="83">
        <v>270</v>
      </c>
      <c r="N2242" s="317">
        <v>1500</v>
      </c>
      <c r="O2242" s="314">
        <v>1</v>
      </c>
      <c r="P2242" s="223">
        <f t="shared" si="377"/>
        <v>1500</v>
      </c>
      <c r="Q2242" s="223"/>
      <c r="R2242" s="346">
        <v>1500</v>
      </c>
      <c r="S2242" s="83">
        <f t="shared" si="370"/>
        <v>0</v>
      </c>
      <c r="T2242" s="315">
        <f t="shared" si="372"/>
        <v>320</v>
      </c>
      <c r="U2242" s="84">
        <f t="shared" si="373"/>
        <v>0</v>
      </c>
      <c r="V2242" s="84">
        <f t="shared" si="374"/>
        <v>0</v>
      </c>
      <c r="W2242" s="84">
        <v>0</v>
      </c>
      <c r="X2242" s="255">
        <f t="shared" si="375"/>
        <v>46153.883449074077</v>
      </c>
    </row>
    <row r="2243" spans="1:24" s="118" customFormat="1" ht="26.5" hidden="1" x14ac:dyDescent="0.35">
      <c r="A2243" s="71">
        <f t="shared" si="376"/>
        <v>46153.883449074077</v>
      </c>
      <c r="B2243" s="71"/>
      <c r="C2243" s="71"/>
      <c r="D2243" s="71"/>
      <c r="E2243" s="119" t="s">
        <v>134</v>
      </c>
      <c r="F2243" s="48" t="s">
        <v>1104</v>
      </c>
      <c r="G2243" s="48"/>
      <c r="H2243" s="59" t="s">
        <v>1105</v>
      </c>
      <c r="I2243" s="71" t="s">
        <v>999</v>
      </c>
      <c r="J2243" s="100" t="s">
        <v>140</v>
      </c>
      <c r="K2243" s="84">
        <v>0</v>
      </c>
      <c r="L2243" s="84">
        <v>0</v>
      </c>
      <c r="M2243" s="83">
        <v>270</v>
      </c>
      <c r="N2243" s="317">
        <v>1500</v>
      </c>
      <c r="O2243" s="314">
        <v>1</v>
      </c>
      <c r="P2243" s="223">
        <f t="shared" si="377"/>
        <v>1500</v>
      </c>
      <c r="Q2243" s="223"/>
      <c r="R2243" s="346">
        <v>1500</v>
      </c>
      <c r="S2243" s="83">
        <f t="shared" si="370"/>
        <v>0</v>
      </c>
      <c r="T2243" s="315">
        <f t="shared" si="372"/>
        <v>320</v>
      </c>
      <c r="U2243" s="84">
        <f t="shared" si="373"/>
        <v>0</v>
      </c>
      <c r="V2243" s="84">
        <f t="shared" si="374"/>
        <v>0</v>
      </c>
      <c r="W2243" s="84">
        <v>0</v>
      </c>
      <c r="X2243" s="255">
        <f t="shared" si="375"/>
        <v>46153.883449074077</v>
      </c>
    </row>
    <row r="2244" spans="1:24" s="118" customFormat="1" hidden="1" x14ac:dyDescent="0.35">
      <c r="A2244" s="71">
        <f t="shared" si="376"/>
        <v>46153.883449074077</v>
      </c>
      <c r="B2244" s="71"/>
      <c r="C2244" s="71"/>
      <c r="D2244" s="71"/>
      <c r="E2244" s="119" t="s">
        <v>134</v>
      </c>
      <c r="F2244" s="82" t="s">
        <v>1106</v>
      </c>
      <c r="G2244" s="82"/>
      <c r="H2244" s="49" t="s">
        <v>1107</v>
      </c>
      <c r="I2244" s="82" t="s">
        <v>108</v>
      </c>
      <c r="J2244" s="100" t="s">
        <v>140</v>
      </c>
      <c r="K2244" s="84">
        <v>0</v>
      </c>
      <c r="L2244" s="84">
        <v>0</v>
      </c>
      <c r="M2244" s="83">
        <v>800</v>
      </c>
      <c r="N2244" s="223">
        <v>55</v>
      </c>
      <c r="O2244" s="314">
        <v>1</v>
      </c>
      <c r="P2244" s="103">
        <f t="shared" si="377"/>
        <v>55</v>
      </c>
      <c r="Q2244" s="103"/>
      <c r="R2244" s="102">
        <v>55</v>
      </c>
      <c r="S2244" s="83">
        <f t="shared" si="370"/>
        <v>0</v>
      </c>
      <c r="T2244" s="315">
        <f t="shared" si="372"/>
        <v>108</v>
      </c>
      <c r="U2244" s="84">
        <f t="shared" si="373"/>
        <v>0</v>
      </c>
      <c r="V2244" s="84">
        <f t="shared" si="374"/>
        <v>0</v>
      </c>
      <c r="W2244" s="84">
        <v>0</v>
      </c>
      <c r="X2244" s="255">
        <f t="shared" si="375"/>
        <v>46153.883449074077</v>
      </c>
    </row>
    <row r="2245" spans="1:24" hidden="1" x14ac:dyDescent="0.35">
      <c r="A2245" s="71">
        <f t="shared" si="376"/>
        <v>46153.883449074077</v>
      </c>
      <c r="B2245" s="71"/>
      <c r="C2245" s="71"/>
      <c r="D2245" s="71"/>
      <c r="E2245" s="47" t="s">
        <v>134</v>
      </c>
      <c r="F2245" s="48" t="s">
        <v>1108</v>
      </c>
      <c r="G2245" s="48"/>
      <c r="H2245" s="49"/>
      <c r="I2245" s="77" t="s">
        <v>1109</v>
      </c>
      <c r="J2245" s="100" t="s">
        <v>140</v>
      </c>
      <c r="K2245" s="52">
        <v>0</v>
      </c>
      <c r="L2245" s="52">
        <v>0</v>
      </c>
      <c r="M2245" s="53">
        <v>95</v>
      </c>
      <c r="N2245" s="218">
        <v>1000</v>
      </c>
      <c r="O2245" s="341">
        <v>1</v>
      </c>
      <c r="P2245" s="54">
        <f t="shared" si="377"/>
        <v>1000</v>
      </c>
      <c r="Q2245" s="54"/>
      <c r="R2245" s="182">
        <v>1000</v>
      </c>
      <c r="S2245" s="53">
        <f t="shared" si="370"/>
        <v>0</v>
      </c>
      <c r="T2245" s="315">
        <f t="shared" si="372"/>
        <v>909.47368421052624</v>
      </c>
      <c r="U2245" s="84">
        <f t="shared" si="373"/>
        <v>0</v>
      </c>
      <c r="V2245" s="84">
        <f t="shared" si="374"/>
        <v>0</v>
      </c>
      <c r="W2245" s="84">
        <v>0</v>
      </c>
      <c r="X2245" s="255">
        <f t="shared" si="375"/>
        <v>46153.883449074077</v>
      </c>
    </row>
    <row r="2246" spans="1:24" s="221" customFormat="1" ht="26.5" hidden="1" x14ac:dyDescent="0.35">
      <c r="A2246" s="71">
        <f t="shared" si="376"/>
        <v>46153.883449074077</v>
      </c>
      <c r="B2246" s="71"/>
      <c r="C2246" s="71"/>
      <c r="D2246" s="71"/>
      <c r="E2246" s="47" t="s">
        <v>134</v>
      </c>
      <c r="F2246" s="82" t="s">
        <v>1110</v>
      </c>
      <c r="G2246" s="82"/>
      <c r="H2246" s="59" t="s">
        <v>1111</v>
      </c>
      <c r="I2246" s="71" t="s">
        <v>999</v>
      </c>
      <c r="J2246" s="51" t="s">
        <v>140</v>
      </c>
      <c r="K2246" s="52">
        <v>0</v>
      </c>
      <c r="L2246" s="52">
        <v>0</v>
      </c>
      <c r="M2246" s="53">
        <v>270</v>
      </c>
      <c r="N2246" s="70">
        <v>1500</v>
      </c>
      <c r="O2246" s="341">
        <v>1</v>
      </c>
      <c r="P2246" s="54">
        <f t="shared" si="377"/>
        <v>1500</v>
      </c>
      <c r="Q2246" s="54"/>
      <c r="R2246" s="345">
        <v>1500</v>
      </c>
      <c r="S2246" s="53">
        <f t="shared" si="370"/>
        <v>0</v>
      </c>
      <c r="T2246" s="343">
        <f t="shared" si="372"/>
        <v>320</v>
      </c>
      <c r="U2246" s="52">
        <f t="shared" si="373"/>
        <v>0</v>
      </c>
      <c r="V2246" s="52">
        <f t="shared" si="374"/>
        <v>0</v>
      </c>
      <c r="W2246" s="52">
        <v>0</v>
      </c>
      <c r="X2246" s="255">
        <f t="shared" si="375"/>
        <v>46153.883449074077</v>
      </c>
    </row>
    <row r="2247" spans="1:24" s="221" customFormat="1" ht="26.5" hidden="1" x14ac:dyDescent="0.35">
      <c r="A2247" s="71">
        <f t="shared" si="376"/>
        <v>46153.883449074077</v>
      </c>
      <c r="B2247" s="71"/>
      <c r="C2247" s="71"/>
      <c r="D2247" s="71"/>
      <c r="E2247" s="47" t="s">
        <v>134</v>
      </c>
      <c r="F2247" s="82" t="s">
        <v>1112</v>
      </c>
      <c r="G2247" s="82"/>
      <c r="H2247" s="59" t="s">
        <v>1113</v>
      </c>
      <c r="I2247" s="71" t="s">
        <v>999</v>
      </c>
      <c r="J2247" s="51" t="s">
        <v>140</v>
      </c>
      <c r="K2247" s="52">
        <v>0</v>
      </c>
      <c r="L2247" s="52">
        <v>0</v>
      </c>
      <c r="M2247" s="53">
        <v>270</v>
      </c>
      <c r="N2247" s="70">
        <v>1500</v>
      </c>
      <c r="O2247" s="341">
        <v>1</v>
      </c>
      <c r="P2247" s="54">
        <f t="shared" si="377"/>
        <v>1500</v>
      </c>
      <c r="Q2247" s="54"/>
      <c r="R2247" s="345">
        <v>1500</v>
      </c>
      <c r="S2247" s="53">
        <f t="shared" si="370"/>
        <v>0</v>
      </c>
      <c r="T2247" s="343">
        <f t="shared" si="372"/>
        <v>320</v>
      </c>
      <c r="U2247" s="52">
        <f t="shared" si="373"/>
        <v>0</v>
      </c>
      <c r="V2247" s="52">
        <f t="shared" si="374"/>
        <v>0</v>
      </c>
      <c r="W2247" s="52">
        <v>0</v>
      </c>
      <c r="X2247" s="255">
        <f t="shared" si="375"/>
        <v>46153.883449074077</v>
      </c>
    </row>
    <row r="2248" spans="1:24" ht="26.5" hidden="1" x14ac:dyDescent="0.35">
      <c r="A2248" s="71">
        <f t="shared" si="376"/>
        <v>46153.883449074077</v>
      </c>
      <c r="B2248" s="71"/>
      <c r="C2248" s="71"/>
      <c r="D2248" s="71"/>
      <c r="E2248" s="47" t="s">
        <v>134</v>
      </c>
      <c r="F2248" s="82" t="s">
        <v>1114</v>
      </c>
      <c r="G2248" s="82"/>
      <c r="H2248" s="107" t="s">
        <v>1115</v>
      </c>
      <c r="I2248" s="71" t="s">
        <v>999</v>
      </c>
      <c r="J2248" s="51" t="s">
        <v>140</v>
      </c>
      <c r="K2248" s="91">
        <v>0</v>
      </c>
      <c r="L2248" s="91">
        <v>0</v>
      </c>
      <c r="M2248" s="92">
        <v>270</v>
      </c>
      <c r="N2248" s="344">
        <v>1500</v>
      </c>
      <c r="O2248" s="253">
        <v>1</v>
      </c>
      <c r="P2248" s="94">
        <f t="shared" si="377"/>
        <v>1500</v>
      </c>
      <c r="Q2248" s="94"/>
      <c r="R2248" s="345">
        <v>1500</v>
      </c>
      <c r="S2248" s="92">
        <f t="shared" ref="S2248:S2311" si="378">P2248-R2248</f>
        <v>0</v>
      </c>
      <c r="T2248" s="254">
        <f t="shared" si="372"/>
        <v>320</v>
      </c>
      <c r="U2248" s="91">
        <f t="shared" si="373"/>
        <v>0</v>
      </c>
      <c r="V2248" s="91">
        <f t="shared" si="374"/>
        <v>0</v>
      </c>
      <c r="W2248" s="91">
        <v>0</v>
      </c>
      <c r="X2248" s="255">
        <f t="shared" si="375"/>
        <v>46153.883449074077</v>
      </c>
    </row>
    <row r="2249" spans="1:24" hidden="1" x14ac:dyDescent="0.35">
      <c r="A2249" s="71">
        <f t="shared" si="376"/>
        <v>46153.883449074077</v>
      </c>
      <c r="B2249" s="71"/>
      <c r="C2249" s="71"/>
      <c r="D2249" s="71"/>
      <c r="E2249" s="119" t="s">
        <v>134</v>
      </c>
      <c r="F2249" s="82" t="s">
        <v>513</v>
      </c>
      <c r="G2249" s="82"/>
      <c r="H2249" s="98" t="s">
        <v>1116</v>
      </c>
      <c r="I2249" s="72" t="s">
        <v>191</v>
      </c>
      <c r="J2249" s="51" t="s">
        <v>140</v>
      </c>
      <c r="K2249" s="91">
        <v>0</v>
      </c>
      <c r="L2249" s="91">
        <v>0</v>
      </c>
      <c r="M2249" s="92">
        <v>67</v>
      </c>
      <c r="N2249" s="94">
        <v>5940</v>
      </c>
      <c r="O2249" s="253">
        <v>1</v>
      </c>
      <c r="P2249" s="94">
        <f t="shared" si="377"/>
        <v>5940</v>
      </c>
      <c r="Q2249" s="94"/>
      <c r="R2249" s="92">
        <v>5940</v>
      </c>
      <c r="S2249" s="92">
        <f t="shared" si="378"/>
        <v>0</v>
      </c>
      <c r="T2249" s="254">
        <f t="shared" si="372"/>
        <v>1289.5522388059703</v>
      </c>
      <c r="U2249" s="91">
        <f t="shared" si="373"/>
        <v>0</v>
      </c>
      <c r="V2249" s="91">
        <f t="shared" si="374"/>
        <v>0</v>
      </c>
      <c r="W2249" s="91">
        <v>0</v>
      </c>
      <c r="X2249" s="255">
        <f t="shared" si="375"/>
        <v>46153.883449074077</v>
      </c>
    </row>
    <row r="2250" spans="1:24" hidden="1" x14ac:dyDescent="0.35">
      <c r="A2250" s="71">
        <f t="shared" si="376"/>
        <v>46153.883449074077</v>
      </c>
      <c r="B2250" s="71"/>
      <c r="C2250" s="71"/>
      <c r="D2250" s="71"/>
      <c r="E2250" s="119" t="s">
        <v>134</v>
      </c>
      <c r="F2250" s="82" t="s">
        <v>513</v>
      </c>
      <c r="G2250" s="82"/>
      <c r="H2250" s="98" t="s">
        <v>1117</v>
      </c>
      <c r="I2250" s="72" t="s">
        <v>380</v>
      </c>
      <c r="J2250" s="51" t="s">
        <v>140</v>
      </c>
      <c r="K2250" s="91">
        <v>0</v>
      </c>
      <c r="L2250" s="91">
        <v>0</v>
      </c>
      <c r="M2250" s="92">
        <v>67</v>
      </c>
      <c r="N2250" s="94">
        <v>210</v>
      </c>
      <c r="O2250" s="253">
        <v>1</v>
      </c>
      <c r="P2250" s="94">
        <f t="shared" si="377"/>
        <v>210</v>
      </c>
      <c r="Q2250" s="94"/>
      <c r="R2250" s="92">
        <v>210</v>
      </c>
      <c r="S2250" s="92">
        <f t="shared" si="378"/>
        <v>0</v>
      </c>
      <c r="T2250" s="254">
        <f t="shared" si="372"/>
        <v>1289.5522388059703</v>
      </c>
      <c r="U2250" s="91">
        <f t="shared" si="373"/>
        <v>0</v>
      </c>
      <c r="V2250" s="91">
        <f t="shared" si="374"/>
        <v>0</v>
      </c>
      <c r="W2250" s="225">
        <v>0</v>
      </c>
      <c r="X2250" s="255">
        <f t="shared" si="375"/>
        <v>46153.883449074077</v>
      </c>
    </row>
    <row r="2251" spans="1:24" hidden="1" x14ac:dyDescent="0.35">
      <c r="A2251" s="71">
        <f t="shared" si="376"/>
        <v>46153.883449074077</v>
      </c>
      <c r="B2251" s="71"/>
      <c r="C2251" s="71"/>
      <c r="D2251" s="71"/>
      <c r="E2251" s="119" t="s">
        <v>134</v>
      </c>
      <c r="F2251" s="82" t="s">
        <v>513</v>
      </c>
      <c r="G2251" s="82"/>
      <c r="H2251" s="98" t="s">
        <v>1118</v>
      </c>
      <c r="I2251" s="72" t="s">
        <v>277</v>
      </c>
      <c r="J2251" s="51" t="s">
        <v>140</v>
      </c>
      <c r="K2251" s="91">
        <v>0</v>
      </c>
      <c r="L2251" s="91">
        <v>0</v>
      </c>
      <c r="M2251" s="92">
        <v>67</v>
      </c>
      <c r="N2251" s="94">
        <v>630</v>
      </c>
      <c r="O2251" s="253">
        <v>1</v>
      </c>
      <c r="P2251" s="94">
        <f t="shared" si="377"/>
        <v>630</v>
      </c>
      <c r="Q2251" s="94"/>
      <c r="R2251" s="92">
        <v>630</v>
      </c>
      <c r="S2251" s="92">
        <f t="shared" si="378"/>
        <v>0</v>
      </c>
      <c r="T2251" s="254">
        <f t="shared" si="372"/>
        <v>1289.5522388059703</v>
      </c>
      <c r="U2251" s="91">
        <f t="shared" si="373"/>
        <v>0</v>
      </c>
      <c r="V2251" s="91">
        <f t="shared" si="374"/>
        <v>0</v>
      </c>
      <c r="W2251" s="91">
        <v>0</v>
      </c>
      <c r="X2251" s="255">
        <f t="shared" si="375"/>
        <v>46153.883449074077</v>
      </c>
    </row>
    <row r="2252" spans="1:24" hidden="1" x14ac:dyDescent="0.35">
      <c r="A2252" s="71">
        <f t="shared" si="376"/>
        <v>46153.883449074077</v>
      </c>
      <c r="B2252" s="71"/>
      <c r="C2252" s="71"/>
      <c r="D2252" s="71"/>
      <c r="E2252" s="119" t="s">
        <v>134</v>
      </c>
      <c r="F2252" s="82" t="s">
        <v>513</v>
      </c>
      <c r="G2252" s="82"/>
      <c r="H2252" s="98" t="s">
        <v>1119</v>
      </c>
      <c r="I2252" s="73" t="s">
        <v>274</v>
      </c>
      <c r="J2252" s="51" t="s">
        <v>140</v>
      </c>
      <c r="K2252" s="91">
        <v>0</v>
      </c>
      <c r="L2252" s="91">
        <v>0</v>
      </c>
      <c r="M2252" s="92">
        <v>67</v>
      </c>
      <c r="N2252" s="94">
        <v>1260</v>
      </c>
      <c r="O2252" s="253">
        <v>1</v>
      </c>
      <c r="P2252" s="94">
        <f t="shared" si="377"/>
        <v>1260</v>
      </c>
      <c r="Q2252" s="94"/>
      <c r="R2252" s="92">
        <v>1260</v>
      </c>
      <c r="S2252" s="92">
        <f t="shared" si="378"/>
        <v>0</v>
      </c>
      <c r="T2252" s="254">
        <f t="shared" si="372"/>
        <v>1289.5522388059703</v>
      </c>
      <c r="U2252" s="91">
        <f t="shared" si="373"/>
        <v>0</v>
      </c>
      <c r="V2252" s="91">
        <f t="shared" si="374"/>
        <v>0</v>
      </c>
      <c r="W2252" s="91">
        <v>0</v>
      </c>
      <c r="X2252" s="255">
        <f t="shared" si="375"/>
        <v>46153.883449074077</v>
      </c>
    </row>
    <row r="2253" spans="1:24" hidden="1" x14ac:dyDescent="0.35">
      <c r="A2253" s="71">
        <f t="shared" si="376"/>
        <v>46153.883449074077</v>
      </c>
      <c r="B2253" s="71"/>
      <c r="C2253" s="71"/>
      <c r="D2253" s="71"/>
      <c r="E2253" s="119" t="s">
        <v>134</v>
      </c>
      <c r="F2253" s="82" t="s">
        <v>513</v>
      </c>
      <c r="G2253" s="82"/>
      <c r="H2253" s="98" t="s">
        <v>1120</v>
      </c>
      <c r="I2253" s="73" t="s">
        <v>274</v>
      </c>
      <c r="J2253" s="51" t="s">
        <v>140</v>
      </c>
      <c r="K2253" s="91">
        <v>0</v>
      </c>
      <c r="L2253" s="91">
        <v>0</v>
      </c>
      <c r="M2253" s="92">
        <v>67</v>
      </c>
      <c r="N2253" s="94">
        <v>840</v>
      </c>
      <c r="O2253" s="253">
        <v>1</v>
      </c>
      <c r="P2253" s="94">
        <f t="shared" si="377"/>
        <v>840</v>
      </c>
      <c r="Q2253" s="94"/>
      <c r="R2253" s="92">
        <v>840</v>
      </c>
      <c r="S2253" s="92">
        <f t="shared" si="378"/>
        <v>0</v>
      </c>
      <c r="T2253" s="254">
        <f t="shared" si="372"/>
        <v>1289.5522388059703</v>
      </c>
      <c r="U2253" s="91">
        <f t="shared" si="373"/>
        <v>0</v>
      </c>
      <c r="V2253" s="91">
        <f t="shared" si="374"/>
        <v>0</v>
      </c>
      <c r="W2253" s="91">
        <v>0</v>
      </c>
      <c r="X2253" s="255">
        <f t="shared" si="375"/>
        <v>46153.883449074077</v>
      </c>
    </row>
    <row r="2254" spans="1:24" hidden="1" x14ac:dyDescent="0.35">
      <c r="A2254" s="71">
        <f t="shared" si="376"/>
        <v>46153.883449074077</v>
      </c>
      <c r="B2254" s="71"/>
      <c r="C2254" s="71"/>
      <c r="D2254" s="71"/>
      <c r="E2254" s="119" t="s">
        <v>134</v>
      </c>
      <c r="F2254" s="82" t="s">
        <v>513</v>
      </c>
      <c r="G2254" s="82"/>
      <c r="H2254" s="98" t="s">
        <v>1121</v>
      </c>
      <c r="I2254" s="72" t="s">
        <v>191</v>
      </c>
      <c r="J2254" s="51" t="s">
        <v>140</v>
      </c>
      <c r="K2254" s="91">
        <v>0</v>
      </c>
      <c r="L2254" s="91">
        <v>0</v>
      </c>
      <c r="M2254" s="92">
        <v>67</v>
      </c>
      <c r="N2254" s="94">
        <v>5880</v>
      </c>
      <c r="O2254" s="253">
        <v>1</v>
      </c>
      <c r="P2254" s="94">
        <f t="shared" si="377"/>
        <v>5880</v>
      </c>
      <c r="Q2254" s="94"/>
      <c r="R2254" s="92">
        <v>5880</v>
      </c>
      <c r="S2254" s="92">
        <f t="shared" si="378"/>
        <v>0</v>
      </c>
      <c r="T2254" s="254">
        <f t="shared" si="372"/>
        <v>1289.5522388059703</v>
      </c>
      <c r="U2254" s="91">
        <f t="shared" si="373"/>
        <v>0</v>
      </c>
      <c r="V2254" s="91">
        <f t="shared" si="374"/>
        <v>0</v>
      </c>
      <c r="W2254" s="91">
        <v>0</v>
      </c>
      <c r="X2254" s="255">
        <f t="shared" si="375"/>
        <v>46153.883449074077</v>
      </c>
    </row>
    <row r="2255" spans="1:24" hidden="1" x14ac:dyDescent="0.35">
      <c r="A2255" s="71">
        <f t="shared" si="376"/>
        <v>46153.883449074077</v>
      </c>
      <c r="B2255" s="71"/>
      <c r="C2255" s="71"/>
      <c r="D2255" s="71"/>
      <c r="E2255" s="119" t="s">
        <v>134</v>
      </c>
      <c r="F2255" s="82" t="s">
        <v>513</v>
      </c>
      <c r="G2255" s="82"/>
      <c r="H2255" s="98" t="s">
        <v>1122</v>
      </c>
      <c r="I2255" s="72" t="s">
        <v>274</v>
      </c>
      <c r="J2255" s="51" t="s">
        <v>140</v>
      </c>
      <c r="K2255" s="91">
        <v>0</v>
      </c>
      <c r="L2255" s="91">
        <v>0</v>
      </c>
      <c r="M2255" s="92">
        <v>67</v>
      </c>
      <c r="N2255" s="94">
        <v>840</v>
      </c>
      <c r="O2255" s="253">
        <v>1</v>
      </c>
      <c r="P2255" s="94">
        <f t="shared" si="377"/>
        <v>840</v>
      </c>
      <c r="Q2255" s="94"/>
      <c r="R2255" s="92">
        <v>840</v>
      </c>
      <c r="S2255" s="92">
        <f t="shared" si="378"/>
        <v>0</v>
      </c>
      <c r="T2255" s="254">
        <f t="shared" si="372"/>
        <v>1289.5522388059703</v>
      </c>
      <c r="U2255" s="91">
        <f t="shared" si="373"/>
        <v>0</v>
      </c>
      <c r="V2255" s="91">
        <f t="shared" si="374"/>
        <v>0</v>
      </c>
      <c r="W2255" s="91">
        <v>0</v>
      </c>
      <c r="X2255" s="255">
        <f t="shared" si="375"/>
        <v>46153.883449074077</v>
      </c>
    </row>
    <row r="2256" spans="1:24" ht="26.5" hidden="1" x14ac:dyDescent="0.35">
      <c r="A2256" s="71">
        <f t="shared" si="376"/>
        <v>46153.883449074077</v>
      </c>
      <c r="B2256" s="71"/>
      <c r="C2256" s="71"/>
      <c r="D2256" s="71"/>
      <c r="E2256" s="47" t="s">
        <v>134</v>
      </c>
      <c r="F2256" s="82" t="s">
        <v>1123</v>
      </c>
      <c r="G2256" s="82"/>
      <c r="H2256" s="59" t="s">
        <v>1124</v>
      </c>
      <c r="I2256" s="71" t="s">
        <v>999</v>
      </c>
      <c r="J2256" s="51" t="s">
        <v>140</v>
      </c>
      <c r="K2256" s="52">
        <v>0</v>
      </c>
      <c r="L2256" s="52">
        <v>0</v>
      </c>
      <c r="M2256" s="53">
        <v>270</v>
      </c>
      <c r="N2256" s="70">
        <v>1500</v>
      </c>
      <c r="O2256" s="341">
        <v>1</v>
      </c>
      <c r="P2256" s="54">
        <f t="shared" si="377"/>
        <v>1500</v>
      </c>
      <c r="Q2256" s="54"/>
      <c r="R2256" s="345">
        <v>1500</v>
      </c>
      <c r="S2256" s="53">
        <f t="shared" si="378"/>
        <v>0</v>
      </c>
      <c r="T2256" s="343">
        <f t="shared" ref="T2256:T2319" si="379">((3600/M2256)*O2256)*24</f>
        <v>320</v>
      </c>
      <c r="U2256" s="52">
        <f t="shared" ref="U2256:U2319" si="380">(P2256-R2256)*M2256/3600</f>
        <v>0</v>
      </c>
      <c r="V2256" s="52">
        <f t="shared" ref="V2256:V2319" si="381">(P2256-R2256)*M2256/3600/24</f>
        <v>0</v>
      </c>
      <c r="W2256" s="52">
        <v>0</v>
      </c>
      <c r="X2256" s="255">
        <f t="shared" ref="X2256:X2319" si="382">A2256+K2256+V2256+W2256+L2256</f>
        <v>46153.883449074077</v>
      </c>
    </row>
    <row r="2257" spans="1:24" hidden="1" x14ac:dyDescent="0.35">
      <c r="A2257" s="71">
        <f t="shared" ref="A2257:A2320" si="383">X2256</f>
        <v>46153.883449074077</v>
      </c>
      <c r="B2257" s="71"/>
      <c r="C2257" s="71"/>
      <c r="D2257" s="71"/>
      <c r="E2257" s="119" t="s">
        <v>134</v>
      </c>
      <c r="F2257" s="97" t="s">
        <v>271</v>
      </c>
      <c r="G2257" s="97"/>
      <c r="H2257" s="98" t="s">
        <v>1125</v>
      </c>
      <c r="I2257" s="82" t="s">
        <v>470</v>
      </c>
      <c r="J2257" s="100" t="s">
        <v>140</v>
      </c>
      <c r="K2257" s="101">
        <v>0</v>
      </c>
      <c r="L2257" s="101">
        <v>0</v>
      </c>
      <c r="M2257" s="102">
        <v>187</v>
      </c>
      <c r="N2257" s="103">
        <v>1680</v>
      </c>
      <c r="O2257" s="171">
        <v>2</v>
      </c>
      <c r="P2257" s="103">
        <f t="shared" si="377"/>
        <v>840</v>
      </c>
      <c r="Q2257" s="103"/>
      <c r="R2257" s="102">
        <v>840</v>
      </c>
      <c r="S2257" s="102">
        <f t="shared" si="378"/>
        <v>0</v>
      </c>
      <c r="T2257" s="173">
        <f t="shared" si="379"/>
        <v>924.06417112299459</v>
      </c>
      <c r="U2257" s="101">
        <f t="shared" si="380"/>
        <v>0</v>
      </c>
      <c r="V2257" s="101">
        <f t="shared" si="381"/>
        <v>0</v>
      </c>
      <c r="W2257" s="52">
        <v>0</v>
      </c>
      <c r="X2257" s="255">
        <f t="shared" si="382"/>
        <v>46153.883449074077</v>
      </c>
    </row>
    <row r="2258" spans="1:24" hidden="1" x14ac:dyDescent="0.35">
      <c r="A2258" s="71">
        <f t="shared" si="383"/>
        <v>46153.883449074077</v>
      </c>
      <c r="B2258" s="71"/>
      <c r="C2258" s="71"/>
      <c r="D2258" s="71"/>
      <c r="E2258" s="119" t="s">
        <v>134</v>
      </c>
      <c r="F2258" s="97" t="s">
        <v>271</v>
      </c>
      <c r="G2258" s="97"/>
      <c r="H2258" s="98" t="s">
        <v>1126</v>
      </c>
      <c r="I2258" s="82" t="s">
        <v>470</v>
      </c>
      <c r="J2258" s="100" t="s">
        <v>140</v>
      </c>
      <c r="K2258" s="101">
        <v>0</v>
      </c>
      <c r="L2258" s="101">
        <v>0</v>
      </c>
      <c r="M2258" s="102">
        <v>187</v>
      </c>
      <c r="N2258" s="103">
        <v>5040</v>
      </c>
      <c r="O2258" s="171">
        <v>2</v>
      </c>
      <c r="P2258" s="103">
        <f t="shared" si="377"/>
        <v>2520</v>
      </c>
      <c r="Q2258" s="103"/>
      <c r="R2258" s="102">
        <v>2520</v>
      </c>
      <c r="S2258" s="102">
        <f t="shared" si="378"/>
        <v>0</v>
      </c>
      <c r="T2258" s="173">
        <f t="shared" si="379"/>
        <v>924.06417112299459</v>
      </c>
      <c r="U2258" s="101">
        <f t="shared" si="380"/>
        <v>0</v>
      </c>
      <c r="V2258" s="101">
        <f t="shared" si="381"/>
        <v>0</v>
      </c>
      <c r="W2258" s="52">
        <v>0</v>
      </c>
      <c r="X2258" s="255">
        <f t="shared" si="382"/>
        <v>46153.883449074077</v>
      </c>
    </row>
    <row r="2259" spans="1:24" hidden="1" x14ac:dyDescent="0.35">
      <c r="A2259" s="71">
        <f t="shared" si="383"/>
        <v>46153.883449074077</v>
      </c>
      <c r="B2259" s="71"/>
      <c r="C2259" s="71"/>
      <c r="D2259" s="71"/>
      <c r="E2259" s="119" t="s">
        <v>134</v>
      </c>
      <c r="F2259" s="97" t="s">
        <v>271</v>
      </c>
      <c r="G2259" s="97"/>
      <c r="H2259" s="98" t="s">
        <v>1127</v>
      </c>
      <c r="I2259" s="82" t="s">
        <v>470</v>
      </c>
      <c r="J2259" s="100" t="s">
        <v>140</v>
      </c>
      <c r="K2259" s="101">
        <v>0</v>
      </c>
      <c r="L2259" s="101">
        <v>0</v>
      </c>
      <c r="M2259" s="102">
        <v>187</v>
      </c>
      <c r="N2259" s="103">
        <v>480</v>
      </c>
      <c r="O2259" s="171">
        <v>2</v>
      </c>
      <c r="P2259" s="103">
        <f t="shared" si="377"/>
        <v>240</v>
      </c>
      <c r="Q2259" s="103"/>
      <c r="R2259" s="102">
        <v>240</v>
      </c>
      <c r="S2259" s="102">
        <f t="shared" si="378"/>
        <v>0</v>
      </c>
      <c r="T2259" s="173">
        <f t="shared" si="379"/>
        <v>924.06417112299459</v>
      </c>
      <c r="U2259" s="101">
        <f t="shared" si="380"/>
        <v>0</v>
      </c>
      <c r="V2259" s="101">
        <f t="shared" si="381"/>
        <v>0</v>
      </c>
      <c r="W2259" s="52">
        <v>0</v>
      </c>
      <c r="X2259" s="255">
        <f t="shared" si="382"/>
        <v>46153.883449074077</v>
      </c>
    </row>
    <row r="2260" spans="1:24" hidden="1" x14ac:dyDescent="0.35">
      <c r="A2260" s="71">
        <f t="shared" si="383"/>
        <v>46153.883449074077</v>
      </c>
      <c r="B2260" s="71"/>
      <c r="C2260" s="71"/>
      <c r="D2260" s="71"/>
      <c r="E2260" s="119" t="s">
        <v>134</v>
      </c>
      <c r="F2260" s="82" t="s">
        <v>1128</v>
      </c>
      <c r="G2260" s="82"/>
      <c r="H2260" s="49" t="s">
        <v>1129</v>
      </c>
      <c r="I2260" s="71" t="s">
        <v>523</v>
      </c>
      <c r="J2260" s="100" t="s">
        <v>140</v>
      </c>
      <c r="K2260" s="84">
        <v>0</v>
      </c>
      <c r="L2260" s="84">
        <v>0</v>
      </c>
      <c r="M2260" s="83">
        <v>67</v>
      </c>
      <c r="N2260" s="317">
        <v>420</v>
      </c>
      <c r="O2260" s="314">
        <v>1</v>
      </c>
      <c r="P2260" s="223">
        <f t="shared" si="377"/>
        <v>420</v>
      </c>
      <c r="Q2260" s="223"/>
      <c r="R2260" s="346">
        <v>420</v>
      </c>
      <c r="S2260" s="83">
        <f t="shared" si="378"/>
        <v>0</v>
      </c>
      <c r="T2260" s="315">
        <f t="shared" si="379"/>
        <v>1289.5522388059703</v>
      </c>
      <c r="U2260" s="84">
        <f t="shared" si="380"/>
        <v>0</v>
      </c>
      <c r="V2260" s="84">
        <f t="shared" si="381"/>
        <v>0</v>
      </c>
      <c r="W2260" s="84">
        <v>0</v>
      </c>
      <c r="X2260" s="255">
        <f t="shared" si="382"/>
        <v>46153.883449074077</v>
      </c>
    </row>
    <row r="2261" spans="1:24" s="118" customFormat="1" hidden="1" x14ac:dyDescent="0.35">
      <c r="A2261" s="71">
        <f t="shared" si="383"/>
        <v>46153.883449074077</v>
      </c>
      <c r="B2261" s="71"/>
      <c r="C2261" s="71"/>
      <c r="D2261" s="71"/>
      <c r="E2261" s="119" t="s">
        <v>134</v>
      </c>
      <c r="F2261" s="82" t="s">
        <v>1130</v>
      </c>
      <c r="G2261" s="82"/>
      <c r="H2261" s="49" t="s">
        <v>1131</v>
      </c>
      <c r="I2261" s="82" t="s">
        <v>274</v>
      </c>
      <c r="J2261" s="100" t="s">
        <v>140</v>
      </c>
      <c r="K2261" s="84">
        <v>0</v>
      </c>
      <c r="L2261" s="84">
        <v>0</v>
      </c>
      <c r="M2261" s="83">
        <v>67</v>
      </c>
      <c r="N2261" s="223">
        <v>630</v>
      </c>
      <c r="O2261" s="314">
        <v>1</v>
      </c>
      <c r="P2261" s="223">
        <f t="shared" si="377"/>
        <v>630</v>
      </c>
      <c r="Q2261" s="223"/>
      <c r="R2261" s="102">
        <v>630</v>
      </c>
      <c r="S2261" s="83">
        <f t="shared" si="378"/>
        <v>0</v>
      </c>
      <c r="T2261" s="315">
        <f t="shared" si="379"/>
        <v>1289.5522388059703</v>
      </c>
      <c r="U2261" s="84">
        <f t="shared" si="380"/>
        <v>0</v>
      </c>
      <c r="V2261" s="84">
        <f t="shared" si="381"/>
        <v>0</v>
      </c>
      <c r="W2261" s="84">
        <v>0</v>
      </c>
      <c r="X2261" s="255">
        <f t="shared" si="382"/>
        <v>46153.883449074077</v>
      </c>
    </row>
    <row r="2262" spans="1:24" s="118" customFormat="1" hidden="1" x14ac:dyDescent="0.35">
      <c r="A2262" s="71">
        <f t="shared" si="383"/>
        <v>46153.883449074077</v>
      </c>
      <c r="B2262" s="71"/>
      <c r="C2262" s="71"/>
      <c r="D2262" s="71"/>
      <c r="E2262" s="119" t="s">
        <v>134</v>
      </c>
      <c r="F2262" s="82" t="s">
        <v>1130</v>
      </c>
      <c r="G2262" s="82"/>
      <c r="H2262" s="49" t="s">
        <v>1132</v>
      </c>
      <c r="I2262" s="82" t="s">
        <v>191</v>
      </c>
      <c r="J2262" s="100" t="s">
        <v>140</v>
      </c>
      <c r="K2262" s="84">
        <v>0</v>
      </c>
      <c r="L2262" s="84">
        <v>0</v>
      </c>
      <c r="M2262" s="83">
        <v>67</v>
      </c>
      <c r="N2262" s="223">
        <v>4620</v>
      </c>
      <c r="O2262" s="314">
        <v>1</v>
      </c>
      <c r="P2262" s="223">
        <f t="shared" si="377"/>
        <v>4620</v>
      </c>
      <c r="Q2262" s="223"/>
      <c r="R2262" s="102">
        <v>4620</v>
      </c>
      <c r="S2262" s="83">
        <f t="shared" si="378"/>
        <v>0</v>
      </c>
      <c r="T2262" s="315">
        <f t="shared" si="379"/>
        <v>1289.5522388059703</v>
      </c>
      <c r="U2262" s="84">
        <f t="shared" si="380"/>
        <v>0</v>
      </c>
      <c r="V2262" s="84">
        <f t="shared" si="381"/>
        <v>0</v>
      </c>
      <c r="W2262" s="84">
        <v>0</v>
      </c>
      <c r="X2262" s="255">
        <f t="shared" si="382"/>
        <v>46153.883449074077</v>
      </c>
    </row>
    <row r="2263" spans="1:24" s="118" customFormat="1" hidden="1" x14ac:dyDescent="0.35">
      <c r="A2263" s="71">
        <f t="shared" si="383"/>
        <v>46153.883449074077</v>
      </c>
      <c r="B2263" s="71"/>
      <c r="C2263" s="71"/>
      <c r="D2263" s="71"/>
      <c r="E2263" s="119" t="s">
        <v>134</v>
      </c>
      <c r="F2263" s="82" t="s">
        <v>1130</v>
      </c>
      <c r="G2263" s="82"/>
      <c r="H2263" s="98" t="s">
        <v>1133</v>
      </c>
      <c r="I2263" s="71" t="s">
        <v>1012</v>
      </c>
      <c r="J2263" s="100" t="s">
        <v>140</v>
      </c>
      <c r="K2263" s="101">
        <v>0</v>
      </c>
      <c r="L2263" s="101">
        <v>0</v>
      </c>
      <c r="M2263" s="102">
        <v>67</v>
      </c>
      <c r="N2263" s="227">
        <v>210</v>
      </c>
      <c r="O2263" s="171">
        <v>1</v>
      </c>
      <c r="P2263" s="103">
        <f t="shared" si="377"/>
        <v>210</v>
      </c>
      <c r="Q2263" s="103"/>
      <c r="R2263" s="346">
        <v>210</v>
      </c>
      <c r="S2263" s="102">
        <f t="shared" si="378"/>
        <v>0</v>
      </c>
      <c r="T2263" s="173">
        <f t="shared" si="379"/>
        <v>1289.5522388059703</v>
      </c>
      <c r="U2263" s="101">
        <f t="shared" si="380"/>
        <v>0</v>
      </c>
      <c r="V2263" s="101">
        <f t="shared" si="381"/>
        <v>0</v>
      </c>
      <c r="W2263" s="101">
        <v>0</v>
      </c>
      <c r="X2263" s="255">
        <f t="shared" si="382"/>
        <v>46153.883449074077</v>
      </c>
    </row>
    <row r="2264" spans="1:24" s="118" customFormat="1" hidden="1" x14ac:dyDescent="0.35">
      <c r="A2264" s="71">
        <f t="shared" si="383"/>
        <v>46153.883449074077</v>
      </c>
      <c r="B2264" s="71"/>
      <c r="C2264" s="71"/>
      <c r="D2264" s="71"/>
      <c r="E2264" s="119" t="s">
        <v>134</v>
      </c>
      <c r="F2264" s="82" t="s">
        <v>1130</v>
      </c>
      <c r="G2264" s="82"/>
      <c r="H2264" s="98" t="s">
        <v>1134</v>
      </c>
      <c r="I2264" s="82" t="s">
        <v>380</v>
      </c>
      <c r="J2264" s="100" t="s">
        <v>140</v>
      </c>
      <c r="K2264" s="101">
        <v>0</v>
      </c>
      <c r="L2264" s="101">
        <v>0</v>
      </c>
      <c r="M2264" s="102">
        <v>67</v>
      </c>
      <c r="N2264" s="103">
        <v>210</v>
      </c>
      <c r="O2264" s="171">
        <v>1</v>
      </c>
      <c r="P2264" s="103">
        <f t="shared" si="377"/>
        <v>210</v>
      </c>
      <c r="Q2264" s="103"/>
      <c r="R2264" s="102">
        <v>210</v>
      </c>
      <c r="S2264" s="102">
        <f t="shared" si="378"/>
        <v>0</v>
      </c>
      <c r="T2264" s="173">
        <f t="shared" si="379"/>
        <v>1289.5522388059703</v>
      </c>
      <c r="U2264" s="101">
        <f t="shared" si="380"/>
        <v>0</v>
      </c>
      <c r="V2264" s="101">
        <f t="shared" si="381"/>
        <v>0</v>
      </c>
      <c r="W2264" s="101">
        <v>0</v>
      </c>
      <c r="X2264" s="255">
        <f t="shared" si="382"/>
        <v>46153.883449074077</v>
      </c>
    </row>
    <row r="2265" spans="1:24" s="118" customFormat="1" hidden="1" x14ac:dyDescent="0.35">
      <c r="A2265" s="71">
        <f t="shared" si="383"/>
        <v>46153.883449074077</v>
      </c>
      <c r="B2265" s="71"/>
      <c r="C2265" s="71"/>
      <c r="D2265" s="71"/>
      <c r="E2265" s="119" t="s">
        <v>134</v>
      </c>
      <c r="F2265" s="82" t="s">
        <v>1130</v>
      </c>
      <c r="G2265" s="82"/>
      <c r="H2265" s="98" t="s">
        <v>1135</v>
      </c>
      <c r="I2265" s="82" t="s">
        <v>409</v>
      </c>
      <c r="J2265" s="100" t="s">
        <v>140</v>
      </c>
      <c r="K2265" s="101">
        <v>0</v>
      </c>
      <c r="L2265" s="101">
        <v>0</v>
      </c>
      <c r="M2265" s="102">
        <v>67</v>
      </c>
      <c r="N2265" s="347">
        <v>210</v>
      </c>
      <c r="O2265" s="171">
        <v>1</v>
      </c>
      <c r="P2265" s="103">
        <f t="shared" si="377"/>
        <v>210</v>
      </c>
      <c r="Q2265" s="103"/>
      <c r="R2265" s="108">
        <v>210</v>
      </c>
      <c r="S2265" s="102">
        <f t="shared" si="378"/>
        <v>0</v>
      </c>
      <c r="T2265" s="173">
        <f t="shared" si="379"/>
        <v>1289.5522388059703</v>
      </c>
      <c r="U2265" s="101">
        <f t="shared" si="380"/>
        <v>0</v>
      </c>
      <c r="V2265" s="101">
        <f t="shared" si="381"/>
        <v>0</v>
      </c>
      <c r="W2265" s="101">
        <v>0</v>
      </c>
      <c r="X2265" s="255">
        <f t="shared" si="382"/>
        <v>46153.883449074077</v>
      </c>
    </row>
    <row r="2266" spans="1:24" s="118" customFormat="1" ht="26.5" hidden="1" x14ac:dyDescent="0.35">
      <c r="A2266" s="71">
        <f t="shared" si="383"/>
        <v>46153.883449074077</v>
      </c>
      <c r="B2266" s="71"/>
      <c r="C2266" s="71"/>
      <c r="D2266" s="71"/>
      <c r="E2266" s="119" t="s">
        <v>454</v>
      </c>
      <c r="F2266" s="82" t="s">
        <v>177</v>
      </c>
      <c r="G2266" s="82"/>
      <c r="H2266" s="98" t="s">
        <v>1136</v>
      </c>
      <c r="I2266" s="82" t="s">
        <v>191</v>
      </c>
      <c r="J2266" s="100" t="s">
        <v>140</v>
      </c>
      <c r="K2266" s="101">
        <v>0</v>
      </c>
      <c r="L2266" s="101">
        <v>0</v>
      </c>
      <c r="M2266" s="102">
        <v>67</v>
      </c>
      <c r="N2266" s="103">
        <v>2380</v>
      </c>
      <c r="O2266" s="171">
        <v>1</v>
      </c>
      <c r="P2266" s="103">
        <f t="shared" si="377"/>
        <v>2380</v>
      </c>
      <c r="Q2266" s="103"/>
      <c r="R2266" s="102">
        <v>2380</v>
      </c>
      <c r="S2266" s="102">
        <f t="shared" si="378"/>
        <v>0</v>
      </c>
      <c r="T2266" s="173">
        <f t="shared" si="379"/>
        <v>1289.5522388059703</v>
      </c>
      <c r="U2266" s="101">
        <f t="shared" si="380"/>
        <v>0</v>
      </c>
      <c r="V2266" s="101">
        <f t="shared" si="381"/>
        <v>0</v>
      </c>
      <c r="W2266" s="101">
        <v>0</v>
      </c>
      <c r="X2266" s="255">
        <f t="shared" si="382"/>
        <v>46153.883449074077</v>
      </c>
    </row>
    <row r="2267" spans="1:24" ht="26.5" hidden="1" x14ac:dyDescent="0.35">
      <c r="A2267" s="71">
        <f t="shared" si="383"/>
        <v>46153.883449074077</v>
      </c>
      <c r="B2267" s="71"/>
      <c r="C2267" s="71"/>
      <c r="D2267" s="71"/>
      <c r="E2267" s="47" t="s">
        <v>134</v>
      </c>
      <c r="F2267" s="82" t="s">
        <v>1137</v>
      </c>
      <c r="G2267" s="82"/>
      <c r="H2267" s="107" t="s">
        <v>1138</v>
      </c>
      <c r="I2267" s="71" t="s">
        <v>999</v>
      </c>
      <c r="J2267" s="51" t="s">
        <v>140</v>
      </c>
      <c r="K2267" s="91">
        <v>0</v>
      </c>
      <c r="L2267" s="91">
        <v>0</v>
      </c>
      <c r="M2267" s="92">
        <v>270</v>
      </c>
      <c r="N2267" s="344">
        <v>1500</v>
      </c>
      <c r="O2267" s="253">
        <v>1</v>
      </c>
      <c r="P2267" s="94">
        <f t="shared" si="377"/>
        <v>1500</v>
      </c>
      <c r="Q2267" s="94"/>
      <c r="R2267" s="345">
        <v>1500</v>
      </c>
      <c r="S2267" s="92">
        <f t="shared" si="378"/>
        <v>0</v>
      </c>
      <c r="T2267" s="254">
        <f t="shared" si="379"/>
        <v>320</v>
      </c>
      <c r="U2267" s="91">
        <f t="shared" si="380"/>
        <v>0</v>
      </c>
      <c r="V2267" s="91">
        <f t="shared" si="381"/>
        <v>0</v>
      </c>
      <c r="W2267" s="91">
        <v>0</v>
      </c>
      <c r="X2267" s="255">
        <f t="shared" si="382"/>
        <v>46153.883449074077</v>
      </c>
    </row>
    <row r="2268" spans="1:24" ht="26.5" hidden="1" x14ac:dyDescent="0.35">
      <c r="A2268" s="71">
        <f t="shared" si="383"/>
        <v>46153.883449074077</v>
      </c>
      <c r="B2268" s="71"/>
      <c r="C2268" s="71"/>
      <c r="D2268" s="71"/>
      <c r="E2268" s="47" t="s">
        <v>134</v>
      </c>
      <c r="F2268" s="82" t="s">
        <v>1139</v>
      </c>
      <c r="G2268" s="82"/>
      <c r="H2268" s="107" t="s">
        <v>1140</v>
      </c>
      <c r="I2268" s="71" t="s">
        <v>999</v>
      </c>
      <c r="J2268" s="51" t="s">
        <v>140</v>
      </c>
      <c r="K2268" s="91">
        <v>0</v>
      </c>
      <c r="L2268" s="91">
        <v>0</v>
      </c>
      <c r="M2268" s="92">
        <v>270</v>
      </c>
      <c r="N2268" s="344">
        <v>1500</v>
      </c>
      <c r="O2268" s="253">
        <v>1</v>
      </c>
      <c r="P2268" s="94">
        <f t="shared" si="377"/>
        <v>1500</v>
      </c>
      <c r="Q2268" s="94"/>
      <c r="R2268" s="345">
        <v>1500</v>
      </c>
      <c r="S2268" s="92">
        <f t="shared" si="378"/>
        <v>0</v>
      </c>
      <c r="T2268" s="254">
        <f t="shared" si="379"/>
        <v>320</v>
      </c>
      <c r="U2268" s="91">
        <f t="shared" si="380"/>
        <v>0</v>
      </c>
      <c r="V2268" s="91">
        <f t="shared" si="381"/>
        <v>0</v>
      </c>
      <c r="W2268" s="91">
        <v>0</v>
      </c>
      <c r="X2268" s="255">
        <f t="shared" si="382"/>
        <v>46153.883449074077</v>
      </c>
    </row>
    <row r="2269" spans="1:24" hidden="1" x14ac:dyDescent="0.35">
      <c r="A2269" s="71">
        <f t="shared" si="383"/>
        <v>46153.883449074077</v>
      </c>
      <c r="B2269" s="71"/>
      <c r="C2269" s="71"/>
      <c r="D2269" s="71"/>
      <c r="E2269" s="47" t="s">
        <v>134</v>
      </c>
      <c r="F2269" s="82" t="s">
        <v>1141</v>
      </c>
      <c r="G2269" s="82"/>
      <c r="H2269" s="334" t="s">
        <v>1142</v>
      </c>
      <c r="I2269" s="73" t="s">
        <v>1073</v>
      </c>
      <c r="J2269" s="170" t="s">
        <v>140</v>
      </c>
      <c r="K2269" s="84">
        <v>0</v>
      </c>
      <c r="L2269" s="84">
        <v>0</v>
      </c>
      <c r="M2269" s="102">
        <v>65</v>
      </c>
      <c r="N2269" s="103">
        <v>460</v>
      </c>
      <c r="O2269" s="171">
        <v>1</v>
      </c>
      <c r="P2269" s="103">
        <f t="shared" si="377"/>
        <v>460</v>
      </c>
      <c r="Q2269" s="103"/>
      <c r="R2269" s="102">
        <v>460</v>
      </c>
      <c r="S2269" s="102">
        <f t="shared" si="378"/>
        <v>0</v>
      </c>
      <c r="T2269" s="173">
        <f t="shared" si="379"/>
        <v>1329.2307692307693</v>
      </c>
      <c r="U2269" s="101">
        <f t="shared" si="380"/>
        <v>0</v>
      </c>
      <c r="V2269" s="101">
        <f t="shared" si="381"/>
        <v>0</v>
      </c>
      <c r="W2269" s="101">
        <v>0</v>
      </c>
      <c r="X2269" s="255">
        <f t="shared" si="382"/>
        <v>46153.883449074077</v>
      </c>
    </row>
    <row r="2270" spans="1:24" hidden="1" x14ac:dyDescent="0.35">
      <c r="A2270" s="71">
        <f t="shared" si="383"/>
        <v>46153.883449074077</v>
      </c>
      <c r="B2270" s="71"/>
      <c r="C2270" s="71"/>
      <c r="D2270" s="71"/>
      <c r="E2270" s="47" t="s">
        <v>134</v>
      </c>
      <c r="F2270" s="82" t="s">
        <v>1141</v>
      </c>
      <c r="G2270" s="82"/>
      <c r="H2270" s="334" t="s">
        <v>1143</v>
      </c>
      <c r="I2270" s="73" t="s">
        <v>345</v>
      </c>
      <c r="J2270" s="170" t="s">
        <v>140</v>
      </c>
      <c r="K2270" s="84">
        <v>0</v>
      </c>
      <c r="L2270" s="84">
        <v>0</v>
      </c>
      <c r="M2270" s="102">
        <v>65</v>
      </c>
      <c r="N2270" s="103">
        <v>210</v>
      </c>
      <c r="O2270" s="171">
        <v>1</v>
      </c>
      <c r="P2270" s="103">
        <f t="shared" si="377"/>
        <v>210</v>
      </c>
      <c r="Q2270" s="103"/>
      <c r="R2270" s="102">
        <v>210</v>
      </c>
      <c r="S2270" s="102">
        <f t="shared" si="378"/>
        <v>0</v>
      </c>
      <c r="T2270" s="173">
        <f t="shared" si="379"/>
        <v>1329.2307692307693</v>
      </c>
      <c r="U2270" s="101">
        <f t="shared" si="380"/>
        <v>0</v>
      </c>
      <c r="V2270" s="101">
        <f t="shared" si="381"/>
        <v>0</v>
      </c>
      <c r="W2270" s="101">
        <v>0</v>
      </c>
      <c r="X2270" s="255">
        <f t="shared" si="382"/>
        <v>46153.883449074077</v>
      </c>
    </row>
    <row r="2271" spans="1:24" hidden="1" x14ac:dyDescent="0.35">
      <c r="A2271" s="71">
        <f t="shared" si="383"/>
        <v>46153.883449074077</v>
      </c>
      <c r="B2271" s="71"/>
      <c r="C2271" s="71"/>
      <c r="D2271" s="71"/>
      <c r="E2271" s="47" t="s">
        <v>134</v>
      </c>
      <c r="F2271" s="82" t="s">
        <v>1144</v>
      </c>
      <c r="G2271" s="82"/>
      <c r="H2271" s="334" t="s">
        <v>1145</v>
      </c>
      <c r="I2271" s="73" t="s">
        <v>1073</v>
      </c>
      <c r="J2271" s="170" t="s">
        <v>140</v>
      </c>
      <c r="K2271" s="84">
        <v>0</v>
      </c>
      <c r="L2271" s="84">
        <v>0</v>
      </c>
      <c r="M2271" s="102">
        <v>65</v>
      </c>
      <c r="N2271" s="103">
        <v>300</v>
      </c>
      <c r="O2271" s="171">
        <v>1</v>
      </c>
      <c r="P2271" s="103">
        <f t="shared" si="377"/>
        <v>300</v>
      </c>
      <c r="Q2271" s="103"/>
      <c r="R2271" s="102">
        <v>300</v>
      </c>
      <c r="S2271" s="102">
        <f t="shared" si="378"/>
        <v>0</v>
      </c>
      <c r="T2271" s="173">
        <f t="shared" si="379"/>
        <v>1329.2307692307693</v>
      </c>
      <c r="U2271" s="101">
        <f t="shared" si="380"/>
        <v>0</v>
      </c>
      <c r="V2271" s="101">
        <f t="shared" si="381"/>
        <v>0</v>
      </c>
      <c r="W2271" s="101">
        <v>0</v>
      </c>
      <c r="X2271" s="255">
        <f t="shared" si="382"/>
        <v>46153.883449074077</v>
      </c>
    </row>
    <row r="2272" spans="1:24" hidden="1" x14ac:dyDescent="0.35">
      <c r="A2272" s="71">
        <f t="shared" si="383"/>
        <v>46153.883449074077</v>
      </c>
      <c r="B2272" s="71"/>
      <c r="C2272" s="71"/>
      <c r="D2272" s="71"/>
      <c r="E2272" s="47" t="s">
        <v>134</v>
      </c>
      <c r="F2272" s="82" t="s">
        <v>220</v>
      </c>
      <c r="G2272" s="82"/>
      <c r="H2272" s="98" t="s">
        <v>1146</v>
      </c>
      <c r="I2272" s="104" t="s">
        <v>222</v>
      </c>
      <c r="J2272" s="104" t="s">
        <v>140</v>
      </c>
      <c r="K2272" s="91">
        <v>0</v>
      </c>
      <c r="L2272" s="91">
        <v>0</v>
      </c>
      <c r="M2272" s="92">
        <v>100</v>
      </c>
      <c r="N2272" s="94">
        <v>2000</v>
      </c>
      <c r="O2272" s="253">
        <v>1</v>
      </c>
      <c r="P2272" s="94">
        <f t="shared" si="377"/>
        <v>2000</v>
      </c>
      <c r="Q2272" s="94"/>
      <c r="R2272" s="92">
        <v>2000</v>
      </c>
      <c r="S2272" s="92">
        <f t="shared" si="378"/>
        <v>0</v>
      </c>
      <c r="T2272" s="254">
        <f t="shared" si="379"/>
        <v>864</v>
      </c>
      <c r="U2272" s="91">
        <f t="shared" si="380"/>
        <v>0</v>
      </c>
      <c r="V2272" s="91">
        <f t="shared" si="381"/>
        <v>0</v>
      </c>
      <c r="W2272" s="91">
        <v>0</v>
      </c>
      <c r="X2272" s="255">
        <f t="shared" si="382"/>
        <v>46153.883449074077</v>
      </c>
    </row>
    <row r="2273" spans="1:24" hidden="1" x14ac:dyDescent="0.35">
      <c r="A2273" s="71">
        <f t="shared" si="383"/>
        <v>46153.883449074077</v>
      </c>
      <c r="B2273" s="71"/>
      <c r="C2273" s="71"/>
      <c r="D2273" s="71"/>
      <c r="E2273" s="47" t="s">
        <v>134</v>
      </c>
      <c r="F2273" s="82" t="s">
        <v>220</v>
      </c>
      <c r="G2273" s="82"/>
      <c r="H2273" s="348">
        <v>11055</v>
      </c>
      <c r="I2273" s="69" t="s">
        <v>556</v>
      </c>
      <c r="J2273" s="64" t="s">
        <v>140</v>
      </c>
      <c r="K2273" s="91">
        <v>0</v>
      </c>
      <c r="L2273" s="91">
        <v>0</v>
      </c>
      <c r="M2273" s="92">
        <v>95</v>
      </c>
      <c r="N2273" s="344">
        <v>1000</v>
      </c>
      <c r="O2273" s="253">
        <v>1</v>
      </c>
      <c r="P2273" s="94">
        <f t="shared" si="377"/>
        <v>1000</v>
      </c>
      <c r="Q2273" s="94"/>
      <c r="R2273" s="345">
        <v>1000</v>
      </c>
      <c r="S2273" s="92">
        <f t="shared" si="378"/>
        <v>0</v>
      </c>
      <c r="T2273" s="254">
        <f t="shared" si="379"/>
        <v>909.47368421052624</v>
      </c>
      <c r="U2273" s="91">
        <f t="shared" si="380"/>
        <v>0</v>
      </c>
      <c r="V2273" s="91">
        <f t="shared" si="381"/>
        <v>0</v>
      </c>
      <c r="W2273" s="91">
        <v>0</v>
      </c>
      <c r="X2273" s="255">
        <f t="shared" si="382"/>
        <v>46153.883449074077</v>
      </c>
    </row>
    <row r="2274" spans="1:24" hidden="1" x14ac:dyDescent="0.35">
      <c r="A2274" s="71">
        <f t="shared" si="383"/>
        <v>46153.883449074077</v>
      </c>
      <c r="B2274" s="71"/>
      <c r="C2274" s="71"/>
      <c r="D2274" s="71"/>
      <c r="E2274" s="119" t="s">
        <v>134</v>
      </c>
      <c r="F2274" s="97" t="s">
        <v>1147</v>
      </c>
      <c r="G2274" s="97"/>
      <c r="H2274" s="98" t="s">
        <v>1148</v>
      </c>
      <c r="I2274" s="99" t="s">
        <v>950</v>
      </c>
      <c r="J2274" s="100" t="s">
        <v>140</v>
      </c>
      <c r="K2274" s="101">
        <v>0</v>
      </c>
      <c r="L2274" s="101">
        <v>0</v>
      </c>
      <c r="M2274" s="102">
        <v>100</v>
      </c>
      <c r="N2274" s="103">
        <v>5100</v>
      </c>
      <c r="O2274" s="171">
        <v>1</v>
      </c>
      <c r="P2274" s="103">
        <v>5509</v>
      </c>
      <c r="Q2274" s="103"/>
      <c r="R2274" s="102">
        <v>5509</v>
      </c>
      <c r="S2274" s="102">
        <f t="shared" si="378"/>
        <v>0</v>
      </c>
      <c r="T2274" s="173">
        <f t="shared" si="379"/>
        <v>864</v>
      </c>
      <c r="U2274" s="101">
        <f t="shared" si="380"/>
        <v>0</v>
      </c>
      <c r="V2274" s="101">
        <f t="shared" si="381"/>
        <v>0</v>
      </c>
      <c r="W2274" s="101">
        <v>0</v>
      </c>
      <c r="X2274" s="255">
        <f t="shared" si="382"/>
        <v>46153.883449074077</v>
      </c>
    </row>
    <row r="2275" spans="1:24" s="221" customFormat="1" hidden="1" x14ac:dyDescent="0.35">
      <c r="A2275" s="71">
        <f t="shared" si="383"/>
        <v>46153.883449074077</v>
      </c>
      <c r="B2275" s="71"/>
      <c r="C2275" s="71"/>
      <c r="D2275" s="71"/>
      <c r="E2275" s="47" t="s">
        <v>134</v>
      </c>
      <c r="F2275" s="82" t="s">
        <v>220</v>
      </c>
      <c r="G2275" s="82"/>
      <c r="H2275" s="98" t="s">
        <v>1149</v>
      </c>
      <c r="I2275" s="219" t="s">
        <v>562</v>
      </c>
      <c r="J2275" s="51" t="s">
        <v>140</v>
      </c>
      <c r="K2275" s="91">
        <v>0</v>
      </c>
      <c r="L2275" s="91">
        <v>0</v>
      </c>
      <c r="M2275" s="92">
        <v>140</v>
      </c>
      <c r="N2275" s="226">
        <v>600</v>
      </c>
      <c r="O2275" s="253">
        <v>1</v>
      </c>
      <c r="P2275" s="94">
        <f t="shared" ref="P2275:P2338" si="384">N2275/O2275</f>
        <v>600</v>
      </c>
      <c r="Q2275" s="94"/>
      <c r="R2275" s="182">
        <v>600</v>
      </c>
      <c r="S2275" s="92">
        <f t="shared" si="378"/>
        <v>0</v>
      </c>
      <c r="T2275" s="254">
        <f t="shared" si="379"/>
        <v>617.14285714285711</v>
      </c>
      <c r="U2275" s="91">
        <f t="shared" si="380"/>
        <v>0</v>
      </c>
      <c r="V2275" s="91">
        <f t="shared" si="381"/>
        <v>0</v>
      </c>
      <c r="W2275" s="91">
        <v>0</v>
      </c>
      <c r="X2275" s="255">
        <f t="shared" si="382"/>
        <v>46153.883449074077</v>
      </c>
    </row>
    <row r="2276" spans="1:24" hidden="1" x14ac:dyDescent="0.35">
      <c r="A2276" s="71">
        <f t="shared" si="383"/>
        <v>46153.883449074077</v>
      </c>
      <c r="B2276" s="71"/>
      <c r="C2276" s="71"/>
      <c r="D2276" s="71"/>
      <c r="E2276" s="47" t="s">
        <v>134</v>
      </c>
      <c r="F2276" s="82" t="s">
        <v>1150</v>
      </c>
      <c r="G2276" s="82"/>
      <c r="H2276" s="334" t="s">
        <v>1151</v>
      </c>
      <c r="I2276" s="71" t="s">
        <v>339</v>
      </c>
      <c r="J2276" s="170" t="s">
        <v>140</v>
      </c>
      <c r="K2276" s="101">
        <v>0</v>
      </c>
      <c r="L2276" s="101">
        <v>0</v>
      </c>
      <c r="M2276" s="102">
        <v>65</v>
      </c>
      <c r="N2276" s="103">
        <v>900</v>
      </c>
      <c r="O2276" s="171">
        <v>1</v>
      </c>
      <c r="P2276" s="103">
        <f t="shared" si="384"/>
        <v>900</v>
      </c>
      <c r="Q2276" s="103"/>
      <c r="R2276" s="102">
        <v>900</v>
      </c>
      <c r="S2276" s="102">
        <f t="shared" si="378"/>
        <v>0</v>
      </c>
      <c r="T2276" s="173">
        <f t="shared" si="379"/>
        <v>1329.2307692307693</v>
      </c>
      <c r="U2276" s="101">
        <f t="shared" si="380"/>
        <v>0</v>
      </c>
      <c r="V2276" s="101">
        <f t="shared" si="381"/>
        <v>0</v>
      </c>
      <c r="W2276" s="101">
        <v>0</v>
      </c>
      <c r="X2276" s="255">
        <f t="shared" si="382"/>
        <v>46153.883449074077</v>
      </c>
    </row>
    <row r="2277" spans="1:24" hidden="1" x14ac:dyDescent="0.35">
      <c r="A2277" s="71">
        <f t="shared" si="383"/>
        <v>46153.883449074077</v>
      </c>
      <c r="B2277" s="71"/>
      <c r="C2277" s="71"/>
      <c r="D2277" s="71"/>
      <c r="E2277" s="47" t="s">
        <v>134</v>
      </c>
      <c r="F2277" s="82" t="s">
        <v>1152</v>
      </c>
      <c r="G2277" s="82"/>
      <c r="H2277" s="334" t="s">
        <v>1153</v>
      </c>
      <c r="I2277" s="73" t="s">
        <v>1073</v>
      </c>
      <c r="J2277" s="170" t="s">
        <v>140</v>
      </c>
      <c r="K2277" s="101">
        <v>0</v>
      </c>
      <c r="L2277" s="101">
        <v>0</v>
      </c>
      <c r="M2277" s="102">
        <v>65</v>
      </c>
      <c r="N2277" s="103">
        <v>700</v>
      </c>
      <c r="O2277" s="171">
        <v>1</v>
      </c>
      <c r="P2277" s="103">
        <f t="shared" si="384"/>
        <v>700</v>
      </c>
      <c r="Q2277" s="103"/>
      <c r="R2277" s="102">
        <v>700</v>
      </c>
      <c r="S2277" s="102">
        <f t="shared" si="378"/>
        <v>0</v>
      </c>
      <c r="T2277" s="173">
        <f t="shared" si="379"/>
        <v>1329.2307692307693</v>
      </c>
      <c r="U2277" s="101">
        <f t="shared" si="380"/>
        <v>0</v>
      </c>
      <c r="V2277" s="101">
        <f t="shared" si="381"/>
        <v>0</v>
      </c>
      <c r="W2277" s="101">
        <v>0</v>
      </c>
      <c r="X2277" s="255">
        <f t="shared" si="382"/>
        <v>46153.883449074077</v>
      </c>
    </row>
    <row r="2278" spans="1:24" hidden="1" x14ac:dyDescent="0.35">
      <c r="A2278" s="71">
        <f t="shared" si="383"/>
        <v>46153.883449074077</v>
      </c>
      <c r="B2278" s="71"/>
      <c r="C2278" s="71"/>
      <c r="D2278" s="71"/>
      <c r="E2278" s="47" t="s">
        <v>134</v>
      </c>
      <c r="F2278" s="82" t="s">
        <v>1154</v>
      </c>
      <c r="G2278" s="82"/>
      <c r="H2278" s="334" t="s">
        <v>1155</v>
      </c>
      <c r="I2278" s="71" t="s">
        <v>351</v>
      </c>
      <c r="J2278" s="170" t="s">
        <v>140</v>
      </c>
      <c r="K2278" s="101">
        <v>0</v>
      </c>
      <c r="L2278" s="101">
        <v>0</v>
      </c>
      <c r="M2278" s="102">
        <v>65</v>
      </c>
      <c r="N2278" s="103">
        <v>1600</v>
      </c>
      <c r="O2278" s="171">
        <v>1</v>
      </c>
      <c r="P2278" s="103">
        <f t="shared" si="384"/>
        <v>1600</v>
      </c>
      <c r="Q2278" s="103"/>
      <c r="R2278" s="102">
        <v>1600</v>
      </c>
      <c r="S2278" s="102">
        <f t="shared" si="378"/>
        <v>0</v>
      </c>
      <c r="T2278" s="173">
        <f t="shared" si="379"/>
        <v>1329.2307692307693</v>
      </c>
      <c r="U2278" s="101">
        <f t="shared" si="380"/>
        <v>0</v>
      </c>
      <c r="V2278" s="101">
        <f t="shared" si="381"/>
        <v>0</v>
      </c>
      <c r="W2278" s="101">
        <v>0</v>
      </c>
      <c r="X2278" s="255">
        <f t="shared" si="382"/>
        <v>46153.883449074077</v>
      </c>
    </row>
    <row r="2279" spans="1:24" hidden="1" x14ac:dyDescent="0.35">
      <c r="A2279" s="71">
        <f t="shared" si="383"/>
        <v>46153.883449074077</v>
      </c>
      <c r="B2279" s="71"/>
      <c r="C2279" s="71"/>
      <c r="D2279" s="71"/>
      <c r="E2279" s="47" t="s">
        <v>134</v>
      </c>
      <c r="F2279" s="82" t="s">
        <v>284</v>
      </c>
      <c r="G2279" s="82"/>
      <c r="H2279" s="334" t="s">
        <v>1156</v>
      </c>
      <c r="I2279" s="73" t="s">
        <v>1157</v>
      </c>
      <c r="J2279" s="170" t="s">
        <v>140</v>
      </c>
      <c r="K2279" s="101">
        <v>0</v>
      </c>
      <c r="L2279" s="101">
        <v>0</v>
      </c>
      <c r="M2279" s="102">
        <v>65</v>
      </c>
      <c r="N2279" s="103">
        <v>1000</v>
      </c>
      <c r="O2279" s="171">
        <v>1</v>
      </c>
      <c r="P2279" s="103">
        <f t="shared" si="384"/>
        <v>1000</v>
      </c>
      <c r="Q2279" s="103"/>
      <c r="R2279" s="102">
        <v>1000</v>
      </c>
      <c r="S2279" s="102">
        <f t="shared" si="378"/>
        <v>0</v>
      </c>
      <c r="T2279" s="173">
        <f t="shared" si="379"/>
        <v>1329.2307692307693</v>
      </c>
      <c r="U2279" s="101">
        <f t="shared" si="380"/>
        <v>0</v>
      </c>
      <c r="V2279" s="101">
        <f t="shared" si="381"/>
        <v>0</v>
      </c>
      <c r="W2279" s="101">
        <v>0</v>
      </c>
      <c r="X2279" s="255">
        <f t="shared" si="382"/>
        <v>46153.883449074077</v>
      </c>
    </row>
    <row r="2280" spans="1:24" ht="26.5" hidden="1" x14ac:dyDescent="0.35">
      <c r="A2280" s="71">
        <f t="shared" si="383"/>
        <v>46153.883449074077</v>
      </c>
      <c r="B2280" s="71"/>
      <c r="C2280" s="71"/>
      <c r="D2280" s="71"/>
      <c r="E2280" s="47" t="s">
        <v>134</v>
      </c>
      <c r="F2280" s="48" t="s">
        <v>1158</v>
      </c>
      <c r="G2280" s="48"/>
      <c r="H2280" s="49" t="s">
        <v>1159</v>
      </c>
      <c r="I2280" s="82" t="s">
        <v>164</v>
      </c>
      <c r="J2280" s="51" t="s">
        <v>140</v>
      </c>
      <c r="K2280" s="52">
        <v>0</v>
      </c>
      <c r="L2280" s="52">
        <v>0</v>
      </c>
      <c r="M2280" s="53">
        <v>120</v>
      </c>
      <c r="N2280" s="54">
        <v>1000</v>
      </c>
      <c r="O2280" s="341">
        <v>1</v>
      </c>
      <c r="P2280" s="54">
        <f t="shared" si="384"/>
        <v>1000</v>
      </c>
      <c r="Q2280" s="54"/>
      <c r="R2280" s="92">
        <v>1000</v>
      </c>
      <c r="S2280" s="53">
        <f t="shared" si="378"/>
        <v>0</v>
      </c>
      <c r="T2280" s="343">
        <f t="shared" si="379"/>
        <v>720</v>
      </c>
      <c r="U2280" s="52">
        <f t="shared" si="380"/>
        <v>0</v>
      </c>
      <c r="V2280" s="52">
        <f t="shared" si="381"/>
        <v>0</v>
      </c>
      <c r="W2280" s="52">
        <v>0</v>
      </c>
      <c r="X2280" s="255">
        <f t="shared" si="382"/>
        <v>46153.883449074077</v>
      </c>
    </row>
    <row r="2281" spans="1:24" ht="26.5" hidden="1" x14ac:dyDescent="0.35">
      <c r="A2281" s="71">
        <f t="shared" si="383"/>
        <v>46153.883449074077</v>
      </c>
      <c r="B2281" s="71"/>
      <c r="C2281" s="71"/>
      <c r="D2281" s="71"/>
      <c r="E2281" s="47" t="s">
        <v>134</v>
      </c>
      <c r="F2281" s="48" t="s">
        <v>1160</v>
      </c>
      <c r="G2281" s="48"/>
      <c r="H2281" s="49" t="s">
        <v>1161</v>
      </c>
      <c r="I2281" s="82" t="s">
        <v>164</v>
      </c>
      <c r="J2281" s="51" t="s">
        <v>283</v>
      </c>
      <c r="K2281" s="52">
        <v>0</v>
      </c>
      <c r="L2281" s="52">
        <v>0</v>
      </c>
      <c r="M2281" s="53">
        <v>120</v>
      </c>
      <c r="N2281" s="54">
        <v>2016</v>
      </c>
      <c r="O2281" s="341">
        <v>1</v>
      </c>
      <c r="P2281" s="54">
        <f t="shared" si="384"/>
        <v>2016</v>
      </c>
      <c r="Q2281" s="54"/>
      <c r="R2281" s="92">
        <v>2016</v>
      </c>
      <c r="S2281" s="53">
        <f t="shared" si="378"/>
        <v>0</v>
      </c>
      <c r="T2281" s="343">
        <f t="shared" si="379"/>
        <v>720</v>
      </c>
      <c r="U2281" s="52">
        <f t="shared" si="380"/>
        <v>0</v>
      </c>
      <c r="V2281" s="52">
        <f t="shared" si="381"/>
        <v>0</v>
      </c>
      <c r="W2281" s="52">
        <v>0</v>
      </c>
      <c r="X2281" s="255">
        <f t="shared" si="382"/>
        <v>46153.883449074077</v>
      </c>
    </row>
    <row r="2282" spans="1:24" ht="26.5" hidden="1" x14ac:dyDescent="0.35">
      <c r="A2282" s="71">
        <f t="shared" si="383"/>
        <v>46153.883449074077</v>
      </c>
      <c r="B2282" s="71"/>
      <c r="C2282" s="71"/>
      <c r="D2282" s="71"/>
      <c r="E2282" s="47" t="s">
        <v>134</v>
      </c>
      <c r="F2282" s="82" t="s">
        <v>1162</v>
      </c>
      <c r="G2282" s="82"/>
      <c r="H2282" s="107" t="s">
        <v>1163</v>
      </c>
      <c r="I2282" s="71" t="s">
        <v>999</v>
      </c>
      <c r="J2282" s="51" t="s">
        <v>140</v>
      </c>
      <c r="K2282" s="91">
        <v>0</v>
      </c>
      <c r="L2282" s="91">
        <v>0</v>
      </c>
      <c r="M2282" s="92">
        <v>270</v>
      </c>
      <c r="N2282" s="344">
        <v>1626</v>
      </c>
      <c r="O2282" s="253">
        <v>1</v>
      </c>
      <c r="P2282" s="94">
        <f t="shared" si="384"/>
        <v>1626</v>
      </c>
      <c r="Q2282" s="94"/>
      <c r="R2282" s="345">
        <v>1626</v>
      </c>
      <c r="S2282" s="92">
        <f t="shared" si="378"/>
        <v>0</v>
      </c>
      <c r="T2282" s="254">
        <f t="shared" si="379"/>
        <v>320</v>
      </c>
      <c r="U2282" s="91">
        <f t="shared" si="380"/>
        <v>0</v>
      </c>
      <c r="V2282" s="91">
        <f t="shared" si="381"/>
        <v>0</v>
      </c>
      <c r="W2282" s="91">
        <v>0</v>
      </c>
      <c r="X2282" s="255">
        <f t="shared" si="382"/>
        <v>46153.883449074077</v>
      </c>
    </row>
    <row r="2283" spans="1:24" ht="26.5" hidden="1" x14ac:dyDescent="0.35">
      <c r="A2283" s="71">
        <f t="shared" si="383"/>
        <v>46153.883449074077</v>
      </c>
      <c r="B2283" s="71"/>
      <c r="C2283" s="71"/>
      <c r="D2283" s="71"/>
      <c r="E2283" s="119" t="s">
        <v>134</v>
      </c>
      <c r="F2283" s="82" t="s">
        <v>1164</v>
      </c>
      <c r="G2283" s="82"/>
      <c r="H2283" s="107" t="s">
        <v>1165</v>
      </c>
      <c r="I2283" s="106" t="s">
        <v>1047</v>
      </c>
      <c r="J2283" s="100" t="s">
        <v>140</v>
      </c>
      <c r="K2283" s="101">
        <v>0</v>
      </c>
      <c r="L2283" s="101">
        <v>0</v>
      </c>
      <c r="M2283" s="102">
        <v>100</v>
      </c>
      <c r="N2283" s="103">
        <v>750</v>
      </c>
      <c r="O2283" s="171">
        <v>1</v>
      </c>
      <c r="P2283" s="103">
        <f t="shared" si="384"/>
        <v>750</v>
      </c>
      <c r="Q2283" s="103"/>
      <c r="R2283" s="102">
        <v>750</v>
      </c>
      <c r="S2283" s="102">
        <f t="shared" si="378"/>
        <v>0</v>
      </c>
      <c r="T2283" s="173">
        <f t="shared" si="379"/>
        <v>864</v>
      </c>
      <c r="U2283" s="101">
        <f t="shared" si="380"/>
        <v>0</v>
      </c>
      <c r="V2283" s="101">
        <f t="shared" si="381"/>
        <v>0</v>
      </c>
      <c r="W2283" s="101">
        <v>0</v>
      </c>
      <c r="X2283" s="255">
        <f t="shared" si="382"/>
        <v>46153.883449074077</v>
      </c>
    </row>
    <row r="2284" spans="1:24" hidden="1" x14ac:dyDescent="0.35">
      <c r="A2284" s="71">
        <f t="shared" si="383"/>
        <v>46153.883449074077</v>
      </c>
      <c r="B2284" s="71"/>
      <c r="C2284" s="71"/>
      <c r="D2284" s="71"/>
      <c r="E2284" s="47" t="s">
        <v>134</v>
      </c>
      <c r="F2284" s="82" t="s">
        <v>1166</v>
      </c>
      <c r="G2284" s="82"/>
      <c r="H2284" s="98" t="s">
        <v>1167</v>
      </c>
      <c r="I2284" s="82" t="s">
        <v>388</v>
      </c>
      <c r="J2284" s="51" t="s">
        <v>140</v>
      </c>
      <c r="K2284" s="91">
        <v>0</v>
      </c>
      <c r="L2284" s="91">
        <v>0</v>
      </c>
      <c r="M2284" s="92">
        <v>125</v>
      </c>
      <c r="N2284" s="94">
        <v>500</v>
      </c>
      <c r="O2284" s="253">
        <v>1</v>
      </c>
      <c r="P2284" s="94">
        <f t="shared" si="384"/>
        <v>500</v>
      </c>
      <c r="Q2284" s="94"/>
      <c r="R2284" s="92">
        <v>500</v>
      </c>
      <c r="S2284" s="92">
        <f t="shared" si="378"/>
        <v>0</v>
      </c>
      <c r="T2284" s="254">
        <f t="shared" si="379"/>
        <v>691.2</v>
      </c>
      <c r="U2284" s="91">
        <f t="shared" si="380"/>
        <v>0</v>
      </c>
      <c r="V2284" s="91">
        <f t="shared" si="381"/>
        <v>0</v>
      </c>
      <c r="W2284" s="91">
        <v>0</v>
      </c>
      <c r="X2284" s="255">
        <f t="shared" si="382"/>
        <v>46153.883449074077</v>
      </c>
    </row>
    <row r="2285" spans="1:24" hidden="1" x14ac:dyDescent="0.35">
      <c r="A2285" s="71">
        <f t="shared" si="383"/>
        <v>46153.883449074077</v>
      </c>
      <c r="B2285" s="71"/>
      <c r="C2285" s="71"/>
      <c r="D2285" s="71"/>
      <c r="E2285" s="47" t="s">
        <v>134</v>
      </c>
      <c r="F2285" s="56" t="s">
        <v>1168</v>
      </c>
      <c r="G2285" s="56"/>
      <c r="H2285" s="49" t="s">
        <v>1169</v>
      </c>
      <c r="I2285" s="99" t="s">
        <v>1170</v>
      </c>
      <c r="J2285" s="51" t="s">
        <v>283</v>
      </c>
      <c r="K2285" s="52">
        <v>0</v>
      </c>
      <c r="L2285" s="52">
        <v>0</v>
      </c>
      <c r="M2285" s="53">
        <v>50</v>
      </c>
      <c r="N2285" s="54">
        <v>9840</v>
      </c>
      <c r="O2285" s="341">
        <v>1</v>
      </c>
      <c r="P2285" s="103">
        <f t="shared" si="384"/>
        <v>9840</v>
      </c>
      <c r="Q2285" s="103"/>
      <c r="R2285" s="92">
        <v>9840</v>
      </c>
      <c r="S2285" s="53">
        <f t="shared" si="378"/>
        <v>0</v>
      </c>
      <c r="T2285" s="343">
        <f t="shared" si="379"/>
        <v>1728</v>
      </c>
      <c r="U2285" s="52">
        <f t="shared" si="380"/>
        <v>0</v>
      </c>
      <c r="V2285" s="52">
        <f t="shared" si="381"/>
        <v>0</v>
      </c>
      <c r="W2285" s="52">
        <v>0</v>
      </c>
      <c r="X2285" s="255">
        <f t="shared" si="382"/>
        <v>46153.883449074077</v>
      </c>
    </row>
    <row r="2286" spans="1:24" ht="26.5" hidden="1" x14ac:dyDescent="0.35">
      <c r="A2286" s="71">
        <f t="shared" si="383"/>
        <v>46153.883449074077</v>
      </c>
      <c r="B2286" s="71"/>
      <c r="C2286" s="71"/>
      <c r="D2286" s="71"/>
      <c r="E2286" s="119" t="s">
        <v>134</v>
      </c>
      <c r="F2286" s="82" t="s">
        <v>1164</v>
      </c>
      <c r="G2286" s="82"/>
      <c r="H2286" s="107" t="s">
        <v>1165</v>
      </c>
      <c r="I2286" s="106" t="s">
        <v>1047</v>
      </c>
      <c r="J2286" s="100" t="s">
        <v>140</v>
      </c>
      <c r="K2286" s="101">
        <v>0</v>
      </c>
      <c r="L2286" s="101">
        <v>0</v>
      </c>
      <c r="M2286" s="102">
        <v>100</v>
      </c>
      <c r="N2286" s="103">
        <v>850</v>
      </c>
      <c r="O2286" s="171">
        <v>1</v>
      </c>
      <c r="P2286" s="103">
        <f t="shared" si="384"/>
        <v>850</v>
      </c>
      <c r="Q2286" s="103"/>
      <c r="R2286" s="102">
        <v>850</v>
      </c>
      <c r="S2286" s="102">
        <f t="shared" si="378"/>
        <v>0</v>
      </c>
      <c r="T2286" s="173">
        <f t="shared" si="379"/>
        <v>864</v>
      </c>
      <c r="U2286" s="101">
        <f t="shared" si="380"/>
        <v>0</v>
      </c>
      <c r="V2286" s="101">
        <f t="shared" si="381"/>
        <v>0</v>
      </c>
      <c r="W2286" s="101">
        <v>0</v>
      </c>
      <c r="X2286" s="255">
        <f t="shared" si="382"/>
        <v>46153.883449074077</v>
      </c>
    </row>
    <row r="2287" spans="1:24" ht="26.5" hidden="1" x14ac:dyDescent="0.35">
      <c r="A2287" s="71">
        <f t="shared" si="383"/>
        <v>46153.883449074077</v>
      </c>
      <c r="B2287" s="71"/>
      <c r="C2287" s="71"/>
      <c r="D2287" s="71"/>
      <c r="E2287" s="119" t="s">
        <v>134</v>
      </c>
      <c r="F2287" s="82" t="s">
        <v>1171</v>
      </c>
      <c r="G2287" s="82"/>
      <c r="H2287" s="107" t="s">
        <v>1172</v>
      </c>
      <c r="I2287" s="106" t="s">
        <v>1047</v>
      </c>
      <c r="J2287" s="100" t="s">
        <v>140</v>
      </c>
      <c r="K2287" s="101">
        <v>0</v>
      </c>
      <c r="L2287" s="101">
        <v>0</v>
      </c>
      <c r="M2287" s="102">
        <v>100</v>
      </c>
      <c r="N2287" s="103">
        <v>1000</v>
      </c>
      <c r="O2287" s="171">
        <v>1</v>
      </c>
      <c r="P2287" s="103">
        <f t="shared" si="384"/>
        <v>1000</v>
      </c>
      <c r="Q2287" s="103"/>
      <c r="R2287" s="102">
        <v>1000</v>
      </c>
      <c r="S2287" s="102">
        <f t="shared" si="378"/>
        <v>0</v>
      </c>
      <c r="T2287" s="173">
        <f t="shared" si="379"/>
        <v>864</v>
      </c>
      <c r="U2287" s="101">
        <f t="shared" si="380"/>
        <v>0</v>
      </c>
      <c r="V2287" s="101">
        <f t="shared" si="381"/>
        <v>0</v>
      </c>
      <c r="W2287" s="101">
        <v>0</v>
      </c>
      <c r="X2287" s="255">
        <f t="shared" si="382"/>
        <v>46153.883449074077</v>
      </c>
    </row>
    <row r="2288" spans="1:24" hidden="1" x14ac:dyDescent="0.35">
      <c r="A2288" s="71">
        <f t="shared" si="383"/>
        <v>46153.883449074077</v>
      </c>
      <c r="B2288" s="71"/>
      <c r="C2288" s="71"/>
      <c r="D2288" s="71"/>
      <c r="E2288" s="47" t="s">
        <v>134</v>
      </c>
      <c r="F2288" s="82" t="s">
        <v>1173</v>
      </c>
      <c r="G2288" s="82"/>
      <c r="H2288" s="334" t="s">
        <v>1174</v>
      </c>
      <c r="I2288" s="73" t="s">
        <v>1157</v>
      </c>
      <c r="J2288" s="170" t="s">
        <v>140</v>
      </c>
      <c r="K2288" s="101">
        <v>0</v>
      </c>
      <c r="L2288" s="101">
        <v>0</v>
      </c>
      <c r="M2288" s="102">
        <v>65</v>
      </c>
      <c r="N2288" s="103">
        <v>200</v>
      </c>
      <c r="O2288" s="171">
        <v>1</v>
      </c>
      <c r="P2288" s="103">
        <f t="shared" si="384"/>
        <v>200</v>
      </c>
      <c r="Q2288" s="103"/>
      <c r="R2288" s="102">
        <v>200</v>
      </c>
      <c r="S2288" s="102">
        <f t="shared" si="378"/>
        <v>0</v>
      </c>
      <c r="T2288" s="173">
        <f t="shared" si="379"/>
        <v>1329.2307692307693</v>
      </c>
      <c r="U2288" s="101">
        <f t="shared" si="380"/>
        <v>0</v>
      </c>
      <c r="V2288" s="101">
        <f t="shared" si="381"/>
        <v>0</v>
      </c>
      <c r="W2288" s="101">
        <v>0</v>
      </c>
      <c r="X2288" s="255">
        <f t="shared" si="382"/>
        <v>46153.883449074077</v>
      </c>
    </row>
    <row r="2289" spans="1:24" hidden="1" x14ac:dyDescent="0.35">
      <c r="A2289" s="71">
        <f t="shared" si="383"/>
        <v>46153.883449074077</v>
      </c>
      <c r="B2289" s="71"/>
      <c r="C2289" s="71"/>
      <c r="D2289" s="71"/>
      <c r="E2289" s="47" t="s">
        <v>134</v>
      </c>
      <c r="F2289" s="82" t="s">
        <v>1175</v>
      </c>
      <c r="G2289" s="82"/>
      <c r="H2289" s="334" t="s">
        <v>1176</v>
      </c>
      <c r="I2289" s="71" t="s">
        <v>351</v>
      </c>
      <c r="J2289" s="170" t="s">
        <v>140</v>
      </c>
      <c r="K2289" s="101">
        <v>0</v>
      </c>
      <c r="L2289" s="101">
        <v>0</v>
      </c>
      <c r="M2289" s="102">
        <v>65</v>
      </c>
      <c r="N2289" s="103">
        <v>800</v>
      </c>
      <c r="O2289" s="171">
        <v>1</v>
      </c>
      <c r="P2289" s="103">
        <f t="shared" si="384"/>
        <v>800</v>
      </c>
      <c r="Q2289" s="103"/>
      <c r="R2289" s="102">
        <v>800</v>
      </c>
      <c r="S2289" s="102">
        <f t="shared" si="378"/>
        <v>0</v>
      </c>
      <c r="T2289" s="173">
        <f t="shared" si="379"/>
        <v>1329.2307692307693</v>
      </c>
      <c r="U2289" s="101">
        <f t="shared" si="380"/>
        <v>0</v>
      </c>
      <c r="V2289" s="101">
        <f t="shared" si="381"/>
        <v>0</v>
      </c>
      <c r="W2289" s="101">
        <v>0</v>
      </c>
      <c r="X2289" s="255">
        <f t="shared" si="382"/>
        <v>46153.883449074077</v>
      </c>
    </row>
    <row r="2290" spans="1:24" s="221" customFormat="1" hidden="1" x14ac:dyDescent="0.35">
      <c r="A2290" s="71">
        <f t="shared" si="383"/>
        <v>46153.883449074077</v>
      </c>
      <c r="B2290" s="71"/>
      <c r="C2290" s="71"/>
      <c r="D2290" s="71"/>
      <c r="E2290" s="47" t="s">
        <v>454</v>
      </c>
      <c r="F2290" s="82"/>
      <c r="G2290" s="82"/>
      <c r="H2290" s="334" t="s">
        <v>1177</v>
      </c>
      <c r="I2290" s="71" t="s">
        <v>345</v>
      </c>
      <c r="J2290" s="170" t="s">
        <v>140</v>
      </c>
      <c r="K2290" s="101">
        <v>0</v>
      </c>
      <c r="L2290" s="101">
        <v>0</v>
      </c>
      <c r="M2290" s="102">
        <v>65</v>
      </c>
      <c r="N2290" s="103">
        <v>200</v>
      </c>
      <c r="O2290" s="171">
        <v>1</v>
      </c>
      <c r="P2290" s="103">
        <f t="shared" si="384"/>
        <v>200</v>
      </c>
      <c r="Q2290" s="103"/>
      <c r="R2290" s="102">
        <v>200</v>
      </c>
      <c r="S2290" s="102">
        <f t="shared" si="378"/>
        <v>0</v>
      </c>
      <c r="T2290" s="173">
        <f t="shared" si="379"/>
        <v>1329.2307692307693</v>
      </c>
      <c r="U2290" s="101">
        <f t="shared" si="380"/>
        <v>0</v>
      </c>
      <c r="V2290" s="101">
        <f t="shared" si="381"/>
        <v>0</v>
      </c>
      <c r="W2290" s="101">
        <v>0</v>
      </c>
      <c r="X2290" s="255">
        <f t="shared" si="382"/>
        <v>46153.883449074077</v>
      </c>
    </row>
    <row r="2291" spans="1:24" s="221" customFormat="1" hidden="1" x14ac:dyDescent="0.35">
      <c r="A2291" s="71">
        <f t="shared" si="383"/>
        <v>46153.883449074077</v>
      </c>
      <c r="B2291" s="71"/>
      <c r="C2291" s="71"/>
      <c r="D2291" s="71"/>
      <c r="E2291" s="47" t="s">
        <v>454</v>
      </c>
      <c r="F2291" s="82" t="s">
        <v>1178</v>
      </c>
      <c r="G2291" s="82"/>
      <c r="H2291" s="334" t="s">
        <v>1177</v>
      </c>
      <c r="I2291" s="71" t="s">
        <v>345</v>
      </c>
      <c r="J2291" s="170" t="s">
        <v>140</v>
      </c>
      <c r="K2291" s="101">
        <v>0</v>
      </c>
      <c r="L2291" s="101">
        <v>0</v>
      </c>
      <c r="M2291" s="102">
        <v>65</v>
      </c>
      <c r="N2291" s="103">
        <v>200</v>
      </c>
      <c r="O2291" s="171">
        <v>1</v>
      </c>
      <c r="P2291" s="103">
        <f t="shared" si="384"/>
        <v>200</v>
      </c>
      <c r="Q2291" s="103"/>
      <c r="R2291" s="102">
        <v>200</v>
      </c>
      <c r="S2291" s="102">
        <f t="shared" si="378"/>
        <v>0</v>
      </c>
      <c r="T2291" s="173">
        <f t="shared" si="379"/>
        <v>1329.2307692307693</v>
      </c>
      <c r="U2291" s="101">
        <f t="shared" si="380"/>
        <v>0</v>
      </c>
      <c r="V2291" s="101">
        <f t="shared" si="381"/>
        <v>0</v>
      </c>
      <c r="W2291" s="101">
        <v>0</v>
      </c>
      <c r="X2291" s="255">
        <f t="shared" si="382"/>
        <v>46153.883449074077</v>
      </c>
    </row>
    <row r="2292" spans="1:24" hidden="1" x14ac:dyDescent="0.35">
      <c r="A2292" s="71">
        <f t="shared" si="383"/>
        <v>46153.883449074077</v>
      </c>
      <c r="B2292" s="71"/>
      <c r="C2292" s="71"/>
      <c r="D2292" s="71"/>
      <c r="E2292" s="47" t="s">
        <v>134</v>
      </c>
      <c r="F2292" s="82" t="s">
        <v>1179</v>
      </c>
      <c r="G2292" s="82"/>
      <c r="H2292" s="334" t="s">
        <v>1180</v>
      </c>
      <c r="I2292" s="71" t="s">
        <v>339</v>
      </c>
      <c r="J2292" s="170" t="s">
        <v>140</v>
      </c>
      <c r="K2292" s="101">
        <v>0</v>
      </c>
      <c r="L2292" s="101">
        <v>0</v>
      </c>
      <c r="M2292" s="102">
        <v>65</v>
      </c>
      <c r="N2292" s="103">
        <v>100</v>
      </c>
      <c r="O2292" s="171">
        <v>1</v>
      </c>
      <c r="P2292" s="103">
        <f t="shared" si="384"/>
        <v>100</v>
      </c>
      <c r="Q2292" s="103"/>
      <c r="R2292" s="102">
        <v>100</v>
      </c>
      <c r="S2292" s="102">
        <f t="shared" si="378"/>
        <v>0</v>
      </c>
      <c r="T2292" s="173">
        <f t="shared" si="379"/>
        <v>1329.2307692307693</v>
      </c>
      <c r="U2292" s="101">
        <f t="shared" si="380"/>
        <v>0</v>
      </c>
      <c r="V2292" s="101">
        <f t="shared" si="381"/>
        <v>0</v>
      </c>
      <c r="W2292" s="101">
        <v>0</v>
      </c>
      <c r="X2292" s="255">
        <f t="shared" si="382"/>
        <v>46153.883449074077</v>
      </c>
    </row>
    <row r="2293" spans="1:24" s="221" customFormat="1" hidden="1" x14ac:dyDescent="0.35">
      <c r="A2293" s="71">
        <f t="shared" si="383"/>
        <v>46153.883449074077</v>
      </c>
      <c r="B2293" s="71"/>
      <c r="C2293" s="71"/>
      <c r="D2293" s="71"/>
      <c r="E2293" s="47" t="s">
        <v>134</v>
      </c>
      <c r="F2293" s="82" t="s">
        <v>1181</v>
      </c>
      <c r="G2293" s="82"/>
      <c r="H2293" s="334" t="s">
        <v>1182</v>
      </c>
      <c r="I2293" s="73" t="s">
        <v>1073</v>
      </c>
      <c r="J2293" s="170" t="s">
        <v>140</v>
      </c>
      <c r="K2293" s="101">
        <v>0</v>
      </c>
      <c r="L2293" s="101">
        <v>0</v>
      </c>
      <c r="M2293" s="102">
        <v>65</v>
      </c>
      <c r="N2293" s="103">
        <v>200</v>
      </c>
      <c r="O2293" s="171">
        <v>1</v>
      </c>
      <c r="P2293" s="103">
        <f t="shared" si="384"/>
        <v>200</v>
      </c>
      <c r="Q2293" s="103"/>
      <c r="R2293" s="102">
        <v>200</v>
      </c>
      <c r="S2293" s="102">
        <f t="shared" si="378"/>
        <v>0</v>
      </c>
      <c r="T2293" s="173">
        <f t="shared" si="379"/>
        <v>1329.2307692307693</v>
      </c>
      <c r="U2293" s="101">
        <f t="shared" si="380"/>
        <v>0</v>
      </c>
      <c r="V2293" s="101">
        <f t="shared" si="381"/>
        <v>0</v>
      </c>
      <c r="W2293" s="101">
        <v>0</v>
      </c>
      <c r="X2293" s="255">
        <f t="shared" si="382"/>
        <v>46153.883449074077</v>
      </c>
    </row>
    <row r="2294" spans="1:24" hidden="1" x14ac:dyDescent="0.35">
      <c r="A2294" s="71">
        <f t="shared" si="383"/>
        <v>46153.883449074077</v>
      </c>
      <c r="B2294" s="71"/>
      <c r="C2294" s="71"/>
      <c r="D2294" s="71"/>
      <c r="E2294" s="47" t="s">
        <v>134</v>
      </c>
      <c r="F2294" s="82" t="s">
        <v>1183</v>
      </c>
      <c r="G2294" s="82"/>
      <c r="H2294" s="334" t="s">
        <v>1182</v>
      </c>
      <c r="I2294" s="73" t="s">
        <v>1073</v>
      </c>
      <c r="J2294" s="170" t="s">
        <v>140</v>
      </c>
      <c r="K2294" s="101">
        <v>0</v>
      </c>
      <c r="L2294" s="101">
        <v>0</v>
      </c>
      <c r="M2294" s="102">
        <v>65</v>
      </c>
      <c r="N2294" s="103">
        <v>100</v>
      </c>
      <c r="O2294" s="171">
        <v>1</v>
      </c>
      <c r="P2294" s="103">
        <f t="shared" si="384"/>
        <v>100</v>
      </c>
      <c r="Q2294" s="103"/>
      <c r="R2294" s="102">
        <v>100</v>
      </c>
      <c r="S2294" s="102">
        <f t="shared" si="378"/>
        <v>0</v>
      </c>
      <c r="T2294" s="173">
        <f t="shared" si="379"/>
        <v>1329.2307692307693</v>
      </c>
      <c r="U2294" s="101">
        <f t="shared" si="380"/>
        <v>0</v>
      </c>
      <c r="V2294" s="101">
        <f t="shared" si="381"/>
        <v>0</v>
      </c>
      <c r="W2294" s="101">
        <v>0</v>
      </c>
      <c r="X2294" s="255">
        <f t="shared" si="382"/>
        <v>46153.883449074077</v>
      </c>
    </row>
    <row r="2295" spans="1:24" hidden="1" x14ac:dyDescent="0.35">
      <c r="A2295" s="71">
        <f t="shared" si="383"/>
        <v>46153.883449074077</v>
      </c>
      <c r="B2295" s="71"/>
      <c r="C2295" s="71"/>
      <c r="D2295" s="71"/>
      <c r="E2295" s="47" t="s">
        <v>134</v>
      </c>
      <c r="F2295" s="82" t="s">
        <v>1184</v>
      </c>
      <c r="G2295" s="82"/>
      <c r="H2295" s="334" t="s">
        <v>1185</v>
      </c>
      <c r="I2295" s="71" t="s">
        <v>818</v>
      </c>
      <c r="J2295" s="170" t="s">
        <v>140</v>
      </c>
      <c r="K2295" s="101">
        <v>0</v>
      </c>
      <c r="L2295" s="101">
        <v>0</v>
      </c>
      <c r="M2295" s="102">
        <v>65</v>
      </c>
      <c r="N2295" s="103">
        <v>250</v>
      </c>
      <c r="O2295" s="171">
        <v>1</v>
      </c>
      <c r="P2295" s="103">
        <f t="shared" si="384"/>
        <v>250</v>
      </c>
      <c r="Q2295" s="103"/>
      <c r="R2295" s="102">
        <v>250</v>
      </c>
      <c r="S2295" s="102">
        <f t="shared" si="378"/>
        <v>0</v>
      </c>
      <c r="T2295" s="173">
        <f t="shared" si="379"/>
        <v>1329.2307692307693</v>
      </c>
      <c r="U2295" s="101">
        <f t="shared" si="380"/>
        <v>0</v>
      </c>
      <c r="V2295" s="101">
        <f t="shared" si="381"/>
        <v>0</v>
      </c>
      <c r="W2295" s="101">
        <v>0</v>
      </c>
      <c r="X2295" s="255">
        <f t="shared" si="382"/>
        <v>46153.883449074077</v>
      </c>
    </row>
    <row r="2296" spans="1:24" s="109" customFormat="1" ht="13" hidden="1" x14ac:dyDescent="0.3">
      <c r="A2296" s="71">
        <f t="shared" si="383"/>
        <v>46153.883449074077</v>
      </c>
      <c r="B2296" s="71"/>
      <c r="C2296" s="71"/>
      <c r="D2296" s="71"/>
      <c r="E2296" s="47" t="s">
        <v>134</v>
      </c>
      <c r="F2296" s="82" t="s">
        <v>513</v>
      </c>
      <c r="G2296" s="82"/>
      <c r="H2296" s="98" t="s">
        <v>1186</v>
      </c>
      <c r="I2296" s="82" t="s">
        <v>1187</v>
      </c>
      <c r="J2296" s="51" t="s">
        <v>140</v>
      </c>
      <c r="K2296" s="91">
        <v>0</v>
      </c>
      <c r="L2296" s="91">
        <v>0</v>
      </c>
      <c r="M2296" s="92">
        <v>120</v>
      </c>
      <c r="N2296" s="94">
        <v>5600</v>
      </c>
      <c r="O2296" s="253">
        <v>4</v>
      </c>
      <c r="P2296" s="94">
        <f t="shared" si="384"/>
        <v>1400</v>
      </c>
      <c r="Q2296" s="94"/>
      <c r="R2296" s="92">
        <v>1400</v>
      </c>
      <c r="S2296" s="92">
        <f t="shared" si="378"/>
        <v>0</v>
      </c>
      <c r="T2296" s="254">
        <f t="shared" si="379"/>
        <v>2880</v>
      </c>
      <c r="U2296" s="91">
        <f t="shared" si="380"/>
        <v>0</v>
      </c>
      <c r="V2296" s="91">
        <f t="shared" si="381"/>
        <v>0</v>
      </c>
      <c r="W2296" s="91">
        <v>0</v>
      </c>
      <c r="X2296" s="255">
        <f t="shared" si="382"/>
        <v>46153.883449074077</v>
      </c>
    </row>
    <row r="2297" spans="1:24" s="109" customFormat="1" ht="26" hidden="1" x14ac:dyDescent="0.3">
      <c r="A2297" s="71">
        <f t="shared" si="383"/>
        <v>46153.883449074077</v>
      </c>
      <c r="B2297" s="71"/>
      <c r="C2297" s="71"/>
      <c r="D2297" s="71"/>
      <c r="E2297" s="119" t="s">
        <v>134</v>
      </c>
      <c r="F2297" s="97" t="s">
        <v>1084</v>
      </c>
      <c r="G2297" s="97"/>
      <c r="H2297" s="98" t="s">
        <v>1188</v>
      </c>
      <c r="I2297" s="106" t="s">
        <v>710</v>
      </c>
      <c r="J2297" s="100" t="s">
        <v>140</v>
      </c>
      <c r="K2297" s="101">
        <v>0</v>
      </c>
      <c r="L2297" s="101">
        <v>0</v>
      </c>
      <c r="M2297" s="102">
        <v>105</v>
      </c>
      <c r="N2297" s="103">
        <v>400</v>
      </c>
      <c r="O2297" s="171">
        <v>1</v>
      </c>
      <c r="P2297" s="103">
        <f t="shared" si="384"/>
        <v>400</v>
      </c>
      <c r="Q2297" s="103"/>
      <c r="R2297" s="102">
        <v>400</v>
      </c>
      <c r="S2297" s="102">
        <f t="shared" si="378"/>
        <v>0</v>
      </c>
      <c r="T2297" s="173">
        <f t="shared" si="379"/>
        <v>822.85714285714289</v>
      </c>
      <c r="U2297" s="101">
        <f t="shared" si="380"/>
        <v>0</v>
      </c>
      <c r="V2297" s="101">
        <f t="shared" si="381"/>
        <v>0</v>
      </c>
      <c r="W2297" s="101">
        <v>0</v>
      </c>
      <c r="X2297" s="255">
        <f t="shared" si="382"/>
        <v>46153.883449074077</v>
      </c>
    </row>
    <row r="2298" spans="1:24" s="109" customFormat="1" ht="26" hidden="1" x14ac:dyDescent="0.3">
      <c r="A2298" s="71">
        <f t="shared" si="383"/>
        <v>46153.883449074077</v>
      </c>
      <c r="B2298" s="71"/>
      <c r="C2298" s="71"/>
      <c r="D2298" s="71"/>
      <c r="E2298" s="119" t="s">
        <v>134</v>
      </c>
      <c r="F2298" s="97" t="s">
        <v>1084</v>
      </c>
      <c r="G2298" s="97"/>
      <c r="H2298" s="98" t="s">
        <v>1189</v>
      </c>
      <c r="I2298" s="106" t="s">
        <v>848</v>
      </c>
      <c r="J2298" s="100" t="s">
        <v>140</v>
      </c>
      <c r="K2298" s="101">
        <v>0</v>
      </c>
      <c r="L2298" s="101">
        <v>0</v>
      </c>
      <c r="M2298" s="102">
        <v>105</v>
      </c>
      <c r="N2298" s="103">
        <v>200</v>
      </c>
      <c r="O2298" s="171">
        <v>1</v>
      </c>
      <c r="P2298" s="103">
        <f t="shared" si="384"/>
        <v>200</v>
      </c>
      <c r="Q2298" s="103"/>
      <c r="R2298" s="102">
        <v>200</v>
      </c>
      <c r="S2298" s="102">
        <f t="shared" si="378"/>
        <v>0</v>
      </c>
      <c r="T2298" s="173">
        <f t="shared" si="379"/>
        <v>822.85714285714289</v>
      </c>
      <c r="U2298" s="101">
        <f t="shared" si="380"/>
        <v>0</v>
      </c>
      <c r="V2298" s="101">
        <f t="shared" si="381"/>
        <v>0</v>
      </c>
      <c r="W2298" s="101">
        <v>0</v>
      </c>
      <c r="X2298" s="255">
        <f t="shared" si="382"/>
        <v>46153.883449074077</v>
      </c>
    </row>
    <row r="2299" spans="1:24" ht="26.5" hidden="1" x14ac:dyDescent="0.35">
      <c r="A2299" s="71">
        <f t="shared" si="383"/>
        <v>46153.883449074077</v>
      </c>
      <c r="B2299" s="71"/>
      <c r="C2299" s="71"/>
      <c r="D2299" s="71"/>
      <c r="E2299" s="96" t="s">
        <v>134</v>
      </c>
      <c r="F2299" s="69" t="s">
        <v>1190</v>
      </c>
      <c r="G2299" s="69"/>
      <c r="H2299" s="98" t="s">
        <v>1191</v>
      </c>
      <c r="I2299" s="71" t="s">
        <v>1192</v>
      </c>
      <c r="J2299" s="51" t="s">
        <v>140</v>
      </c>
      <c r="K2299" s="91">
        <v>0</v>
      </c>
      <c r="L2299" s="91">
        <v>0</v>
      </c>
      <c r="M2299" s="92">
        <v>90</v>
      </c>
      <c r="N2299" s="94">
        <v>100</v>
      </c>
      <c r="O2299" s="253">
        <v>1</v>
      </c>
      <c r="P2299" s="94">
        <f t="shared" si="384"/>
        <v>100</v>
      </c>
      <c r="Q2299" s="94"/>
      <c r="R2299" s="92">
        <v>100</v>
      </c>
      <c r="S2299" s="92">
        <f t="shared" si="378"/>
        <v>0</v>
      </c>
      <c r="T2299" s="254">
        <f t="shared" si="379"/>
        <v>960</v>
      </c>
      <c r="U2299" s="91">
        <f t="shared" si="380"/>
        <v>0</v>
      </c>
      <c r="V2299" s="91">
        <f t="shared" si="381"/>
        <v>0</v>
      </c>
      <c r="W2299" s="101">
        <v>0</v>
      </c>
      <c r="X2299" s="255">
        <f t="shared" si="382"/>
        <v>46153.883449074077</v>
      </c>
    </row>
    <row r="2300" spans="1:24" ht="26.5" hidden="1" x14ac:dyDescent="0.35">
      <c r="A2300" s="71">
        <f t="shared" si="383"/>
        <v>46153.883449074077</v>
      </c>
      <c r="B2300" s="71"/>
      <c r="C2300" s="71"/>
      <c r="D2300" s="71"/>
      <c r="E2300" s="96" t="s">
        <v>134</v>
      </c>
      <c r="F2300" s="69" t="s">
        <v>1190</v>
      </c>
      <c r="G2300" s="69"/>
      <c r="H2300" s="98" t="s">
        <v>1193</v>
      </c>
      <c r="I2300" s="71" t="s">
        <v>1194</v>
      </c>
      <c r="J2300" s="51" t="s">
        <v>140</v>
      </c>
      <c r="K2300" s="91">
        <v>0</v>
      </c>
      <c r="L2300" s="91">
        <v>0</v>
      </c>
      <c r="M2300" s="92">
        <v>90</v>
      </c>
      <c r="N2300" s="94">
        <v>100</v>
      </c>
      <c r="O2300" s="253">
        <v>1</v>
      </c>
      <c r="P2300" s="94">
        <f t="shared" si="384"/>
        <v>100</v>
      </c>
      <c r="Q2300" s="94"/>
      <c r="R2300" s="92">
        <v>100</v>
      </c>
      <c r="S2300" s="92">
        <f t="shared" si="378"/>
        <v>0</v>
      </c>
      <c r="T2300" s="254">
        <f t="shared" si="379"/>
        <v>960</v>
      </c>
      <c r="U2300" s="91">
        <f t="shared" si="380"/>
        <v>0</v>
      </c>
      <c r="V2300" s="91">
        <f t="shared" si="381"/>
        <v>0</v>
      </c>
      <c r="W2300" s="101">
        <v>0</v>
      </c>
      <c r="X2300" s="255">
        <f t="shared" si="382"/>
        <v>46153.883449074077</v>
      </c>
    </row>
    <row r="2301" spans="1:24" ht="26.5" hidden="1" x14ac:dyDescent="0.35">
      <c r="A2301" s="71">
        <f t="shared" si="383"/>
        <v>46153.883449074077</v>
      </c>
      <c r="B2301" s="71"/>
      <c r="C2301" s="71"/>
      <c r="D2301" s="71"/>
      <c r="E2301" s="96" t="s">
        <v>134</v>
      </c>
      <c r="F2301" s="69" t="s">
        <v>1190</v>
      </c>
      <c r="G2301" s="69"/>
      <c r="H2301" s="98" t="s">
        <v>1195</v>
      </c>
      <c r="I2301" s="71" t="s">
        <v>1196</v>
      </c>
      <c r="J2301" s="51" t="s">
        <v>140</v>
      </c>
      <c r="K2301" s="91">
        <v>0</v>
      </c>
      <c r="L2301" s="91">
        <v>0</v>
      </c>
      <c r="M2301" s="92">
        <v>90</v>
      </c>
      <c r="N2301" s="94">
        <v>150</v>
      </c>
      <c r="O2301" s="253">
        <v>1</v>
      </c>
      <c r="P2301" s="94">
        <f t="shared" si="384"/>
        <v>150</v>
      </c>
      <c r="Q2301" s="94"/>
      <c r="R2301" s="92">
        <v>150</v>
      </c>
      <c r="S2301" s="92">
        <f t="shared" si="378"/>
        <v>0</v>
      </c>
      <c r="T2301" s="254">
        <f t="shared" si="379"/>
        <v>960</v>
      </c>
      <c r="U2301" s="91">
        <f t="shared" si="380"/>
        <v>0</v>
      </c>
      <c r="V2301" s="91">
        <f t="shared" si="381"/>
        <v>0</v>
      </c>
      <c r="W2301" s="101">
        <v>0</v>
      </c>
      <c r="X2301" s="255">
        <f t="shared" si="382"/>
        <v>46153.883449074077</v>
      </c>
    </row>
    <row r="2302" spans="1:24" ht="26.5" hidden="1" x14ac:dyDescent="0.35">
      <c r="A2302" s="71">
        <f t="shared" si="383"/>
        <v>46153.883449074077</v>
      </c>
      <c r="B2302" s="71"/>
      <c r="C2302" s="71"/>
      <c r="D2302" s="71"/>
      <c r="E2302" s="96" t="s">
        <v>134</v>
      </c>
      <c r="F2302" s="69" t="s">
        <v>1190</v>
      </c>
      <c r="G2302" s="69"/>
      <c r="H2302" s="98" t="s">
        <v>1197</v>
      </c>
      <c r="I2302" s="71" t="s">
        <v>1198</v>
      </c>
      <c r="J2302" s="51" t="s">
        <v>140</v>
      </c>
      <c r="K2302" s="91">
        <v>0</v>
      </c>
      <c r="L2302" s="91">
        <v>0</v>
      </c>
      <c r="M2302" s="92">
        <v>90</v>
      </c>
      <c r="N2302" s="94">
        <v>500</v>
      </c>
      <c r="O2302" s="253">
        <v>1</v>
      </c>
      <c r="P2302" s="94">
        <f t="shared" si="384"/>
        <v>500</v>
      </c>
      <c r="Q2302" s="94"/>
      <c r="R2302" s="92">
        <v>500</v>
      </c>
      <c r="S2302" s="92">
        <f t="shared" si="378"/>
        <v>0</v>
      </c>
      <c r="T2302" s="254">
        <f t="shared" si="379"/>
        <v>960</v>
      </c>
      <c r="U2302" s="91">
        <f t="shared" si="380"/>
        <v>0</v>
      </c>
      <c r="V2302" s="91">
        <f t="shared" si="381"/>
        <v>0</v>
      </c>
      <c r="W2302" s="101">
        <v>0</v>
      </c>
      <c r="X2302" s="255">
        <f t="shared" si="382"/>
        <v>46153.883449074077</v>
      </c>
    </row>
    <row r="2303" spans="1:24" s="109" customFormat="1" ht="13" hidden="1" x14ac:dyDescent="0.3">
      <c r="A2303" s="71">
        <f t="shared" si="383"/>
        <v>46153.883449074077</v>
      </c>
      <c r="B2303" s="71"/>
      <c r="C2303" s="71"/>
      <c r="D2303" s="71"/>
      <c r="E2303" s="47" t="s">
        <v>134</v>
      </c>
      <c r="F2303" s="82" t="s">
        <v>1199</v>
      </c>
      <c r="G2303" s="82"/>
      <c r="H2303" s="334" t="s">
        <v>1200</v>
      </c>
      <c r="I2303" s="71" t="s">
        <v>818</v>
      </c>
      <c r="J2303" s="170" t="s">
        <v>140</v>
      </c>
      <c r="K2303" s="101">
        <v>0</v>
      </c>
      <c r="L2303" s="101">
        <v>0</v>
      </c>
      <c r="M2303" s="102">
        <v>65</v>
      </c>
      <c r="N2303" s="103">
        <v>400</v>
      </c>
      <c r="O2303" s="171">
        <v>1</v>
      </c>
      <c r="P2303" s="103">
        <f t="shared" si="384"/>
        <v>400</v>
      </c>
      <c r="Q2303" s="103"/>
      <c r="R2303" s="102">
        <v>400</v>
      </c>
      <c r="S2303" s="102">
        <f t="shared" si="378"/>
        <v>0</v>
      </c>
      <c r="T2303" s="173">
        <f t="shared" si="379"/>
        <v>1329.2307692307693</v>
      </c>
      <c r="U2303" s="101">
        <f t="shared" si="380"/>
        <v>0</v>
      </c>
      <c r="V2303" s="101">
        <f t="shared" si="381"/>
        <v>0</v>
      </c>
      <c r="W2303" s="101">
        <v>0</v>
      </c>
      <c r="X2303" s="255">
        <f t="shared" si="382"/>
        <v>46153.883449074077</v>
      </c>
    </row>
    <row r="2304" spans="1:24" s="109" customFormat="1" ht="13" hidden="1" x14ac:dyDescent="0.3">
      <c r="A2304" s="71">
        <f t="shared" si="383"/>
        <v>46153.883449074077</v>
      </c>
      <c r="B2304" s="71"/>
      <c r="C2304" s="71"/>
      <c r="D2304" s="71"/>
      <c r="E2304" s="47" t="s">
        <v>454</v>
      </c>
      <c r="F2304" s="82" t="s">
        <v>1201</v>
      </c>
      <c r="G2304" s="82"/>
      <c r="H2304" s="334" t="s">
        <v>1202</v>
      </c>
      <c r="I2304" s="71" t="s">
        <v>1203</v>
      </c>
      <c r="J2304" s="170" t="s">
        <v>140</v>
      </c>
      <c r="K2304" s="101">
        <v>0</v>
      </c>
      <c r="L2304" s="101">
        <v>0</v>
      </c>
      <c r="M2304" s="102">
        <v>65</v>
      </c>
      <c r="N2304" s="103">
        <v>550</v>
      </c>
      <c r="O2304" s="171">
        <v>1</v>
      </c>
      <c r="P2304" s="103">
        <f t="shared" si="384"/>
        <v>550</v>
      </c>
      <c r="Q2304" s="103"/>
      <c r="R2304" s="102">
        <v>550</v>
      </c>
      <c r="S2304" s="102">
        <f t="shared" si="378"/>
        <v>0</v>
      </c>
      <c r="T2304" s="173">
        <f t="shared" si="379"/>
        <v>1329.2307692307693</v>
      </c>
      <c r="U2304" s="101">
        <f t="shared" si="380"/>
        <v>0</v>
      </c>
      <c r="V2304" s="101">
        <f t="shared" si="381"/>
        <v>0</v>
      </c>
      <c r="W2304" s="101">
        <v>0</v>
      </c>
      <c r="X2304" s="255">
        <f t="shared" si="382"/>
        <v>46153.883449074077</v>
      </c>
    </row>
    <row r="2305" spans="1:24" s="109" customFormat="1" ht="13" hidden="1" x14ac:dyDescent="0.3">
      <c r="A2305" s="71">
        <f t="shared" si="383"/>
        <v>46153.883449074077</v>
      </c>
      <c r="B2305" s="71"/>
      <c r="C2305" s="71"/>
      <c r="D2305" s="71"/>
      <c r="E2305" s="47" t="s">
        <v>454</v>
      </c>
      <c r="F2305" s="82" t="s">
        <v>1204</v>
      </c>
      <c r="G2305" s="82"/>
      <c r="H2305" s="334" t="s">
        <v>1205</v>
      </c>
      <c r="I2305" s="71" t="s">
        <v>345</v>
      </c>
      <c r="J2305" s="170" t="s">
        <v>140</v>
      </c>
      <c r="K2305" s="101">
        <v>0</v>
      </c>
      <c r="L2305" s="101">
        <v>0</v>
      </c>
      <c r="M2305" s="102">
        <v>65</v>
      </c>
      <c r="N2305" s="103">
        <v>200</v>
      </c>
      <c r="O2305" s="171">
        <v>1</v>
      </c>
      <c r="P2305" s="103">
        <f t="shared" si="384"/>
        <v>200</v>
      </c>
      <c r="Q2305" s="103"/>
      <c r="R2305" s="102">
        <v>200</v>
      </c>
      <c r="S2305" s="102">
        <f t="shared" si="378"/>
        <v>0</v>
      </c>
      <c r="T2305" s="173">
        <f t="shared" si="379"/>
        <v>1329.2307692307693</v>
      </c>
      <c r="U2305" s="101">
        <f t="shared" si="380"/>
        <v>0</v>
      </c>
      <c r="V2305" s="101">
        <f t="shared" si="381"/>
        <v>0</v>
      </c>
      <c r="W2305" s="101">
        <v>0</v>
      </c>
      <c r="X2305" s="255">
        <f t="shared" si="382"/>
        <v>46153.883449074077</v>
      </c>
    </row>
    <row r="2306" spans="1:24" s="109" customFormat="1" ht="13" hidden="1" x14ac:dyDescent="0.3">
      <c r="A2306" s="71">
        <f t="shared" si="383"/>
        <v>46153.883449074077</v>
      </c>
      <c r="B2306" s="71"/>
      <c r="C2306" s="71"/>
      <c r="D2306" s="71"/>
      <c r="E2306" s="47" t="s">
        <v>454</v>
      </c>
      <c r="F2306" s="82" t="s">
        <v>1201</v>
      </c>
      <c r="G2306" s="82"/>
      <c r="H2306" s="334" t="s">
        <v>1206</v>
      </c>
      <c r="I2306" s="71" t="s">
        <v>1207</v>
      </c>
      <c r="J2306" s="170" t="s">
        <v>140</v>
      </c>
      <c r="K2306" s="101">
        <v>0</v>
      </c>
      <c r="L2306" s="101">
        <v>0</v>
      </c>
      <c r="M2306" s="102">
        <v>65</v>
      </c>
      <c r="N2306" s="103">
        <v>275</v>
      </c>
      <c r="O2306" s="171">
        <v>1</v>
      </c>
      <c r="P2306" s="103">
        <f t="shared" si="384"/>
        <v>275</v>
      </c>
      <c r="Q2306" s="103"/>
      <c r="R2306" s="102">
        <v>275</v>
      </c>
      <c r="S2306" s="102">
        <f t="shared" si="378"/>
        <v>0</v>
      </c>
      <c r="T2306" s="173">
        <f t="shared" si="379"/>
        <v>1329.2307692307693</v>
      </c>
      <c r="U2306" s="101">
        <f t="shared" si="380"/>
        <v>0</v>
      </c>
      <c r="V2306" s="101">
        <f t="shared" si="381"/>
        <v>0</v>
      </c>
      <c r="W2306" s="101">
        <v>0</v>
      </c>
      <c r="X2306" s="255">
        <f t="shared" si="382"/>
        <v>46153.883449074077</v>
      </c>
    </row>
    <row r="2307" spans="1:24" hidden="1" x14ac:dyDescent="0.35">
      <c r="A2307" s="71">
        <f t="shared" si="383"/>
        <v>46153.883449074077</v>
      </c>
      <c r="B2307" s="71"/>
      <c r="C2307" s="71"/>
      <c r="D2307" s="71"/>
      <c r="E2307" s="47" t="s">
        <v>454</v>
      </c>
      <c r="F2307" s="82" t="s">
        <v>1204</v>
      </c>
      <c r="G2307" s="82"/>
      <c r="H2307" s="334" t="s">
        <v>1208</v>
      </c>
      <c r="I2307" s="71" t="s">
        <v>1073</v>
      </c>
      <c r="J2307" s="170" t="s">
        <v>140</v>
      </c>
      <c r="K2307" s="101">
        <v>0</v>
      </c>
      <c r="L2307" s="101">
        <v>0</v>
      </c>
      <c r="M2307" s="102">
        <v>65</v>
      </c>
      <c r="N2307" s="103">
        <v>200</v>
      </c>
      <c r="O2307" s="171">
        <v>1</v>
      </c>
      <c r="P2307" s="103">
        <f t="shared" si="384"/>
        <v>200</v>
      </c>
      <c r="Q2307" s="103"/>
      <c r="R2307" s="102">
        <v>200</v>
      </c>
      <c r="S2307" s="102">
        <f t="shared" si="378"/>
        <v>0</v>
      </c>
      <c r="T2307" s="173">
        <f t="shared" si="379"/>
        <v>1329.2307692307693</v>
      </c>
      <c r="U2307" s="101">
        <f t="shared" si="380"/>
        <v>0</v>
      </c>
      <c r="V2307" s="101">
        <f t="shared" si="381"/>
        <v>0</v>
      </c>
      <c r="W2307" s="101">
        <v>0</v>
      </c>
      <c r="X2307" s="255">
        <f t="shared" si="382"/>
        <v>46153.883449074077</v>
      </c>
    </row>
    <row r="2308" spans="1:24" s="109" customFormat="1" ht="13" hidden="1" x14ac:dyDescent="0.3">
      <c r="A2308" s="71">
        <f t="shared" si="383"/>
        <v>46153.883449074077</v>
      </c>
      <c r="B2308" s="71"/>
      <c r="C2308" s="71"/>
      <c r="D2308" s="71"/>
      <c r="E2308" s="47" t="s">
        <v>454</v>
      </c>
      <c r="F2308" s="82" t="s">
        <v>1201</v>
      </c>
      <c r="G2308" s="82"/>
      <c r="H2308" s="334" t="s">
        <v>1209</v>
      </c>
      <c r="I2308" s="71" t="s">
        <v>351</v>
      </c>
      <c r="J2308" s="170" t="s">
        <v>140</v>
      </c>
      <c r="K2308" s="101">
        <v>0</v>
      </c>
      <c r="L2308" s="101">
        <v>0</v>
      </c>
      <c r="M2308" s="102">
        <v>65</v>
      </c>
      <c r="N2308" s="103">
        <v>400</v>
      </c>
      <c r="O2308" s="171">
        <v>1</v>
      </c>
      <c r="P2308" s="103">
        <f t="shared" si="384"/>
        <v>400</v>
      </c>
      <c r="Q2308" s="103"/>
      <c r="R2308" s="102">
        <v>400</v>
      </c>
      <c r="S2308" s="102">
        <f t="shared" si="378"/>
        <v>0</v>
      </c>
      <c r="T2308" s="173">
        <f t="shared" si="379"/>
        <v>1329.2307692307693</v>
      </c>
      <c r="U2308" s="101">
        <f t="shared" si="380"/>
        <v>0</v>
      </c>
      <c r="V2308" s="101">
        <f t="shared" si="381"/>
        <v>0</v>
      </c>
      <c r="W2308" s="101">
        <v>0</v>
      </c>
      <c r="X2308" s="255">
        <f t="shared" si="382"/>
        <v>46153.883449074077</v>
      </c>
    </row>
    <row r="2309" spans="1:24" s="109" customFormat="1" ht="13" hidden="1" x14ac:dyDescent="0.3">
      <c r="A2309" s="71">
        <f t="shared" si="383"/>
        <v>46153.883449074077</v>
      </c>
      <c r="B2309" s="71"/>
      <c r="C2309" s="71"/>
      <c r="D2309" s="71"/>
      <c r="E2309" s="47" t="s">
        <v>454</v>
      </c>
      <c r="F2309" s="82" t="s">
        <v>1201</v>
      </c>
      <c r="G2309" s="82"/>
      <c r="H2309" s="334" t="s">
        <v>1210</v>
      </c>
      <c r="I2309" s="71" t="s">
        <v>891</v>
      </c>
      <c r="J2309" s="170" t="s">
        <v>140</v>
      </c>
      <c r="K2309" s="101">
        <v>0</v>
      </c>
      <c r="L2309" s="101">
        <v>0</v>
      </c>
      <c r="M2309" s="102">
        <v>65</v>
      </c>
      <c r="N2309" s="103">
        <v>550</v>
      </c>
      <c r="O2309" s="171">
        <v>1</v>
      </c>
      <c r="P2309" s="103">
        <f t="shared" si="384"/>
        <v>550</v>
      </c>
      <c r="Q2309" s="103"/>
      <c r="R2309" s="102">
        <v>550</v>
      </c>
      <c r="S2309" s="102">
        <f t="shared" si="378"/>
        <v>0</v>
      </c>
      <c r="T2309" s="173">
        <f t="shared" si="379"/>
        <v>1329.2307692307693</v>
      </c>
      <c r="U2309" s="101">
        <f t="shared" si="380"/>
        <v>0</v>
      </c>
      <c r="V2309" s="101">
        <f t="shared" si="381"/>
        <v>0</v>
      </c>
      <c r="W2309" s="101">
        <v>0</v>
      </c>
      <c r="X2309" s="255">
        <f t="shared" si="382"/>
        <v>46153.883449074077</v>
      </c>
    </row>
    <row r="2310" spans="1:24" hidden="1" x14ac:dyDescent="0.35">
      <c r="A2310" s="71">
        <f t="shared" si="383"/>
        <v>46153.883449074077</v>
      </c>
      <c r="B2310" s="71"/>
      <c r="C2310" s="71"/>
      <c r="D2310" s="71"/>
      <c r="E2310" s="119" t="s">
        <v>134</v>
      </c>
      <c r="F2310" s="99" t="s">
        <v>1211</v>
      </c>
      <c r="G2310" s="99"/>
      <c r="H2310" s="98" t="s">
        <v>1212</v>
      </c>
      <c r="I2310" s="99" t="s">
        <v>97</v>
      </c>
      <c r="J2310" s="104" t="s">
        <v>140</v>
      </c>
      <c r="K2310" s="91">
        <v>0</v>
      </c>
      <c r="L2310" s="91">
        <v>0</v>
      </c>
      <c r="M2310" s="92">
        <v>110</v>
      </c>
      <c r="N2310" s="94">
        <v>1600</v>
      </c>
      <c r="O2310" s="253">
        <v>1</v>
      </c>
      <c r="P2310" s="94">
        <f t="shared" si="384"/>
        <v>1600</v>
      </c>
      <c r="Q2310" s="94"/>
      <c r="R2310" s="92">
        <v>1600</v>
      </c>
      <c r="S2310" s="92">
        <f t="shared" si="378"/>
        <v>0</v>
      </c>
      <c r="T2310" s="173">
        <f t="shared" si="379"/>
        <v>785.4545454545455</v>
      </c>
      <c r="U2310" s="101">
        <f t="shared" si="380"/>
        <v>0</v>
      </c>
      <c r="V2310" s="101">
        <f t="shared" si="381"/>
        <v>0</v>
      </c>
      <c r="W2310" s="101">
        <v>0</v>
      </c>
      <c r="X2310" s="255">
        <f t="shared" si="382"/>
        <v>46153.883449074077</v>
      </c>
    </row>
    <row r="2311" spans="1:24" hidden="1" x14ac:dyDescent="0.35">
      <c r="A2311" s="71">
        <f t="shared" si="383"/>
        <v>46153.883449074077</v>
      </c>
      <c r="B2311" s="71"/>
      <c r="C2311" s="71"/>
      <c r="D2311" s="71"/>
      <c r="E2311" s="296" t="s">
        <v>134</v>
      </c>
      <c r="F2311" s="349" t="s">
        <v>1213</v>
      </c>
      <c r="G2311" s="349"/>
      <c r="H2311" s="349" t="s">
        <v>14</v>
      </c>
      <c r="I2311" s="350" t="s">
        <v>1214</v>
      </c>
      <c r="J2311" s="351" t="s">
        <v>140</v>
      </c>
      <c r="K2311" s="352">
        <v>0</v>
      </c>
      <c r="L2311" s="352">
        <v>0</v>
      </c>
      <c r="M2311" s="353">
        <v>60</v>
      </c>
      <c r="N2311" s="354">
        <v>100</v>
      </c>
      <c r="O2311" s="355">
        <v>1</v>
      </c>
      <c r="P2311" s="354">
        <f t="shared" si="384"/>
        <v>100</v>
      </c>
      <c r="Q2311" s="354"/>
      <c r="R2311" s="353">
        <v>100</v>
      </c>
      <c r="S2311" s="353">
        <f t="shared" si="378"/>
        <v>0</v>
      </c>
      <c r="T2311" s="356">
        <f t="shared" si="379"/>
        <v>1440</v>
      </c>
      <c r="U2311" s="352">
        <f t="shared" si="380"/>
        <v>0</v>
      </c>
      <c r="V2311" s="352">
        <f t="shared" si="381"/>
        <v>0</v>
      </c>
      <c r="W2311" s="352">
        <v>0</v>
      </c>
      <c r="X2311" s="255">
        <f t="shared" si="382"/>
        <v>46153.883449074077</v>
      </c>
    </row>
    <row r="2312" spans="1:24" ht="26.5" hidden="1" x14ac:dyDescent="0.35">
      <c r="A2312" s="71">
        <f t="shared" si="383"/>
        <v>46153.883449074077</v>
      </c>
      <c r="B2312" s="71"/>
      <c r="C2312" s="71"/>
      <c r="D2312" s="71"/>
      <c r="E2312" s="47" t="s">
        <v>134</v>
      </c>
      <c r="F2312" s="82" t="s">
        <v>633</v>
      </c>
      <c r="G2312" s="82"/>
      <c r="H2312" s="107" t="s">
        <v>1215</v>
      </c>
      <c r="I2312" s="71" t="s">
        <v>1216</v>
      </c>
      <c r="J2312" s="51" t="s">
        <v>140</v>
      </c>
      <c r="K2312" s="91">
        <v>0</v>
      </c>
      <c r="L2312" s="91">
        <v>0</v>
      </c>
      <c r="M2312" s="92">
        <v>270</v>
      </c>
      <c r="N2312" s="344">
        <v>500</v>
      </c>
      <c r="O2312" s="253">
        <v>1</v>
      </c>
      <c r="P2312" s="94">
        <f t="shared" si="384"/>
        <v>500</v>
      </c>
      <c r="Q2312" s="94"/>
      <c r="R2312" s="345">
        <v>500</v>
      </c>
      <c r="S2312" s="92">
        <f t="shared" ref="S2312:S2375" si="385">P2312-R2312</f>
        <v>0</v>
      </c>
      <c r="T2312" s="254">
        <f t="shared" si="379"/>
        <v>320</v>
      </c>
      <c r="U2312" s="91">
        <f t="shared" si="380"/>
        <v>0</v>
      </c>
      <c r="V2312" s="91">
        <f t="shared" si="381"/>
        <v>0</v>
      </c>
      <c r="W2312" s="91">
        <v>0</v>
      </c>
      <c r="X2312" s="255">
        <f t="shared" si="382"/>
        <v>46153.883449074077</v>
      </c>
    </row>
    <row r="2313" spans="1:24" hidden="1" x14ac:dyDescent="0.35">
      <c r="A2313" s="71">
        <f t="shared" si="383"/>
        <v>46153.883449074077</v>
      </c>
      <c r="B2313" s="71"/>
      <c r="C2313" s="71"/>
      <c r="D2313" s="71"/>
      <c r="E2313" s="47" t="s">
        <v>134</v>
      </c>
      <c r="F2313" s="82" t="s">
        <v>1217</v>
      </c>
      <c r="G2313" s="82"/>
      <c r="H2313" s="107" t="s">
        <v>1218</v>
      </c>
      <c r="I2313" s="97" t="s">
        <v>143</v>
      </c>
      <c r="J2313" s="51" t="s">
        <v>283</v>
      </c>
      <c r="K2313" s="91">
        <v>0</v>
      </c>
      <c r="L2313" s="91">
        <v>0</v>
      </c>
      <c r="M2313" s="92">
        <v>100</v>
      </c>
      <c r="N2313" s="94">
        <v>7560</v>
      </c>
      <c r="O2313" s="253">
        <v>1</v>
      </c>
      <c r="P2313" s="103">
        <f t="shared" si="384"/>
        <v>7560</v>
      </c>
      <c r="Q2313" s="103"/>
      <c r="R2313" s="92">
        <v>7560</v>
      </c>
      <c r="S2313" s="92">
        <f t="shared" si="385"/>
        <v>0</v>
      </c>
      <c r="T2313" s="254">
        <f t="shared" si="379"/>
        <v>864</v>
      </c>
      <c r="U2313" s="91">
        <f t="shared" si="380"/>
        <v>0</v>
      </c>
      <c r="V2313" s="91">
        <f t="shared" si="381"/>
        <v>0</v>
      </c>
      <c r="W2313" s="91">
        <v>0</v>
      </c>
      <c r="X2313" s="255">
        <f t="shared" si="382"/>
        <v>46153.883449074077</v>
      </c>
    </row>
    <row r="2314" spans="1:24" ht="26.5" hidden="1" x14ac:dyDescent="0.35">
      <c r="A2314" s="71">
        <f t="shared" si="383"/>
        <v>46153.883449074077</v>
      </c>
      <c r="B2314" s="71"/>
      <c r="C2314" s="71"/>
      <c r="D2314" s="71"/>
      <c r="E2314" s="96" t="s">
        <v>134</v>
      </c>
      <c r="F2314" s="97" t="s">
        <v>1219</v>
      </c>
      <c r="G2314" s="97"/>
      <c r="H2314" s="98" t="s">
        <v>1220</v>
      </c>
      <c r="I2314" s="100" t="s">
        <v>4213</v>
      </c>
      <c r="J2314" s="100" t="s">
        <v>826</v>
      </c>
      <c r="K2314" s="101">
        <v>0</v>
      </c>
      <c r="L2314" s="101">
        <v>0</v>
      </c>
      <c r="M2314" s="102">
        <v>50</v>
      </c>
      <c r="N2314" s="103">
        <v>8436</v>
      </c>
      <c r="O2314" s="171">
        <v>1</v>
      </c>
      <c r="P2314" s="103">
        <f t="shared" si="384"/>
        <v>8436</v>
      </c>
      <c r="Q2314" s="103"/>
      <c r="R2314" s="102">
        <v>8436</v>
      </c>
      <c r="S2314" s="102">
        <f t="shared" si="385"/>
        <v>0</v>
      </c>
      <c r="T2314" s="173">
        <f t="shared" si="379"/>
        <v>1728</v>
      </c>
      <c r="U2314" s="101">
        <f t="shared" si="380"/>
        <v>0</v>
      </c>
      <c r="V2314" s="101">
        <f t="shared" si="381"/>
        <v>0</v>
      </c>
      <c r="W2314" s="101">
        <v>0</v>
      </c>
      <c r="X2314" s="255">
        <f t="shared" si="382"/>
        <v>46153.883449074077</v>
      </c>
    </row>
    <row r="2315" spans="1:24" hidden="1" x14ac:dyDescent="0.35">
      <c r="A2315" s="71">
        <f t="shared" si="383"/>
        <v>46153.883449074077</v>
      </c>
      <c r="B2315" s="71"/>
      <c r="C2315" s="71"/>
      <c r="D2315" s="71"/>
      <c r="E2315" s="96" t="s">
        <v>134</v>
      </c>
      <c r="F2315" s="97" t="s">
        <v>244</v>
      </c>
      <c r="G2315" s="97"/>
      <c r="H2315" s="98" t="s">
        <v>1221</v>
      </c>
      <c r="I2315" s="100" t="s">
        <v>4214</v>
      </c>
      <c r="J2315" s="100" t="s">
        <v>140</v>
      </c>
      <c r="K2315" s="101">
        <v>0</v>
      </c>
      <c r="L2315" s="101">
        <v>0</v>
      </c>
      <c r="M2315" s="102">
        <v>50</v>
      </c>
      <c r="N2315" s="103">
        <v>3000</v>
      </c>
      <c r="O2315" s="171">
        <v>1</v>
      </c>
      <c r="P2315" s="103">
        <f t="shared" si="384"/>
        <v>3000</v>
      </c>
      <c r="Q2315" s="103"/>
      <c r="R2315" s="102">
        <v>3000</v>
      </c>
      <c r="S2315" s="102">
        <f t="shared" si="385"/>
        <v>0</v>
      </c>
      <c r="T2315" s="173">
        <f t="shared" si="379"/>
        <v>1728</v>
      </c>
      <c r="U2315" s="101">
        <f t="shared" si="380"/>
        <v>0</v>
      </c>
      <c r="V2315" s="101">
        <f t="shared" si="381"/>
        <v>0</v>
      </c>
      <c r="W2315" s="101">
        <v>0</v>
      </c>
      <c r="X2315" s="255">
        <f t="shared" si="382"/>
        <v>46153.883449074077</v>
      </c>
    </row>
    <row r="2316" spans="1:24" s="118" customFormat="1" hidden="1" x14ac:dyDescent="0.35">
      <c r="A2316" s="71">
        <f t="shared" si="383"/>
        <v>46153.883449074077</v>
      </c>
      <c r="B2316" s="71"/>
      <c r="C2316" s="71"/>
      <c r="D2316" s="71"/>
      <c r="E2316" s="47" t="s">
        <v>134</v>
      </c>
      <c r="F2316" s="82" t="s">
        <v>1217</v>
      </c>
      <c r="G2316" s="82"/>
      <c r="H2316" s="107" t="s">
        <v>1218</v>
      </c>
      <c r="I2316" s="97" t="s">
        <v>143</v>
      </c>
      <c r="J2316" s="51" t="s">
        <v>283</v>
      </c>
      <c r="K2316" s="91">
        <v>0</v>
      </c>
      <c r="L2316" s="91">
        <v>0</v>
      </c>
      <c r="M2316" s="92">
        <v>100</v>
      </c>
      <c r="N2316" s="94">
        <v>2520</v>
      </c>
      <c r="O2316" s="253">
        <v>1</v>
      </c>
      <c r="P2316" s="103">
        <f t="shared" si="384"/>
        <v>2520</v>
      </c>
      <c r="Q2316" s="103"/>
      <c r="R2316" s="92">
        <v>2520</v>
      </c>
      <c r="S2316" s="92">
        <f t="shared" si="385"/>
        <v>0</v>
      </c>
      <c r="T2316" s="254">
        <f t="shared" si="379"/>
        <v>864</v>
      </c>
      <c r="U2316" s="91">
        <f t="shared" si="380"/>
        <v>0</v>
      </c>
      <c r="V2316" s="91">
        <f t="shared" si="381"/>
        <v>0</v>
      </c>
      <c r="W2316" s="91">
        <v>0</v>
      </c>
      <c r="X2316" s="255">
        <f t="shared" si="382"/>
        <v>46153.883449074077</v>
      </c>
    </row>
    <row r="2317" spans="1:24" hidden="1" x14ac:dyDescent="0.35">
      <c r="A2317" s="71">
        <f t="shared" si="383"/>
        <v>46153.883449074077</v>
      </c>
      <c r="B2317" s="71"/>
      <c r="C2317" s="71"/>
      <c r="D2317" s="71"/>
      <c r="E2317" s="47" t="s">
        <v>134</v>
      </c>
      <c r="F2317" s="82" t="s">
        <v>714</v>
      </c>
      <c r="G2317" s="82"/>
      <c r="H2317" s="98" t="s">
        <v>1222</v>
      </c>
      <c r="I2317" s="99" t="s">
        <v>97</v>
      </c>
      <c r="J2317" s="51" t="s">
        <v>140</v>
      </c>
      <c r="K2317" s="91">
        <v>0</v>
      </c>
      <c r="L2317" s="91">
        <v>0</v>
      </c>
      <c r="M2317" s="92">
        <v>110</v>
      </c>
      <c r="N2317" s="94">
        <v>3000</v>
      </c>
      <c r="O2317" s="253">
        <v>1</v>
      </c>
      <c r="P2317" s="94">
        <f t="shared" si="384"/>
        <v>3000</v>
      </c>
      <c r="Q2317" s="94"/>
      <c r="R2317" s="92">
        <v>3000</v>
      </c>
      <c r="S2317" s="92">
        <f t="shared" si="385"/>
        <v>0</v>
      </c>
      <c r="T2317" s="254">
        <f t="shared" si="379"/>
        <v>785.4545454545455</v>
      </c>
      <c r="U2317" s="91">
        <f t="shared" si="380"/>
        <v>0</v>
      </c>
      <c r="V2317" s="91">
        <f t="shared" si="381"/>
        <v>0</v>
      </c>
      <c r="W2317" s="91">
        <v>0</v>
      </c>
      <c r="X2317" s="255">
        <f t="shared" si="382"/>
        <v>46153.883449074077</v>
      </c>
    </row>
    <row r="2318" spans="1:24" hidden="1" x14ac:dyDescent="0.35">
      <c r="A2318" s="71">
        <f t="shared" si="383"/>
        <v>46153.883449074077</v>
      </c>
      <c r="B2318" s="71"/>
      <c r="C2318" s="71"/>
      <c r="D2318" s="71"/>
      <c r="E2318" s="47" t="s">
        <v>134</v>
      </c>
      <c r="F2318" s="82" t="s">
        <v>1223</v>
      </c>
      <c r="G2318" s="82"/>
      <c r="H2318" s="98" t="s">
        <v>1224</v>
      </c>
      <c r="I2318" s="99" t="s">
        <v>97</v>
      </c>
      <c r="J2318" s="51" t="s">
        <v>140</v>
      </c>
      <c r="K2318" s="91">
        <v>0</v>
      </c>
      <c r="L2318" s="91">
        <v>0</v>
      </c>
      <c r="M2318" s="92">
        <v>110</v>
      </c>
      <c r="N2318" s="94">
        <v>3500</v>
      </c>
      <c r="O2318" s="253">
        <v>1</v>
      </c>
      <c r="P2318" s="94">
        <f t="shared" si="384"/>
        <v>3500</v>
      </c>
      <c r="Q2318" s="94"/>
      <c r="R2318" s="92">
        <v>3500</v>
      </c>
      <c r="S2318" s="92">
        <f t="shared" si="385"/>
        <v>0</v>
      </c>
      <c r="T2318" s="254">
        <f t="shared" si="379"/>
        <v>785.4545454545455</v>
      </c>
      <c r="U2318" s="91">
        <f t="shared" si="380"/>
        <v>0</v>
      </c>
      <c r="V2318" s="91">
        <f t="shared" si="381"/>
        <v>0</v>
      </c>
      <c r="W2318" s="91">
        <v>0</v>
      </c>
      <c r="X2318" s="255">
        <f t="shared" si="382"/>
        <v>46153.883449074077</v>
      </c>
    </row>
    <row r="2319" spans="1:24" hidden="1" x14ac:dyDescent="0.35">
      <c r="A2319" s="71">
        <f t="shared" si="383"/>
        <v>46153.883449074077</v>
      </c>
      <c r="B2319" s="71"/>
      <c r="C2319" s="71"/>
      <c r="D2319" s="71"/>
      <c r="E2319" s="357" t="s">
        <v>134</v>
      </c>
      <c r="F2319" s="358" t="s">
        <v>1225</v>
      </c>
      <c r="G2319" s="358"/>
      <c r="H2319" s="358" t="s">
        <v>1225</v>
      </c>
      <c r="I2319" s="359" t="s">
        <v>1226</v>
      </c>
      <c r="J2319" s="360" t="s">
        <v>140</v>
      </c>
      <c r="K2319" s="361">
        <v>0</v>
      </c>
      <c r="L2319" s="361">
        <v>0</v>
      </c>
      <c r="M2319" s="362">
        <v>60</v>
      </c>
      <c r="N2319" s="363">
        <v>20</v>
      </c>
      <c r="O2319" s="364">
        <v>1</v>
      </c>
      <c r="P2319" s="363">
        <f t="shared" si="384"/>
        <v>20</v>
      </c>
      <c r="Q2319" s="363"/>
      <c r="R2319" s="362">
        <v>20</v>
      </c>
      <c r="S2319" s="362">
        <f t="shared" si="385"/>
        <v>0</v>
      </c>
      <c r="T2319" s="365">
        <f t="shared" si="379"/>
        <v>1440</v>
      </c>
      <c r="U2319" s="361">
        <f t="shared" si="380"/>
        <v>0</v>
      </c>
      <c r="V2319" s="361">
        <f t="shared" si="381"/>
        <v>0</v>
      </c>
      <c r="W2319" s="361">
        <v>0</v>
      </c>
      <c r="X2319" s="255">
        <f t="shared" si="382"/>
        <v>46153.883449074077</v>
      </c>
    </row>
    <row r="2320" spans="1:24" hidden="1" x14ac:dyDescent="0.35">
      <c r="A2320" s="71">
        <f t="shared" si="383"/>
        <v>46153.883449074077</v>
      </c>
      <c r="B2320" s="71"/>
      <c r="C2320" s="71"/>
      <c r="D2320" s="71"/>
      <c r="E2320" s="357" t="s">
        <v>134</v>
      </c>
      <c r="F2320" s="358" t="s">
        <v>1227</v>
      </c>
      <c r="G2320" s="358"/>
      <c r="H2320" s="358" t="s">
        <v>1227</v>
      </c>
      <c r="I2320" s="359" t="s">
        <v>1226</v>
      </c>
      <c r="J2320" s="360" t="s">
        <v>140</v>
      </c>
      <c r="K2320" s="361">
        <v>0</v>
      </c>
      <c r="L2320" s="361">
        <v>0</v>
      </c>
      <c r="M2320" s="362">
        <v>60</v>
      </c>
      <c r="N2320" s="363">
        <v>20</v>
      </c>
      <c r="O2320" s="364">
        <v>1</v>
      </c>
      <c r="P2320" s="363">
        <f t="shared" si="384"/>
        <v>20</v>
      </c>
      <c r="Q2320" s="363"/>
      <c r="R2320" s="362">
        <v>20</v>
      </c>
      <c r="S2320" s="362">
        <f t="shared" si="385"/>
        <v>0</v>
      </c>
      <c r="T2320" s="365">
        <f t="shared" ref="T2320:T2361" si="386">((3600/M2320)*O2320)*24</f>
        <v>1440</v>
      </c>
      <c r="U2320" s="361">
        <f t="shared" ref="U2320:U2361" si="387">(P2320-R2320)*M2320/3600</f>
        <v>0</v>
      </c>
      <c r="V2320" s="361">
        <f t="shared" ref="V2320:V2361" si="388">(P2320-R2320)*M2320/3600/24</f>
        <v>0</v>
      </c>
      <c r="W2320" s="361">
        <v>0</v>
      </c>
      <c r="X2320" s="255">
        <f t="shared" ref="X2320:X2382" si="389">A2320+K2320+V2320+W2320+L2320</f>
        <v>46153.883449074077</v>
      </c>
    </row>
    <row r="2321" spans="1:24" hidden="1" x14ac:dyDescent="0.35">
      <c r="A2321" s="71">
        <f t="shared" ref="A2321:A2365" si="390">X2320</f>
        <v>46153.883449074077</v>
      </c>
      <c r="B2321" s="71"/>
      <c r="C2321" s="71"/>
      <c r="D2321" s="71"/>
      <c r="E2321" s="357" t="s">
        <v>134</v>
      </c>
      <c r="F2321" s="358" t="s">
        <v>1228</v>
      </c>
      <c r="G2321" s="358"/>
      <c r="H2321" s="358" t="s">
        <v>1228</v>
      </c>
      <c r="I2321" s="359" t="s">
        <v>1226</v>
      </c>
      <c r="J2321" s="360" t="s">
        <v>140</v>
      </c>
      <c r="K2321" s="361">
        <v>0</v>
      </c>
      <c r="L2321" s="361">
        <v>0</v>
      </c>
      <c r="M2321" s="362">
        <v>60</v>
      </c>
      <c r="N2321" s="363">
        <v>20</v>
      </c>
      <c r="O2321" s="364">
        <v>1</v>
      </c>
      <c r="P2321" s="363">
        <f t="shared" si="384"/>
        <v>20</v>
      </c>
      <c r="Q2321" s="363"/>
      <c r="R2321" s="362">
        <v>20</v>
      </c>
      <c r="S2321" s="362">
        <f t="shared" si="385"/>
        <v>0</v>
      </c>
      <c r="T2321" s="365">
        <f t="shared" si="386"/>
        <v>1440</v>
      </c>
      <c r="U2321" s="361">
        <f t="shared" si="387"/>
        <v>0</v>
      </c>
      <c r="V2321" s="361">
        <f t="shared" si="388"/>
        <v>0</v>
      </c>
      <c r="W2321" s="361">
        <v>0</v>
      </c>
      <c r="X2321" s="255">
        <f t="shared" si="389"/>
        <v>46153.883449074077</v>
      </c>
    </row>
    <row r="2322" spans="1:24" hidden="1" x14ac:dyDescent="0.35">
      <c r="A2322" s="71">
        <f t="shared" si="390"/>
        <v>46153.883449074077</v>
      </c>
      <c r="B2322" s="71"/>
      <c r="C2322" s="71"/>
      <c r="D2322" s="71"/>
      <c r="E2322" s="357" t="s">
        <v>134</v>
      </c>
      <c r="F2322" s="358" t="s">
        <v>1229</v>
      </c>
      <c r="G2322" s="358"/>
      <c r="H2322" s="358" t="s">
        <v>1229</v>
      </c>
      <c r="I2322" s="359" t="s">
        <v>1226</v>
      </c>
      <c r="J2322" s="360" t="s">
        <v>140</v>
      </c>
      <c r="K2322" s="361">
        <v>0</v>
      </c>
      <c r="L2322" s="361">
        <v>0</v>
      </c>
      <c r="M2322" s="362">
        <v>60</v>
      </c>
      <c r="N2322" s="363">
        <v>20</v>
      </c>
      <c r="O2322" s="364">
        <v>1</v>
      </c>
      <c r="P2322" s="363">
        <f t="shared" si="384"/>
        <v>20</v>
      </c>
      <c r="Q2322" s="363"/>
      <c r="R2322" s="362">
        <v>20</v>
      </c>
      <c r="S2322" s="362">
        <f t="shared" si="385"/>
        <v>0</v>
      </c>
      <c r="T2322" s="365">
        <f t="shared" si="386"/>
        <v>1440</v>
      </c>
      <c r="U2322" s="361">
        <f t="shared" si="387"/>
        <v>0</v>
      </c>
      <c r="V2322" s="361">
        <f t="shared" si="388"/>
        <v>0</v>
      </c>
      <c r="W2322" s="361">
        <v>0</v>
      </c>
      <c r="X2322" s="255">
        <f t="shared" si="389"/>
        <v>46153.883449074077</v>
      </c>
    </row>
    <row r="2323" spans="1:24" s="118" customFormat="1" ht="26.5" hidden="1" x14ac:dyDescent="0.35">
      <c r="A2323" s="71">
        <f t="shared" si="390"/>
        <v>46153.883449074077</v>
      </c>
      <c r="B2323" s="71"/>
      <c r="C2323" s="71"/>
      <c r="D2323" s="71"/>
      <c r="E2323" s="119" t="s">
        <v>134</v>
      </c>
      <c r="F2323" s="82" t="s">
        <v>1230</v>
      </c>
      <c r="G2323" s="82"/>
      <c r="H2323" s="107" t="s">
        <v>1231</v>
      </c>
      <c r="I2323" s="106" t="s">
        <v>1047</v>
      </c>
      <c r="J2323" s="100" t="s">
        <v>140</v>
      </c>
      <c r="K2323" s="101">
        <v>0</v>
      </c>
      <c r="L2323" s="101">
        <v>0</v>
      </c>
      <c r="M2323" s="102">
        <v>100</v>
      </c>
      <c r="N2323" s="103">
        <v>1100</v>
      </c>
      <c r="O2323" s="171">
        <v>1</v>
      </c>
      <c r="P2323" s="103">
        <f t="shared" si="384"/>
        <v>1100</v>
      </c>
      <c r="Q2323" s="103"/>
      <c r="R2323" s="102">
        <v>1100</v>
      </c>
      <c r="S2323" s="102">
        <f t="shared" si="385"/>
        <v>0</v>
      </c>
      <c r="T2323" s="173">
        <f t="shared" si="386"/>
        <v>864</v>
      </c>
      <c r="U2323" s="101">
        <f t="shared" si="387"/>
        <v>0</v>
      </c>
      <c r="V2323" s="101">
        <f t="shared" si="388"/>
        <v>0</v>
      </c>
      <c r="W2323" s="101">
        <v>0</v>
      </c>
      <c r="X2323" s="255">
        <f t="shared" si="389"/>
        <v>46153.883449074077</v>
      </c>
    </row>
    <row r="2324" spans="1:24" ht="26.5" hidden="1" x14ac:dyDescent="0.35">
      <c r="A2324" s="71">
        <f t="shared" si="390"/>
        <v>46153.883449074077</v>
      </c>
      <c r="B2324" s="71"/>
      <c r="C2324" s="71"/>
      <c r="D2324" s="71"/>
      <c r="E2324" s="47" t="s">
        <v>134</v>
      </c>
      <c r="F2324" s="69" t="s">
        <v>257</v>
      </c>
      <c r="G2324" s="69"/>
      <c r="H2324" s="98" t="s">
        <v>1232</v>
      </c>
      <c r="I2324" s="71" t="s">
        <v>4215</v>
      </c>
      <c r="J2324" s="51" t="s">
        <v>140</v>
      </c>
      <c r="K2324" s="91">
        <v>0</v>
      </c>
      <c r="L2324" s="91">
        <v>0</v>
      </c>
      <c r="M2324" s="92">
        <v>90</v>
      </c>
      <c r="N2324" s="94">
        <v>250</v>
      </c>
      <c r="O2324" s="253">
        <v>1</v>
      </c>
      <c r="P2324" s="94">
        <f t="shared" si="384"/>
        <v>250</v>
      </c>
      <c r="Q2324" s="94"/>
      <c r="R2324" s="92">
        <v>250</v>
      </c>
      <c r="S2324" s="92">
        <f t="shared" si="385"/>
        <v>0</v>
      </c>
      <c r="T2324" s="254">
        <f t="shared" si="386"/>
        <v>960</v>
      </c>
      <c r="U2324" s="91">
        <f t="shared" si="387"/>
        <v>0</v>
      </c>
      <c r="V2324" s="91">
        <f t="shared" si="388"/>
        <v>0</v>
      </c>
      <c r="W2324" s="101">
        <v>0</v>
      </c>
      <c r="X2324" s="255">
        <f t="shared" si="389"/>
        <v>46153.883449074077</v>
      </c>
    </row>
    <row r="2325" spans="1:24" ht="26.5" hidden="1" x14ac:dyDescent="0.35">
      <c r="A2325" s="71">
        <f t="shared" si="390"/>
        <v>46153.883449074077</v>
      </c>
      <c r="B2325" s="71"/>
      <c r="C2325" s="71"/>
      <c r="D2325" s="71"/>
      <c r="E2325" s="47" t="s">
        <v>134</v>
      </c>
      <c r="F2325" s="69" t="s">
        <v>1233</v>
      </c>
      <c r="G2325" s="69"/>
      <c r="H2325" s="98" t="s">
        <v>1234</v>
      </c>
      <c r="I2325" s="97" t="s">
        <v>4216</v>
      </c>
      <c r="J2325" s="51" t="s">
        <v>140</v>
      </c>
      <c r="K2325" s="91">
        <v>0</v>
      </c>
      <c r="L2325" s="91">
        <v>0</v>
      </c>
      <c r="M2325" s="92">
        <v>95</v>
      </c>
      <c r="N2325" s="94">
        <v>11500</v>
      </c>
      <c r="O2325" s="253">
        <v>1</v>
      </c>
      <c r="P2325" s="94">
        <f t="shared" si="384"/>
        <v>11500</v>
      </c>
      <c r="Q2325" s="94"/>
      <c r="R2325" s="92">
        <v>11500</v>
      </c>
      <c r="S2325" s="92">
        <f t="shared" si="385"/>
        <v>0</v>
      </c>
      <c r="T2325" s="254">
        <f t="shared" si="386"/>
        <v>909.47368421052624</v>
      </c>
      <c r="U2325" s="91">
        <f t="shared" si="387"/>
        <v>0</v>
      </c>
      <c r="V2325" s="91">
        <f t="shared" si="388"/>
        <v>0</v>
      </c>
      <c r="W2325" s="91">
        <v>0</v>
      </c>
      <c r="X2325" s="255">
        <f t="shared" si="389"/>
        <v>46153.883449074077</v>
      </c>
    </row>
    <row r="2326" spans="1:24" s="118" customFormat="1" ht="26.5" hidden="1" x14ac:dyDescent="0.35">
      <c r="A2326" s="71">
        <f t="shared" si="390"/>
        <v>46153.883449074077</v>
      </c>
      <c r="B2326" s="71"/>
      <c r="C2326" s="71"/>
      <c r="D2326" s="71"/>
      <c r="E2326" s="47" t="s">
        <v>134</v>
      </c>
      <c r="F2326" s="69" t="s">
        <v>1235</v>
      </c>
      <c r="G2326" s="69"/>
      <c r="H2326" s="98" t="s">
        <v>1236</v>
      </c>
      <c r="I2326" s="97" t="s">
        <v>618</v>
      </c>
      <c r="J2326" s="51" t="s">
        <v>140</v>
      </c>
      <c r="K2326" s="91">
        <v>0</v>
      </c>
      <c r="L2326" s="91">
        <v>0</v>
      </c>
      <c r="M2326" s="92">
        <v>100</v>
      </c>
      <c r="N2326" s="94">
        <v>500</v>
      </c>
      <c r="O2326" s="253">
        <v>1</v>
      </c>
      <c r="P2326" s="94">
        <f t="shared" si="384"/>
        <v>500</v>
      </c>
      <c r="Q2326" s="94"/>
      <c r="R2326" s="92">
        <v>500</v>
      </c>
      <c r="S2326" s="92">
        <f t="shared" si="385"/>
        <v>0</v>
      </c>
      <c r="T2326" s="254">
        <f t="shared" si="386"/>
        <v>864</v>
      </c>
      <c r="U2326" s="91">
        <f t="shared" si="387"/>
        <v>0</v>
      </c>
      <c r="V2326" s="91">
        <f t="shared" si="388"/>
        <v>0</v>
      </c>
      <c r="W2326" s="91">
        <v>0</v>
      </c>
      <c r="X2326" s="255">
        <f t="shared" si="389"/>
        <v>46153.883449074077</v>
      </c>
    </row>
    <row r="2327" spans="1:24" s="118" customFormat="1" ht="26.5" hidden="1" x14ac:dyDescent="0.35">
      <c r="A2327" s="71">
        <f t="shared" si="390"/>
        <v>46153.883449074077</v>
      </c>
      <c r="B2327" s="71"/>
      <c r="C2327" s="71"/>
      <c r="D2327" s="71"/>
      <c r="E2327" s="47" t="s">
        <v>134</v>
      </c>
      <c r="F2327" s="69" t="s">
        <v>1237</v>
      </c>
      <c r="G2327" s="69"/>
      <c r="H2327" s="98" t="s">
        <v>1238</v>
      </c>
      <c r="I2327" s="97" t="s">
        <v>1239</v>
      </c>
      <c r="J2327" s="51" t="s">
        <v>140</v>
      </c>
      <c r="K2327" s="91">
        <v>0</v>
      </c>
      <c r="L2327" s="91">
        <v>0</v>
      </c>
      <c r="M2327" s="92">
        <v>100</v>
      </c>
      <c r="N2327" s="94">
        <v>250</v>
      </c>
      <c r="O2327" s="253">
        <v>1</v>
      </c>
      <c r="P2327" s="94">
        <f t="shared" si="384"/>
        <v>250</v>
      </c>
      <c r="Q2327" s="94"/>
      <c r="R2327" s="92">
        <v>250</v>
      </c>
      <c r="S2327" s="92">
        <f t="shared" si="385"/>
        <v>0</v>
      </c>
      <c r="T2327" s="254">
        <f t="shared" si="386"/>
        <v>864</v>
      </c>
      <c r="U2327" s="91">
        <f t="shared" si="387"/>
        <v>0</v>
      </c>
      <c r="V2327" s="91">
        <f t="shared" si="388"/>
        <v>0</v>
      </c>
      <c r="W2327" s="91">
        <v>0</v>
      </c>
      <c r="X2327" s="255">
        <f t="shared" si="389"/>
        <v>46153.883449074077</v>
      </c>
    </row>
    <row r="2328" spans="1:24" s="118" customFormat="1" ht="39.5" hidden="1" x14ac:dyDescent="0.35">
      <c r="A2328" s="71">
        <f t="shared" si="390"/>
        <v>46153.883449074077</v>
      </c>
      <c r="B2328" s="71"/>
      <c r="C2328" s="71"/>
      <c r="D2328" s="71"/>
      <c r="E2328" s="47" t="s">
        <v>134</v>
      </c>
      <c r="F2328" s="69" t="s">
        <v>329</v>
      </c>
      <c r="G2328" s="69"/>
      <c r="H2328" s="98" t="s">
        <v>1240</v>
      </c>
      <c r="I2328" s="97" t="s">
        <v>1241</v>
      </c>
      <c r="J2328" s="51" t="s">
        <v>140</v>
      </c>
      <c r="K2328" s="91">
        <v>0</v>
      </c>
      <c r="L2328" s="91">
        <v>0</v>
      </c>
      <c r="M2328" s="92">
        <v>100</v>
      </c>
      <c r="N2328" s="94">
        <v>700</v>
      </c>
      <c r="O2328" s="253">
        <v>1</v>
      </c>
      <c r="P2328" s="94">
        <f t="shared" si="384"/>
        <v>700</v>
      </c>
      <c r="Q2328" s="94"/>
      <c r="R2328" s="92">
        <v>700</v>
      </c>
      <c r="S2328" s="92">
        <f t="shared" si="385"/>
        <v>0</v>
      </c>
      <c r="T2328" s="254">
        <f t="shared" si="386"/>
        <v>864</v>
      </c>
      <c r="U2328" s="91">
        <f t="shared" si="387"/>
        <v>0</v>
      </c>
      <c r="V2328" s="91">
        <f t="shared" si="388"/>
        <v>0</v>
      </c>
      <c r="W2328" s="91">
        <v>0</v>
      </c>
      <c r="X2328" s="255">
        <f t="shared" si="389"/>
        <v>46153.883449074077</v>
      </c>
    </row>
    <row r="2329" spans="1:24" s="118" customFormat="1" ht="26.5" hidden="1" x14ac:dyDescent="0.35">
      <c r="A2329" s="71">
        <f t="shared" si="390"/>
        <v>46153.883449074077</v>
      </c>
      <c r="B2329" s="71"/>
      <c r="C2329" s="71"/>
      <c r="D2329" s="71"/>
      <c r="E2329" s="47" t="s">
        <v>134</v>
      </c>
      <c r="F2329" s="82" t="s">
        <v>329</v>
      </c>
      <c r="G2329" s="82"/>
      <c r="H2329" s="107" t="s">
        <v>1242</v>
      </c>
      <c r="I2329" s="71" t="s">
        <v>999</v>
      </c>
      <c r="J2329" s="51" t="s">
        <v>140</v>
      </c>
      <c r="K2329" s="91">
        <v>0</v>
      </c>
      <c r="L2329" s="91">
        <v>0</v>
      </c>
      <c r="M2329" s="92">
        <v>270</v>
      </c>
      <c r="N2329" s="344">
        <v>300</v>
      </c>
      <c r="O2329" s="253">
        <v>1</v>
      </c>
      <c r="P2329" s="94">
        <f t="shared" si="384"/>
        <v>300</v>
      </c>
      <c r="Q2329" s="94"/>
      <c r="R2329" s="345">
        <v>300</v>
      </c>
      <c r="S2329" s="92">
        <f t="shared" si="385"/>
        <v>0</v>
      </c>
      <c r="T2329" s="254">
        <f t="shared" si="386"/>
        <v>320</v>
      </c>
      <c r="U2329" s="91">
        <f t="shared" si="387"/>
        <v>0</v>
      </c>
      <c r="V2329" s="91">
        <f t="shared" si="388"/>
        <v>0</v>
      </c>
      <c r="W2329" s="91">
        <v>0</v>
      </c>
      <c r="X2329" s="255">
        <f t="shared" si="389"/>
        <v>46153.883449074077</v>
      </c>
    </row>
    <row r="2330" spans="1:24" s="118" customFormat="1" hidden="1" x14ac:dyDescent="0.35">
      <c r="A2330" s="71">
        <f t="shared" si="390"/>
        <v>46153.883449074077</v>
      </c>
      <c r="B2330" s="71"/>
      <c r="C2330" s="71"/>
      <c r="D2330" s="71"/>
      <c r="E2330" s="296" t="s">
        <v>1243</v>
      </c>
      <c r="F2330" s="366" t="s">
        <v>14</v>
      </c>
      <c r="G2330" s="366"/>
      <c r="H2330" s="298" t="s">
        <v>14</v>
      </c>
      <c r="I2330" s="297" t="s">
        <v>1244</v>
      </c>
      <c r="J2330" s="351" t="s">
        <v>140</v>
      </c>
      <c r="K2330" s="352">
        <v>0</v>
      </c>
      <c r="L2330" s="352">
        <v>0</v>
      </c>
      <c r="M2330" s="353">
        <v>60</v>
      </c>
      <c r="N2330" s="354">
        <v>50</v>
      </c>
      <c r="O2330" s="355">
        <v>2</v>
      </c>
      <c r="P2330" s="354">
        <f t="shared" si="384"/>
        <v>25</v>
      </c>
      <c r="Q2330" s="354"/>
      <c r="R2330" s="353">
        <v>25</v>
      </c>
      <c r="S2330" s="353">
        <f t="shared" si="385"/>
        <v>0</v>
      </c>
      <c r="T2330" s="356">
        <f t="shared" si="386"/>
        <v>2880</v>
      </c>
      <c r="U2330" s="352">
        <f t="shared" si="387"/>
        <v>0</v>
      </c>
      <c r="V2330" s="352">
        <f t="shared" si="388"/>
        <v>0</v>
      </c>
      <c r="W2330" s="352">
        <v>0</v>
      </c>
      <c r="X2330" s="255">
        <f t="shared" si="389"/>
        <v>46153.883449074077</v>
      </c>
    </row>
    <row r="2331" spans="1:24" s="118" customFormat="1" hidden="1" x14ac:dyDescent="0.35">
      <c r="A2331" s="71">
        <f t="shared" si="390"/>
        <v>46153.883449074077</v>
      </c>
      <c r="B2331" s="71"/>
      <c r="C2331" s="71"/>
      <c r="D2331" s="71"/>
      <c r="E2331" s="47" t="s">
        <v>43</v>
      </c>
      <c r="F2331" s="82" t="s">
        <v>220</v>
      </c>
      <c r="G2331" s="82"/>
      <c r="H2331" s="98" t="s">
        <v>1245</v>
      </c>
      <c r="I2331" s="104" t="s">
        <v>222</v>
      </c>
      <c r="J2331" s="104" t="s">
        <v>140</v>
      </c>
      <c r="K2331" s="91">
        <v>0</v>
      </c>
      <c r="L2331" s="91">
        <v>0</v>
      </c>
      <c r="M2331" s="92">
        <v>100</v>
      </c>
      <c r="N2331" s="94">
        <v>2000</v>
      </c>
      <c r="O2331" s="253">
        <v>1</v>
      </c>
      <c r="P2331" s="94">
        <f t="shared" si="384"/>
        <v>2000</v>
      </c>
      <c r="Q2331" s="94"/>
      <c r="R2331" s="92">
        <v>2000</v>
      </c>
      <c r="S2331" s="92">
        <f t="shared" si="385"/>
        <v>0</v>
      </c>
      <c r="T2331" s="254">
        <f t="shared" si="386"/>
        <v>864</v>
      </c>
      <c r="U2331" s="91">
        <f t="shared" si="387"/>
        <v>0</v>
      </c>
      <c r="V2331" s="91">
        <f t="shared" si="388"/>
        <v>0</v>
      </c>
      <c r="W2331" s="91">
        <v>0</v>
      </c>
      <c r="X2331" s="255">
        <f t="shared" si="389"/>
        <v>46153.883449074077</v>
      </c>
    </row>
    <row r="2332" spans="1:24" s="118" customFormat="1" hidden="1" x14ac:dyDescent="0.35">
      <c r="A2332" s="71">
        <f t="shared" si="390"/>
        <v>46153.883449074077</v>
      </c>
      <c r="B2332" s="71"/>
      <c r="C2332" s="71"/>
      <c r="D2332" s="71"/>
      <c r="E2332" s="296" t="s">
        <v>134</v>
      </c>
      <c r="F2332" s="366" t="s">
        <v>14</v>
      </c>
      <c r="G2332" s="366"/>
      <c r="H2332" s="298" t="s">
        <v>14</v>
      </c>
      <c r="I2332" s="297" t="s">
        <v>1246</v>
      </c>
      <c r="J2332" s="351" t="s">
        <v>140</v>
      </c>
      <c r="K2332" s="352">
        <v>0</v>
      </c>
      <c r="L2332" s="352">
        <v>0</v>
      </c>
      <c r="M2332" s="353">
        <v>60</v>
      </c>
      <c r="N2332" s="354">
        <v>50</v>
      </c>
      <c r="O2332" s="355">
        <v>2</v>
      </c>
      <c r="P2332" s="354">
        <f t="shared" si="384"/>
        <v>25</v>
      </c>
      <c r="Q2332" s="354"/>
      <c r="R2332" s="353">
        <v>25</v>
      </c>
      <c r="S2332" s="353">
        <f t="shared" si="385"/>
        <v>0</v>
      </c>
      <c r="T2332" s="356">
        <f t="shared" si="386"/>
        <v>2880</v>
      </c>
      <c r="U2332" s="352">
        <f t="shared" si="387"/>
        <v>0</v>
      </c>
      <c r="V2332" s="352">
        <f t="shared" si="388"/>
        <v>0</v>
      </c>
      <c r="W2332" s="352">
        <v>0</v>
      </c>
      <c r="X2332" s="255">
        <f t="shared" si="389"/>
        <v>46153.883449074077</v>
      </c>
    </row>
    <row r="2333" spans="1:24" s="118" customFormat="1" ht="26.5" hidden="1" x14ac:dyDescent="0.35">
      <c r="A2333" s="71">
        <f t="shared" si="390"/>
        <v>46153.883449074077</v>
      </c>
      <c r="B2333" s="71"/>
      <c r="C2333" s="71"/>
      <c r="D2333" s="71"/>
      <c r="E2333" s="47" t="s">
        <v>134</v>
      </c>
      <c r="F2333" s="82" t="s">
        <v>1247</v>
      </c>
      <c r="G2333" s="82"/>
      <c r="H2333" s="98" t="s">
        <v>1248</v>
      </c>
      <c r="I2333" s="82" t="s">
        <v>164</v>
      </c>
      <c r="J2333" s="51" t="s">
        <v>140</v>
      </c>
      <c r="K2333" s="91">
        <v>0</v>
      </c>
      <c r="L2333" s="91">
        <v>0</v>
      </c>
      <c r="M2333" s="92">
        <v>120</v>
      </c>
      <c r="N2333" s="94">
        <v>2000</v>
      </c>
      <c r="O2333" s="253">
        <v>1</v>
      </c>
      <c r="P2333" s="94">
        <f t="shared" si="384"/>
        <v>2000</v>
      </c>
      <c r="Q2333" s="94"/>
      <c r="R2333" s="92">
        <v>2000</v>
      </c>
      <c r="S2333" s="92">
        <f t="shared" si="385"/>
        <v>0</v>
      </c>
      <c r="T2333" s="254">
        <f t="shared" si="386"/>
        <v>720</v>
      </c>
      <c r="U2333" s="91">
        <f t="shared" si="387"/>
        <v>0</v>
      </c>
      <c r="V2333" s="91">
        <f t="shared" si="388"/>
        <v>0</v>
      </c>
      <c r="W2333" s="91">
        <v>0</v>
      </c>
      <c r="X2333" s="255">
        <f t="shared" si="389"/>
        <v>46153.883449074077</v>
      </c>
    </row>
    <row r="2334" spans="1:24" s="118" customFormat="1" ht="26.5" hidden="1" x14ac:dyDescent="0.35">
      <c r="A2334" s="71">
        <f t="shared" si="390"/>
        <v>46153.883449074077</v>
      </c>
      <c r="B2334" s="71"/>
      <c r="C2334" s="71"/>
      <c r="D2334" s="71"/>
      <c r="E2334" s="47" t="s">
        <v>134</v>
      </c>
      <c r="F2334" s="82" t="s">
        <v>1249</v>
      </c>
      <c r="G2334" s="82"/>
      <c r="H2334" s="98" t="s">
        <v>1250</v>
      </c>
      <c r="I2334" s="82" t="s">
        <v>164</v>
      </c>
      <c r="J2334" s="51" t="s">
        <v>283</v>
      </c>
      <c r="K2334" s="91">
        <v>0</v>
      </c>
      <c r="L2334" s="91">
        <v>0</v>
      </c>
      <c r="M2334" s="92">
        <v>120</v>
      </c>
      <c r="N2334" s="94">
        <v>2772</v>
      </c>
      <c r="O2334" s="253">
        <v>1</v>
      </c>
      <c r="P2334" s="94">
        <f t="shared" si="384"/>
        <v>2772</v>
      </c>
      <c r="Q2334" s="94"/>
      <c r="R2334" s="92">
        <v>2772</v>
      </c>
      <c r="S2334" s="92">
        <f t="shared" si="385"/>
        <v>0</v>
      </c>
      <c r="T2334" s="254">
        <f t="shared" si="386"/>
        <v>720</v>
      </c>
      <c r="U2334" s="91">
        <f t="shared" si="387"/>
        <v>0</v>
      </c>
      <c r="V2334" s="91">
        <f t="shared" si="388"/>
        <v>0</v>
      </c>
      <c r="W2334" s="91">
        <v>0</v>
      </c>
      <c r="X2334" s="255">
        <f t="shared" si="389"/>
        <v>46153.883449074077</v>
      </c>
    </row>
    <row r="2335" spans="1:24" s="118" customFormat="1" hidden="1" x14ac:dyDescent="0.35">
      <c r="A2335" s="71">
        <f t="shared" si="390"/>
        <v>46153.883449074077</v>
      </c>
      <c r="B2335" s="71"/>
      <c r="C2335" s="71"/>
      <c r="D2335" s="71"/>
      <c r="E2335" s="119" t="s">
        <v>134</v>
      </c>
      <c r="F2335" s="97" t="s">
        <v>1251</v>
      </c>
      <c r="G2335" s="97"/>
      <c r="H2335" s="98" t="s">
        <v>1252</v>
      </c>
      <c r="I2335" s="106" t="s">
        <v>710</v>
      </c>
      <c r="J2335" s="100" t="s">
        <v>140</v>
      </c>
      <c r="K2335" s="101">
        <v>0</v>
      </c>
      <c r="L2335" s="101">
        <v>0</v>
      </c>
      <c r="M2335" s="102">
        <v>105</v>
      </c>
      <c r="N2335" s="103">
        <v>200</v>
      </c>
      <c r="O2335" s="171">
        <v>1</v>
      </c>
      <c r="P2335" s="103">
        <f t="shared" si="384"/>
        <v>200</v>
      </c>
      <c r="Q2335" s="103"/>
      <c r="R2335" s="102">
        <v>200</v>
      </c>
      <c r="S2335" s="102">
        <f t="shared" si="385"/>
        <v>0</v>
      </c>
      <c r="T2335" s="173">
        <f t="shared" si="386"/>
        <v>822.85714285714289</v>
      </c>
      <c r="U2335" s="101">
        <f t="shared" si="387"/>
        <v>0</v>
      </c>
      <c r="V2335" s="101">
        <f t="shared" si="388"/>
        <v>0</v>
      </c>
      <c r="W2335" s="101">
        <v>0</v>
      </c>
      <c r="X2335" s="255">
        <f t="shared" si="389"/>
        <v>46153.883449074077</v>
      </c>
    </row>
    <row r="2336" spans="1:24" s="118" customFormat="1" hidden="1" x14ac:dyDescent="0.35">
      <c r="A2336" s="71">
        <f t="shared" si="390"/>
        <v>46153.883449074077</v>
      </c>
      <c r="B2336" s="71"/>
      <c r="C2336" s="71"/>
      <c r="D2336" s="71"/>
      <c r="E2336" s="119" t="s">
        <v>134</v>
      </c>
      <c r="F2336" s="97" t="s">
        <v>1251</v>
      </c>
      <c r="G2336" s="97"/>
      <c r="H2336" s="98" t="s">
        <v>1253</v>
      </c>
      <c r="I2336" s="106" t="s">
        <v>848</v>
      </c>
      <c r="J2336" s="100" t="s">
        <v>140</v>
      </c>
      <c r="K2336" s="101">
        <v>0</v>
      </c>
      <c r="L2336" s="101">
        <v>0</v>
      </c>
      <c r="M2336" s="102">
        <v>105</v>
      </c>
      <c r="N2336" s="103">
        <v>200</v>
      </c>
      <c r="O2336" s="171">
        <v>1</v>
      </c>
      <c r="P2336" s="103">
        <f t="shared" si="384"/>
        <v>200</v>
      </c>
      <c r="Q2336" s="103"/>
      <c r="R2336" s="102">
        <v>200</v>
      </c>
      <c r="S2336" s="102">
        <f t="shared" si="385"/>
        <v>0</v>
      </c>
      <c r="T2336" s="173">
        <f t="shared" si="386"/>
        <v>822.85714285714289</v>
      </c>
      <c r="U2336" s="101">
        <f t="shared" si="387"/>
        <v>0</v>
      </c>
      <c r="V2336" s="101">
        <f t="shared" si="388"/>
        <v>0</v>
      </c>
      <c r="W2336" s="101">
        <v>0</v>
      </c>
      <c r="X2336" s="255">
        <f t="shared" si="389"/>
        <v>46153.883449074077</v>
      </c>
    </row>
    <row r="2337" spans="1:24" s="118" customFormat="1" hidden="1" x14ac:dyDescent="0.35">
      <c r="A2337" s="71">
        <f t="shared" si="390"/>
        <v>46153.883449074077</v>
      </c>
      <c r="B2337" s="71"/>
      <c r="C2337" s="71"/>
      <c r="D2337" s="71"/>
      <c r="E2337" s="119" t="s">
        <v>134</v>
      </c>
      <c r="F2337" s="97" t="s">
        <v>1251</v>
      </c>
      <c r="G2337" s="97"/>
      <c r="H2337" s="98" t="s">
        <v>1254</v>
      </c>
      <c r="I2337" s="106" t="s">
        <v>846</v>
      </c>
      <c r="J2337" s="100" t="s">
        <v>140</v>
      </c>
      <c r="K2337" s="101">
        <v>0</v>
      </c>
      <c r="L2337" s="101">
        <v>0</v>
      </c>
      <c r="M2337" s="102">
        <v>105</v>
      </c>
      <c r="N2337" s="103">
        <v>200</v>
      </c>
      <c r="O2337" s="171">
        <v>1</v>
      </c>
      <c r="P2337" s="103">
        <f t="shared" si="384"/>
        <v>200</v>
      </c>
      <c r="Q2337" s="103"/>
      <c r="R2337" s="102">
        <v>200</v>
      </c>
      <c r="S2337" s="102">
        <f t="shared" si="385"/>
        <v>0</v>
      </c>
      <c r="T2337" s="173">
        <f t="shared" si="386"/>
        <v>822.85714285714289</v>
      </c>
      <c r="U2337" s="101">
        <f t="shared" si="387"/>
        <v>0</v>
      </c>
      <c r="V2337" s="101">
        <f t="shared" si="388"/>
        <v>0</v>
      </c>
      <c r="W2337" s="101">
        <v>0</v>
      </c>
      <c r="X2337" s="255">
        <f t="shared" si="389"/>
        <v>46153.883449074077</v>
      </c>
    </row>
    <row r="2338" spans="1:24" s="118" customFormat="1" ht="26.5" hidden="1" x14ac:dyDescent="0.35">
      <c r="A2338" s="71">
        <f t="shared" si="390"/>
        <v>46153.883449074077</v>
      </c>
      <c r="B2338" s="71"/>
      <c r="C2338" s="71"/>
      <c r="D2338" s="71"/>
      <c r="E2338" s="47" t="s">
        <v>134</v>
      </c>
      <c r="F2338" s="69" t="s">
        <v>753</v>
      </c>
      <c r="G2338" s="69"/>
      <c r="H2338" s="98" t="s">
        <v>1255</v>
      </c>
      <c r="I2338" s="97" t="s">
        <v>4217</v>
      </c>
      <c r="J2338" s="51" t="s">
        <v>140</v>
      </c>
      <c r="K2338" s="91">
        <v>0</v>
      </c>
      <c r="L2338" s="91">
        <v>0</v>
      </c>
      <c r="M2338" s="92">
        <v>100</v>
      </c>
      <c r="N2338" s="94">
        <v>250</v>
      </c>
      <c r="O2338" s="253">
        <v>1</v>
      </c>
      <c r="P2338" s="94">
        <f t="shared" si="384"/>
        <v>250</v>
      </c>
      <c r="Q2338" s="94"/>
      <c r="R2338" s="92">
        <v>250</v>
      </c>
      <c r="S2338" s="92">
        <f t="shared" si="385"/>
        <v>0</v>
      </c>
      <c r="T2338" s="254">
        <f t="shared" si="386"/>
        <v>864</v>
      </c>
      <c r="U2338" s="91">
        <f t="shared" si="387"/>
        <v>0</v>
      </c>
      <c r="V2338" s="91">
        <f t="shared" si="388"/>
        <v>0</v>
      </c>
      <c r="W2338" s="91">
        <v>0</v>
      </c>
      <c r="X2338" s="255">
        <f t="shared" si="389"/>
        <v>46153.883449074077</v>
      </c>
    </row>
    <row r="2339" spans="1:24" s="118" customFormat="1" ht="26.5" hidden="1" x14ac:dyDescent="0.35">
      <c r="A2339" s="71">
        <f t="shared" si="390"/>
        <v>46153.883449074077</v>
      </c>
      <c r="B2339" s="71"/>
      <c r="C2339" s="71"/>
      <c r="D2339" s="71"/>
      <c r="E2339" s="47" t="s">
        <v>134</v>
      </c>
      <c r="F2339" s="69" t="s">
        <v>753</v>
      </c>
      <c r="G2339" s="69"/>
      <c r="H2339" s="98" t="s">
        <v>1256</v>
      </c>
      <c r="I2339" s="97" t="s">
        <v>4218</v>
      </c>
      <c r="J2339" s="51" t="s">
        <v>140</v>
      </c>
      <c r="K2339" s="91">
        <v>0</v>
      </c>
      <c r="L2339" s="91">
        <v>0</v>
      </c>
      <c r="M2339" s="92">
        <v>100</v>
      </c>
      <c r="N2339" s="94">
        <v>2300</v>
      </c>
      <c r="O2339" s="253">
        <v>1</v>
      </c>
      <c r="P2339" s="94">
        <f t="shared" ref="P2339:P2375" si="391">N2339/O2339</f>
        <v>2300</v>
      </c>
      <c r="Q2339" s="94"/>
      <c r="R2339" s="92">
        <v>2300</v>
      </c>
      <c r="S2339" s="92">
        <f t="shared" si="385"/>
        <v>0</v>
      </c>
      <c r="T2339" s="254">
        <f t="shared" si="386"/>
        <v>864</v>
      </c>
      <c r="U2339" s="91">
        <f t="shared" si="387"/>
        <v>0</v>
      </c>
      <c r="V2339" s="91">
        <f t="shared" si="388"/>
        <v>0</v>
      </c>
      <c r="W2339" s="91">
        <v>0</v>
      </c>
      <c r="X2339" s="255">
        <f t="shared" si="389"/>
        <v>46153.883449074077</v>
      </c>
    </row>
    <row r="2340" spans="1:24" s="118" customFormat="1" ht="26.5" hidden="1" x14ac:dyDescent="0.35">
      <c r="A2340" s="71">
        <f t="shared" si="390"/>
        <v>46153.883449074077</v>
      </c>
      <c r="B2340" s="71"/>
      <c r="C2340" s="71"/>
      <c r="D2340" s="71"/>
      <c r="E2340" s="47" t="s">
        <v>134</v>
      </c>
      <c r="F2340" s="82" t="s">
        <v>1257</v>
      </c>
      <c r="G2340" s="82"/>
      <c r="H2340" s="98" t="s">
        <v>1258</v>
      </c>
      <c r="I2340" s="82" t="s">
        <v>164</v>
      </c>
      <c r="J2340" s="51" t="s">
        <v>140</v>
      </c>
      <c r="K2340" s="91">
        <v>0</v>
      </c>
      <c r="L2340" s="91">
        <v>0</v>
      </c>
      <c r="M2340" s="92">
        <v>120</v>
      </c>
      <c r="N2340" s="94">
        <v>1500</v>
      </c>
      <c r="O2340" s="253">
        <v>1</v>
      </c>
      <c r="P2340" s="94">
        <f t="shared" si="391"/>
        <v>1500</v>
      </c>
      <c r="Q2340" s="94"/>
      <c r="R2340" s="92">
        <v>1500</v>
      </c>
      <c r="S2340" s="92">
        <f t="shared" si="385"/>
        <v>0</v>
      </c>
      <c r="T2340" s="254">
        <f t="shared" si="386"/>
        <v>720</v>
      </c>
      <c r="U2340" s="91">
        <f t="shared" si="387"/>
        <v>0</v>
      </c>
      <c r="V2340" s="91">
        <f t="shared" si="388"/>
        <v>0</v>
      </c>
      <c r="W2340" s="91">
        <v>0</v>
      </c>
      <c r="X2340" s="255">
        <f t="shared" si="389"/>
        <v>46153.883449074077</v>
      </c>
    </row>
    <row r="2341" spans="1:24" s="118" customFormat="1" hidden="1" x14ac:dyDescent="0.35">
      <c r="A2341" s="71">
        <f t="shared" si="390"/>
        <v>46153.883449074077</v>
      </c>
      <c r="B2341" s="71"/>
      <c r="C2341" s="71"/>
      <c r="D2341" s="71"/>
      <c r="E2341" s="47" t="s">
        <v>134</v>
      </c>
      <c r="F2341" s="82" t="s">
        <v>1257</v>
      </c>
      <c r="G2341" s="82"/>
      <c r="H2341" s="98" t="s">
        <v>1259</v>
      </c>
      <c r="I2341" s="82" t="s">
        <v>1260</v>
      </c>
      <c r="J2341" s="51" t="s">
        <v>140</v>
      </c>
      <c r="K2341" s="91">
        <v>0</v>
      </c>
      <c r="L2341" s="91">
        <v>0</v>
      </c>
      <c r="M2341" s="92">
        <v>120</v>
      </c>
      <c r="N2341" s="94">
        <v>1000</v>
      </c>
      <c r="O2341" s="253">
        <v>1</v>
      </c>
      <c r="P2341" s="94">
        <f t="shared" si="391"/>
        <v>1000</v>
      </c>
      <c r="Q2341" s="94"/>
      <c r="R2341" s="92">
        <v>1000</v>
      </c>
      <c r="S2341" s="92">
        <f t="shared" si="385"/>
        <v>0</v>
      </c>
      <c r="T2341" s="254">
        <f t="shared" si="386"/>
        <v>720</v>
      </c>
      <c r="U2341" s="91">
        <f t="shared" si="387"/>
        <v>0</v>
      </c>
      <c r="V2341" s="91">
        <f t="shared" si="388"/>
        <v>0</v>
      </c>
      <c r="W2341" s="91">
        <v>0</v>
      </c>
      <c r="X2341" s="255">
        <f t="shared" si="389"/>
        <v>46153.883449074077</v>
      </c>
    </row>
    <row r="2342" spans="1:24" s="118" customFormat="1" hidden="1" x14ac:dyDescent="0.35">
      <c r="A2342" s="71">
        <f t="shared" si="390"/>
        <v>46153.883449074077</v>
      </c>
      <c r="B2342" s="71"/>
      <c r="C2342" s="71"/>
      <c r="D2342" s="71"/>
      <c r="E2342" s="47" t="s">
        <v>134</v>
      </c>
      <c r="F2342" s="82" t="s">
        <v>290</v>
      </c>
      <c r="G2342" s="82"/>
      <c r="H2342" s="98" t="s">
        <v>1261</v>
      </c>
      <c r="I2342" s="82" t="s">
        <v>1260</v>
      </c>
      <c r="J2342" s="51" t="s">
        <v>140</v>
      </c>
      <c r="K2342" s="91">
        <v>0</v>
      </c>
      <c r="L2342" s="91">
        <v>0</v>
      </c>
      <c r="M2342" s="92">
        <v>120</v>
      </c>
      <c r="N2342" s="94">
        <v>2500</v>
      </c>
      <c r="O2342" s="253">
        <v>1</v>
      </c>
      <c r="P2342" s="94">
        <f t="shared" si="391"/>
        <v>2500</v>
      </c>
      <c r="Q2342" s="94"/>
      <c r="R2342" s="92">
        <v>2500</v>
      </c>
      <c r="S2342" s="92">
        <f t="shared" si="385"/>
        <v>0</v>
      </c>
      <c r="T2342" s="254">
        <f t="shared" si="386"/>
        <v>720</v>
      </c>
      <c r="U2342" s="91">
        <f t="shared" si="387"/>
        <v>0</v>
      </c>
      <c r="V2342" s="91">
        <f t="shared" si="388"/>
        <v>0</v>
      </c>
      <c r="W2342" s="91">
        <v>0</v>
      </c>
      <c r="X2342" s="255">
        <f t="shared" si="389"/>
        <v>46153.883449074077</v>
      </c>
    </row>
    <row r="2343" spans="1:24" s="118" customFormat="1" hidden="1" x14ac:dyDescent="0.35">
      <c r="A2343" s="71">
        <f t="shared" si="390"/>
        <v>46153.883449074077</v>
      </c>
      <c r="B2343" s="71"/>
      <c r="C2343" s="71"/>
      <c r="D2343" s="71"/>
      <c r="E2343" s="296" t="s">
        <v>134</v>
      </c>
      <c r="F2343" s="367" t="s">
        <v>1225</v>
      </c>
      <c r="G2343" s="367"/>
      <c r="H2343" s="367" t="s">
        <v>1225</v>
      </c>
      <c r="I2343" s="350" t="s">
        <v>1226</v>
      </c>
      <c r="J2343" s="351" t="s">
        <v>140</v>
      </c>
      <c r="K2343" s="352">
        <v>0</v>
      </c>
      <c r="L2343" s="352">
        <v>0</v>
      </c>
      <c r="M2343" s="353">
        <v>60</v>
      </c>
      <c r="N2343" s="354">
        <v>20</v>
      </c>
      <c r="O2343" s="355">
        <v>1</v>
      </c>
      <c r="P2343" s="354">
        <f t="shared" si="391"/>
        <v>20</v>
      </c>
      <c r="Q2343" s="354"/>
      <c r="R2343" s="353">
        <v>20</v>
      </c>
      <c r="S2343" s="353">
        <f t="shared" si="385"/>
        <v>0</v>
      </c>
      <c r="T2343" s="356">
        <f t="shared" si="386"/>
        <v>1440</v>
      </c>
      <c r="U2343" s="352">
        <f t="shared" si="387"/>
        <v>0</v>
      </c>
      <c r="V2343" s="352">
        <f t="shared" si="388"/>
        <v>0</v>
      </c>
      <c r="W2343" s="352">
        <v>0</v>
      </c>
      <c r="X2343" s="308">
        <f t="shared" si="389"/>
        <v>46153.883449074077</v>
      </c>
    </row>
    <row r="2344" spans="1:24" s="118" customFormat="1" hidden="1" x14ac:dyDescent="0.35">
      <c r="A2344" s="123">
        <f t="shared" si="390"/>
        <v>46153.883449074077</v>
      </c>
      <c r="B2344" s="123"/>
      <c r="C2344" s="123"/>
      <c r="D2344" s="123"/>
      <c r="E2344" s="124" t="s">
        <v>3225</v>
      </c>
      <c r="F2344" s="159" t="s">
        <v>220</v>
      </c>
      <c r="G2344" s="159" t="s">
        <v>315</v>
      </c>
      <c r="H2344" s="126" t="s">
        <v>3226</v>
      </c>
      <c r="I2344" s="184" t="s">
        <v>222</v>
      </c>
      <c r="J2344" s="184" t="s">
        <v>140</v>
      </c>
      <c r="K2344" s="129">
        <v>0</v>
      </c>
      <c r="L2344" s="129">
        <v>0</v>
      </c>
      <c r="M2344" s="130">
        <v>100</v>
      </c>
      <c r="N2344" s="131">
        <v>1500</v>
      </c>
      <c r="O2344" s="189">
        <v>1</v>
      </c>
      <c r="P2344" s="131">
        <f t="shared" si="391"/>
        <v>1500</v>
      </c>
      <c r="Q2344" s="131"/>
      <c r="R2344" s="176">
        <v>1500</v>
      </c>
      <c r="S2344" s="130">
        <f t="shared" si="385"/>
        <v>0</v>
      </c>
      <c r="T2344" s="242">
        <f t="shared" si="386"/>
        <v>864</v>
      </c>
      <c r="U2344" s="129">
        <f t="shared" si="387"/>
        <v>0</v>
      </c>
      <c r="V2344" s="129">
        <f t="shared" si="388"/>
        <v>0</v>
      </c>
      <c r="W2344" s="129">
        <v>0</v>
      </c>
      <c r="X2344" s="137">
        <f t="shared" si="389"/>
        <v>46153.883449074077</v>
      </c>
    </row>
    <row r="2345" spans="1:24" s="118" customFormat="1" hidden="1" x14ac:dyDescent="0.35">
      <c r="A2345" s="123">
        <f t="shared" si="390"/>
        <v>46153.883449074077</v>
      </c>
      <c r="B2345" s="123"/>
      <c r="C2345" s="123"/>
      <c r="D2345" s="123"/>
      <c r="E2345" s="124" t="s">
        <v>3225</v>
      </c>
      <c r="F2345" s="159" t="s">
        <v>220</v>
      </c>
      <c r="G2345" s="159" t="s">
        <v>315</v>
      </c>
      <c r="H2345" s="126" t="s">
        <v>3227</v>
      </c>
      <c r="I2345" s="184" t="s">
        <v>222</v>
      </c>
      <c r="J2345" s="184" t="s">
        <v>140</v>
      </c>
      <c r="K2345" s="129">
        <v>0</v>
      </c>
      <c r="L2345" s="129">
        <v>0</v>
      </c>
      <c r="M2345" s="130">
        <v>100</v>
      </c>
      <c r="N2345" s="131">
        <v>2000</v>
      </c>
      <c r="O2345" s="189">
        <v>1</v>
      </c>
      <c r="P2345" s="131">
        <f t="shared" si="391"/>
        <v>2000</v>
      </c>
      <c r="Q2345" s="131"/>
      <c r="R2345" s="176">
        <v>2000</v>
      </c>
      <c r="S2345" s="130">
        <f t="shared" si="385"/>
        <v>0</v>
      </c>
      <c r="T2345" s="242">
        <f t="shared" si="386"/>
        <v>864</v>
      </c>
      <c r="U2345" s="129">
        <f t="shared" si="387"/>
        <v>0</v>
      </c>
      <c r="V2345" s="129">
        <f t="shared" si="388"/>
        <v>0</v>
      </c>
      <c r="W2345" s="129">
        <v>0</v>
      </c>
      <c r="X2345" s="137">
        <f t="shared" si="389"/>
        <v>46153.883449074077</v>
      </c>
    </row>
    <row r="2346" spans="1:24" s="118" customFormat="1" ht="29" hidden="1" x14ac:dyDescent="0.35">
      <c r="A2346" s="161">
        <f t="shared" si="390"/>
        <v>46153.883449074077</v>
      </c>
      <c r="B2346" s="161"/>
      <c r="C2346" s="161"/>
      <c r="D2346" s="161"/>
      <c r="E2346" s="158" t="s">
        <v>3225</v>
      </c>
      <c r="F2346" s="584" t="s">
        <v>3228</v>
      </c>
      <c r="G2346" s="584" t="s">
        <v>3228</v>
      </c>
      <c r="H2346" s="610" t="s">
        <v>3229</v>
      </c>
      <c r="I2346" s="161" t="s">
        <v>3230</v>
      </c>
      <c r="J2346" s="175" t="s">
        <v>140</v>
      </c>
      <c r="K2346" s="163">
        <v>0</v>
      </c>
      <c r="L2346" s="163">
        <v>0</v>
      </c>
      <c r="M2346" s="164">
        <v>270</v>
      </c>
      <c r="N2346" s="678">
        <v>300</v>
      </c>
      <c r="O2346" s="679">
        <v>1</v>
      </c>
      <c r="P2346" s="680">
        <f t="shared" si="391"/>
        <v>300</v>
      </c>
      <c r="Q2346" s="680"/>
      <c r="R2346" s="681">
        <v>300</v>
      </c>
      <c r="S2346" s="682">
        <f t="shared" si="385"/>
        <v>0</v>
      </c>
      <c r="T2346" s="587">
        <f t="shared" si="386"/>
        <v>320</v>
      </c>
      <c r="U2346" s="570">
        <f t="shared" si="387"/>
        <v>0</v>
      </c>
      <c r="V2346" s="570">
        <f t="shared" si="388"/>
        <v>0</v>
      </c>
      <c r="W2346" s="570">
        <v>0</v>
      </c>
      <c r="X2346" s="169">
        <f t="shared" si="389"/>
        <v>46153.883449074077</v>
      </c>
    </row>
    <row r="2347" spans="1:24" s="118" customFormat="1" hidden="1" x14ac:dyDescent="0.35">
      <c r="A2347" s="683">
        <f t="shared" si="390"/>
        <v>46153.883449074077</v>
      </c>
      <c r="B2347" s="683"/>
      <c r="C2347" s="683"/>
      <c r="D2347" s="683"/>
      <c r="E2347" s="296" t="s">
        <v>134</v>
      </c>
      <c r="F2347" s="349" t="s">
        <v>1213</v>
      </c>
      <c r="G2347" s="349"/>
      <c r="H2347" s="349" t="s">
        <v>14</v>
      </c>
      <c r="I2347" s="350" t="s">
        <v>1214</v>
      </c>
      <c r="J2347" s="351" t="s">
        <v>140</v>
      </c>
      <c r="K2347" s="352">
        <v>0</v>
      </c>
      <c r="L2347" s="352">
        <v>0</v>
      </c>
      <c r="M2347" s="353">
        <v>60</v>
      </c>
      <c r="N2347" s="354">
        <v>100</v>
      </c>
      <c r="O2347" s="355">
        <v>1</v>
      </c>
      <c r="P2347" s="354">
        <f t="shared" si="391"/>
        <v>100</v>
      </c>
      <c r="Q2347" s="354"/>
      <c r="R2347" s="353">
        <v>100</v>
      </c>
      <c r="S2347" s="353">
        <f t="shared" si="385"/>
        <v>0</v>
      </c>
      <c r="T2347" s="356">
        <f t="shared" si="386"/>
        <v>1440</v>
      </c>
      <c r="U2347" s="352">
        <f t="shared" si="387"/>
        <v>0</v>
      </c>
      <c r="V2347" s="352">
        <f t="shared" si="388"/>
        <v>0</v>
      </c>
      <c r="W2347" s="352">
        <v>0</v>
      </c>
      <c r="X2347" s="684">
        <f t="shared" si="389"/>
        <v>46153.883449074077</v>
      </c>
    </row>
    <row r="2348" spans="1:24" hidden="1" x14ac:dyDescent="0.35">
      <c r="A2348" s="123">
        <f t="shared" si="390"/>
        <v>46153.883449074077</v>
      </c>
      <c r="B2348" s="123"/>
      <c r="C2348" s="123"/>
      <c r="D2348" s="123"/>
      <c r="E2348" s="158" t="s">
        <v>3225</v>
      </c>
      <c r="F2348" s="159" t="s">
        <v>355</v>
      </c>
      <c r="G2348" s="160" t="s">
        <v>356</v>
      </c>
      <c r="H2348" s="126" t="s">
        <v>3231</v>
      </c>
      <c r="I2348" s="159" t="s">
        <v>191</v>
      </c>
      <c r="J2348" s="175" t="s">
        <v>140</v>
      </c>
      <c r="K2348" s="163">
        <v>0</v>
      </c>
      <c r="L2348" s="163">
        <v>0</v>
      </c>
      <c r="M2348" s="164">
        <v>67</v>
      </c>
      <c r="N2348" s="165">
        <v>4200</v>
      </c>
      <c r="O2348" s="166">
        <v>1</v>
      </c>
      <c r="P2348" s="165">
        <f t="shared" si="391"/>
        <v>4200</v>
      </c>
      <c r="Q2348" s="165"/>
      <c r="R2348" s="176">
        <v>4200</v>
      </c>
      <c r="S2348" s="164">
        <f t="shared" si="385"/>
        <v>0</v>
      </c>
      <c r="T2348" s="168">
        <f t="shared" si="386"/>
        <v>1289.5522388059703</v>
      </c>
      <c r="U2348" s="163">
        <f t="shared" si="387"/>
        <v>0</v>
      </c>
      <c r="V2348" s="163">
        <f t="shared" si="388"/>
        <v>0</v>
      </c>
      <c r="W2348" s="163">
        <v>0</v>
      </c>
      <c r="X2348" s="137">
        <f t="shared" si="389"/>
        <v>46153.883449074077</v>
      </c>
    </row>
    <row r="2349" spans="1:24" hidden="1" x14ac:dyDescent="0.35">
      <c r="A2349" s="123">
        <f t="shared" si="390"/>
        <v>46153.883449074077</v>
      </c>
      <c r="B2349" s="123"/>
      <c r="C2349" s="123"/>
      <c r="D2349" s="123"/>
      <c r="E2349" s="158" t="s">
        <v>3225</v>
      </c>
      <c r="F2349" s="159" t="s">
        <v>355</v>
      </c>
      <c r="G2349" s="160" t="s">
        <v>356</v>
      </c>
      <c r="H2349" s="126" t="s">
        <v>3232</v>
      </c>
      <c r="I2349" s="159" t="s">
        <v>277</v>
      </c>
      <c r="J2349" s="175" t="s">
        <v>140</v>
      </c>
      <c r="K2349" s="163">
        <v>0</v>
      </c>
      <c r="L2349" s="163">
        <v>0</v>
      </c>
      <c r="M2349" s="164">
        <v>67</v>
      </c>
      <c r="N2349" s="165">
        <f>210*6</f>
        <v>1260</v>
      </c>
      <c r="O2349" s="166">
        <v>1</v>
      </c>
      <c r="P2349" s="165">
        <f t="shared" si="391"/>
        <v>1260</v>
      </c>
      <c r="Q2349" s="165"/>
      <c r="R2349" s="176">
        <v>1260</v>
      </c>
      <c r="S2349" s="164">
        <f t="shared" si="385"/>
        <v>0</v>
      </c>
      <c r="T2349" s="168">
        <f t="shared" si="386"/>
        <v>1289.5522388059703</v>
      </c>
      <c r="U2349" s="163">
        <f t="shared" si="387"/>
        <v>0</v>
      </c>
      <c r="V2349" s="163">
        <f t="shared" si="388"/>
        <v>0</v>
      </c>
      <c r="W2349" s="163">
        <v>0</v>
      </c>
      <c r="X2349" s="137">
        <f t="shared" si="389"/>
        <v>46153.883449074077</v>
      </c>
    </row>
    <row r="2350" spans="1:24" hidden="1" x14ac:dyDescent="0.35">
      <c r="A2350" s="123">
        <f t="shared" si="390"/>
        <v>46153.883449074077</v>
      </c>
      <c r="B2350" s="123"/>
      <c r="C2350" s="123"/>
      <c r="D2350" s="123"/>
      <c r="E2350" s="158" t="s">
        <v>3225</v>
      </c>
      <c r="F2350" s="159" t="s">
        <v>355</v>
      </c>
      <c r="G2350" s="160" t="s">
        <v>356</v>
      </c>
      <c r="H2350" s="126" t="s">
        <v>3233</v>
      </c>
      <c r="I2350" s="159" t="s">
        <v>377</v>
      </c>
      <c r="J2350" s="175" t="s">
        <v>140</v>
      </c>
      <c r="K2350" s="163">
        <v>0</v>
      </c>
      <c r="L2350" s="163">
        <v>0</v>
      </c>
      <c r="M2350" s="164">
        <v>67</v>
      </c>
      <c r="N2350" s="165">
        <v>210</v>
      </c>
      <c r="O2350" s="166">
        <v>1</v>
      </c>
      <c r="P2350" s="165">
        <f t="shared" si="391"/>
        <v>210</v>
      </c>
      <c r="Q2350" s="165"/>
      <c r="R2350" s="176">
        <v>210</v>
      </c>
      <c r="S2350" s="164">
        <f t="shared" si="385"/>
        <v>0</v>
      </c>
      <c r="T2350" s="168">
        <f t="shared" si="386"/>
        <v>1289.5522388059703</v>
      </c>
      <c r="U2350" s="163">
        <f t="shared" si="387"/>
        <v>0</v>
      </c>
      <c r="V2350" s="163">
        <f t="shared" si="388"/>
        <v>0</v>
      </c>
      <c r="W2350" s="163">
        <v>0</v>
      </c>
      <c r="X2350" s="137">
        <f t="shared" si="389"/>
        <v>46153.883449074077</v>
      </c>
    </row>
    <row r="2351" spans="1:24" hidden="1" x14ac:dyDescent="0.35">
      <c r="A2351" s="123">
        <f t="shared" si="390"/>
        <v>46153.883449074077</v>
      </c>
      <c r="B2351" s="123"/>
      <c r="C2351" s="123"/>
      <c r="D2351" s="123"/>
      <c r="E2351" s="158" t="s">
        <v>3225</v>
      </c>
      <c r="F2351" s="159" t="s">
        <v>355</v>
      </c>
      <c r="G2351" s="160" t="s">
        <v>356</v>
      </c>
      <c r="H2351" s="126" t="s">
        <v>3234</v>
      </c>
      <c r="I2351" s="159" t="s">
        <v>380</v>
      </c>
      <c r="J2351" s="175" t="s">
        <v>140</v>
      </c>
      <c r="K2351" s="163">
        <v>0</v>
      </c>
      <c r="L2351" s="163">
        <v>0</v>
      </c>
      <c r="M2351" s="164">
        <v>67</v>
      </c>
      <c r="N2351" s="165">
        <v>290</v>
      </c>
      <c r="O2351" s="166">
        <v>1</v>
      </c>
      <c r="P2351" s="165">
        <f t="shared" si="391"/>
        <v>290</v>
      </c>
      <c r="Q2351" s="165"/>
      <c r="R2351" s="176">
        <v>290</v>
      </c>
      <c r="S2351" s="164">
        <f t="shared" si="385"/>
        <v>0</v>
      </c>
      <c r="T2351" s="168">
        <f t="shared" si="386"/>
        <v>1289.5522388059703</v>
      </c>
      <c r="U2351" s="163">
        <f t="shared" si="387"/>
        <v>0</v>
      </c>
      <c r="V2351" s="163">
        <f t="shared" si="388"/>
        <v>0</v>
      </c>
      <c r="W2351" s="163">
        <v>0</v>
      </c>
      <c r="X2351" s="137">
        <f t="shared" si="389"/>
        <v>46153.883449074077</v>
      </c>
    </row>
    <row r="2352" spans="1:24" s="487" customFormat="1" ht="26.5" hidden="1" x14ac:dyDescent="0.35">
      <c r="A2352" s="123">
        <f t="shared" si="390"/>
        <v>46153.883449074077</v>
      </c>
      <c r="B2352" s="123"/>
      <c r="C2352" s="123"/>
      <c r="D2352" s="123"/>
      <c r="E2352" s="158" t="s">
        <v>3225</v>
      </c>
      <c r="F2352" s="584" t="s">
        <v>3235</v>
      </c>
      <c r="G2352" s="584" t="s">
        <v>356</v>
      </c>
      <c r="H2352" s="610" t="s">
        <v>3236</v>
      </c>
      <c r="I2352" s="161" t="s">
        <v>3230</v>
      </c>
      <c r="J2352" s="175" t="s">
        <v>140</v>
      </c>
      <c r="K2352" s="163">
        <v>0</v>
      </c>
      <c r="L2352" s="163">
        <v>0</v>
      </c>
      <c r="M2352" s="164">
        <v>270</v>
      </c>
      <c r="N2352" s="678">
        <v>3000</v>
      </c>
      <c r="O2352" s="166">
        <v>1</v>
      </c>
      <c r="P2352" s="165">
        <f t="shared" si="391"/>
        <v>3000</v>
      </c>
      <c r="Q2352" s="165"/>
      <c r="R2352" s="685">
        <v>3000</v>
      </c>
      <c r="S2352" s="164">
        <f t="shared" si="385"/>
        <v>0</v>
      </c>
      <c r="T2352" s="168">
        <f t="shared" si="386"/>
        <v>320</v>
      </c>
      <c r="U2352" s="163">
        <f t="shared" si="387"/>
        <v>0</v>
      </c>
      <c r="V2352" s="163">
        <f t="shared" si="388"/>
        <v>0</v>
      </c>
      <c r="W2352" s="163">
        <v>0</v>
      </c>
      <c r="X2352" s="169">
        <f t="shared" si="389"/>
        <v>46153.883449074077</v>
      </c>
    </row>
    <row r="2353" spans="1:24" s="487" customFormat="1" ht="26.5" hidden="1" x14ac:dyDescent="0.35">
      <c r="A2353" s="123">
        <f t="shared" si="390"/>
        <v>46153.883449074077</v>
      </c>
      <c r="B2353" s="123"/>
      <c r="C2353" s="123"/>
      <c r="D2353" s="123"/>
      <c r="E2353" s="158" t="s">
        <v>3225</v>
      </c>
      <c r="F2353" s="584" t="s">
        <v>3237</v>
      </c>
      <c r="G2353" s="584" t="s">
        <v>356</v>
      </c>
      <c r="H2353" s="610" t="s">
        <v>3238</v>
      </c>
      <c r="I2353" s="161" t="s">
        <v>3230</v>
      </c>
      <c r="J2353" s="175" t="s">
        <v>140</v>
      </c>
      <c r="K2353" s="163">
        <v>0</v>
      </c>
      <c r="L2353" s="163">
        <v>0</v>
      </c>
      <c r="M2353" s="164">
        <v>270</v>
      </c>
      <c r="N2353" s="678">
        <v>2000</v>
      </c>
      <c r="O2353" s="166">
        <v>1</v>
      </c>
      <c r="P2353" s="165">
        <f t="shared" si="391"/>
        <v>2000</v>
      </c>
      <c r="Q2353" s="165"/>
      <c r="R2353" s="685">
        <v>2000</v>
      </c>
      <c r="S2353" s="164">
        <f t="shared" si="385"/>
        <v>0</v>
      </c>
      <c r="T2353" s="168">
        <f t="shared" si="386"/>
        <v>320</v>
      </c>
      <c r="U2353" s="163">
        <f t="shared" si="387"/>
        <v>0</v>
      </c>
      <c r="V2353" s="163">
        <f t="shared" si="388"/>
        <v>0</v>
      </c>
      <c r="W2353" s="163">
        <v>0</v>
      </c>
      <c r="X2353" s="169">
        <f t="shared" si="389"/>
        <v>46153.883449074077</v>
      </c>
    </row>
    <row r="2354" spans="1:24" s="487" customFormat="1" hidden="1" x14ac:dyDescent="0.35">
      <c r="A2354" s="161">
        <f t="shared" si="390"/>
        <v>46153.883449074077</v>
      </c>
      <c r="B2354" s="161"/>
      <c r="C2354" s="161"/>
      <c r="D2354" s="161"/>
      <c r="E2354" s="124" t="s">
        <v>3225</v>
      </c>
      <c r="F2354" s="125" t="s">
        <v>367</v>
      </c>
      <c r="G2354" s="125" t="s">
        <v>359</v>
      </c>
      <c r="H2354" s="126" t="s">
        <v>3239</v>
      </c>
      <c r="I2354" s="177" t="s">
        <v>282</v>
      </c>
      <c r="J2354" s="175" t="s">
        <v>283</v>
      </c>
      <c r="K2354" s="129">
        <v>0</v>
      </c>
      <c r="L2354" s="129">
        <v>0</v>
      </c>
      <c r="M2354" s="130">
        <v>78</v>
      </c>
      <c r="N2354" s="131">
        <v>7560</v>
      </c>
      <c r="O2354" s="130">
        <v>2</v>
      </c>
      <c r="P2354" s="131">
        <f t="shared" si="391"/>
        <v>3780</v>
      </c>
      <c r="Q2354" s="131"/>
      <c r="R2354" s="130">
        <v>3780</v>
      </c>
      <c r="S2354" s="130">
        <f t="shared" si="385"/>
        <v>0</v>
      </c>
      <c r="T2354" s="164">
        <f t="shared" si="386"/>
        <v>2215.3846153846152</v>
      </c>
      <c r="U2354" s="163">
        <f t="shared" si="387"/>
        <v>0</v>
      </c>
      <c r="V2354" s="163">
        <f t="shared" si="388"/>
        <v>0</v>
      </c>
      <c r="W2354" s="163">
        <v>0</v>
      </c>
      <c r="X2354" s="137">
        <f t="shared" si="389"/>
        <v>46153.883449074077</v>
      </c>
    </row>
    <row r="2355" spans="1:24" s="487" customFormat="1" hidden="1" x14ac:dyDescent="0.35">
      <c r="A2355" s="161">
        <f t="shared" si="390"/>
        <v>46153.883449074077</v>
      </c>
      <c r="B2355" s="161"/>
      <c r="C2355" s="161"/>
      <c r="D2355" s="161"/>
      <c r="E2355" s="124" t="s">
        <v>3225</v>
      </c>
      <c r="F2355" s="125" t="s">
        <v>3240</v>
      </c>
      <c r="G2355" s="125" t="s">
        <v>359</v>
      </c>
      <c r="H2355" s="126" t="s">
        <v>3241</v>
      </c>
      <c r="I2355" s="177" t="s">
        <v>282</v>
      </c>
      <c r="J2355" s="175" t="s">
        <v>283</v>
      </c>
      <c r="K2355" s="129">
        <v>0</v>
      </c>
      <c r="L2355" s="129">
        <v>0</v>
      </c>
      <c r="M2355" s="130">
        <v>78</v>
      </c>
      <c r="N2355" s="131">
        <v>1080</v>
      </c>
      <c r="O2355" s="130">
        <v>2</v>
      </c>
      <c r="P2355" s="131">
        <f t="shared" si="391"/>
        <v>540</v>
      </c>
      <c r="Q2355" s="131"/>
      <c r="R2355" s="130">
        <v>540</v>
      </c>
      <c r="S2355" s="130">
        <f t="shared" si="385"/>
        <v>0</v>
      </c>
      <c r="T2355" s="164">
        <f t="shared" si="386"/>
        <v>2215.3846153846152</v>
      </c>
      <c r="U2355" s="163">
        <f t="shared" si="387"/>
        <v>0</v>
      </c>
      <c r="V2355" s="163">
        <f t="shared" si="388"/>
        <v>0</v>
      </c>
      <c r="W2355" s="163">
        <v>0</v>
      </c>
      <c r="X2355" s="137">
        <f t="shared" si="389"/>
        <v>46153.883449074077</v>
      </c>
    </row>
    <row r="2356" spans="1:24" s="502" customFormat="1" ht="13" hidden="1" x14ac:dyDescent="0.3">
      <c r="A2356" s="161">
        <f t="shared" si="390"/>
        <v>46153.883449074077</v>
      </c>
      <c r="B2356" s="161"/>
      <c r="C2356" s="161"/>
      <c r="D2356" s="161"/>
      <c r="E2356" s="124" t="s">
        <v>3225</v>
      </c>
      <c r="F2356" s="125" t="s">
        <v>364</v>
      </c>
      <c r="G2356" s="125" t="s">
        <v>359</v>
      </c>
      <c r="H2356" s="126" t="s">
        <v>3242</v>
      </c>
      <c r="I2356" s="177" t="s">
        <v>282</v>
      </c>
      <c r="J2356" s="175" t="s">
        <v>283</v>
      </c>
      <c r="K2356" s="129">
        <v>0</v>
      </c>
      <c r="L2356" s="129">
        <v>0</v>
      </c>
      <c r="M2356" s="130">
        <v>78</v>
      </c>
      <c r="N2356" s="131">
        <v>7560</v>
      </c>
      <c r="O2356" s="130">
        <v>2</v>
      </c>
      <c r="P2356" s="131">
        <f t="shared" si="391"/>
        <v>3780</v>
      </c>
      <c r="Q2356" s="131"/>
      <c r="R2356" s="130">
        <v>3780</v>
      </c>
      <c r="S2356" s="130">
        <f t="shared" si="385"/>
        <v>0</v>
      </c>
      <c r="T2356" s="164">
        <f t="shared" si="386"/>
        <v>2215.3846153846152</v>
      </c>
      <c r="U2356" s="163">
        <f t="shared" si="387"/>
        <v>0</v>
      </c>
      <c r="V2356" s="163">
        <f t="shared" si="388"/>
        <v>0</v>
      </c>
      <c r="W2356" s="163">
        <v>0</v>
      </c>
      <c r="X2356" s="137">
        <f t="shared" si="389"/>
        <v>46153.883449074077</v>
      </c>
    </row>
    <row r="2357" spans="1:24" s="120" customFormat="1" ht="26" hidden="1" x14ac:dyDescent="0.3">
      <c r="A2357" s="123">
        <f t="shared" si="390"/>
        <v>46153.883449074077</v>
      </c>
      <c r="B2357" s="123"/>
      <c r="C2357" s="123"/>
      <c r="D2357" s="123"/>
      <c r="E2357" s="158" t="s">
        <v>3225</v>
      </c>
      <c r="F2357" s="159" t="s">
        <v>3243</v>
      </c>
      <c r="G2357" s="159" t="s">
        <v>359</v>
      </c>
      <c r="H2357" s="188" t="s">
        <v>3244</v>
      </c>
      <c r="I2357" s="161" t="s">
        <v>3230</v>
      </c>
      <c r="J2357" s="175" t="s">
        <v>140</v>
      </c>
      <c r="K2357" s="163">
        <v>0</v>
      </c>
      <c r="L2357" s="163">
        <v>0</v>
      </c>
      <c r="M2357" s="164">
        <v>270</v>
      </c>
      <c r="N2357" s="678">
        <v>230</v>
      </c>
      <c r="O2357" s="166">
        <v>1</v>
      </c>
      <c r="P2357" s="165">
        <f t="shared" si="391"/>
        <v>230</v>
      </c>
      <c r="Q2357" s="165"/>
      <c r="R2357" s="685">
        <v>230</v>
      </c>
      <c r="S2357" s="164">
        <f t="shared" si="385"/>
        <v>0</v>
      </c>
      <c r="T2357" s="168">
        <f t="shared" si="386"/>
        <v>320</v>
      </c>
      <c r="U2357" s="163">
        <f t="shared" si="387"/>
        <v>0</v>
      </c>
      <c r="V2357" s="163">
        <f t="shared" si="388"/>
        <v>0</v>
      </c>
      <c r="W2357" s="163">
        <v>0</v>
      </c>
      <c r="X2357" s="169">
        <f t="shared" si="389"/>
        <v>46153.883449074077</v>
      </c>
    </row>
    <row r="2358" spans="1:24" s="118" customFormat="1" hidden="1" x14ac:dyDescent="0.35">
      <c r="A2358" s="123">
        <f t="shared" si="390"/>
        <v>46153.883449074077</v>
      </c>
      <c r="B2358" s="123"/>
      <c r="C2358" s="123"/>
      <c r="D2358" s="123"/>
      <c r="E2358" s="124" t="s">
        <v>3225</v>
      </c>
      <c r="F2358" s="159" t="s">
        <v>220</v>
      </c>
      <c r="G2358" s="159" t="s">
        <v>359</v>
      </c>
      <c r="H2358" s="126" t="s">
        <v>3245</v>
      </c>
      <c r="I2358" s="184" t="s">
        <v>222</v>
      </c>
      <c r="J2358" s="184" t="s">
        <v>140</v>
      </c>
      <c r="K2358" s="129">
        <v>0</v>
      </c>
      <c r="L2358" s="129">
        <v>0</v>
      </c>
      <c r="M2358" s="130">
        <v>100</v>
      </c>
      <c r="N2358" s="131">
        <v>3350</v>
      </c>
      <c r="O2358" s="130">
        <v>1</v>
      </c>
      <c r="P2358" s="131">
        <f t="shared" si="391"/>
        <v>3350</v>
      </c>
      <c r="Q2358" s="131"/>
      <c r="R2358" s="130">
        <v>3350</v>
      </c>
      <c r="S2358" s="130">
        <f t="shared" si="385"/>
        <v>0</v>
      </c>
      <c r="T2358" s="130">
        <f t="shared" si="386"/>
        <v>864</v>
      </c>
      <c r="U2358" s="129">
        <f t="shared" si="387"/>
        <v>0</v>
      </c>
      <c r="V2358" s="129">
        <f t="shared" si="388"/>
        <v>0</v>
      </c>
      <c r="W2358" s="129">
        <v>0</v>
      </c>
      <c r="X2358" s="137">
        <f t="shared" si="389"/>
        <v>46153.883449074077</v>
      </c>
    </row>
    <row r="2359" spans="1:24" s="118" customFormat="1" ht="26.5" hidden="1" x14ac:dyDescent="0.35">
      <c r="A2359" s="123">
        <f t="shared" si="390"/>
        <v>46153.883449074077</v>
      </c>
      <c r="B2359" s="123"/>
      <c r="C2359" s="123"/>
      <c r="D2359" s="123"/>
      <c r="E2359" s="158" t="s">
        <v>3225</v>
      </c>
      <c r="F2359" s="159" t="s">
        <v>3246</v>
      </c>
      <c r="G2359" s="159" t="s">
        <v>359</v>
      </c>
      <c r="H2359" s="188" t="s">
        <v>3247</v>
      </c>
      <c r="I2359" s="161" t="s">
        <v>3230</v>
      </c>
      <c r="J2359" s="175" t="s">
        <v>140</v>
      </c>
      <c r="K2359" s="163">
        <v>0</v>
      </c>
      <c r="L2359" s="163">
        <v>0</v>
      </c>
      <c r="M2359" s="164">
        <v>270</v>
      </c>
      <c r="N2359" s="678">
        <v>350</v>
      </c>
      <c r="O2359" s="166">
        <v>1</v>
      </c>
      <c r="P2359" s="165">
        <f t="shared" si="391"/>
        <v>350</v>
      </c>
      <c r="Q2359" s="165"/>
      <c r="R2359" s="685">
        <v>350</v>
      </c>
      <c r="S2359" s="164">
        <f t="shared" si="385"/>
        <v>0</v>
      </c>
      <c r="T2359" s="168">
        <f t="shared" si="386"/>
        <v>320</v>
      </c>
      <c r="U2359" s="163">
        <f t="shared" si="387"/>
        <v>0</v>
      </c>
      <c r="V2359" s="163">
        <f t="shared" si="388"/>
        <v>0</v>
      </c>
      <c r="W2359" s="163">
        <v>0</v>
      </c>
      <c r="X2359" s="169">
        <f t="shared" si="389"/>
        <v>46153.883449074077</v>
      </c>
    </row>
    <row r="2360" spans="1:24" s="186" customFormat="1" hidden="1" x14ac:dyDescent="0.35">
      <c r="A2360" s="123">
        <f t="shared" si="390"/>
        <v>46153.883449074077</v>
      </c>
      <c r="B2360" s="123"/>
      <c r="C2360" s="123"/>
      <c r="D2360" s="123"/>
      <c r="E2360" s="124" t="s">
        <v>3225</v>
      </c>
      <c r="F2360" s="159" t="s">
        <v>1890</v>
      </c>
      <c r="G2360" s="159" t="s">
        <v>386</v>
      </c>
      <c r="H2360" s="126" t="s">
        <v>3248</v>
      </c>
      <c r="I2360" s="159" t="s">
        <v>801</v>
      </c>
      <c r="J2360" s="128" t="s">
        <v>140</v>
      </c>
      <c r="K2360" s="129">
        <v>0</v>
      </c>
      <c r="L2360" s="129">
        <v>0</v>
      </c>
      <c r="M2360" s="130">
        <v>120</v>
      </c>
      <c r="N2360" s="131">
        <v>500</v>
      </c>
      <c r="O2360" s="189">
        <v>1</v>
      </c>
      <c r="P2360" s="131">
        <f t="shared" si="391"/>
        <v>500</v>
      </c>
      <c r="Q2360" s="131"/>
      <c r="R2360" s="130">
        <v>500</v>
      </c>
      <c r="S2360" s="130">
        <f t="shared" si="385"/>
        <v>0</v>
      </c>
      <c r="T2360" s="242">
        <f t="shared" si="386"/>
        <v>720</v>
      </c>
      <c r="U2360" s="129">
        <f t="shared" si="387"/>
        <v>0</v>
      </c>
      <c r="V2360" s="129">
        <f t="shared" si="388"/>
        <v>0</v>
      </c>
      <c r="W2360" s="129">
        <v>0</v>
      </c>
      <c r="X2360" s="137">
        <f t="shared" si="389"/>
        <v>46153.883449074077</v>
      </c>
    </row>
    <row r="2361" spans="1:24" s="202" customFormat="1" hidden="1" x14ac:dyDescent="0.35">
      <c r="A2361" s="123">
        <f t="shared" si="390"/>
        <v>46153.883449074077</v>
      </c>
      <c r="B2361" s="123"/>
      <c r="C2361" s="123"/>
      <c r="D2361" s="123"/>
      <c r="E2361" s="124" t="s">
        <v>3225</v>
      </c>
      <c r="F2361" s="159" t="s">
        <v>1890</v>
      </c>
      <c r="G2361" s="159" t="s">
        <v>386</v>
      </c>
      <c r="H2361" s="126" t="s">
        <v>3249</v>
      </c>
      <c r="I2361" s="159" t="s">
        <v>3250</v>
      </c>
      <c r="J2361" s="128" t="s">
        <v>140</v>
      </c>
      <c r="K2361" s="129">
        <v>0</v>
      </c>
      <c r="L2361" s="129">
        <v>0</v>
      </c>
      <c r="M2361" s="130">
        <v>120</v>
      </c>
      <c r="N2361" s="131">
        <v>200</v>
      </c>
      <c r="O2361" s="189">
        <v>1</v>
      </c>
      <c r="P2361" s="131">
        <f t="shared" si="391"/>
        <v>200</v>
      </c>
      <c r="Q2361" s="131"/>
      <c r="R2361" s="130">
        <v>200</v>
      </c>
      <c r="S2361" s="130">
        <f t="shared" si="385"/>
        <v>0</v>
      </c>
      <c r="T2361" s="242">
        <f t="shared" si="386"/>
        <v>720</v>
      </c>
      <c r="U2361" s="129">
        <f t="shared" si="387"/>
        <v>0</v>
      </c>
      <c r="V2361" s="129">
        <f t="shared" si="388"/>
        <v>0</v>
      </c>
      <c r="W2361" s="129">
        <v>0</v>
      </c>
      <c r="X2361" s="137">
        <f t="shared" si="389"/>
        <v>46153.883449074077</v>
      </c>
    </row>
    <row r="2362" spans="1:24" s="186" customFormat="1" hidden="1" x14ac:dyDescent="0.35">
      <c r="A2362" s="123">
        <f t="shared" si="390"/>
        <v>46153.883449074077</v>
      </c>
      <c r="B2362" s="123">
        <v>46059</v>
      </c>
      <c r="C2362" s="190">
        <f t="shared" ref="C2362:C2382" si="392">B2362-A2362</f>
        <v>-94.883449074077362</v>
      </c>
      <c r="D2362" s="190"/>
      <c r="E2362" s="124" t="s">
        <v>3225</v>
      </c>
      <c r="F2362" s="159" t="s">
        <v>1890</v>
      </c>
      <c r="G2362" s="159" t="s">
        <v>386</v>
      </c>
      <c r="H2362" s="126" t="s">
        <v>3251</v>
      </c>
      <c r="I2362" s="159" t="s">
        <v>1335</v>
      </c>
      <c r="J2362" s="128" t="s">
        <v>140</v>
      </c>
      <c r="K2362" s="129">
        <v>0</v>
      </c>
      <c r="L2362" s="129">
        <v>0</v>
      </c>
      <c r="M2362" s="130">
        <v>120</v>
      </c>
      <c r="N2362" s="131">
        <v>100</v>
      </c>
      <c r="O2362" s="189">
        <v>1</v>
      </c>
      <c r="P2362" s="131">
        <f t="shared" si="391"/>
        <v>100</v>
      </c>
      <c r="Q2362" s="185">
        <v>0.8</v>
      </c>
      <c r="R2362" s="130">
        <v>100</v>
      </c>
      <c r="S2362" s="164">
        <f t="shared" si="385"/>
        <v>0</v>
      </c>
      <c r="T2362" s="168">
        <f t="shared" ref="T2362:T2382" si="393">((3600/M2362)*O2362)*24*Q2362</f>
        <v>576</v>
      </c>
      <c r="U2362" s="163">
        <f t="shared" ref="U2362:U2382" si="394">(P2362-R2362)*M2362/3600/Q2362</f>
        <v>0</v>
      </c>
      <c r="V2362" s="163">
        <f t="shared" ref="V2362:V2382" si="395">U2362/24</f>
        <v>0</v>
      </c>
      <c r="W2362" s="163">
        <v>0</v>
      </c>
      <c r="X2362" s="137">
        <f t="shared" si="389"/>
        <v>46153.883449074077</v>
      </c>
    </row>
    <row r="2363" spans="1:24" s="186" customFormat="1" hidden="1" x14ac:dyDescent="0.35">
      <c r="A2363" s="161">
        <f t="shared" si="390"/>
        <v>46153.883449074077</v>
      </c>
      <c r="B2363" s="161">
        <v>46060</v>
      </c>
      <c r="C2363" s="190">
        <f t="shared" si="392"/>
        <v>-93.883449074077362</v>
      </c>
      <c r="D2363" s="190"/>
      <c r="E2363" s="124" t="s">
        <v>289</v>
      </c>
      <c r="F2363" s="159" t="s">
        <v>358</v>
      </c>
      <c r="G2363" s="584" t="s">
        <v>359</v>
      </c>
      <c r="H2363" s="262" t="s">
        <v>3252</v>
      </c>
      <c r="I2363" s="585" t="s">
        <v>1049</v>
      </c>
      <c r="J2363" s="175" t="s">
        <v>140</v>
      </c>
      <c r="K2363" s="163">
        <v>0</v>
      </c>
      <c r="L2363" s="129">
        <v>0</v>
      </c>
      <c r="M2363" s="130">
        <v>95</v>
      </c>
      <c r="N2363" s="131">
        <v>700</v>
      </c>
      <c r="O2363" s="189">
        <v>1</v>
      </c>
      <c r="P2363" s="131">
        <f t="shared" si="391"/>
        <v>700</v>
      </c>
      <c r="Q2363" s="185">
        <v>0.8</v>
      </c>
      <c r="R2363" s="176">
        <v>700</v>
      </c>
      <c r="S2363" s="164">
        <f t="shared" si="385"/>
        <v>0</v>
      </c>
      <c r="T2363" s="168">
        <f t="shared" si="393"/>
        <v>727.57894736842104</v>
      </c>
      <c r="U2363" s="163">
        <f t="shared" si="394"/>
        <v>0</v>
      </c>
      <c r="V2363" s="163">
        <f t="shared" si="395"/>
        <v>0</v>
      </c>
      <c r="W2363" s="163">
        <v>0</v>
      </c>
      <c r="X2363" s="137">
        <f t="shared" si="389"/>
        <v>46153.883449074077</v>
      </c>
    </row>
    <row r="2364" spans="1:24" s="186" customFormat="1" ht="26.5" hidden="1" x14ac:dyDescent="0.35">
      <c r="A2364" s="123">
        <f t="shared" si="390"/>
        <v>46153.883449074077</v>
      </c>
      <c r="B2364" s="123">
        <v>46069</v>
      </c>
      <c r="C2364" s="190">
        <f t="shared" si="392"/>
        <v>-84.883449074077362</v>
      </c>
      <c r="D2364" s="190"/>
      <c r="E2364" s="124" t="s">
        <v>249</v>
      </c>
      <c r="F2364" s="159" t="s">
        <v>1890</v>
      </c>
      <c r="G2364" s="159" t="s">
        <v>359</v>
      </c>
      <c r="H2364" s="126" t="s">
        <v>2808</v>
      </c>
      <c r="I2364" s="125" t="s">
        <v>2177</v>
      </c>
      <c r="J2364" s="175" t="s">
        <v>140</v>
      </c>
      <c r="K2364" s="129">
        <v>0</v>
      </c>
      <c r="L2364" s="129">
        <v>0</v>
      </c>
      <c r="M2364" s="130">
        <v>95</v>
      </c>
      <c r="N2364" s="131">
        <v>500</v>
      </c>
      <c r="O2364" s="189">
        <v>1</v>
      </c>
      <c r="P2364" s="131">
        <f t="shared" si="391"/>
        <v>500</v>
      </c>
      <c r="Q2364" s="185">
        <v>0.8</v>
      </c>
      <c r="R2364" s="176">
        <v>500</v>
      </c>
      <c r="S2364" s="164">
        <f t="shared" si="385"/>
        <v>0</v>
      </c>
      <c r="T2364" s="168">
        <f t="shared" si="393"/>
        <v>727.57894736842104</v>
      </c>
      <c r="U2364" s="163">
        <f t="shared" si="394"/>
        <v>0</v>
      </c>
      <c r="V2364" s="163">
        <f t="shared" si="395"/>
        <v>0</v>
      </c>
      <c r="W2364" s="163">
        <v>0</v>
      </c>
      <c r="X2364" s="137">
        <f t="shared" si="389"/>
        <v>46153.883449074077</v>
      </c>
    </row>
    <row r="2365" spans="1:24" s="186" customFormat="1" ht="26" hidden="1" x14ac:dyDescent="0.35">
      <c r="A2365" s="161">
        <f t="shared" si="390"/>
        <v>46153.883449074077</v>
      </c>
      <c r="B2365" s="161">
        <v>46069</v>
      </c>
      <c r="C2365" s="190">
        <f t="shared" si="392"/>
        <v>-84.883449074077362</v>
      </c>
      <c r="D2365" s="190"/>
      <c r="E2365" s="124" t="s">
        <v>289</v>
      </c>
      <c r="F2365" s="159" t="s">
        <v>358</v>
      </c>
      <c r="G2365" s="584" t="s">
        <v>359</v>
      </c>
      <c r="H2365" s="262" t="s">
        <v>3253</v>
      </c>
      <c r="I2365" s="585" t="s">
        <v>1051</v>
      </c>
      <c r="J2365" s="175" t="s">
        <v>140</v>
      </c>
      <c r="K2365" s="129">
        <v>0</v>
      </c>
      <c r="L2365" s="129">
        <v>0</v>
      </c>
      <c r="M2365" s="130">
        <v>95</v>
      </c>
      <c r="N2365" s="131">
        <v>2000</v>
      </c>
      <c r="O2365" s="189">
        <v>1</v>
      </c>
      <c r="P2365" s="131">
        <f t="shared" si="391"/>
        <v>2000</v>
      </c>
      <c r="Q2365" s="185">
        <v>0.8</v>
      </c>
      <c r="R2365" s="176">
        <v>2000</v>
      </c>
      <c r="S2365" s="164">
        <f t="shared" si="385"/>
        <v>0</v>
      </c>
      <c r="T2365" s="168">
        <f t="shared" si="393"/>
        <v>727.57894736842104</v>
      </c>
      <c r="U2365" s="163">
        <f t="shared" si="394"/>
        <v>0</v>
      </c>
      <c r="V2365" s="163">
        <f t="shared" si="395"/>
        <v>0</v>
      </c>
      <c r="W2365" s="163">
        <v>0</v>
      </c>
      <c r="X2365" s="137">
        <f t="shared" si="389"/>
        <v>46153.883449074077</v>
      </c>
    </row>
    <row r="2366" spans="1:24" s="613" customFormat="1" hidden="1" x14ac:dyDescent="0.35">
      <c r="A2366" s="161">
        <f>X448</f>
        <v>46153.968362268512</v>
      </c>
      <c r="B2366" s="161">
        <v>46084</v>
      </c>
      <c r="C2366" s="183">
        <f t="shared" si="392"/>
        <v>-69.968362268511555</v>
      </c>
      <c r="D2366" s="183"/>
      <c r="E2366" s="158" t="s">
        <v>3225</v>
      </c>
      <c r="F2366" s="125" t="s">
        <v>3254</v>
      </c>
      <c r="G2366" s="125"/>
      <c r="H2366" s="467">
        <v>13487</v>
      </c>
      <c r="I2366" s="125" t="s">
        <v>556</v>
      </c>
      <c r="J2366" s="184" t="s">
        <v>140</v>
      </c>
      <c r="K2366" s="129">
        <v>0</v>
      </c>
      <c r="L2366" s="129">
        <v>0</v>
      </c>
      <c r="M2366" s="130">
        <v>95</v>
      </c>
      <c r="N2366" s="252">
        <v>1000</v>
      </c>
      <c r="O2366" s="130">
        <v>1</v>
      </c>
      <c r="P2366" s="131">
        <f t="shared" si="391"/>
        <v>1000</v>
      </c>
      <c r="Q2366" s="185">
        <v>0.8</v>
      </c>
      <c r="R2366" s="130">
        <v>1000</v>
      </c>
      <c r="S2366" s="164">
        <f t="shared" si="385"/>
        <v>0</v>
      </c>
      <c r="T2366" s="168">
        <f t="shared" si="393"/>
        <v>727.57894736842104</v>
      </c>
      <c r="U2366" s="163">
        <f t="shared" si="394"/>
        <v>0</v>
      </c>
      <c r="V2366" s="163">
        <f t="shared" si="395"/>
        <v>0</v>
      </c>
      <c r="W2366" s="163">
        <v>0</v>
      </c>
      <c r="X2366" s="137">
        <f t="shared" si="389"/>
        <v>46153.968362268512</v>
      </c>
    </row>
    <row r="2367" spans="1:24" s="186" customFormat="1" ht="26.5" hidden="1" x14ac:dyDescent="0.35">
      <c r="A2367" s="123">
        <f t="shared" ref="A2367:A2372" si="396">X2366</f>
        <v>46153.968362268512</v>
      </c>
      <c r="B2367" s="123">
        <v>46086</v>
      </c>
      <c r="C2367" s="183">
        <f t="shared" si="392"/>
        <v>-67.968362268511555</v>
      </c>
      <c r="D2367" s="183" t="s">
        <v>3255</v>
      </c>
      <c r="E2367" s="158" t="s">
        <v>3225</v>
      </c>
      <c r="F2367" s="159" t="s">
        <v>3256</v>
      </c>
      <c r="G2367" s="159" t="s">
        <v>386</v>
      </c>
      <c r="H2367" s="188" t="s">
        <v>3257</v>
      </c>
      <c r="I2367" s="161" t="s">
        <v>3230</v>
      </c>
      <c r="J2367" s="175" t="s">
        <v>140</v>
      </c>
      <c r="K2367" s="163">
        <v>0</v>
      </c>
      <c r="L2367" s="163">
        <v>0</v>
      </c>
      <c r="M2367" s="164">
        <v>200</v>
      </c>
      <c r="N2367" s="678">
        <v>1000</v>
      </c>
      <c r="O2367" s="166">
        <v>1</v>
      </c>
      <c r="P2367" s="165">
        <f t="shared" si="391"/>
        <v>1000</v>
      </c>
      <c r="Q2367" s="185">
        <v>0.8</v>
      </c>
      <c r="R2367" s="685">
        <v>1000</v>
      </c>
      <c r="S2367" s="164">
        <f t="shared" si="385"/>
        <v>0</v>
      </c>
      <c r="T2367" s="168">
        <f t="shared" si="393"/>
        <v>345.6</v>
      </c>
      <c r="U2367" s="163">
        <f t="shared" si="394"/>
        <v>0</v>
      </c>
      <c r="V2367" s="163">
        <f t="shared" si="395"/>
        <v>0</v>
      </c>
      <c r="W2367" s="163">
        <v>0</v>
      </c>
      <c r="X2367" s="169">
        <f t="shared" si="389"/>
        <v>46153.968362268512</v>
      </c>
    </row>
    <row r="2368" spans="1:24" s="186" customFormat="1" ht="26.5" hidden="1" x14ac:dyDescent="0.35">
      <c r="A2368" s="123">
        <f t="shared" si="396"/>
        <v>46153.968362268512</v>
      </c>
      <c r="B2368" s="123">
        <v>46096</v>
      </c>
      <c r="C2368" s="183">
        <f t="shared" si="392"/>
        <v>-57.968362268511555</v>
      </c>
      <c r="D2368" s="183" t="s">
        <v>3255</v>
      </c>
      <c r="E2368" s="158" t="s">
        <v>3225</v>
      </c>
      <c r="F2368" s="159" t="s">
        <v>3258</v>
      </c>
      <c r="G2368" s="159" t="s">
        <v>386</v>
      </c>
      <c r="H2368" s="188" t="s">
        <v>3259</v>
      </c>
      <c r="I2368" s="161" t="s">
        <v>3230</v>
      </c>
      <c r="J2368" s="175" t="s">
        <v>140</v>
      </c>
      <c r="K2368" s="163">
        <v>0</v>
      </c>
      <c r="L2368" s="163">
        <v>0</v>
      </c>
      <c r="M2368" s="164">
        <v>200</v>
      </c>
      <c r="N2368" s="678">
        <v>1400</v>
      </c>
      <c r="O2368" s="166">
        <v>1</v>
      </c>
      <c r="P2368" s="165">
        <f t="shared" si="391"/>
        <v>1400</v>
      </c>
      <c r="Q2368" s="185">
        <v>0.8</v>
      </c>
      <c r="R2368" s="685">
        <v>1400</v>
      </c>
      <c r="S2368" s="164">
        <f t="shared" si="385"/>
        <v>0</v>
      </c>
      <c r="T2368" s="168">
        <f t="shared" si="393"/>
        <v>345.6</v>
      </c>
      <c r="U2368" s="163">
        <f t="shared" si="394"/>
        <v>0</v>
      </c>
      <c r="V2368" s="163">
        <f t="shared" si="395"/>
        <v>0</v>
      </c>
      <c r="W2368" s="163">
        <v>0</v>
      </c>
      <c r="X2368" s="169">
        <f t="shared" si="389"/>
        <v>46153.968362268512</v>
      </c>
    </row>
    <row r="2369" spans="1:24" s="186" customFormat="1" hidden="1" x14ac:dyDescent="0.35">
      <c r="A2369" s="161">
        <f t="shared" si="396"/>
        <v>46153.968362268512</v>
      </c>
      <c r="B2369" s="123">
        <v>46107</v>
      </c>
      <c r="C2369" s="190">
        <f t="shared" si="392"/>
        <v>-46.968362268511555</v>
      </c>
      <c r="D2369" s="123"/>
      <c r="E2369" s="158" t="s">
        <v>3225</v>
      </c>
      <c r="F2369" s="159" t="s">
        <v>871</v>
      </c>
      <c r="G2369" s="159" t="s">
        <v>398</v>
      </c>
      <c r="H2369" s="126" t="s">
        <v>3260</v>
      </c>
      <c r="I2369" s="547" t="s">
        <v>183</v>
      </c>
      <c r="J2369" s="128" t="s">
        <v>140</v>
      </c>
      <c r="K2369" s="129">
        <v>0</v>
      </c>
      <c r="L2369" s="129">
        <v>0</v>
      </c>
      <c r="M2369" s="130">
        <v>75</v>
      </c>
      <c r="N2369" s="131">
        <v>250</v>
      </c>
      <c r="O2369" s="189">
        <v>1</v>
      </c>
      <c r="P2369" s="131">
        <f t="shared" si="391"/>
        <v>250</v>
      </c>
      <c r="Q2369" s="185">
        <v>0.8</v>
      </c>
      <c r="R2369" s="176">
        <v>250</v>
      </c>
      <c r="S2369" s="164">
        <f t="shared" si="385"/>
        <v>0</v>
      </c>
      <c r="T2369" s="168">
        <f t="shared" si="393"/>
        <v>921.6</v>
      </c>
      <c r="U2369" s="163">
        <f t="shared" si="394"/>
        <v>0</v>
      </c>
      <c r="V2369" s="163">
        <f t="shared" si="395"/>
        <v>0</v>
      </c>
      <c r="W2369" s="163">
        <v>0</v>
      </c>
      <c r="X2369" s="137">
        <f t="shared" si="389"/>
        <v>46153.968362268512</v>
      </c>
    </row>
    <row r="2370" spans="1:24" s="186" customFormat="1" hidden="1" x14ac:dyDescent="0.35">
      <c r="A2370" s="161">
        <f t="shared" si="396"/>
        <v>46153.968362268512</v>
      </c>
      <c r="B2370" s="123">
        <v>46108</v>
      </c>
      <c r="C2370" s="190">
        <f t="shared" si="392"/>
        <v>-45.968362268511555</v>
      </c>
      <c r="D2370" s="123"/>
      <c r="E2370" s="158" t="s">
        <v>3225</v>
      </c>
      <c r="F2370" s="159" t="s">
        <v>871</v>
      </c>
      <c r="G2370" s="159" t="s">
        <v>398</v>
      </c>
      <c r="H2370" s="126" t="s">
        <v>3261</v>
      </c>
      <c r="I2370" s="547" t="s">
        <v>148</v>
      </c>
      <c r="J2370" s="128" t="s">
        <v>140</v>
      </c>
      <c r="K2370" s="129">
        <v>0</v>
      </c>
      <c r="L2370" s="129">
        <v>0</v>
      </c>
      <c r="M2370" s="130">
        <v>75</v>
      </c>
      <c r="N2370" s="131">
        <v>250</v>
      </c>
      <c r="O2370" s="189">
        <v>1</v>
      </c>
      <c r="P2370" s="131">
        <f t="shared" si="391"/>
        <v>250</v>
      </c>
      <c r="Q2370" s="185">
        <v>0.8</v>
      </c>
      <c r="R2370" s="176">
        <v>250</v>
      </c>
      <c r="S2370" s="164">
        <f t="shared" si="385"/>
        <v>0</v>
      </c>
      <c r="T2370" s="168">
        <f t="shared" si="393"/>
        <v>921.6</v>
      </c>
      <c r="U2370" s="163">
        <f t="shared" si="394"/>
        <v>0</v>
      </c>
      <c r="V2370" s="163">
        <f t="shared" si="395"/>
        <v>0</v>
      </c>
      <c r="W2370" s="163">
        <v>0</v>
      </c>
      <c r="X2370" s="137">
        <f t="shared" si="389"/>
        <v>46153.968362268512</v>
      </c>
    </row>
    <row r="2371" spans="1:24" s="186" customFormat="1" hidden="1" x14ac:dyDescent="0.35">
      <c r="A2371" s="161">
        <f t="shared" si="396"/>
        <v>46153.968362268512</v>
      </c>
      <c r="B2371" s="123">
        <v>46108</v>
      </c>
      <c r="C2371" s="190">
        <f t="shared" si="392"/>
        <v>-45.968362268511555</v>
      </c>
      <c r="D2371" s="123"/>
      <c r="E2371" s="158" t="s">
        <v>3225</v>
      </c>
      <c r="F2371" s="159" t="s">
        <v>871</v>
      </c>
      <c r="G2371" s="159" t="s">
        <v>398</v>
      </c>
      <c r="H2371" s="126" t="s">
        <v>3262</v>
      </c>
      <c r="I2371" s="547" t="s">
        <v>1394</v>
      </c>
      <c r="J2371" s="128" t="s">
        <v>140</v>
      </c>
      <c r="K2371" s="129">
        <v>0</v>
      </c>
      <c r="L2371" s="129">
        <v>0</v>
      </c>
      <c r="M2371" s="130">
        <v>75</v>
      </c>
      <c r="N2371" s="131">
        <v>500</v>
      </c>
      <c r="O2371" s="189">
        <v>1</v>
      </c>
      <c r="P2371" s="131">
        <f t="shared" si="391"/>
        <v>500</v>
      </c>
      <c r="Q2371" s="185">
        <v>0.8</v>
      </c>
      <c r="R2371" s="176">
        <v>500</v>
      </c>
      <c r="S2371" s="164">
        <f t="shared" si="385"/>
        <v>0</v>
      </c>
      <c r="T2371" s="168">
        <f t="shared" si="393"/>
        <v>921.6</v>
      </c>
      <c r="U2371" s="163">
        <f t="shared" si="394"/>
        <v>0</v>
      </c>
      <c r="V2371" s="163">
        <f t="shared" si="395"/>
        <v>0</v>
      </c>
      <c r="W2371" s="163">
        <v>0</v>
      </c>
      <c r="X2371" s="137">
        <f t="shared" si="389"/>
        <v>46153.968362268512</v>
      </c>
    </row>
    <row r="2372" spans="1:24" s="186" customFormat="1" hidden="1" x14ac:dyDescent="0.35">
      <c r="A2372" s="161">
        <f t="shared" si="396"/>
        <v>46153.968362268512</v>
      </c>
      <c r="B2372" s="123">
        <v>46110</v>
      </c>
      <c r="C2372" s="190">
        <f t="shared" si="392"/>
        <v>-43.968362268511555</v>
      </c>
      <c r="D2372" s="123"/>
      <c r="E2372" s="158" t="s">
        <v>3225</v>
      </c>
      <c r="F2372" s="159" t="s">
        <v>871</v>
      </c>
      <c r="G2372" s="159" t="s">
        <v>398</v>
      </c>
      <c r="H2372" s="126" t="s">
        <v>3263</v>
      </c>
      <c r="I2372" s="547" t="s">
        <v>2210</v>
      </c>
      <c r="J2372" s="128" t="s">
        <v>140</v>
      </c>
      <c r="K2372" s="129">
        <v>0</v>
      </c>
      <c r="L2372" s="129">
        <v>0</v>
      </c>
      <c r="M2372" s="130">
        <v>75</v>
      </c>
      <c r="N2372" s="131">
        <v>250</v>
      </c>
      <c r="O2372" s="189">
        <v>1</v>
      </c>
      <c r="P2372" s="131">
        <f t="shared" si="391"/>
        <v>250</v>
      </c>
      <c r="Q2372" s="185">
        <v>0.8</v>
      </c>
      <c r="R2372" s="176">
        <v>250</v>
      </c>
      <c r="S2372" s="164">
        <f t="shared" si="385"/>
        <v>0</v>
      </c>
      <c r="T2372" s="168">
        <f t="shared" si="393"/>
        <v>921.6</v>
      </c>
      <c r="U2372" s="163">
        <f t="shared" si="394"/>
        <v>0</v>
      </c>
      <c r="V2372" s="163">
        <f t="shared" si="395"/>
        <v>0</v>
      </c>
      <c r="W2372" s="163">
        <v>0</v>
      </c>
      <c r="X2372" s="137">
        <f t="shared" si="389"/>
        <v>46153.968362268512</v>
      </c>
    </row>
    <row r="2373" spans="1:24" s="179" customFormat="1" hidden="1" x14ac:dyDescent="0.35">
      <c r="A2373" s="161">
        <f>X2370</f>
        <v>46153.968362268512</v>
      </c>
      <c r="B2373" s="123">
        <v>46107</v>
      </c>
      <c r="C2373" s="190">
        <f t="shared" si="392"/>
        <v>-46.968362268511555</v>
      </c>
      <c r="D2373" s="123"/>
      <c r="E2373" s="158" t="s">
        <v>3225</v>
      </c>
      <c r="F2373" s="159" t="s">
        <v>871</v>
      </c>
      <c r="G2373" s="159" t="s">
        <v>398</v>
      </c>
      <c r="H2373" s="126" t="s">
        <v>3264</v>
      </c>
      <c r="I2373" s="547" t="s">
        <v>145</v>
      </c>
      <c r="J2373" s="128" t="s">
        <v>140</v>
      </c>
      <c r="K2373" s="129">
        <v>0</v>
      </c>
      <c r="L2373" s="129">
        <v>0</v>
      </c>
      <c r="M2373" s="130">
        <v>75</v>
      </c>
      <c r="N2373" s="131">
        <v>500</v>
      </c>
      <c r="O2373" s="189">
        <v>1</v>
      </c>
      <c r="P2373" s="131">
        <f t="shared" si="391"/>
        <v>500</v>
      </c>
      <c r="Q2373" s="185">
        <v>0.8</v>
      </c>
      <c r="R2373" s="176">
        <v>500</v>
      </c>
      <c r="S2373" s="164">
        <f t="shared" si="385"/>
        <v>0</v>
      </c>
      <c r="T2373" s="168">
        <f t="shared" si="393"/>
        <v>921.6</v>
      </c>
      <c r="U2373" s="163">
        <f t="shared" si="394"/>
        <v>0</v>
      </c>
      <c r="V2373" s="163">
        <f t="shared" si="395"/>
        <v>0</v>
      </c>
      <c r="W2373" s="163">
        <v>0</v>
      </c>
      <c r="X2373" s="137">
        <f t="shared" si="389"/>
        <v>46153.968362268512</v>
      </c>
    </row>
    <row r="2374" spans="1:24" s="179" customFormat="1" hidden="1" x14ac:dyDescent="0.35">
      <c r="A2374" s="161">
        <f>X2373</f>
        <v>46153.968362268512</v>
      </c>
      <c r="B2374" s="123">
        <v>46106</v>
      </c>
      <c r="C2374" s="190">
        <f t="shared" si="392"/>
        <v>-47.968362268511555</v>
      </c>
      <c r="D2374" s="123"/>
      <c r="E2374" s="158" t="s">
        <v>3225</v>
      </c>
      <c r="F2374" s="159" t="s">
        <v>871</v>
      </c>
      <c r="G2374" s="159" t="s">
        <v>398</v>
      </c>
      <c r="H2374" s="126" t="s">
        <v>3265</v>
      </c>
      <c r="I2374" s="547" t="s">
        <v>2092</v>
      </c>
      <c r="J2374" s="128" t="s">
        <v>140</v>
      </c>
      <c r="K2374" s="129">
        <v>0</v>
      </c>
      <c r="L2374" s="129">
        <v>0</v>
      </c>
      <c r="M2374" s="130">
        <v>75</v>
      </c>
      <c r="N2374" s="131">
        <v>500</v>
      </c>
      <c r="O2374" s="189">
        <v>1</v>
      </c>
      <c r="P2374" s="131">
        <f t="shared" si="391"/>
        <v>500</v>
      </c>
      <c r="Q2374" s="185">
        <v>0.8</v>
      </c>
      <c r="R2374" s="176">
        <v>500</v>
      </c>
      <c r="S2374" s="164">
        <f t="shared" si="385"/>
        <v>0</v>
      </c>
      <c r="T2374" s="168">
        <f t="shared" si="393"/>
        <v>921.6</v>
      </c>
      <c r="U2374" s="163">
        <f t="shared" si="394"/>
        <v>0</v>
      </c>
      <c r="V2374" s="163">
        <f t="shared" si="395"/>
        <v>0</v>
      </c>
      <c r="W2374" s="163">
        <v>0</v>
      </c>
      <c r="X2374" s="137">
        <f t="shared" si="389"/>
        <v>46153.968362268512</v>
      </c>
    </row>
    <row r="2375" spans="1:24" s="186" customFormat="1" hidden="1" x14ac:dyDescent="0.35">
      <c r="A2375" s="161">
        <f>X2374</f>
        <v>46153.968362268512</v>
      </c>
      <c r="B2375" s="123">
        <v>46121</v>
      </c>
      <c r="C2375" s="190">
        <f t="shared" si="392"/>
        <v>-32.968362268511555</v>
      </c>
      <c r="D2375" s="123"/>
      <c r="E2375" s="158" t="s">
        <v>3225</v>
      </c>
      <c r="F2375" s="159" t="s">
        <v>2244</v>
      </c>
      <c r="G2375" s="159" t="s">
        <v>398</v>
      </c>
      <c r="H2375" s="126" t="s">
        <v>3266</v>
      </c>
      <c r="I2375" s="547" t="s">
        <v>183</v>
      </c>
      <c r="J2375" s="128" t="s">
        <v>140</v>
      </c>
      <c r="K2375" s="129">
        <v>0</v>
      </c>
      <c r="L2375" s="129">
        <v>0</v>
      </c>
      <c r="M2375" s="130">
        <v>75</v>
      </c>
      <c r="N2375" s="131">
        <v>5300</v>
      </c>
      <c r="O2375" s="189">
        <v>1</v>
      </c>
      <c r="P2375" s="131">
        <f t="shared" si="391"/>
        <v>5300</v>
      </c>
      <c r="Q2375" s="185">
        <v>0.8</v>
      </c>
      <c r="R2375" s="176">
        <v>5300</v>
      </c>
      <c r="S2375" s="164">
        <f t="shared" si="385"/>
        <v>0</v>
      </c>
      <c r="T2375" s="168">
        <f t="shared" si="393"/>
        <v>921.6</v>
      </c>
      <c r="U2375" s="163">
        <f t="shared" si="394"/>
        <v>0</v>
      </c>
      <c r="V2375" s="163">
        <f t="shared" si="395"/>
        <v>0</v>
      </c>
      <c r="W2375" s="163">
        <v>0</v>
      </c>
      <c r="X2375" s="137">
        <f t="shared" si="389"/>
        <v>46153.968362268512</v>
      </c>
    </row>
    <row r="2376" spans="1:24" s="186" customFormat="1" ht="26.5" hidden="1" x14ac:dyDescent="0.35">
      <c r="A2376" s="161">
        <f t="shared" ref="A2376:A2382" si="397">X2375</f>
        <v>46153.968362268512</v>
      </c>
      <c r="B2376" s="123">
        <v>46132</v>
      </c>
      <c r="C2376" s="190">
        <f t="shared" si="392"/>
        <v>-21.968362268511555</v>
      </c>
      <c r="D2376" s="123"/>
      <c r="E2376" s="158" t="s">
        <v>3225</v>
      </c>
      <c r="F2376" s="159" t="s">
        <v>898</v>
      </c>
      <c r="G2376" s="159" t="s">
        <v>411</v>
      </c>
      <c r="H2376" s="505" t="s">
        <v>3267</v>
      </c>
      <c r="I2376" s="259" t="s">
        <v>234</v>
      </c>
      <c r="J2376" s="175" t="s">
        <v>140</v>
      </c>
      <c r="K2376" s="129">
        <v>0</v>
      </c>
      <c r="L2376" s="129">
        <v>0</v>
      </c>
      <c r="M2376" s="130">
        <v>105</v>
      </c>
      <c r="N2376" s="131">
        <v>750</v>
      </c>
      <c r="O2376" s="130">
        <v>1</v>
      </c>
      <c r="P2376" s="131">
        <v>750</v>
      </c>
      <c r="Q2376" s="185">
        <v>0.8</v>
      </c>
      <c r="R2376" s="176">
        <v>750</v>
      </c>
      <c r="S2376" s="164">
        <f t="shared" ref="S2376:S2382" si="398">P2376-R2376</f>
        <v>0</v>
      </c>
      <c r="T2376" s="168">
        <f t="shared" si="393"/>
        <v>658.28571428571433</v>
      </c>
      <c r="U2376" s="163">
        <f t="shared" si="394"/>
        <v>0</v>
      </c>
      <c r="V2376" s="163">
        <f t="shared" si="395"/>
        <v>0</v>
      </c>
      <c r="W2376" s="163">
        <v>0</v>
      </c>
      <c r="X2376" s="137">
        <f t="shared" si="389"/>
        <v>46153.968362268512</v>
      </c>
    </row>
    <row r="2377" spans="1:24" s="186" customFormat="1" ht="26.5" hidden="1" x14ac:dyDescent="0.35">
      <c r="A2377" s="161">
        <f t="shared" si="397"/>
        <v>46153.968362268512</v>
      </c>
      <c r="B2377" s="123">
        <v>46133</v>
      </c>
      <c r="C2377" s="190">
        <f t="shared" si="392"/>
        <v>-20.968362268511555</v>
      </c>
      <c r="D2377" s="123"/>
      <c r="E2377" s="158" t="s">
        <v>3225</v>
      </c>
      <c r="F2377" s="159" t="s">
        <v>898</v>
      </c>
      <c r="G2377" s="159" t="s">
        <v>411</v>
      </c>
      <c r="H2377" s="505" t="s">
        <v>3268</v>
      </c>
      <c r="I2377" s="259" t="s">
        <v>238</v>
      </c>
      <c r="J2377" s="175" t="s">
        <v>140</v>
      </c>
      <c r="K2377" s="129">
        <v>0</v>
      </c>
      <c r="L2377" s="129">
        <v>0</v>
      </c>
      <c r="M2377" s="130">
        <v>105</v>
      </c>
      <c r="N2377" s="131">
        <v>250</v>
      </c>
      <c r="O2377" s="130">
        <v>1</v>
      </c>
      <c r="P2377" s="131">
        <f t="shared" ref="P2377:P2382" si="399">N2377/O2377</f>
        <v>250</v>
      </c>
      <c r="Q2377" s="185">
        <v>0.8</v>
      </c>
      <c r="R2377" s="176">
        <v>250</v>
      </c>
      <c r="S2377" s="164">
        <f t="shared" si="398"/>
        <v>0</v>
      </c>
      <c r="T2377" s="168">
        <f t="shared" si="393"/>
        <v>658.28571428571433</v>
      </c>
      <c r="U2377" s="163">
        <f t="shared" si="394"/>
        <v>0</v>
      </c>
      <c r="V2377" s="163">
        <f t="shared" si="395"/>
        <v>0</v>
      </c>
      <c r="W2377" s="163">
        <v>0</v>
      </c>
      <c r="X2377" s="137">
        <f t="shared" si="389"/>
        <v>46153.968362268512</v>
      </c>
    </row>
    <row r="2378" spans="1:24" s="186" customFormat="1" ht="26.5" hidden="1" x14ac:dyDescent="0.35">
      <c r="A2378" s="161">
        <f t="shared" si="397"/>
        <v>46153.968362268512</v>
      </c>
      <c r="B2378" s="123">
        <v>46134</v>
      </c>
      <c r="C2378" s="190">
        <f t="shared" si="392"/>
        <v>-19.968362268511555</v>
      </c>
      <c r="D2378" s="123"/>
      <c r="E2378" s="158" t="s">
        <v>3225</v>
      </c>
      <c r="F2378" s="159" t="s">
        <v>898</v>
      </c>
      <c r="G2378" s="159" t="s">
        <v>411</v>
      </c>
      <c r="H2378" s="188" t="s">
        <v>3269</v>
      </c>
      <c r="I2378" s="259" t="s">
        <v>236</v>
      </c>
      <c r="J2378" s="175" t="s">
        <v>140</v>
      </c>
      <c r="K2378" s="129">
        <v>0</v>
      </c>
      <c r="L2378" s="129">
        <v>0</v>
      </c>
      <c r="M2378" s="130">
        <v>105</v>
      </c>
      <c r="N2378" s="131">
        <v>150</v>
      </c>
      <c r="O2378" s="130">
        <v>1</v>
      </c>
      <c r="P2378" s="131">
        <f t="shared" si="399"/>
        <v>150</v>
      </c>
      <c r="Q2378" s="185">
        <v>0.8</v>
      </c>
      <c r="R2378" s="176">
        <v>150</v>
      </c>
      <c r="S2378" s="164">
        <f t="shared" si="398"/>
        <v>0</v>
      </c>
      <c r="T2378" s="168">
        <f t="shared" si="393"/>
        <v>658.28571428571433</v>
      </c>
      <c r="U2378" s="163">
        <f t="shared" si="394"/>
        <v>0</v>
      </c>
      <c r="V2378" s="163">
        <f t="shared" si="395"/>
        <v>0</v>
      </c>
      <c r="W2378" s="163">
        <v>0</v>
      </c>
      <c r="X2378" s="137">
        <f t="shared" si="389"/>
        <v>46153.968362268512</v>
      </c>
    </row>
    <row r="2379" spans="1:24" s="186" customFormat="1" ht="26.5" hidden="1" x14ac:dyDescent="0.35">
      <c r="A2379" s="161">
        <f t="shared" si="397"/>
        <v>46153.968362268512</v>
      </c>
      <c r="B2379" s="123">
        <v>46134</v>
      </c>
      <c r="C2379" s="190">
        <f t="shared" si="392"/>
        <v>-19.968362268511555</v>
      </c>
      <c r="D2379" s="123"/>
      <c r="E2379" s="158" t="s">
        <v>3225</v>
      </c>
      <c r="F2379" s="159" t="s">
        <v>898</v>
      </c>
      <c r="G2379" s="159" t="s">
        <v>411</v>
      </c>
      <c r="H2379" s="505" t="s">
        <v>3270</v>
      </c>
      <c r="I2379" s="259" t="s">
        <v>240</v>
      </c>
      <c r="J2379" s="175" t="s">
        <v>140</v>
      </c>
      <c r="K2379" s="129">
        <v>0</v>
      </c>
      <c r="L2379" s="129">
        <v>0</v>
      </c>
      <c r="M2379" s="130">
        <v>105</v>
      </c>
      <c r="N2379" s="131">
        <v>200</v>
      </c>
      <c r="O2379" s="130">
        <v>1</v>
      </c>
      <c r="P2379" s="131">
        <f t="shared" si="399"/>
        <v>200</v>
      </c>
      <c r="Q2379" s="185">
        <v>0.8</v>
      </c>
      <c r="R2379" s="176">
        <v>200</v>
      </c>
      <c r="S2379" s="164">
        <f t="shared" si="398"/>
        <v>0</v>
      </c>
      <c r="T2379" s="168">
        <f t="shared" si="393"/>
        <v>658.28571428571433</v>
      </c>
      <c r="U2379" s="163">
        <f t="shared" si="394"/>
        <v>0</v>
      </c>
      <c r="V2379" s="163">
        <f t="shared" si="395"/>
        <v>0</v>
      </c>
      <c r="W2379" s="163">
        <v>0</v>
      </c>
      <c r="X2379" s="137">
        <f t="shared" si="389"/>
        <v>46153.968362268512</v>
      </c>
    </row>
    <row r="2380" spans="1:24" s="511" customFormat="1" ht="25" hidden="1" customHeight="1" x14ac:dyDescent="0.35">
      <c r="A2380" s="71">
        <f t="shared" si="397"/>
        <v>46153.968362268512</v>
      </c>
      <c r="B2380" s="46">
        <v>46134</v>
      </c>
      <c r="C2380" s="260">
        <f>B2380-A2380</f>
        <v>-19.968362268511555</v>
      </c>
      <c r="D2380" s="180"/>
      <c r="E2380" s="119" t="s">
        <v>3225</v>
      </c>
      <c r="F2380" s="82" t="s">
        <v>898</v>
      </c>
      <c r="G2380" s="82" t="s">
        <v>411</v>
      </c>
      <c r="H2380" s="108">
        <v>13900</v>
      </c>
      <c r="I2380" s="97" t="s">
        <v>556</v>
      </c>
      <c r="J2380" s="104" t="s">
        <v>140</v>
      </c>
      <c r="K2380" s="91">
        <v>0</v>
      </c>
      <c r="L2380" s="91">
        <v>0</v>
      </c>
      <c r="M2380" s="92">
        <v>95</v>
      </c>
      <c r="N2380" s="344">
        <v>2000</v>
      </c>
      <c r="O2380" s="92">
        <v>1</v>
      </c>
      <c r="P2380" s="94">
        <f>N2380/O2380</f>
        <v>2000</v>
      </c>
      <c r="Q2380" s="181">
        <v>0.8</v>
      </c>
      <c r="R2380" s="182">
        <v>2000</v>
      </c>
      <c r="S2380" s="102">
        <f>P2380-R2380</f>
        <v>0</v>
      </c>
      <c r="T2380" s="173">
        <f>((3600/M2380)*O2380)*24*Q2380</f>
        <v>727.57894736842104</v>
      </c>
      <c r="U2380" s="101">
        <f>(P2380-R2380)*M2380/3600/Q2380</f>
        <v>0</v>
      </c>
      <c r="V2380" s="101">
        <f>U2380/24</f>
        <v>0</v>
      </c>
      <c r="W2380" s="101">
        <v>0</v>
      </c>
      <c r="X2380" s="55">
        <f>A2380+K2380+V2380+W2380+L2380</f>
        <v>46153.968362268512</v>
      </c>
    </row>
    <row r="2381" spans="1:24" s="202" customFormat="1" ht="25" customHeight="1" x14ac:dyDescent="0.35">
      <c r="A2381" s="192">
        <f t="shared" si="397"/>
        <v>46153.968362268512</v>
      </c>
      <c r="B2381" s="193">
        <v>46137</v>
      </c>
      <c r="C2381" s="194">
        <f t="shared" si="392"/>
        <v>-16.968362268511555</v>
      </c>
      <c r="D2381" s="193"/>
      <c r="E2381" s="111" t="s">
        <v>3225</v>
      </c>
      <c r="F2381" s="268" t="s">
        <v>2246</v>
      </c>
      <c r="G2381" s="268" t="s">
        <v>414</v>
      </c>
      <c r="H2381" s="113" t="s">
        <v>3271</v>
      </c>
      <c r="I2381" s="268" t="s">
        <v>148</v>
      </c>
      <c r="J2381" s="383" t="s">
        <v>140</v>
      </c>
      <c r="K2381" s="482">
        <v>0.25</v>
      </c>
      <c r="L2381" s="482">
        <v>0.2</v>
      </c>
      <c r="M2381" s="199">
        <v>75</v>
      </c>
      <c r="N2381" s="483">
        <v>1000</v>
      </c>
      <c r="O2381" s="484">
        <v>1</v>
      </c>
      <c r="P2381" s="483">
        <f t="shared" si="399"/>
        <v>1000</v>
      </c>
      <c r="Q2381" s="198">
        <v>0.8</v>
      </c>
      <c r="R2381" s="270"/>
      <c r="S2381" s="116">
        <f t="shared" si="398"/>
        <v>1000</v>
      </c>
      <c r="T2381" s="200">
        <f t="shared" si="393"/>
        <v>921.6</v>
      </c>
      <c r="U2381" s="115">
        <f t="shared" si="394"/>
        <v>26.041666666666664</v>
      </c>
      <c r="V2381" s="115">
        <f t="shared" si="395"/>
        <v>1.0850694444444444</v>
      </c>
      <c r="W2381" s="115">
        <v>0</v>
      </c>
      <c r="X2381" s="201">
        <f t="shared" si="389"/>
        <v>46155.503431712954</v>
      </c>
    </row>
    <row r="2382" spans="1:24" s="487" customFormat="1" ht="25" customHeight="1" x14ac:dyDescent="0.35">
      <c r="A2382" s="271">
        <f t="shared" si="397"/>
        <v>46155.503431712954</v>
      </c>
      <c r="B2382" s="203">
        <v>46139</v>
      </c>
      <c r="C2382" s="194">
        <f t="shared" si="392"/>
        <v>-16.503431712953898</v>
      </c>
      <c r="D2382" s="203"/>
      <c r="E2382" s="686" t="s">
        <v>3225</v>
      </c>
      <c r="F2382" s="288" t="s">
        <v>2248</v>
      </c>
      <c r="G2382" s="288" t="s">
        <v>414</v>
      </c>
      <c r="H2382" s="206" t="s">
        <v>3272</v>
      </c>
      <c r="I2382" s="288" t="s">
        <v>148</v>
      </c>
      <c r="J2382" s="207" t="s">
        <v>140</v>
      </c>
      <c r="K2382" s="208">
        <v>0</v>
      </c>
      <c r="L2382" s="208">
        <v>0</v>
      </c>
      <c r="M2382" s="209">
        <v>75</v>
      </c>
      <c r="N2382" s="210">
        <v>2000</v>
      </c>
      <c r="O2382" s="486">
        <v>1</v>
      </c>
      <c r="P2382" s="210">
        <f t="shared" si="399"/>
        <v>2000</v>
      </c>
      <c r="Q2382" s="282">
        <v>0.8</v>
      </c>
      <c r="R2382" s="283"/>
      <c r="S2382" s="279">
        <f t="shared" si="398"/>
        <v>2000</v>
      </c>
      <c r="T2382" s="284">
        <f t="shared" si="393"/>
        <v>921.6</v>
      </c>
      <c r="U2382" s="278">
        <f t="shared" si="394"/>
        <v>52.083333333333329</v>
      </c>
      <c r="V2382" s="278">
        <f t="shared" si="395"/>
        <v>2.1701388888888888</v>
      </c>
      <c r="W2382" s="278">
        <v>0</v>
      </c>
      <c r="X2382" s="212">
        <f t="shared" si="389"/>
        <v>46157.673570601844</v>
      </c>
    </row>
    <row r="2383" spans="1:24" s="487" customFormat="1" ht="25" customHeight="1" x14ac:dyDescent="0.35">
      <c r="A2383" s="203"/>
      <c r="B2383" s="203"/>
      <c r="C2383" s="203"/>
      <c r="D2383" s="203"/>
      <c r="E2383" s="204"/>
      <c r="F2383" s="288"/>
      <c r="G2383" s="288"/>
      <c r="H2383" s="206"/>
      <c r="I2383" s="288"/>
      <c r="J2383" s="207"/>
      <c r="K2383" s="208"/>
      <c r="L2383" s="208"/>
      <c r="M2383" s="209"/>
      <c r="N2383" s="210"/>
      <c r="O2383" s="486"/>
      <c r="P2383" s="210"/>
      <c r="Q2383" s="210"/>
      <c r="R2383" s="211"/>
      <c r="S2383" s="209"/>
      <c r="T2383" s="592"/>
      <c r="U2383" s="208"/>
      <c r="V2383" s="208"/>
      <c r="W2383" s="289"/>
      <c r="X2383" s="212"/>
    </row>
    <row r="2384" spans="1:24" ht="34.5" x14ac:dyDescent="0.8">
      <c r="A2384" s="35" t="s">
        <v>3273</v>
      </c>
      <c r="B2384" s="35"/>
      <c r="C2384" s="35"/>
      <c r="D2384" s="35"/>
      <c r="E2384" s="36"/>
      <c r="F2384" s="213"/>
      <c r="G2384" s="213"/>
      <c r="H2384" s="311"/>
      <c r="I2384" s="214"/>
      <c r="J2384" s="40"/>
      <c r="K2384" s="41"/>
      <c r="L2384" s="41"/>
      <c r="M2384" s="42"/>
      <c r="N2384" s="43"/>
      <c r="O2384" s="312"/>
      <c r="P2384" s="44"/>
      <c r="Q2384" s="44"/>
      <c r="R2384" s="45"/>
      <c r="S2384" s="44"/>
      <c r="T2384" s="313"/>
      <c r="U2384" s="44"/>
      <c r="V2384" s="44"/>
      <c r="W2384" s="44"/>
      <c r="X2384" s="45"/>
    </row>
    <row r="2385" spans="1:24" ht="29" hidden="1" x14ac:dyDescent="0.35">
      <c r="A2385" s="46">
        <f>S7</f>
        <v>46153</v>
      </c>
      <c r="B2385" s="46"/>
      <c r="C2385" s="46"/>
      <c r="D2385" s="46"/>
      <c r="E2385" s="47" t="s">
        <v>64</v>
      </c>
      <c r="F2385" s="48" t="s">
        <v>55</v>
      </c>
      <c r="G2385" s="48"/>
      <c r="H2385" s="49">
        <v>7549</v>
      </c>
      <c r="I2385" s="106" t="s">
        <v>3274</v>
      </c>
      <c r="J2385" s="100"/>
      <c r="K2385" s="52">
        <v>0</v>
      </c>
      <c r="L2385" s="52">
        <v>0</v>
      </c>
      <c r="M2385" s="53">
        <v>95</v>
      </c>
      <c r="N2385" s="54">
        <v>522</v>
      </c>
      <c r="O2385" s="341">
        <v>1</v>
      </c>
      <c r="P2385" s="54">
        <f>N2385/O2385</f>
        <v>522</v>
      </c>
      <c r="Q2385" s="54"/>
      <c r="R2385" s="92">
        <v>522</v>
      </c>
      <c r="S2385" s="53">
        <f t="shared" ref="S2385:S2448" si="400">P2385-R2385</f>
        <v>0</v>
      </c>
      <c r="T2385" s="315">
        <f t="shared" ref="T2385:T2448" si="401">((3600/M2385)*O2385)*24</f>
        <v>909.47368421052624</v>
      </c>
      <c r="U2385" s="84">
        <f t="shared" ref="U2385:U2448" si="402">(P2385-R2385)*M2385/3600</f>
        <v>0</v>
      </c>
      <c r="V2385" s="84">
        <f>(P2385-R2385)*M2385/3600/24</f>
        <v>0</v>
      </c>
      <c r="W2385" s="84">
        <v>0</v>
      </c>
      <c r="X2385" s="55">
        <f t="shared" ref="X2385:X2448" si="403">A2385+K2385+V2385+W2385+L2385</f>
        <v>46153</v>
      </c>
    </row>
    <row r="2386" spans="1:24" ht="29" hidden="1" x14ac:dyDescent="0.35">
      <c r="A2386" s="46">
        <f t="shared" ref="A2386:A2449" si="404">X2385</f>
        <v>46153</v>
      </c>
      <c r="B2386" s="46"/>
      <c r="C2386" s="46"/>
      <c r="D2386" s="46"/>
      <c r="E2386" s="47" t="s">
        <v>64</v>
      </c>
      <c r="F2386" s="48" t="s">
        <v>55</v>
      </c>
      <c r="G2386" s="48"/>
      <c r="H2386" s="49">
        <v>7550</v>
      </c>
      <c r="I2386" s="106" t="s">
        <v>3275</v>
      </c>
      <c r="J2386" s="100"/>
      <c r="K2386" s="52">
        <v>0</v>
      </c>
      <c r="L2386" s="52">
        <v>0</v>
      </c>
      <c r="M2386" s="53">
        <v>95</v>
      </c>
      <c r="N2386" s="54">
        <v>840</v>
      </c>
      <c r="O2386" s="341">
        <v>1</v>
      </c>
      <c r="P2386" s="54">
        <v>841</v>
      </c>
      <c r="Q2386" s="54"/>
      <c r="R2386" s="92">
        <v>840</v>
      </c>
      <c r="S2386" s="53">
        <f t="shared" si="400"/>
        <v>1</v>
      </c>
      <c r="T2386" s="315">
        <f t="shared" si="401"/>
        <v>909.47368421052624</v>
      </c>
      <c r="U2386" s="84">
        <f t="shared" si="402"/>
        <v>2.6388888888888889E-2</v>
      </c>
      <c r="V2386" s="84">
        <f>(P2386-R2386)*M2386/3600/24</f>
        <v>1.0995370370370371E-3</v>
      </c>
      <c r="W2386" s="84">
        <v>0</v>
      </c>
      <c r="X2386" s="55">
        <f t="shared" si="403"/>
        <v>46153.001099537039</v>
      </c>
    </row>
    <row r="2387" spans="1:24" ht="29" hidden="1" x14ac:dyDescent="0.35">
      <c r="A2387" s="46">
        <f t="shared" si="404"/>
        <v>46153.001099537039</v>
      </c>
      <c r="B2387" s="46"/>
      <c r="C2387" s="46"/>
      <c r="D2387" s="46"/>
      <c r="E2387" s="47" t="s">
        <v>1964</v>
      </c>
      <c r="F2387" s="48" t="s">
        <v>2861</v>
      </c>
      <c r="G2387" s="48"/>
      <c r="H2387" s="49">
        <v>7590</v>
      </c>
      <c r="I2387" s="82" t="s">
        <v>1338</v>
      </c>
      <c r="J2387" s="100"/>
      <c r="K2387" s="52">
        <v>0</v>
      </c>
      <c r="L2387" s="52">
        <v>0</v>
      </c>
      <c r="M2387" s="53">
        <v>120</v>
      </c>
      <c r="N2387" s="54">
        <v>1400</v>
      </c>
      <c r="O2387" s="341">
        <v>1</v>
      </c>
      <c r="P2387" s="54">
        <f>N2387/O2387</f>
        <v>1400</v>
      </c>
      <c r="Q2387" s="54"/>
      <c r="R2387" s="92">
        <v>1400</v>
      </c>
      <c r="S2387" s="53">
        <f t="shared" si="400"/>
        <v>0</v>
      </c>
      <c r="T2387" s="315">
        <f t="shared" si="401"/>
        <v>720</v>
      </c>
      <c r="U2387" s="84">
        <f t="shared" si="402"/>
        <v>0</v>
      </c>
      <c r="V2387" s="84">
        <f>(P2387-R2387)*M2387/3600/24</f>
        <v>0</v>
      </c>
      <c r="W2387" s="84">
        <v>0</v>
      </c>
      <c r="X2387" s="55">
        <f t="shared" si="403"/>
        <v>46153.001099537039</v>
      </c>
    </row>
    <row r="2388" spans="1:24" hidden="1" x14ac:dyDescent="0.35">
      <c r="A2388" s="46">
        <f t="shared" si="404"/>
        <v>46153.001099537039</v>
      </c>
      <c r="B2388" s="46"/>
      <c r="C2388" s="46"/>
      <c r="D2388" s="46"/>
      <c r="E2388" s="47" t="s">
        <v>3273</v>
      </c>
      <c r="F2388" s="48" t="s">
        <v>3276</v>
      </c>
      <c r="G2388" s="48"/>
      <c r="H2388" s="59" t="s">
        <v>2255</v>
      </c>
      <c r="I2388" s="82" t="s">
        <v>3277</v>
      </c>
      <c r="J2388" s="100"/>
      <c r="K2388" s="52">
        <v>0</v>
      </c>
      <c r="L2388" s="52">
        <v>0</v>
      </c>
      <c r="M2388" s="53">
        <v>92</v>
      </c>
      <c r="N2388" s="54">
        <v>50</v>
      </c>
      <c r="O2388" s="341">
        <v>1</v>
      </c>
      <c r="P2388" s="54">
        <f>N2388/O2388</f>
        <v>50</v>
      </c>
      <c r="Q2388" s="54"/>
      <c r="R2388" s="92">
        <v>50</v>
      </c>
      <c r="S2388" s="53">
        <f t="shared" si="400"/>
        <v>0</v>
      </c>
      <c r="T2388" s="315">
        <f t="shared" si="401"/>
        <v>939.13043478260875</v>
      </c>
      <c r="U2388" s="84">
        <f t="shared" si="402"/>
        <v>0</v>
      </c>
      <c r="V2388" s="84">
        <v>0</v>
      </c>
      <c r="W2388" s="84">
        <v>0</v>
      </c>
      <c r="X2388" s="55">
        <f t="shared" si="403"/>
        <v>46153.001099537039</v>
      </c>
    </row>
    <row r="2389" spans="1:24" ht="29" hidden="1" x14ac:dyDescent="0.35">
      <c r="A2389" s="46">
        <f t="shared" si="404"/>
        <v>46153.001099537039</v>
      </c>
      <c r="B2389" s="46"/>
      <c r="C2389" s="46"/>
      <c r="D2389" s="46"/>
      <c r="E2389" s="47" t="s">
        <v>1964</v>
      </c>
      <c r="F2389" s="48" t="s">
        <v>2861</v>
      </c>
      <c r="G2389" s="48"/>
      <c r="H2389" s="49">
        <v>7590</v>
      </c>
      <c r="I2389" s="82" t="s">
        <v>1338</v>
      </c>
      <c r="J2389" s="100"/>
      <c r="K2389" s="52">
        <v>0</v>
      </c>
      <c r="L2389" s="52">
        <v>0</v>
      </c>
      <c r="M2389" s="53">
        <v>120</v>
      </c>
      <c r="N2389" s="54">
        <v>600</v>
      </c>
      <c r="O2389" s="341">
        <v>1</v>
      </c>
      <c r="P2389" s="54">
        <v>600</v>
      </c>
      <c r="Q2389" s="54"/>
      <c r="R2389" s="92">
        <v>600</v>
      </c>
      <c r="S2389" s="53">
        <f t="shared" si="400"/>
        <v>0</v>
      </c>
      <c r="T2389" s="315">
        <f t="shared" si="401"/>
        <v>720</v>
      </c>
      <c r="U2389" s="84">
        <f t="shared" si="402"/>
        <v>0</v>
      </c>
      <c r="V2389" s="84">
        <f>(P2389-R2389)*M2389/3600/24</f>
        <v>0</v>
      </c>
      <c r="W2389" s="84">
        <v>0</v>
      </c>
      <c r="X2389" s="55">
        <f t="shared" si="403"/>
        <v>46153.001099537039</v>
      </c>
    </row>
    <row r="2390" spans="1:24" hidden="1" x14ac:dyDescent="0.35">
      <c r="A2390" s="46">
        <f t="shared" si="404"/>
        <v>46153.001099537039</v>
      </c>
      <c r="B2390" s="46"/>
      <c r="C2390" s="46"/>
      <c r="D2390" s="46"/>
      <c r="E2390" s="47" t="s">
        <v>1964</v>
      </c>
      <c r="F2390" s="48" t="s">
        <v>2863</v>
      </c>
      <c r="G2390" s="48"/>
      <c r="H2390" s="49">
        <v>7590</v>
      </c>
      <c r="I2390" s="82" t="s">
        <v>1338</v>
      </c>
      <c r="J2390" s="100"/>
      <c r="K2390" s="52">
        <v>0</v>
      </c>
      <c r="L2390" s="52">
        <v>0</v>
      </c>
      <c r="M2390" s="53">
        <v>120</v>
      </c>
      <c r="N2390" s="54">
        <v>1000</v>
      </c>
      <c r="O2390" s="341">
        <v>1</v>
      </c>
      <c r="P2390" s="54">
        <v>1003</v>
      </c>
      <c r="Q2390" s="54"/>
      <c r="R2390" s="92">
        <v>1003</v>
      </c>
      <c r="S2390" s="53">
        <f t="shared" si="400"/>
        <v>0</v>
      </c>
      <c r="T2390" s="315">
        <f t="shared" si="401"/>
        <v>720</v>
      </c>
      <c r="U2390" s="84">
        <f t="shared" si="402"/>
        <v>0</v>
      </c>
      <c r="V2390" s="84">
        <f>(P2390-R2390)*M2390/3600/24</f>
        <v>0</v>
      </c>
      <c r="W2390" s="84">
        <v>0</v>
      </c>
      <c r="X2390" s="55">
        <f t="shared" si="403"/>
        <v>46153.001099537039</v>
      </c>
    </row>
    <row r="2391" spans="1:24" hidden="1" x14ac:dyDescent="0.35">
      <c r="A2391" s="46">
        <f t="shared" si="404"/>
        <v>46153.001099537039</v>
      </c>
      <c r="B2391" s="46"/>
      <c r="C2391" s="46"/>
      <c r="D2391" s="46"/>
      <c r="E2391" s="47" t="s">
        <v>64</v>
      </c>
      <c r="F2391" s="48" t="s">
        <v>65</v>
      </c>
      <c r="G2391" s="48"/>
      <c r="H2391" s="49" t="s">
        <v>3278</v>
      </c>
      <c r="I2391" s="99" t="s">
        <v>2322</v>
      </c>
      <c r="J2391" s="100"/>
      <c r="K2391" s="52">
        <v>0</v>
      </c>
      <c r="L2391" s="52">
        <v>0</v>
      </c>
      <c r="M2391" s="53">
        <v>90</v>
      </c>
      <c r="N2391" s="54">
        <v>700</v>
      </c>
      <c r="O2391" s="341">
        <v>1</v>
      </c>
      <c r="P2391" s="54">
        <v>754</v>
      </c>
      <c r="Q2391" s="54"/>
      <c r="R2391" s="92">
        <v>754</v>
      </c>
      <c r="S2391" s="53">
        <f t="shared" si="400"/>
        <v>0</v>
      </c>
      <c r="T2391" s="315">
        <f t="shared" si="401"/>
        <v>960</v>
      </c>
      <c r="U2391" s="84">
        <f t="shared" si="402"/>
        <v>0</v>
      </c>
      <c r="V2391" s="84">
        <f>(P2391-R2391)*M2391/3600/24</f>
        <v>0</v>
      </c>
      <c r="W2391" s="84">
        <v>0</v>
      </c>
      <c r="X2391" s="55">
        <f t="shared" si="403"/>
        <v>46153.001099537039</v>
      </c>
    </row>
    <row r="2392" spans="1:24" hidden="1" x14ac:dyDescent="0.35">
      <c r="A2392" s="46">
        <f t="shared" si="404"/>
        <v>46153.001099537039</v>
      </c>
      <c r="B2392" s="46"/>
      <c r="C2392" s="46"/>
      <c r="D2392" s="46"/>
      <c r="E2392" s="47" t="s">
        <v>64</v>
      </c>
      <c r="F2392" s="48" t="s">
        <v>65</v>
      </c>
      <c r="G2392" s="48"/>
      <c r="H2392" s="49" t="s">
        <v>3279</v>
      </c>
      <c r="I2392" s="99" t="s">
        <v>3280</v>
      </c>
      <c r="J2392" s="100"/>
      <c r="K2392" s="52">
        <v>0</v>
      </c>
      <c r="L2392" s="52">
        <v>0</v>
      </c>
      <c r="M2392" s="53">
        <v>90</v>
      </c>
      <c r="N2392" s="54">
        <v>300</v>
      </c>
      <c r="O2392" s="341">
        <v>1</v>
      </c>
      <c r="P2392" s="54">
        <f>N2392/O2392</f>
        <v>300</v>
      </c>
      <c r="Q2392" s="54"/>
      <c r="R2392" s="92">
        <v>300</v>
      </c>
      <c r="S2392" s="53">
        <f t="shared" si="400"/>
        <v>0</v>
      </c>
      <c r="T2392" s="315">
        <f t="shared" si="401"/>
        <v>960</v>
      </c>
      <c r="U2392" s="84">
        <f t="shared" si="402"/>
        <v>0</v>
      </c>
      <c r="V2392" s="84">
        <f>(P2392-R2392)*M2392/3600/24</f>
        <v>0</v>
      </c>
      <c r="W2392" s="84">
        <v>0</v>
      </c>
      <c r="X2392" s="55">
        <f t="shared" si="403"/>
        <v>46153.001099537039</v>
      </c>
    </row>
    <row r="2393" spans="1:24" ht="29" hidden="1" x14ac:dyDescent="0.35">
      <c r="A2393" s="46">
        <f t="shared" si="404"/>
        <v>46153.001099537039</v>
      </c>
      <c r="B2393" s="46"/>
      <c r="C2393" s="46"/>
      <c r="D2393" s="46"/>
      <c r="E2393" s="47" t="s">
        <v>64</v>
      </c>
      <c r="F2393" s="48" t="s">
        <v>2254</v>
      </c>
      <c r="G2393" s="48"/>
      <c r="H2393" s="49" t="s">
        <v>2255</v>
      </c>
      <c r="I2393" s="82" t="s">
        <v>3281</v>
      </c>
      <c r="J2393" s="100"/>
      <c r="K2393" s="52">
        <v>0</v>
      </c>
      <c r="L2393" s="52">
        <v>0</v>
      </c>
      <c r="M2393" s="53">
        <v>90</v>
      </c>
      <c r="N2393" s="54">
        <v>50</v>
      </c>
      <c r="O2393" s="341">
        <v>1</v>
      </c>
      <c r="P2393" s="54">
        <f>N2393/O2393</f>
        <v>50</v>
      </c>
      <c r="Q2393" s="54"/>
      <c r="R2393" s="92">
        <v>50</v>
      </c>
      <c r="S2393" s="53">
        <f t="shared" si="400"/>
        <v>0</v>
      </c>
      <c r="T2393" s="315">
        <f t="shared" si="401"/>
        <v>960</v>
      </c>
      <c r="U2393" s="84">
        <f t="shared" si="402"/>
        <v>0</v>
      </c>
      <c r="V2393" s="84">
        <v>0</v>
      </c>
      <c r="W2393" s="84">
        <v>0</v>
      </c>
      <c r="X2393" s="55">
        <f t="shared" si="403"/>
        <v>46153.001099537039</v>
      </c>
    </row>
    <row r="2394" spans="1:24" hidden="1" x14ac:dyDescent="0.35">
      <c r="A2394" s="46">
        <f t="shared" si="404"/>
        <v>46153.001099537039</v>
      </c>
      <c r="B2394" s="46"/>
      <c r="C2394" s="46"/>
      <c r="D2394" s="46"/>
      <c r="E2394" s="47" t="s">
        <v>3273</v>
      </c>
      <c r="F2394" s="48" t="s">
        <v>3276</v>
      </c>
      <c r="G2394" s="48"/>
      <c r="H2394" s="59" t="s">
        <v>2255</v>
      </c>
      <c r="I2394" s="82" t="s">
        <v>3277</v>
      </c>
      <c r="J2394" s="100"/>
      <c r="K2394" s="52">
        <v>0</v>
      </c>
      <c r="L2394" s="52">
        <v>0</v>
      </c>
      <c r="M2394" s="53">
        <v>92</v>
      </c>
      <c r="N2394" s="54">
        <v>0</v>
      </c>
      <c r="O2394" s="341">
        <v>1</v>
      </c>
      <c r="P2394" s="54">
        <f>N2394/O2394</f>
        <v>0</v>
      </c>
      <c r="Q2394" s="54"/>
      <c r="R2394" s="92">
        <v>0</v>
      </c>
      <c r="S2394" s="53">
        <f t="shared" si="400"/>
        <v>0</v>
      </c>
      <c r="T2394" s="315">
        <f t="shared" si="401"/>
        <v>939.13043478260875</v>
      </c>
      <c r="U2394" s="84">
        <f t="shared" si="402"/>
        <v>0</v>
      </c>
      <c r="V2394" s="84">
        <f t="shared" ref="V2394:V2457" si="405">(P2394-R2394)*M2394/3600/24</f>
        <v>0</v>
      </c>
      <c r="W2394" s="84">
        <v>0</v>
      </c>
      <c r="X2394" s="55">
        <f t="shared" si="403"/>
        <v>46153.001099537039</v>
      </c>
    </row>
    <row r="2395" spans="1:24" hidden="1" x14ac:dyDescent="0.35">
      <c r="A2395" s="46">
        <f t="shared" si="404"/>
        <v>46153.001099537039</v>
      </c>
      <c r="B2395" s="46"/>
      <c r="C2395" s="46"/>
      <c r="D2395" s="46"/>
      <c r="E2395" s="47" t="s">
        <v>3273</v>
      </c>
      <c r="F2395" s="48" t="s">
        <v>3282</v>
      </c>
      <c r="G2395" s="48"/>
      <c r="H2395" s="49">
        <v>7645</v>
      </c>
      <c r="I2395" s="82" t="s">
        <v>3277</v>
      </c>
      <c r="J2395" s="100"/>
      <c r="K2395" s="52">
        <v>0</v>
      </c>
      <c r="L2395" s="52">
        <v>0</v>
      </c>
      <c r="M2395" s="53">
        <v>72</v>
      </c>
      <c r="N2395" s="54">
        <v>16688</v>
      </c>
      <c r="O2395" s="341">
        <v>1</v>
      </c>
      <c r="P2395" s="54">
        <v>17516</v>
      </c>
      <c r="Q2395" s="54"/>
      <c r="R2395" s="92">
        <v>17516</v>
      </c>
      <c r="S2395" s="53">
        <f t="shared" si="400"/>
        <v>0</v>
      </c>
      <c r="T2395" s="315">
        <f t="shared" si="401"/>
        <v>1200</v>
      </c>
      <c r="U2395" s="84">
        <f t="shared" si="402"/>
        <v>0</v>
      </c>
      <c r="V2395" s="84">
        <f t="shared" si="405"/>
        <v>0</v>
      </c>
      <c r="W2395" s="84">
        <v>0</v>
      </c>
      <c r="X2395" s="55">
        <f t="shared" si="403"/>
        <v>46153.001099537039</v>
      </c>
    </row>
    <row r="2396" spans="1:24" hidden="1" x14ac:dyDescent="0.35">
      <c r="A2396" s="46">
        <f t="shared" si="404"/>
        <v>46153.001099537039</v>
      </c>
      <c r="B2396" s="46"/>
      <c r="C2396" s="46"/>
      <c r="D2396" s="46"/>
      <c r="E2396" s="47" t="s">
        <v>3273</v>
      </c>
      <c r="F2396" s="48" t="s">
        <v>927</v>
      </c>
      <c r="G2396" s="48"/>
      <c r="H2396" s="49" t="s">
        <v>3283</v>
      </c>
      <c r="I2396" s="82" t="s">
        <v>3277</v>
      </c>
      <c r="J2396" s="100"/>
      <c r="K2396" s="52">
        <v>0</v>
      </c>
      <c r="L2396" s="52">
        <v>0</v>
      </c>
      <c r="M2396" s="53">
        <v>75</v>
      </c>
      <c r="N2396" s="54">
        <v>20000</v>
      </c>
      <c r="O2396" s="341">
        <v>1</v>
      </c>
      <c r="P2396" s="54">
        <v>20925</v>
      </c>
      <c r="Q2396" s="54"/>
      <c r="R2396" s="92">
        <v>20925</v>
      </c>
      <c r="S2396" s="53">
        <f t="shared" si="400"/>
        <v>0</v>
      </c>
      <c r="T2396" s="315">
        <f t="shared" si="401"/>
        <v>1152</v>
      </c>
      <c r="U2396" s="84">
        <f t="shared" si="402"/>
        <v>0</v>
      </c>
      <c r="V2396" s="84">
        <f t="shared" si="405"/>
        <v>0</v>
      </c>
      <c r="W2396" s="84">
        <v>0</v>
      </c>
      <c r="X2396" s="55">
        <f t="shared" si="403"/>
        <v>46153.001099537039</v>
      </c>
    </row>
    <row r="2397" spans="1:24" hidden="1" x14ac:dyDescent="0.35">
      <c r="A2397" s="46">
        <f t="shared" si="404"/>
        <v>46153.001099537039</v>
      </c>
      <c r="B2397" s="46"/>
      <c r="C2397" s="46"/>
      <c r="D2397" s="46"/>
      <c r="E2397" s="47" t="s">
        <v>3273</v>
      </c>
      <c r="F2397" s="48" t="s">
        <v>3284</v>
      </c>
      <c r="G2397" s="48"/>
      <c r="H2397" s="49" t="s">
        <v>3285</v>
      </c>
      <c r="I2397" s="82" t="s">
        <v>3277</v>
      </c>
      <c r="J2397" s="100"/>
      <c r="K2397" s="52">
        <v>0</v>
      </c>
      <c r="L2397" s="52">
        <v>0</v>
      </c>
      <c r="M2397" s="53">
        <v>75</v>
      </c>
      <c r="N2397" s="54">
        <v>20000</v>
      </c>
      <c r="O2397" s="341">
        <v>1</v>
      </c>
      <c r="P2397" s="54">
        <v>20568</v>
      </c>
      <c r="Q2397" s="54"/>
      <c r="R2397" s="92">
        <v>20568</v>
      </c>
      <c r="S2397" s="53">
        <f t="shared" si="400"/>
        <v>0</v>
      </c>
      <c r="T2397" s="315">
        <f t="shared" si="401"/>
        <v>1152</v>
      </c>
      <c r="U2397" s="84">
        <f t="shared" si="402"/>
        <v>0</v>
      </c>
      <c r="V2397" s="84">
        <f t="shared" si="405"/>
        <v>0</v>
      </c>
      <c r="W2397" s="84">
        <v>0</v>
      </c>
      <c r="X2397" s="55">
        <f t="shared" si="403"/>
        <v>46153.001099537039</v>
      </c>
    </row>
    <row r="2398" spans="1:24" hidden="1" x14ac:dyDescent="0.35">
      <c r="A2398" s="46">
        <f t="shared" si="404"/>
        <v>46153.001099537039</v>
      </c>
      <c r="B2398" s="46"/>
      <c r="C2398" s="46"/>
      <c r="D2398" s="46"/>
      <c r="E2398" s="47" t="s">
        <v>3273</v>
      </c>
      <c r="F2398" s="48" t="s">
        <v>101</v>
      </c>
      <c r="G2398" s="48"/>
      <c r="H2398" s="49" t="s">
        <v>3286</v>
      </c>
      <c r="I2398" s="82" t="s">
        <v>3277</v>
      </c>
      <c r="J2398" s="100"/>
      <c r="K2398" s="52">
        <v>0</v>
      </c>
      <c r="L2398" s="52">
        <v>0</v>
      </c>
      <c r="M2398" s="53">
        <v>75</v>
      </c>
      <c r="N2398" s="54">
        <v>3968</v>
      </c>
      <c r="O2398" s="341">
        <v>1</v>
      </c>
      <c r="P2398" s="54">
        <f>N2398/O2398</f>
        <v>3968</v>
      </c>
      <c r="Q2398" s="54"/>
      <c r="R2398" s="92">
        <v>3968</v>
      </c>
      <c r="S2398" s="53">
        <f t="shared" si="400"/>
        <v>0</v>
      </c>
      <c r="T2398" s="315">
        <f t="shared" si="401"/>
        <v>1152</v>
      </c>
      <c r="U2398" s="84">
        <f t="shared" si="402"/>
        <v>0</v>
      </c>
      <c r="V2398" s="84">
        <f t="shared" si="405"/>
        <v>0</v>
      </c>
      <c r="W2398" s="84">
        <v>0</v>
      </c>
      <c r="X2398" s="55">
        <f t="shared" si="403"/>
        <v>46153.001099537039</v>
      </c>
    </row>
    <row r="2399" spans="1:24" hidden="1" x14ac:dyDescent="0.35">
      <c r="A2399" s="46">
        <f t="shared" si="404"/>
        <v>46153.001099537039</v>
      </c>
      <c r="B2399" s="46"/>
      <c r="C2399" s="46"/>
      <c r="D2399" s="46"/>
      <c r="E2399" s="47" t="s">
        <v>3273</v>
      </c>
      <c r="F2399" s="48" t="s">
        <v>101</v>
      </c>
      <c r="G2399" s="48"/>
      <c r="H2399" s="49" t="s">
        <v>3286</v>
      </c>
      <c r="I2399" s="82" t="s">
        <v>3277</v>
      </c>
      <c r="J2399" s="100"/>
      <c r="K2399" s="52">
        <v>0</v>
      </c>
      <c r="L2399" s="52">
        <v>0</v>
      </c>
      <c r="M2399" s="53">
        <v>75</v>
      </c>
      <c r="N2399" s="54">
        <v>3000</v>
      </c>
      <c r="O2399" s="341">
        <v>1</v>
      </c>
      <c r="P2399" s="54">
        <f>N2399/O2399</f>
        <v>3000</v>
      </c>
      <c r="Q2399" s="54"/>
      <c r="R2399" s="92">
        <v>3000</v>
      </c>
      <c r="S2399" s="53">
        <f t="shared" si="400"/>
        <v>0</v>
      </c>
      <c r="T2399" s="315">
        <f t="shared" si="401"/>
        <v>1152</v>
      </c>
      <c r="U2399" s="84">
        <f t="shared" si="402"/>
        <v>0</v>
      </c>
      <c r="V2399" s="84">
        <f t="shared" si="405"/>
        <v>0</v>
      </c>
      <c r="W2399" s="84">
        <v>0</v>
      </c>
      <c r="X2399" s="55">
        <f t="shared" si="403"/>
        <v>46153.001099537039</v>
      </c>
    </row>
    <row r="2400" spans="1:24" hidden="1" x14ac:dyDescent="0.35">
      <c r="A2400" s="46">
        <f t="shared" si="404"/>
        <v>46153.001099537039</v>
      </c>
      <c r="B2400" s="46"/>
      <c r="C2400" s="46"/>
      <c r="D2400" s="46"/>
      <c r="E2400" s="47" t="s">
        <v>3273</v>
      </c>
      <c r="F2400" s="48" t="s">
        <v>3287</v>
      </c>
      <c r="G2400" s="48"/>
      <c r="H2400" s="49" t="s">
        <v>3288</v>
      </c>
      <c r="I2400" s="82" t="s">
        <v>3277</v>
      </c>
      <c r="J2400" s="100"/>
      <c r="K2400" s="52">
        <v>0</v>
      </c>
      <c r="L2400" s="52">
        <v>0</v>
      </c>
      <c r="M2400" s="53">
        <v>75</v>
      </c>
      <c r="N2400" s="54">
        <v>20000</v>
      </c>
      <c r="O2400" s="341">
        <v>1</v>
      </c>
      <c r="P2400" s="54">
        <f>N2400/O2400</f>
        <v>20000</v>
      </c>
      <c r="Q2400" s="54"/>
      <c r="R2400" s="92">
        <v>20000</v>
      </c>
      <c r="S2400" s="53">
        <f t="shared" si="400"/>
        <v>0</v>
      </c>
      <c r="T2400" s="315">
        <f t="shared" si="401"/>
        <v>1152</v>
      </c>
      <c r="U2400" s="84">
        <f t="shared" si="402"/>
        <v>0</v>
      </c>
      <c r="V2400" s="84">
        <f t="shared" si="405"/>
        <v>0</v>
      </c>
      <c r="W2400" s="84">
        <v>0</v>
      </c>
      <c r="X2400" s="55">
        <f t="shared" si="403"/>
        <v>46153.001099537039</v>
      </c>
    </row>
    <row r="2401" spans="1:24" hidden="1" x14ac:dyDescent="0.35">
      <c r="A2401" s="46">
        <f t="shared" si="404"/>
        <v>46153.001099537039</v>
      </c>
      <c r="B2401" s="46"/>
      <c r="C2401" s="46"/>
      <c r="D2401" s="46"/>
      <c r="E2401" s="47" t="s">
        <v>3273</v>
      </c>
      <c r="F2401" s="48" t="s">
        <v>1336</v>
      </c>
      <c r="G2401" s="48"/>
      <c r="H2401" s="49" t="s">
        <v>3289</v>
      </c>
      <c r="I2401" s="82" t="s">
        <v>3290</v>
      </c>
      <c r="J2401" s="100"/>
      <c r="K2401" s="52">
        <v>0</v>
      </c>
      <c r="L2401" s="52">
        <v>0</v>
      </c>
      <c r="M2401" s="53">
        <v>75</v>
      </c>
      <c r="N2401" s="54">
        <v>15000</v>
      </c>
      <c r="O2401" s="341">
        <v>1</v>
      </c>
      <c r="P2401" s="54">
        <f>N2401/O2401</f>
        <v>15000</v>
      </c>
      <c r="Q2401" s="54"/>
      <c r="R2401" s="92">
        <v>15000</v>
      </c>
      <c r="S2401" s="53">
        <f t="shared" si="400"/>
        <v>0</v>
      </c>
      <c r="T2401" s="315">
        <f t="shared" si="401"/>
        <v>1152</v>
      </c>
      <c r="U2401" s="84">
        <f t="shared" si="402"/>
        <v>0</v>
      </c>
      <c r="V2401" s="84">
        <f t="shared" si="405"/>
        <v>0</v>
      </c>
      <c r="W2401" s="84">
        <v>0</v>
      </c>
      <c r="X2401" s="55">
        <f t="shared" si="403"/>
        <v>46153.001099537039</v>
      </c>
    </row>
    <row r="2402" spans="1:24" hidden="1" x14ac:dyDescent="0.35">
      <c r="A2402" s="46">
        <f t="shared" si="404"/>
        <v>46153.001099537039</v>
      </c>
      <c r="B2402" s="46"/>
      <c r="C2402" s="46"/>
      <c r="D2402" s="46"/>
      <c r="E2402" s="47" t="s">
        <v>3273</v>
      </c>
      <c r="F2402" s="48" t="s">
        <v>1336</v>
      </c>
      <c r="G2402" s="48"/>
      <c r="H2402" s="49" t="s">
        <v>3291</v>
      </c>
      <c r="I2402" s="82" t="s">
        <v>3290</v>
      </c>
      <c r="J2402" s="100" t="s">
        <v>140</v>
      </c>
      <c r="K2402" s="52">
        <v>0</v>
      </c>
      <c r="L2402" s="52">
        <v>0</v>
      </c>
      <c r="M2402" s="53">
        <v>75</v>
      </c>
      <c r="N2402" s="54">
        <v>15000</v>
      </c>
      <c r="O2402" s="341">
        <v>1</v>
      </c>
      <c r="P2402" s="54">
        <f>N2402/O2402 +351</f>
        <v>15351</v>
      </c>
      <c r="Q2402" s="54"/>
      <c r="R2402" s="92">
        <v>15351</v>
      </c>
      <c r="S2402" s="53">
        <f t="shared" si="400"/>
        <v>0</v>
      </c>
      <c r="T2402" s="315">
        <f t="shared" si="401"/>
        <v>1152</v>
      </c>
      <c r="U2402" s="84">
        <f t="shared" si="402"/>
        <v>0</v>
      </c>
      <c r="V2402" s="84">
        <f t="shared" si="405"/>
        <v>0</v>
      </c>
      <c r="W2402" s="84">
        <v>0</v>
      </c>
      <c r="X2402" s="55">
        <f t="shared" si="403"/>
        <v>46153.001099537039</v>
      </c>
    </row>
    <row r="2403" spans="1:24" hidden="1" x14ac:dyDescent="0.35">
      <c r="A2403" s="46">
        <f t="shared" si="404"/>
        <v>46153.001099537039</v>
      </c>
      <c r="B2403" s="46"/>
      <c r="C2403" s="46"/>
      <c r="D2403" s="46"/>
      <c r="E2403" s="47" t="s">
        <v>3273</v>
      </c>
      <c r="F2403" s="48" t="s">
        <v>1336</v>
      </c>
      <c r="G2403" s="48"/>
      <c r="H2403" s="49" t="s">
        <v>3292</v>
      </c>
      <c r="I2403" s="82" t="s">
        <v>3290</v>
      </c>
      <c r="J2403" s="100" t="s">
        <v>140</v>
      </c>
      <c r="K2403" s="52">
        <v>0</v>
      </c>
      <c r="L2403" s="52">
        <v>0</v>
      </c>
      <c r="M2403" s="53">
        <v>75</v>
      </c>
      <c r="N2403" s="54">
        <v>6324</v>
      </c>
      <c r="O2403" s="341">
        <v>1</v>
      </c>
      <c r="P2403" s="54">
        <f>N2403/O2403 -351</f>
        <v>5973</v>
      </c>
      <c r="Q2403" s="54"/>
      <c r="R2403" s="92">
        <v>5973</v>
      </c>
      <c r="S2403" s="53">
        <f t="shared" si="400"/>
        <v>0</v>
      </c>
      <c r="T2403" s="315">
        <f t="shared" si="401"/>
        <v>1152</v>
      </c>
      <c r="U2403" s="84">
        <f t="shared" si="402"/>
        <v>0</v>
      </c>
      <c r="V2403" s="84">
        <f t="shared" si="405"/>
        <v>0</v>
      </c>
      <c r="W2403" s="84">
        <v>0</v>
      </c>
      <c r="X2403" s="55">
        <f t="shared" si="403"/>
        <v>46153.001099537039</v>
      </c>
    </row>
    <row r="2404" spans="1:24" hidden="1" x14ac:dyDescent="0.35">
      <c r="A2404" s="46">
        <f t="shared" si="404"/>
        <v>46153.001099537039</v>
      </c>
      <c r="B2404" s="46"/>
      <c r="C2404" s="46"/>
      <c r="D2404" s="46"/>
      <c r="E2404" s="47" t="s">
        <v>3273</v>
      </c>
      <c r="F2404" s="48" t="s">
        <v>113</v>
      </c>
      <c r="G2404" s="48"/>
      <c r="H2404" s="49" t="s">
        <v>3293</v>
      </c>
      <c r="I2404" s="82" t="s">
        <v>3290</v>
      </c>
      <c r="J2404" s="100" t="s">
        <v>140</v>
      </c>
      <c r="K2404" s="52">
        <v>0</v>
      </c>
      <c r="L2404" s="52">
        <v>0</v>
      </c>
      <c r="M2404" s="53">
        <v>75</v>
      </c>
      <c r="N2404" s="54">
        <v>11904</v>
      </c>
      <c r="O2404" s="341">
        <v>1</v>
      </c>
      <c r="P2404" s="54">
        <f t="shared" ref="P2404:P2467" si="406">N2404/O2404</f>
        <v>11904</v>
      </c>
      <c r="Q2404" s="54"/>
      <c r="R2404" s="92">
        <v>11904</v>
      </c>
      <c r="S2404" s="53">
        <f t="shared" si="400"/>
        <v>0</v>
      </c>
      <c r="T2404" s="315">
        <f t="shared" si="401"/>
        <v>1152</v>
      </c>
      <c r="U2404" s="84">
        <f t="shared" si="402"/>
        <v>0</v>
      </c>
      <c r="V2404" s="84">
        <f t="shared" si="405"/>
        <v>0</v>
      </c>
      <c r="W2404" s="84">
        <v>0</v>
      </c>
      <c r="X2404" s="55">
        <f t="shared" si="403"/>
        <v>46153.001099537039</v>
      </c>
    </row>
    <row r="2405" spans="1:24" hidden="1" x14ac:dyDescent="0.35">
      <c r="A2405" s="46">
        <f t="shared" si="404"/>
        <v>46153.001099537039</v>
      </c>
      <c r="B2405" s="46"/>
      <c r="C2405" s="46"/>
      <c r="D2405" s="46"/>
      <c r="E2405" s="47" t="s">
        <v>3273</v>
      </c>
      <c r="F2405" s="48" t="s">
        <v>113</v>
      </c>
      <c r="G2405" s="48"/>
      <c r="H2405" s="49" t="s">
        <v>3294</v>
      </c>
      <c r="I2405" s="82" t="s">
        <v>3290</v>
      </c>
      <c r="J2405" s="100" t="s">
        <v>140</v>
      </c>
      <c r="K2405" s="52">
        <v>0</v>
      </c>
      <c r="L2405" s="52">
        <v>0</v>
      </c>
      <c r="M2405" s="53">
        <v>75</v>
      </c>
      <c r="N2405" s="54">
        <v>15000</v>
      </c>
      <c r="O2405" s="341">
        <v>1</v>
      </c>
      <c r="P2405" s="54">
        <f t="shared" si="406"/>
        <v>15000</v>
      </c>
      <c r="Q2405" s="54"/>
      <c r="R2405" s="92">
        <v>15000</v>
      </c>
      <c r="S2405" s="53">
        <f t="shared" si="400"/>
        <v>0</v>
      </c>
      <c r="T2405" s="315">
        <f t="shared" si="401"/>
        <v>1152</v>
      </c>
      <c r="U2405" s="84">
        <f t="shared" si="402"/>
        <v>0</v>
      </c>
      <c r="V2405" s="84">
        <f t="shared" si="405"/>
        <v>0</v>
      </c>
      <c r="W2405" s="84">
        <v>0</v>
      </c>
      <c r="X2405" s="55">
        <f t="shared" si="403"/>
        <v>46153.001099537039</v>
      </c>
    </row>
    <row r="2406" spans="1:24" hidden="1" x14ac:dyDescent="0.35">
      <c r="A2406" s="46">
        <f t="shared" si="404"/>
        <v>46153.001099537039</v>
      </c>
      <c r="B2406" s="46"/>
      <c r="C2406" s="46"/>
      <c r="D2406" s="46"/>
      <c r="E2406" s="47" t="s">
        <v>3273</v>
      </c>
      <c r="F2406" s="48" t="s">
        <v>3295</v>
      </c>
      <c r="G2406" s="48"/>
      <c r="H2406" s="49" t="s">
        <v>3296</v>
      </c>
      <c r="I2406" s="82" t="s">
        <v>3290</v>
      </c>
      <c r="J2406" s="100" t="s">
        <v>140</v>
      </c>
      <c r="K2406" s="52">
        <v>0</v>
      </c>
      <c r="L2406" s="52">
        <v>0</v>
      </c>
      <c r="M2406" s="53">
        <v>75</v>
      </c>
      <c r="N2406" s="54">
        <v>20000</v>
      </c>
      <c r="O2406" s="341">
        <v>1</v>
      </c>
      <c r="P2406" s="54">
        <f t="shared" si="406"/>
        <v>20000</v>
      </c>
      <c r="Q2406" s="54"/>
      <c r="R2406" s="92">
        <v>20000</v>
      </c>
      <c r="S2406" s="53">
        <f t="shared" si="400"/>
        <v>0</v>
      </c>
      <c r="T2406" s="315">
        <f t="shared" si="401"/>
        <v>1152</v>
      </c>
      <c r="U2406" s="84">
        <f t="shared" si="402"/>
        <v>0</v>
      </c>
      <c r="V2406" s="84">
        <f t="shared" si="405"/>
        <v>0</v>
      </c>
      <c r="W2406" s="84">
        <v>0</v>
      </c>
      <c r="X2406" s="55">
        <f t="shared" si="403"/>
        <v>46153.001099537039</v>
      </c>
    </row>
    <row r="2407" spans="1:24" hidden="1" x14ac:dyDescent="0.35">
      <c r="A2407" s="46">
        <f t="shared" si="404"/>
        <v>46153.001099537039</v>
      </c>
      <c r="B2407" s="46"/>
      <c r="C2407" s="46"/>
      <c r="D2407" s="46"/>
      <c r="E2407" s="47" t="s">
        <v>3273</v>
      </c>
      <c r="F2407" s="48" t="s">
        <v>3297</v>
      </c>
      <c r="G2407" s="48"/>
      <c r="H2407" s="49" t="s">
        <v>3298</v>
      </c>
      <c r="I2407" s="82" t="s">
        <v>3290</v>
      </c>
      <c r="J2407" s="100" t="s">
        <v>140</v>
      </c>
      <c r="K2407" s="52">
        <v>0</v>
      </c>
      <c r="L2407" s="52">
        <v>0</v>
      </c>
      <c r="M2407" s="53">
        <v>75</v>
      </c>
      <c r="N2407" s="54">
        <v>15872</v>
      </c>
      <c r="O2407" s="341">
        <v>1</v>
      </c>
      <c r="P2407" s="54">
        <f t="shared" si="406"/>
        <v>15872</v>
      </c>
      <c r="Q2407" s="54"/>
      <c r="R2407" s="92">
        <v>15872</v>
      </c>
      <c r="S2407" s="53">
        <f t="shared" si="400"/>
        <v>0</v>
      </c>
      <c r="T2407" s="315">
        <f t="shared" si="401"/>
        <v>1152</v>
      </c>
      <c r="U2407" s="84">
        <f t="shared" si="402"/>
        <v>0</v>
      </c>
      <c r="V2407" s="84">
        <f t="shared" si="405"/>
        <v>0</v>
      </c>
      <c r="W2407" s="84">
        <v>0</v>
      </c>
      <c r="X2407" s="55">
        <f t="shared" si="403"/>
        <v>46153.001099537039</v>
      </c>
    </row>
    <row r="2408" spans="1:24" hidden="1" x14ac:dyDescent="0.35">
      <c r="A2408" s="46">
        <f t="shared" si="404"/>
        <v>46153.001099537039</v>
      </c>
      <c r="B2408" s="46"/>
      <c r="C2408" s="46"/>
      <c r="D2408" s="46"/>
      <c r="E2408" s="47" t="s">
        <v>3273</v>
      </c>
      <c r="F2408" s="48" t="s">
        <v>3299</v>
      </c>
      <c r="G2408" s="48"/>
      <c r="H2408" s="49" t="s">
        <v>3300</v>
      </c>
      <c r="I2408" s="82" t="s">
        <v>3290</v>
      </c>
      <c r="J2408" s="100" t="s">
        <v>140</v>
      </c>
      <c r="K2408" s="52">
        <v>0</v>
      </c>
      <c r="L2408" s="52">
        <v>0</v>
      </c>
      <c r="M2408" s="53">
        <v>75</v>
      </c>
      <c r="N2408" s="54">
        <v>20000</v>
      </c>
      <c r="O2408" s="341">
        <v>1</v>
      </c>
      <c r="P2408" s="54">
        <f t="shared" si="406"/>
        <v>20000</v>
      </c>
      <c r="Q2408" s="54"/>
      <c r="R2408" s="92">
        <v>20000</v>
      </c>
      <c r="S2408" s="53">
        <f t="shared" si="400"/>
        <v>0</v>
      </c>
      <c r="T2408" s="315">
        <f t="shared" si="401"/>
        <v>1152</v>
      </c>
      <c r="U2408" s="84">
        <f t="shared" si="402"/>
        <v>0</v>
      </c>
      <c r="V2408" s="84">
        <f t="shared" si="405"/>
        <v>0</v>
      </c>
      <c r="W2408" s="84">
        <v>0</v>
      </c>
      <c r="X2408" s="55">
        <f t="shared" si="403"/>
        <v>46153.001099537039</v>
      </c>
    </row>
    <row r="2409" spans="1:24" hidden="1" x14ac:dyDescent="0.35">
      <c r="A2409" s="46">
        <f t="shared" si="404"/>
        <v>46153.001099537039</v>
      </c>
      <c r="B2409" s="46"/>
      <c r="C2409" s="46"/>
      <c r="D2409" s="46"/>
      <c r="E2409" s="47" t="s">
        <v>3273</v>
      </c>
      <c r="F2409" s="48" t="s">
        <v>3301</v>
      </c>
      <c r="G2409" s="48"/>
      <c r="H2409" s="49" t="s">
        <v>3302</v>
      </c>
      <c r="I2409" s="82" t="s">
        <v>3290</v>
      </c>
      <c r="J2409" s="100" t="s">
        <v>140</v>
      </c>
      <c r="K2409" s="52">
        <v>0</v>
      </c>
      <c r="L2409" s="52">
        <v>0</v>
      </c>
      <c r="M2409" s="53">
        <v>75</v>
      </c>
      <c r="N2409" s="54">
        <v>3968</v>
      </c>
      <c r="O2409" s="341">
        <v>1</v>
      </c>
      <c r="P2409" s="54">
        <f t="shared" si="406"/>
        <v>3968</v>
      </c>
      <c r="Q2409" s="54"/>
      <c r="R2409" s="92">
        <v>3968</v>
      </c>
      <c r="S2409" s="53">
        <f t="shared" si="400"/>
        <v>0</v>
      </c>
      <c r="T2409" s="315">
        <f t="shared" si="401"/>
        <v>1152</v>
      </c>
      <c r="U2409" s="84">
        <f t="shared" si="402"/>
        <v>0</v>
      </c>
      <c r="V2409" s="84">
        <f t="shared" si="405"/>
        <v>0</v>
      </c>
      <c r="W2409" s="84">
        <v>0</v>
      </c>
      <c r="X2409" s="55">
        <f t="shared" si="403"/>
        <v>46153.001099537039</v>
      </c>
    </row>
    <row r="2410" spans="1:24" hidden="1" x14ac:dyDescent="0.35">
      <c r="A2410" s="46">
        <f t="shared" si="404"/>
        <v>46153.001099537039</v>
      </c>
      <c r="B2410" s="46"/>
      <c r="C2410" s="46"/>
      <c r="D2410" s="46"/>
      <c r="E2410" s="47" t="s">
        <v>3273</v>
      </c>
      <c r="F2410" s="48" t="s">
        <v>3303</v>
      </c>
      <c r="G2410" s="48"/>
      <c r="H2410" s="49" t="s">
        <v>3304</v>
      </c>
      <c r="I2410" s="82" t="s">
        <v>3290</v>
      </c>
      <c r="J2410" s="100" t="s">
        <v>140</v>
      </c>
      <c r="K2410" s="52">
        <v>0</v>
      </c>
      <c r="L2410" s="52">
        <v>0</v>
      </c>
      <c r="M2410" s="53">
        <v>75</v>
      </c>
      <c r="N2410" s="54">
        <v>5332</v>
      </c>
      <c r="O2410" s="341">
        <v>1</v>
      </c>
      <c r="P2410" s="54">
        <f t="shared" si="406"/>
        <v>5332</v>
      </c>
      <c r="Q2410" s="54"/>
      <c r="R2410" s="92">
        <v>5332</v>
      </c>
      <c r="S2410" s="53">
        <f t="shared" si="400"/>
        <v>0</v>
      </c>
      <c r="T2410" s="315">
        <f t="shared" si="401"/>
        <v>1152</v>
      </c>
      <c r="U2410" s="84">
        <f t="shared" si="402"/>
        <v>0</v>
      </c>
      <c r="V2410" s="84">
        <f t="shared" si="405"/>
        <v>0</v>
      </c>
      <c r="W2410" s="84">
        <v>0</v>
      </c>
      <c r="X2410" s="55">
        <f t="shared" si="403"/>
        <v>46153.001099537039</v>
      </c>
    </row>
    <row r="2411" spans="1:24" hidden="1" x14ac:dyDescent="0.35">
      <c r="A2411" s="46">
        <f t="shared" si="404"/>
        <v>46153.001099537039</v>
      </c>
      <c r="B2411" s="46"/>
      <c r="C2411" s="46"/>
      <c r="D2411" s="46"/>
      <c r="E2411" s="47" t="s">
        <v>3273</v>
      </c>
      <c r="F2411" s="48" t="s">
        <v>3305</v>
      </c>
      <c r="G2411" s="48"/>
      <c r="H2411" s="49" t="s">
        <v>3306</v>
      </c>
      <c r="I2411" s="82" t="s">
        <v>3290</v>
      </c>
      <c r="J2411" s="100" t="s">
        <v>140</v>
      </c>
      <c r="K2411" s="52">
        <v>0</v>
      </c>
      <c r="L2411" s="52">
        <v>0</v>
      </c>
      <c r="M2411" s="53">
        <v>75</v>
      </c>
      <c r="N2411" s="54">
        <v>20000</v>
      </c>
      <c r="O2411" s="341">
        <v>1</v>
      </c>
      <c r="P2411" s="54">
        <f t="shared" si="406"/>
        <v>20000</v>
      </c>
      <c r="Q2411" s="54"/>
      <c r="R2411" s="92">
        <v>20000</v>
      </c>
      <c r="S2411" s="53">
        <f t="shared" si="400"/>
        <v>0</v>
      </c>
      <c r="T2411" s="315">
        <f t="shared" si="401"/>
        <v>1152</v>
      </c>
      <c r="U2411" s="84">
        <f t="shared" si="402"/>
        <v>0</v>
      </c>
      <c r="V2411" s="84">
        <f t="shared" si="405"/>
        <v>0</v>
      </c>
      <c r="W2411" s="84">
        <v>0</v>
      </c>
      <c r="X2411" s="55">
        <f t="shared" si="403"/>
        <v>46153.001099537039</v>
      </c>
    </row>
    <row r="2412" spans="1:24" hidden="1" x14ac:dyDescent="0.35">
      <c r="A2412" s="46">
        <f t="shared" si="404"/>
        <v>46153.001099537039</v>
      </c>
      <c r="B2412" s="46"/>
      <c r="C2412" s="46"/>
      <c r="D2412" s="46"/>
      <c r="E2412" s="47" t="s">
        <v>3273</v>
      </c>
      <c r="F2412" s="48" t="s">
        <v>3307</v>
      </c>
      <c r="G2412" s="48"/>
      <c r="H2412" s="49" t="s">
        <v>3308</v>
      </c>
      <c r="I2412" s="82" t="s">
        <v>3290</v>
      </c>
      <c r="J2412" s="100" t="s">
        <v>140</v>
      </c>
      <c r="K2412" s="52">
        <v>0</v>
      </c>
      <c r="L2412" s="52">
        <v>0</v>
      </c>
      <c r="M2412" s="53">
        <v>75</v>
      </c>
      <c r="N2412" s="54">
        <v>8184</v>
      </c>
      <c r="O2412" s="341">
        <v>1</v>
      </c>
      <c r="P2412" s="54">
        <f t="shared" si="406"/>
        <v>8184</v>
      </c>
      <c r="Q2412" s="54"/>
      <c r="R2412" s="92">
        <v>8184</v>
      </c>
      <c r="S2412" s="53">
        <f t="shared" si="400"/>
        <v>0</v>
      </c>
      <c r="T2412" s="315">
        <f t="shared" si="401"/>
        <v>1152</v>
      </c>
      <c r="U2412" s="84">
        <f t="shared" si="402"/>
        <v>0</v>
      </c>
      <c r="V2412" s="84">
        <f t="shared" si="405"/>
        <v>0</v>
      </c>
      <c r="W2412" s="84">
        <v>0</v>
      </c>
      <c r="X2412" s="55">
        <f t="shared" si="403"/>
        <v>46153.001099537039</v>
      </c>
    </row>
    <row r="2413" spans="1:24" hidden="1" x14ac:dyDescent="0.35">
      <c r="A2413" s="46">
        <f t="shared" si="404"/>
        <v>46153.001099537039</v>
      </c>
      <c r="B2413" s="46"/>
      <c r="C2413" s="46"/>
      <c r="D2413" s="46"/>
      <c r="E2413" s="47" t="s">
        <v>3273</v>
      </c>
      <c r="F2413" s="48" t="s">
        <v>3309</v>
      </c>
      <c r="G2413" s="48"/>
      <c r="H2413" s="49" t="s">
        <v>3310</v>
      </c>
      <c r="I2413" s="82" t="s">
        <v>3290</v>
      </c>
      <c r="J2413" s="100" t="s">
        <v>140</v>
      </c>
      <c r="K2413" s="52">
        <v>0</v>
      </c>
      <c r="L2413" s="52">
        <v>0</v>
      </c>
      <c r="M2413" s="53">
        <v>75</v>
      </c>
      <c r="N2413" s="54">
        <v>20000</v>
      </c>
      <c r="O2413" s="341">
        <v>1</v>
      </c>
      <c r="P2413" s="54">
        <f t="shared" si="406"/>
        <v>20000</v>
      </c>
      <c r="Q2413" s="54"/>
      <c r="R2413" s="92">
        <v>20000</v>
      </c>
      <c r="S2413" s="53">
        <f t="shared" si="400"/>
        <v>0</v>
      </c>
      <c r="T2413" s="315">
        <f t="shared" si="401"/>
        <v>1152</v>
      </c>
      <c r="U2413" s="84">
        <f t="shared" si="402"/>
        <v>0</v>
      </c>
      <c r="V2413" s="84">
        <f t="shared" si="405"/>
        <v>0</v>
      </c>
      <c r="W2413" s="84">
        <v>0</v>
      </c>
      <c r="X2413" s="55">
        <f t="shared" si="403"/>
        <v>46153.001099537039</v>
      </c>
    </row>
    <row r="2414" spans="1:24" hidden="1" x14ac:dyDescent="0.35">
      <c r="A2414" s="46">
        <f t="shared" si="404"/>
        <v>46153.001099537039</v>
      </c>
      <c r="B2414" s="46"/>
      <c r="C2414" s="46"/>
      <c r="D2414" s="46"/>
      <c r="E2414" s="47" t="s">
        <v>3273</v>
      </c>
      <c r="F2414" s="48" t="s">
        <v>3311</v>
      </c>
      <c r="G2414" s="48"/>
      <c r="H2414" s="49" t="s">
        <v>3312</v>
      </c>
      <c r="I2414" s="82" t="s">
        <v>3290</v>
      </c>
      <c r="J2414" s="100" t="s">
        <v>140</v>
      </c>
      <c r="K2414" s="52">
        <v>0</v>
      </c>
      <c r="L2414" s="52">
        <v>0</v>
      </c>
      <c r="M2414" s="53">
        <v>75</v>
      </c>
      <c r="N2414" s="54">
        <v>2480</v>
      </c>
      <c r="O2414" s="341">
        <v>1</v>
      </c>
      <c r="P2414" s="54">
        <f t="shared" si="406"/>
        <v>2480</v>
      </c>
      <c r="Q2414" s="54"/>
      <c r="R2414" s="92">
        <v>2480</v>
      </c>
      <c r="S2414" s="53">
        <f t="shared" si="400"/>
        <v>0</v>
      </c>
      <c r="T2414" s="315">
        <f t="shared" si="401"/>
        <v>1152</v>
      </c>
      <c r="U2414" s="84">
        <f t="shared" si="402"/>
        <v>0</v>
      </c>
      <c r="V2414" s="84">
        <f t="shared" si="405"/>
        <v>0</v>
      </c>
      <c r="W2414" s="84">
        <v>0</v>
      </c>
      <c r="X2414" s="55">
        <f t="shared" si="403"/>
        <v>46153.001099537039</v>
      </c>
    </row>
    <row r="2415" spans="1:24" hidden="1" x14ac:dyDescent="0.35">
      <c r="A2415" s="46">
        <f t="shared" si="404"/>
        <v>46153.001099537039</v>
      </c>
      <c r="B2415" s="46"/>
      <c r="C2415" s="46"/>
      <c r="D2415" s="46"/>
      <c r="E2415" s="47" t="s">
        <v>3273</v>
      </c>
      <c r="F2415" s="48" t="s">
        <v>3313</v>
      </c>
      <c r="G2415" s="48"/>
      <c r="H2415" s="49" t="s">
        <v>3314</v>
      </c>
      <c r="I2415" s="82" t="s">
        <v>3290</v>
      </c>
      <c r="J2415" s="100" t="s">
        <v>140</v>
      </c>
      <c r="K2415" s="52">
        <v>0</v>
      </c>
      <c r="L2415" s="52">
        <v>0</v>
      </c>
      <c r="M2415" s="53">
        <v>75</v>
      </c>
      <c r="N2415" s="54">
        <v>7778</v>
      </c>
      <c r="O2415" s="341">
        <v>1</v>
      </c>
      <c r="P2415" s="54">
        <f t="shared" si="406"/>
        <v>7778</v>
      </c>
      <c r="Q2415" s="54"/>
      <c r="R2415" s="92">
        <v>7778</v>
      </c>
      <c r="S2415" s="53">
        <f t="shared" si="400"/>
        <v>0</v>
      </c>
      <c r="T2415" s="315">
        <f t="shared" si="401"/>
        <v>1152</v>
      </c>
      <c r="U2415" s="84">
        <f t="shared" si="402"/>
        <v>0</v>
      </c>
      <c r="V2415" s="84">
        <f t="shared" si="405"/>
        <v>0</v>
      </c>
      <c r="W2415" s="84">
        <v>0</v>
      </c>
      <c r="X2415" s="55">
        <f t="shared" si="403"/>
        <v>46153.001099537039</v>
      </c>
    </row>
    <row r="2416" spans="1:24" hidden="1" x14ac:dyDescent="0.35">
      <c r="A2416" s="46">
        <f t="shared" si="404"/>
        <v>46153.001099537039</v>
      </c>
      <c r="B2416" s="46"/>
      <c r="C2416" s="46"/>
      <c r="D2416" s="46"/>
      <c r="E2416" s="406" t="s">
        <v>3273</v>
      </c>
      <c r="F2416" s="538" t="s">
        <v>3315</v>
      </c>
      <c r="G2416" s="538"/>
      <c r="H2416" s="687" t="s">
        <v>3316</v>
      </c>
      <c r="I2416" s="688" t="s">
        <v>3290</v>
      </c>
      <c r="J2416" s="689" t="s">
        <v>140</v>
      </c>
      <c r="K2416" s="410">
        <v>0</v>
      </c>
      <c r="L2416" s="410">
        <v>0</v>
      </c>
      <c r="M2416" s="411">
        <v>75</v>
      </c>
      <c r="N2416" s="412">
        <v>7936</v>
      </c>
      <c r="O2416" s="413">
        <v>1</v>
      </c>
      <c r="P2416" s="412">
        <f t="shared" si="406"/>
        <v>7936</v>
      </c>
      <c r="Q2416" s="412"/>
      <c r="R2416" s="540">
        <v>7936</v>
      </c>
      <c r="S2416" s="411">
        <f t="shared" si="400"/>
        <v>0</v>
      </c>
      <c r="T2416" s="690">
        <f t="shared" si="401"/>
        <v>1152</v>
      </c>
      <c r="U2416" s="691">
        <f t="shared" si="402"/>
        <v>0</v>
      </c>
      <c r="V2416" s="691">
        <f t="shared" si="405"/>
        <v>0</v>
      </c>
      <c r="W2416" s="691">
        <v>0</v>
      </c>
      <c r="X2416" s="692">
        <f t="shared" si="403"/>
        <v>46153.001099537039</v>
      </c>
    </row>
    <row r="2417" spans="1:24" hidden="1" x14ac:dyDescent="0.35">
      <c r="A2417" s="46">
        <f t="shared" si="404"/>
        <v>46153.001099537039</v>
      </c>
      <c r="B2417" s="46"/>
      <c r="C2417" s="46"/>
      <c r="D2417" s="46"/>
      <c r="E2417" s="47" t="s">
        <v>3273</v>
      </c>
      <c r="F2417" s="48" t="s">
        <v>3317</v>
      </c>
      <c r="G2417" s="48"/>
      <c r="H2417" s="98" t="s">
        <v>3318</v>
      </c>
      <c r="I2417" s="82" t="s">
        <v>3290</v>
      </c>
      <c r="J2417" s="100" t="s">
        <v>140</v>
      </c>
      <c r="K2417" s="52">
        <v>0</v>
      </c>
      <c r="L2417" s="52">
        <v>0</v>
      </c>
      <c r="M2417" s="53">
        <v>75</v>
      </c>
      <c r="N2417" s="54">
        <v>20000</v>
      </c>
      <c r="O2417" s="341">
        <v>1</v>
      </c>
      <c r="P2417" s="54">
        <f t="shared" si="406"/>
        <v>20000</v>
      </c>
      <c r="Q2417" s="54"/>
      <c r="R2417" s="92">
        <v>20000</v>
      </c>
      <c r="S2417" s="53">
        <f t="shared" si="400"/>
        <v>0</v>
      </c>
      <c r="T2417" s="315">
        <f t="shared" si="401"/>
        <v>1152</v>
      </c>
      <c r="U2417" s="84">
        <f t="shared" si="402"/>
        <v>0</v>
      </c>
      <c r="V2417" s="84">
        <f t="shared" si="405"/>
        <v>0</v>
      </c>
      <c r="W2417" s="84">
        <v>0</v>
      </c>
      <c r="X2417" s="55">
        <f t="shared" si="403"/>
        <v>46153.001099537039</v>
      </c>
    </row>
    <row r="2418" spans="1:24" hidden="1" x14ac:dyDescent="0.35">
      <c r="A2418" s="46">
        <f t="shared" si="404"/>
        <v>46153.001099537039</v>
      </c>
      <c r="B2418" s="46"/>
      <c r="C2418" s="46"/>
      <c r="D2418" s="46"/>
      <c r="E2418" s="47" t="s">
        <v>3273</v>
      </c>
      <c r="F2418" s="222" t="s">
        <v>3319</v>
      </c>
      <c r="G2418" s="222"/>
      <c r="H2418" s="90" t="s">
        <v>3320</v>
      </c>
      <c r="I2418" s="104" t="s">
        <v>3290</v>
      </c>
      <c r="J2418" s="51" t="s">
        <v>140</v>
      </c>
      <c r="K2418" s="52">
        <v>0</v>
      </c>
      <c r="L2418" s="52">
        <v>0</v>
      </c>
      <c r="M2418" s="53">
        <v>75</v>
      </c>
      <c r="N2418" s="54">
        <v>8680</v>
      </c>
      <c r="O2418" s="341">
        <v>1</v>
      </c>
      <c r="P2418" s="54">
        <f t="shared" si="406"/>
        <v>8680</v>
      </c>
      <c r="Q2418" s="54"/>
      <c r="R2418" s="92">
        <v>8680</v>
      </c>
      <c r="S2418" s="53">
        <f t="shared" si="400"/>
        <v>0</v>
      </c>
      <c r="T2418" s="343">
        <f t="shared" si="401"/>
        <v>1152</v>
      </c>
      <c r="U2418" s="52">
        <f t="shared" si="402"/>
        <v>0</v>
      </c>
      <c r="V2418" s="52">
        <f t="shared" si="405"/>
        <v>0</v>
      </c>
      <c r="W2418" s="52">
        <v>0</v>
      </c>
      <c r="X2418" s="55">
        <f t="shared" si="403"/>
        <v>46153.001099537039</v>
      </c>
    </row>
    <row r="2419" spans="1:24" hidden="1" x14ac:dyDescent="0.35">
      <c r="A2419" s="46">
        <f t="shared" si="404"/>
        <v>46153.001099537039</v>
      </c>
      <c r="B2419" s="46"/>
      <c r="C2419" s="46"/>
      <c r="D2419" s="46"/>
      <c r="E2419" s="47" t="s">
        <v>3273</v>
      </c>
      <c r="F2419" s="222" t="s">
        <v>1079</v>
      </c>
      <c r="G2419" s="222"/>
      <c r="H2419" s="90" t="s">
        <v>3321</v>
      </c>
      <c r="I2419" s="104" t="s">
        <v>3322</v>
      </c>
      <c r="J2419" s="51" t="s">
        <v>140</v>
      </c>
      <c r="K2419" s="52">
        <v>0</v>
      </c>
      <c r="L2419" s="52">
        <v>0</v>
      </c>
      <c r="M2419" s="53">
        <v>75</v>
      </c>
      <c r="N2419" s="54">
        <v>15000</v>
      </c>
      <c r="O2419" s="341">
        <v>1</v>
      </c>
      <c r="P2419" s="54">
        <f t="shared" si="406"/>
        <v>15000</v>
      </c>
      <c r="Q2419" s="54"/>
      <c r="R2419" s="92">
        <v>15000</v>
      </c>
      <c r="S2419" s="53">
        <f t="shared" si="400"/>
        <v>0</v>
      </c>
      <c r="T2419" s="343">
        <f t="shared" si="401"/>
        <v>1152</v>
      </c>
      <c r="U2419" s="52">
        <f t="shared" si="402"/>
        <v>0</v>
      </c>
      <c r="V2419" s="52">
        <f t="shared" si="405"/>
        <v>0</v>
      </c>
      <c r="W2419" s="52">
        <v>0</v>
      </c>
      <c r="X2419" s="55">
        <f t="shared" si="403"/>
        <v>46153.001099537039</v>
      </c>
    </row>
    <row r="2420" spans="1:24" hidden="1" x14ac:dyDescent="0.35">
      <c r="A2420" s="46">
        <f t="shared" si="404"/>
        <v>46153.001099537039</v>
      </c>
      <c r="B2420" s="46"/>
      <c r="C2420" s="46"/>
      <c r="D2420" s="46"/>
      <c r="E2420" s="47" t="s">
        <v>3273</v>
      </c>
      <c r="F2420" s="222" t="s">
        <v>3323</v>
      </c>
      <c r="G2420" s="222"/>
      <c r="H2420" s="90" t="s">
        <v>3324</v>
      </c>
      <c r="I2420" s="104" t="s">
        <v>3290</v>
      </c>
      <c r="J2420" s="51" t="s">
        <v>140</v>
      </c>
      <c r="K2420" s="52">
        <v>0</v>
      </c>
      <c r="L2420" s="52">
        <v>0</v>
      </c>
      <c r="M2420" s="53">
        <v>75</v>
      </c>
      <c r="N2420" s="54">
        <v>2000</v>
      </c>
      <c r="O2420" s="341">
        <v>1</v>
      </c>
      <c r="P2420" s="54">
        <f t="shared" si="406"/>
        <v>2000</v>
      </c>
      <c r="Q2420" s="54"/>
      <c r="R2420" s="92">
        <v>2000</v>
      </c>
      <c r="S2420" s="53">
        <f t="shared" si="400"/>
        <v>0</v>
      </c>
      <c r="T2420" s="343">
        <f t="shared" si="401"/>
        <v>1152</v>
      </c>
      <c r="U2420" s="52">
        <f t="shared" si="402"/>
        <v>0</v>
      </c>
      <c r="V2420" s="52">
        <f t="shared" si="405"/>
        <v>0</v>
      </c>
      <c r="W2420" s="52">
        <v>0</v>
      </c>
      <c r="X2420" s="55">
        <f t="shared" si="403"/>
        <v>46153.001099537039</v>
      </c>
    </row>
    <row r="2421" spans="1:24" hidden="1" x14ac:dyDescent="0.35">
      <c r="A2421" s="46">
        <f t="shared" si="404"/>
        <v>46153.001099537039</v>
      </c>
      <c r="B2421" s="46"/>
      <c r="C2421" s="46"/>
      <c r="D2421" s="46"/>
      <c r="E2421" s="47" t="s">
        <v>3273</v>
      </c>
      <c r="F2421" s="222" t="s">
        <v>3325</v>
      </c>
      <c r="G2421" s="222"/>
      <c r="H2421" s="90" t="s">
        <v>3326</v>
      </c>
      <c r="I2421" s="104" t="s">
        <v>3290</v>
      </c>
      <c r="J2421" s="51" t="s">
        <v>140</v>
      </c>
      <c r="K2421" s="52">
        <v>0</v>
      </c>
      <c r="L2421" s="52">
        <v>0</v>
      </c>
      <c r="M2421" s="53">
        <v>75</v>
      </c>
      <c r="N2421" s="54">
        <v>7545</v>
      </c>
      <c r="O2421" s="341">
        <v>1</v>
      </c>
      <c r="P2421" s="54">
        <f t="shared" si="406"/>
        <v>7545</v>
      </c>
      <c r="Q2421" s="54"/>
      <c r="R2421" s="92">
        <v>7545</v>
      </c>
      <c r="S2421" s="53">
        <f t="shared" si="400"/>
        <v>0</v>
      </c>
      <c r="T2421" s="343">
        <f t="shared" si="401"/>
        <v>1152</v>
      </c>
      <c r="U2421" s="52">
        <f t="shared" si="402"/>
        <v>0</v>
      </c>
      <c r="V2421" s="52">
        <f t="shared" si="405"/>
        <v>0</v>
      </c>
      <c r="W2421" s="52">
        <v>0</v>
      </c>
      <c r="X2421" s="55">
        <f t="shared" si="403"/>
        <v>46153.001099537039</v>
      </c>
    </row>
    <row r="2422" spans="1:24" hidden="1" x14ac:dyDescent="0.35">
      <c r="A2422" s="46">
        <f t="shared" si="404"/>
        <v>46153.001099537039</v>
      </c>
      <c r="B2422" s="46"/>
      <c r="C2422" s="46"/>
      <c r="D2422" s="46"/>
      <c r="E2422" s="47" t="s">
        <v>3273</v>
      </c>
      <c r="F2422" s="222" t="s">
        <v>1102</v>
      </c>
      <c r="G2422" s="222"/>
      <c r="H2422" s="90" t="s">
        <v>3327</v>
      </c>
      <c r="I2422" s="104" t="s">
        <v>3290</v>
      </c>
      <c r="J2422" s="51" t="s">
        <v>140</v>
      </c>
      <c r="K2422" s="52">
        <v>0</v>
      </c>
      <c r="L2422" s="52">
        <v>0</v>
      </c>
      <c r="M2422" s="53">
        <v>75</v>
      </c>
      <c r="N2422" s="54">
        <v>15000</v>
      </c>
      <c r="O2422" s="341">
        <v>1</v>
      </c>
      <c r="P2422" s="54">
        <f t="shared" si="406"/>
        <v>15000</v>
      </c>
      <c r="Q2422" s="54"/>
      <c r="R2422" s="92">
        <v>15000</v>
      </c>
      <c r="S2422" s="53">
        <f t="shared" si="400"/>
        <v>0</v>
      </c>
      <c r="T2422" s="343">
        <f t="shared" si="401"/>
        <v>1152</v>
      </c>
      <c r="U2422" s="52">
        <f t="shared" si="402"/>
        <v>0</v>
      </c>
      <c r="V2422" s="52">
        <f t="shared" si="405"/>
        <v>0</v>
      </c>
      <c r="W2422" s="52">
        <v>0</v>
      </c>
      <c r="X2422" s="55">
        <f t="shared" si="403"/>
        <v>46153.001099537039</v>
      </c>
    </row>
    <row r="2423" spans="1:24" hidden="1" x14ac:dyDescent="0.35">
      <c r="A2423" s="46">
        <f t="shared" si="404"/>
        <v>46153.001099537039</v>
      </c>
      <c r="B2423" s="46"/>
      <c r="C2423" s="46"/>
      <c r="D2423" s="46"/>
      <c r="E2423" s="47" t="s">
        <v>3273</v>
      </c>
      <c r="F2423" s="222" t="s">
        <v>3328</v>
      </c>
      <c r="G2423" s="222"/>
      <c r="H2423" s="90" t="s">
        <v>3329</v>
      </c>
      <c r="I2423" s="104" t="s">
        <v>3290</v>
      </c>
      <c r="J2423" s="51" t="s">
        <v>140</v>
      </c>
      <c r="K2423" s="52">
        <v>0</v>
      </c>
      <c r="L2423" s="52">
        <v>0</v>
      </c>
      <c r="M2423" s="53">
        <v>75</v>
      </c>
      <c r="N2423" s="54">
        <v>1984</v>
      </c>
      <c r="O2423" s="341">
        <v>1</v>
      </c>
      <c r="P2423" s="54">
        <f t="shared" si="406"/>
        <v>1984</v>
      </c>
      <c r="Q2423" s="54"/>
      <c r="R2423" s="92">
        <v>1984</v>
      </c>
      <c r="S2423" s="53">
        <f t="shared" si="400"/>
        <v>0</v>
      </c>
      <c r="T2423" s="343">
        <f t="shared" si="401"/>
        <v>1152</v>
      </c>
      <c r="U2423" s="52">
        <f t="shared" si="402"/>
        <v>0</v>
      </c>
      <c r="V2423" s="52">
        <f t="shared" si="405"/>
        <v>0</v>
      </c>
      <c r="W2423" s="52">
        <v>0</v>
      </c>
      <c r="X2423" s="55">
        <f t="shared" si="403"/>
        <v>46153.001099537039</v>
      </c>
    </row>
    <row r="2424" spans="1:24" hidden="1" x14ac:dyDescent="0.35">
      <c r="A2424" s="46">
        <f t="shared" si="404"/>
        <v>46153.001099537039</v>
      </c>
      <c r="B2424" s="46"/>
      <c r="C2424" s="46"/>
      <c r="D2424" s="46"/>
      <c r="E2424" s="47" t="s">
        <v>3273</v>
      </c>
      <c r="F2424" s="222" t="s">
        <v>1104</v>
      </c>
      <c r="G2424" s="222"/>
      <c r="H2424" s="90" t="s">
        <v>3330</v>
      </c>
      <c r="I2424" s="104" t="s">
        <v>3290</v>
      </c>
      <c r="J2424" s="51" t="s">
        <v>140</v>
      </c>
      <c r="K2424" s="52">
        <v>0</v>
      </c>
      <c r="L2424" s="52">
        <v>0</v>
      </c>
      <c r="M2424" s="53">
        <v>75</v>
      </c>
      <c r="N2424" s="54">
        <v>15000</v>
      </c>
      <c r="O2424" s="341">
        <v>1</v>
      </c>
      <c r="P2424" s="54">
        <f t="shared" si="406"/>
        <v>15000</v>
      </c>
      <c r="Q2424" s="54"/>
      <c r="R2424" s="92">
        <v>15000</v>
      </c>
      <c r="S2424" s="53">
        <f t="shared" si="400"/>
        <v>0</v>
      </c>
      <c r="T2424" s="343">
        <f t="shared" si="401"/>
        <v>1152</v>
      </c>
      <c r="U2424" s="52">
        <f t="shared" si="402"/>
        <v>0</v>
      </c>
      <c r="V2424" s="52">
        <f t="shared" si="405"/>
        <v>0</v>
      </c>
      <c r="W2424" s="52">
        <v>0</v>
      </c>
      <c r="X2424" s="55">
        <f t="shared" si="403"/>
        <v>46153.001099537039</v>
      </c>
    </row>
    <row r="2425" spans="1:24" hidden="1" x14ac:dyDescent="0.35">
      <c r="A2425" s="46">
        <f t="shared" si="404"/>
        <v>46153.001099537039</v>
      </c>
      <c r="B2425" s="46"/>
      <c r="C2425" s="46"/>
      <c r="D2425" s="46"/>
      <c r="E2425" s="47" t="s">
        <v>3273</v>
      </c>
      <c r="F2425" s="222" t="s">
        <v>3331</v>
      </c>
      <c r="G2425" s="222"/>
      <c r="H2425" s="90" t="s">
        <v>3332</v>
      </c>
      <c r="I2425" s="104" t="s">
        <v>3290</v>
      </c>
      <c r="J2425" s="51" t="s">
        <v>140</v>
      </c>
      <c r="K2425" s="52">
        <v>0</v>
      </c>
      <c r="L2425" s="52">
        <v>0</v>
      </c>
      <c r="M2425" s="53">
        <v>75</v>
      </c>
      <c r="N2425" s="54">
        <v>2108</v>
      </c>
      <c r="O2425" s="341">
        <v>1</v>
      </c>
      <c r="P2425" s="54">
        <f t="shared" si="406"/>
        <v>2108</v>
      </c>
      <c r="Q2425" s="54"/>
      <c r="R2425" s="92">
        <v>2108</v>
      </c>
      <c r="S2425" s="53">
        <f t="shared" si="400"/>
        <v>0</v>
      </c>
      <c r="T2425" s="343">
        <f t="shared" si="401"/>
        <v>1152</v>
      </c>
      <c r="U2425" s="52">
        <f t="shared" si="402"/>
        <v>0</v>
      </c>
      <c r="V2425" s="52">
        <f t="shared" si="405"/>
        <v>0</v>
      </c>
      <c r="W2425" s="52">
        <v>0</v>
      </c>
      <c r="X2425" s="55">
        <f t="shared" si="403"/>
        <v>46153.001099537039</v>
      </c>
    </row>
    <row r="2426" spans="1:24" s="221" customFormat="1" hidden="1" x14ac:dyDescent="0.35">
      <c r="A2426" s="46">
        <f t="shared" si="404"/>
        <v>46153.001099537039</v>
      </c>
      <c r="B2426" s="46"/>
      <c r="C2426" s="46"/>
      <c r="D2426" s="46"/>
      <c r="E2426" s="47" t="s">
        <v>3273</v>
      </c>
      <c r="F2426" s="222" t="s">
        <v>3333</v>
      </c>
      <c r="G2426" s="222"/>
      <c r="H2426" s="90" t="s">
        <v>3334</v>
      </c>
      <c r="I2426" s="104" t="s">
        <v>3290</v>
      </c>
      <c r="J2426" s="51" t="s">
        <v>140</v>
      </c>
      <c r="K2426" s="52">
        <v>0</v>
      </c>
      <c r="L2426" s="52">
        <v>0</v>
      </c>
      <c r="M2426" s="53">
        <v>75</v>
      </c>
      <c r="N2426" s="54">
        <v>15000</v>
      </c>
      <c r="O2426" s="341">
        <v>1</v>
      </c>
      <c r="P2426" s="54">
        <f t="shared" si="406"/>
        <v>15000</v>
      </c>
      <c r="Q2426" s="54"/>
      <c r="R2426" s="92">
        <v>15000</v>
      </c>
      <c r="S2426" s="53">
        <f t="shared" si="400"/>
        <v>0</v>
      </c>
      <c r="T2426" s="343">
        <f t="shared" si="401"/>
        <v>1152</v>
      </c>
      <c r="U2426" s="52">
        <f t="shared" si="402"/>
        <v>0</v>
      </c>
      <c r="V2426" s="52">
        <f t="shared" si="405"/>
        <v>0</v>
      </c>
      <c r="W2426" s="52">
        <v>0</v>
      </c>
      <c r="X2426" s="55">
        <f t="shared" si="403"/>
        <v>46153.001099537039</v>
      </c>
    </row>
    <row r="2427" spans="1:24" s="221" customFormat="1" hidden="1" x14ac:dyDescent="0.35">
      <c r="A2427" s="46">
        <f t="shared" si="404"/>
        <v>46153.001099537039</v>
      </c>
      <c r="B2427" s="46"/>
      <c r="C2427" s="46"/>
      <c r="D2427" s="46"/>
      <c r="E2427" s="47" t="s">
        <v>3273</v>
      </c>
      <c r="F2427" s="222" t="s">
        <v>3335</v>
      </c>
      <c r="G2427" s="222"/>
      <c r="H2427" s="90" t="s">
        <v>3336</v>
      </c>
      <c r="I2427" s="104" t="s">
        <v>3290</v>
      </c>
      <c r="J2427" s="51" t="s">
        <v>140</v>
      </c>
      <c r="K2427" s="52">
        <v>0</v>
      </c>
      <c r="L2427" s="52">
        <v>0</v>
      </c>
      <c r="M2427" s="53">
        <v>75</v>
      </c>
      <c r="N2427" s="54">
        <v>15000</v>
      </c>
      <c r="O2427" s="341">
        <v>1</v>
      </c>
      <c r="P2427" s="54">
        <f t="shared" si="406"/>
        <v>15000</v>
      </c>
      <c r="Q2427" s="54"/>
      <c r="R2427" s="92">
        <v>15000</v>
      </c>
      <c r="S2427" s="53">
        <f t="shared" si="400"/>
        <v>0</v>
      </c>
      <c r="T2427" s="343">
        <f t="shared" si="401"/>
        <v>1152</v>
      </c>
      <c r="U2427" s="52">
        <f t="shared" si="402"/>
        <v>0</v>
      </c>
      <c r="V2427" s="52">
        <f t="shared" si="405"/>
        <v>0</v>
      </c>
      <c r="W2427" s="52">
        <v>0</v>
      </c>
      <c r="X2427" s="55">
        <f t="shared" si="403"/>
        <v>46153.001099537039</v>
      </c>
    </row>
    <row r="2428" spans="1:24" s="118" customFormat="1" hidden="1" x14ac:dyDescent="0.35">
      <c r="A2428" s="46">
        <f t="shared" si="404"/>
        <v>46153.001099537039</v>
      </c>
      <c r="B2428" s="46"/>
      <c r="C2428" s="46"/>
      <c r="D2428" s="46"/>
      <c r="E2428" s="47" t="s">
        <v>3273</v>
      </c>
      <c r="F2428" s="104" t="s">
        <v>3337</v>
      </c>
      <c r="G2428" s="104"/>
      <c r="H2428" s="90" t="s">
        <v>3338</v>
      </c>
      <c r="I2428" s="104" t="s">
        <v>3290</v>
      </c>
      <c r="J2428" s="51" t="s">
        <v>140</v>
      </c>
      <c r="K2428" s="91">
        <v>0</v>
      </c>
      <c r="L2428" s="91">
        <v>0</v>
      </c>
      <c r="M2428" s="92">
        <v>75</v>
      </c>
      <c r="N2428" s="94">
        <v>15000</v>
      </c>
      <c r="O2428" s="253">
        <v>1</v>
      </c>
      <c r="P2428" s="94">
        <f t="shared" si="406"/>
        <v>15000</v>
      </c>
      <c r="Q2428" s="94"/>
      <c r="R2428" s="92">
        <v>15000</v>
      </c>
      <c r="S2428" s="92">
        <f t="shared" si="400"/>
        <v>0</v>
      </c>
      <c r="T2428" s="254">
        <f t="shared" si="401"/>
        <v>1152</v>
      </c>
      <c r="U2428" s="91">
        <f t="shared" si="402"/>
        <v>0</v>
      </c>
      <c r="V2428" s="91">
        <f t="shared" si="405"/>
        <v>0</v>
      </c>
      <c r="W2428" s="91">
        <v>0</v>
      </c>
      <c r="X2428" s="55">
        <f t="shared" si="403"/>
        <v>46153.001099537039</v>
      </c>
    </row>
    <row r="2429" spans="1:24" s="118" customFormat="1" hidden="1" x14ac:dyDescent="0.35">
      <c r="A2429" s="46">
        <f t="shared" si="404"/>
        <v>46153.001099537039</v>
      </c>
      <c r="B2429" s="46"/>
      <c r="C2429" s="46"/>
      <c r="D2429" s="46"/>
      <c r="E2429" s="47" t="s">
        <v>3273</v>
      </c>
      <c r="F2429" s="104" t="s">
        <v>3339</v>
      </c>
      <c r="G2429" s="104"/>
      <c r="H2429" s="90" t="s">
        <v>3340</v>
      </c>
      <c r="I2429" s="104" t="s">
        <v>3290</v>
      </c>
      <c r="J2429" s="51" t="s">
        <v>140</v>
      </c>
      <c r="K2429" s="91">
        <v>0</v>
      </c>
      <c r="L2429" s="91">
        <v>0</v>
      </c>
      <c r="M2429" s="92">
        <v>75</v>
      </c>
      <c r="N2429" s="94">
        <v>992</v>
      </c>
      <c r="O2429" s="253">
        <v>1</v>
      </c>
      <c r="P2429" s="94">
        <f t="shared" si="406"/>
        <v>992</v>
      </c>
      <c r="Q2429" s="94"/>
      <c r="R2429" s="92">
        <v>992</v>
      </c>
      <c r="S2429" s="92">
        <f t="shared" si="400"/>
        <v>0</v>
      </c>
      <c r="T2429" s="254">
        <f t="shared" si="401"/>
        <v>1152</v>
      </c>
      <c r="U2429" s="91">
        <f t="shared" si="402"/>
        <v>0</v>
      </c>
      <c r="V2429" s="91">
        <f t="shared" si="405"/>
        <v>0</v>
      </c>
      <c r="W2429" s="91">
        <v>0</v>
      </c>
      <c r="X2429" s="55">
        <f t="shared" si="403"/>
        <v>46153.001099537039</v>
      </c>
    </row>
    <row r="2430" spans="1:24" s="118" customFormat="1" hidden="1" x14ac:dyDescent="0.35">
      <c r="A2430" s="46">
        <f t="shared" si="404"/>
        <v>46153.001099537039</v>
      </c>
      <c r="B2430" s="46"/>
      <c r="C2430" s="46"/>
      <c r="D2430" s="46"/>
      <c r="E2430" s="47" t="s">
        <v>3273</v>
      </c>
      <c r="F2430" s="104" t="s">
        <v>3341</v>
      </c>
      <c r="G2430" s="104"/>
      <c r="H2430" s="90" t="s">
        <v>3342</v>
      </c>
      <c r="I2430" s="104" t="s">
        <v>3290</v>
      </c>
      <c r="J2430" s="51" t="s">
        <v>140</v>
      </c>
      <c r="K2430" s="91">
        <v>0</v>
      </c>
      <c r="L2430" s="91">
        <v>0</v>
      </c>
      <c r="M2430" s="92">
        <v>75</v>
      </c>
      <c r="N2430" s="94">
        <v>10788</v>
      </c>
      <c r="O2430" s="253">
        <v>1</v>
      </c>
      <c r="P2430" s="94">
        <f t="shared" si="406"/>
        <v>10788</v>
      </c>
      <c r="Q2430" s="94"/>
      <c r="R2430" s="92">
        <v>10788</v>
      </c>
      <c r="S2430" s="92">
        <f t="shared" si="400"/>
        <v>0</v>
      </c>
      <c r="T2430" s="254">
        <f t="shared" si="401"/>
        <v>1152</v>
      </c>
      <c r="U2430" s="91">
        <f t="shared" si="402"/>
        <v>0</v>
      </c>
      <c r="V2430" s="91">
        <f t="shared" si="405"/>
        <v>0</v>
      </c>
      <c r="W2430" s="91">
        <v>0</v>
      </c>
      <c r="X2430" s="55">
        <f t="shared" si="403"/>
        <v>46153.001099537039</v>
      </c>
    </row>
    <row r="2431" spans="1:24" s="118" customFormat="1" hidden="1" x14ac:dyDescent="0.35">
      <c r="A2431" s="46">
        <f t="shared" si="404"/>
        <v>46153.001099537039</v>
      </c>
      <c r="B2431" s="46"/>
      <c r="C2431" s="46"/>
      <c r="D2431" s="46"/>
      <c r="E2431" s="47" t="s">
        <v>3273</v>
      </c>
      <c r="F2431" s="104" t="s">
        <v>1123</v>
      </c>
      <c r="G2431" s="104"/>
      <c r="H2431" s="90" t="s">
        <v>3343</v>
      </c>
      <c r="I2431" s="104" t="s">
        <v>3290</v>
      </c>
      <c r="J2431" s="51" t="s">
        <v>140</v>
      </c>
      <c r="K2431" s="91">
        <v>0</v>
      </c>
      <c r="L2431" s="91">
        <v>0</v>
      </c>
      <c r="M2431" s="92">
        <v>75</v>
      </c>
      <c r="N2431" s="94">
        <v>15000</v>
      </c>
      <c r="O2431" s="253">
        <v>1</v>
      </c>
      <c r="P2431" s="94">
        <f t="shared" si="406"/>
        <v>15000</v>
      </c>
      <c r="Q2431" s="94"/>
      <c r="R2431" s="92">
        <v>15000</v>
      </c>
      <c r="S2431" s="92">
        <f t="shared" si="400"/>
        <v>0</v>
      </c>
      <c r="T2431" s="254">
        <f t="shared" si="401"/>
        <v>1152</v>
      </c>
      <c r="U2431" s="91">
        <f t="shared" si="402"/>
        <v>0</v>
      </c>
      <c r="V2431" s="91">
        <f t="shared" si="405"/>
        <v>0</v>
      </c>
      <c r="W2431" s="91">
        <v>0</v>
      </c>
      <c r="X2431" s="55">
        <f t="shared" si="403"/>
        <v>46153.001099537039</v>
      </c>
    </row>
    <row r="2432" spans="1:24" s="118" customFormat="1" hidden="1" x14ac:dyDescent="0.35">
      <c r="A2432" s="46">
        <f t="shared" si="404"/>
        <v>46153.001099537039</v>
      </c>
      <c r="B2432" s="46"/>
      <c r="C2432" s="46"/>
      <c r="D2432" s="46"/>
      <c r="E2432" s="47" t="s">
        <v>3273</v>
      </c>
      <c r="F2432" s="104" t="s">
        <v>3344</v>
      </c>
      <c r="G2432" s="104"/>
      <c r="H2432" s="90" t="s">
        <v>3345</v>
      </c>
      <c r="I2432" s="104" t="s">
        <v>3290</v>
      </c>
      <c r="J2432" s="51" t="s">
        <v>140</v>
      </c>
      <c r="K2432" s="91">
        <v>0</v>
      </c>
      <c r="L2432" s="91">
        <v>0</v>
      </c>
      <c r="M2432" s="92">
        <v>75</v>
      </c>
      <c r="N2432" s="94">
        <v>6912</v>
      </c>
      <c r="O2432" s="253">
        <v>1</v>
      </c>
      <c r="P2432" s="94">
        <f t="shared" si="406"/>
        <v>6912</v>
      </c>
      <c r="Q2432" s="94"/>
      <c r="R2432" s="92">
        <v>6912</v>
      </c>
      <c r="S2432" s="92">
        <f t="shared" si="400"/>
        <v>0</v>
      </c>
      <c r="T2432" s="254">
        <f t="shared" si="401"/>
        <v>1152</v>
      </c>
      <c r="U2432" s="91">
        <f t="shared" si="402"/>
        <v>0</v>
      </c>
      <c r="V2432" s="91">
        <f t="shared" si="405"/>
        <v>0</v>
      </c>
      <c r="W2432" s="91">
        <v>0</v>
      </c>
      <c r="X2432" s="55">
        <f t="shared" si="403"/>
        <v>46153.001099537039</v>
      </c>
    </row>
    <row r="2433" spans="1:24" s="118" customFormat="1" hidden="1" x14ac:dyDescent="0.35">
      <c r="A2433" s="46">
        <f t="shared" si="404"/>
        <v>46153.001099537039</v>
      </c>
      <c r="B2433" s="46"/>
      <c r="C2433" s="46"/>
      <c r="D2433" s="46"/>
      <c r="E2433" s="47" t="s">
        <v>3273</v>
      </c>
      <c r="F2433" s="104" t="s">
        <v>3337</v>
      </c>
      <c r="G2433" s="104"/>
      <c r="H2433" s="90" t="s">
        <v>3346</v>
      </c>
      <c r="I2433" s="104" t="s">
        <v>3290</v>
      </c>
      <c r="J2433" s="51" t="s">
        <v>140</v>
      </c>
      <c r="K2433" s="91">
        <v>0</v>
      </c>
      <c r="L2433" s="91">
        <v>0</v>
      </c>
      <c r="M2433" s="92">
        <v>75</v>
      </c>
      <c r="N2433" s="94">
        <v>15000</v>
      </c>
      <c r="O2433" s="253">
        <v>1</v>
      </c>
      <c r="P2433" s="94">
        <f t="shared" si="406"/>
        <v>15000</v>
      </c>
      <c r="Q2433" s="94"/>
      <c r="R2433" s="92">
        <v>15000</v>
      </c>
      <c r="S2433" s="92">
        <f t="shared" si="400"/>
        <v>0</v>
      </c>
      <c r="T2433" s="254">
        <f t="shared" si="401"/>
        <v>1152</v>
      </c>
      <c r="U2433" s="91">
        <f t="shared" si="402"/>
        <v>0</v>
      </c>
      <c r="V2433" s="91">
        <f t="shared" si="405"/>
        <v>0</v>
      </c>
      <c r="W2433" s="91">
        <v>0</v>
      </c>
      <c r="X2433" s="55">
        <f t="shared" si="403"/>
        <v>46153.001099537039</v>
      </c>
    </row>
    <row r="2434" spans="1:24" s="118" customFormat="1" hidden="1" x14ac:dyDescent="0.35">
      <c r="A2434" s="46">
        <f t="shared" si="404"/>
        <v>46153.001099537039</v>
      </c>
      <c r="B2434" s="46"/>
      <c r="C2434" s="46"/>
      <c r="D2434" s="46"/>
      <c r="E2434" s="47" t="s">
        <v>3273</v>
      </c>
      <c r="F2434" s="104" t="s">
        <v>1137</v>
      </c>
      <c r="G2434" s="104"/>
      <c r="H2434" s="90" t="s">
        <v>3347</v>
      </c>
      <c r="I2434" s="104" t="s">
        <v>3290</v>
      </c>
      <c r="J2434" s="51" t="s">
        <v>140</v>
      </c>
      <c r="K2434" s="91">
        <v>0</v>
      </c>
      <c r="L2434" s="91">
        <v>0</v>
      </c>
      <c r="M2434" s="92">
        <v>75</v>
      </c>
      <c r="N2434" s="94">
        <v>15000</v>
      </c>
      <c r="O2434" s="253">
        <v>1</v>
      </c>
      <c r="P2434" s="94">
        <f t="shared" si="406"/>
        <v>15000</v>
      </c>
      <c r="Q2434" s="94"/>
      <c r="R2434" s="92">
        <v>15000</v>
      </c>
      <c r="S2434" s="92">
        <f t="shared" si="400"/>
        <v>0</v>
      </c>
      <c r="T2434" s="254">
        <f t="shared" si="401"/>
        <v>1152</v>
      </c>
      <c r="U2434" s="91">
        <f t="shared" si="402"/>
        <v>0</v>
      </c>
      <c r="V2434" s="91">
        <f t="shared" si="405"/>
        <v>0</v>
      </c>
      <c r="W2434" s="91">
        <v>0</v>
      </c>
      <c r="X2434" s="55">
        <f t="shared" si="403"/>
        <v>46153.001099537039</v>
      </c>
    </row>
    <row r="2435" spans="1:24" s="118" customFormat="1" hidden="1" x14ac:dyDescent="0.35">
      <c r="A2435" s="46">
        <f t="shared" si="404"/>
        <v>46153.001099537039</v>
      </c>
      <c r="B2435" s="46"/>
      <c r="C2435" s="46"/>
      <c r="D2435" s="46"/>
      <c r="E2435" s="47" t="s">
        <v>3273</v>
      </c>
      <c r="F2435" s="104" t="s">
        <v>3348</v>
      </c>
      <c r="G2435" s="104"/>
      <c r="H2435" s="90" t="s">
        <v>3349</v>
      </c>
      <c r="I2435" s="104" t="s">
        <v>3290</v>
      </c>
      <c r="J2435" s="51" t="s">
        <v>140</v>
      </c>
      <c r="K2435" s="91">
        <v>0</v>
      </c>
      <c r="L2435" s="91">
        <v>0</v>
      </c>
      <c r="M2435" s="92">
        <v>75</v>
      </c>
      <c r="N2435" s="94">
        <v>2100</v>
      </c>
      <c r="O2435" s="253">
        <v>1</v>
      </c>
      <c r="P2435" s="94">
        <f t="shared" si="406"/>
        <v>2100</v>
      </c>
      <c r="Q2435" s="94"/>
      <c r="R2435" s="92">
        <v>2100</v>
      </c>
      <c r="S2435" s="92">
        <f t="shared" si="400"/>
        <v>0</v>
      </c>
      <c r="T2435" s="254">
        <f t="shared" si="401"/>
        <v>1152</v>
      </c>
      <c r="U2435" s="91">
        <f t="shared" si="402"/>
        <v>0</v>
      </c>
      <c r="V2435" s="91">
        <f t="shared" si="405"/>
        <v>0</v>
      </c>
      <c r="W2435" s="91">
        <v>0</v>
      </c>
      <c r="X2435" s="55">
        <f t="shared" si="403"/>
        <v>46153.001099537039</v>
      </c>
    </row>
    <row r="2436" spans="1:24" s="118" customFormat="1" hidden="1" x14ac:dyDescent="0.35">
      <c r="A2436" s="46">
        <f t="shared" si="404"/>
        <v>46153.001099537039</v>
      </c>
      <c r="B2436" s="46"/>
      <c r="C2436" s="46"/>
      <c r="D2436" s="46"/>
      <c r="E2436" s="47" t="s">
        <v>3273</v>
      </c>
      <c r="F2436" s="104" t="s">
        <v>3350</v>
      </c>
      <c r="G2436" s="104"/>
      <c r="H2436" s="90" t="s">
        <v>3351</v>
      </c>
      <c r="I2436" s="104" t="s">
        <v>3290</v>
      </c>
      <c r="J2436" s="51" t="s">
        <v>140</v>
      </c>
      <c r="K2436" s="91">
        <v>0</v>
      </c>
      <c r="L2436" s="91">
        <v>0</v>
      </c>
      <c r="M2436" s="92">
        <v>75</v>
      </c>
      <c r="N2436" s="94">
        <v>7936</v>
      </c>
      <c r="O2436" s="253">
        <v>1</v>
      </c>
      <c r="P2436" s="94">
        <f t="shared" si="406"/>
        <v>7936</v>
      </c>
      <c r="Q2436" s="94"/>
      <c r="R2436" s="92">
        <v>7936</v>
      </c>
      <c r="S2436" s="92">
        <f t="shared" si="400"/>
        <v>0</v>
      </c>
      <c r="T2436" s="254">
        <f t="shared" si="401"/>
        <v>1152</v>
      </c>
      <c r="U2436" s="91">
        <f t="shared" si="402"/>
        <v>0</v>
      </c>
      <c r="V2436" s="91">
        <f t="shared" si="405"/>
        <v>0</v>
      </c>
      <c r="W2436" s="91">
        <v>0</v>
      </c>
      <c r="X2436" s="55">
        <f t="shared" si="403"/>
        <v>46153.001099537039</v>
      </c>
    </row>
    <row r="2437" spans="1:24" s="118" customFormat="1" hidden="1" x14ac:dyDescent="0.35">
      <c r="A2437" s="46">
        <f t="shared" si="404"/>
        <v>46153.001099537039</v>
      </c>
      <c r="B2437" s="46"/>
      <c r="C2437" s="46"/>
      <c r="D2437" s="46"/>
      <c r="E2437" s="47" t="s">
        <v>3273</v>
      </c>
      <c r="F2437" s="82" t="s">
        <v>1139</v>
      </c>
      <c r="G2437" s="82"/>
      <c r="H2437" s="90" t="s">
        <v>3352</v>
      </c>
      <c r="I2437" s="104" t="s">
        <v>3290</v>
      </c>
      <c r="J2437" s="51" t="s">
        <v>140</v>
      </c>
      <c r="K2437" s="91">
        <v>0</v>
      </c>
      <c r="L2437" s="91">
        <v>0</v>
      </c>
      <c r="M2437" s="92">
        <v>75</v>
      </c>
      <c r="N2437" s="94">
        <v>15000</v>
      </c>
      <c r="O2437" s="253">
        <v>1</v>
      </c>
      <c r="P2437" s="94">
        <f t="shared" si="406"/>
        <v>15000</v>
      </c>
      <c r="Q2437" s="94"/>
      <c r="R2437" s="92">
        <v>15000</v>
      </c>
      <c r="S2437" s="92">
        <f t="shared" si="400"/>
        <v>0</v>
      </c>
      <c r="T2437" s="254">
        <f t="shared" si="401"/>
        <v>1152</v>
      </c>
      <c r="U2437" s="91">
        <f t="shared" si="402"/>
        <v>0</v>
      </c>
      <c r="V2437" s="91">
        <f t="shared" si="405"/>
        <v>0</v>
      </c>
      <c r="W2437" s="91">
        <v>0</v>
      </c>
      <c r="X2437" s="55">
        <f t="shared" si="403"/>
        <v>46153.001099537039</v>
      </c>
    </row>
    <row r="2438" spans="1:24" s="118" customFormat="1" hidden="1" x14ac:dyDescent="0.35">
      <c r="A2438" s="46">
        <f t="shared" si="404"/>
        <v>46153.001099537039</v>
      </c>
      <c r="B2438" s="46"/>
      <c r="C2438" s="46"/>
      <c r="D2438" s="46"/>
      <c r="E2438" s="47" t="s">
        <v>3273</v>
      </c>
      <c r="F2438" s="82" t="s">
        <v>3353</v>
      </c>
      <c r="G2438" s="82"/>
      <c r="H2438" s="90" t="s">
        <v>3354</v>
      </c>
      <c r="I2438" s="104" t="s">
        <v>3290</v>
      </c>
      <c r="J2438" s="51" t="s">
        <v>140</v>
      </c>
      <c r="K2438" s="91">
        <v>0</v>
      </c>
      <c r="L2438" s="91">
        <v>0</v>
      </c>
      <c r="M2438" s="92">
        <v>75</v>
      </c>
      <c r="N2438" s="94">
        <v>3968</v>
      </c>
      <c r="O2438" s="253">
        <v>1</v>
      </c>
      <c r="P2438" s="94">
        <f t="shared" si="406"/>
        <v>3968</v>
      </c>
      <c r="Q2438" s="94"/>
      <c r="R2438" s="92">
        <v>3968</v>
      </c>
      <c r="S2438" s="92">
        <f t="shared" si="400"/>
        <v>0</v>
      </c>
      <c r="T2438" s="254">
        <f t="shared" si="401"/>
        <v>1152</v>
      </c>
      <c r="U2438" s="91">
        <f t="shared" si="402"/>
        <v>0</v>
      </c>
      <c r="V2438" s="91">
        <f t="shared" si="405"/>
        <v>0</v>
      </c>
      <c r="W2438" s="91">
        <v>0</v>
      </c>
      <c r="X2438" s="55">
        <f t="shared" si="403"/>
        <v>46153.001099537039</v>
      </c>
    </row>
    <row r="2439" spans="1:24" s="118" customFormat="1" hidden="1" x14ac:dyDescent="0.35">
      <c r="A2439" s="46">
        <f t="shared" si="404"/>
        <v>46153.001099537039</v>
      </c>
      <c r="B2439" s="46"/>
      <c r="C2439" s="46"/>
      <c r="D2439" s="46"/>
      <c r="E2439" s="47" t="s">
        <v>3273</v>
      </c>
      <c r="F2439" s="82" t="s">
        <v>3355</v>
      </c>
      <c r="G2439" s="82"/>
      <c r="H2439" s="90" t="s">
        <v>3356</v>
      </c>
      <c r="I2439" s="104" t="s">
        <v>3290</v>
      </c>
      <c r="J2439" s="51" t="s">
        <v>140</v>
      </c>
      <c r="K2439" s="91">
        <v>0</v>
      </c>
      <c r="L2439" s="91">
        <v>0</v>
      </c>
      <c r="M2439" s="92">
        <v>75</v>
      </c>
      <c r="N2439" s="94">
        <v>5456</v>
      </c>
      <c r="O2439" s="253">
        <v>1</v>
      </c>
      <c r="P2439" s="94">
        <f t="shared" si="406"/>
        <v>5456</v>
      </c>
      <c r="Q2439" s="94"/>
      <c r="R2439" s="92">
        <v>5456</v>
      </c>
      <c r="S2439" s="92">
        <f t="shared" si="400"/>
        <v>0</v>
      </c>
      <c r="T2439" s="254">
        <f t="shared" si="401"/>
        <v>1152</v>
      </c>
      <c r="U2439" s="91">
        <f t="shared" si="402"/>
        <v>0</v>
      </c>
      <c r="V2439" s="91">
        <f t="shared" si="405"/>
        <v>0</v>
      </c>
      <c r="W2439" s="91">
        <v>0</v>
      </c>
      <c r="X2439" s="55">
        <f t="shared" si="403"/>
        <v>46153.001099537039</v>
      </c>
    </row>
    <row r="2440" spans="1:24" s="118" customFormat="1" hidden="1" x14ac:dyDescent="0.35">
      <c r="A2440" s="46">
        <f t="shared" si="404"/>
        <v>46153.001099537039</v>
      </c>
      <c r="B2440" s="46"/>
      <c r="C2440" s="46"/>
      <c r="D2440" s="46"/>
      <c r="E2440" s="47" t="s">
        <v>3273</v>
      </c>
      <c r="F2440" s="82" t="s">
        <v>3357</v>
      </c>
      <c r="G2440" s="82"/>
      <c r="H2440" s="90" t="s">
        <v>3358</v>
      </c>
      <c r="I2440" s="104" t="s">
        <v>3290</v>
      </c>
      <c r="J2440" s="51" t="s">
        <v>140</v>
      </c>
      <c r="K2440" s="91">
        <v>0</v>
      </c>
      <c r="L2440" s="91">
        <v>0</v>
      </c>
      <c r="M2440" s="92">
        <v>75</v>
      </c>
      <c r="N2440" s="94">
        <v>3472</v>
      </c>
      <c r="O2440" s="253">
        <v>1</v>
      </c>
      <c r="P2440" s="94">
        <f t="shared" si="406"/>
        <v>3472</v>
      </c>
      <c r="Q2440" s="94"/>
      <c r="R2440" s="92">
        <v>3472</v>
      </c>
      <c r="S2440" s="92">
        <f t="shared" si="400"/>
        <v>0</v>
      </c>
      <c r="T2440" s="254">
        <f t="shared" si="401"/>
        <v>1152</v>
      </c>
      <c r="U2440" s="91">
        <f t="shared" si="402"/>
        <v>0</v>
      </c>
      <c r="V2440" s="91">
        <f t="shared" si="405"/>
        <v>0</v>
      </c>
      <c r="W2440" s="91">
        <v>0</v>
      </c>
      <c r="X2440" s="55">
        <f t="shared" si="403"/>
        <v>46153.001099537039</v>
      </c>
    </row>
    <row r="2441" spans="1:24" s="118" customFormat="1" hidden="1" x14ac:dyDescent="0.35">
      <c r="A2441" s="46">
        <f t="shared" si="404"/>
        <v>46153.001099537039</v>
      </c>
      <c r="B2441" s="46"/>
      <c r="C2441" s="46"/>
      <c r="D2441" s="46"/>
      <c r="E2441" s="47" t="s">
        <v>3273</v>
      </c>
      <c r="F2441" s="82" t="s">
        <v>3359</v>
      </c>
      <c r="G2441" s="82"/>
      <c r="H2441" s="90" t="s">
        <v>3360</v>
      </c>
      <c r="I2441" s="104" t="s">
        <v>3290</v>
      </c>
      <c r="J2441" s="51" t="s">
        <v>140</v>
      </c>
      <c r="K2441" s="91">
        <v>0</v>
      </c>
      <c r="L2441" s="91">
        <v>0</v>
      </c>
      <c r="M2441" s="92">
        <v>75</v>
      </c>
      <c r="N2441" s="94">
        <v>7936</v>
      </c>
      <c r="O2441" s="253">
        <v>1</v>
      </c>
      <c r="P2441" s="94">
        <f t="shared" si="406"/>
        <v>7936</v>
      </c>
      <c r="Q2441" s="94"/>
      <c r="R2441" s="92">
        <v>7936</v>
      </c>
      <c r="S2441" s="92">
        <f t="shared" si="400"/>
        <v>0</v>
      </c>
      <c r="T2441" s="254">
        <f t="shared" si="401"/>
        <v>1152</v>
      </c>
      <c r="U2441" s="91">
        <f t="shared" si="402"/>
        <v>0</v>
      </c>
      <c r="V2441" s="91">
        <f t="shared" si="405"/>
        <v>0</v>
      </c>
      <c r="W2441" s="91">
        <v>0</v>
      </c>
      <c r="X2441" s="55">
        <f t="shared" si="403"/>
        <v>46153.001099537039</v>
      </c>
    </row>
    <row r="2442" spans="1:24" s="118" customFormat="1" hidden="1" x14ac:dyDescent="0.35">
      <c r="A2442" s="46">
        <f t="shared" si="404"/>
        <v>46153.001099537039</v>
      </c>
      <c r="B2442" s="46"/>
      <c r="C2442" s="46"/>
      <c r="D2442" s="46"/>
      <c r="E2442" s="47" t="s">
        <v>3273</v>
      </c>
      <c r="F2442" s="82" t="s">
        <v>1162</v>
      </c>
      <c r="G2442" s="82"/>
      <c r="H2442" s="90" t="s">
        <v>3361</v>
      </c>
      <c r="I2442" s="104" t="s">
        <v>3290</v>
      </c>
      <c r="J2442" s="51" t="s">
        <v>140</v>
      </c>
      <c r="K2442" s="91">
        <v>0</v>
      </c>
      <c r="L2442" s="91">
        <v>0</v>
      </c>
      <c r="M2442" s="92">
        <v>75</v>
      </c>
      <c r="N2442" s="94">
        <v>15000</v>
      </c>
      <c r="O2442" s="253">
        <v>1</v>
      </c>
      <c r="P2442" s="94">
        <f t="shared" si="406"/>
        <v>15000</v>
      </c>
      <c r="Q2442" s="94"/>
      <c r="R2442" s="92">
        <v>15000</v>
      </c>
      <c r="S2442" s="92">
        <f t="shared" si="400"/>
        <v>0</v>
      </c>
      <c r="T2442" s="254">
        <f t="shared" si="401"/>
        <v>1152</v>
      </c>
      <c r="U2442" s="91">
        <f t="shared" si="402"/>
        <v>0</v>
      </c>
      <c r="V2442" s="91">
        <f t="shared" si="405"/>
        <v>0</v>
      </c>
      <c r="W2442" s="91">
        <v>0</v>
      </c>
      <c r="X2442" s="55">
        <f t="shared" si="403"/>
        <v>46153.001099537039</v>
      </c>
    </row>
    <row r="2443" spans="1:24" s="118" customFormat="1" hidden="1" x14ac:dyDescent="0.35">
      <c r="A2443" s="46">
        <f t="shared" si="404"/>
        <v>46153.001099537039</v>
      </c>
      <c r="B2443" s="46"/>
      <c r="C2443" s="46"/>
      <c r="D2443" s="46"/>
      <c r="E2443" s="47" t="s">
        <v>3273</v>
      </c>
      <c r="F2443" s="82" t="s">
        <v>3362</v>
      </c>
      <c r="G2443" s="82"/>
      <c r="H2443" s="90" t="s">
        <v>3363</v>
      </c>
      <c r="I2443" s="104" t="s">
        <v>3290</v>
      </c>
      <c r="J2443" s="51" t="s">
        <v>140</v>
      </c>
      <c r="K2443" s="91">
        <v>0</v>
      </c>
      <c r="L2443" s="91">
        <v>0</v>
      </c>
      <c r="M2443" s="92">
        <v>75</v>
      </c>
      <c r="N2443" s="94">
        <v>5952</v>
      </c>
      <c r="O2443" s="253">
        <v>1</v>
      </c>
      <c r="P2443" s="94">
        <f t="shared" si="406"/>
        <v>5952</v>
      </c>
      <c r="Q2443" s="94"/>
      <c r="R2443" s="92">
        <v>5952</v>
      </c>
      <c r="S2443" s="92">
        <f t="shared" si="400"/>
        <v>0</v>
      </c>
      <c r="T2443" s="254">
        <f t="shared" si="401"/>
        <v>1152</v>
      </c>
      <c r="U2443" s="91">
        <f t="shared" si="402"/>
        <v>0</v>
      </c>
      <c r="V2443" s="91">
        <f t="shared" si="405"/>
        <v>0</v>
      </c>
      <c r="W2443" s="91">
        <v>0</v>
      </c>
      <c r="X2443" s="55">
        <f t="shared" si="403"/>
        <v>46153.001099537039</v>
      </c>
    </row>
    <row r="2444" spans="1:24" s="118" customFormat="1" hidden="1" x14ac:dyDescent="0.35">
      <c r="A2444" s="46">
        <f t="shared" si="404"/>
        <v>46153.001099537039</v>
      </c>
      <c r="B2444" s="46"/>
      <c r="C2444" s="46"/>
      <c r="D2444" s="46"/>
      <c r="E2444" s="47" t="s">
        <v>3273</v>
      </c>
      <c r="F2444" s="82" t="s">
        <v>3364</v>
      </c>
      <c r="G2444" s="82"/>
      <c r="H2444" s="90" t="s">
        <v>3365</v>
      </c>
      <c r="I2444" s="104" t="s">
        <v>3290</v>
      </c>
      <c r="J2444" s="51" t="s">
        <v>140</v>
      </c>
      <c r="K2444" s="91">
        <v>0</v>
      </c>
      <c r="L2444" s="91">
        <v>0</v>
      </c>
      <c r="M2444" s="92">
        <v>75</v>
      </c>
      <c r="N2444" s="94">
        <v>3968</v>
      </c>
      <c r="O2444" s="253">
        <v>1</v>
      </c>
      <c r="P2444" s="94">
        <f t="shared" si="406"/>
        <v>3968</v>
      </c>
      <c r="Q2444" s="94"/>
      <c r="R2444" s="92">
        <v>3968</v>
      </c>
      <c r="S2444" s="92">
        <f t="shared" si="400"/>
        <v>0</v>
      </c>
      <c r="T2444" s="254">
        <f t="shared" si="401"/>
        <v>1152</v>
      </c>
      <c r="U2444" s="91">
        <f t="shared" si="402"/>
        <v>0</v>
      </c>
      <c r="V2444" s="91">
        <f t="shared" si="405"/>
        <v>0</v>
      </c>
      <c r="W2444" s="91">
        <v>0</v>
      </c>
      <c r="X2444" s="55">
        <f t="shared" si="403"/>
        <v>46153.001099537039</v>
      </c>
    </row>
    <row r="2445" spans="1:24" s="118" customFormat="1" hidden="1" x14ac:dyDescent="0.35">
      <c r="A2445" s="46">
        <f t="shared" si="404"/>
        <v>46153.001099537039</v>
      </c>
      <c r="B2445" s="46"/>
      <c r="C2445" s="46"/>
      <c r="D2445" s="46"/>
      <c r="E2445" s="47" t="s">
        <v>3273</v>
      </c>
      <c r="F2445" s="82" t="s">
        <v>3366</v>
      </c>
      <c r="G2445" s="82"/>
      <c r="H2445" s="90" t="s">
        <v>3367</v>
      </c>
      <c r="I2445" s="104" t="s">
        <v>3290</v>
      </c>
      <c r="J2445" s="51" t="s">
        <v>140</v>
      </c>
      <c r="K2445" s="91">
        <v>0</v>
      </c>
      <c r="L2445" s="91">
        <v>0</v>
      </c>
      <c r="M2445" s="92">
        <v>75</v>
      </c>
      <c r="N2445" s="94">
        <v>2108</v>
      </c>
      <c r="O2445" s="253">
        <v>1</v>
      </c>
      <c r="P2445" s="94">
        <f t="shared" si="406"/>
        <v>2108</v>
      </c>
      <c r="Q2445" s="94"/>
      <c r="R2445" s="92">
        <v>2108</v>
      </c>
      <c r="S2445" s="92">
        <f t="shared" si="400"/>
        <v>0</v>
      </c>
      <c r="T2445" s="254">
        <f t="shared" si="401"/>
        <v>1152</v>
      </c>
      <c r="U2445" s="91">
        <f t="shared" si="402"/>
        <v>0</v>
      </c>
      <c r="V2445" s="91">
        <f t="shared" si="405"/>
        <v>0</v>
      </c>
      <c r="W2445" s="91">
        <v>0</v>
      </c>
      <c r="X2445" s="55">
        <f t="shared" si="403"/>
        <v>46153.001099537039</v>
      </c>
    </row>
    <row r="2446" spans="1:24" s="118" customFormat="1" hidden="1" x14ac:dyDescent="0.35">
      <c r="A2446" s="46">
        <f t="shared" si="404"/>
        <v>46153.001099537039</v>
      </c>
      <c r="B2446" s="46"/>
      <c r="C2446" s="46"/>
      <c r="D2446" s="46"/>
      <c r="E2446" s="47" t="s">
        <v>3273</v>
      </c>
      <c r="F2446" s="82" t="s">
        <v>3368</v>
      </c>
      <c r="G2446" s="82"/>
      <c r="H2446" s="90" t="s">
        <v>3369</v>
      </c>
      <c r="I2446" s="104" t="s">
        <v>3290</v>
      </c>
      <c r="J2446" s="51" t="s">
        <v>140</v>
      </c>
      <c r="K2446" s="91">
        <v>0</v>
      </c>
      <c r="L2446" s="91">
        <v>0</v>
      </c>
      <c r="M2446" s="92">
        <v>75</v>
      </c>
      <c r="N2446" s="94">
        <v>3968</v>
      </c>
      <c r="O2446" s="253">
        <v>1</v>
      </c>
      <c r="P2446" s="94">
        <f t="shared" si="406"/>
        <v>3968</v>
      </c>
      <c r="Q2446" s="94"/>
      <c r="R2446" s="92">
        <v>3968</v>
      </c>
      <c r="S2446" s="92">
        <f t="shared" si="400"/>
        <v>0</v>
      </c>
      <c r="T2446" s="254">
        <f t="shared" si="401"/>
        <v>1152</v>
      </c>
      <c r="U2446" s="91">
        <f t="shared" si="402"/>
        <v>0</v>
      </c>
      <c r="V2446" s="91">
        <f t="shared" si="405"/>
        <v>0</v>
      </c>
      <c r="W2446" s="91">
        <v>0</v>
      </c>
      <c r="X2446" s="55">
        <f t="shared" si="403"/>
        <v>46153.001099537039</v>
      </c>
    </row>
    <row r="2447" spans="1:24" s="118" customFormat="1" hidden="1" x14ac:dyDescent="0.35">
      <c r="A2447" s="46">
        <f t="shared" si="404"/>
        <v>46153.001099537039</v>
      </c>
      <c r="B2447" s="46"/>
      <c r="C2447" s="46"/>
      <c r="D2447" s="46"/>
      <c r="E2447" s="47" t="s">
        <v>3273</v>
      </c>
      <c r="F2447" s="82" t="s">
        <v>1162</v>
      </c>
      <c r="G2447" s="82"/>
      <c r="H2447" s="90" t="s">
        <v>3370</v>
      </c>
      <c r="I2447" s="104" t="s">
        <v>3290</v>
      </c>
      <c r="J2447" s="51" t="s">
        <v>140</v>
      </c>
      <c r="K2447" s="91">
        <v>0</v>
      </c>
      <c r="L2447" s="91">
        <v>0</v>
      </c>
      <c r="M2447" s="92">
        <v>75</v>
      </c>
      <c r="N2447" s="94">
        <v>15000</v>
      </c>
      <c r="O2447" s="253">
        <v>1</v>
      </c>
      <c r="P2447" s="94">
        <f t="shared" si="406"/>
        <v>15000</v>
      </c>
      <c r="Q2447" s="94"/>
      <c r="R2447" s="92">
        <v>15000</v>
      </c>
      <c r="S2447" s="92">
        <f t="shared" si="400"/>
        <v>0</v>
      </c>
      <c r="T2447" s="254">
        <f t="shared" si="401"/>
        <v>1152</v>
      </c>
      <c r="U2447" s="91">
        <f t="shared" si="402"/>
        <v>0</v>
      </c>
      <c r="V2447" s="91">
        <f t="shared" si="405"/>
        <v>0</v>
      </c>
      <c r="W2447" s="91">
        <v>0</v>
      </c>
      <c r="X2447" s="55">
        <f t="shared" si="403"/>
        <v>46153.001099537039</v>
      </c>
    </row>
    <row r="2448" spans="1:24" s="118" customFormat="1" hidden="1" x14ac:dyDescent="0.35">
      <c r="A2448" s="46">
        <f t="shared" si="404"/>
        <v>46153.001099537039</v>
      </c>
      <c r="B2448" s="46"/>
      <c r="C2448" s="46"/>
      <c r="D2448" s="46"/>
      <c r="E2448" s="47" t="s">
        <v>3273</v>
      </c>
      <c r="F2448" s="82" t="s">
        <v>3371</v>
      </c>
      <c r="G2448" s="82"/>
      <c r="H2448" s="90" t="s">
        <v>3372</v>
      </c>
      <c r="I2448" s="104" t="s">
        <v>3290</v>
      </c>
      <c r="J2448" s="51" t="s">
        <v>140</v>
      </c>
      <c r="K2448" s="91">
        <v>0</v>
      </c>
      <c r="L2448" s="91">
        <v>0</v>
      </c>
      <c r="M2448" s="92">
        <v>75</v>
      </c>
      <c r="N2448" s="94">
        <v>7936</v>
      </c>
      <c r="O2448" s="253">
        <v>1</v>
      </c>
      <c r="P2448" s="94">
        <f t="shared" si="406"/>
        <v>7936</v>
      </c>
      <c r="Q2448" s="94"/>
      <c r="R2448" s="92">
        <v>7936</v>
      </c>
      <c r="S2448" s="92">
        <f t="shared" si="400"/>
        <v>0</v>
      </c>
      <c r="T2448" s="254">
        <f t="shared" si="401"/>
        <v>1152</v>
      </c>
      <c r="U2448" s="91">
        <f t="shared" si="402"/>
        <v>0</v>
      </c>
      <c r="V2448" s="91">
        <f t="shared" si="405"/>
        <v>0</v>
      </c>
      <c r="W2448" s="91">
        <v>0</v>
      </c>
      <c r="X2448" s="55">
        <f t="shared" si="403"/>
        <v>46153.001099537039</v>
      </c>
    </row>
    <row r="2449" spans="1:24" s="118" customFormat="1" hidden="1" x14ac:dyDescent="0.35">
      <c r="A2449" s="46">
        <f t="shared" si="404"/>
        <v>46153.001099537039</v>
      </c>
      <c r="B2449" s="46"/>
      <c r="C2449" s="46"/>
      <c r="D2449" s="46"/>
      <c r="E2449" s="47" t="s">
        <v>3273</v>
      </c>
      <c r="F2449" s="82" t="s">
        <v>3373</v>
      </c>
      <c r="G2449" s="82"/>
      <c r="H2449" s="90" t="s">
        <v>3374</v>
      </c>
      <c r="I2449" s="104" t="s">
        <v>3290</v>
      </c>
      <c r="J2449" s="51" t="s">
        <v>140</v>
      </c>
      <c r="K2449" s="91">
        <v>0</v>
      </c>
      <c r="L2449" s="91">
        <v>0</v>
      </c>
      <c r="M2449" s="92">
        <v>75</v>
      </c>
      <c r="N2449" s="94">
        <v>15872</v>
      </c>
      <c r="O2449" s="253">
        <v>1</v>
      </c>
      <c r="P2449" s="94">
        <f t="shared" si="406"/>
        <v>15872</v>
      </c>
      <c r="Q2449" s="94"/>
      <c r="R2449" s="92">
        <v>15872</v>
      </c>
      <c r="S2449" s="92">
        <f t="shared" ref="S2449:S2484" si="407">P2449-R2449</f>
        <v>0</v>
      </c>
      <c r="T2449" s="254">
        <f t="shared" ref="T2449:T2474" si="408">((3600/M2449)*O2449)*24</f>
        <v>1152</v>
      </c>
      <c r="U2449" s="91">
        <f t="shared" ref="U2449:U2474" si="409">(P2449-R2449)*M2449/3600</f>
        <v>0</v>
      </c>
      <c r="V2449" s="91">
        <f t="shared" si="405"/>
        <v>0</v>
      </c>
      <c r="W2449" s="91">
        <v>0</v>
      </c>
      <c r="X2449" s="55">
        <f t="shared" ref="X2449:X2484" si="410">A2449+K2449+V2449+W2449+L2449</f>
        <v>46153.001099537039</v>
      </c>
    </row>
    <row r="2450" spans="1:24" s="118" customFormat="1" hidden="1" x14ac:dyDescent="0.35">
      <c r="A2450" s="46">
        <f t="shared" ref="A2450:A2484" si="411">X2449</f>
        <v>46153.001099537039</v>
      </c>
      <c r="B2450" s="46"/>
      <c r="C2450" s="46"/>
      <c r="D2450" s="46"/>
      <c r="E2450" s="47" t="s">
        <v>3273</v>
      </c>
      <c r="F2450" s="82" t="s">
        <v>3375</v>
      </c>
      <c r="G2450" s="82"/>
      <c r="H2450" s="90" t="s">
        <v>3376</v>
      </c>
      <c r="I2450" s="104" t="s">
        <v>3290</v>
      </c>
      <c r="J2450" s="51" t="s">
        <v>140</v>
      </c>
      <c r="K2450" s="91">
        <v>0</v>
      </c>
      <c r="L2450" s="91">
        <v>0</v>
      </c>
      <c r="M2450" s="92">
        <v>75</v>
      </c>
      <c r="N2450" s="94">
        <v>15000</v>
      </c>
      <c r="O2450" s="253">
        <v>1</v>
      </c>
      <c r="P2450" s="94">
        <f t="shared" si="406"/>
        <v>15000</v>
      </c>
      <c r="Q2450" s="94"/>
      <c r="R2450" s="92">
        <v>15000</v>
      </c>
      <c r="S2450" s="92">
        <f t="shared" si="407"/>
        <v>0</v>
      </c>
      <c r="T2450" s="254">
        <f t="shared" si="408"/>
        <v>1152</v>
      </c>
      <c r="U2450" s="91">
        <f t="shared" si="409"/>
        <v>0</v>
      </c>
      <c r="V2450" s="91">
        <f t="shared" si="405"/>
        <v>0</v>
      </c>
      <c r="W2450" s="91">
        <v>0</v>
      </c>
      <c r="X2450" s="55">
        <f t="shared" si="410"/>
        <v>46153.001099537039</v>
      </c>
    </row>
    <row r="2451" spans="1:24" s="118" customFormat="1" hidden="1" x14ac:dyDescent="0.35">
      <c r="A2451" s="46">
        <f t="shared" si="411"/>
        <v>46153.001099537039</v>
      </c>
      <c r="B2451" s="46"/>
      <c r="C2451" s="46"/>
      <c r="D2451" s="46"/>
      <c r="E2451" s="47" t="s">
        <v>3273</v>
      </c>
      <c r="F2451" s="82" t="s">
        <v>3377</v>
      </c>
      <c r="G2451" s="82"/>
      <c r="H2451" s="90" t="s">
        <v>3378</v>
      </c>
      <c r="I2451" s="104" t="s">
        <v>3290</v>
      </c>
      <c r="J2451" s="51" t="s">
        <v>140</v>
      </c>
      <c r="K2451" s="91">
        <v>0</v>
      </c>
      <c r="L2451" s="91">
        <v>0</v>
      </c>
      <c r="M2451" s="92">
        <v>75</v>
      </c>
      <c r="N2451" s="94">
        <v>7936</v>
      </c>
      <c r="O2451" s="253">
        <v>1</v>
      </c>
      <c r="P2451" s="94">
        <f t="shared" si="406"/>
        <v>7936</v>
      </c>
      <c r="Q2451" s="94"/>
      <c r="R2451" s="92">
        <v>7936</v>
      </c>
      <c r="S2451" s="92">
        <f t="shared" si="407"/>
        <v>0</v>
      </c>
      <c r="T2451" s="254">
        <f t="shared" si="408"/>
        <v>1152</v>
      </c>
      <c r="U2451" s="91">
        <f t="shared" si="409"/>
        <v>0</v>
      </c>
      <c r="V2451" s="91">
        <f t="shared" si="405"/>
        <v>0</v>
      </c>
      <c r="W2451" s="91">
        <v>0</v>
      </c>
      <c r="X2451" s="55">
        <f t="shared" si="410"/>
        <v>46153.001099537039</v>
      </c>
    </row>
    <row r="2452" spans="1:24" s="118" customFormat="1" hidden="1" x14ac:dyDescent="0.35">
      <c r="A2452" s="46">
        <f t="shared" si="411"/>
        <v>46153.001099537039</v>
      </c>
      <c r="B2452" s="46"/>
      <c r="C2452" s="46"/>
      <c r="D2452" s="46"/>
      <c r="E2452" s="47" t="s">
        <v>3273</v>
      </c>
      <c r="F2452" s="82" t="s">
        <v>3377</v>
      </c>
      <c r="G2452" s="82"/>
      <c r="H2452" s="90" t="s">
        <v>3379</v>
      </c>
      <c r="I2452" s="104" t="s">
        <v>3290</v>
      </c>
      <c r="J2452" s="51" t="s">
        <v>140</v>
      </c>
      <c r="K2452" s="91">
        <v>0</v>
      </c>
      <c r="L2452" s="91">
        <v>0</v>
      </c>
      <c r="M2452" s="92">
        <v>75</v>
      </c>
      <c r="N2452" s="94">
        <v>3968</v>
      </c>
      <c r="O2452" s="253">
        <v>1</v>
      </c>
      <c r="P2452" s="94">
        <f t="shared" si="406"/>
        <v>3968</v>
      </c>
      <c r="Q2452" s="94"/>
      <c r="R2452" s="92">
        <v>3968</v>
      </c>
      <c r="S2452" s="92">
        <f t="shared" si="407"/>
        <v>0</v>
      </c>
      <c r="T2452" s="254">
        <f t="shared" si="408"/>
        <v>1152</v>
      </c>
      <c r="U2452" s="91">
        <f t="shared" si="409"/>
        <v>0</v>
      </c>
      <c r="V2452" s="91">
        <f t="shared" si="405"/>
        <v>0</v>
      </c>
      <c r="W2452" s="91">
        <v>0</v>
      </c>
      <c r="X2452" s="55">
        <f t="shared" si="410"/>
        <v>46153.001099537039</v>
      </c>
    </row>
    <row r="2453" spans="1:24" s="118" customFormat="1" hidden="1" x14ac:dyDescent="0.35">
      <c r="A2453" s="46">
        <f t="shared" si="411"/>
        <v>46153.001099537039</v>
      </c>
      <c r="B2453" s="46"/>
      <c r="C2453" s="46"/>
      <c r="D2453" s="46"/>
      <c r="E2453" s="47" t="s">
        <v>3273</v>
      </c>
      <c r="F2453" s="82" t="s">
        <v>3377</v>
      </c>
      <c r="G2453" s="82"/>
      <c r="H2453" s="90" t="s">
        <v>3380</v>
      </c>
      <c r="I2453" s="104" t="s">
        <v>3290</v>
      </c>
      <c r="J2453" s="51" t="s">
        <v>140</v>
      </c>
      <c r="K2453" s="91">
        <v>0</v>
      </c>
      <c r="L2453" s="91">
        <v>0</v>
      </c>
      <c r="M2453" s="92">
        <v>75</v>
      </c>
      <c r="N2453" s="94">
        <v>3968</v>
      </c>
      <c r="O2453" s="253">
        <v>1</v>
      </c>
      <c r="P2453" s="94">
        <f t="shared" si="406"/>
        <v>3968</v>
      </c>
      <c r="Q2453" s="94"/>
      <c r="R2453" s="92">
        <v>3968</v>
      </c>
      <c r="S2453" s="92">
        <f t="shared" si="407"/>
        <v>0</v>
      </c>
      <c r="T2453" s="254">
        <f t="shared" si="408"/>
        <v>1152</v>
      </c>
      <c r="U2453" s="91">
        <f t="shared" si="409"/>
        <v>0</v>
      </c>
      <c r="V2453" s="91">
        <f t="shared" si="405"/>
        <v>0</v>
      </c>
      <c r="W2453" s="91">
        <v>0</v>
      </c>
      <c r="X2453" s="55">
        <f t="shared" si="410"/>
        <v>46153.001099537039</v>
      </c>
    </row>
    <row r="2454" spans="1:24" s="118" customFormat="1" hidden="1" x14ac:dyDescent="0.35">
      <c r="A2454" s="46">
        <f t="shared" si="411"/>
        <v>46153.001099537039</v>
      </c>
      <c r="B2454" s="46"/>
      <c r="C2454" s="46"/>
      <c r="D2454" s="46"/>
      <c r="E2454" s="47" t="s">
        <v>3273</v>
      </c>
      <c r="F2454" s="82" t="s">
        <v>3381</v>
      </c>
      <c r="G2454" s="82"/>
      <c r="H2454" s="90" t="s">
        <v>3382</v>
      </c>
      <c r="I2454" s="104" t="s">
        <v>3290</v>
      </c>
      <c r="J2454" s="51" t="s">
        <v>140</v>
      </c>
      <c r="K2454" s="91">
        <v>0</v>
      </c>
      <c r="L2454" s="91">
        <v>0</v>
      </c>
      <c r="M2454" s="92">
        <v>75</v>
      </c>
      <c r="N2454" s="94">
        <v>3968</v>
      </c>
      <c r="O2454" s="253">
        <v>1</v>
      </c>
      <c r="P2454" s="94">
        <f t="shared" si="406"/>
        <v>3968</v>
      </c>
      <c r="Q2454" s="94"/>
      <c r="R2454" s="92">
        <v>3968</v>
      </c>
      <c r="S2454" s="92">
        <f t="shared" si="407"/>
        <v>0</v>
      </c>
      <c r="T2454" s="254">
        <f t="shared" si="408"/>
        <v>1152</v>
      </c>
      <c r="U2454" s="91">
        <f t="shared" si="409"/>
        <v>0</v>
      </c>
      <c r="V2454" s="91">
        <f t="shared" si="405"/>
        <v>0</v>
      </c>
      <c r="W2454" s="91">
        <v>0</v>
      </c>
      <c r="X2454" s="55">
        <f t="shared" si="410"/>
        <v>46153.001099537039</v>
      </c>
    </row>
    <row r="2455" spans="1:24" s="118" customFormat="1" hidden="1" x14ac:dyDescent="0.35">
      <c r="A2455" s="46">
        <f t="shared" si="411"/>
        <v>46153.001099537039</v>
      </c>
      <c r="B2455" s="46"/>
      <c r="C2455" s="46"/>
      <c r="D2455" s="46"/>
      <c r="E2455" s="47" t="s">
        <v>3273</v>
      </c>
      <c r="F2455" s="82" t="s">
        <v>3383</v>
      </c>
      <c r="G2455" s="82"/>
      <c r="H2455" s="90" t="s">
        <v>3384</v>
      </c>
      <c r="I2455" s="104" t="s">
        <v>3290</v>
      </c>
      <c r="J2455" s="51" t="s">
        <v>140</v>
      </c>
      <c r="K2455" s="91">
        <v>0</v>
      </c>
      <c r="L2455" s="91">
        <v>0</v>
      </c>
      <c r="M2455" s="92">
        <v>75</v>
      </c>
      <c r="N2455" s="94">
        <v>3968</v>
      </c>
      <c r="O2455" s="253">
        <v>1</v>
      </c>
      <c r="P2455" s="94">
        <f t="shared" si="406"/>
        <v>3968</v>
      </c>
      <c r="Q2455" s="94"/>
      <c r="R2455" s="92">
        <v>3968</v>
      </c>
      <c r="S2455" s="92">
        <f t="shared" si="407"/>
        <v>0</v>
      </c>
      <c r="T2455" s="254">
        <f t="shared" si="408"/>
        <v>1152</v>
      </c>
      <c r="U2455" s="91">
        <f t="shared" si="409"/>
        <v>0</v>
      </c>
      <c r="V2455" s="91">
        <f t="shared" si="405"/>
        <v>0</v>
      </c>
      <c r="W2455" s="91">
        <v>0</v>
      </c>
      <c r="X2455" s="55">
        <f t="shared" si="410"/>
        <v>46153.001099537039</v>
      </c>
    </row>
    <row r="2456" spans="1:24" s="118" customFormat="1" hidden="1" x14ac:dyDescent="0.35">
      <c r="A2456" s="46">
        <f t="shared" si="411"/>
        <v>46153.001099537039</v>
      </c>
      <c r="B2456" s="46"/>
      <c r="C2456" s="46"/>
      <c r="D2456" s="46"/>
      <c r="E2456" s="47" t="s">
        <v>3273</v>
      </c>
      <c r="F2456" s="82" t="s">
        <v>3385</v>
      </c>
      <c r="G2456" s="82"/>
      <c r="H2456" s="90" t="s">
        <v>3386</v>
      </c>
      <c r="I2456" s="104" t="s">
        <v>3290</v>
      </c>
      <c r="J2456" s="51" t="s">
        <v>140</v>
      </c>
      <c r="K2456" s="91">
        <v>0</v>
      </c>
      <c r="L2456" s="91">
        <v>0</v>
      </c>
      <c r="M2456" s="92">
        <v>75</v>
      </c>
      <c r="N2456" s="94">
        <v>3968</v>
      </c>
      <c r="O2456" s="253">
        <v>1</v>
      </c>
      <c r="P2456" s="94">
        <f t="shared" si="406"/>
        <v>3968</v>
      </c>
      <c r="Q2456" s="94"/>
      <c r="R2456" s="92">
        <v>3968</v>
      </c>
      <c r="S2456" s="92">
        <f t="shared" si="407"/>
        <v>0</v>
      </c>
      <c r="T2456" s="254">
        <f t="shared" si="408"/>
        <v>1152</v>
      </c>
      <c r="U2456" s="91">
        <f t="shared" si="409"/>
        <v>0</v>
      </c>
      <c r="V2456" s="91">
        <f t="shared" si="405"/>
        <v>0</v>
      </c>
      <c r="W2456" s="91">
        <v>0</v>
      </c>
      <c r="X2456" s="55">
        <f t="shared" si="410"/>
        <v>46153.001099537039</v>
      </c>
    </row>
    <row r="2457" spans="1:24" s="118" customFormat="1" hidden="1" x14ac:dyDescent="0.35">
      <c r="A2457" s="46">
        <f t="shared" si="411"/>
        <v>46153.001099537039</v>
      </c>
      <c r="B2457" s="46"/>
      <c r="C2457" s="46"/>
      <c r="D2457" s="46"/>
      <c r="E2457" s="47" t="s">
        <v>3273</v>
      </c>
      <c r="F2457" s="82" t="s">
        <v>3387</v>
      </c>
      <c r="G2457" s="82"/>
      <c r="H2457" s="90" t="s">
        <v>3388</v>
      </c>
      <c r="I2457" s="104" t="s">
        <v>3290</v>
      </c>
      <c r="J2457" s="51" t="s">
        <v>140</v>
      </c>
      <c r="K2457" s="91">
        <v>0</v>
      </c>
      <c r="L2457" s="91">
        <v>0</v>
      </c>
      <c r="M2457" s="92">
        <v>75</v>
      </c>
      <c r="N2457" s="94">
        <v>992</v>
      </c>
      <c r="O2457" s="253">
        <v>1</v>
      </c>
      <c r="P2457" s="94">
        <f t="shared" si="406"/>
        <v>992</v>
      </c>
      <c r="Q2457" s="94"/>
      <c r="R2457" s="92">
        <v>992</v>
      </c>
      <c r="S2457" s="92">
        <f t="shared" si="407"/>
        <v>0</v>
      </c>
      <c r="T2457" s="254">
        <f t="shared" si="408"/>
        <v>1152</v>
      </c>
      <c r="U2457" s="91">
        <f t="shared" si="409"/>
        <v>0</v>
      </c>
      <c r="V2457" s="91">
        <f t="shared" si="405"/>
        <v>0</v>
      </c>
      <c r="W2457" s="91">
        <v>0</v>
      </c>
      <c r="X2457" s="55">
        <f t="shared" si="410"/>
        <v>46153.001099537039</v>
      </c>
    </row>
    <row r="2458" spans="1:24" s="118" customFormat="1" hidden="1" x14ac:dyDescent="0.35">
      <c r="A2458" s="46">
        <f t="shared" si="411"/>
        <v>46153.001099537039</v>
      </c>
      <c r="B2458" s="46"/>
      <c r="C2458" s="46"/>
      <c r="D2458" s="46"/>
      <c r="E2458" s="47" t="s">
        <v>3273</v>
      </c>
      <c r="F2458" s="82" t="s">
        <v>3389</v>
      </c>
      <c r="G2458" s="82"/>
      <c r="H2458" s="90" t="s">
        <v>3390</v>
      </c>
      <c r="I2458" s="104" t="s">
        <v>3290</v>
      </c>
      <c r="J2458" s="51" t="s">
        <v>140</v>
      </c>
      <c r="K2458" s="91">
        <v>0</v>
      </c>
      <c r="L2458" s="91">
        <v>0</v>
      </c>
      <c r="M2458" s="92">
        <v>75</v>
      </c>
      <c r="N2458" s="94">
        <v>10044</v>
      </c>
      <c r="O2458" s="253">
        <v>1</v>
      </c>
      <c r="P2458" s="94">
        <f t="shared" si="406"/>
        <v>10044</v>
      </c>
      <c r="Q2458" s="94"/>
      <c r="R2458" s="92">
        <v>10044</v>
      </c>
      <c r="S2458" s="92">
        <f t="shared" si="407"/>
        <v>0</v>
      </c>
      <c r="T2458" s="254">
        <f t="shared" si="408"/>
        <v>1152</v>
      </c>
      <c r="U2458" s="91">
        <f t="shared" si="409"/>
        <v>0</v>
      </c>
      <c r="V2458" s="91">
        <f t="shared" ref="V2458:V2474" si="412">(P2458-R2458)*M2458/3600/24</f>
        <v>0</v>
      </c>
      <c r="W2458" s="91">
        <v>0</v>
      </c>
      <c r="X2458" s="55">
        <f t="shared" si="410"/>
        <v>46153.001099537039</v>
      </c>
    </row>
    <row r="2459" spans="1:24" s="118" customFormat="1" hidden="1" x14ac:dyDescent="0.35">
      <c r="A2459" s="46">
        <f t="shared" si="411"/>
        <v>46153.001099537039</v>
      </c>
      <c r="B2459" s="46"/>
      <c r="C2459" s="46"/>
      <c r="D2459" s="46"/>
      <c r="E2459" s="47" t="s">
        <v>3273</v>
      </c>
      <c r="F2459" s="82" t="s">
        <v>3389</v>
      </c>
      <c r="G2459" s="82"/>
      <c r="H2459" s="90" t="s">
        <v>3391</v>
      </c>
      <c r="I2459" s="104" t="s">
        <v>3290</v>
      </c>
      <c r="J2459" s="51" t="s">
        <v>140</v>
      </c>
      <c r="K2459" s="91">
        <v>0</v>
      </c>
      <c r="L2459" s="91">
        <v>0</v>
      </c>
      <c r="M2459" s="92">
        <v>75</v>
      </c>
      <c r="N2459" s="94">
        <v>15668</v>
      </c>
      <c r="O2459" s="253">
        <v>1</v>
      </c>
      <c r="P2459" s="94">
        <f t="shared" si="406"/>
        <v>15668</v>
      </c>
      <c r="Q2459" s="94"/>
      <c r="R2459" s="92">
        <v>15668</v>
      </c>
      <c r="S2459" s="92">
        <f t="shared" si="407"/>
        <v>0</v>
      </c>
      <c r="T2459" s="254">
        <f t="shared" si="408"/>
        <v>1152</v>
      </c>
      <c r="U2459" s="91">
        <f t="shared" si="409"/>
        <v>0</v>
      </c>
      <c r="V2459" s="91">
        <f t="shared" si="412"/>
        <v>0</v>
      </c>
      <c r="W2459" s="91">
        <v>0</v>
      </c>
      <c r="X2459" s="55">
        <f t="shared" si="410"/>
        <v>46153.001099537039</v>
      </c>
    </row>
    <row r="2460" spans="1:24" s="118" customFormat="1" hidden="1" x14ac:dyDescent="0.35">
      <c r="A2460" s="46">
        <f t="shared" si="411"/>
        <v>46153.001099537039</v>
      </c>
      <c r="B2460" s="46"/>
      <c r="C2460" s="46"/>
      <c r="D2460" s="46"/>
      <c r="E2460" s="47" t="s">
        <v>3273</v>
      </c>
      <c r="F2460" s="82" t="s">
        <v>3392</v>
      </c>
      <c r="G2460" s="82"/>
      <c r="H2460" s="90" t="s">
        <v>3393</v>
      </c>
      <c r="I2460" s="104" t="s">
        <v>3290</v>
      </c>
      <c r="J2460" s="51" t="s">
        <v>140</v>
      </c>
      <c r="K2460" s="91">
        <v>0</v>
      </c>
      <c r="L2460" s="91">
        <v>0</v>
      </c>
      <c r="M2460" s="92">
        <v>75</v>
      </c>
      <c r="N2460" s="94">
        <v>25048</v>
      </c>
      <c r="O2460" s="253">
        <v>1</v>
      </c>
      <c r="P2460" s="94">
        <f t="shared" si="406"/>
        <v>25048</v>
      </c>
      <c r="Q2460" s="94"/>
      <c r="R2460" s="92">
        <v>25048</v>
      </c>
      <c r="S2460" s="92">
        <f t="shared" si="407"/>
        <v>0</v>
      </c>
      <c r="T2460" s="254">
        <f t="shared" si="408"/>
        <v>1152</v>
      </c>
      <c r="U2460" s="91">
        <f t="shared" si="409"/>
        <v>0</v>
      </c>
      <c r="V2460" s="91">
        <f t="shared" si="412"/>
        <v>0</v>
      </c>
      <c r="W2460" s="91">
        <v>0</v>
      </c>
      <c r="X2460" s="55">
        <f t="shared" si="410"/>
        <v>46153.001099537039</v>
      </c>
    </row>
    <row r="2461" spans="1:24" s="118" customFormat="1" hidden="1" x14ac:dyDescent="0.35">
      <c r="A2461" s="46">
        <f t="shared" si="411"/>
        <v>46153.001099537039</v>
      </c>
      <c r="B2461" s="46"/>
      <c r="C2461" s="46"/>
      <c r="D2461" s="46"/>
      <c r="E2461" s="47" t="s">
        <v>3273</v>
      </c>
      <c r="F2461" s="82" t="s">
        <v>3394</v>
      </c>
      <c r="G2461" s="82"/>
      <c r="H2461" s="90" t="s">
        <v>3395</v>
      </c>
      <c r="I2461" s="104" t="s">
        <v>3290</v>
      </c>
      <c r="J2461" s="51" t="s">
        <v>140</v>
      </c>
      <c r="K2461" s="91">
        <v>0</v>
      </c>
      <c r="L2461" s="91">
        <v>0</v>
      </c>
      <c r="M2461" s="92">
        <v>75</v>
      </c>
      <c r="N2461" s="94">
        <v>17910</v>
      </c>
      <c r="O2461" s="253">
        <v>1</v>
      </c>
      <c r="P2461" s="94">
        <f t="shared" si="406"/>
        <v>17910</v>
      </c>
      <c r="Q2461" s="94"/>
      <c r="R2461" s="92">
        <v>17910</v>
      </c>
      <c r="S2461" s="92">
        <f t="shared" si="407"/>
        <v>0</v>
      </c>
      <c r="T2461" s="254">
        <f t="shared" si="408"/>
        <v>1152</v>
      </c>
      <c r="U2461" s="91">
        <f t="shared" si="409"/>
        <v>0</v>
      </c>
      <c r="V2461" s="91">
        <f t="shared" si="412"/>
        <v>0</v>
      </c>
      <c r="W2461" s="91">
        <v>0</v>
      </c>
      <c r="X2461" s="55">
        <f t="shared" si="410"/>
        <v>46153.001099537039</v>
      </c>
    </row>
    <row r="2462" spans="1:24" s="118" customFormat="1" hidden="1" x14ac:dyDescent="0.35">
      <c r="A2462" s="46">
        <f t="shared" si="411"/>
        <v>46153.001099537039</v>
      </c>
      <c r="B2462" s="46"/>
      <c r="C2462" s="46"/>
      <c r="D2462" s="46"/>
      <c r="E2462" s="47" t="s">
        <v>3273</v>
      </c>
      <c r="F2462" s="82" t="s">
        <v>3396</v>
      </c>
      <c r="G2462" s="82"/>
      <c r="H2462" s="90" t="s">
        <v>3397</v>
      </c>
      <c r="I2462" s="104" t="s">
        <v>3290</v>
      </c>
      <c r="J2462" s="51" t="s">
        <v>140</v>
      </c>
      <c r="K2462" s="91">
        <v>0</v>
      </c>
      <c r="L2462" s="91">
        <v>0</v>
      </c>
      <c r="M2462" s="92">
        <v>75</v>
      </c>
      <c r="N2462" s="94">
        <v>15000</v>
      </c>
      <c r="O2462" s="253">
        <v>1</v>
      </c>
      <c r="P2462" s="94">
        <f t="shared" si="406"/>
        <v>15000</v>
      </c>
      <c r="Q2462" s="94"/>
      <c r="R2462" s="92">
        <v>15000</v>
      </c>
      <c r="S2462" s="92">
        <f t="shared" si="407"/>
        <v>0</v>
      </c>
      <c r="T2462" s="254">
        <f t="shared" si="408"/>
        <v>1152</v>
      </c>
      <c r="U2462" s="91">
        <f t="shared" si="409"/>
        <v>0</v>
      </c>
      <c r="V2462" s="91">
        <f t="shared" si="412"/>
        <v>0</v>
      </c>
      <c r="W2462" s="91">
        <v>0</v>
      </c>
      <c r="X2462" s="55">
        <f t="shared" si="410"/>
        <v>46153.001099537039</v>
      </c>
    </row>
    <row r="2463" spans="1:24" s="118" customFormat="1" hidden="1" x14ac:dyDescent="0.35">
      <c r="A2463" s="46">
        <f t="shared" si="411"/>
        <v>46153.001099537039</v>
      </c>
      <c r="B2463" s="46"/>
      <c r="C2463" s="46"/>
      <c r="D2463" s="46"/>
      <c r="E2463" s="47" t="s">
        <v>3273</v>
      </c>
      <c r="F2463" s="82" t="s">
        <v>3398</v>
      </c>
      <c r="G2463" s="82"/>
      <c r="H2463" s="90" t="s">
        <v>3399</v>
      </c>
      <c r="I2463" s="104" t="s">
        <v>3290</v>
      </c>
      <c r="J2463" s="51" t="s">
        <v>140</v>
      </c>
      <c r="K2463" s="91">
        <v>0</v>
      </c>
      <c r="L2463" s="91">
        <v>0</v>
      </c>
      <c r="M2463" s="92">
        <v>75</v>
      </c>
      <c r="N2463" s="94">
        <v>15000</v>
      </c>
      <c r="O2463" s="253">
        <v>1</v>
      </c>
      <c r="P2463" s="94">
        <f t="shared" si="406"/>
        <v>15000</v>
      </c>
      <c r="Q2463" s="94"/>
      <c r="R2463" s="92">
        <v>15000</v>
      </c>
      <c r="S2463" s="92">
        <f t="shared" si="407"/>
        <v>0</v>
      </c>
      <c r="T2463" s="254">
        <f t="shared" si="408"/>
        <v>1152</v>
      </c>
      <c r="U2463" s="91">
        <f t="shared" si="409"/>
        <v>0</v>
      </c>
      <c r="V2463" s="91">
        <f t="shared" si="412"/>
        <v>0</v>
      </c>
      <c r="W2463" s="91">
        <v>0</v>
      </c>
      <c r="X2463" s="55">
        <f t="shared" si="410"/>
        <v>46153.001099537039</v>
      </c>
    </row>
    <row r="2464" spans="1:24" s="118" customFormat="1" hidden="1" x14ac:dyDescent="0.35">
      <c r="A2464" s="46">
        <f t="shared" si="411"/>
        <v>46153.001099537039</v>
      </c>
      <c r="B2464" s="46"/>
      <c r="C2464" s="46"/>
      <c r="D2464" s="46"/>
      <c r="E2464" s="47" t="s">
        <v>3273</v>
      </c>
      <c r="F2464" s="82" t="s">
        <v>3396</v>
      </c>
      <c r="G2464" s="82" t="s">
        <v>1620</v>
      </c>
      <c r="H2464" s="90" t="s">
        <v>3400</v>
      </c>
      <c r="I2464" s="104" t="s">
        <v>3290</v>
      </c>
      <c r="J2464" s="51" t="s">
        <v>140</v>
      </c>
      <c r="K2464" s="91">
        <v>0</v>
      </c>
      <c r="L2464" s="91">
        <v>0</v>
      </c>
      <c r="M2464" s="92">
        <v>75</v>
      </c>
      <c r="N2464" s="94">
        <v>15000</v>
      </c>
      <c r="O2464" s="253">
        <v>1</v>
      </c>
      <c r="P2464" s="94">
        <f t="shared" si="406"/>
        <v>15000</v>
      </c>
      <c r="Q2464" s="94"/>
      <c r="R2464" s="92">
        <v>15000</v>
      </c>
      <c r="S2464" s="92">
        <f t="shared" si="407"/>
        <v>0</v>
      </c>
      <c r="T2464" s="254">
        <f t="shared" si="408"/>
        <v>1152</v>
      </c>
      <c r="U2464" s="91">
        <f t="shared" si="409"/>
        <v>0</v>
      </c>
      <c r="V2464" s="91">
        <f t="shared" si="412"/>
        <v>0</v>
      </c>
      <c r="W2464" s="91">
        <v>0</v>
      </c>
      <c r="X2464" s="55">
        <f t="shared" si="410"/>
        <v>46153.001099537039</v>
      </c>
    </row>
    <row r="2465" spans="1:24" s="118" customFormat="1" ht="25" hidden="1" customHeight="1" x14ac:dyDescent="0.35">
      <c r="A2465" s="123">
        <f t="shared" si="411"/>
        <v>46153.001099537039</v>
      </c>
      <c r="B2465" s="123"/>
      <c r="C2465" s="123"/>
      <c r="D2465" s="123"/>
      <c r="E2465" s="124" t="s">
        <v>3273</v>
      </c>
      <c r="F2465" s="159" t="s">
        <v>3398</v>
      </c>
      <c r="G2465" s="159" t="s">
        <v>1620</v>
      </c>
      <c r="H2465" s="603" t="s">
        <v>3401</v>
      </c>
      <c r="I2465" s="184" t="s">
        <v>3290</v>
      </c>
      <c r="J2465" s="128" t="s">
        <v>140</v>
      </c>
      <c r="K2465" s="129">
        <v>0</v>
      </c>
      <c r="L2465" s="129">
        <v>0</v>
      </c>
      <c r="M2465" s="130">
        <v>75</v>
      </c>
      <c r="N2465" s="131">
        <v>15000</v>
      </c>
      <c r="O2465" s="189">
        <v>1</v>
      </c>
      <c r="P2465" s="131">
        <f t="shared" si="406"/>
        <v>15000</v>
      </c>
      <c r="Q2465" s="131"/>
      <c r="R2465" s="176">
        <v>15000</v>
      </c>
      <c r="S2465" s="130">
        <f t="shared" si="407"/>
        <v>0</v>
      </c>
      <c r="T2465" s="242">
        <f t="shared" si="408"/>
        <v>1152</v>
      </c>
      <c r="U2465" s="129">
        <f t="shared" si="409"/>
        <v>0</v>
      </c>
      <c r="V2465" s="129">
        <f t="shared" si="412"/>
        <v>0</v>
      </c>
      <c r="W2465" s="129">
        <v>0</v>
      </c>
      <c r="X2465" s="137">
        <f t="shared" si="410"/>
        <v>46153.001099537039</v>
      </c>
    </row>
    <row r="2466" spans="1:24" s="118" customFormat="1" ht="25" hidden="1" customHeight="1" x14ac:dyDescent="0.35">
      <c r="A2466" s="138">
        <f t="shared" si="411"/>
        <v>46153.001099537039</v>
      </c>
      <c r="B2466" s="138"/>
      <c r="C2466" s="138"/>
      <c r="D2466" s="138"/>
      <c r="E2466" s="244" t="s">
        <v>3273</v>
      </c>
      <c r="F2466" s="140" t="s">
        <v>3394</v>
      </c>
      <c r="G2466" s="140" t="s">
        <v>3402</v>
      </c>
      <c r="H2466" s="693" t="s">
        <v>3403</v>
      </c>
      <c r="I2466" s="694" t="s">
        <v>3290</v>
      </c>
      <c r="J2466" s="246" t="s">
        <v>140</v>
      </c>
      <c r="K2466" s="144">
        <v>0</v>
      </c>
      <c r="L2466" s="144">
        <v>0</v>
      </c>
      <c r="M2466" s="145">
        <v>75</v>
      </c>
      <c r="N2466" s="146">
        <v>15000</v>
      </c>
      <c r="O2466" s="247">
        <v>1</v>
      </c>
      <c r="P2466" s="146">
        <f t="shared" si="406"/>
        <v>15000</v>
      </c>
      <c r="Q2466" s="146"/>
      <c r="R2466" s="544">
        <v>15000</v>
      </c>
      <c r="S2466" s="145">
        <f t="shared" si="407"/>
        <v>0</v>
      </c>
      <c r="T2466" s="249">
        <f t="shared" si="408"/>
        <v>1152</v>
      </c>
      <c r="U2466" s="144">
        <f t="shared" si="409"/>
        <v>0</v>
      </c>
      <c r="V2466" s="144">
        <f t="shared" si="412"/>
        <v>0</v>
      </c>
      <c r="W2466" s="144">
        <v>0</v>
      </c>
      <c r="X2466" s="150">
        <f t="shared" si="410"/>
        <v>46153.001099537039</v>
      </c>
    </row>
    <row r="2467" spans="1:24" s="118" customFormat="1" ht="25" hidden="1" customHeight="1" x14ac:dyDescent="0.35">
      <c r="A2467" s="123">
        <f t="shared" si="411"/>
        <v>46153.001099537039</v>
      </c>
      <c r="B2467" s="123"/>
      <c r="C2467" s="123"/>
      <c r="D2467" s="123"/>
      <c r="E2467" s="124" t="s">
        <v>3273</v>
      </c>
      <c r="F2467" s="159" t="s">
        <v>3398</v>
      </c>
      <c r="G2467" s="159" t="s">
        <v>3402</v>
      </c>
      <c r="H2467" s="603" t="s">
        <v>3404</v>
      </c>
      <c r="I2467" s="184" t="s">
        <v>3290</v>
      </c>
      <c r="J2467" s="128" t="s">
        <v>140</v>
      </c>
      <c r="K2467" s="129">
        <v>0</v>
      </c>
      <c r="L2467" s="129">
        <v>0</v>
      </c>
      <c r="M2467" s="130">
        <v>75</v>
      </c>
      <c r="N2467" s="131">
        <v>15000</v>
      </c>
      <c r="O2467" s="189">
        <v>1</v>
      </c>
      <c r="P2467" s="131">
        <f t="shared" si="406"/>
        <v>15000</v>
      </c>
      <c r="Q2467" s="131"/>
      <c r="R2467" s="176">
        <v>15000</v>
      </c>
      <c r="S2467" s="130">
        <f t="shared" si="407"/>
        <v>0</v>
      </c>
      <c r="T2467" s="242">
        <f t="shared" si="408"/>
        <v>1152</v>
      </c>
      <c r="U2467" s="129">
        <f t="shared" si="409"/>
        <v>0</v>
      </c>
      <c r="V2467" s="129">
        <f t="shared" si="412"/>
        <v>0</v>
      </c>
      <c r="W2467" s="129">
        <v>0</v>
      </c>
      <c r="X2467" s="137">
        <f t="shared" si="410"/>
        <v>46153.001099537039</v>
      </c>
    </row>
    <row r="2468" spans="1:24" s="118" customFormat="1" ht="25" hidden="1" customHeight="1" x14ac:dyDescent="0.35">
      <c r="A2468" s="123">
        <f t="shared" si="411"/>
        <v>46153.001099537039</v>
      </c>
      <c r="B2468" s="123"/>
      <c r="C2468" s="123"/>
      <c r="D2468" s="123"/>
      <c r="E2468" s="124" t="s">
        <v>3273</v>
      </c>
      <c r="F2468" s="159" t="s">
        <v>3398</v>
      </c>
      <c r="G2468" s="159" t="s">
        <v>3402</v>
      </c>
      <c r="H2468" s="603" t="s">
        <v>3405</v>
      </c>
      <c r="I2468" s="184" t="s">
        <v>3290</v>
      </c>
      <c r="J2468" s="128" t="s">
        <v>140</v>
      </c>
      <c r="K2468" s="129">
        <v>0</v>
      </c>
      <c r="L2468" s="129">
        <v>0</v>
      </c>
      <c r="M2468" s="130">
        <v>75</v>
      </c>
      <c r="N2468" s="131">
        <v>15000</v>
      </c>
      <c r="O2468" s="189">
        <v>1</v>
      </c>
      <c r="P2468" s="131">
        <f t="shared" ref="P2468:P2484" si="413">N2468/O2468</f>
        <v>15000</v>
      </c>
      <c r="Q2468" s="131"/>
      <c r="R2468" s="176">
        <v>15000</v>
      </c>
      <c r="S2468" s="130">
        <f t="shared" si="407"/>
        <v>0</v>
      </c>
      <c r="T2468" s="242">
        <f t="shared" si="408"/>
        <v>1152</v>
      </c>
      <c r="U2468" s="129">
        <f t="shared" si="409"/>
        <v>0</v>
      </c>
      <c r="V2468" s="129">
        <f t="shared" si="412"/>
        <v>0</v>
      </c>
      <c r="W2468" s="129">
        <v>0</v>
      </c>
      <c r="X2468" s="137">
        <f t="shared" si="410"/>
        <v>46153.001099537039</v>
      </c>
    </row>
    <row r="2469" spans="1:24" s="118" customFormat="1" ht="25" hidden="1" customHeight="1" x14ac:dyDescent="0.35">
      <c r="A2469" s="46">
        <f t="shared" si="411"/>
        <v>46153.001099537039</v>
      </c>
      <c r="B2469" s="46"/>
      <c r="C2469" s="46"/>
      <c r="D2469" s="46"/>
      <c r="E2469" s="47" t="s">
        <v>3273</v>
      </c>
      <c r="F2469" s="82" t="s">
        <v>3406</v>
      </c>
      <c r="G2469" s="82" t="s">
        <v>3402</v>
      </c>
      <c r="H2469" s="90" t="s">
        <v>3407</v>
      </c>
      <c r="I2469" s="104" t="s">
        <v>3290</v>
      </c>
      <c r="J2469" s="51" t="s">
        <v>140</v>
      </c>
      <c r="K2469" s="91">
        <v>0</v>
      </c>
      <c r="L2469" s="91">
        <v>0</v>
      </c>
      <c r="M2469" s="92">
        <v>75</v>
      </c>
      <c r="N2469" s="94">
        <v>15000</v>
      </c>
      <c r="O2469" s="253">
        <v>1</v>
      </c>
      <c r="P2469" s="94">
        <f t="shared" si="413"/>
        <v>15000</v>
      </c>
      <c r="Q2469" s="94"/>
      <c r="R2469" s="182">
        <v>15000</v>
      </c>
      <c r="S2469" s="92">
        <f t="shared" si="407"/>
        <v>0</v>
      </c>
      <c r="T2469" s="254">
        <f t="shared" si="408"/>
        <v>1152</v>
      </c>
      <c r="U2469" s="91">
        <f t="shared" si="409"/>
        <v>0</v>
      </c>
      <c r="V2469" s="91">
        <f t="shared" si="412"/>
        <v>0</v>
      </c>
      <c r="W2469" s="91">
        <v>0</v>
      </c>
      <c r="X2469" s="55">
        <f t="shared" si="410"/>
        <v>46153.001099537039</v>
      </c>
    </row>
    <row r="2470" spans="1:24" s="118" customFormat="1" ht="25" hidden="1" customHeight="1" x14ac:dyDescent="0.35">
      <c r="A2470" s="46">
        <f t="shared" si="411"/>
        <v>46153.001099537039</v>
      </c>
      <c r="B2470" s="46"/>
      <c r="C2470" s="46"/>
      <c r="D2470" s="46"/>
      <c r="E2470" s="47" t="s">
        <v>3273</v>
      </c>
      <c r="F2470" s="82" t="s">
        <v>3406</v>
      </c>
      <c r="G2470" s="82" t="s">
        <v>792</v>
      </c>
      <c r="H2470" s="90" t="s">
        <v>3408</v>
      </c>
      <c r="I2470" s="104" t="s">
        <v>3290</v>
      </c>
      <c r="J2470" s="51" t="s">
        <v>140</v>
      </c>
      <c r="K2470" s="91">
        <v>0</v>
      </c>
      <c r="L2470" s="91">
        <v>0</v>
      </c>
      <c r="M2470" s="92">
        <v>75</v>
      </c>
      <c r="N2470" s="94">
        <v>15000</v>
      </c>
      <c r="O2470" s="253">
        <v>1</v>
      </c>
      <c r="P2470" s="94">
        <f t="shared" si="413"/>
        <v>15000</v>
      </c>
      <c r="Q2470" s="94"/>
      <c r="R2470" s="182">
        <v>15000</v>
      </c>
      <c r="S2470" s="92">
        <f t="shared" si="407"/>
        <v>0</v>
      </c>
      <c r="T2470" s="254">
        <f t="shared" si="408"/>
        <v>1152</v>
      </c>
      <c r="U2470" s="91">
        <f t="shared" si="409"/>
        <v>0</v>
      </c>
      <c r="V2470" s="91">
        <f t="shared" si="412"/>
        <v>0</v>
      </c>
      <c r="W2470" s="91">
        <v>0</v>
      </c>
      <c r="X2470" s="55">
        <f t="shared" si="410"/>
        <v>46153.001099537039</v>
      </c>
    </row>
    <row r="2471" spans="1:24" s="118" customFormat="1" ht="25" hidden="1" customHeight="1" x14ac:dyDescent="0.35">
      <c r="A2471" s="123">
        <f t="shared" si="411"/>
        <v>46153.001099537039</v>
      </c>
      <c r="B2471" s="123"/>
      <c r="C2471" s="123"/>
      <c r="D2471" s="123"/>
      <c r="E2471" s="124" t="s">
        <v>3273</v>
      </c>
      <c r="F2471" s="159" t="s">
        <v>3406</v>
      </c>
      <c r="G2471" s="159" t="s">
        <v>359</v>
      </c>
      <c r="H2471" s="603" t="s">
        <v>3409</v>
      </c>
      <c r="I2471" s="184" t="s">
        <v>3290</v>
      </c>
      <c r="J2471" s="128" t="s">
        <v>140</v>
      </c>
      <c r="K2471" s="129">
        <v>0</v>
      </c>
      <c r="L2471" s="129">
        <v>0</v>
      </c>
      <c r="M2471" s="130">
        <v>75</v>
      </c>
      <c r="N2471" s="131">
        <v>15000</v>
      </c>
      <c r="O2471" s="189">
        <v>1</v>
      </c>
      <c r="P2471" s="131">
        <f t="shared" si="413"/>
        <v>15000</v>
      </c>
      <c r="Q2471" s="131"/>
      <c r="R2471" s="176">
        <v>15000</v>
      </c>
      <c r="S2471" s="130">
        <f t="shared" si="407"/>
        <v>0</v>
      </c>
      <c r="T2471" s="242">
        <f t="shared" si="408"/>
        <v>1152</v>
      </c>
      <c r="U2471" s="129">
        <f t="shared" si="409"/>
        <v>0</v>
      </c>
      <c r="V2471" s="129">
        <f t="shared" si="412"/>
        <v>0</v>
      </c>
      <c r="W2471" s="129">
        <v>0</v>
      </c>
      <c r="X2471" s="137">
        <f t="shared" si="410"/>
        <v>46153.001099537039</v>
      </c>
    </row>
    <row r="2472" spans="1:24" s="179" customFormat="1" hidden="1" x14ac:dyDescent="0.35">
      <c r="A2472" s="123">
        <f t="shared" si="411"/>
        <v>46153.001099537039</v>
      </c>
      <c r="B2472" s="123"/>
      <c r="C2472" s="123"/>
      <c r="D2472" s="123"/>
      <c r="E2472" s="124" t="s">
        <v>3273</v>
      </c>
      <c r="F2472" s="159" t="s">
        <v>3410</v>
      </c>
      <c r="G2472" s="159" t="s">
        <v>359</v>
      </c>
      <c r="H2472" s="603" t="s">
        <v>3411</v>
      </c>
      <c r="I2472" s="184" t="s">
        <v>3290</v>
      </c>
      <c r="J2472" s="128" t="s">
        <v>140</v>
      </c>
      <c r="K2472" s="129">
        <v>0</v>
      </c>
      <c r="L2472" s="129">
        <v>0</v>
      </c>
      <c r="M2472" s="130">
        <v>75</v>
      </c>
      <c r="N2472" s="131">
        <v>9948</v>
      </c>
      <c r="O2472" s="189">
        <v>1</v>
      </c>
      <c r="P2472" s="131">
        <f t="shared" si="413"/>
        <v>9948</v>
      </c>
      <c r="Q2472" s="131"/>
      <c r="R2472" s="176">
        <v>9948</v>
      </c>
      <c r="S2472" s="130">
        <f t="shared" si="407"/>
        <v>0</v>
      </c>
      <c r="T2472" s="242">
        <f t="shared" si="408"/>
        <v>1152</v>
      </c>
      <c r="U2472" s="129">
        <f t="shared" si="409"/>
        <v>0</v>
      </c>
      <c r="V2472" s="129">
        <f t="shared" si="412"/>
        <v>0</v>
      </c>
      <c r="W2472" s="129">
        <v>0</v>
      </c>
      <c r="X2472" s="137">
        <f t="shared" si="410"/>
        <v>46153.001099537039</v>
      </c>
    </row>
    <row r="2473" spans="1:24" s="179" customFormat="1" ht="25" hidden="1" customHeight="1" x14ac:dyDescent="0.35">
      <c r="A2473" s="123">
        <f t="shared" si="411"/>
        <v>46153.001099537039</v>
      </c>
      <c r="B2473" s="123"/>
      <c r="C2473" s="123"/>
      <c r="D2473" s="123"/>
      <c r="E2473" s="124" t="s">
        <v>3273</v>
      </c>
      <c r="F2473" s="159" t="s">
        <v>3410</v>
      </c>
      <c r="G2473" s="159" t="s">
        <v>359</v>
      </c>
      <c r="H2473" s="603" t="s">
        <v>3411</v>
      </c>
      <c r="I2473" s="184" t="s">
        <v>3290</v>
      </c>
      <c r="J2473" s="128" t="s">
        <v>140</v>
      </c>
      <c r="K2473" s="129">
        <v>0</v>
      </c>
      <c r="L2473" s="129">
        <v>0</v>
      </c>
      <c r="M2473" s="130">
        <v>75</v>
      </c>
      <c r="N2473" s="131">
        <v>3840</v>
      </c>
      <c r="O2473" s="189">
        <v>1</v>
      </c>
      <c r="P2473" s="131">
        <f t="shared" si="413"/>
        <v>3840</v>
      </c>
      <c r="Q2473" s="131"/>
      <c r="R2473" s="176">
        <v>3840</v>
      </c>
      <c r="S2473" s="130">
        <f t="shared" si="407"/>
        <v>0</v>
      </c>
      <c r="T2473" s="242">
        <f t="shared" si="408"/>
        <v>1152</v>
      </c>
      <c r="U2473" s="129">
        <f t="shared" si="409"/>
        <v>0</v>
      </c>
      <c r="V2473" s="129">
        <f t="shared" si="412"/>
        <v>0</v>
      </c>
      <c r="W2473" s="129">
        <v>0</v>
      </c>
      <c r="X2473" s="137">
        <f t="shared" si="410"/>
        <v>46153.001099537039</v>
      </c>
    </row>
    <row r="2474" spans="1:24" s="121" customFormat="1" ht="25" hidden="1" customHeight="1" x14ac:dyDescent="0.35">
      <c r="A2474" s="46">
        <f t="shared" si="411"/>
        <v>46153.001099537039</v>
      </c>
      <c r="B2474" s="46"/>
      <c r="C2474" s="46"/>
      <c r="D2474" s="46"/>
      <c r="E2474" s="47" t="s">
        <v>3273</v>
      </c>
      <c r="F2474" s="82" t="s">
        <v>3410</v>
      </c>
      <c r="G2474" s="82" t="s">
        <v>359</v>
      </c>
      <c r="H2474" s="90" t="s">
        <v>3412</v>
      </c>
      <c r="I2474" s="104" t="s">
        <v>3290</v>
      </c>
      <c r="J2474" s="51" t="s">
        <v>140</v>
      </c>
      <c r="K2474" s="91">
        <v>0</v>
      </c>
      <c r="L2474" s="91">
        <v>0</v>
      </c>
      <c r="M2474" s="92">
        <v>75</v>
      </c>
      <c r="N2474" s="94">
        <v>15000</v>
      </c>
      <c r="O2474" s="253">
        <v>1</v>
      </c>
      <c r="P2474" s="94">
        <f t="shared" si="413"/>
        <v>15000</v>
      </c>
      <c r="Q2474" s="94"/>
      <c r="R2474" s="182">
        <v>15000</v>
      </c>
      <c r="S2474" s="92">
        <f t="shared" si="407"/>
        <v>0</v>
      </c>
      <c r="T2474" s="254">
        <f t="shared" si="408"/>
        <v>1152</v>
      </c>
      <c r="U2474" s="91">
        <f t="shared" si="409"/>
        <v>0</v>
      </c>
      <c r="V2474" s="91">
        <f t="shared" si="412"/>
        <v>0</v>
      </c>
      <c r="W2474" s="91">
        <v>0</v>
      </c>
      <c r="X2474" s="55">
        <f t="shared" si="410"/>
        <v>46153.001099537039</v>
      </c>
    </row>
    <row r="2475" spans="1:24" s="179" customFormat="1" ht="25" hidden="1" customHeight="1" x14ac:dyDescent="0.35">
      <c r="A2475" s="123">
        <f t="shared" si="411"/>
        <v>46153.001099537039</v>
      </c>
      <c r="B2475" s="161">
        <v>46059</v>
      </c>
      <c r="C2475" s="183">
        <f t="shared" ref="C2475:C2484" si="414">B2475-A2475</f>
        <v>-94.001099537039408</v>
      </c>
      <c r="D2475" s="183"/>
      <c r="E2475" s="124" t="s">
        <v>3273</v>
      </c>
      <c r="F2475" s="159" t="s">
        <v>3413</v>
      </c>
      <c r="G2475" s="159" t="s">
        <v>839</v>
      </c>
      <c r="H2475" s="603" t="s">
        <v>3414</v>
      </c>
      <c r="I2475" s="184" t="s">
        <v>3290</v>
      </c>
      <c r="J2475" s="128" t="s">
        <v>140</v>
      </c>
      <c r="K2475" s="129">
        <v>0</v>
      </c>
      <c r="L2475" s="129">
        <v>0</v>
      </c>
      <c r="M2475" s="130">
        <v>75</v>
      </c>
      <c r="N2475" s="131">
        <v>15000</v>
      </c>
      <c r="O2475" s="189">
        <v>1</v>
      </c>
      <c r="P2475" s="131">
        <f t="shared" si="413"/>
        <v>15000</v>
      </c>
      <c r="Q2475" s="185">
        <v>0.8</v>
      </c>
      <c r="R2475" s="176">
        <v>15000</v>
      </c>
      <c r="S2475" s="164">
        <f t="shared" si="407"/>
        <v>0</v>
      </c>
      <c r="T2475" s="168">
        <f t="shared" ref="T2475:T2484" si="415">((3600/M2475)*O2475)*24*Q2475</f>
        <v>921.6</v>
      </c>
      <c r="U2475" s="163">
        <f t="shared" ref="U2475:U2484" si="416">(P2475-R2475)*M2475/3600/Q2475</f>
        <v>0</v>
      </c>
      <c r="V2475" s="163">
        <f t="shared" ref="V2475:V2484" si="417">U2475/24</f>
        <v>0</v>
      </c>
      <c r="W2475" s="163">
        <v>0</v>
      </c>
      <c r="X2475" s="137">
        <f t="shared" si="410"/>
        <v>46153.001099537039</v>
      </c>
    </row>
    <row r="2476" spans="1:24" s="179" customFormat="1" ht="25" hidden="1" customHeight="1" x14ac:dyDescent="0.35">
      <c r="A2476" s="123">
        <f t="shared" si="411"/>
        <v>46153.001099537039</v>
      </c>
      <c r="B2476" s="123">
        <v>46065</v>
      </c>
      <c r="C2476" s="190">
        <f t="shared" si="414"/>
        <v>-88.001099537039408</v>
      </c>
      <c r="D2476" s="190"/>
      <c r="E2476" s="124" t="s">
        <v>3273</v>
      </c>
      <c r="F2476" s="159" t="s">
        <v>3415</v>
      </c>
      <c r="G2476" s="159" t="s">
        <v>839</v>
      </c>
      <c r="H2476" s="603" t="s">
        <v>3416</v>
      </c>
      <c r="I2476" s="184" t="s">
        <v>3290</v>
      </c>
      <c r="J2476" s="128" t="s">
        <v>140</v>
      </c>
      <c r="K2476" s="129">
        <v>0</v>
      </c>
      <c r="L2476" s="129">
        <v>0</v>
      </c>
      <c r="M2476" s="130">
        <v>75</v>
      </c>
      <c r="N2476" s="131">
        <v>15000</v>
      </c>
      <c r="O2476" s="189">
        <v>1</v>
      </c>
      <c r="P2476" s="131">
        <f t="shared" si="413"/>
        <v>15000</v>
      </c>
      <c r="Q2476" s="185">
        <v>0.8</v>
      </c>
      <c r="R2476" s="176">
        <v>15000</v>
      </c>
      <c r="S2476" s="164">
        <f t="shared" si="407"/>
        <v>0</v>
      </c>
      <c r="T2476" s="168">
        <f t="shared" si="415"/>
        <v>921.6</v>
      </c>
      <c r="U2476" s="163">
        <f t="shared" si="416"/>
        <v>0</v>
      </c>
      <c r="V2476" s="163">
        <f t="shared" si="417"/>
        <v>0</v>
      </c>
      <c r="W2476" s="163">
        <v>0</v>
      </c>
      <c r="X2476" s="137">
        <f t="shared" si="410"/>
        <v>46153.001099537039</v>
      </c>
    </row>
    <row r="2477" spans="1:24" s="179" customFormat="1" hidden="1" x14ac:dyDescent="0.35">
      <c r="A2477" s="123">
        <f t="shared" si="411"/>
        <v>46153.001099537039</v>
      </c>
      <c r="B2477" s="123">
        <v>46084</v>
      </c>
      <c r="C2477" s="183">
        <f t="shared" si="414"/>
        <v>-69.001099537039408</v>
      </c>
      <c r="D2477" s="183"/>
      <c r="E2477" s="124" t="s">
        <v>3273</v>
      </c>
      <c r="F2477" s="159" t="s">
        <v>3417</v>
      </c>
      <c r="G2477" s="159" t="s">
        <v>386</v>
      </c>
      <c r="H2477" s="603" t="s">
        <v>3418</v>
      </c>
      <c r="I2477" s="184" t="s">
        <v>3290</v>
      </c>
      <c r="J2477" s="128" t="s">
        <v>140</v>
      </c>
      <c r="K2477" s="129">
        <v>0</v>
      </c>
      <c r="L2477" s="129">
        <v>0</v>
      </c>
      <c r="M2477" s="130">
        <v>63</v>
      </c>
      <c r="N2477" s="131">
        <v>15000</v>
      </c>
      <c r="O2477" s="189">
        <v>1</v>
      </c>
      <c r="P2477" s="131">
        <f t="shared" si="413"/>
        <v>15000</v>
      </c>
      <c r="Q2477" s="185">
        <v>0.8</v>
      </c>
      <c r="R2477" s="176">
        <v>15000</v>
      </c>
      <c r="S2477" s="164">
        <f t="shared" si="407"/>
        <v>0</v>
      </c>
      <c r="T2477" s="168">
        <f t="shared" si="415"/>
        <v>1097.1428571428573</v>
      </c>
      <c r="U2477" s="163">
        <f t="shared" si="416"/>
        <v>0</v>
      </c>
      <c r="V2477" s="163">
        <f t="shared" si="417"/>
        <v>0</v>
      </c>
      <c r="W2477" s="163">
        <v>0</v>
      </c>
      <c r="X2477" s="137">
        <f t="shared" si="410"/>
        <v>46153.001099537039</v>
      </c>
    </row>
    <row r="2478" spans="1:24" s="179" customFormat="1" ht="25" hidden="1" customHeight="1" x14ac:dyDescent="0.35">
      <c r="A2478" s="123">
        <f t="shared" si="411"/>
        <v>46153.001099537039</v>
      </c>
      <c r="B2478" s="123">
        <v>46103.430787037039</v>
      </c>
      <c r="C2478" s="183">
        <f t="shared" si="414"/>
        <v>-49.5703125</v>
      </c>
      <c r="D2478" s="183"/>
      <c r="E2478" s="124" t="s">
        <v>3273</v>
      </c>
      <c r="F2478" s="159" t="s">
        <v>3419</v>
      </c>
      <c r="G2478" s="159" t="s">
        <v>386</v>
      </c>
      <c r="H2478" s="603" t="s">
        <v>3420</v>
      </c>
      <c r="I2478" s="184" t="s">
        <v>3290</v>
      </c>
      <c r="J2478" s="128" t="s">
        <v>140</v>
      </c>
      <c r="K2478" s="129">
        <v>0</v>
      </c>
      <c r="L2478" s="129">
        <v>0</v>
      </c>
      <c r="M2478" s="130">
        <v>63</v>
      </c>
      <c r="N2478" s="131">
        <v>15000</v>
      </c>
      <c r="O2478" s="189">
        <v>1</v>
      </c>
      <c r="P2478" s="131">
        <f t="shared" si="413"/>
        <v>15000</v>
      </c>
      <c r="Q2478" s="185">
        <v>0.8</v>
      </c>
      <c r="R2478" s="176">
        <v>15000</v>
      </c>
      <c r="S2478" s="164">
        <f t="shared" si="407"/>
        <v>0</v>
      </c>
      <c r="T2478" s="168">
        <f t="shared" si="415"/>
        <v>1097.1428571428573</v>
      </c>
      <c r="U2478" s="163">
        <f t="shared" si="416"/>
        <v>0</v>
      </c>
      <c r="V2478" s="163">
        <f t="shared" si="417"/>
        <v>0</v>
      </c>
      <c r="W2478" s="163">
        <v>0</v>
      </c>
      <c r="X2478" s="137">
        <f t="shared" si="410"/>
        <v>46153.001099537039</v>
      </c>
    </row>
    <row r="2479" spans="1:24" s="179" customFormat="1" hidden="1" x14ac:dyDescent="0.35">
      <c r="A2479" s="123">
        <f t="shared" si="411"/>
        <v>46153.001099537039</v>
      </c>
      <c r="B2479" s="123">
        <v>46106.706828703704</v>
      </c>
      <c r="C2479" s="183">
        <f t="shared" si="414"/>
        <v>-46.294270833335759</v>
      </c>
      <c r="D2479" s="183"/>
      <c r="E2479" s="124" t="s">
        <v>3273</v>
      </c>
      <c r="F2479" s="159" t="s">
        <v>3421</v>
      </c>
      <c r="G2479" s="159" t="s">
        <v>398</v>
      </c>
      <c r="H2479" s="603" t="s">
        <v>3422</v>
      </c>
      <c r="I2479" s="184" t="s">
        <v>3290</v>
      </c>
      <c r="J2479" s="128" t="s">
        <v>140</v>
      </c>
      <c r="K2479" s="129">
        <v>0</v>
      </c>
      <c r="L2479" s="129">
        <v>0</v>
      </c>
      <c r="M2479" s="130">
        <v>63</v>
      </c>
      <c r="N2479" s="131">
        <f>15000-8000</f>
        <v>7000</v>
      </c>
      <c r="O2479" s="189">
        <v>1</v>
      </c>
      <c r="P2479" s="131">
        <f t="shared" si="413"/>
        <v>7000</v>
      </c>
      <c r="Q2479" s="185">
        <v>0.8</v>
      </c>
      <c r="R2479" s="176">
        <v>7000</v>
      </c>
      <c r="S2479" s="164">
        <f t="shared" si="407"/>
        <v>0</v>
      </c>
      <c r="T2479" s="168">
        <f t="shared" si="415"/>
        <v>1097.1428571428573</v>
      </c>
      <c r="U2479" s="163">
        <f t="shared" si="416"/>
        <v>0</v>
      </c>
      <c r="V2479" s="163">
        <f t="shared" si="417"/>
        <v>0</v>
      </c>
      <c r="W2479" s="163">
        <v>0</v>
      </c>
      <c r="X2479" s="137">
        <f t="shared" si="410"/>
        <v>46153.001099537039</v>
      </c>
    </row>
    <row r="2480" spans="1:24" s="179" customFormat="1" ht="25" hidden="1" customHeight="1" x14ac:dyDescent="0.35">
      <c r="A2480" s="123">
        <f t="shared" si="411"/>
        <v>46153.001099537039</v>
      </c>
      <c r="B2480" s="123">
        <v>46120.706828703704</v>
      </c>
      <c r="C2480" s="183">
        <f t="shared" si="414"/>
        <v>-32.294270833335759</v>
      </c>
      <c r="D2480" s="183"/>
      <c r="E2480" s="124" t="s">
        <v>3273</v>
      </c>
      <c r="F2480" s="159" t="s">
        <v>3421</v>
      </c>
      <c r="G2480" s="159" t="s">
        <v>398</v>
      </c>
      <c r="H2480" s="603" t="s">
        <v>3422</v>
      </c>
      <c r="I2480" s="184" t="s">
        <v>3290</v>
      </c>
      <c r="J2480" s="128" t="s">
        <v>140</v>
      </c>
      <c r="K2480" s="129">
        <v>0</v>
      </c>
      <c r="L2480" s="129">
        <v>0</v>
      </c>
      <c r="M2480" s="130">
        <v>63</v>
      </c>
      <c r="N2480" s="131">
        <v>8000</v>
      </c>
      <c r="O2480" s="189">
        <v>1</v>
      </c>
      <c r="P2480" s="131">
        <f t="shared" si="413"/>
        <v>8000</v>
      </c>
      <c r="Q2480" s="185">
        <v>0.8</v>
      </c>
      <c r="R2480" s="176">
        <v>8000</v>
      </c>
      <c r="S2480" s="164">
        <f t="shared" si="407"/>
        <v>0</v>
      </c>
      <c r="T2480" s="168">
        <f t="shared" si="415"/>
        <v>1097.1428571428573</v>
      </c>
      <c r="U2480" s="163">
        <f t="shared" si="416"/>
        <v>0</v>
      </c>
      <c r="V2480" s="163">
        <f t="shared" si="417"/>
        <v>0</v>
      </c>
      <c r="W2480" s="163">
        <v>0</v>
      </c>
      <c r="X2480" s="137">
        <f t="shared" si="410"/>
        <v>46153.001099537039</v>
      </c>
    </row>
    <row r="2481" spans="1:24" s="243" customFormat="1" ht="25" customHeight="1" x14ac:dyDescent="0.35">
      <c r="A2481" s="193">
        <f t="shared" si="411"/>
        <v>46153.001099537039</v>
      </c>
      <c r="B2481" s="193">
        <v>46129.982870370368</v>
      </c>
      <c r="C2481" s="267">
        <f t="shared" si="414"/>
        <v>-23.018229166671517</v>
      </c>
      <c r="D2481" s="267"/>
      <c r="E2481" s="195" t="s">
        <v>3273</v>
      </c>
      <c r="F2481" s="196" t="s">
        <v>3423</v>
      </c>
      <c r="G2481" s="196" t="s">
        <v>398</v>
      </c>
      <c r="H2481" s="695" t="s">
        <v>3424</v>
      </c>
      <c r="I2481" s="615" t="s">
        <v>3290</v>
      </c>
      <c r="J2481" s="383" t="s">
        <v>140</v>
      </c>
      <c r="K2481" s="482">
        <v>0</v>
      </c>
      <c r="L2481" s="482">
        <v>0</v>
      </c>
      <c r="M2481" s="199">
        <v>63</v>
      </c>
      <c r="N2481" s="483">
        <v>15000</v>
      </c>
      <c r="O2481" s="484">
        <v>1</v>
      </c>
      <c r="P2481" s="483">
        <f t="shared" si="413"/>
        <v>15000</v>
      </c>
      <c r="Q2481" s="198">
        <v>0.8</v>
      </c>
      <c r="R2481" s="270">
        <v>13430</v>
      </c>
      <c r="S2481" s="116">
        <f t="shared" si="407"/>
        <v>1570</v>
      </c>
      <c r="T2481" s="200">
        <f t="shared" si="415"/>
        <v>1097.1428571428573</v>
      </c>
      <c r="U2481" s="115">
        <f t="shared" si="416"/>
        <v>34.34375</v>
      </c>
      <c r="V2481" s="115">
        <f t="shared" si="417"/>
        <v>1.4309895833333333</v>
      </c>
      <c r="W2481" s="115">
        <v>0</v>
      </c>
      <c r="X2481" s="201">
        <f t="shared" si="410"/>
        <v>46154.432089120375</v>
      </c>
    </row>
    <row r="2482" spans="1:24" s="118" customFormat="1" ht="25" customHeight="1" x14ac:dyDescent="0.35">
      <c r="A2482" s="548">
        <f t="shared" si="411"/>
        <v>46154.432089120375</v>
      </c>
      <c r="B2482" s="548">
        <v>46140.982870370368</v>
      </c>
      <c r="C2482" s="272">
        <f t="shared" si="414"/>
        <v>-13.449218750007276</v>
      </c>
      <c r="D2482" s="272"/>
      <c r="E2482" s="273" t="s">
        <v>3273</v>
      </c>
      <c r="F2482" s="274" t="s">
        <v>3423</v>
      </c>
      <c r="G2482" s="274" t="s">
        <v>398</v>
      </c>
      <c r="H2482" s="674" t="s">
        <v>3425</v>
      </c>
      <c r="I2482" s="673" t="s">
        <v>3290</v>
      </c>
      <c r="J2482" s="562" t="s">
        <v>140</v>
      </c>
      <c r="K2482" s="563">
        <v>0</v>
      </c>
      <c r="L2482" s="563">
        <v>0</v>
      </c>
      <c r="M2482" s="564">
        <v>63</v>
      </c>
      <c r="N2482" s="565">
        <v>15000</v>
      </c>
      <c r="O2482" s="566">
        <v>1</v>
      </c>
      <c r="P2482" s="565">
        <f t="shared" si="413"/>
        <v>15000</v>
      </c>
      <c r="Q2482" s="282">
        <v>0.8</v>
      </c>
      <c r="R2482" s="283"/>
      <c r="S2482" s="279">
        <f t="shared" si="407"/>
        <v>15000</v>
      </c>
      <c r="T2482" s="284">
        <f t="shared" si="415"/>
        <v>1097.1428571428573</v>
      </c>
      <c r="U2482" s="278">
        <f t="shared" si="416"/>
        <v>328.125</v>
      </c>
      <c r="V2482" s="278">
        <f t="shared" si="417"/>
        <v>13.671875</v>
      </c>
      <c r="W2482" s="278">
        <v>0</v>
      </c>
      <c r="X2482" s="285">
        <f t="shared" si="410"/>
        <v>46168.103964120375</v>
      </c>
    </row>
    <row r="2483" spans="1:24" s="118" customFormat="1" ht="25" customHeight="1" x14ac:dyDescent="0.35">
      <c r="A2483" s="548">
        <f t="shared" si="411"/>
        <v>46168.103964120375</v>
      </c>
      <c r="B2483" s="548">
        <v>46154</v>
      </c>
      <c r="C2483" s="272">
        <f t="shared" si="414"/>
        <v>-14.103964120375167</v>
      </c>
      <c r="D2483" s="272"/>
      <c r="E2483" s="273" t="s">
        <v>3273</v>
      </c>
      <c r="F2483" s="274" t="s">
        <v>3426</v>
      </c>
      <c r="G2483" s="274" t="s">
        <v>3427</v>
      </c>
      <c r="H2483" s="674" t="s">
        <v>3428</v>
      </c>
      <c r="I2483" s="673" t="s">
        <v>3290</v>
      </c>
      <c r="J2483" s="562" t="s">
        <v>140</v>
      </c>
      <c r="K2483" s="563">
        <v>0</v>
      </c>
      <c r="L2483" s="563">
        <v>0</v>
      </c>
      <c r="M2483" s="564">
        <v>63</v>
      </c>
      <c r="N2483" s="565">
        <v>15000</v>
      </c>
      <c r="O2483" s="566">
        <v>1</v>
      </c>
      <c r="P2483" s="565">
        <f t="shared" si="413"/>
        <v>15000</v>
      </c>
      <c r="Q2483" s="282">
        <v>0.8</v>
      </c>
      <c r="R2483" s="283"/>
      <c r="S2483" s="279">
        <f t="shared" si="407"/>
        <v>15000</v>
      </c>
      <c r="T2483" s="284">
        <f t="shared" si="415"/>
        <v>1097.1428571428573</v>
      </c>
      <c r="U2483" s="278">
        <f t="shared" si="416"/>
        <v>328.125</v>
      </c>
      <c r="V2483" s="278">
        <f t="shared" si="417"/>
        <v>13.671875</v>
      </c>
      <c r="W2483" s="278">
        <v>0</v>
      </c>
      <c r="X2483" s="285">
        <f t="shared" si="410"/>
        <v>46181.775839120375</v>
      </c>
    </row>
    <row r="2484" spans="1:24" s="118" customFormat="1" ht="25" customHeight="1" x14ac:dyDescent="0.35">
      <c r="A2484" s="548">
        <f t="shared" si="411"/>
        <v>46181.775839120375</v>
      </c>
      <c r="B2484" s="548">
        <v>46167</v>
      </c>
      <c r="C2484" s="272">
        <f t="shared" si="414"/>
        <v>-14.775839120375167</v>
      </c>
      <c r="D2484" s="272"/>
      <c r="E2484" s="273" t="s">
        <v>3273</v>
      </c>
      <c r="F2484" s="274" t="s">
        <v>3429</v>
      </c>
      <c r="G2484" s="274" t="s">
        <v>3427</v>
      </c>
      <c r="H2484" s="674" t="s">
        <v>3430</v>
      </c>
      <c r="I2484" s="673" t="s">
        <v>3290</v>
      </c>
      <c r="J2484" s="562" t="s">
        <v>140</v>
      </c>
      <c r="K2484" s="563">
        <v>0</v>
      </c>
      <c r="L2484" s="563">
        <v>0</v>
      </c>
      <c r="M2484" s="564">
        <v>63</v>
      </c>
      <c r="N2484" s="565">
        <v>15000</v>
      </c>
      <c r="O2484" s="566">
        <v>1</v>
      </c>
      <c r="P2484" s="565">
        <f t="shared" si="413"/>
        <v>15000</v>
      </c>
      <c r="Q2484" s="282">
        <v>0.8</v>
      </c>
      <c r="R2484" s="283"/>
      <c r="S2484" s="279">
        <f t="shared" si="407"/>
        <v>15000</v>
      </c>
      <c r="T2484" s="284">
        <f t="shared" si="415"/>
        <v>1097.1428571428573</v>
      </c>
      <c r="U2484" s="278">
        <f t="shared" si="416"/>
        <v>328.125</v>
      </c>
      <c r="V2484" s="278">
        <f t="shared" si="417"/>
        <v>13.671875</v>
      </c>
      <c r="W2484" s="278">
        <v>0</v>
      </c>
      <c r="X2484" s="285">
        <f t="shared" si="410"/>
        <v>46195.447714120375</v>
      </c>
    </row>
    <row r="2485" spans="1:24" s="118" customFormat="1" ht="25" customHeight="1" x14ac:dyDescent="0.35">
      <c r="A2485" s="548"/>
      <c r="B2485" s="548"/>
      <c r="C2485" s="272"/>
      <c r="D2485" s="272"/>
      <c r="E2485" s="273"/>
      <c r="F2485" s="274"/>
      <c r="G2485" s="274"/>
      <c r="H2485" s="674"/>
      <c r="I2485" s="673"/>
      <c r="J2485" s="562"/>
      <c r="K2485" s="563"/>
      <c r="L2485" s="563"/>
      <c r="M2485" s="564"/>
      <c r="N2485" s="565"/>
      <c r="O2485" s="566"/>
      <c r="P2485" s="565"/>
      <c r="Q2485" s="282"/>
      <c r="R2485" s="283"/>
      <c r="S2485" s="279"/>
      <c r="T2485" s="284"/>
      <c r="U2485" s="278"/>
      <c r="V2485" s="278"/>
      <c r="W2485" s="278"/>
      <c r="X2485" s="285"/>
    </row>
    <row r="2486" spans="1:24" ht="33.75" customHeight="1" x14ac:dyDescent="0.8">
      <c r="A2486" s="35" t="s">
        <v>3431</v>
      </c>
      <c r="B2486" s="35"/>
      <c r="C2486" s="35"/>
      <c r="D2486" s="35"/>
      <c r="E2486" s="36"/>
      <c r="F2486" s="37"/>
      <c r="G2486" s="37"/>
      <c r="H2486" s="311"/>
      <c r="I2486" s="214"/>
      <c r="J2486" s="40"/>
      <c r="K2486" s="41"/>
      <c r="L2486" s="41"/>
      <c r="M2486" s="42"/>
      <c r="N2486" s="43"/>
      <c r="O2486" s="312"/>
      <c r="P2486" s="44"/>
      <c r="Q2486" s="44"/>
      <c r="R2486" s="45"/>
      <c r="S2486" s="44"/>
      <c r="T2486" s="313"/>
      <c r="U2486" s="44"/>
      <c r="V2486" s="44"/>
      <c r="W2486" s="44"/>
      <c r="X2486" s="45"/>
    </row>
    <row r="2487" spans="1:24" ht="29" hidden="1" x14ac:dyDescent="0.35">
      <c r="A2487" s="46">
        <f>S7</f>
        <v>46153</v>
      </c>
      <c r="B2487" s="46"/>
      <c r="C2487" s="46"/>
      <c r="D2487" s="46"/>
      <c r="E2487" s="47" t="s">
        <v>3431</v>
      </c>
      <c r="F2487" s="48" t="s">
        <v>3432</v>
      </c>
      <c r="G2487" s="48"/>
      <c r="H2487" s="49" t="s">
        <v>3433</v>
      </c>
      <c r="I2487" s="82" t="s">
        <v>3434</v>
      </c>
      <c r="J2487" s="51"/>
      <c r="K2487" s="52">
        <v>0</v>
      </c>
      <c r="L2487" s="52">
        <v>0</v>
      </c>
      <c r="M2487" s="53">
        <v>50</v>
      </c>
      <c r="N2487" s="54">
        <v>50000</v>
      </c>
      <c r="O2487" s="341">
        <v>1</v>
      </c>
      <c r="P2487" s="54">
        <v>50000</v>
      </c>
      <c r="Q2487" s="54"/>
      <c r="R2487" s="92">
        <v>50000</v>
      </c>
      <c r="S2487" s="53">
        <f t="shared" ref="S2487:S2550" si="418">P2487-R2487</f>
        <v>0</v>
      </c>
      <c r="T2487" s="343">
        <f t="shared" ref="T2487:T2544" si="419">((3600/M2487)*O2487)*24</f>
        <v>1728</v>
      </c>
      <c r="U2487" s="52">
        <f t="shared" ref="U2487:U2544" si="420">(P2487-R2487)*M2487/3600</f>
        <v>0</v>
      </c>
      <c r="V2487" s="52">
        <f t="shared" ref="V2487:V2544" si="421">(P2487-R2487)*M2487/3600/24</f>
        <v>0</v>
      </c>
      <c r="W2487" s="52">
        <v>0</v>
      </c>
      <c r="X2487" s="696">
        <f t="shared" ref="X2487:X2523" si="422">A2487+K2487+V2487+W2487+L2487</f>
        <v>46153</v>
      </c>
    </row>
    <row r="2488" spans="1:24" ht="43.5" hidden="1" x14ac:dyDescent="0.35">
      <c r="A2488" s="46">
        <f t="shared" ref="A2488:A2551" si="423">X2487</f>
        <v>46153</v>
      </c>
      <c r="B2488" s="46"/>
      <c r="C2488" s="46"/>
      <c r="D2488" s="46"/>
      <c r="E2488" s="47" t="s">
        <v>3435</v>
      </c>
      <c r="F2488" s="48" t="s">
        <v>3436</v>
      </c>
      <c r="G2488" s="48"/>
      <c r="H2488" s="49" t="s">
        <v>3437</v>
      </c>
      <c r="I2488" s="82" t="s">
        <v>3438</v>
      </c>
      <c r="J2488" s="60"/>
      <c r="K2488" s="52">
        <v>0</v>
      </c>
      <c r="L2488" s="52">
        <v>0</v>
      </c>
      <c r="M2488" s="53">
        <v>65</v>
      </c>
      <c r="N2488" s="54">
        <v>1800</v>
      </c>
      <c r="O2488" s="341">
        <v>1</v>
      </c>
      <c r="P2488" s="54">
        <f>N2488/O2488</f>
        <v>1800</v>
      </c>
      <c r="Q2488" s="54"/>
      <c r="R2488" s="92">
        <v>1800</v>
      </c>
      <c r="S2488" s="53">
        <f t="shared" si="418"/>
        <v>0</v>
      </c>
      <c r="T2488" s="343">
        <f t="shared" si="419"/>
        <v>1329.2307692307693</v>
      </c>
      <c r="U2488" s="52">
        <f t="shared" si="420"/>
        <v>0</v>
      </c>
      <c r="V2488" s="52">
        <f t="shared" si="421"/>
        <v>0</v>
      </c>
      <c r="W2488" s="52">
        <v>0</v>
      </c>
      <c r="X2488" s="696">
        <f t="shared" si="422"/>
        <v>46153</v>
      </c>
    </row>
    <row r="2489" spans="1:24" ht="29" hidden="1" x14ac:dyDescent="0.35">
      <c r="A2489" s="46">
        <f t="shared" si="423"/>
        <v>46153</v>
      </c>
      <c r="B2489" s="46"/>
      <c r="C2489" s="46"/>
      <c r="D2489" s="46"/>
      <c r="E2489" s="47" t="s">
        <v>3435</v>
      </c>
      <c r="F2489" s="48" t="s">
        <v>3439</v>
      </c>
      <c r="G2489" s="48"/>
      <c r="H2489" s="49" t="s">
        <v>3437</v>
      </c>
      <c r="I2489" s="82" t="s">
        <v>3438</v>
      </c>
      <c r="J2489" s="60"/>
      <c r="K2489" s="52">
        <v>0</v>
      </c>
      <c r="L2489" s="52">
        <v>0</v>
      </c>
      <c r="M2489" s="53">
        <v>65</v>
      </c>
      <c r="N2489" s="54">
        <v>2000</v>
      </c>
      <c r="O2489" s="341">
        <v>1</v>
      </c>
      <c r="P2489" s="54">
        <f>N2489/O2489</f>
        <v>2000</v>
      </c>
      <c r="Q2489" s="54"/>
      <c r="R2489" s="92">
        <v>2000</v>
      </c>
      <c r="S2489" s="53">
        <f t="shared" si="418"/>
        <v>0</v>
      </c>
      <c r="T2489" s="343">
        <f t="shared" si="419"/>
        <v>1329.2307692307693</v>
      </c>
      <c r="U2489" s="52">
        <f t="shared" si="420"/>
        <v>0</v>
      </c>
      <c r="V2489" s="52">
        <f t="shared" si="421"/>
        <v>0</v>
      </c>
      <c r="W2489" s="52">
        <v>0</v>
      </c>
      <c r="X2489" s="696">
        <f t="shared" si="422"/>
        <v>46153</v>
      </c>
    </row>
    <row r="2490" spans="1:24" ht="29" hidden="1" x14ac:dyDescent="0.35">
      <c r="A2490" s="46">
        <f t="shared" si="423"/>
        <v>46153</v>
      </c>
      <c r="B2490" s="46"/>
      <c r="C2490" s="46"/>
      <c r="D2490" s="46"/>
      <c r="E2490" s="47" t="s">
        <v>3435</v>
      </c>
      <c r="F2490" s="48" t="s">
        <v>3440</v>
      </c>
      <c r="G2490" s="48"/>
      <c r="H2490" s="49" t="s">
        <v>3437</v>
      </c>
      <c r="I2490" s="82" t="s">
        <v>3438</v>
      </c>
      <c r="J2490" s="60"/>
      <c r="K2490" s="52">
        <v>0</v>
      </c>
      <c r="L2490" s="52">
        <v>0</v>
      </c>
      <c r="M2490" s="53">
        <v>65</v>
      </c>
      <c r="N2490" s="54">
        <v>4000</v>
      </c>
      <c r="O2490" s="341">
        <v>1</v>
      </c>
      <c r="P2490" s="54">
        <f>N2490/O2490</f>
        <v>4000</v>
      </c>
      <c r="Q2490" s="54"/>
      <c r="R2490" s="92">
        <v>4000</v>
      </c>
      <c r="S2490" s="53">
        <f t="shared" si="418"/>
        <v>0</v>
      </c>
      <c r="T2490" s="343">
        <f t="shared" si="419"/>
        <v>1329.2307692307693</v>
      </c>
      <c r="U2490" s="52">
        <f t="shared" si="420"/>
        <v>0</v>
      </c>
      <c r="V2490" s="52">
        <f t="shared" si="421"/>
        <v>0</v>
      </c>
      <c r="W2490" s="52">
        <v>0</v>
      </c>
      <c r="X2490" s="696">
        <f t="shared" si="422"/>
        <v>46153</v>
      </c>
    </row>
    <row r="2491" spans="1:24" ht="29" hidden="1" x14ac:dyDescent="0.35">
      <c r="A2491" s="46">
        <f t="shared" si="423"/>
        <v>46153</v>
      </c>
      <c r="B2491" s="46"/>
      <c r="C2491" s="46"/>
      <c r="D2491" s="46"/>
      <c r="E2491" s="47" t="s">
        <v>3435</v>
      </c>
      <c r="F2491" s="48" t="s">
        <v>55</v>
      </c>
      <c r="G2491" s="48"/>
      <c r="H2491" s="49" t="s">
        <v>3437</v>
      </c>
      <c r="I2491" s="82" t="s">
        <v>3438</v>
      </c>
      <c r="J2491" s="60"/>
      <c r="K2491" s="52">
        <v>0</v>
      </c>
      <c r="L2491" s="52">
        <v>0</v>
      </c>
      <c r="M2491" s="53">
        <v>65</v>
      </c>
      <c r="N2491" s="54">
        <v>4000</v>
      </c>
      <c r="O2491" s="341">
        <v>1</v>
      </c>
      <c r="P2491" s="54">
        <v>4000</v>
      </c>
      <c r="Q2491" s="54"/>
      <c r="R2491" s="92">
        <v>4000</v>
      </c>
      <c r="S2491" s="53">
        <f t="shared" si="418"/>
        <v>0</v>
      </c>
      <c r="T2491" s="343">
        <f t="shared" si="419"/>
        <v>1329.2307692307693</v>
      </c>
      <c r="U2491" s="52">
        <f t="shared" si="420"/>
        <v>0</v>
      </c>
      <c r="V2491" s="52">
        <f t="shared" si="421"/>
        <v>0</v>
      </c>
      <c r="W2491" s="52">
        <v>0</v>
      </c>
      <c r="X2491" s="696">
        <f t="shared" si="422"/>
        <v>46153</v>
      </c>
    </row>
    <row r="2492" spans="1:24" hidden="1" x14ac:dyDescent="0.35">
      <c r="A2492" s="46">
        <f t="shared" si="423"/>
        <v>46153</v>
      </c>
      <c r="B2492" s="46"/>
      <c r="C2492" s="46"/>
      <c r="D2492" s="46"/>
      <c r="E2492" s="47"/>
      <c r="F2492" s="57" t="s">
        <v>3441</v>
      </c>
      <c r="G2492" s="57"/>
      <c r="H2492" s="49" t="s">
        <v>3442</v>
      </c>
      <c r="I2492" s="85" t="s">
        <v>3443</v>
      </c>
      <c r="J2492" s="51"/>
      <c r="K2492" s="52">
        <v>0</v>
      </c>
      <c r="L2492" s="52">
        <v>0</v>
      </c>
      <c r="M2492" s="53">
        <v>56</v>
      </c>
      <c r="N2492" s="54">
        <v>70000</v>
      </c>
      <c r="O2492" s="341">
        <v>2</v>
      </c>
      <c r="P2492" s="54">
        <f t="shared" ref="P2492:P2506" si="424">N2492/O2492</f>
        <v>35000</v>
      </c>
      <c r="Q2492" s="54"/>
      <c r="R2492" s="92">
        <v>35000</v>
      </c>
      <c r="S2492" s="53">
        <f t="shared" si="418"/>
        <v>0</v>
      </c>
      <c r="T2492" s="343">
        <f t="shared" si="419"/>
        <v>3085.7142857142862</v>
      </c>
      <c r="U2492" s="52">
        <f t="shared" si="420"/>
        <v>0</v>
      </c>
      <c r="V2492" s="52">
        <f t="shared" si="421"/>
        <v>0</v>
      </c>
      <c r="W2492" s="52">
        <v>0</v>
      </c>
      <c r="X2492" s="696">
        <f t="shared" si="422"/>
        <v>46153</v>
      </c>
    </row>
    <row r="2493" spans="1:24" hidden="1" x14ac:dyDescent="0.35">
      <c r="A2493" s="46">
        <f t="shared" si="423"/>
        <v>46153</v>
      </c>
      <c r="B2493" s="46"/>
      <c r="C2493" s="46"/>
      <c r="D2493" s="46"/>
      <c r="E2493" s="47" t="s">
        <v>3431</v>
      </c>
      <c r="F2493" s="57" t="s">
        <v>104</v>
      </c>
      <c r="G2493" s="57"/>
      <c r="H2493" s="49" t="s">
        <v>3444</v>
      </c>
      <c r="I2493" s="85" t="s">
        <v>3443</v>
      </c>
      <c r="J2493" s="51"/>
      <c r="K2493" s="52">
        <v>0</v>
      </c>
      <c r="L2493" s="52">
        <v>0</v>
      </c>
      <c r="M2493" s="53">
        <v>56</v>
      </c>
      <c r="N2493" s="54">
        <v>112000</v>
      </c>
      <c r="O2493" s="341">
        <v>2</v>
      </c>
      <c r="P2493" s="54">
        <f t="shared" si="424"/>
        <v>56000</v>
      </c>
      <c r="Q2493" s="54"/>
      <c r="R2493" s="92">
        <v>56000</v>
      </c>
      <c r="S2493" s="53">
        <f t="shared" si="418"/>
        <v>0</v>
      </c>
      <c r="T2493" s="343">
        <f t="shared" si="419"/>
        <v>3085.7142857142862</v>
      </c>
      <c r="U2493" s="52">
        <f t="shared" si="420"/>
        <v>0</v>
      </c>
      <c r="V2493" s="52">
        <f t="shared" si="421"/>
        <v>0</v>
      </c>
      <c r="W2493" s="52">
        <v>0</v>
      </c>
      <c r="X2493" s="696">
        <f t="shared" si="422"/>
        <v>46153</v>
      </c>
    </row>
    <row r="2494" spans="1:24" hidden="1" x14ac:dyDescent="0.35">
      <c r="A2494" s="46">
        <f t="shared" si="423"/>
        <v>46153</v>
      </c>
      <c r="B2494" s="46"/>
      <c r="C2494" s="46"/>
      <c r="D2494" s="46"/>
      <c r="E2494" s="47" t="s">
        <v>3431</v>
      </c>
      <c r="F2494" s="57" t="s">
        <v>113</v>
      </c>
      <c r="G2494" s="57"/>
      <c r="H2494" s="49" t="s">
        <v>3445</v>
      </c>
      <c r="I2494" s="85" t="s">
        <v>3443</v>
      </c>
      <c r="J2494" s="51" t="s">
        <v>283</v>
      </c>
      <c r="K2494" s="52">
        <v>0</v>
      </c>
      <c r="L2494" s="52">
        <v>0</v>
      </c>
      <c r="M2494" s="53">
        <v>56</v>
      </c>
      <c r="N2494" s="54">
        <v>133000</v>
      </c>
      <c r="O2494" s="341">
        <v>2</v>
      </c>
      <c r="P2494" s="54">
        <f t="shared" si="424"/>
        <v>66500</v>
      </c>
      <c r="Q2494" s="54"/>
      <c r="R2494" s="92">
        <v>66500</v>
      </c>
      <c r="S2494" s="53">
        <f t="shared" si="418"/>
        <v>0</v>
      </c>
      <c r="T2494" s="343">
        <f t="shared" si="419"/>
        <v>3085.7142857142862</v>
      </c>
      <c r="U2494" s="52">
        <f t="shared" si="420"/>
        <v>0</v>
      </c>
      <c r="V2494" s="52">
        <f t="shared" si="421"/>
        <v>0</v>
      </c>
      <c r="W2494" s="52">
        <v>0</v>
      </c>
      <c r="X2494" s="696">
        <f t="shared" si="422"/>
        <v>46153</v>
      </c>
    </row>
    <row r="2495" spans="1:24" hidden="1" x14ac:dyDescent="0.35">
      <c r="A2495" s="46">
        <f t="shared" si="423"/>
        <v>46153</v>
      </c>
      <c r="B2495" s="46"/>
      <c r="C2495" s="46"/>
      <c r="D2495" s="46"/>
      <c r="E2495" s="47" t="s">
        <v>3431</v>
      </c>
      <c r="F2495" s="57" t="s">
        <v>3446</v>
      </c>
      <c r="G2495" s="57"/>
      <c r="H2495" s="49" t="s">
        <v>3447</v>
      </c>
      <c r="I2495" s="85" t="s">
        <v>3443</v>
      </c>
      <c r="J2495" s="51" t="s">
        <v>283</v>
      </c>
      <c r="K2495" s="52">
        <v>0</v>
      </c>
      <c r="L2495" s="52">
        <v>0</v>
      </c>
      <c r="M2495" s="53">
        <v>56</v>
      </c>
      <c r="N2495" s="54">
        <v>63000</v>
      </c>
      <c r="O2495" s="341">
        <v>2</v>
      </c>
      <c r="P2495" s="54">
        <f t="shared" si="424"/>
        <v>31500</v>
      </c>
      <c r="Q2495" s="54"/>
      <c r="R2495" s="92">
        <v>31500</v>
      </c>
      <c r="S2495" s="53">
        <f t="shared" si="418"/>
        <v>0</v>
      </c>
      <c r="T2495" s="343">
        <f t="shared" si="419"/>
        <v>3085.7142857142862</v>
      </c>
      <c r="U2495" s="52">
        <f t="shared" si="420"/>
        <v>0</v>
      </c>
      <c r="V2495" s="52">
        <f t="shared" si="421"/>
        <v>0</v>
      </c>
      <c r="W2495" s="52">
        <v>0</v>
      </c>
      <c r="X2495" s="696">
        <f t="shared" si="422"/>
        <v>46153</v>
      </c>
    </row>
    <row r="2496" spans="1:24" hidden="1" x14ac:dyDescent="0.35">
      <c r="A2496" s="46">
        <f t="shared" si="423"/>
        <v>46153</v>
      </c>
      <c r="B2496" s="46"/>
      <c r="C2496" s="46"/>
      <c r="D2496" s="46"/>
      <c r="E2496" s="47" t="s">
        <v>3431</v>
      </c>
      <c r="F2496" s="57" t="s">
        <v>3448</v>
      </c>
      <c r="G2496" s="57"/>
      <c r="H2496" s="49" t="s">
        <v>3449</v>
      </c>
      <c r="I2496" s="85" t="s">
        <v>3443</v>
      </c>
      <c r="J2496" s="51" t="s">
        <v>283</v>
      </c>
      <c r="K2496" s="52">
        <v>0</v>
      </c>
      <c r="L2496" s="52">
        <v>0</v>
      </c>
      <c r="M2496" s="53">
        <v>56</v>
      </c>
      <c r="N2496" s="54">
        <v>63000</v>
      </c>
      <c r="O2496" s="341">
        <v>2</v>
      </c>
      <c r="P2496" s="54">
        <f t="shared" si="424"/>
        <v>31500</v>
      </c>
      <c r="Q2496" s="54"/>
      <c r="R2496" s="92">
        <v>31500</v>
      </c>
      <c r="S2496" s="53">
        <f t="shared" si="418"/>
        <v>0</v>
      </c>
      <c r="T2496" s="343">
        <f t="shared" si="419"/>
        <v>3085.7142857142862</v>
      </c>
      <c r="U2496" s="52">
        <f t="shared" si="420"/>
        <v>0</v>
      </c>
      <c r="V2496" s="52">
        <f t="shared" si="421"/>
        <v>0</v>
      </c>
      <c r="W2496" s="52">
        <v>0</v>
      </c>
      <c r="X2496" s="696">
        <f t="shared" si="422"/>
        <v>46153</v>
      </c>
    </row>
    <row r="2497" spans="1:24" hidden="1" x14ac:dyDescent="0.35">
      <c r="A2497" s="46">
        <f t="shared" si="423"/>
        <v>46153</v>
      </c>
      <c r="B2497" s="46"/>
      <c r="C2497" s="46"/>
      <c r="D2497" s="46"/>
      <c r="E2497" s="47" t="s">
        <v>3431</v>
      </c>
      <c r="F2497" s="57" t="s">
        <v>3450</v>
      </c>
      <c r="G2497" s="57"/>
      <c r="H2497" s="49" t="s">
        <v>3451</v>
      </c>
      <c r="I2497" s="85" t="s">
        <v>3443</v>
      </c>
      <c r="J2497" s="51" t="s">
        <v>283</v>
      </c>
      <c r="K2497" s="52">
        <v>0</v>
      </c>
      <c r="L2497" s="52">
        <v>0</v>
      </c>
      <c r="M2497" s="53">
        <v>56</v>
      </c>
      <c r="N2497" s="54">
        <v>63000</v>
      </c>
      <c r="O2497" s="341">
        <v>2</v>
      </c>
      <c r="P2497" s="54">
        <f t="shared" si="424"/>
        <v>31500</v>
      </c>
      <c r="Q2497" s="54"/>
      <c r="R2497" s="92">
        <v>31500</v>
      </c>
      <c r="S2497" s="53">
        <f t="shared" si="418"/>
        <v>0</v>
      </c>
      <c r="T2497" s="343">
        <f t="shared" si="419"/>
        <v>3085.7142857142862</v>
      </c>
      <c r="U2497" s="52">
        <f t="shared" si="420"/>
        <v>0</v>
      </c>
      <c r="V2497" s="52">
        <f t="shared" si="421"/>
        <v>0</v>
      </c>
      <c r="W2497" s="52">
        <v>0</v>
      </c>
      <c r="X2497" s="696">
        <f t="shared" si="422"/>
        <v>46153</v>
      </c>
    </row>
    <row r="2498" spans="1:24" hidden="1" x14ac:dyDescent="0.35">
      <c r="A2498" s="46">
        <f t="shared" si="423"/>
        <v>46153</v>
      </c>
      <c r="B2498" s="46"/>
      <c r="C2498" s="46"/>
      <c r="D2498" s="46"/>
      <c r="E2498" s="47" t="s">
        <v>3431</v>
      </c>
      <c r="F2498" s="57" t="s">
        <v>3450</v>
      </c>
      <c r="G2498" s="57"/>
      <c r="H2498" s="49" t="s">
        <v>3452</v>
      </c>
      <c r="I2498" s="85" t="s">
        <v>3443</v>
      </c>
      <c r="J2498" s="51" t="s">
        <v>283</v>
      </c>
      <c r="K2498" s="52">
        <v>0</v>
      </c>
      <c r="L2498" s="52">
        <v>0</v>
      </c>
      <c r="M2498" s="53">
        <v>56</v>
      </c>
      <c r="N2498" s="54">
        <v>84000</v>
      </c>
      <c r="O2498" s="341">
        <v>2</v>
      </c>
      <c r="P2498" s="54">
        <f t="shared" si="424"/>
        <v>42000</v>
      </c>
      <c r="Q2498" s="54"/>
      <c r="R2498" s="92">
        <v>42000</v>
      </c>
      <c r="S2498" s="53">
        <f t="shared" si="418"/>
        <v>0</v>
      </c>
      <c r="T2498" s="343">
        <f t="shared" si="419"/>
        <v>3085.7142857142862</v>
      </c>
      <c r="U2498" s="52">
        <f t="shared" si="420"/>
        <v>0</v>
      </c>
      <c r="V2498" s="52">
        <f t="shared" si="421"/>
        <v>0</v>
      </c>
      <c r="W2498" s="52">
        <v>0</v>
      </c>
      <c r="X2498" s="696">
        <f t="shared" si="422"/>
        <v>46153</v>
      </c>
    </row>
    <row r="2499" spans="1:24" hidden="1" x14ac:dyDescent="0.35">
      <c r="A2499" s="46">
        <f t="shared" si="423"/>
        <v>46153</v>
      </c>
      <c r="B2499" s="46"/>
      <c r="C2499" s="46"/>
      <c r="D2499" s="46"/>
      <c r="E2499" s="47" t="s">
        <v>3431</v>
      </c>
      <c r="F2499" s="57" t="s">
        <v>3453</v>
      </c>
      <c r="G2499" s="57"/>
      <c r="H2499" s="49" t="s">
        <v>3454</v>
      </c>
      <c r="I2499" s="85" t="s">
        <v>3443</v>
      </c>
      <c r="J2499" s="51" t="s">
        <v>283</v>
      </c>
      <c r="K2499" s="52">
        <v>0</v>
      </c>
      <c r="L2499" s="52">
        <v>0</v>
      </c>
      <c r="M2499" s="53">
        <v>56</v>
      </c>
      <c r="N2499" s="54">
        <v>105000</v>
      </c>
      <c r="O2499" s="341">
        <v>2</v>
      </c>
      <c r="P2499" s="54">
        <f t="shared" si="424"/>
        <v>52500</v>
      </c>
      <c r="Q2499" s="54"/>
      <c r="R2499" s="92">
        <v>52500</v>
      </c>
      <c r="S2499" s="53">
        <f t="shared" si="418"/>
        <v>0</v>
      </c>
      <c r="T2499" s="343">
        <f t="shared" si="419"/>
        <v>3085.7142857142862</v>
      </c>
      <c r="U2499" s="52">
        <f t="shared" si="420"/>
        <v>0</v>
      </c>
      <c r="V2499" s="52">
        <f t="shared" si="421"/>
        <v>0</v>
      </c>
      <c r="W2499" s="52">
        <v>0</v>
      </c>
      <c r="X2499" s="696">
        <f t="shared" si="422"/>
        <v>46153</v>
      </c>
    </row>
    <row r="2500" spans="1:24" hidden="1" x14ac:dyDescent="0.35">
      <c r="A2500" s="46">
        <f t="shared" si="423"/>
        <v>46153</v>
      </c>
      <c r="B2500" s="46"/>
      <c r="C2500" s="46"/>
      <c r="D2500" s="46"/>
      <c r="E2500" s="47" t="s">
        <v>3431</v>
      </c>
      <c r="F2500" s="57" t="s">
        <v>3455</v>
      </c>
      <c r="G2500" s="57"/>
      <c r="H2500" s="49" t="s">
        <v>3456</v>
      </c>
      <c r="I2500" s="85" t="s">
        <v>3443</v>
      </c>
      <c r="J2500" s="51" t="s">
        <v>283</v>
      </c>
      <c r="K2500" s="52">
        <v>0</v>
      </c>
      <c r="L2500" s="52">
        <v>0</v>
      </c>
      <c r="M2500" s="53">
        <v>56</v>
      </c>
      <c r="N2500" s="54">
        <v>70000</v>
      </c>
      <c r="O2500" s="341">
        <v>2</v>
      </c>
      <c r="P2500" s="54">
        <f t="shared" si="424"/>
        <v>35000</v>
      </c>
      <c r="Q2500" s="54"/>
      <c r="R2500" s="92">
        <v>35000</v>
      </c>
      <c r="S2500" s="53">
        <f t="shared" si="418"/>
        <v>0</v>
      </c>
      <c r="T2500" s="343">
        <f t="shared" si="419"/>
        <v>3085.7142857142862</v>
      </c>
      <c r="U2500" s="52">
        <f t="shared" si="420"/>
        <v>0</v>
      </c>
      <c r="V2500" s="52">
        <f t="shared" si="421"/>
        <v>0</v>
      </c>
      <c r="W2500" s="52">
        <v>0</v>
      </c>
      <c r="X2500" s="696">
        <f t="shared" si="422"/>
        <v>46153</v>
      </c>
    </row>
    <row r="2501" spans="1:24" ht="29" hidden="1" x14ac:dyDescent="0.35">
      <c r="A2501" s="46">
        <f t="shared" si="423"/>
        <v>46153</v>
      </c>
      <c r="B2501" s="46"/>
      <c r="C2501" s="46"/>
      <c r="D2501" s="46"/>
      <c r="E2501" s="47" t="s">
        <v>3431</v>
      </c>
      <c r="F2501" s="57" t="s">
        <v>1372</v>
      </c>
      <c r="G2501" s="57"/>
      <c r="H2501" s="49" t="s">
        <v>3457</v>
      </c>
      <c r="I2501" s="85" t="s">
        <v>3443</v>
      </c>
      <c r="J2501" s="51" t="s">
        <v>283</v>
      </c>
      <c r="K2501" s="52">
        <v>0</v>
      </c>
      <c r="L2501" s="52">
        <v>0</v>
      </c>
      <c r="M2501" s="53">
        <v>56</v>
      </c>
      <c r="N2501" s="54">
        <v>2000</v>
      </c>
      <c r="O2501" s="341">
        <v>2</v>
      </c>
      <c r="P2501" s="54">
        <f t="shared" si="424"/>
        <v>1000</v>
      </c>
      <c r="Q2501" s="54"/>
      <c r="R2501" s="92">
        <v>1000</v>
      </c>
      <c r="S2501" s="53">
        <f t="shared" si="418"/>
        <v>0</v>
      </c>
      <c r="T2501" s="343">
        <f t="shared" si="419"/>
        <v>3085.7142857142862</v>
      </c>
      <c r="U2501" s="52">
        <f t="shared" si="420"/>
        <v>0</v>
      </c>
      <c r="V2501" s="52">
        <f t="shared" si="421"/>
        <v>0</v>
      </c>
      <c r="W2501" s="52">
        <v>0</v>
      </c>
      <c r="X2501" s="696">
        <f t="shared" si="422"/>
        <v>46153</v>
      </c>
    </row>
    <row r="2502" spans="1:24" ht="26.5" hidden="1" x14ac:dyDescent="0.35">
      <c r="A2502" s="46">
        <f t="shared" si="423"/>
        <v>46153</v>
      </c>
      <c r="B2502" s="46"/>
      <c r="C2502" s="46"/>
      <c r="D2502" s="46"/>
      <c r="E2502" s="47" t="s">
        <v>3431</v>
      </c>
      <c r="F2502" s="57" t="s">
        <v>3455</v>
      </c>
      <c r="G2502" s="57"/>
      <c r="H2502" s="49" t="s">
        <v>3458</v>
      </c>
      <c r="I2502" s="85" t="s">
        <v>3459</v>
      </c>
      <c r="J2502" s="51" t="s">
        <v>283</v>
      </c>
      <c r="K2502" s="52">
        <v>0</v>
      </c>
      <c r="L2502" s="52">
        <v>0</v>
      </c>
      <c r="M2502" s="53">
        <v>56</v>
      </c>
      <c r="N2502" s="54">
        <v>84000</v>
      </c>
      <c r="O2502" s="341">
        <v>2</v>
      </c>
      <c r="P2502" s="54">
        <f t="shared" si="424"/>
        <v>42000</v>
      </c>
      <c r="Q2502" s="54"/>
      <c r="R2502" s="92">
        <v>42000</v>
      </c>
      <c r="S2502" s="53">
        <f t="shared" si="418"/>
        <v>0</v>
      </c>
      <c r="T2502" s="343">
        <f t="shared" si="419"/>
        <v>3085.7142857142862</v>
      </c>
      <c r="U2502" s="52">
        <f t="shared" si="420"/>
        <v>0</v>
      </c>
      <c r="V2502" s="52">
        <f t="shared" si="421"/>
        <v>0</v>
      </c>
      <c r="W2502" s="52">
        <v>0</v>
      </c>
      <c r="X2502" s="696">
        <f t="shared" si="422"/>
        <v>46153</v>
      </c>
    </row>
    <row r="2503" spans="1:24" ht="26.5" hidden="1" x14ac:dyDescent="0.35">
      <c r="A2503" s="46">
        <f t="shared" si="423"/>
        <v>46153</v>
      </c>
      <c r="B2503" s="46"/>
      <c r="C2503" s="46"/>
      <c r="D2503" s="46"/>
      <c r="E2503" s="47" t="s">
        <v>3431</v>
      </c>
      <c r="F2503" s="57" t="s">
        <v>3460</v>
      </c>
      <c r="G2503" s="57"/>
      <c r="H2503" s="49" t="s">
        <v>3461</v>
      </c>
      <c r="I2503" s="85" t="s">
        <v>3459</v>
      </c>
      <c r="J2503" s="51" t="s">
        <v>283</v>
      </c>
      <c r="K2503" s="52">
        <v>0</v>
      </c>
      <c r="L2503" s="52">
        <v>0</v>
      </c>
      <c r="M2503" s="53">
        <v>56</v>
      </c>
      <c r="N2503" s="54">
        <v>14000</v>
      </c>
      <c r="O2503" s="341">
        <v>2</v>
      </c>
      <c r="P2503" s="54">
        <f t="shared" si="424"/>
        <v>7000</v>
      </c>
      <c r="Q2503" s="54"/>
      <c r="R2503" s="92">
        <v>7000</v>
      </c>
      <c r="S2503" s="53">
        <f t="shared" si="418"/>
        <v>0</v>
      </c>
      <c r="T2503" s="343">
        <f t="shared" si="419"/>
        <v>3085.7142857142862</v>
      </c>
      <c r="U2503" s="52">
        <f t="shared" si="420"/>
        <v>0</v>
      </c>
      <c r="V2503" s="52">
        <f t="shared" si="421"/>
        <v>0</v>
      </c>
      <c r="W2503" s="52">
        <v>0</v>
      </c>
      <c r="X2503" s="696">
        <f t="shared" si="422"/>
        <v>46153</v>
      </c>
    </row>
    <row r="2504" spans="1:24" ht="26.5" hidden="1" x14ac:dyDescent="0.35">
      <c r="A2504" s="46">
        <f t="shared" si="423"/>
        <v>46153</v>
      </c>
      <c r="B2504" s="46"/>
      <c r="C2504" s="46"/>
      <c r="D2504" s="46"/>
      <c r="E2504" s="47" t="s">
        <v>3431</v>
      </c>
      <c r="F2504" s="57" t="s">
        <v>3460</v>
      </c>
      <c r="G2504" s="57"/>
      <c r="H2504" s="49" t="s">
        <v>3462</v>
      </c>
      <c r="I2504" s="85" t="s">
        <v>3459</v>
      </c>
      <c r="J2504" s="51" t="s">
        <v>283</v>
      </c>
      <c r="K2504" s="52">
        <v>0</v>
      </c>
      <c r="L2504" s="52">
        <v>0</v>
      </c>
      <c r="M2504" s="53">
        <v>56</v>
      </c>
      <c r="N2504" s="54">
        <v>14000</v>
      </c>
      <c r="O2504" s="341">
        <v>2</v>
      </c>
      <c r="P2504" s="54">
        <f t="shared" si="424"/>
        <v>7000</v>
      </c>
      <c r="Q2504" s="54"/>
      <c r="R2504" s="92">
        <v>7000</v>
      </c>
      <c r="S2504" s="53">
        <f t="shared" si="418"/>
        <v>0</v>
      </c>
      <c r="T2504" s="343">
        <f t="shared" si="419"/>
        <v>3085.7142857142862</v>
      </c>
      <c r="U2504" s="52">
        <f t="shared" si="420"/>
        <v>0</v>
      </c>
      <c r="V2504" s="52">
        <f t="shared" si="421"/>
        <v>0</v>
      </c>
      <c r="W2504" s="52">
        <v>0</v>
      </c>
      <c r="X2504" s="696">
        <f t="shared" si="422"/>
        <v>46153</v>
      </c>
    </row>
    <row r="2505" spans="1:24" ht="39.5" hidden="1" x14ac:dyDescent="0.35">
      <c r="A2505" s="46">
        <f t="shared" si="423"/>
        <v>46153</v>
      </c>
      <c r="B2505" s="46"/>
      <c r="C2505" s="46"/>
      <c r="D2505" s="46"/>
      <c r="E2505" s="47" t="s">
        <v>1896</v>
      </c>
      <c r="F2505" s="82" t="s">
        <v>220</v>
      </c>
      <c r="G2505" s="82"/>
      <c r="H2505" s="334" t="s">
        <v>3463</v>
      </c>
      <c r="I2505" s="697" t="s">
        <v>3464</v>
      </c>
      <c r="J2505" s="100" t="s">
        <v>140</v>
      </c>
      <c r="K2505" s="91">
        <v>0</v>
      </c>
      <c r="L2505" s="91">
        <v>0</v>
      </c>
      <c r="M2505" s="92">
        <v>40</v>
      </c>
      <c r="N2505" s="94">
        <v>5000</v>
      </c>
      <c r="O2505" s="253">
        <v>1</v>
      </c>
      <c r="P2505" s="94">
        <f t="shared" si="424"/>
        <v>5000</v>
      </c>
      <c r="Q2505" s="94"/>
      <c r="R2505" s="92">
        <v>5000</v>
      </c>
      <c r="S2505" s="102">
        <f t="shared" si="418"/>
        <v>0</v>
      </c>
      <c r="T2505" s="173">
        <f t="shared" si="419"/>
        <v>2160</v>
      </c>
      <c r="U2505" s="101">
        <f t="shared" si="420"/>
        <v>0</v>
      </c>
      <c r="V2505" s="101">
        <f t="shared" si="421"/>
        <v>0</v>
      </c>
      <c r="W2505" s="101">
        <v>0</v>
      </c>
      <c r="X2505" s="696">
        <f t="shared" si="422"/>
        <v>46153</v>
      </c>
    </row>
    <row r="2506" spans="1:24" s="221" customFormat="1" ht="39.5" hidden="1" x14ac:dyDescent="0.35">
      <c r="A2506" s="46">
        <f t="shared" si="423"/>
        <v>46153</v>
      </c>
      <c r="B2506" s="46"/>
      <c r="C2506" s="46"/>
      <c r="D2506" s="46"/>
      <c r="E2506" s="47" t="s">
        <v>3431</v>
      </c>
      <c r="F2506" s="48" t="s">
        <v>652</v>
      </c>
      <c r="G2506" s="48"/>
      <c r="H2506" s="49" t="s">
        <v>3465</v>
      </c>
      <c r="I2506" s="71" t="s">
        <v>3466</v>
      </c>
      <c r="J2506" s="100" t="s">
        <v>140</v>
      </c>
      <c r="K2506" s="52">
        <v>0</v>
      </c>
      <c r="L2506" s="52">
        <v>0</v>
      </c>
      <c r="M2506" s="53">
        <v>45</v>
      </c>
      <c r="N2506" s="54">
        <v>10000</v>
      </c>
      <c r="O2506" s="341">
        <v>2</v>
      </c>
      <c r="P2506" s="54">
        <f t="shared" si="424"/>
        <v>5000</v>
      </c>
      <c r="Q2506" s="54"/>
      <c r="R2506" s="92">
        <v>5000</v>
      </c>
      <c r="S2506" s="53">
        <f t="shared" si="418"/>
        <v>0</v>
      </c>
      <c r="T2506" s="315">
        <f t="shared" si="419"/>
        <v>3840</v>
      </c>
      <c r="U2506" s="84">
        <f t="shared" si="420"/>
        <v>0</v>
      </c>
      <c r="V2506" s="84">
        <f t="shared" si="421"/>
        <v>0</v>
      </c>
      <c r="W2506" s="84">
        <v>0</v>
      </c>
      <c r="X2506" s="696">
        <f t="shared" si="422"/>
        <v>46153</v>
      </c>
    </row>
    <row r="2507" spans="1:24" ht="26.5" hidden="1" x14ac:dyDescent="0.35">
      <c r="A2507" s="46">
        <f t="shared" si="423"/>
        <v>46153</v>
      </c>
      <c r="B2507" s="46"/>
      <c r="C2507" s="46"/>
      <c r="D2507" s="46"/>
      <c r="E2507" s="47" t="s">
        <v>3431</v>
      </c>
      <c r="F2507" s="97" t="s">
        <v>849</v>
      </c>
      <c r="G2507" s="97"/>
      <c r="H2507" s="98" t="s">
        <v>3467</v>
      </c>
      <c r="I2507" s="82" t="s">
        <v>3468</v>
      </c>
      <c r="J2507" s="51" t="s">
        <v>140</v>
      </c>
      <c r="K2507" s="91">
        <v>0</v>
      </c>
      <c r="L2507" s="91">
        <v>0</v>
      </c>
      <c r="M2507" s="92">
        <v>20</v>
      </c>
      <c r="N2507" s="94">
        <v>160000</v>
      </c>
      <c r="O2507" s="253">
        <v>8</v>
      </c>
      <c r="P2507" s="94">
        <v>20000</v>
      </c>
      <c r="Q2507" s="94"/>
      <c r="R2507" s="92">
        <v>20000</v>
      </c>
      <c r="S2507" s="92">
        <f t="shared" si="418"/>
        <v>0</v>
      </c>
      <c r="T2507" s="254">
        <f t="shared" si="419"/>
        <v>34560</v>
      </c>
      <c r="U2507" s="91">
        <f t="shared" si="420"/>
        <v>0</v>
      </c>
      <c r="V2507" s="91">
        <f t="shared" si="421"/>
        <v>0</v>
      </c>
      <c r="W2507" s="91">
        <v>0</v>
      </c>
      <c r="X2507" s="696">
        <f t="shared" si="422"/>
        <v>46153</v>
      </c>
    </row>
    <row r="2508" spans="1:24" ht="29" hidden="1" x14ac:dyDescent="0.35">
      <c r="A2508" s="46">
        <f t="shared" si="423"/>
        <v>46153</v>
      </c>
      <c r="B2508" s="46"/>
      <c r="C2508" s="46"/>
      <c r="D2508" s="46"/>
      <c r="E2508" s="47" t="s">
        <v>3431</v>
      </c>
      <c r="F2508" s="48" t="s">
        <v>1552</v>
      </c>
      <c r="G2508" s="48"/>
      <c r="H2508" s="49" t="s">
        <v>3469</v>
      </c>
      <c r="I2508" s="82" t="s">
        <v>3470</v>
      </c>
      <c r="J2508" s="100" t="s">
        <v>140</v>
      </c>
      <c r="K2508" s="52">
        <v>0</v>
      </c>
      <c r="L2508" s="52">
        <v>0</v>
      </c>
      <c r="M2508" s="53">
        <v>50</v>
      </c>
      <c r="N2508" s="54">
        <v>4000</v>
      </c>
      <c r="O2508" s="341">
        <v>1</v>
      </c>
      <c r="P2508" s="54">
        <f t="shared" ref="P2508:P2556" si="425">N2508/O2508</f>
        <v>4000</v>
      </c>
      <c r="Q2508" s="54"/>
      <c r="R2508" s="92">
        <v>4000</v>
      </c>
      <c r="S2508" s="53">
        <f t="shared" si="418"/>
        <v>0</v>
      </c>
      <c r="T2508" s="315">
        <f t="shared" si="419"/>
        <v>1728</v>
      </c>
      <c r="U2508" s="84">
        <f t="shared" si="420"/>
        <v>0</v>
      </c>
      <c r="V2508" s="84">
        <f t="shared" si="421"/>
        <v>0</v>
      </c>
      <c r="W2508" s="84">
        <v>0</v>
      </c>
      <c r="X2508" s="696">
        <f t="shared" si="422"/>
        <v>46153</v>
      </c>
    </row>
    <row r="2509" spans="1:24" hidden="1" x14ac:dyDescent="0.35">
      <c r="A2509" s="46">
        <f t="shared" si="423"/>
        <v>46153</v>
      </c>
      <c r="B2509" s="46"/>
      <c r="C2509" s="46"/>
      <c r="D2509" s="46"/>
      <c r="E2509" s="47" t="s">
        <v>3431</v>
      </c>
      <c r="F2509" s="82" t="s">
        <v>3471</v>
      </c>
      <c r="G2509" s="82"/>
      <c r="H2509" s="98" t="s">
        <v>3472</v>
      </c>
      <c r="I2509" s="99" t="s">
        <v>3473</v>
      </c>
      <c r="J2509" s="100" t="s">
        <v>140</v>
      </c>
      <c r="K2509" s="91">
        <v>0</v>
      </c>
      <c r="L2509" s="91">
        <v>0</v>
      </c>
      <c r="M2509" s="92">
        <v>40</v>
      </c>
      <c r="N2509" s="94">
        <v>15000</v>
      </c>
      <c r="O2509" s="253">
        <v>8</v>
      </c>
      <c r="P2509" s="94">
        <f t="shared" si="425"/>
        <v>1875</v>
      </c>
      <c r="Q2509" s="94"/>
      <c r="R2509" s="92">
        <v>1875</v>
      </c>
      <c r="S2509" s="92">
        <f t="shared" si="418"/>
        <v>0</v>
      </c>
      <c r="T2509" s="173">
        <f t="shared" si="419"/>
        <v>17280</v>
      </c>
      <c r="U2509" s="101">
        <f t="shared" si="420"/>
        <v>0</v>
      </c>
      <c r="V2509" s="101">
        <f t="shared" si="421"/>
        <v>0</v>
      </c>
      <c r="W2509" s="101">
        <v>0</v>
      </c>
      <c r="X2509" s="696">
        <f t="shared" si="422"/>
        <v>46153</v>
      </c>
    </row>
    <row r="2510" spans="1:24" ht="26.5" hidden="1" x14ac:dyDescent="0.35">
      <c r="A2510" s="46">
        <f t="shared" si="423"/>
        <v>46153</v>
      </c>
      <c r="B2510" s="46"/>
      <c r="C2510" s="46"/>
      <c r="D2510" s="46"/>
      <c r="E2510" s="47" t="s">
        <v>3431</v>
      </c>
      <c r="F2510" s="82" t="s">
        <v>1564</v>
      </c>
      <c r="G2510" s="82"/>
      <c r="H2510" s="452" t="s">
        <v>3474</v>
      </c>
      <c r="I2510" s="82" t="s">
        <v>3475</v>
      </c>
      <c r="J2510" s="51" t="s">
        <v>140</v>
      </c>
      <c r="K2510" s="91">
        <v>0</v>
      </c>
      <c r="L2510" s="91">
        <v>0</v>
      </c>
      <c r="M2510" s="92">
        <v>31</v>
      </c>
      <c r="N2510" s="94">
        <v>11760</v>
      </c>
      <c r="O2510" s="253">
        <v>1</v>
      </c>
      <c r="P2510" s="94">
        <f t="shared" si="425"/>
        <v>11760</v>
      </c>
      <c r="Q2510" s="94"/>
      <c r="R2510" s="92">
        <v>11760</v>
      </c>
      <c r="S2510" s="92">
        <f t="shared" si="418"/>
        <v>0</v>
      </c>
      <c r="T2510" s="254">
        <f t="shared" si="419"/>
        <v>2787.0967741935483</v>
      </c>
      <c r="U2510" s="91">
        <f t="shared" si="420"/>
        <v>0</v>
      </c>
      <c r="V2510" s="91">
        <f t="shared" si="421"/>
        <v>0</v>
      </c>
      <c r="W2510" s="91">
        <v>0</v>
      </c>
      <c r="X2510" s="696">
        <f t="shared" si="422"/>
        <v>46153</v>
      </c>
    </row>
    <row r="2511" spans="1:24" ht="26.5" hidden="1" x14ac:dyDescent="0.35">
      <c r="A2511" s="46">
        <f t="shared" si="423"/>
        <v>46153</v>
      </c>
      <c r="B2511" s="46"/>
      <c r="C2511" s="46"/>
      <c r="D2511" s="46"/>
      <c r="E2511" s="47" t="s">
        <v>3431</v>
      </c>
      <c r="F2511" s="82" t="s">
        <v>3476</v>
      </c>
      <c r="G2511" s="82"/>
      <c r="H2511" s="98" t="s">
        <v>3477</v>
      </c>
      <c r="I2511" s="82" t="s">
        <v>3478</v>
      </c>
      <c r="J2511" s="100" t="s">
        <v>140</v>
      </c>
      <c r="K2511" s="91">
        <v>0</v>
      </c>
      <c r="L2511" s="91">
        <v>0</v>
      </c>
      <c r="M2511" s="92">
        <v>40</v>
      </c>
      <c r="N2511" s="94">
        <v>12000</v>
      </c>
      <c r="O2511" s="253">
        <v>2</v>
      </c>
      <c r="P2511" s="94">
        <f t="shared" si="425"/>
        <v>6000</v>
      </c>
      <c r="Q2511" s="94"/>
      <c r="R2511" s="92">
        <v>6000</v>
      </c>
      <c r="S2511" s="92">
        <f t="shared" si="418"/>
        <v>0</v>
      </c>
      <c r="T2511" s="173">
        <f t="shared" si="419"/>
        <v>4320</v>
      </c>
      <c r="U2511" s="101">
        <f t="shared" si="420"/>
        <v>0</v>
      </c>
      <c r="V2511" s="101">
        <f t="shared" si="421"/>
        <v>0</v>
      </c>
      <c r="W2511" s="101">
        <v>0</v>
      </c>
      <c r="X2511" s="696">
        <f t="shared" si="422"/>
        <v>46153</v>
      </c>
    </row>
    <row r="2512" spans="1:24" s="221" customFormat="1" hidden="1" x14ac:dyDescent="0.35">
      <c r="A2512" s="46">
        <f t="shared" si="423"/>
        <v>46153</v>
      </c>
      <c r="B2512" s="46"/>
      <c r="C2512" s="46"/>
      <c r="D2512" s="46"/>
      <c r="E2512" s="47" t="s">
        <v>3431</v>
      </c>
      <c r="F2512" s="97" t="s">
        <v>3479</v>
      </c>
      <c r="G2512" s="97"/>
      <c r="H2512" s="98" t="s">
        <v>3480</v>
      </c>
      <c r="I2512" s="71" t="s">
        <v>3481</v>
      </c>
      <c r="J2512" s="100" t="s">
        <v>140</v>
      </c>
      <c r="K2512" s="91">
        <v>0</v>
      </c>
      <c r="L2512" s="91">
        <v>0</v>
      </c>
      <c r="M2512" s="92">
        <v>40</v>
      </c>
      <c r="N2512" s="94">
        <v>9000</v>
      </c>
      <c r="O2512" s="253">
        <v>1</v>
      </c>
      <c r="P2512" s="94">
        <f t="shared" si="425"/>
        <v>9000</v>
      </c>
      <c r="Q2512" s="94"/>
      <c r="R2512" s="92">
        <v>9000</v>
      </c>
      <c r="S2512" s="92">
        <f t="shared" si="418"/>
        <v>0</v>
      </c>
      <c r="T2512" s="173">
        <f t="shared" si="419"/>
        <v>2160</v>
      </c>
      <c r="U2512" s="101">
        <f t="shared" si="420"/>
        <v>0</v>
      </c>
      <c r="V2512" s="101">
        <f t="shared" si="421"/>
        <v>0</v>
      </c>
      <c r="W2512" s="101">
        <v>0</v>
      </c>
      <c r="X2512" s="696">
        <f t="shared" si="422"/>
        <v>46153</v>
      </c>
    </row>
    <row r="2513" spans="1:24" ht="26.5" hidden="1" x14ac:dyDescent="0.35">
      <c r="A2513" s="46">
        <f t="shared" si="423"/>
        <v>46153</v>
      </c>
      <c r="B2513" s="46"/>
      <c r="C2513" s="46"/>
      <c r="D2513" s="46"/>
      <c r="E2513" s="47" t="s">
        <v>3431</v>
      </c>
      <c r="F2513" s="97" t="s">
        <v>3482</v>
      </c>
      <c r="G2513" s="97"/>
      <c r="H2513" s="98" t="s">
        <v>3483</v>
      </c>
      <c r="I2513" s="85" t="s">
        <v>3484</v>
      </c>
      <c r="J2513" s="51" t="s">
        <v>283</v>
      </c>
      <c r="K2513" s="91">
        <v>0</v>
      </c>
      <c r="L2513" s="91">
        <v>0</v>
      </c>
      <c r="M2513" s="92">
        <v>56</v>
      </c>
      <c r="N2513" s="94">
        <v>126000</v>
      </c>
      <c r="O2513" s="253">
        <v>2</v>
      </c>
      <c r="P2513" s="94">
        <f t="shared" si="425"/>
        <v>63000</v>
      </c>
      <c r="Q2513" s="94"/>
      <c r="R2513" s="92">
        <v>63000</v>
      </c>
      <c r="S2513" s="92">
        <f t="shared" si="418"/>
        <v>0</v>
      </c>
      <c r="T2513" s="254">
        <f t="shared" si="419"/>
        <v>3085.7142857142862</v>
      </c>
      <c r="U2513" s="91">
        <f t="shared" si="420"/>
        <v>0</v>
      </c>
      <c r="V2513" s="91">
        <f t="shared" si="421"/>
        <v>0</v>
      </c>
      <c r="W2513" s="91">
        <v>0</v>
      </c>
      <c r="X2513" s="696">
        <f t="shared" si="422"/>
        <v>46153</v>
      </c>
    </row>
    <row r="2514" spans="1:24" ht="26.5" hidden="1" x14ac:dyDescent="0.35">
      <c r="A2514" s="46">
        <f t="shared" si="423"/>
        <v>46153</v>
      </c>
      <c r="B2514" s="46"/>
      <c r="C2514" s="46"/>
      <c r="D2514" s="46"/>
      <c r="E2514" s="47" t="s">
        <v>3431</v>
      </c>
      <c r="F2514" s="97" t="s">
        <v>14</v>
      </c>
      <c r="G2514" s="97"/>
      <c r="H2514" s="98" t="s">
        <v>3485</v>
      </c>
      <c r="I2514" s="82" t="s">
        <v>3486</v>
      </c>
      <c r="J2514" s="51" t="s">
        <v>140</v>
      </c>
      <c r="K2514" s="91">
        <v>0</v>
      </c>
      <c r="L2514" s="91">
        <v>0</v>
      </c>
      <c r="M2514" s="92">
        <v>35</v>
      </c>
      <c r="N2514" s="94">
        <v>7500</v>
      </c>
      <c r="O2514" s="253">
        <v>1</v>
      </c>
      <c r="P2514" s="94">
        <f t="shared" si="425"/>
        <v>7500</v>
      </c>
      <c r="Q2514" s="94"/>
      <c r="R2514" s="92">
        <v>7500</v>
      </c>
      <c r="S2514" s="92">
        <f t="shared" si="418"/>
        <v>0</v>
      </c>
      <c r="T2514" s="254">
        <f t="shared" si="419"/>
        <v>2468.5714285714284</v>
      </c>
      <c r="U2514" s="91">
        <f t="shared" si="420"/>
        <v>0</v>
      </c>
      <c r="V2514" s="91">
        <f t="shared" si="421"/>
        <v>0</v>
      </c>
      <c r="W2514" s="91">
        <v>0</v>
      </c>
      <c r="X2514" s="696">
        <f t="shared" si="422"/>
        <v>46153</v>
      </c>
    </row>
    <row r="2515" spans="1:24" ht="26.5" hidden="1" x14ac:dyDescent="0.35">
      <c r="A2515" s="46">
        <f t="shared" si="423"/>
        <v>46153</v>
      </c>
      <c r="B2515" s="46"/>
      <c r="C2515" s="46"/>
      <c r="D2515" s="46"/>
      <c r="E2515" s="47" t="s">
        <v>3431</v>
      </c>
      <c r="F2515" s="97" t="s">
        <v>900</v>
      </c>
      <c r="G2515" s="97"/>
      <c r="H2515" s="98" t="s">
        <v>3487</v>
      </c>
      <c r="I2515" s="82" t="s">
        <v>3486</v>
      </c>
      <c r="J2515" s="51" t="s">
        <v>140</v>
      </c>
      <c r="K2515" s="91">
        <v>0</v>
      </c>
      <c r="L2515" s="91">
        <v>0</v>
      </c>
      <c r="M2515" s="92">
        <v>35</v>
      </c>
      <c r="N2515" s="94">
        <v>7500</v>
      </c>
      <c r="O2515" s="253">
        <v>1</v>
      </c>
      <c r="P2515" s="94">
        <f t="shared" si="425"/>
        <v>7500</v>
      </c>
      <c r="Q2515" s="94"/>
      <c r="R2515" s="92">
        <v>7500</v>
      </c>
      <c r="S2515" s="92">
        <f t="shared" si="418"/>
        <v>0</v>
      </c>
      <c r="T2515" s="254">
        <f t="shared" si="419"/>
        <v>2468.5714285714284</v>
      </c>
      <c r="U2515" s="91">
        <f t="shared" si="420"/>
        <v>0</v>
      </c>
      <c r="V2515" s="91">
        <f t="shared" si="421"/>
        <v>0</v>
      </c>
      <c r="W2515" s="91">
        <v>0</v>
      </c>
      <c r="X2515" s="696">
        <f t="shared" si="422"/>
        <v>46153</v>
      </c>
    </row>
    <row r="2516" spans="1:24" hidden="1" x14ac:dyDescent="0.35">
      <c r="A2516" s="46">
        <f t="shared" si="423"/>
        <v>46153</v>
      </c>
      <c r="B2516" s="46"/>
      <c r="C2516" s="46"/>
      <c r="D2516" s="46"/>
      <c r="E2516" s="47" t="s">
        <v>3431</v>
      </c>
      <c r="F2516" s="97" t="s">
        <v>1603</v>
      </c>
      <c r="G2516" s="97"/>
      <c r="H2516" s="98" t="s">
        <v>3488</v>
      </c>
      <c r="I2516" s="71" t="s">
        <v>3481</v>
      </c>
      <c r="J2516" s="100" t="s">
        <v>140</v>
      </c>
      <c r="K2516" s="91">
        <v>0</v>
      </c>
      <c r="L2516" s="91">
        <v>0</v>
      </c>
      <c r="M2516" s="92">
        <v>40</v>
      </c>
      <c r="N2516" s="94">
        <v>8000</v>
      </c>
      <c r="O2516" s="253">
        <v>1</v>
      </c>
      <c r="P2516" s="94">
        <f t="shared" si="425"/>
        <v>8000</v>
      </c>
      <c r="Q2516" s="94"/>
      <c r="R2516" s="92">
        <v>8000</v>
      </c>
      <c r="S2516" s="92">
        <f t="shared" si="418"/>
        <v>0</v>
      </c>
      <c r="T2516" s="173">
        <f t="shared" si="419"/>
        <v>2160</v>
      </c>
      <c r="U2516" s="101">
        <f t="shared" si="420"/>
        <v>0</v>
      </c>
      <c r="V2516" s="101">
        <f t="shared" si="421"/>
        <v>0</v>
      </c>
      <c r="W2516" s="101">
        <v>0</v>
      </c>
      <c r="X2516" s="696">
        <f t="shared" si="422"/>
        <v>46153</v>
      </c>
    </row>
    <row r="2517" spans="1:24" hidden="1" x14ac:dyDescent="0.35">
      <c r="A2517" s="46">
        <f t="shared" si="423"/>
        <v>46153</v>
      </c>
      <c r="B2517" s="46"/>
      <c r="C2517" s="46"/>
      <c r="D2517" s="46"/>
      <c r="E2517" s="47" t="s">
        <v>3431</v>
      </c>
      <c r="F2517" s="97" t="s">
        <v>1603</v>
      </c>
      <c r="G2517" s="97"/>
      <c r="H2517" s="108">
        <v>12337</v>
      </c>
      <c r="I2517" s="82" t="s">
        <v>3489</v>
      </c>
      <c r="J2517" s="51" t="s">
        <v>140</v>
      </c>
      <c r="K2517" s="91">
        <v>0</v>
      </c>
      <c r="L2517" s="91">
        <v>0</v>
      </c>
      <c r="M2517" s="92">
        <v>35</v>
      </c>
      <c r="N2517" s="94">
        <v>4000</v>
      </c>
      <c r="O2517" s="253">
        <v>1</v>
      </c>
      <c r="P2517" s="94">
        <f t="shared" si="425"/>
        <v>4000</v>
      </c>
      <c r="Q2517" s="94"/>
      <c r="R2517" s="92">
        <v>4000</v>
      </c>
      <c r="S2517" s="92">
        <f t="shared" si="418"/>
        <v>0</v>
      </c>
      <c r="T2517" s="254">
        <f t="shared" si="419"/>
        <v>2468.5714285714284</v>
      </c>
      <c r="U2517" s="91">
        <f t="shared" si="420"/>
        <v>0</v>
      </c>
      <c r="V2517" s="91">
        <f t="shared" si="421"/>
        <v>0</v>
      </c>
      <c r="W2517" s="91">
        <v>0</v>
      </c>
      <c r="X2517" s="696">
        <f t="shared" si="422"/>
        <v>46153</v>
      </c>
    </row>
    <row r="2518" spans="1:24" hidden="1" x14ac:dyDescent="0.35">
      <c r="A2518" s="46">
        <f t="shared" si="423"/>
        <v>46153</v>
      </c>
      <c r="B2518" s="46"/>
      <c r="C2518" s="46"/>
      <c r="D2518" s="46"/>
      <c r="E2518" s="47" t="s">
        <v>3431</v>
      </c>
      <c r="F2518" s="82" t="s">
        <v>900</v>
      </c>
      <c r="G2518" s="82"/>
      <c r="H2518" s="98" t="s">
        <v>3490</v>
      </c>
      <c r="I2518" s="82" t="s">
        <v>3491</v>
      </c>
      <c r="J2518" s="100" t="s">
        <v>140</v>
      </c>
      <c r="K2518" s="91">
        <v>0</v>
      </c>
      <c r="L2518" s="91">
        <v>0</v>
      </c>
      <c r="M2518" s="92">
        <v>110</v>
      </c>
      <c r="N2518" s="94">
        <v>6500</v>
      </c>
      <c r="O2518" s="253">
        <v>4</v>
      </c>
      <c r="P2518" s="94">
        <f t="shared" si="425"/>
        <v>1625</v>
      </c>
      <c r="Q2518" s="94"/>
      <c r="R2518" s="92">
        <v>1625</v>
      </c>
      <c r="S2518" s="92">
        <f t="shared" si="418"/>
        <v>0</v>
      </c>
      <c r="T2518" s="173">
        <f t="shared" si="419"/>
        <v>3141.818181818182</v>
      </c>
      <c r="U2518" s="101">
        <f t="shared" si="420"/>
        <v>0</v>
      </c>
      <c r="V2518" s="101">
        <f t="shared" si="421"/>
        <v>0</v>
      </c>
      <c r="W2518" s="101">
        <v>0</v>
      </c>
      <c r="X2518" s="696">
        <f t="shared" si="422"/>
        <v>46153</v>
      </c>
    </row>
    <row r="2519" spans="1:24" ht="26.5" hidden="1" x14ac:dyDescent="0.35">
      <c r="A2519" s="46">
        <f t="shared" si="423"/>
        <v>46153</v>
      </c>
      <c r="B2519" s="46"/>
      <c r="C2519" s="46"/>
      <c r="D2519" s="46"/>
      <c r="E2519" s="47" t="s">
        <v>3431</v>
      </c>
      <c r="F2519" s="82" t="s">
        <v>633</v>
      </c>
      <c r="G2519" s="82"/>
      <c r="H2519" s="98" t="s">
        <v>3492</v>
      </c>
      <c r="I2519" s="71" t="s">
        <v>2250</v>
      </c>
      <c r="J2519" s="100" t="s">
        <v>140</v>
      </c>
      <c r="K2519" s="91">
        <v>0</v>
      </c>
      <c r="L2519" s="91">
        <v>0</v>
      </c>
      <c r="M2519" s="92">
        <v>45</v>
      </c>
      <c r="N2519" s="94">
        <v>20000</v>
      </c>
      <c r="O2519" s="253">
        <v>2</v>
      </c>
      <c r="P2519" s="94">
        <f t="shared" si="425"/>
        <v>10000</v>
      </c>
      <c r="Q2519" s="94"/>
      <c r="R2519" s="92">
        <v>10000</v>
      </c>
      <c r="S2519" s="92">
        <f t="shared" si="418"/>
        <v>0</v>
      </c>
      <c r="T2519" s="173">
        <f t="shared" si="419"/>
        <v>3840</v>
      </c>
      <c r="U2519" s="101">
        <f t="shared" si="420"/>
        <v>0</v>
      </c>
      <c r="V2519" s="101">
        <f t="shared" si="421"/>
        <v>0</v>
      </c>
      <c r="W2519" s="101">
        <v>0</v>
      </c>
      <c r="X2519" s="696">
        <f t="shared" si="422"/>
        <v>46153</v>
      </c>
    </row>
    <row r="2520" spans="1:24" s="202" customFormat="1" ht="26.5" hidden="1" x14ac:dyDescent="0.35">
      <c r="A2520" s="46">
        <f t="shared" si="423"/>
        <v>46153</v>
      </c>
      <c r="B2520" s="46"/>
      <c r="C2520" s="46"/>
      <c r="D2520" s="46"/>
      <c r="E2520" s="47" t="s">
        <v>3431</v>
      </c>
      <c r="F2520" s="82" t="s">
        <v>3493</v>
      </c>
      <c r="G2520" s="82"/>
      <c r="H2520" s="107" t="s">
        <v>3494</v>
      </c>
      <c r="I2520" s="82" t="s">
        <v>3495</v>
      </c>
      <c r="J2520" s="100" t="s">
        <v>140</v>
      </c>
      <c r="K2520" s="91">
        <v>0</v>
      </c>
      <c r="L2520" s="91">
        <v>0</v>
      </c>
      <c r="M2520" s="92">
        <v>35</v>
      </c>
      <c r="N2520" s="94">
        <v>7200</v>
      </c>
      <c r="O2520" s="253">
        <v>1</v>
      </c>
      <c r="P2520" s="94">
        <f t="shared" si="425"/>
        <v>7200</v>
      </c>
      <c r="Q2520" s="94"/>
      <c r="R2520" s="92">
        <v>7200</v>
      </c>
      <c r="S2520" s="92">
        <f t="shared" si="418"/>
        <v>0</v>
      </c>
      <c r="T2520" s="173">
        <f t="shared" si="419"/>
        <v>2468.5714285714284</v>
      </c>
      <c r="U2520" s="101">
        <f t="shared" si="420"/>
        <v>0</v>
      </c>
      <c r="V2520" s="101">
        <f t="shared" si="421"/>
        <v>0</v>
      </c>
      <c r="W2520" s="101">
        <v>0</v>
      </c>
      <c r="X2520" s="696">
        <f t="shared" si="422"/>
        <v>46153</v>
      </c>
    </row>
    <row r="2521" spans="1:24" ht="26.5" hidden="1" x14ac:dyDescent="0.35">
      <c r="A2521" s="46">
        <f t="shared" si="423"/>
        <v>46153</v>
      </c>
      <c r="B2521" s="46"/>
      <c r="C2521" s="46"/>
      <c r="D2521" s="46"/>
      <c r="E2521" s="47" t="s">
        <v>3431</v>
      </c>
      <c r="F2521" s="97" t="s">
        <v>3496</v>
      </c>
      <c r="G2521" s="97"/>
      <c r="H2521" s="98" t="s">
        <v>3497</v>
      </c>
      <c r="I2521" s="85" t="s">
        <v>3484</v>
      </c>
      <c r="J2521" s="51" t="s">
        <v>283</v>
      </c>
      <c r="K2521" s="91">
        <v>0</v>
      </c>
      <c r="L2521" s="91">
        <v>0</v>
      </c>
      <c r="M2521" s="92">
        <v>35</v>
      </c>
      <c r="N2521" s="94">
        <v>77000</v>
      </c>
      <c r="O2521" s="253">
        <v>2</v>
      </c>
      <c r="P2521" s="94">
        <f t="shared" si="425"/>
        <v>38500</v>
      </c>
      <c r="Q2521" s="94"/>
      <c r="R2521" s="92">
        <v>38500</v>
      </c>
      <c r="S2521" s="92">
        <f t="shared" si="418"/>
        <v>0</v>
      </c>
      <c r="T2521" s="254">
        <f t="shared" si="419"/>
        <v>4937.1428571428569</v>
      </c>
      <c r="U2521" s="91">
        <f t="shared" si="420"/>
        <v>0</v>
      </c>
      <c r="V2521" s="91">
        <f t="shared" si="421"/>
        <v>0</v>
      </c>
      <c r="W2521" s="91">
        <v>0</v>
      </c>
      <c r="X2521" s="696">
        <f t="shared" si="422"/>
        <v>46153</v>
      </c>
    </row>
    <row r="2522" spans="1:24" s="221" customFormat="1" hidden="1" x14ac:dyDescent="0.35">
      <c r="A2522" s="46">
        <f t="shared" si="423"/>
        <v>46153</v>
      </c>
      <c r="B2522" s="46"/>
      <c r="C2522" s="46"/>
      <c r="D2522" s="46"/>
      <c r="E2522" s="47" t="s">
        <v>3431</v>
      </c>
      <c r="F2522" s="51" t="s">
        <v>3498</v>
      </c>
      <c r="G2522" s="51" t="s">
        <v>315</v>
      </c>
      <c r="H2522" s="98" t="s">
        <v>3499</v>
      </c>
      <c r="I2522" s="71" t="s">
        <v>3500</v>
      </c>
      <c r="J2522" s="100" t="s">
        <v>140</v>
      </c>
      <c r="K2522" s="91">
        <v>0</v>
      </c>
      <c r="L2522" s="91">
        <v>0</v>
      </c>
      <c r="M2522" s="92">
        <v>40</v>
      </c>
      <c r="N2522" s="94">
        <v>6000</v>
      </c>
      <c r="O2522" s="253">
        <v>1</v>
      </c>
      <c r="P2522" s="94">
        <f t="shared" si="425"/>
        <v>6000</v>
      </c>
      <c r="Q2522" s="94"/>
      <c r="R2522" s="92">
        <v>6000</v>
      </c>
      <c r="S2522" s="92">
        <f t="shared" si="418"/>
        <v>0</v>
      </c>
      <c r="T2522" s="173">
        <f t="shared" si="419"/>
        <v>2160</v>
      </c>
      <c r="U2522" s="101">
        <f t="shared" si="420"/>
        <v>0</v>
      </c>
      <c r="V2522" s="101">
        <f t="shared" si="421"/>
        <v>0</v>
      </c>
      <c r="W2522" s="101">
        <v>0</v>
      </c>
      <c r="X2522" s="696">
        <f t="shared" si="422"/>
        <v>46153</v>
      </c>
    </row>
    <row r="2523" spans="1:24" hidden="1" x14ac:dyDescent="0.35">
      <c r="A2523" s="46">
        <f t="shared" si="423"/>
        <v>46153</v>
      </c>
      <c r="B2523" s="46"/>
      <c r="C2523" s="46"/>
      <c r="D2523" s="46"/>
      <c r="E2523" s="47" t="s">
        <v>3431</v>
      </c>
      <c r="F2523" s="51" t="s">
        <v>3498</v>
      </c>
      <c r="G2523" s="698" t="s">
        <v>315</v>
      </c>
      <c r="H2523" s="699" t="s">
        <v>3501</v>
      </c>
      <c r="I2523" s="71" t="s">
        <v>3502</v>
      </c>
      <c r="J2523" s="100" t="s">
        <v>140</v>
      </c>
      <c r="K2523" s="91">
        <v>0</v>
      </c>
      <c r="L2523" s="91">
        <v>0</v>
      </c>
      <c r="M2523" s="92">
        <v>40</v>
      </c>
      <c r="N2523" s="94">
        <v>6000</v>
      </c>
      <c r="O2523" s="253">
        <v>1</v>
      </c>
      <c r="P2523" s="94">
        <f t="shared" si="425"/>
        <v>6000</v>
      </c>
      <c r="Q2523" s="94"/>
      <c r="R2523" s="92">
        <v>6000</v>
      </c>
      <c r="S2523" s="92">
        <f t="shared" si="418"/>
        <v>0</v>
      </c>
      <c r="T2523" s="173">
        <f t="shared" si="419"/>
        <v>2160</v>
      </c>
      <c r="U2523" s="101">
        <f t="shared" si="420"/>
        <v>0</v>
      </c>
      <c r="V2523" s="101">
        <f t="shared" si="421"/>
        <v>0</v>
      </c>
      <c r="W2523" s="101">
        <v>0</v>
      </c>
      <c r="X2523" s="696">
        <f t="shared" si="422"/>
        <v>46153</v>
      </c>
    </row>
    <row r="2524" spans="1:24" hidden="1" x14ac:dyDescent="0.35">
      <c r="A2524" s="123">
        <f t="shared" si="423"/>
        <v>46153</v>
      </c>
      <c r="B2524" s="123"/>
      <c r="C2524" s="123"/>
      <c r="D2524" s="123"/>
      <c r="E2524" s="124" t="s">
        <v>3503</v>
      </c>
      <c r="F2524" s="584" t="s">
        <v>3504</v>
      </c>
      <c r="G2524" s="584" t="s">
        <v>315</v>
      </c>
      <c r="H2524" s="700" t="s">
        <v>3505</v>
      </c>
      <c r="I2524" s="547" t="s">
        <v>3506</v>
      </c>
      <c r="J2524" s="175" t="s">
        <v>140</v>
      </c>
      <c r="K2524" s="129">
        <v>0</v>
      </c>
      <c r="L2524" s="129">
        <v>0</v>
      </c>
      <c r="M2524" s="130">
        <v>36</v>
      </c>
      <c r="N2524" s="131">
        <v>60000</v>
      </c>
      <c r="O2524" s="189">
        <v>4</v>
      </c>
      <c r="P2524" s="131">
        <f t="shared" si="425"/>
        <v>15000</v>
      </c>
      <c r="Q2524" s="131"/>
      <c r="R2524" s="176">
        <v>15000</v>
      </c>
      <c r="S2524" s="130">
        <f t="shared" si="418"/>
        <v>0</v>
      </c>
      <c r="T2524" s="168">
        <f t="shared" si="419"/>
        <v>9600</v>
      </c>
      <c r="U2524" s="163">
        <f t="shared" si="420"/>
        <v>0</v>
      </c>
      <c r="V2524" s="163">
        <f t="shared" si="421"/>
        <v>0</v>
      </c>
      <c r="W2524" s="163">
        <v>0</v>
      </c>
      <c r="X2524" s="169">
        <f>A2524+K2524+L2524+V2524+W2524</f>
        <v>46153</v>
      </c>
    </row>
    <row r="2525" spans="1:24" ht="26.5" hidden="1" x14ac:dyDescent="0.35">
      <c r="A2525" s="123">
        <f t="shared" si="423"/>
        <v>46153</v>
      </c>
      <c r="B2525" s="123"/>
      <c r="C2525" s="123"/>
      <c r="D2525" s="123"/>
      <c r="E2525" s="124" t="s">
        <v>3431</v>
      </c>
      <c r="F2525" s="125" t="s">
        <v>3507</v>
      </c>
      <c r="G2525" s="125" t="s">
        <v>3508</v>
      </c>
      <c r="H2525" s="126" t="s">
        <v>3509</v>
      </c>
      <c r="I2525" s="177" t="s">
        <v>3484</v>
      </c>
      <c r="J2525" s="128" t="s">
        <v>283</v>
      </c>
      <c r="K2525" s="129">
        <v>0</v>
      </c>
      <c r="L2525" s="129">
        <v>0</v>
      </c>
      <c r="M2525" s="130">
        <v>35</v>
      </c>
      <c r="N2525" s="131">
        <f>49000-28000</f>
        <v>21000</v>
      </c>
      <c r="O2525" s="189">
        <v>2</v>
      </c>
      <c r="P2525" s="131">
        <f t="shared" si="425"/>
        <v>10500</v>
      </c>
      <c r="Q2525" s="131"/>
      <c r="R2525" s="176">
        <v>10500</v>
      </c>
      <c r="S2525" s="130">
        <f t="shared" si="418"/>
        <v>0</v>
      </c>
      <c r="T2525" s="242">
        <f t="shared" si="419"/>
        <v>4937.1428571428569</v>
      </c>
      <c r="U2525" s="129">
        <f t="shared" si="420"/>
        <v>0</v>
      </c>
      <c r="V2525" s="129">
        <f t="shared" si="421"/>
        <v>0</v>
      </c>
      <c r="W2525" s="129">
        <v>0</v>
      </c>
      <c r="X2525" s="137">
        <f>A2525+K2525+V2525+W2525+L2525</f>
        <v>46153</v>
      </c>
    </row>
    <row r="2526" spans="1:24" s="418" customFormat="1" ht="13" hidden="1" x14ac:dyDescent="0.3">
      <c r="A2526" s="123">
        <f t="shared" si="423"/>
        <v>46153</v>
      </c>
      <c r="B2526" s="123"/>
      <c r="C2526" s="123"/>
      <c r="D2526" s="123"/>
      <c r="E2526" s="124" t="s">
        <v>3431</v>
      </c>
      <c r="F2526" s="125" t="s">
        <v>1264</v>
      </c>
      <c r="G2526" s="159" t="s">
        <v>3510</v>
      </c>
      <c r="H2526" s="126" t="s">
        <v>3511</v>
      </c>
      <c r="I2526" s="159" t="s">
        <v>3512</v>
      </c>
      <c r="J2526" s="128" t="s">
        <v>140</v>
      </c>
      <c r="K2526" s="129">
        <v>0</v>
      </c>
      <c r="L2526" s="129">
        <v>0</v>
      </c>
      <c r="M2526" s="130">
        <v>75</v>
      </c>
      <c r="N2526" s="131">
        <v>1735</v>
      </c>
      <c r="O2526" s="130">
        <v>1</v>
      </c>
      <c r="P2526" s="131">
        <f t="shared" si="425"/>
        <v>1735</v>
      </c>
      <c r="Q2526" s="131"/>
      <c r="R2526" s="130">
        <v>1735</v>
      </c>
      <c r="S2526" s="130">
        <f t="shared" si="418"/>
        <v>0</v>
      </c>
      <c r="T2526" s="130">
        <f t="shared" si="419"/>
        <v>1152</v>
      </c>
      <c r="U2526" s="129">
        <f t="shared" si="420"/>
        <v>0</v>
      </c>
      <c r="V2526" s="129">
        <f t="shared" si="421"/>
        <v>0</v>
      </c>
      <c r="W2526" s="129">
        <v>0</v>
      </c>
      <c r="X2526" s="137">
        <f>A2526+K2526+V2526+W2526+L2526</f>
        <v>46153</v>
      </c>
    </row>
    <row r="2527" spans="1:24" s="418" customFormat="1" ht="13" hidden="1" x14ac:dyDescent="0.3">
      <c r="A2527" s="123">
        <f t="shared" si="423"/>
        <v>46153</v>
      </c>
      <c r="B2527" s="123"/>
      <c r="C2527" s="123"/>
      <c r="D2527" s="123"/>
      <c r="E2527" s="124" t="s">
        <v>3431</v>
      </c>
      <c r="F2527" s="125" t="s">
        <v>1264</v>
      </c>
      <c r="G2527" s="159" t="s">
        <v>3510</v>
      </c>
      <c r="H2527" s="126" t="s">
        <v>3511</v>
      </c>
      <c r="I2527" s="159" t="s">
        <v>3512</v>
      </c>
      <c r="J2527" s="128" t="s">
        <v>140</v>
      </c>
      <c r="K2527" s="129">
        <v>0</v>
      </c>
      <c r="L2527" s="129">
        <v>0</v>
      </c>
      <c r="M2527" s="130">
        <v>75</v>
      </c>
      <c r="N2527" s="131">
        <v>1715</v>
      </c>
      <c r="O2527" s="130">
        <v>1</v>
      </c>
      <c r="P2527" s="131">
        <f t="shared" si="425"/>
        <v>1715</v>
      </c>
      <c r="Q2527" s="131"/>
      <c r="R2527" s="130">
        <v>1715</v>
      </c>
      <c r="S2527" s="130">
        <f t="shared" si="418"/>
        <v>0</v>
      </c>
      <c r="T2527" s="130">
        <f t="shared" si="419"/>
        <v>1152</v>
      </c>
      <c r="U2527" s="129">
        <f t="shared" si="420"/>
        <v>0</v>
      </c>
      <c r="V2527" s="129">
        <f t="shared" si="421"/>
        <v>0</v>
      </c>
      <c r="W2527" s="129">
        <v>0</v>
      </c>
      <c r="X2527" s="137">
        <f>A2527+K2527+V2527+W2527+L2527</f>
        <v>46153</v>
      </c>
    </row>
    <row r="2528" spans="1:24" hidden="1" x14ac:dyDescent="0.35">
      <c r="A2528" s="123">
        <f t="shared" si="423"/>
        <v>46153</v>
      </c>
      <c r="B2528" s="123"/>
      <c r="C2528" s="123"/>
      <c r="D2528" s="123"/>
      <c r="E2528" s="124" t="s">
        <v>3431</v>
      </c>
      <c r="F2528" s="159" t="s">
        <v>1625</v>
      </c>
      <c r="G2528" s="159" t="s">
        <v>3513</v>
      </c>
      <c r="H2528" s="467">
        <v>12949</v>
      </c>
      <c r="I2528" s="159" t="s">
        <v>3514</v>
      </c>
      <c r="J2528" s="128" t="s">
        <v>140</v>
      </c>
      <c r="K2528" s="129">
        <v>0</v>
      </c>
      <c r="L2528" s="129">
        <v>0</v>
      </c>
      <c r="M2528" s="130">
        <v>43</v>
      </c>
      <c r="N2528" s="165">
        <v>3500</v>
      </c>
      <c r="O2528" s="130">
        <v>2</v>
      </c>
      <c r="P2528" s="131">
        <f t="shared" si="425"/>
        <v>1750</v>
      </c>
      <c r="Q2528" s="131"/>
      <c r="R2528" s="130">
        <v>1750</v>
      </c>
      <c r="S2528" s="130">
        <f t="shared" si="418"/>
        <v>0</v>
      </c>
      <c r="T2528" s="130">
        <f t="shared" si="419"/>
        <v>4018.604651162791</v>
      </c>
      <c r="U2528" s="129">
        <f t="shared" si="420"/>
        <v>0</v>
      </c>
      <c r="V2528" s="129">
        <f t="shared" si="421"/>
        <v>0</v>
      </c>
      <c r="W2528" s="129">
        <v>0</v>
      </c>
      <c r="X2528" s="137">
        <f>A2528+K2528+V2528+W2528+L2528</f>
        <v>46153</v>
      </c>
    </row>
    <row r="2529" spans="1:24" s="118" customFormat="1" hidden="1" x14ac:dyDescent="0.35">
      <c r="A2529" s="123">
        <f t="shared" si="423"/>
        <v>46153</v>
      </c>
      <c r="B2529" s="123"/>
      <c r="C2529" s="123"/>
      <c r="D2529" s="123"/>
      <c r="E2529" s="124" t="s">
        <v>3431</v>
      </c>
      <c r="F2529" s="125" t="s">
        <v>1625</v>
      </c>
      <c r="G2529" s="127" t="s">
        <v>3513</v>
      </c>
      <c r="H2529" s="467">
        <v>12700</v>
      </c>
      <c r="I2529" s="159" t="s">
        <v>3515</v>
      </c>
      <c r="J2529" s="175" t="s">
        <v>140</v>
      </c>
      <c r="K2529" s="163">
        <v>0</v>
      </c>
      <c r="L2529" s="129">
        <v>0</v>
      </c>
      <c r="M2529" s="164">
        <v>25</v>
      </c>
      <c r="N2529" s="165">
        <v>3500</v>
      </c>
      <c r="O2529" s="164">
        <v>2</v>
      </c>
      <c r="P2529" s="165">
        <f t="shared" si="425"/>
        <v>1750</v>
      </c>
      <c r="Q2529" s="165"/>
      <c r="R2529" s="165">
        <v>1750</v>
      </c>
      <c r="S2529" s="165">
        <f t="shared" si="418"/>
        <v>0</v>
      </c>
      <c r="T2529" s="164">
        <f t="shared" si="419"/>
        <v>6912</v>
      </c>
      <c r="U2529" s="163">
        <f t="shared" si="420"/>
        <v>0</v>
      </c>
      <c r="V2529" s="163">
        <f t="shared" si="421"/>
        <v>0</v>
      </c>
      <c r="W2529" s="163">
        <v>0</v>
      </c>
      <c r="X2529" s="169">
        <f>A2529+K2529+L2529+V2529+W2529</f>
        <v>46153</v>
      </c>
    </row>
    <row r="2530" spans="1:24" hidden="1" x14ac:dyDescent="0.35">
      <c r="A2530" s="46">
        <f t="shared" si="423"/>
        <v>46153</v>
      </c>
      <c r="B2530" s="46"/>
      <c r="C2530" s="46"/>
      <c r="D2530" s="46"/>
      <c r="E2530" s="47" t="s">
        <v>3431</v>
      </c>
      <c r="F2530" s="48" t="s">
        <v>3504</v>
      </c>
      <c r="G2530" s="48" t="s">
        <v>315</v>
      </c>
      <c r="H2530" s="216" t="s">
        <v>3505</v>
      </c>
      <c r="I2530" s="238" t="s">
        <v>3506</v>
      </c>
      <c r="J2530" s="100" t="s">
        <v>140</v>
      </c>
      <c r="K2530" s="91">
        <v>0</v>
      </c>
      <c r="L2530" s="91">
        <v>0</v>
      </c>
      <c r="M2530" s="92">
        <v>36</v>
      </c>
      <c r="N2530" s="94">
        <v>50000</v>
      </c>
      <c r="O2530" s="92">
        <v>4</v>
      </c>
      <c r="P2530" s="94">
        <f t="shared" si="425"/>
        <v>12500</v>
      </c>
      <c r="Q2530" s="94"/>
      <c r="R2530" s="92">
        <v>12500</v>
      </c>
      <c r="S2530" s="92">
        <f t="shared" si="418"/>
        <v>0</v>
      </c>
      <c r="T2530" s="102">
        <f t="shared" si="419"/>
        <v>9600</v>
      </c>
      <c r="U2530" s="101">
        <f t="shared" si="420"/>
        <v>0</v>
      </c>
      <c r="V2530" s="101">
        <f t="shared" si="421"/>
        <v>0</v>
      </c>
      <c r="W2530" s="101">
        <v>0</v>
      </c>
      <c r="X2530" s="255">
        <f>A2530+K2530+L2530+V2530+W2530</f>
        <v>46153</v>
      </c>
    </row>
    <row r="2531" spans="1:24" hidden="1" x14ac:dyDescent="0.35">
      <c r="A2531" s="123">
        <f t="shared" si="423"/>
        <v>46153</v>
      </c>
      <c r="B2531" s="123"/>
      <c r="C2531" s="123"/>
      <c r="D2531" s="123"/>
      <c r="E2531" s="124" t="s">
        <v>3431</v>
      </c>
      <c r="F2531" s="584" t="s">
        <v>3504</v>
      </c>
      <c r="G2531" s="584" t="s">
        <v>792</v>
      </c>
      <c r="H2531" s="700" t="s">
        <v>3516</v>
      </c>
      <c r="I2531" s="547" t="s">
        <v>3506</v>
      </c>
      <c r="J2531" s="175" t="s">
        <v>140</v>
      </c>
      <c r="K2531" s="129">
        <v>0</v>
      </c>
      <c r="L2531" s="129">
        <v>0</v>
      </c>
      <c r="M2531" s="130">
        <v>36</v>
      </c>
      <c r="N2531" s="131">
        <v>60000</v>
      </c>
      <c r="O2531" s="130">
        <v>4</v>
      </c>
      <c r="P2531" s="131">
        <f t="shared" si="425"/>
        <v>15000</v>
      </c>
      <c r="Q2531" s="131"/>
      <c r="R2531" s="130">
        <v>15000</v>
      </c>
      <c r="S2531" s="130">
        <f t="shared" si="418"/>
        <v>0</v>
      </c>
      <c r="T2531" s="164">
        <f t="shared" si="419"/>
        <v>9600</v>
      </c>
      <c r="U2531" s="163">
        <f t="shared" si="420"/>
        <v>0</v>
      </c>
      <c r="V2531" s="163">
        <f t="shared" si="421"/>
        <v>0</v>
      </c>
      <c r="W2531" s="163">
        <v>0</v>
      </c>
      <c r="X2531" s="169">
        <f>A2531+K2531+L2531+V2531+W2531</f>
        <v>46153</v>
      </c>
    </row>
    <row r="2532" spans="1:24" ht="26" hidden="1" x14ac:dyDescent="0.35">
      <c r="A2532" s="123">
        <f t="shared" si="423"/>
        <v>46153</v>
      </c>
      <c r="B2532" s="123"/>
      <c r="C2532" s="123"/>
      <c r="D2532" s="123"/>
      <c r="E2532" s="124" t="s">
        <v>3431</v>
      </c>
      <c r="F2532" s="159" t="s">
        <v>3517</v>
      </c>
      <c r="G2532" s="159" t="s">
        <v>3510</v>
      </c>
      <c r="H2532" s="503" t="s">
        <v>3518</v>
      </c>
      <c r="I2532" s="701" t="s">
        <v>3519</v>
      </c>
      <c r="J2532" s="175" t="s">
        <v>140</v>
      </c>
      <c r="K2532" s="129">
        <v>0</v>
      </c>
      <c r="L2532" s="129">
        <v>0</v>
      </c>
      <c r="M2532" s="130">
        <v>36</v>
      </c>
      <c r="N2532" s="131">
        <v>35000</v>
      </c>
      <c r="O2532" s="189">
        <v>2</v>
      </c>
      <c r="P2532" s="131">
        <f t="shared" si="425"/>
        <v>17500</v>
      </c>
      <c r="Q2532" s="131"/>
      <c r="R2532" s="176">
        <v>17500</v>
      </c>
      <c r="S2532" s="130">
        <f t="shared" si="418"/>
        <v>0</v>
      </c>
      <c r="T2532" s="168">
        <f t="shared" si="419"/>
        <v>4800</v>
      </c>
      <c r="U2532" s="163">
        <f t="shared" si="420"/>
        <v>0</v>
      </c>
      <c r="V2532" s="163">
        <f t="shared" si="421"/>
        <v>0</v>
      </c>
      <c r="W2532" s="163">
        <v>0</v>
      </c>
      <c r="X2532" s="702">
        <f>A2532+K2532+L2532+V2532+W2532</f>
        <v>46153</v>
      </c>
    </row>
    <row r="2533" spans="1:24" s="118" customFormat="1" hidden="1" x14ac:dyDescent="0.35">
      <c r="A2533" s="123">
        <f t="shared" si="423"/>
        <v>46153</v>
      </c>
      <c r="B2533" s="123"/>
      <c r="C2533" s="123"/>
      <c r="D2533" s="123"/>
      <c r="E2533" s="124" t="s">
        <v>3431</v>
      </c>
      <c r="F2533" s="175" t="s">
        <v>355</v>
      </c>
      <c r="G2533" s="703" t="s">
        <v>3513</v>
      </c>
      <c r="H2533" s="126" t="s">
        <v>3520</v>
      </c>
      <c r="I2533" s="161" t="s">
        <v>3481</v>
      </c>
      <c r="J2533" s="175" t="s">
        <v>140</v>
      </c>
      <c r="K2533" s="129">
        <v>0</v>
      </c>
      <c r="L2533" s="129">
        <v>0</v>
      </c>
      <c r="M2533" s="130">
        <v>40</v>
      </c>
      <c r="N2533" s="131">
        <v>5000</v>
      </c>
      <c r="O2533" s="189">
        <v>1</v>
      </c>
      <c r="P2533" s="131">
        <f t="shared" si="425"/>
        <v>5000</v>
      </c>
      <c r="Q2533" s="131"/>
      <c r="R2533" s="130">
        <v>5000</v>
      </c>
      <c r="S2533" s="131">
        <f t="shared" si="418"/>
        <v>0</v>
      </c>
      <c r="T2533" s="168">
        <f t="shared" si="419"/>
        <v>2160</v>
      </c>
      <c r="U2533" s="163">
        <f t="shared" si="420"/>
        <v>0</v>
      </c>
      <c r="V2533" s="163">
        <f t="shared" si="421"/>
        <v>0</v>
      </c>
      <c r="W2533" s="163">
        <v>0</v>
      </c>
      <c r="X2533" s="702">
        <f>A2533+K2533+V2533+W2533+L2533</f>
        <v>46153</v>
      </c>
    </row>
    <row r="2534" spans="1:24" s="487" customFormat="1" hidden="1" x14ac:dyDescent="0.35">
      <c r="A2534" s="123">
        <f t="shared" si="423"/>
        <v>46153</v>
      </c>
      <c r="B2534" s="123"/>
      <c r="C2534" s="123"/>
      <c r="D2534" s="123"/>
      <c r="E2534" s="124" t="s">
        <v>3431</v>
      </c>
      <c r="F2534" s="125" t="s">
        <v>1264</v>
      </c>
      <c r="G2534" s="125" t="s">
        <v>780</v>
      </c>
      <c r="H2534" s="126" t="s">
        <v>3521</v>
      </c>
      <c r="I2534" s="159" t="s">
        <v>3522</v>
      </c>
      <c r="J2534" s="128" t="s">
        <v>140</v>
      </c>
      <c r="K2534" s="129">
        <v>0</v>
      </c>
      <c r="L2534" s="129">
        <v>0</v>
      </c>
      <c r="M2534" s="130">
        <v>45</v>
      </c>
      <c r="N2534" s="131">
        <v>6000</v>
      </c>
      <c r="O2534" s="130">
        <v>1</v>
      </c>
      <c r="P2534" s="131">
        <f t="shared" si="425"/>
        <v>6000</v>
      </c>
      <c r="Q2534" s="131"/>
      <c r="R2534" s="130">
        <v>6000</v>
      </c>
      <c r="S2534" s="130">
        <f t="shared" si="418"/>
        <v>0</v>
      </c>
      <c r="T2534" s="130">
        <f t="shared" si="419"/>
        <v>1920</v>
      </c>
      <c r="U2534" s="129">
        <f t="shared" si="420"/>
        <v>0</v>
      </c>
      <c r="V2534" s="129">
        <f t="shared" si="421"/>
        <v>0</v>
      </c>
      <c r="W2534" s="129">
        <v>0</v>
      </c>
      <c r="X2534" s="137">
        <f>A2534+K2534+L2534+V2534+W2534</f>
        <v>46153</v>
      </c>
    </row>
    <row r="2535" spans="1:24" s="118" customFormat="1" ht="39.5" hidden="1" x14ac:dyDescent="0.35">
      <c r="A2535" s="123">
        <f t="shared" si="423"/>
        <v>46153</v>
      </c>
      <c r="B2535" s="123"/>
      <c r="C2535" s="123"/>
      <c r="D2535" s="123"/>
      <c r="E2535" s="476" t="s">
        <v>3431</v>
      </c>
      <c r="F2535" s="159" t="s">
        <v>3523</v>
      </c>
      <c r="G2535" s="159" t="s">
        <v>327</v>
      </c>
      <c r="H2535" s="188" t="s">
        <v>3524</v>
      </c>
      <c r="I2535" s="160" t="s">
        <v>3525</v>
      </c>
      <c r="J2535" s="128" t="s">
        <v>140</v>
      </c>
      <c r="K2535" s="129">
        <v>0</v>
      </c>
      <c r="L2535" s="129">
        <v>0</v>
      </c>
      <c r="M2535" s="130">
        <v>45</v>
      </c>
      <c r="N2535" s="131">
        <v>28588</v>
      </c>
      <c r="O2535" s="575">
        <v>2</v>
      </c>
      <c r="P2535" s="131">
        <f t="shared" si="425"/>
        <v>14294</v>
      </c>
      <c r="Q2535" s="131"/>
      <c r="R2535" s="130">
        <v>14294</v>
      </c>
      <c r="S2535" s="131">
        <f t="shared" si="418"/>
        <v>0</v>
      </c>
      <c r="T2535" s="130">
        <f t="shared" si="419"/>
        <v>3840</v>
      </c>
      <c r="U2535" s="129">
        <f t="shared" si="420"/>
        <v>0</v>
      </c>
      <c r="V2535" s="129">
        <f t="shared" si="421"/>
        <v>0</v>
      </c>
      <c r="W2535" s="129">
        <v>0</v>
      </c>
      <c r="X2535" s="137">
        <f>A2535+K2535+V2535+W2535+L2535</f>
        <v>46153</v>
      </c>
    </row>
    <row r="2536" spans="1:24" ht="26.5" hidden="1" x14ac:dyDescent="0.35">
      <c r="A2536" s="123">
        <f t="shared" si="423"/>
        <v>46153</v>
      </c>
      <c r="B2536" s="123"/>
      <c r="C2536" s="123"/>
      <c r="D2536" s="123"/>
      <c r="E2536" s="124" t="s">
        <v>3431</v>
      </c>
      <c r="F2536" s="128" t="s">
        <v>633</v>
      </c>
      <c r="G2536" s="128" t="s">
        <v>3526</v>
      </c>
      <c r="H2536" s="188" t="s">
        <v>3527</v>
      </c>
      <c r="I2536" s="159" t="s">
        <v>3528</v>
      </c>
      <c r="J2536" s="175" t="s">
        <v>140</v>
      </c>
      <c r="K2536" s="129">
        <v>0</v>
      </c>
      <c r="L2536" s="129">
        <v>0</v>
      </c>
      <c r="M2536" s="130">
        <v>45</v>
      </c>
      <c r="N2536" s="131">
        <v>8400</v>
      </c>
      <c r="O2536" s="130">
        <v>1</v>
      </c>
      <c r="P2536" s="131">
        <f t="shared" si="425"/>
        <v>8400</v>
      </c>
      <c r="Q2536" s="131"/>
      <c r="R2536" s="130">
        <v>8400</v>
      </c>
      <c r="S2536" s="130">
        <f t="shared" si="418"/>
        <v>0</v>
      </c>
      <c r="T2536" s="164">
        <f t="shared" si="419"/>
        <v>1920</v>
      </c>
      <c r="U2536" s="163">
        <f t="shared" si="420"/>
        <v>0</v>
      </c>
      <c r="V2536" s="163">
        <f t="shared" si="421"/>
        <v>0</v>
      </c>
      <c r="W2536" s="163">
        <v>0</v>
      </c>
      <c r="X2536" s="137">
        <f t="shared" ref="X2536:X2546" si="426">A2536+K2536+L2536+V2536+W2536</f>
        <v>46153</v>
      </c>
    </row>
    <row r="2537" spans="1:24" s="487" customFormat="1" ht="26.5" hidden="1" x14ac:dyDescent="0.35">
      <c r="A2537" s="123">
        <f t="shared" si="423"/>
        <v>46153</v>
      </c>
      <c r="B2537" s="123"/>
      <c r="C2537" s="123"/>
      <c r="D2537" s="123"/>
      <c r="E2537" s="124" t="s">
        <v>3431</v>
      </c>
      <c r="F2537" s="125" t="s">
        <v>3529</v>
      </c>
      <c r="G2537" s="125" t="s">
        <v>359</v>
      </c>
      <c r="H2537" s="126" t="s">
        <v>3530</v>
      </c>
      <c r="I2537" s="177" t="s">
        <v>3484</v>
      </c>
      <c r="J2537" s="128" t="s">
        <v>283</v>
      </c>
      <c r="K2537" s="129">
        <v>0</v>
      </c>
      <c r="L2537" s="129">
        <v>0</v>
      </c>
      <c r="M2537" s="130">
        <v>35</v>
      </c>
      <c r="N2537" s="131">
        <v>63000</v>
      </c>
      <c r="O2537" s="189">
        <v>2</v>
      </c>
      <c r="P2537" s="131">
        <f t="shared" si="425"/>
        <v>31500</v>
      </c>
      <c r="Q2537" s="131"/>
      <c r="R2537" s="176">
        <v>31500</v>
      </c>
      <c r="S2537" s="131">
        <f t="shared" si="418"/>
        <v>0</v>
      </c>
      <c r="T2537" s="242">
        <f t="shared" si="419"/>
        <v>4937.1428571428569</v>
      </c>
      <c r="U2537" s="129">
        <f t="shared" si="420"/>
        <v>0</v>
      </c>
      <c r="V2537" s="129">
        <f t="shared" si="421"/>
        <v>0</v>
      </c>
      <c r="W2537" s="129">
        <v>0</v>
      </c>
      <c r="X2537" s="137">
        <f t="shared" si="426"/>
        <v>46153</v>
      </c>
    </row>
    <row r="2538" spans="1:24" s="487" customFormat="1" ht="26.5" hidden="1" x14ac:dyDescent="0.35">
      <c r="A2538" s="123">
        <f t="shared" si="423"/>
        <v>46153</v>
      </c>
      <c r="B2538" s="123"/>
      <c r="C2538" s="123"/>
      <c r="D2538" s="123"/>
      <c r="E2538" s="124" t="s">
        <v>3431</v>
      </c>
      <c r="F2538" s="125" t="s">
        <v>3531</v>
      </c>
      <c r="G2538" s="125" t="s">
        <v>359</v>
      </c>
      <c r="H2538" s="126" t="s">
        <v>3532</v>
      </c>
      <c r="I2538" s="177" t="s">
        <v>3484</v>
      </c>
      <c r="J2538" s="128" t="s">
        <v>283</v>
      </c>
      <c r="K2538" s="129">
        <v>0</v>
      </c>
      <c r="L2538" s="129">
        <v>0</v>
      </c>
      <c r="M2538" s="130">
        <v>35</v>
      </c>
      <c r="N2538" s="131">
        <v>35000</v>
      </c>
      <c r="O2538" s="189">
        <v>2</v>
      </c>
      <c r="P2538" s="131">
        <f t="shared" si="425"/>
        <v>17500</v>
      </c>
      <c r="Q2538" s="131"/>
      <c r="R2538" s="176">
        <v>17500</v>
      </c>
      <c r="S2538" s="131">
        <f t="shared" si="418"/>
        <v>0</v>
      </c>
      <c r="T2538" s="242">
        <f t="shared" si="419"/>
        <v>4937.1428571428569</v>
      </c>
      <c r="U2538" s="129">
        <f t="shared" si="420"/>
        <v>0</v>
      </c>
      <c r="V2538" s="129">
        <f t="shared" si="421"/>
        <v>0</v>
      </c>
      <c r="W2538" s="129">
        <v>0</v>
      </c>
      <c r="X2538" s="137">
        <f t="shared" si="426"/>
        <v>46153</v>
      </c>
    </row>
    <row r="2539" spans="1:24" ht="26.5" hidden="1" x14ac:dyDescent="0.35">
      <c r="A2539" s="123">
        <f t="shared" si="423"/>
        <v>46153</v>
      </c>
      <c r="B2539" s="123"/>
      <c r="C2539" s="123"/>
      <c r="D2539" s="123"/>
      <c r="E2539" s="124" t="s">
        <v>3431</v>
      </c>
      <c r="F2539" s="128" t="s">
        <v>3533</v>
      </c>
      <c r="G2539" s="159" t="s">
        <v>830</v>
      </c>
      <c r="H2539" s="188" t="s">
        <v>3534</v>
      </c>
      <c r="I2539" s="159" t="s">
        <v>3528</v>
      </c>
      <c r="J2539" s="175" t="s">
        <v>140</v>
      </c>
      <c r="K2539" s="129">
        <v>0</v>
      </c>
      <c r="L2539" s="129">
        <v>0</v>
      </c>
      <c r="M2539" s="130">
        <v>45</v>
      </c>
      <c r="N2539" s="131">
        <v>7571</v>
      </c>
      <c r="O2539" s="130">
        <v>1</v>
      </c>
      <c r="P2539" s="131">
        <f t="shared" si="425"/>
        <v>7571</v>
      </c>
      <c r="Q2539" s="131"/>
      <c r="R2539" s="130">
        <v>7571</v>
      </c>
      <c r="S2539" s="130">
        <f t="shared" si="418"/>
        <v>0</v>
      </c>
      <c r="T2539" s="164">
        <f t="shared" si="419"/>
        <v>1920</v>
      </c>
      <c r="U2539" s="163">
        <f t="shared" si="420"/>
        <v>0</v>
      </c>
      <c r="V2539" s="163">
        <f t="shared" si="421"/>
        <v>0</v>
      </c>
      <c r="W2539" s="163">
        <v>0</v>
      </c>
      <c r="X2539" s="137">
        <f t="shared" si="426"/>
        <v>46153</v>
      </c>
    </row>
    <row r="2540" spans="1:24" s="243" customFormat="1" hidden="1" x14ac:dyDescent="0.35">
      <c r="A2540" s="123">
        <f t="shared" si="423"/>
        <v>46153</v>
      </c>
      <c r="B2540" s="123"/>
      <c r="C2540" s="123"/>
      <c r="D2540" s="123"/>
      <c r="E2540" s="476" t="s">
        <v>3431</v>
      </c>
      <c r="F2540" s="125" t="s">
        <v>1264</v>
      </c>
      <c r="G2540" s="704" t="s">
        <v>839</v>
      </c>
      <c r="H2540" s="705" t="s">
        <v>3535</v>
      </c>
      <c r="I2540" s="159" t="s">
        <v>3536</v>
      </c>
      <c r="J2540" s="128" t="s">
        <v>140</v>
      </c>
      <c r="K2540" s="129">
        <v>0</v>
      </c>
      <c r="L2540" s="129">
        <v>0</v>
      </c>
      <c r="M2540" s="130">
        <v>40</v>
      </c>
      <c r="N2540" s="131">
        <f>3086*2</f>
        <v>6172</v>
      </c>
      <c r="O2540" s="130">
        <v>2</v>
      </c>
      <c r="P2540" s="131">
        <f t="shared" si="425"/>
        <v>3086</v>
      </c>
      <c r="Q2540" s="131"/>
      <c r="R2540" s="130">
        <v>3086</v>
      </c>
      <c r="S2540" s="130">
        <f t="shared" si="418"/>
        <v>0</v>
      </c>
      <c r="T2540" s="130">
        <f t="shared" si="419"/>
        <v>4320</v>
      </c>
      <c r="U2540" s="129">
        <f t="shared" si="420"/>
        <v>0</v>
      </c>
      <c r="V2540" s="129">
        <f t="shared" si="421"/>
        <v>0</v>
      </c>
      <c r="W2540" s="129">
        <v>0</v>
      </c>
      <c r="X2540" s="137">
        <f t="shared" si="426"/>
        <v>46153</v>
      </c>
    </row>
    <row r="2541" spans="1:24" s="186" customFormat="1" ht="39.5" hidden="1" x14ac:dyDescent="0.35">
      <c r="A2541" s="123">
        <f t="shared" si="423"/>
        <v>46153</v>
      </c>
      <c r="B2541" s="123"/>
      <c r="C2541" s="123"/>
      <c r="D2541" s="123"/>
      <c r="E2541" s="476" t="s">
        <v>3431</v>
      </c>
      <c r="F2541" s="159" t="s">
        <v>1293</v>
      </c>
      <c r="G2541" s="159" t="s">
        <v>830</v>
      </c>
      <c r="H2541" s="261" t="s">
        <v>3537</v>
      </c>
      <c r="I2541" s="706" t="s">
        <v>3464</v>
      </c>
      <c r="J2541" s="175" t="s">
        <v>140</v>
      </c>
      <c r="K2541" s="129">
        <v>0</v>
      </c>
      <c r="L2541" s="129">
        <v>0</v>
      </c>
      <c r="M2541" s="130">
        <v>40</v>
      </c>
      <c r="N2541" s="131">
        <v>3500</v>
      </c>
      <c r="O2541" s="130">
        <v>1</v>
      </c>
      <c r="P2541" s="131">
        <f t="shared" si="425"/>
        <v>3500</v>
      </c>
      <c r="Q2541" s="131"/>
      <c r="R2541" s="130">
        <v>3500</v>
      </c>
      <c r="S2541" s="164">
        <f t="shared" si="418"/>
        <v>0</v>
      </c>
      <c r="T2541" s="164">
        <f t="shared" si="419"/>
        <v>2160</v>
      </c>
      <c r="U2541" s="163">
        <f t="shared" si="420"/>
        <v>0</v>
      </c>
      <c r="V2541" s="163">
        <f t="shared" si="421"/>
        <v>0</v>
      </c>
      <c r="W2541" s="163">
        <v>0</v>
      </c>
      <c r="X2541" s="137">
        <f t="shared" si="426"/>
        <v>46153</v>
      </c>
    </row>
    <row r="2542" spans="1:24" s="186" customFormat="1" ht="39.5" hidden="1" x14ac:dyDescent="0.35">
      <c r="A2542" s="123">
        <f t="shared" si="423"/>
        <v>46153</v>
      </c>
      <c r="B2542" s="123"/>
      <c r="C2542" s="123"/>
      <c r="D2542" s="123"/>
      <c r="E2542" s="476" t="s">
        <v>3431</v>
      </c>
      <c r="F2542" s="159" t="s">
        <v>1293</v>
      </c>
      <c r="G2542" s="159" t="s">
        <v>830</v>
      </c>
      <c r="H2542" s="261" t="s">
        <v>3538</v>
      </c>
      <c r="I2542" s="706" t="s">
        <v>3464</v>
      </c>
      <c r="J2542" s="175" t="s">
        <v>140</v>
      </c>
      <c r="K2542" s="129">
        <v>0</v>
      </c>
      <c r="L2542" s="129">
        <v>0</v>
      </c>
      <c r="M2542" s="130">
        <v>40</v>
      </c>
      <c r="N2542" s="131">
        <v>11088</v>
      </c>
      <c r="O2542" s="130">
        <v>1</v>
      </c>
      <c r="P2542" s="131">
        <f t="shared" si="425"/>
        <v>11088</v>
      </c>
      <c r="Q2542" s="131"/>
      <c r="R2542" s="130">
        <v>11088</v>
      </c>
      <c r="S2542" s="164">
        <f t="shared" si="418"/>
        <v>0</v>
      </c>
      <c r="T2542" s="164">
        <f t="shared" si="419"/>
        <v>2160</v>
      </c>
      <c r="U2542" s="163">
        <f t="shared" si="420"/>
        <v>0</v>
      </c>
      <c r="V2542" s="163">
        <f t="shared" si="421"/>
        <v>0</v>
      </c>
      <c r="W2542" s="163">
        <v>0</v>
      </c>
      <c r="X2542" s="137">
        <f t="shared" si="426"/>
        <v>46153</v>
      </c>
    </row>
    <row r="2543" spans="1:24" s="186" customFormat="1" ht="52.5" hidden="1" x14ac:dyDescent="0.35">
      <c r="A2543" s="123">
        <f t="shared" si="423"/>
        <v>46153</v>
      </c>
      <c r="B2543" s="123"/>
      <c r="C2543" s="123"/>
      <c r="D2543" s="123"/>
      <c r="E2543" s="476" t="s">
        <v>3431</v>
      </c>
      <c r="F2543" s="159" t="s">
        <v>1583</v>
      </c>
      <c r="G2543" s="159" t="s">
        <v>849</v>
      </c>
      <c r="H2543" s="261" t="s">
        <v>3539</v>
      </c>
      <c r="I2543" s="706" t="s">
        <v>3464</v>
      </c>
      <c r="J2543" s="175" t="s">
        <v>140</v>
      </c>
      <c r="K2543" s="129">
        <v>0</v>
      </c>
      <c r="L2543" s="129">
        <v>0</v>
      </c>
      <c r="M2543" s="130">
        <v>40</v>
      </c>
      <c r="N2543" s="131">
        <f>20000-19000</f>
        <v>1000</v>
      </c>
      <c r="O2543" s="130">
        <v>1</v>
      </c>
      <c r="P2543" s="131">
        <f t="shared" si="425"/>
        <v>1000</v>
      </c>
      <c r="Q2543" s="131"/>
      <c r="R2543" s="130">
        <v>1000</v>
      </c>
      <c r="S2543" s="164">
        <f t="shared" si="418"/>
        <v>0</v>
      </c>
      <c r="T2543" s="164">
        <f t="shared" si="419"/>
        <v>2160</v>
      </c>
      <c r="U2543" s="163">
        <f t="shared" si="420"/>
        <v>0</v>
      </c>
      <c r="V2543" s="163">
        <f t="shared" si="421"/>
        <v>0</v>
      </c>
      <c r="W2543" s="163">
        <v>0</v>
      </c>
      <c r="X2543" s="137">
        <f t="shared" si="426"/>
        <v>46153</v>
      </c>
    </row>
    <row r="2544" spans="1:24" s="243" customFormat="1" hidden="1" x14ac:dyDescent="0.35">
      <c r="A2544" s="123">
        <f t="shared" si="423"/>
        <v>46153</v>
      </c>
      <c r="B2544" s="123"/>
      <c r="C2544" s="123"/>
      <c r="D2544" s="123"/>
      <c r="E2544" s="124" t="s">
        <v>3431</v>
      </c>
      <c r="F2544" s="159" t="s">
        <v>1583</v>
      </c>
      <c r="G2544" s="125" t="s">
        <v>386</v>
      </c>
      <c r="H2544" s="467">
        <v>13588</v>
      </c>
      <c r="I2544" s="159" t="s">
        <v>3489</v>
      </c>
      <c r="J2544" s="175" t="s">
        <v>140</v>
      </c>
      <c r="K2544" s="163">
        <v>0</v>
      </c>
      <c r="L2544" s="129">
        <v>0</v>
      </c>
      <c r="M2544" s="164">
        <v>35</v>
      </c>
      <c r="N2544" s="165">
        <f>10000-7409</f>
        <v>2591</v>
      </c>
      <c r="O2544" s="164">
        <v>1</v>
      </c>
      <c r="P2544" s="165">
        <f t="shared" si="425"/>
        <v>2591</v>
      </c>
      <c r="Q2544" s="165"/>
      <c r="R2544" s="165">
        <v>2591</v>
      </c>
      <c r="S2544" s="165">
        <f t="shared" si="418"/>
        <v>0</v>
      </c>
      <c r="T2544" s="164">
        <f t="shared" si="419"/>
        <v>2468.5714285714284</v>
      </c>
      <c r="U2544" s="163">
        <f t="shared" si="420"/>
        <v>0</v>
      </c>
      <c r="V2544" s="163">
        <f t="shared" si="421"/>
        <v>0</v>
      </c>
      <c r="W2544" s="163">
        <v>0</v>
      </c>
      <c r="X2544" s="169">
        <f t="shared" si="426"/>
        <v>46153</v>
      </c>
    </row>
    <row r="2545" spans="1:24" s="186" customFormat="1" ht="26.5" hidden="1" x14ac:dyDescent="0.35">
      <c r="A2545" s="123">
        <f t="shared" si="423"/>
        <v>46153</v>
      </c>
      <c r="B2545" s="123">
        <v>46084</v>
      </c>
      <c r="C2545" s="183">
        <f t="shared" ref="C2545:C2556" si="427">B2545-A2545</f>
        <v>-69</v>
      </c>
      <c r="D2545" s="183"/>
      <c r="E2545" s="124" t="s">
        <v>3431</v>
      </c>
      <c r="F2545" s="125" t="s">
        <v>3540</v>
      </c>
      <c r="G2545" s="125" t="s">
        <v>386</v>
      </c>
      <c r="H2545" s="126" t="s">
        <v>3541</v>
      </c>
      <c r="I2545" s="177" t="s">
        <v>3484</v>
      </c>
      <c r="J2545" s="128" t="s">
        <v>283</v>
      </c>
      <c r="K2545" s="129">
        <v>0</v>
      </c>
      <c r="L2545" s="129">
        <v>0</v>
      </c>
      <c r="M2545" s="130">
        <v>33</v>
      </c>
      <c r="N2545" s="131">
        <v>84000</v>
      </c>
      <c r="O2545" s="189">
        <v>2</v>
      </c>
      <c r="P2545" s="131">
        <f t="shared" si="425"/>
        <v>42000</v>
      </c>
      <c r="Q2545" s="185">
        <v>0.8</v>
      </c>
      <c r="R2545" s="176">
        <v>42000</v>
      </c>
      <c r="S2545" s="164">
        <f t="shared" si="418"/>
        <v>0</v>
      </c>
      <c r="T2545" s="168">
        <f t="shared" ref="T2545:T2551" si="428">((3600/M2545)*O2545)*24*Q2545</f>
        <v>4189.090909090909</v>
      </c>
      <c r="U2545" s="163">
        <f t="shared" ref="U2545:U2556" si="429">(P2545-R2545)*M2545/3600/Q2545</f>
        <v>0</v>
      </c>
      <c r="V2545" s="163">
        <f t="shared" ref="V2545:V2556" si="430">U2545/24</f>
        <v>0</v>
      </c>
      <c r="W2545" s="163">
        <v>0</v>
      </c>
      <c r="X2545" s="137">
        <f t="shared" si="426"/>
        <v>46153</v>
      </c>
    </row>
    <row r="2546" spans="1:24" s="186" customFormat="1" ht="26.5" hidden="1" x14ac:dyDescent="0.35">
      <c r="A2546" s="161">
        <f t="shared" si="423"/>
        <v>46153</v>
      </c>
      <c r="B2546" s="123">
        <v>46089</v>
      </c>
      <c r="C2546" s="183">
        <f t="shared" si="427"/>
        <v>-64</v>
      </c>
      <c r="D2546" s="183" t="s">
        <v>3542</v>
      </c>
      <c r="E2546" s="158" t="s">
        <v>3431</v>
      </c>
      <c r="F2546" s="125" t="s">
        <v>3543</v>
      </c>
      <c r="G2546" s="159" t="s">
        <v>386</v>
      </c>
      <c r="H2546" s="126" t="s">
        <v>3544</v>
      </c>
      <c r="I2546" s="187" t="s">
        <v>3545</v>
      </c>
      <c r="J2546" s="175" t="s">
        <v>140</v>
      </c>
      <c r="K2546" s="129">
        <v>0</v>
      </c>
      <c r="L2546" s="129">
        <v>0</v>
      </c>
      <c r="M2546" s="130">
        <v>50</v>
      </c>
      <c r="N2546" s="131">
        <v>26000</v>
      </c>
      <c r="O2546" s="130">
        <v>2</v>
      </c>
      <c r="P2546" s="131">
        <f t="shared" si="425"/>
        <v>13000</v>
      </c>
      <c r="Q2546" s="185">
        <v>0.8</v>
      </c>
      <c r="R2546" s="130">
        <v>13000</v>
      </c>
      <c r="S2546" s="165">
        <f t="shared" si="418"/>
        <v>0</v>
      </c>
      <c r="T2546" s="168">
        <f t="shared" si="428"/>
        <v>2764.8</v>
      </c>
      <c r="U2546" s="163">
        <f t="shared" si="429"/>
        <v>0</v>
      </c>
      <c r="V2546" s="163">
        <f t="shared" si="430"/>
        <v>0</v>
      </c>
      <c r="W2546" s="163">
        <v>0</v>
      </c>
      <c r="X2546" s="137">
        <f t="shared" si="426"/>
        <v>46153</v>
      </c>
    </row>
    <row r="2547" spans="1:24" s="186" customFormat="1" hidden="1" x14ac:dyDescent="0.35">
      <c r="A2547" s="123">
        <f t="shared" si="423"/>
        <v>46153</v>
      </c>
      <c r="B2547" s="123">
        <v>46107</v>
      </c>
      <c r="C2547" s="190">
        <f t="shared" si="427"/>
        <v>-46</v>
      </c>
      <c r="D2547" s="123"/>
      <c r="E2547" s="124" t="s">
        <v>3431</v>
      </c>
      <c r="F2547" s="125" t="s">
        <v>3546</v>
      </c>
      <c r="G2547" s="125" t="s">
        <v>398</v>
      </c>
      <c r="H2547" s="126" t="s">
        <v>3547</v>
      </c>
      <c r="I2547" s="187" t="s">
        <v>3548</v>
      </c>
      <c r="J2547" s="175" t="s">
        <v>140</v>
      </c>
      <c r="K2547" s="129">
        <v>0</v>
      </c>
      <c r="L2547" s="129">
        <v>0</v>
      </c>
      <c r="M2547" s="130">
        <v>60</v>
      </c>
      <c r="N2547" s="131">
        <v>9600</v>
      </c>
      <c r="O2547" s="130">
        <v>4</v>
      </c>
      <c r="P2547" s="131">
        <f t="shared" si="425"/>
        <v>2400</v>
      </c>
      <c r="Q2547" s="185">
        <v>0.8</v>
      </c>
      <c r="R2547" s="130">
        <v>2400</v>
      </c>
      <c r="S2547" s="165">
        <f t="shared" si="418"/>
        <v>0</v>
      </c>
      <c r="T2547" s="168">
        <f t="shared" si="428"/>
        <v>4608</v>
      </c>
      <c r="U2547" s="163">
        <f t="shared" si="429"/>
        <v>0</v>
      </c>
      <c r="V2547" s="163">
        <f t="shared" si="430"/>
        <v>0</v>
      </c>
      <c r="W2547" s="163">
        <v>0</v>
      </c>
      <c r="X2547" s="137">
        <f t="shared" ref="X2547:X2554" si="431">A2547+K2547+V2547+W2547+L2547</f>
        <v>46153</v>
      </c>
    </row>
    <row r="2548" spans="1:24" s="186" customFormat="1" hidden="1" x14ac:dyDescent="0.35">
      <c r="A2548" s="123">
        <f t="shared" si="423"/>
        <v>46153</v>
      </c>
      <c r="B2548" s="123">
        <v>46068</v>
      </c>
      <c r="C2548" s="183">
        <f t="shared" si="427"/>
        <v>-85</v>
      </c>
      <c r="D2548" s="183"/>
      <c r="E2548" s="124" t="s">
        <v>3431</v>
      </c>
      <c r="F2548" s="159" t="s">
        <v>900</v>
      </c>
      <c r="G2548" s="159" t="s">
        <v>411</v>
      </c>
      <c r="H2548" s="126" t="s">
        <v>3549</v>
      </c>
      <c r="I2548" s="159" t="s">
        <v>3491</v>
      </c>
      <c r="J2548" s="175" t="s">
        <v>140</v>
      </c>
      <c r="K2548" s="129">
        <v>0</v>
      </c>
      <c r="L2548" s="129">
        <v>0</v>
      </c>
      <c r="M2548" s="130">
        <v>110</v>
      </c>
      <c r="N2548" s="131">
        <v>20000</v>
      </c>
      <c r="O2548" s="189">
        <v>4</v>
      </c>
      <c r="P2548" s="131">
        <f t="shared" si="425"/>
        <v>5000</v>
      </c>
      <c r="Q2548" s="185">
        <v>0.8</v>
      </c>
      <c r="R2548" s="130">
        <v>5000</v>
      </c>
      <c r="S2548" s="164">
        <f t="shared" si="418"/>
        <v>0</v>
      </c>
      <c r="T2548" s="168">
        <f t="shared" si="428"/>
        <v>2513.454545454546</v>
      </c>
      <c r="U2548" s="163">
        <f t="shared" si="429"/>
        <v>0</v>
      </c>
      <c r="V2548" s="163">
        <f t="shared" si="430"/>
        <v>0</v>
      </c>
      <c r="W2548" s="163">
        <v>0</v>
      </c>
      <c r="X2548" s="702">
        <f t="shared" si="431"/>
        <v>46153</v>
      </c>
    </row>
    <row r="2549" spans="1:24" s="179" customFormat="1" hidden="1" x14ac:dyDescent="0.35">
      <c r="A2549" s="123">
        <f t="shared" si="423"/>
        <v>46153</v>
      </c>
      <c r="B2549" s="123">
        <v>46121</v>
      </c>
      <c r="C2549" s="190">
        <f t="shared" si="427"/>
        <v>-32</v>
      </c>
      <c r="D2549" s="123"/>
      <c r="E2549" s="124" t="s">
        <v>3431</v>
      </c>
      <c r="F2549" s="125" t="s">
        <v>2239</v>
      </c>
      <c r="G2549" s="125" t="s">
        <v>411</v>
      </c>
      <c r="H2549" s="126" t="s">
        <v>3550</v>
      </c>
      <c r="I2549" s="187" t="s">
        <v>3548</v>
      </c>
      <c r="J2549" s="175" t="s">
        <v>140</v>
      </c>
      <c r="K2549" s="129">
        <v>0</v>
      </c>
      <c r="L2549" s="129">
        <v>0</v>
      </c>
      <c r="M2549" s="130">
        <v>60</v>
      </c>
      <c r="N2549" s="131">
        <v>11000</v>
      </c>
      <c r="O2549" s="130">
        <v>4</v>
      </c>
      <c r="P2549" s="131">
        <f t="shared" si="425"/>
        <v>2750</v>
      </c>
      <c r="Q2549" s="185">
        <v>0.8</v>
      </c>
      <c r="R2549" s="130">
        <v>2750</v>
      </c>
      <c r="S2549" s="165">
        <f t="shared" si="418"/>
        <v>0</v>
      </c>
      <c r="T2549" s="168">
        <f t="shared" si="428"/>
        <v>4608</v>
      </c>
      <c r="U2549" s="163">
        <f t="shared" si="429"/>
        <v>0</v>
      </c>
      <c r="V2549" s="163">
        <f t="shared" si="430"/>
        <v>0</v>
      </c>
      <c r="W2549" s="163">
        <v>0</v>
      </c>
      <c r="X2549" s="137">
        <f t="shared" si="431"/>
        <v>46153</v>
      </c>
    </row>
    <row r="2550" spans="1:24" s="186" customFormat="1" hidden="1" x14ac:dyDescent="0.35">
      <c r="A2550" s="123">
        <f t="shared" si="423"/>
        <v>46153</v>
      </c>
      <c r="B2550" s="123">
        <v>46121</v>
      </c>
      <c r="C2550" s="190">
        <f t="shared" si="427"/>
        <v>-32</v>
      </c>
      <c r="D2550" s="123"/>
      <c r="E2550" s="124" t="s">
        <v>3431</v>
      </c>
      <c r="F2550" s="125" t="s">
        <v>3551</v>
      </c>
      <c r="G2550" s="125" t="s">
        <v>411</v>
      </c>
      <c r="H2550" s="126" t="s">
        <v>3552</v>
      </c>
      <c r="I2550" s="187" t="s">
        <v>3548</v>
      </c>
      <c r="J2550" s="175" t="s">
        <v>140</v>
      </c>
      <c r="K2550" s="129">
        <v>0</v>
      </c>
      <c r="L2550" s="129">
        <v>0</v>
      </c>
      <c r="M2550" s="130">
        <v>60</v>
      </c>
      <c r="N2550" s="131">
        <v>16800</v>
      </c>
      <c r="O2550" s="130">
        <v>4</v>
      </c>
      <c r="P2550" s="131">
        <f t="shared" si="425"/>
        <v>4200</v>
      </c>
      <c r="Q2550" s="185">
        <v>0.8</v>
      </c>
      <c r="R2550" s="130">
        <v>4200</v>
      </c>
      <c r="S2550" s="165">
        <f t="shared" si="418"/>
        <v>0</v>
      </c>
      <c r="T2550" s="168">
        <f t="shared" si="428"/>
        <v>4608</v>
      </c>
      <c r="U2550" s="163">
        <f t="shared" si="429"/>
        <v>0</v>
      </c>
      <c r="V2550" s="163">
        <f t="shared" si="430"/>
        <v>0</v>
      </c>
      <c r="W2550" s="163">
        <v>0</v>
      </c>
      <c r="X2550" s="137">
        <f t="shared" si="431"/>
        <v>46153</v>
      </c>
    </row>
    <row r="2551" spans="1:24" s="186" customFormat="1" hidden="1" x14ac:dyDescent="0.35">
      <c r="A2551" s="123">
        <f t="shared" si="423"/>
        <v>46153</v>
      </c>
      <c r="B2551" s="123">
        <v>46121</v>
      </c>
      <c r="C2551" s="190">
        <f t="shared" si="427"/>
        <v>-32</v>
      </c>
      <c r="D2551" s="123"/>
      <c r="E2551" s="124" t="s">
        <v>3431</v>
      </c>
      <c r="F2551" s="125" t="s">
        <v>3553</v>
      </c>
      <c r="G2551" s="125" t="s">
        <v>411</v>
      </c>
      <c r="H2551" s="126" t="s">
        <v>3554</v>
      </c>
      <c r="I2551" s="187" t="s">
        <v>3548</v>
      </c>
      <c r="J2551" s="175" t="s">
        <v>140</v>
      </c>
      <c r="K2551" s="129">
        <v>0</v>
      </c>
      <c r="L2551" s="129">
        <v>0</v>
      </c>
      <c r="M2551" s="130">
        <v>60</v>
      </c>
      <c r="N2551" s="131">
        <v>3500</v>
      </c>
      <c r="O2551" s="130">
        <v>4</v>
      </c>
      <c r="P2551" s="131">
        <f t="shared" si="425"/>
        <v>875</v>
      </c>
      <c r="Q2551" s="185">
        <v>0.8</v>
      </c>
      <c r="R2551" s="130">
        <v>875</v>
      </c>
      <c r="S2551" s="165">
        <f t="shared" ref="S2551:S2556" si="432">P2551-R2551</f>
        <v>0</v>
      </c>
      <c r="T2551" s="168">
        <f t="shared" si="428"/>
        <v>4608</v>
      </c>
      <c r="U2551" s="163">
        <f t="shared" si="429"/>
        <v>0</v>
      </c>
      <c r="V2551" s="163">
        <f t="shared" si="430"/>
        <v>0</v>
      </c>
      <c r="W2551" s="163">
        <v>0</v>
      </c>
      <c r="X2551" s="137">
        <f t="shared" si="431"/>
        <v>46153</v>
      </c>
    </row>
    <row r="2552" spans="1:24" s="186" customFormat="1" ht="26.5" hidden="1" x14ac:dyDescent="0.35">
      <c r="A2552" s="123">
        <f>'[2]Factory 2'!X103</f>
        <v>46153.000108506945</v>
      </c>
      <c r="B2552" s="123">
        <v>46105</v>
      </c>
      <c r="C2552" s="190">
        <f t="shared" si="427"/>
        <v>-48.000108506945253</v>
      </c>
      <c r="D2552" s="161" t="s">
        <v>3555</v>
      </c>
      <c r="E2552" s="124" t="s">
        <v>3556</v>
      </c>
      <c r="F2552" s="159" t="s">
        <v>3557</v>
      </c>
      <c r="G2552" s="159" t="s">
        <v>1675</v>
      </c>
      <c r="H2552" s="188" t="s">
        <v>3558</v>
      </c>
      <c r="I2552" s="259" t="s">
        <v>3559</v>
      </c>
      <c r="J2552" s="175" t="s">
        <v>140</v>
      </c>
      <c r="K2552" s="129">
        <v>0</v>
      </c>
      <c r="L2552" s="129">
        <v>0</v>
      </c>
      <c r="M2552" s="130">
        <v>60</v>
      </c>
      <c r="N2552" s="131">
        <v>1200</v>
      </c>
      <c r="O2552" s="130">
        <v>1</v>
      </c>
      <c r="P2552" s="131">
        <f t="shared" si="425"/>
        <v>1200</v>
      </c>
      <c r="Q2552" s="185">
        <v>0.8</v>
      </c>
      <c r="R2552" s="130">
        <v>1200</v>
      </c>
      <c r="S2552" s="165">
        <f t="shared" si="432"/>
        <v>0</v>
      </c>
      <c r="T2552" s="168">
        <f>((3600/M2552)*O2552)*21*Q2552</f>
        <v>1008</v>
      </c>
      <c r="U2552" s="163">
        <f t="shared" si="429"/>
        <v>0</v>
      </c>
      <c r="V2552" s="163">
        <f t="shared" si="430"/>
        <v>0</v>
      </c>
      <c r="W2552" s="163">
        <v>0</v>
      </c>
      <c r="X2552" s="137">
        <f t="shared" si="431"/>
        <v>46153.000108506945</v>
      </c>
    </row>
    <row r="2553" spans="1:24" s="186" customFormat="1" ht="26.5" hidden="1" x14ac:dyDescent="0.35">
      <c r="A2553" s="123">
        <f>X2552</f>
        <v>46153.000108506945</v>
      </c>
      <c r="B2553" s="123">
        <v>46142</v>
      </c>
      <c r="C2553" s="190">
        <f t="shared" si="427"/>
        <v>-11.000108506945253</v>
      </c>
      <c r="D2553" s="161"/>
      <c r="E2553" s="124" t="s">
        <v>3560</v>
      </c>
      <c r="F2553" s="159" t="s">
        <v>3557</v>
      </c>
      <c r="G2553" s="159" t="s">
        <v>1675</v>
      </c>
      <c r="H2553" s="188" t="s">
        <v>3561</v>
      </c>
      <c r="I2553" s="259" t="s">
        <v>3559</v>
      </c>
      <c r="J2553" s="175" t="s">
        <v>140</v>
      </c>
      <c r="K2553" s="129">
        <v>0</v>
      </c>
      <c r="L2553" s="129">
        <v>0</v>
      </c>
      <c r="M2553" s="130">
        <v>60</v>
      </c>
      <c r="N2553" s="131">
        <v>980</v>
      </c>
      <c r="O2553" s="130">
        <v>1</v>
      </c>
      <c r="P2553" s="131">
        <f t="shared" si="425"/>
        <v>980</v>
      </c>
      <c r="Q2553" s="185">
        <v>0.8</v>
      </c>
      <c r="R2553" s="130">
        <v>980</v>
      </c>
      <c r="S2553" s="165">
        <f t="shared" si="432"/>
        <v>0</v>
      </c>
      <c r="T2553" s="168">
        <f>((3600/M2553)*O2553)*21*Q2553</f>
        <v>1008</v>
      </c>
      <c r="U2553" s="163">
        <f t="shared" si="429"/>
        <v>0</v>
      </c>
      <c r="V2553" s="163">
        <f t="shared" si="430"/>
        <v>0</v>
      </c>
      <c r="W2553" s="163">
        <v>0</v>
      </c>
      <c r="X2553" s="137">
        <f t="shared" si="431"/>
        <v>46153.000108506945</v>
      </c>
    </row>
    <row r="2554" spans="1:24" s="186" customFormat="1" ht="30" hidden="1" customHeight="1" x14ac:dyDescent="0.35">
      <c r="A2554" s="123">
        <f>X2553</f>
        <v>46153.000108506945</v>
      </c>
      <c r="B2554" s="123">
        <v>46137</v>
      </c>
      <c r="C2554" s="183">
        <f t="shared" si="427"/>
        <v>-16.000108506945253</v>
      </c>
      <c r="D2554" s="183"/>
      <c r="E2554" s="124" t="s">
        <v>3431</v>
      </c>
      <c r="F2554" s="159" t="s">
        <v>900</v>
      </c>
      <c r="G2554" s="159" t="s">
        <v>414</v>
      </c>
      <c r="H2554" s="126" t="s">
        <v>3562</v>
      </c>
      <c r="I2554" s="159" t="s">
        <v>3491</v>
      </c>
      <c r="J2554" s="175" t="s">
        <v>140</v>
      </c>
      <c r="K2554" s="129">
        <v>0</v>
      </c>
      <c r="L2554" s="129">
        <v>0</v>
      </c>
      <c r="M2554" s="130">
        <v>110</v>
      </c>
      <c r="N2554" s="131">
        <v>20000</v>
      </c>
      <c r="O2554" s="189">
        <v>4</v>
      </c>
      <c r="P2554" s="131">
        <f t="shared" si="425"/>
        <v>5000</v>
      </c>
      <c r="Q2554" s="185">
        <v>0.8</v>
      </c>
      <c r="R2554" s="130">
        <v>5000</v>
      </c>
      <c r="S2554" s="164">
        <f t="shared" si="432"/>
        <v>0</v>
      </c>
      <c r="T2554" s="168">
        <f t="shared" ref="T2554:T2556" si="433">((3600/M2554)*O2554)*24*Q2554</f>
        <v>2513.454545454546</v>
      </c>
      <c r="U2554" s="163">
        <f t="shared" si="429"/>
        <v>0</v>
      </c>
      <c r="V2554" s="163">
        <f t="shared" si="430"/>
        <v>0</v>
      </c>
      <c r="W2554" s="163">
        <v>0</v>
      </c>
      <c r="X2554" s="702">
        <f t="shared" si="431"/>
        <v>46153.000108506945</v>
      </c>
    </row>
    <row r="2555" spans="1:24" s="202" customFormat="1" ht="30" customHeight="1" x14ac:dyDescent="0.35">
      <c r="A2555" s="193">
        <f t="shared" ref="A2555:A2556" si="434">X2554</f>
        <v>46153.000108506945</v>
      </c>
      <c r="B2555" s="193">
        <v>46142</v>
      </c>
      <c r="C2555" s="267">
        <f t="shared" si="427"/>
        <v>-11.000108506945253</v>
      </c>
      <c r="D2555" s="267"/>
      <c r="E2555" s="195" t="s">
        <v>3431</v>
      </c>
      <c r="F2555" s="112" t="s">
        <v>1923</v>
      </c>
      <c r="G2555" s="112" t="s">
        <v>414</v>
      </c>
      <c r="H2555" s="113" t="s">
        <v>3563</v>
      </c>
      <c r="I2555" s="671" t="s">
        <v>3484</v>
      </c>
      <c r="J2555" s="383" t="s">
        <v>283</v>
      </c>
      <c r="K2555" s="482">
        <v>0.25</v>
      </c>
      <c r="L2555" s="482">
        <v>0.2</v>
      </c>
      <c r="M2555" s="199">
        <v>33</v>
      </c>
      <c r="N2555" s="483">
        <v>84000</v>
      </c>
      <c r="O2555" s="484">
        <v>2</v>
      </c>
      <c r="P2555" s="483">
        <f t="shared" si="425"/>
        <v>42000</v>
      </c>
      <c r="Q2555" s="198">
        <v>0.8</v>
      </c>
      <c r="R2555" s="270"/>
      <c r="S2555" s="116">
        <f t="shared" si="432"/>
        <v>42000</v>
      </c>
      <c r="T2555" s="200">
        <f t="shared" si="433"/>
        <v>4189.090909090909</v>
      </c>
      <c r="U2555" s="115">
        <f t="shared" si="429"/>
        <v>481.25</v>
      </c>
      <c r="V2555" s="115">
        <f t="shared" si="430"/>
        <v>20.052083333333332</v>
      </c>
      <c r="W2555" s="115">
        <v>0</v>
      </c>
      <c r="X2555" s="201">
        <f t="shared" ref="X2555:X2556" si="435">A2555+K2555+L2555+V2555+W2555</f>
        <v>46173.502191840278</v>
      </c>
    </row>
    <row r="2556" spans="1:24" s="487" customFormat="1" ht="30" customHeight="1" x14ac:dyDescent="0.35">
      <c r="A2556" s="203">
        <f t="shared" si="434"/>
        <v>46173.502191840278</v>
      </c>
      <c r="B2556" s="203">
        <v>46163</v>
      </c>
      <c r="C2556" s="385">
        <f t="shared" si="427"/>
        <v>-10.502191840278101</v>
      </c>
      <c r="D2556" s="385"/>
      <c r="E2556" s="204" t="s">
        <v>3431</v>
      </c>
      <c r="F2556" s="287" t="s">
        <v>3564</v>
      </c>
      <c r="G2556" s="287" t="s">
        <v>414</v>
      </c>
      <c r="H2556" s="206" t="s">
        <v>3565</v>
      </c>
      <c r="I2556" s="672" t="s">
        <v>3484</v>
      </c>
      <c r="J2556" s="310" t="s">
        <v>140</v>
      </c>
      <c r="K2556" s="208">
        <v>0</v>
      </c>
      <c r="L2556" s="208">
        <v>0</v>
      </c>
      <c r="M2556" s="209">
        <v>33</v>
      </c>
      <c r="N2556" s="210">
        <v>4000</v>
      </c>
      <c r="O2556" s="486">
        <v>2</v>
      </c>
      <c r="P2556" s="210">
        <f t="shared" si="425"/>
        <v>2000</v>
      </c>
      <c r="Q2556" s="293">
        <v>0.8</v>
      </c>
      <c r="R2556" s="211"/>
      <c r="S2556" s="290">
        <f t="shared" si="432"/>
        <v>2000</v>
      </c>
      <c r="T2556" s="294">
        <f t="shared" si="433"/>
        <v>4189.090909090909</v>
      </c>
      <c r="U2556" s="289">
        <f t="shared" si="429"/>
        <v>22.916666666666664</v>
      </c>
      <c r="V2556" s="289">
        <f t="shared" si="430"/>
        <v>0.95486111111111105</v>
      </c>
      <c r="W2556" s="289">
        <v>0</v>
      </c>
      <c r="X2556" s="212">
        <f t="shared" si="435"/>
        <v>46174.457052951388</v>
      </c>
    </row>
    <row r="2557" spans="1:24" s="487" customFormat="1" ht="30" customHeight="1" x14ac:dyDescent="0.35">
      <c r="A2557" s="203"/>
      <c r="B2557" s="203"/>
      <c r="C2557" s="385"/>
      <c r="D2557" s="385"/>
      <c r="E2557" s="204"/>
      <c r="F2557" s="287"/>
      <c r="G2557" s="287"/>
      <c r="H2557" s="206"/>
      <c r="I2557" s="672"/>
      <c r="J2557" s="207"/>
      <c r="K2557" s="208"/>
      <c r="L2557" s="208"/>
      <c r="M2557" s="209"/>
      <c r="N2557" s="210"/>
      <c r="O2557" s="486"/>
      <c r="P2557" s="210"/>
      <c r="Q2557" s="293"/>
      <c r="R2557" s="211"/>
      <c r="S2557" s="290"/>
      <c r="T2557" s="294"/>
      <c r="U2557" s="289"/>
      <c r="V2557" s="289"/>
      <c r="W2557" s="289"/>
      <c r="X2557" s="212"/>
    </row>
    <row r="2558" spans="1:24" ht="34.5" x14ac:dyDescent="0.8">
      <c r="A2558" s="35" t="s">
        <v>3566</v>
      </c>
      <c r="B2558" s="35"/>
      <c r="C2558" s="35"/>
      <c r="D2558" s="35"/>
      <c r="E2558" s="36"/>
      <c r="F2558" s="37"/>
      <c r="G2558" s="37"/>
      <c r="H2558" s="311"/>
      <c r="I2558" s="214"/>
      <c r="J2558" s="707"/>
      <c r="K2558" s="41"/>
      <c r="L2558" s="41"/>
      <c r="M2558" s="42"/>
      <c r="N2558" s="43"/>
      <c r="O2558" s="312"/>
      <c r="P2558" s="44"/>
      <c r="Q2558" s="44"/>
      <c r="R2558" s="45"/>
      <c r="S2558" s="44"/>
      <c r="T2558" s="313"/>
      <c r="U2558" s="44"/>
      <c r="V2558" s="44"/>
      <c r="W2558" s="44"/>
      <c r="X2558" s="45"/>
    </row>
    <row r="2559" spans="1:24" s="221" customFormat="1" hidden="1" x14ac:dyDescent="0.35">
      <c r="A2559" s="46">
        <f>S7</f>
        <v>46153</v>
      </c>
      <c r="B2559" s="46"/>
      <c r="C2559" s="46"/>
      <c r="D2559" s="46"/>
      <c r="E2559" s="47" t="s">
        <v>3566</v>
      </c>
      <c r="F2559" s="56" t="s">
        <v>3567</v>
      </c>
      <c r="G2559" s="56"/>
      <c r="H2559" s="59" t="s">
        <v>3568</v>
      </c>
      <c r="I2559" s="82" t="s">
        <v>3569</v>
      </c>
      <c r="J2559" s="100" t="s">
        <v>140</v>
      </c>
      <c r="K2559" s="52">
        <v>0</v>
      </c>
      <c r="L2559" s="52">
        <v>0</v>
      </c>
      <c r="M2559" s="53">
        <v>180</v>
      </c>
      <c r="N2559" s="54">
        <v>25</v>
      </c>
      <c r="O2559" s="341">
        <v>1</v>
      </c>
      <c r="P2559" s="54">
        <f t="shared" ref="P2559:P2618" si="436">N2559/O2559</f>
        <v>25</v>
      </c>
      <c r="Q2559" s="54"/>
      <c r="R2559" s="283">
        <v>25</v>
      </c>
      <c r="S2559" s="53">
        <f t="shared" ref="S2559:S2618" si="437">P2559-R2559</f>
        <v>0</v>
      </c>
      <c r="T2559" s="315">
        <f t="shared" ref="T2559:T2613" si="438">((3600/M2559)*O2559)*24</f>
        <v>480</v>
      </c>
      <c r="U2559" s="84">
        <f t="shared" ref="U2559:U2613" si="439">(P2559-R2559)*M2559/3600</f>
        <v>0</v>
      </c>
      <c r="V2559" s="84">
        <f t="shared" ref="V2559:V2613" si="440">(P2559-R2559)*M2559/3600/24</f>
        <v>0</v>
      </c>
      <c r="W2559" s="84">
        <v>0</v>
      </c>
      <c r="X2559" s="55">
        <f t="shared" ref="X2559:X2618" si="441">A2559+K2559+V2559+W2559+L2559</f>
        <v>46153</v>
      </c>
    </row>
    <row r="2560" spans="1:24" s="221" customFormat="1" hidden="1" x14ac:dyDescent="0.35">
      <c r="A2560" s="46">
        <f>X2559</f>
        <v>46153</v>
      </c>
      <c r="B2560" s="46"/>
      <c r="C2560" s="46"/>
      <c r="D2560" s="46"/>
      <c r="E2560" s="47" t="s">
        <v>3566</v>
      </c>
      <c r="F2560" s="56" t="s">
        <v>3567</v>
      </c>
      <c r="G2560" s="56"/>
      <c r="H2560" s="59" t="s">
        <v>3570</v>
      </c>
      <c r="I2560" s="82" t="s">
        <v>3571</v>
      </c>
      <c r="J2560" s="100" t="s">
        <v>140</v>
      </c>
      <c r="K2560" s="52">
        <v>0</v>
      </c>
      <c r="L2560" s="52">
        <v>0</v>
      </c>
      <c r="M2560" s="53">
        <v>180</v>
      </c>
      <c r="N2560" s="54">
        <v>50</v>
      </c>
      <c r="O2560" s="341">
        <v>1</v>
      </c>
      <c r="P2560" s="54">
        <f t="shared" si="436"/>
        <v>50</v>
      </c>
      <c r="Q2560" s="54"/>
      <c r="R2560" s="283">
        <v>50</v>
      </c>
      <c r="S2560" s="53">
        <f t="shared" si="437"/>
        <v>0</v>
      </c>
      <c r="T2560" s="315">
        <f t="shared" si="438"/>
        <v>480</v>
      </c>
      <c r="U2560" s="84">
        <f t="shared" si="439"/>
        <v>0</v>
      </c>
      <c r="V2560" s="84">
        <f t="shared" si="440"/>
        <v>0</v>
      </c>
      <c r="W2560" s="84">
        <v>0</v>
      </c>
      <c r="X2560" s="55">
        <f t="shared" si="441"/>
        <v>46153</v>
      </c>
    </row>
    <row r="2561" spans="1:24" s="221" customFormat="1" hidden="1" x14ac:dyDescent="0.35">
      <c r="A2561" s="46">
        <f t="shared" ref="A2561:A2610" si="442">X2560</f>
        <v>46153</v>
      </c>
      <c r="B2561" s="46"/>
      <c r="C2561" s="46"/>
      <c r="D2561" s="46"/>
      <c r="E2561" s="47" t="s">
        <v>3566</v>
      </c>
      <c r="F2561" s="56" t="s">
        <v>3567</v>
      </c>
      <c r="G2561" s="56"/>
      <c r="H2561" s="59" t="s">
        <v>3572</v>
      </c>
      <c r="I2561" s="82" t="s">
        <v>3573</v>
      </c>
      <c r="J2561" s="100" t="s">
        <v>140</v>
      </c>
      <c r="K2561" s="52">
        <v>0</v>
      </c>
      <c r="L2561" s="52">
        <v>0</v>
      </c>
      <c r="M2561" s="53">
        <v>180</v>
      </c>
      <c r="N2561" s="54">
        <v>25</v>
      </c>
      <c r="O2561" s="341">
        <v>1</v>
      </c>
      <c r="P2561" s="54">
        <f t="shared" si="436"/>
        <v>25</v>
      </c>
      <c r="Q2561" s="54"/>
      <c r="R2561" s="283">
        <v>25</v>
      </c>
      <c r="S2561" s="53">
        <f t="shared" si="437"/>
        <v>0</v>
      </c>
      <c r="T2561" s="315">
        <f t="shared" si="438"/>
        <v>480</v>
      </c>
      <c r="U2561" s="84">
        <f t="shared" si="439"/>
        <v>0</v>
      </c>
      <c r="V2561" s="84">
        <f t="shared" si="440"/>
        <v>0</v>
      </c>
      <c r="W2561" s="84">
        <v>0</v>
      </c>
      <c r="X2561" s="55">
        <f t="shared" si="441"/>
        <v>46153</v>
      </c>
    </row>
    <row r="2562" spans="1:24" s="221" customFormat="1" hidden="1" x14ac:dyDescent="0.35">
      <c r="A2562" s="46">
        <f t="shared" si="442"/>
        <v>46153</v>
      </c>
      <c r="B2562" s="46"/>
      <c r="C2562" s="46"/>
      <c r="D2562" s="46"/>
      <c r="E2562" s="47" t="s">
        <v>3566</v>
      </c>
      <c r="F2562" s="56" t="s">
        <v>3567</v>
      </c>
      <c r="G2562" s="56"/>
      <c r="H2562" s="59" t="s">
        <v>3574</v>
      </c>
      <c r="I2562" s="82" t="s">
        <v>121</v>
      </c>
      <c r="J2562" s="100" t="s">
        <v>140</v>
      </c>
      <c r="K2562" s="52">
        <v>0</v>
      </c>
      <c r="L2562" s="52">
        <v>0</v>
      </c>
      <c r="M2562" s="53">
        <v>180</v>
      </c>
      <c r="N2562" s="54">
        <v>200</v>
      </c>
      <c r="O2562" s="341">
        <v>1</v>
      </c>
      <c r="P2562" s="54">
        <f t="shared" si="436"/>
        <v>200</v>
      </c>
      <c r="Q2562" s="54"/>
      <c r="R2562" s="283">
        <v>200</v>
      </c>
      <c r="S2562" s="53">
        <f t="shared" si="437"/>
        <v>0</v>
      </c>
      <c r="T2562" s="315">
        <f t="shared" si="438"/>
        <v>480</v>
      </c>
      <c r="U2562" s="84">
        <f t="shared" si="439"/>
        <v>0</v>
      </c>
      <c r="V2562" s="84">
        <f t="shared" si="440"/>
        <v>0</v>
      </c>
      <c r="W2562" s="84">
        <v>0</v>
      </c>
      <c r="X2562" s="55">
        <f t="shared" si="441"/>
        <v>46153</v>
      </c>
    </row>
    <row r="2563" spans="1:24" s="221" customFormat="1" ht="29" hidden="1" x14ac:dyDescent="0.35">
      <c r="A2563" s="46">
        <f t="shared" si="442"/>
        <v>46153</v>
      </c>
      <c r="B2563" s="46"/>
      <c r="C2563" s="46"/>
      <c r="D2563" s="46"/>
      <c r="E2563" s="47" t="s">
        <v>3566</v>
      </c>
      <c r="F2563" s="56" t="s">
        <v>202</v>
      </c>
      <c r="G2563" s="56"/>
      <c r="H2563" s="59" t="s">
        <v>3575</v>
      </c>
      <c r="I2563" s="82" t="s">
        <v>119</v>
      </c>
      <c r="J2563" s="100" t="s">
        <v>140</v>
      </c>
      <c r="K2563" s="52">
        <v>0</v>
      </c>
      <c r="L2563" s="52">
        <v>0</v>
      </c>
      <c r="M2563" s="53">
        <v>180</v>
      </c>
      <c r="N2563" s="54">
        <v>20</v>
      </c>
      <c r="O2563" s="341">
        <v>1</v>
      </c>
      <c r="P2563" s="54">
        <f t="shared" si="436"/>
        <v>20</v>
      </c>
      <c r="Q2563" s="54"/>
      <c r="R2563" s="283">
        <v>20</v>
      </c>
      <c r="S2563" s="53">
        <f t="shared" si="437"/>
        <v>0</v>
      </c>
      <c r="T2563" s="315">
        <f t="shared" si="438"/>
        <v>480</v>
      </c>
      <c r="U2563" s="84">
        <f t="shared" si="439"/>
        <v>0</v>
      </c>
      <c r="V2563" s="84">
        <f t="shared" si="440"/>
        <v>0</v>
      </c>
      <c r="W2563" s="84">
        <v>0</v>
      </c>
      <c r="X2563" s="55">
        <f t="shared" si="441"/>
        <v>46153</v>
      </c>
    </row>
    <row r="2564" spans="1:24" s="221" customFormat="1" ht="29" hidden="1" x14ac:dyDescent="0.35">
      <c r="A2564" s="46">
        <f t="shared" si="442"/>
        <v>46153</v>
      </c>
      <c r="B2564" s="46"/>
      <c r="C2564" s="46"/>
      <c r="D2564" s="46"/>
      <c r="E2564" s="47" t="s">
        <v>3566</v>
      </c>
      <c r="F2564" s="56" t="s">
        <v>202</v>
      </c>
      <c r="G2564" s="56"/>
      <c r="H2564" s="59" t="s">
        <v>3576</v>
      </c>
      <c r="I2564" s="82" t="s">
        <v>3577</v>
      </c>
      <c r="J2564" s="100" t="s">
        <v>140</v>
      </c>
      <c r="K2564" s="52">
        <v>0</v>
      </c>
      <c r="L2564" s="52">
        <v>0</v>
      </c>
      <c r="M2564" s="53">
        <v>180</v>
      </c>
      <c r="N2564" s="54">
        <v>20</v>
      </c>
      <c r="O2564" s="341">
        <v>1</v>
      </c>
      <c r="P2564" s="54">
        <f t="shared" si="436"/>
        <v>20</v>
      </c>
      <c r="Q2564" s="54"/>
      <c r="R2564" s="283">
        <v>20</v>
      </c>
      <c r="S2564" s="53">
        <f t="shared" si="437"/>
        <v>0</v>
      </c>
      <c r="T2564" s="315">
        <f t="shared" si="438"/>
        <v>480</v>
      </c>
      <c r="U2564" s="84">
        <f t="shared" si="439"/>
        <v>0</v>
      </c>
      <c r="V2564" s="84">
        <f t="shared" si="440"/>
        <v>0</v>
      </c>
      <c r="W2564" s="84">
        <v>0</v>
      </c>
      <c r="X2564" s="55">
        <f t="shared" si="441"/>
        <v>46153</v>
      </c>
    </row>
    <row r="2565" spans="1:24" s="221" customFormat="1" ht="29" hidden="1" x14ac:dyDescent="0.35">
      <c r="A2565" s="46">
        <f t="shared" si="442"/>
        <v>46153</v>
      </c>
      <c r="B2565" s="46"/>
      <c r="C2565" s="46"/>
      <c r="D2565" s="46"/>
      <c r="E2565" s="47" t="s">
        <v>3566</v>
      </c>
      <c r="F2565" s="56" t="s">
        <v>202</v>
      </c>
      <c r="G2565" s="56"/>
      <c r="H2565" s="59" t="s">
        <v>3578</v>
      </c>
      <c r="I2565" s="82" t="s">
        <v>123</v>
      </c>
      <c r="J2565" s="100" t="s">
        <v>140</v>
      </c>
      <c r="K2565" s="52">
        <v>0</v>
      </c>
      <c r="L2565" s="52">
        <v>0</v>
      </c>
      <c r="M2565" s="53">
        <v>180</v>
      </c>
      <c r="N2565" s="54">
        <v>20</v>
      </c>
      <c r="O2565" s="341">
        <v>1</v>
      </c>
      <c r="P2565" s="54">
        <f t="shared" si="436"/>
        <v>20</v>
      </c>
      <c r="Q2565" s="54"/>
      <c r="R2565" s="283">
        <v>20</v>
      </c>
      <c r="S2565" s="53">
        <f t="shared" si="437"/>
        <v>0</v>
      </c>
      <c r="T2565" s="315">
        <f t="shared" si="438"/>
        <v>480</v>
      </c>
      <c r="U2565" s="84">
        <f t="shared" si="439"/>
        <v>0</v>
      </c>
      <c r="V2565" s="84">
        <f t="shared" si="440"/>
        <v>0</v>
      </c>
      <c r="W2565" s="84">
        <v>0</v>
      </c>
      <c r="X2565" s="55">
        <f t="shared" si="441"/>
        <v>46153</v>
      </c>
    </row>
    <row r="2566" spans="1:24" s="221" customFormat="1" ht="29" hidden="1" x14ac:dyDescent="0.35">
      <c r="A2566" s="46">
        <f t="shared" si="442"/>
        <v>46153</v>
      </c>
      <c r="B2566" s="46"/>
      <c r="C2566" s="46"/>
      <c r="D2566" s="46"/>
      <c r="E2566" s="47" t="s">
        <v>3566</v>
      </c>
      <c r="F2566" s="56" t="s">
        <v>202</v>
      </c>
      <c r="G2566" s="56"/>
      <c r="H2566" s="59" t="s">
        <v>3579</v>
      </c>
      <c r="I2566" s="82" t="s">
        <v>3580</v>
      </c>
      <c r="J2566" s="100" t="s">
        <v>140</v>
      </c>
      <c r="K2566" s="52">
        <v>0</v>
      </c>
      <c r="L2566" s="52">
        <v>0</v>
      </c>
      <c r="M2566" s="53">
        <v>180</v>
      </c>
      <c r="N2566" s="54">
        <v>85</v>
      </c>
      <c r="O2566" s="341">
        <v>1</v>
      </c>
      <c r="P2566" s="54">
        <f t="shared" si="436"/>
        <v>85</v>
      </c>
      <c r="Q2566" s="54"/>
      <c r="R2566" s="283">
        <v>85</v>
      </c>
      <c r="S2566" s="53">
        <f t="shared" si="437"/>
        <v>0</v>
      </c>
      <c r="T2566" s="315">
        <f t="shared" si="438"/>
        <v>480</v>
      </c>
      <c r="U2566" s="84">
        <f t="shared" si="439"/>
        <v>0</v>
      </c>
      <c r="V2566" s="84">
        <f t="shared" si="440"/>
        <v>0</v>
      </c>
      <c r="W2566" s="84">
        <v>0</v>
      </c>
      <c r="X2566" s="55">
        <f t="shared" si="441"/>
        <v>46153</v>
      </c>
    </row>
    <row r="2567" spans="1:24" s="221" customFormat="1" ht="29" hidden="1" x14ac:dyDescent="0.35">
      <c r="A2567" s="46">
        <f t="shared" si="442"/>
        <v>46153</v>
      </c>
      <c r="B2567" s="46"/>
      <c r="C2567" s="46"/>
      <c r="D2567" s="46"/>
      <c r="E2567" s="47" t="s">
        <v>3566</v>
      </c>
      <c r="F2567" s="56" t="s">
        <v>202</v>
      </c>
      <c r="G2567" s="56"/>
      <c r="H2567" s="59" t="s">
        <v>3581</v>
      </c>
      <c r="I2567" s="82" t="s">
        <v>126</v>
      </c>
      <c r="J2567" s="100" t="s">
        <v>140</v>
      </c>
      <c r="K2567" s="52">
        <v>0</v>
      </c>
      <c r="L2567" s="52">
        <v>0</v>
      </c>
      <c r="M2567" s="53">
        <v>180</v>
      </c>
      <c r="N2567" s="54">
        <v>20</v>
      </c>
      <c r="O2567" s="341">
        <v>1</v>
      </c>
      <c r="P2567" s="54">
        <f t="shared" si="436"/>
        <v>20</v>
      </c>
      <c r="Q2567" s="54"/>
      <c r="R2567" s="283">
        <v>20</v>
      </c>
      <c r="S2567" s="53">
        <f t="shared" si="437"/>
        <v>0</v>
      </c>
      <c r="T2567" s="315">
        <f t="shared" si="438"/>
        <v>480</v>
      </c>
      <c r="U2567" s="84">
        <f t="shared" si="439"/>
        <v>0</v>
      </c>
      <c r="V2567" s="84">
        <f t="shared" si="440"/>
        <v>0</v>
      </c>
      <c r="W2567" s="84">
        <v>0</v>
      </c>
      <c r="X2567" s="55">
        <f t="shared" si="441"/>
        <v>46153</v>
      </c>
    </row>
    <row r="2568" spans="1:24" s="221" customFormat="1" ht="29" hidden="1" x14ac:dyDescent="0.35">
      <c r="A2568" s="46">
        <f t="shared" si="442"/>
        <v>46153</v>
      </c>
      <c r="B2568" s="46"/>
      <c r="C2568" s="46"/>
      <c r="D2568" s="46"/>
      <c r="E2568" s="47" t="s">
        <v>3566</v>
      </c>
      <c r="F2568" s="56" t="s">
        <v>202</v>
      </c>
      <c r="G2568" s="56"/>
      <c r="H2568" s="59" t="s">
        <v>3582</v>
      </c>
      <c r="I2568" s="82" t="s">
        <v>128</v>
      </c>
      <c r="J2568" s="100" t="s">
        <v>140</v>
      </c>
      <c r="K2568" s="52">
        <v>0</v>
      </c>
      <c r="L2568" s="52">
        <v>0</v>
      </c>
      <c r="M2568" s="53">
        <v>180</v>
      </c>
      <c r="N2568" s="54">
        <v>20</v>
      </c>
      <c r="O2568" s="341">
        <v>1</v>
      </c>
      <c r="P2568" s="54">
        <f t="shared" si="436"/>
        <v>20</v>
      </c>
      <c r="Q2568" s="54"/>
      <c r="R2568" s="283">
        <v>20</v>
      </c>
      <c r="S2568" s="53">
        <f t="shared" si="437"/>
        <v>0</v>
      </c>
      <c r="T2568" s="315">
        <f t="shared" si="438"/>
        <v>480</v>
      </c>
      <c r="U2568" s="84">
        <f t="shared" si="439"/>
        <v>0</v>
      </c>
      <c r="V2568" s="84">
        <f t="shared" si="440"/>
        <v>0</v>
      </c>
      <c r="W2568" s="84">
        <v>0</v>
      </c>
      <c r="X2568" s="55">
        <f t="shared" si="441"/>
        <v>46153</v>
      </c>
    </row>
    <row r="2569" spans="1:24" s="221" customFormat="1" ht="29" hidden="1" x14ac:dyDescent="0.35">
      <c r="A2569" s="46">
        <f t="shared" si="442"/>
        <v>46153</v>
      </c>
      <c r="B2569" s="46"/>
      <c r="C2569" s="46"/>
      <c r="D2569" s="46"/>
      <c r="E2569" s="47" t="s">
        <v>3566</v>
      </c>
      <c r="F2569" s="56" t="s">
        <v>202</v>
      </c>
      <c r="G2569" s="56"/>
      <c r="H2569" s="59" t="s">
        <v>3583</v>
      </c>
      <c r="I2569" s="82" t="s">
        <v>130</v>
      </c>
      <c r="J2569" s="100" t="s">
        <v>140</v>
      </c>
      <c r="K2569" s="52">
        <v>0</v>
      </c>
      <c r="L2569" s="52">
        <v>0</v>
      </c>
      <c r="M2569" s="53">
        <v>180</v>
      </c>
      <c r="N2569" s="54">
        <v>20</v>
      </c>
      <c r="O2569" s="341">
        <v>1</v>
      </c>
      <c r="P2569" s="54">
        <f t="shared" si="436"/>
        <v>20</v>
      </c>
      <c r="Q2569" s="54"/>
      <c r="R2569" s="283">
        <v>20</v>
      </c>
      <c r="S2569" s="53">
        <f t="shared" si="437"/>
        <v>0</v>
      </c>
      <c r="T2569" s="315">
        <f t="shared" si="438"/>
        <v>480</v>
      </c>
      <c r="U2569" s="84">
        <f t="shared" si="439"/>
        <v>0</v>
      </c>
      <c r="V2569" s="84">
        <f t="shared" si="440"/>
        <v>0</v>
      </c>
      <c r="W2569" s="84">
        <v>0</v>
      </c>
      <c r="X2569" s="55">
        <f t="shared" si="441"/>
        <v>46153</v>
      </c>
    </row>
    <row r="2570" spans="1:24" s="221" customFormat="1" ht="29" hidden="1" x14ac:dyDescent="0.35">
      <c r="A2570" s="46">
        <f t="shared" si="442"/>
        <v>46153</v>
      </c>
      <c r="B2570" s="46"/>
      <c r="C2570" s="46"/>
      <c r="D2570" s="46"/>
      <c r="E2570" s="47" t="s">
        <v>3566</v>
      </c>
      <c r="F2570" s="56" t="s">
        <v>202</v>
      </c>
      <c r="G2570" s="56"/>
      <c r="H2570" s="59" t="s">
        <v>3584</v>
      </c>
      <c r="I2570" s="82" t="s">
        <v>139</v>
      </c>
      <c r="J2570" s="100" t="s">
        <v>140</v>
      </c>
      <c r="K2570" s="52">
        <v>0</v>
      </c>
      <c r="L2570" s="52">
        <v>0</v>
      </c>
      <c r="M2570" s="53">
        <v>180</v>
      </c>
      <c r="N2570" s="54">
        <v>32</v>
      </c>
      <c r="O2570" s="341">
        <v>1</v>
      </c>
      <c r="P2570" s="54">
        <f t="shared" si="436"/>
        <v>32</v>
      </c>
      <c r="Q2570" s="54"/>
      <c r="R2570" s="283">
        <v>32</v>
      </c>
      <c r="S2570" s="53">
        <f t="shared" si="437"/>
        <v>0</v>
      </c>
      <c r="T2570" s="315">
        <f t="shared" si="438"/>
        <v>480</v>
      </c>
      <c r="U2570" s="84">
        <f t="shared" si="439"/>
        <v>0</v>
      </c>
      <c r="V2570" s="84">
        <f t="shared" si="440"/>
        <v>0</v>
      </c>
      <c r="W2570" s="84">
        <v>0</v>
      </c>
      <c r="X2570" s="55">
        <f t="shared" si="441"/>
        <v>46153</v>
      </c>
    </row>
    <row r="2571" spans="1:24" s="221" customFormat="1" ht="29" hidden="1" x14ac:dyDescent="0.35">
      <c r="A2571" s="46">
        <f t="shared" si="442"/>
        <v>46153</v>
      </c>
      <c r="B2571" s="46"/>
      <c r="C2571" s="46"/>
      <c r="D2571" s="46"/>
      <c r="E2571" s="47" t="s">
        <v>3566</v>
      </c>
      <c r="F2571" s="56" t="s">
        <v>1372</v>
      </c>
      <c r="G2571" s="56"/>
      <c r="H2571" s="59" t="s">
        <v>3585</v>
      </c>
      <c r="I2571" s="82" t="s">
        <v>3569</v>
      </c>
      <c r="J2571" s="100" t="s">
        <v>140</v>
      </c>
      <c r="K2571" s="52">
        <v>0</v>
      </c>
      <c r="L2571" s="52">
        <v>0</v>
      </c>
      <c r="M2571" s="53">
        <v>180</v>
      </c>
      <c r="N2571" s="54">
        <v>13</v>
      </c>
      <c r="O2571" s="341">
        <v>1</v>
      </c>
      <c r="P2571" s="54">
        <f t="shared" si="436"/>
        <v>13</v>
      </c>
      <c r="Q2571" s="54"/>
      <c r="R2571" s="283">
        <v>13</v>
      </c>
      <c r="S2571" s="53">
        <f t="shared" si="437"/>
        <v>0</v>
      </c>
      <c r="T2571" s="315">
        <f t="shared" si="438"/>
        <v>480</v>
      </c>
      <c r="U2571" s="84">
        <f t="shared" si="439"/>
        <v>0</v>
      </c>
      <c r="V2571" s="84">
        <f t="shared" si="440"/>
        <v>0</v>
      </c>
      <c r="W2571" s="84">
        <v>0</v>
      </c>
      <c r="X2571" s="55">
        <f t="shared" si="441"/>
        <v>46153</v>
      </c>
    </row>
    <row r="2572" spans="1:24" s="221" customFormat="1" ht="29" hidden="1" x14ac:dyDescent="0.35">
      <c r="A2572" s="46">
        <f t="shared" si="442"/>
        <v>46153</v>
      </c>
      <c r="B2572" s="46"/>
      <c r="C2572" s="46"/>
      <c r="D2572" s="46"/>
      <c r="E2572" s="47" t="s">
        <v>3566</v>
      </c>
      <c r="F2572" s="56" t="s">
        <v>1372</v>
      </c>
      <c r="G2572" s="56"/>
      <c r="H2572" s="59" t="s">
        <v>3586</v>
      </c>
      <c r="I2572" s="82" t="s">
        <v>3577</v>
      </c>
      <c r="J2572" s="100" t="s">
        <v>140</v>
      </c>
      <c r="K2572" s="52">
        <v>0</v>
      </c>
      <c r="L2572" s="52">
        <v>0</v>
      </c>
      <c r="M2572" s="53">
        <v>180</v>
      </c>
      <c r="N2572" s="54">
        <v>5</v>
      </c>
      <c r="O2572" s="341">
        <v>1</v>
      </c>
      <c r="P2572" s="54">
        <f t="shared" si="436"/>
        <v>5</v>
      </c>
      <c r="Q2572" s="54"/>
      <c r="R2572" s="283">
        <v>5</v>
      </c>
      <c r="S2572" s="53">
        <f t="shared" si="437"/>
        <v>0</v>
      </c>
      <c r="T2572" s="315">
        <f t="shared" si="438"/>
        <v>480</v>
      </c>
      <c r="U2572" s="84">
        <f t="shared" si="439"/>
        <v>0</v>
      </c>
      <c r="V2572" s="84">
        <f t="shared" si="440"/>
        <v>0</v>
      </c>
      <c r="W2572" s="84">
        <v>0</v>
      </c>
      <c r="X2572" s="55">
        <f t="shared" si="441"/>
        <v>46153</v>
      </c>
    </row>
    <row r="2573" spans="1:24" s="221" customFormat="1" ht="29" hidden="1" x14ac:dyDescent="0.35">
      <c r="A2573" s="46">
        <f t="shared" si="442"/>
        <v>46153</v>
      </c>
      <c r="B2573" s="46"/>
      <c r="C2573" s="46"/>
      <c r="D2573" s="46"/>
      <c r="E2573" s="47" t="s">
        <v>3566</v>
      </c>
      <c r="F2573" s="56" t="s">
        <v>1372</v>
      </c>
      <c r="G2573" s="56"/>
      <c r="H2573" s="59" t="s">
        <v>3587</v>
      </c>
      <c r="I2573" s="82" t="s">
        <v>3588</v>
      </c>
      <c r="J2573" s="100" t="s">
        <v>140</v>
      </c>
      <c r="K2573" s="52">
        <v>0</v>
      </c>
      <c r="L2573" s="52">
        <v>0</v>
      </c>
      <c r="M2573" s="53">
        <v>180</v>
      </c>
      <c r="N2573" s="54">
        <v>26</v>
      </c>
      <c r="O2573" s="341">
        <v>1</v>
      </c>
      <c r="P2573" s="54">
        <f t="shared" si="436"/>
        <v>26</v>
      </c>
      <c r="Q2573" s="54"/>
      <c r="R2573" s="283">
        <v>26</v>
      </c>
      <c r="S2573" s="53">
        <f t="shared" si="437"/>
        <v>0</v>
      </c>
      <c r="T2573" s="315">
        <f t="shared" si="438"/>
        <v>480</v>
      </c>
      <c r="U2573" s="84">
        <f t="shared" si="439"/>
        <v>0</v>
      </c>
      <c r="V2573" s="84">
        <f t="shared" si="440"/>
        <v>0</v>
      </c>
      <c r="W2573" s="84">
        <v>0</v>
      </c>
      <c r="X2573" s="55">
        <f t="shared" si="441"/>
        <v>46153</v>
      </c>
    </row>
    <row r="2574" spans="1:24" s="221" customFormat="1" ht="29" hidden="1" x14ac:dyDescent="0.35">
      <c r="A2574" s="46">
        <f t="shared" si="442"/>
        <v>46153</v>
      </c>
      <c r="B2574" s="46"/>
      <c r="C2574" s="46"/>
      <c r="D2574" s="46"/>
      <c r="E2574" s="47" t="s">
        <v>3566</v>
      </c>
      <c r="F2574" s="56" t="s">
        <v>1372</v>
      </c>
      <c r="G2574" s="56"/>
      <c r="H2574" s="59" t="s">
        <v>3589</v>
      </c>
      <c r="I2574" s="82" t="s">
        <v>155</v>
      </c>
      <c r="J2574" s="100" t="s">
        <v>140</v>
      </c>
      <c r="K2574" s="52">
        <v>0</v>
      </c>
      <c r="L2574" s="52">
        <v>0</v>
      </c>
      <c r="M2574" s="53">
        <v>180</v>
      </c>
      <c r="N2574" s="54">
        <v>21</v>
      </c>
      <c r="O2574" s="341">
        <v>1</v>
      </c>
      <c r="P2574" s="54">
        <f t="shared" si="436"/>
        <v>21</v>
      </c>
      <c r="Q2574" s="54"/>
      <c r="R2574" s="283">
        <v>21</v>
      </c>
      <c r="S2574" s="53">
        <f t="shared" si="437"/>
        <v>0</v>
      </c>
      <c r="T2574" s="315">
        <f t="shared" si="438"/>
        <v>480</v>
      </c>
      <c r="U2574" s="84">
        <f t="shared" si="439"/>
        <v>0</v>
      </c>
      <c r="V2574" s="84">
        <f t="shared" si="440"/>
        <v>0</v>
      </c>
      <c r="W2574" s="84">
        <v>0</v>
      </c>
      <c r="X2574" s="55">
        <f t="shared" si="441"/>
        <v>46153</v>
      </c>
    </row>
    <row r="2575" spans="1:24" s="221" customFormat="1" ht="29" hidden="1" x14ac:dyDescent="0.35">
      <c r="A2575" s="46">
        <f t="shared" si="442"/>
        <v>46153</v>
      </c>
      <c r="B2575" s="46"/>
      <c r="C2575" s="46"/>
      <c r="D2575" s="46"/>
      <c r="E2575" s="47" t="s">
        <v>3566</v>
      </c>
      <c r="F2575" s="56" t="s">
        <v>1372</v>
      </c>
      <c r="G2575" s="56"/>
      <c r="H2575" s="59" t="s">
        <v>3590</v>
      </c>
      <c r="I2575" s="82" t="s">
        <v>3580</v>
      </c>
      <c r="J2575" s="100" t="s">
        <v>140</v>
      </c>
      <c r="K2575" s="52">
        <v>0</v>
      </c>
      <c r="L2575" s="52">
        <v>0</v>
      </c>
      <c r="M2575" s="53">
        <v>180</v>
      </c>
      <c r="N2575" s="54">
        <v>100</v>
      </c>
      <c r="O2575" s="341">
        <v>1</v>
      </c>
      <c r="P2575" s="54">
        <f t="shared" si="436"/>
        <v>100</v>
      </c>
      <c r="Q2575" s="54"/>
      <c r="R2575" s="283">
        <v>100</v>
      </c>
      <c r="S2575" s="53">
        <f t="shared" si="437"/>
        <v>0</v>
      </c>
      <c r="T2575" s="315">
        <f t="shared" si="438"/>
        <v>480</v>
      </c>
      <c r="U2575" s="84">
        <f t="shared" si="439"/>
        <v>0</v>
      </c>
      <c r="V2575" s="84">
        <f t="shared" si="440"/>
        <v>0</v>
      </c>
      <c r="W2575" s="84">
        <v>0</v>
      </c>
      <c r="X2575" s="55">
        <f t="shared" si="441"/>
        <v>46153</v>
      </c>
    </row>
    <row r="2576" spans="1:24" s="221" customFormat="1" ht="29" hidden="1" x14ac:dyDescent="0.35">
      <c r="A2576" s="46">
        <f t="shared" si="442"/>
        <v>46153</v>
      </c>
      <c r="B2576" s="46"/>
      <c r="C2576" s="46"/>
      <c r="D2576" s="46"/>
      <c r="E2576" s="47" t="s">
        <v>3566</v>
      </c>
      <c r="F2576" s="56" t="s">
        <v>1372</v>
      </c>
      <c r="G2576" s="56"/>
      <c r="H2576" s="59" t="s">
        <v>3591</v>
      </c>
      <c r="I2576" s="82" t="s">
        <v>126</v>
      </c>
      <c r="J2576" s="100" t="s">
        <v>140</v>
      </c>
      <c r="K2576" s="52">
        <v>0</v>
      </c>
      <c r="L2576" s="52">
        <v>0</v>
      </c>
      <c r="M2576" s="53">
        <v>180</v>
      </c>
      <c r="N2576" s="54">
        <v>24</v>
      </c>
      <c r="O2576" s="341">
        <v>1</v>
      </c>
      <c r="P2576" s="54">
        <f t="shared" si="436"/>
        <v>24</v>
      </c>
      <c r="Q2576" s="54"/>
      <c r="R2576" s="283">
        <v>24</v>
      </c>
      <c r="S2576" s="53">
        <f t="shared" si="437"/>
        <v>0</v>
      </c>
      <c r="T2576" s="315">
        <f t="shared" si="438"/>
        <v>480</v>
      </c>
      <c r="U2576" s="84">
        <f t="shared" si="439"/>
        <v>0</v>
      </c>
      <c r="V2576" s="84">
        <f t="shared" si="440"/>
        <v>0</v>
      </c>
      <c r="W2576" s="84">
        <v>0</v>
      </c>
      <c r="X2576" s="55">
        <f t="shared" si="441"/>
        <v>46153</v>
      </c>
    </row>
    <row r="2577" spans="1:24" s="221" customFormat="1" ht="29" hidden="1" x14ac:dyDescent="0.35">
      <c r="A2577" s="46">
        <f t="shared" si="442"/>
        <v>46153</v>
      </c>
      <c r="B2577" s="46"/>
      <c r="C2577" s="46"/>
      <c r="D2577" s="46"/>
      <c r="E2577" s="47" t="s">
        <v>3566</v>
      </c>
      <c r="F2577" s="56" t="s">
        <v>1372</v>
      </c>
      <c r="G2577" s="56"/>
      <c r="H2577" s="59" t="s">
        <v>3592</v>
      </c>
      <c r="I2577" s="82" t="s">
        <v>128</v>
      </c>
      <c r="J2577" s="100" t="s">
        <v>140</v>
      </c>
      <c r="K2577" s="52">
        <v>0</v>
      </c>
      <c r="L2577" s="52">
        <v>0</v>
      </c>
      <c r="M2577" s="53">
        <v>180</v>
      </c>
      <c r="N2577" s="54">
        <v>22</v>
      </c>
      <c r="O2577" s="341">
        <v>1</v>
      </c>
      <c r="P2577" s="54">
        <f t="shared" si="436"/>
        <v>22</v>
      </c>
      <c r="Q2577" s="54"/>
      <c r="R2577" s="283">
        <v>22</v>
      </c>
      <c r="S2577" s="53">
        <f t="shared" si="437"/>
        <v>0</v>
      </c>
      <c r="T2577" s="315">
        <f t="shared" si="438"/>
        <v>480</v>
      </c>
      <c r="U2577" s="84">
        <f t="shared" si="439"/>
        <v>0</v>
      </c>
      <c r="V2577" s="84">
        <f t="shared" si="440"/>
        <v>0</v>
      </c>
      <c r="W2577" s="84">
        <v>0</v>
      </c>
      <c r="X2577" s="55">
        <f t="shared" si="441"/>
        <v>46153</v>
      </c>
    </row>
    <row r="2578" spans="1:24" s="221" customFormat="1" ht="29" hidden="1" x14ac:dyDescent="0.35">
      <c r="A2578" s="46">
        <f t="shared" si="442"/>
        <v>46153</v>
      </c>
      <c r="B2578" s="46"/>
      <c r="C2578" s="46"/>
      <c r="D2578" s="46"/>
      <c r="E2578" s="47" t="s">
        <v>3566</v>
      </c>
      <c r="F2578" s="56" t="s">
        <v>1372</v>
      </c>
      <c r="G2578" s="56"/>
      <c r="H2578" s="59" t="s">
        <v>3593</v>
      </c>
      <c r="I2578" s="82" t="s">
        <v>130</v>
      </c>
      <c r="J2578" s="100" t="s">
        <v>140</v>
      </c>
      <c r="K2578" s="52">
        <v>0</v>
      </c>
      <c r="L2578" s="52">
        <v>0</v>
      </c>
      <c r="M2578" s="53">
        <v>180</v>
      </c>
      <c r="N2578" s="54">
        <v>6</v>
      </c>
      <c r="O2578" s="341">
        <v>1</v>
      </c>
      <c r="P2578" s="54">
        <f t="shared" si="436"/>
        <v>6</v>
      </c>
      <c r="Q2578" s="54"/>
      <c r="R2578" s="283">
        <v>6</v>
      </c>
      <c r="S2578" s="53">
        <f t="shared" si="437"/>
        <v>0</v>
      </c>
      <c r="T2578" s="315">
        <f t="shared" si="438"/>
        <v>480</v>
      </c>
      <c r="U2578" s="84">
        <f t="shared" si="439"/>
        <v>0</v>
      </c>
      <c r="V2578" s="84">
        <f t="shared" si="440"/>
        <v>0</v>
      </c>
      <c r="W2578" s="84">
        <v>0</v>
      </c>
      <c r="X2578" s="55">
        <f t="shared" si="441"/>
        <v>46153</v>
      </c>
    </row>
    <row r="2579" spans="1:24" s="221" customFormat="1" ht="29" hidden="1" x14ac:dyDescent="0.35">
      <c r="A2579" s="46">
        <f t="shared" si="442"/>
        <v>46153</v>
      </c>
      <c r="B2579" s="46"/>
      <c r="C2579" s="46"/>
      <c r="D2579" s="46"/>
      <c r="E2579" s="47" t="s">
        <v>3566</v>
      </c>
      <c r="F2579" s="56" t="s">
        <v>1372</v>
      </c>
      <c r="G2579" s="56"/>
      <c r="H2579" s="59" t="s">
        <v>3594</v>
      </c>
      <c r="I2579" s="82" t="s">
        <v>139</v>
      </c>
      <c r="J2579" s="100" t="s">
        <v>140</v>
      </c>
      <c r="K2579" s="52">
        <v>0</v>
      </c>
      <c r="L2579" s="52">
        <v>0</v>
      </c>
      <c r="M2579" s="53">
        <v>180</v>
      </c>
      <c r="N2579" s="54">
        <v>72</v>
      </c>
      <c r="O2579" s="341">
        <v>1</v>
      </c>
      <c r="P2579" s="54">
        <f t="shared" si="436"/>
        <v>72</v>
      </c>
      <c r="Q2579" s="54"/>
      <c r="R2579" s="283">
        <v>72</v>
      </c>
      <c r="S2579" s="53">
        <f t="shared" si="437"/>
        <v>0</v>
      </c>
      <c r="T2579" s="315">
        <f t="shared" si="438"/>
        <v>480</v>
      </c>
      <c r="U2579" s="84">
        <f t="shared" si="439"/>
        <v>0</v>
      </c>
      <c r="V2579" s="84">
        <f t="shared" si="440"/>
        <v>0</v>
      </c>
      <c r="W2579" s="84">
        <v>0</v>
      </c>
      <c r="X2579" s="55">
        <f t="shared" si="441"/>
        <v>46153</v>
      </c>
    </row>
    <row r="2580" spans="1:24" s="221" customFormat="1" ht="29" hidden="1" x14ac:dyDescent="0.35">
      <c r="A2580" s="46">
        <f t="shared" si="442"/>
        <v>46153</v>
      </c>
      <c r="B2580" s="46"/>
      <c r="C2580" s="46"/>
      <c r="D2580" s="46"/>
      <c r="E2580" s="47" t="s">
        <v>3566</v>
      </c>
      <c r="F2580" s="56" t="s">
        <v>165</v>
      </c>
      <c r="G2580" s="56"/>
      <c r="H2580" s="59" t="s">
        <v>3595</v>
      </c>
      <c r="I2580" s="71" t="s">
        <v>3596</v>
      </c>
      <c r="J2580" s="100" t="s">
        <v>140</v>
      </c>
      <c r="K2580" s="52">
        <v>0</v>
      </c>
      <c r="L2580" s="52">
        <v>0</v>
      </c>
      <c r="M2580" s="53">
        <v>180</v>
      </c>
      <c r="N2580" s="54">
        <v>25</v>
      </c>
      <c r="O2580" s="341">
        <v>1</v>
      </c>
      <c r="P2580" s="54">
        <f t="shared" si="436"/>
        <v>25</v>
      </c>
      <c r="Q2580" s="54"/>
      <c r="R2580" s="283">
        <v>25</v>
      </c>
      <c r="S2580" s="53">
        <f t="shared" si="437"/>
        <v>0</v>
      </c>
      <c r="T2580" s="315">
        <f t="shared" si="438"/>
        <v>480</v>
      </c>
      <c r="U2580" s="84">
        <f t="shared" si="439"/>
        <v>0</v>
      </c>
      <c r="V2580" s="84">
        <f t="shared" si="440"/>
        <v>0</v>
      </c>
      <c r="W2580" s="84">
        <v>0</v>
      </c>
      <c r="X2580" s="55">
        <f t="shared" si="441"/>
        <v>46153</v>
      </c>
    </row>
    <row r="2581" spans="1:24" s="221" customFormat="1" ht="29" hidden="1" x14ac:dyDescent="0.35">
      <c r="A2581" s="46">
        <f t="shared" si="442"/>
        <v>46153</v>
      </c>
      <c r="B2581" s="46"/>
      <c r="C2581" s="46"/>
      <c r="D2581" s="46"/>
      <c r="E2581" s="47" t="s">
        <v>3566</v>
      </c>
      <c r="F2581" s="56" t="s">
        <v>165</v>
      </c>
      <c r="G2581" s="56"/>
      <c r="H2581" s="59" t="s">
        <v>3597</v>
      </c>
      <c r="I2581" s="71" t="s">
        <v>3577</v>
      </c>
      <c r="J2581" s="100" t="s">
        <v>140</v>
      </c>
      <c r="K2581" s="52">
        <v>0</v>
      </c>
      <c r="L2581" s="52">
        <v>0</v>
      </c>
      <c r="M2581" s="53">
        <v>180</v>
      </c>
      <c r="N2581" s="54">
        <v>25</v>
      </c>
      <c r="O2581" s="341">
        <v>1</v>
      </c>
      <c r="P2581" s="54">
        <f t="shared" si="436"/>
        <v>25</v>
      </c>
      <c r="Q2581" s="54"/>
      <c r="R2581" s="283">
        <v>25</v>
      </c>
      <c r="S2581" s="53">
        <f t="shared" si="437"/>
        <v>0</v>
      </c>
      <c r="T2581" s="315">
        <f t="shared" si="438"/>
        <v>480</v>
      </c>
      <c r="U2581" s="84">
        <f t="shared" si="439"/>
        <v>0</v>
      </c>
      <c r="V2581" s="84">
        <f t="shared" si="440"/>
        <v>0</v>
      </c>
      <c r="W2581" s="84">
        <v>0</v>
      </c>
      <c r="X2581" s="55">
        <f t="shared" si="441"/>
        <v>46153</v>
      </c>
    </row>
    <row r="2582" spans="1:24" s="221" customFormat="1" ht="29" hidden="1" x14ac:dyDescent="0.35">
      <c r="A2582" s="46">
        <f t="shared" si="442"/>
        <v>46153</v>
      </c>
      <c r="B2582" s="46"/>
      <c r="C2582" s="46"/>
      <c r="D2582" s="46"/>
      <c r="E2582" s="47" t="s">
        <v>3566</v>
      </c>
      <c r="F2582" s="56" t="s">
        <v>165</v>
      </c>
      <c r="G2582" s="56"/>
      <c r="H2582" s="59" t="s">
        <v>3598</v>
      </c>
      <c r="I2582" s="71" t="s">
        <v>126</v>
      </c>
      <c r="J2582" s="100" t="s">
        <v>140</v>
      </c>
      <c r="K2582" s="52">
        <v>0</v>
      </c>
      <c r="L2582" s="52">
        <v>0</v>
      </c>
      <c r="M2582" s="53">
        <v>180</v>
      </c>
      <c r="N2582" s="54">
        <v>100</v>
      </c>
      <c r="O2582" s="341">
        <v>1</v>
      </c>
      <c r="P2582" s="54">
        <f t="shared" si="436"/>
        <v>100</v>
      </c>
      <c r="Q2582" s="54"/>
      <c r="R2582" s="283">
        <v>100</v>
      </c>
      <c r="S2582" s="53">
        <f t="shared" si="437"/>
        <v>0</v>
      </c>
      <c r="T2582" s="315">
        <f t="shared" si="438"/>
        <v>480</v>
      </c>
      <c r="U2582" s="84">
        <f t="shared" si="439"/>
        <v>0</v>
      </c>
      <c r="V2582" s="84">
        <f t="shared" si="440"/>
        <v>0</v>
      </c>
      <c r="W2582" s="84">
        <v>0</v>
      </c>
      <c r="X2582" s="55">
        <f t="shared" si="441"/>
        <v>46153</v>
      </c>
    </row>
    <row r="2583" spans="1:24" s="221" customFormat="1" ht="29" hidden="1" x14ac:dyDescent="0.35">
      <c r="A2583" s="46">
        <f t="shared" si="442"/>
        <v>46153</v>
      </c>
      <c r="B2583" s="46"/>
      <c r="C2583" s="46"/>
      <c r="D2583" s="46"/>
      <c r="E2583" s="47" t="s">
        <v>3566</v>
      </c>
      <c r="F2583" s="56" t="s">
        <v>165</v>
      </c>
      <c r="G2583" s="56"/>
      <c r="H2583" s="59" t="s">
        <v>3599</v>
      </c>
      <c r="I2583" s="71" t="s">
        <v>3588</v>
      </c>
      <c r="J2583" s="100" t="s">
        <v>140</v>
      </c>
      <c r="K2583" s="52">
        <v>0</v>
      </c>
      <c r="L2583" s="52">
        <v>0</v>
      </c>
      <c r="M2583" s="53">
        <v>180</v>
      </c>
      <c r="N2583" s="54">
        <v>50</v>
      </c>
      <c r="O2583" s="341">
        <v>1</v>
      </c>
      <c r="P2583" s="54">
        <f t="shared" si="436"/>
        <v>50</v>
      </c>
      <c r="Q2583" s="54"/>
      <c r="R2583" s="283">
        <v>50</v>
      </c>
      <c r="S2583" s="53">
        <f t="shared" si="437"/>
        <v>0</v>
      </c>
      <c r="T2583" s="315">
        <f t="shared" si="438"/>
        <v>480</v>
      </c>
      <c r="U2583" s="84">
        <f t="shared" si="439"/>
        <v>0</v>
      </c>
      <c r="V2583" s="84">
        <f t="shared" si="440"/>
        <v>0</v>
      </c>
      <c r="W2583" s="84">
        <v>0</v>
      </c>
      <c r="X2583" s="55">
        <f t="shared" si="441"/>
        <v>46153</v>
      </c>
    </row>
    <row r="2584" spans="1:24" s="221" customFormat="1" ht="29" hidden="1" x14ac:dyDescent="0.35">
      <c r="A2584" s="46">
        <f t="shared" si="442"/>
        <v>46153</v>
      </c>
      <c r="B2584" s="46"/>
      <c r="C2584" s="46"/>
      <c r="D2584" s="46"/>
      <c r="E2584" s="47" t="s">
        <v>3566</v>
      </c>
      <c r="F2584" s="56" t="s">
        <v>165</v>
      </c>
      <c r="G2584" s="56"/>
      <c r="H2584" s="59" t="s">
        <v>3600</v>
      </c>
      <c r="I2584" s="71" t="s">
        <v>121</v>
      </c>
      <c r="J2584" s="100" t="s">
        <v>140</v>
      </c>
      <c r="K2584" s="52">
        <v>0</v>
      </c>
      <c r="L2584" s="52">
        <v>0</v>
      </c>
      <c r="M2584" s="53">
        <v>180</v>
      </c>
      <c r="N2584" s="54">
        <v>25</v>
      </c>
      <c r="O2584" s="341">
        <v>1</v>
      </c>
      <c r="P2584" s="54">
        <f t="shared" si="436"/>
        <v>25</v>
      </c>
      <c r="Q2584" s="54"/>
      <c r="R2584" s="283">
        <v>25</v>
      </c>
      <c r="S2584" s="53">
        <f t="shared" si="437"/>
        <v>0</v>
      </c>
      <c r="T2584" s="315">
        <f t="shared" si="438"/>
        <v>480</v>
      </c>
      <c r="U2584" s="84">
        <f t="shared" si="439"/>
        <v>0</v>
      </c>
      <c r="V2584" s="84">
        <f t="shared" si="440"/>
        <v>0</v>
      </c>
      <c r="W2584" s="84">
        <v>0</v>
      </c>
      <c r="X2584" s="55">
        <f t="shared" si="441"/>
        <v>46153</v>
      </c>
    </row>
    <row r="2585" spans="1:24" s="221" customFormat="1" ht="29" hidden="1" x14ac:dyDescent="0.35">
      <c r="A2585" s="46">
        <f t="shared" si="442"/>
        <v>46153</v>
      </c>
      <c r="B2585" s="46"/>
      <c r="C2585" s="46"/>
      <c r="D2585" s="46"/>
      <c r="E2585" s="47" t="s">
        <v>3566</v>
      </c>
      <c r="F2585" s="56" t="s">
        <v>165</v>
      </c>
      <c r="G2585" s="56"/>
      <c r="H2585" s="59" t="s">
        <v>3601</v>
      </c>
      <c r="I2585" s="71" t="s">
        <v>123</v>
      </c>
      <c r="J2585" s="100" t="s">
        <v>140</v>
      </c>
      <c r="K2585" s="52">
        <v>0</v>
      </c>
      <c r="L2585" s="52">
        <v>0</v>
      </c>
      <c r="M2585" s="53">
        <v>180</v>
      </c>
      <c r="N2585" s="54">
        <v>50</v>
      </c>
      <c r="O2585" s="341">
        <v>1</v>
      </c>
      <c r="P2585" s="54">
        <f t="shared" si="436"/>
        <v>50</v>
      </c>
      <c r="Q2585" s="54"/>
      <c r="R2585" s="283">
        <v>50</v>
      </c>
      <c r="S2585" s="53">
        <f t="shared" si="437"/>
        <v>0</v>
      </c>
      <c r="T2585" s="315">
        <f t="shared" si="438"/>
        <v>480</v>
      </c>
      <c r="U2585" s="84">
        <f t="shared" si="439"/>
        <v>0</v>
      </c>
      <c r="V2585" s="84">
        <f t="shared" si="440"/>
        <v>0</v>
      </c>
      <c r="W2585" s="84">
        <v>0</v>
      </c>
      <c r="X2585" s="55">
        <f t="shared" si="441"/>
        <v>46153</v>
      </c>
    </row>
    <row r="2586" spans="1:24" s="221" customFormat="1" ht="29" hidden="1" x14ac:dyDescent="0.35">
      <c r="A2586" s="46">
        <f t="shared" si="442"/>
        <v>46153</v>
      </c>
      <c r="B2586" s="46"/>
      <c r="C2586" s="46"/>
      <c r="D2586" s="46"/>
      <c r="E2586" s="47" t="s">
        <v>3566</v>
      </c>
      <c r="F2586" s="56" t="s">
        <v>165</v>
      </c>
      <c r="G2586" s="56"/>
      <c r="H2586" s="59" t="s">
        <v>3602</v>
      </c>
      <c r="I2586" s="71" t="s">
        <v>106</v>
      </c>
      <c r="J2586" s="100" t="s">
        <v>140</v>
      </c>
      <c r="K2586" s="52">
        <v>0</v>
      </c>
      <c r="L2586" s="52">
        <v>0</v>
      </c>
      <c r="M2586" s="53">
        <v>180</v>
      </c>
      <c r="N2586" s="54">
        <v>50</v>
      </c>
      <c r="O2586" s="341">
        <v>1</v>
      </c>
      <c r="P2586" s="54">
        <f t="shared" si="436"/>
        <v>50</v>
      </c>
      <c r="Q2586" s="54"/>
      <c r="R2586" s="283">
        <v>50</v>
      </c>
      <c r="S2586" s="53">
        <f t="shared" si="437"/>
        <v>0</v>
      </c>
      <c r="T2586" s="315">
        <f t="shared" si="438"/>
        <v>480</v>
      </c>
      <c r="U2586" s="84">
        <f t="shared" si="439"/>
        <v>0</v>
      </c>
      <c r="V2586" s="84">
        <f t="shared" si="440"/>
        <v>0</v>
      </c>
      <c r="W2586" s="84">
        <v>0</v>
      </c>
      <c r="X2586" s="55">
        <f t="shared" si="441"/>
        <v>46153</v>
      </c>
    </row>
    <row r="2587" spans="1:24" s="221" customFormat="1" ht="29" hidden="1" x14ac:dyDescent="0.35">
      <c r="A2587" s="46">
        <f t="shared" si="442"/>
        <v>46153</v>
      </c>
      <c r="B2587" s="46"/>
      <c r="C2587" s="46"/>
      <c r="D2587" s="46"/>
      <c r="E2587" s="47" t="s">
        <v>3566</v>
      </c>
      <c r="F2587" s="56" t="s">
        <v>165</v>
      </c>
      <c r="G2587" s="56"/>
      <c r="H2587" s="59" t="s">
        <v>3603</v>
      </c>
      <c r="I2587" s="71" t="s">
        <v>155</v>
      </c>
      <c r="J2587" s="100" t="s">
        <v>140</v>
      </c>
      <c r="K2587" s="52">
        <v>0</v>
      </c>
      <c r="L2587" s="52">
        <v>0</v>
      </c>
      <c r="M2587" s="53">
        <v>180</v>
      </c>
      <c r="N2587" s="54">
        <v>75</v>
      </c>
      <c r="O2587" s="341">
        <v>1</v>
      </c>
      <c r="P2587" s="54">
        <f t="shared" si="436"/>
        <v>75</v>
      </c>
      <c r="Q2587" s="54"/>
      <c r="R2587" s="283">
        <v>75</v>
      </c>
      <c r="S2587" s="53">
        <f t="shared" si="437"/>
        <v>0</v>
      </c>
      <c r="T2587" s="315">
        <f t="shared" si="438"/>
        <v>480</v>
      </c>
      <c r="U2587" s="84">
        <f t="shared" si="439"/>
        <v>0</v>
      </c>
      <c r="V2587" s="84">
        <f t="shared" si="440"/>
        <v>0</v>
      </c>
      <c r="W2587" s="84">
        <v>0</v>
      </c>
      <c r="X2587" s="55">
        <f t="shared" si="441"/>
        <v>46153</v>
      </c>
    </row>
    <row r="2588" spans="1:24" s="221" customFormat="1" ht="29" hidden="1" x14ac:dyDescent="0.35">
      <c r="A2588" s="46">
        <f t="shared" si="442"/>
        <v>46153</v>
      </c>
      <c r="B2588" s="46"/>
      <c r="C2588" s="46"/>
      <c r="D2588" s="46"/>
      <c r="E2588" s="47" t="s">
        <v>3566</v>
      </c>
      <c r="F2588" s="56" t="s">
        <v>165</v>
      </c>
      <c r="G2588" s="56"/>
      <c r="H2588" s="59" t="s">
        <v>3604</v>
      </c>
      <c r="I2588" s="71" t="s">
        <v>3580</v>
      </c>
      <c r="J2588" s="100" t="s">
        <v>140</v>
      </c>
      <c r="K2588" s="52">
        <v>0</v>
      </c>
      <c r="L2588" s="52">
        <v>0</v>
      </c>
      <c r="M2588" s="53">
        <v>180</v>
      </c>
      <c r="N2588" s="54">
        <v>25</v>
      </c>
      <c r="O2588" s="341">
        <v>1</v>
      </c>
      <c r="P2588" s="54">
        <f t="shared" si="436"/>
        <v>25</v>
      </c>
      <c r="Q2588" s="54"/>
      <c r="R2588" s="283">
        <v>25</v>
      </c>
      <c r="S2588" s="53">
        <f t="shared" si="437"/>
        <v>0</v>
      </c>
      <c r="T2588" s="315">
        <f t="shared" si="438"/>
        <v>480</v>
      </c>
      <c r="U2588" s="84">
        <f t="shared" si="439"/>
        <v>0</v>
      </c>
      <c r="V2588" s="84">
        <f t="shared" si="440"/>
        <v>0</v>
      </c>
      <c r="W2588" s="84">
        <v>0</v>
      </c>
      <c r="X2588" s="55">
        <f t="shared" si="441"/>
        <v>46153</v>
      </c>
    </row>
    <row r="2589" spans="1:24" s="221" customFormat="1" ht="29" hidden="1" x14ac:dyDescent="0.35">
      <c r="A2589" s="46">
        <f t="shared" si="442"/>
        <v>46153</v>
      </c>
      <c r="B2589" s="46"/>
      <c r="C2589" s="46"/>
      <c r="D2589" s="46"/>
      <c r="E2589" s="47" t="s">
        <v>3566</v>
      </c>
      <c r="F2589" s="56" t="s">
        <v>165</v>
      </c>
      <c r="G2589" s="56"/>
      <c r="H2589" s="59" t="s">
        <v>2630</v>
      </c>
      <c r="I2589" s="71" t="s">
        <v>128</v>
      </c>
      <c r="J2589" s="100" t="s">
        <v>140</v>
      </c>
      <c r="K2589" s="52">
        <v>0</v>
      </c>
      <c r="L2589" s="52">
        <v>0</v>
      </c>
      <c r="M2589" s="53">
        <v>180</v>
      </c>
      <c r="N2589" s="54">
        <v>25</v>
      </c>
      <c r="O2589" s="341">
        <v>1</v>
      </c>
      <c r="P2589" s="54">
        <f t="shared" si="436"/>
        <v>25</v>
      </c>
      <c r="Q2589" s="54"/>
      <c r="R2589" s="283">
        <v>25</v>
      </c>
      <c r="S2589" s="53">
        <f t="shared" si="437"/>
        <v>0</v>
      </c>
      <c r="T2589" s="315">
        <f t="shared" si="438"/>
        <v>480</v>
      </c>
      <c r="U2589" s="84">
        <f t="shared" si="439"/>
        <v>0</v>
      </c>
      <c r="V2589" s="84">
        <f t="shared" si="440"/>
        <v>0</v>
      </c>
      <c r="W2589" s="84">
        <v>0</v>
      </c>
      <c r="X2589" s="55">
        <f t="shared" si="441"/>
        <v>46153</v>
      </c>
    </row>
    <row r="2590" spans="1:24" s="221" customFormat="1" ht="29" hidden="1" x14ac:dyDescent="0.35">
      <c r="A2590" s="46">
        <f t="shared" si="442"/>
        <v>46153</v>
      </c>
      <c r="B2590" s="46"/>
      <c r="C2590" s="46"/>
      <c r="D2590" s="46"/>
      <c r="E2590" s="47" t="s">
        <v>3566</v>
      </c>
      <c r="F2590" s="56" t="s">
        <v>165</v>
      </c>
      <c r="G2590" s="56"/>
      <c r="H2590" s="59" t="s">
        <v>3605</v>
      </c>
      <c r="I2590" s="71" t="s">
        <v>3569</v>
      </c>
      <c r="J2590" s="100" t="s">
        <v>140</v>
      </c>
      <c r="K2590" s="52">
        <v>0</v>
      </c>
      <c r="L2590" s="52">
        <v>0</v>
      </c>
      <c r="M2590" s="53">
        <v>180</v>
      </c>
      <c r="N2590" s="54">
        <v>125</v>
      </c>
      <c r="O2590" s="341">
        <v>1</v>
      </c>
      <c r="P2590" s="54">
        <f t="shared" si="436"/>
        <v>125</v>
      </c>
      <c r="Q2590" s="54"/>
      <c r="R2590" s="283">
        <v>125</v>
      </c>
      <c r="S2590" s="53">
        <f t="shared" si="437"/>
        <v>0</v>
      </c>
      <c r="T2590" s="315">
        <f t="shared" si="438"/>
        <v>480</v>
      </c>
      <c r="U2590" s="84">
        <f t="shared" si="439"/>
        <v>0</v>
      </c>
      <c r="V2590" s="84">
        <f t="shared" si="440"/>
        <v>0</v>
      </c>
      <c r="W2590" s="84">
        <v>0</v>
      </c>
      <c r="X2590" s="55">
        <f t="shared" si="441"/>
        <v>46153</v>
      </c>
    </row>
    <row r="2591" spans="1:24" s="221" customFormat="1" ht="29" hidden="1" x14ac:dyDescent="0.35">
      <c r="A2591" s="46">
        <f t="shared" si="442"/>
        <v>46153</v>
      </c>
      <c r="B2591" s="46"/>
      <c r="C2591" s="46"/>
      <c r="D2591" s="46"/>
      <c r="E2591" s="47" t="s">
        <v>3566</v>
      </c>
      <c r="F2591" s="56" t="s">
        <v>165</v>
      </c>
      <c r="G2591" s="56"/>
      <c r="H2591" s="59" t="s">
        <v>3606</v>
      </c>
      <c r="I2591" s="71" t="s">
        <v>130</v>
      </c>
      <c r="J2591" s="100" t="s">
        <v>140</v>
      </c>
      <c r="K2591" s="52">
        <v>0</v>
      </c>
      <c r="L2591" s="52">
        <v>0</v>
      </c>
      <c r="M2591" s="53">
        <v>180</v>
      </c>
      <c r="N2591" s="54">
        <v>50</v>
      </c>
      <c r="O2591" s="341">
        <v>1</v>
      </c>
      <c r="P2591" s="54">
        <f t="shared" si="436"/>
        <v>50</v>
      </c>
      <c r="Q2591" s="54"/>
      <c r="R2591" s="283">
        <v>50</v>
      </c>
      <c r="S2591" s="53">
        <f t="shared" si="437"/>
        <v>0</v>
      </c>
      <c r="T2591" s="315">
        <f t="shared" si="438"/>
        <v>480</v>
      </c>
      <c r="U2591" s="84">
        <f t="shared" si="439"/>
        <v>0</v>
      </c>
      <c r="V2591" s="84">
        <f t="shared" si="440"/>
        <v>0</v>
      </c>
      <c r="W2591" s="84">
        <v>0</v>
      </c>
      <c r="X2591" s="55">
        <f t="shared" si="441"/>
        <v>46153</v>
      </c>
    </row>
    <row r="2592" spans="1:24" s="221" customFormat="1" ht="29" hidden="1" x14ac:dyDescent="0.35">
      <c r="A2592" s="46">
        <f t="shared" si="442"/>
        <v>46153</v>
      </c>
      <c r="B2592" s="46"/>
      <c r="C2592" s="46"/>
      <c r="D2592" s="46"/>
      <c r="E2592" s="47" t="s">
        <v>3566</v>
      </c>
      <c r="F2592" s="56" t="s">
        <v>165</v>
      </c>
      <c r="G2592" s="56"/>
      <c r="H2592" s="59" t="s">
        <v>3607</v>
      </c>
      <c r="I2592" s="71" t="s">
        <v>139</v>
      </c>
      <c r="J2592" s="100" t="s">
        <v>140</v>
      </c>
      <c r="K2592" s="52">
        <v>0</v>
      </c>
      <c r="L2592" s="52">
        <v>0</v>
      </c>
      <c r="M2592" s="53">
        <v>180</v>
      </c>
      <c r="N2592" s="54">
        <v>25</v>
      </c>
      <c r="O2592" s="341">
        <v>1</v>
      </c>
      <c r="P2592" s="54">
        <f t="shared" si="436"/>
        <v>25</v>
      </c>
      <c r="Q2592" s="54"/>
      <c r="R2592" s="283">
        <v>25</v>
      </c>
      <c r="S2592" s="53">
        <f t="shared" si="437"/>
        <v>0</v>
      </c>
      <c r="T2592" s="315">
        <f t="shared" si="438"/>
        <v>480</v>
      </c>
      <c r="U2592" s="84">
        <f t="shared" si="439"/>
        <v>0</v>
      </c>
      <c r="V2592" s="84">
        <f t="shared" si="440"/>
        <v>0</v>
      </c>
      <c r="W2592" s="84">
        <v>0</v>
      </c>
      <c r="X2592" s="55">
        <f t="shared" si="441"/>
        <v>46153</v>
      </c>
    </row>
    <row r="2593" spans="1:24" s="221" customFormat="1" ht="26.5" hidden="1" x14ac:dyDescent="0.35">
      <c r="A2593" s="46">
        <f t="shared" si="442"/>
        <v>46153</v>
      </c>
      <c r="B2593" s="46"/>
      <c r="C2593" s="46"/>
      <c r="D2593" s="46"/>
      <c r="E2593" s="47" t="s">
        <v>3566</v>
      </c>
      <c r="F2593" s="99" t="s">
        <v>165</v>
      </c>
      <c r="G2593" s="99"/>
      <c r="H2593" s="107" t="s">
        <v>3608</v>
      </c>
      <c r="I2593" s="71" t="s">
        <v>126</v>
      </c>
      <c r="J2593" s="100" t="s">
        <v>140</v>
      </c>
      <c r="K2593" s="91">
        <v>0</v>
      </c>
      <c r="L2593" s="91">
        <v>0</v>
      </c>
      <c r="M2593" s="92">
        <v>180</v>
      </c>
      <c r="N2593" s="94">
        <v>100</v>
      </c>
      <c r="O2593" s="253">
        <v>1</v>
      </c>
      <c r="P2593" s="94">
        <f t="shared" si="436"/>
        <v>100</v>
      </c>
      <c r="Q2593" s="94"/>
      <c r="R2593" s="283">
        <v>100</v>
      </c>
      <c r="S2593" s="92">
        <f t="shared" si="437"/>
        <v>0</v>
      </c>
      <c r="T2593" s="173">
        <f t="shared" si="438"/>
        <v>480</v>
      </c>
      <c r="U2593" s="101">
        <f t="shared" si="439"/>
        <v>0</v>
      </c>
      <c r="V2593" s="101">
        <f t="shared" si="440"/>
        <v>0</v>
      </c>
      <c r="W2593" s="101">
        <v>0</v>
      </c>
      <c r="X2593" s="55">
        <f t="shared" si="441"/>
        <v>46153</v>
      </c>
    </row>
    <row r="2594" spans="1:24" s="221" customFormat="1" ht="26.5" hidden="1" x14ac:dyDescent="0.35">
      <c r="A2594" s="46">
        <f t="shared" si="442"/>
        <v>46153</v>
      </c>
      <c r="B2594" s="46"/>
      <c r="C2594" s="46"/>
      <c r="D2594" s="46"/>
      <c r="E2594" s="47" t="s">
        <v>3566</v>
      </c>
      <c r="F2594" s="99" t="s">
        <v>165</v>
      </c>
      <c r="G2594" s="99"/>
      <c r="H2594" s="107" t="s">
        <v>3609</v>
      </c>
      <c r="I2594" s="71" t="s">
        <v>106</v>
      </c>
      <c r="J2594" s="100" t="s">
        <v>140</v>
      </c>
      <c r="K2594" s="91">
        <v>0</v>
      </c>
      <c r="L2594" s="91">
        <v>0</v>
      </c>
      <c r="M2594" s="92">
        <v>180</v>
      </c>
      <c r="N2594" s="94">
        <v>50</v>
      </c>
      <c r="O2594" s="253">
        <v>1</v>
      </c>
      <c r="P2594" s="94">
        <f t="shared" si="436"/>
        <v>50</v>
      </c>
      <c r="Q2594" s="94"/>
      <c r="R2594" s="283">
        <v>50</v>
      </c>
      <c r="S2594" s="92">
        <f t="shared" si="437"/>
        <v>0</v>
      </c>
      <c r="T2594" s="173">
        <f t="shared" si="438"/>
        <v>480</v>
      </c>
      <c r="U2594" s="101">
        <f t="shared" si="439"/>
        <v>0</v>
      </c>
      <c r="V2594" s="101">
        <f t="shared" si="440"/>
        <v>0</v>
      </c>
      <c r="W2594" s="101">
        <v>0</v>
      </c>
      <c r="X2594" s="55">
        <f t="shared" si="441"/>
        <v>46153</v>
      </c>
    </row>
    <row r="2595" spans="1:24" s="221" customFormat="1" ht="26.5" hidden="1" x14ac:dyDescent="0.35">
      <c r="A2595" s="46">
        <f t="shared" si="442"/>
        <v>46153</v>
      </c>
      <c r="B2595" s="46"/>
      <c r="C2595" s="46"/>
      <c r="D2595" s="46"/>
      <c r="E2595" s="47" t="s">
        <v>3566</v>
      </c>
      <c r="F2595" s="99" t="s">
        <v>165</v>
      </c>
      <c r="G2595" s="99"/>
      <c r="H2595" s="107" t="s">
        <v>3595</v>
      </c>
      <c r="I2595" s="71" t="s">
        <v>3596</v>
      </c>
      <c r="J2595" s="100" t="s">
        <v>140</v>
      </c>
      <c r="K2595" s="91">
        <v>0</v>
      </c>
      <c r="L2595" s="91">
        <v>0</v>
      </c>
      <c r="M2595" s="92">
        <v>180</v>
      </c>
      <c r="N2595" s="94">
        <v>25</v>
      </c>
      <c r="O2595" s="253">
        <v>1</v>
      </c>
      <c r="P2595" s="94">
        <f t="shared" si="436"/>
        <v>25</v>
      </c>
      <c r="Q2595" s="94"/>
      <c r="R2595" s="283">
        <v>25</v>
      </c>
      <c r="S2595" s="92">
        <f t="shared" si="437"/>
        <v>0</v>
      </c>
      <c r="T2595" s="173">
        <f t="shared" si="438"/>
        <v>480</v>
      </c>
      <c r="U2595" s="101">
        <f t="shared" si="439"/>
        <v>0</v>
      </c>
      <c r="V2595" s="101">
        <f t="shared" si="440"/>
        <v>0</v>
      </c>
      <c r="W2595" s="101">
        <v>0</v>
      </c>
      <c r="X2595" s="55">
        <f t="shared" si="441"/>
        <v>46153</v>
      </c>
    </row>
    <row r="2596" spans="1:24" s="221" customFormat="1" ht="26.5" hidden="1" x14ac:dyDescent="0.35">
      <c r="A2596" s="46">
        <f t="shared" si="442"/>
        <v>46153</v>
      </c>
      <c r="B2596" s="46"/>
      <c r="C2596" s="46"/>
      <c r="D2596" s="46"/>
      <c r="E2596" s="47" t="s">
        <v>3566</v>
      </c>
      <c r="F2596" s="99" t="s">
        <v>165</v>
      </c>
      <c r="G2596" s="99"/>
      <c r="H2596" s="107" t="s">
        <v>3610</v>
      </c>
      <c r="I2596" s="71" t="s">
        <v>123</v>
      </c>
      <c r="J2596" s="100" t="s">
        <v>140</v>
      </c>
      <c r="K2596" s="91">
        <v>0</v>
      </c>
      <c r="L2596" s="91">
        <v>0</v>
      </c>
      <c r="M2596" s="92">
        <v>180</v>
      </c>
      <c r="N2596" s="94">
        <v>100</v>
      </c>
      <c r="O2596" s="253">
        <v>1</v>
      </c>
      <c r="P2596" s="94">
        <f t="shared" si="436"/>
        <v>100</v>
      </c>
      <c r="Q2596" s="94"/>
      <c r="R2596" s="283">
        <v>100</v>
      </c>
      <c r="S2596" s="92">
        <f t="shared" si="437"/>
        <v>0</v>
      </c>
      <c r="T2596" s="173">
        <f t="shared" si="438"/>
        <v>480</v>
      </c>
      <c r="U2596" s="101">
        <f t="shared" si="439"/>
        <v>0</v>
      </c>
      <c r="V2596" s="101">
        <f t="shared" si="440"/>
        <v>0</v>
      </c>
      <c r="W2596" s="101">
        <v>0</v>
      </c>
      <c r="X2596" s="55">
        <f t="shared" si="441"/>
        <v>46153</v>
      </c>
    </row>
    <row r="2597" spans="1:24" s="221" customFormat="1" hidden="1" x14ac:dyDescent="0.35">
      <c r="A2597" s="46">
        <f t="shared" si="442"/>
        <v>46153</v>
      </c>
      <c r="B2597" s="46"/>
      <c r="C2597" s="46"/>
      <c r="D2597" s="46"/>
      <c r="E2597" s="47" t="s">
        <v>3566</v>
      </c>
      <c r="F2597" s="99" t="s">
        <v>900</v>
      </c>
      <c r="G2597" s="99"/>
      <c r="H2597" s="107" t="s">
        <v>3611</v>
      </c>
      <c r="I2597" s="71" t="s">
        <v>126</v>
      </c>
      <c r="J2597" s="100" t="s">
        <v>140</v>
      </c>
      <c r="K2597" s="91">
        <v>0</v>
      </c>
      <c r="L2597" s="91">
        <v>0</v>
      </c>
      <c r="M2597" s="92">
        <v>180</v>
      </c>
      <c r="N2597" s="94">
        <v>100</v>
      </c>
      <c r="O2597" s="253">
        <v>1</v>
      </c>
      <c r="P2597" s="94">
        <f t="shared" si="436"/>
        <v>100</v>
      </c>
      <c r="Q2597" s="94"/>
      <c r="R2597" s="283">
        <v>100</v>
      </c>
      <c r="S2597" s="92">
        <f t="shared" si="437"/>
        <v>0</v>
      </c>
      <c r="T2597" s="173">
        <f t="shared" si="438"/>
        <v>480</v>
      </c>
      <c r="U2597" s="101">
        <f t="shared" si="439"/>
        <v>0</v>
      </c>
      <c r="V2597" s="101">
        <f t="shared" si="440"/>
        <v>0</v>
      </c>
      <c r="W2597" s="101">
        <v>0</v>
      </c>
      <c r="X2597" s="55">
        <f t="shared" si="441"/>
        <v>46153</v>
      </c>
    </row>
    <row r="2598" spans="1:24" s="221" customFormat="1" hidden="1" x14ac:dyDescent="0.35">
      <c r="A2598" s="46">
        <f t="shared" si="442"/>
        <v>46153</v>
      </c>
      <c r="B2598" s="46"/>
      <c r="C2598" s="46"/>
      <c r="D2598" s="46"/>
      <c r="E2598" s="47" t="s">
        <v>3566</v>
      </c>
      <c r="F2598" s="56" t="s">
        <v>900</v>
      </c>
      <c r="G2598" s="56"/>
      <c r="H2598" s="59" t="s">
        <v>3612</v>
      </c>
      <c r="I2598" s="82" t="s">
        <v>119</v>
      </c>
      <c r="J2598" s="100" t="s">
        <v>140</v>
      </c>
      <c r="K2598" s="52">
        <v>0</v>
      </c>
      <c r="L2598" s="52">
        <v>0</v>
      </c>
      <c r="M2598" s="53">
        <v>180</v>
      </c>
      <c r="N2598" s="54">
        <v>50</v>
      </c>
      <c r="O2598" s="341">
        <v>1</v>
      </c>
      <c r="P2598" s="54">
        <f t="shared" si="436"/>
        <v>50</v>
      </c>
      <c r="Q2598" s="54"/>
      <c r="R2598" s="283">
        <v>50</v>
      </c>
      <c r="S2598" s="53">
        <f t="shared" si="437"/>
        <v>0</v>
      </c>
      <c r="T2598" s="315">
        <f t="shared" si="438"/>
        <v>480</v>
      </c>
      <c r="U2598" s="84">
        <f t="shared" si="439"/>
        <v>0</v>
      </c>
      <c r="V2598" s="84">
        <f t="shared" si="440"/>
        <v>0</v>
      </c>
      <c r="W2598" s="84">
        <v>0</v>
      </c>
      <c r="X2598" s="55">
        <f t="shared" si="441"/>
        <v>46153</v>
      </c>
    </row>
    <row r="2599" spans="1:24" s="221" customFormat="1" hidden="1" x14ac:dyDescent="0.35">
      <c r="A2599" s="46">
        <f t="shared" si="442"/>
        <v>46153</v>
      </c>
      <c r="B2599" s="46"/>
      <c r="C2599" s="46"/>
      <c r="D2599" s="46"/>
      <c r="E2599" s="47" t="s">
        <v>3566</v>
      </c>
      <c r="F2599" s="56" t="s">
        <v>900</v>
      </c>
      <c r="G2599" s="56"/>
      <c r="H2599" s="59" t="s">
        <v>3613</v>
      </c>
      <c r="I2599" s="71" t="s">
        <v>3577</v>
      </c>
      <c r="J2599" s="100" t="s">
        <v>140</v>
      </c>
      <c r="K2599" s="52">
        <v>0</v>
      </c>
      <c r="L2599" s="52">
        <v>0</v>
      </c>
      <c r="M2599" s="53">
        <v>180</v>
      </c>
      <c r="N2599" s="54">
        <v>50</v>
      </c>
      <c r="O2599" s="341">
        <v>1</v>
      </c>
      <c r="P2599" s="54">
        <f t="shared" si="436"/>
        <v>50</v>
      </c>
      <c r="Q2599" s="54"/>
      <c r="R2599" s="283">
        <v>50</v>
      </c>
      <c r="S2599" s="53">
        <f t="shared" si="437"/>
        <v>0</v>
      </c>
      <c r="T2599" s="315">
        <f t="shared" si="438"/>
        <v>480</v>
      </c>
      <c r="U2599" s="84">
        <f t="shared" si="439"/>
        <v>0</v>
      </c>
      <c r="V2599" s="84">
        <f t="shared" si="440"/>
        <v>0</v>
      </c>
      <c r="W2599" s="84">
        <v>0</v>
      </c>
      <c r="X2599" s="55">
        <f t="shared" si="441"/>
        <v>46153</v>
      </c>
    </row>
    <row r="2600" spans="1:24" s="221" customFormat="1" hidden="1" x14ac:dyDescent="0.35">
      <c r="A2600" s="46">
        <f t="shared" si="442"/>
        <v>46153</v>
      </c>
      <c r="B2600" s="46"/>
      <c r="C2600" s="46"/>
      <c r="D2600" s="46"/>
      <c r="E2600" s="47" t="s">
        <v>3566</v>
      </c>
      <c r="F2600" s="56" t="s">
        <v>900</v>
      </c>
      <c r="G2600" s="56"/>
      <c r="H2600" s="107" t="s">
        <v>3614</v>
      </c>
      <c r="I2600" s="71" t="s">
        <v>106</v>
      </c>
      <c r="J2600" s="100" t="s">
        <v>140</v>
      </c>
      <c r="K2600" s="91">
        <v>0</v>
      </c>
      <c r="L2600" s="91">
        <v>0</v>
      </c>
      <c r="M2600" s="92">
        <v>180</v>
      </c>
      <c r="N2600" s="94">
        <v>150</v>
      </c>
      <c r="O2600" s="253">
        <v>1</v>
      </c>
      <c r="P2600" s="94">
        <f t="shared" si="436"/>
        <v>150</v>
      </c>
      <c r="Q2600" s="94"/>
      <c r="R2600" s="283">
        <v>150</v>
      </c>
      <c r="S2600" s="92">
        <f t="shared" si="437"/>
        <v>0</v>
      </c>
      <c r="T2600" s="173">
        <f t="shared" si="438"/>
        <v>480</v>
      </c>
      <c r="U2600" s="101">
        <f t="shared" si="439"/>
        <v>0</v>
      </c>
      <c r="V2600" s="101">
        <f t="shared" si="440"/>
        <v>0</v>
      </c>
      <c r="W2600" s="101">
        <v>0</v>
      </c>
      <c r="X2600" s="55">
        <f t="shared" si="441"/>
        <v>46153</v>
      </c>
    </row>
    <row r="2601" spans="1:24" s="221" customFormat="1" hidden="1" x14ac:dyDescent="0.35">
      <c r="A2601" s="46">
        <f t="shared" si="442"/>
        <v>46153</v>
      </c>
      <c r="B2601" s="46"/>
      <c r="C2601" s="46"/>
      <c r="D2601" s="46"/>
      <c r="E2601" s="47" t="s">
        <v>3566</v>
      </c>
      <c r="F2601" s="56" t="s">
        <v>900</v>
      </c>
      <c r="G2601" s="56"/>
      <c r="H2601" s="59" t="s">
        <v>3615</v>
      </c>
      <c r="I2601" s="71" t="s">
        <v>139</v>
      </c>
      <c r="J2601" s="100" t="s">
        <v>140</v>
      </c>
      <c r="K2601" s="52">
        <v>0</v>
      </c>
      <c r="L2601" s="52">
        <v>0</v>
      </c>
      <c r="M2601" s="53">
        <v>180</v>
      </c>
      <c r="N2601" s="54">
        <v>100</v>
      </c>
      <c r="O2601" s="341">
        <v>1</v>
      </c>
      <c r="P2601" s="54">
        <f t="shared" si="436"/>
        <v>100</v>
      </c>
      <c r="Q2601" s="54"/>
      <c r="R2601" s="283">
        <v>100</v>
      </c>
      <c r="S2601" s="53">
        <f t="shared" si="437"/>
        <v>0</v>
      </c>
      <c r="T2601" s="315">
        <f t="shared" si="438"/>
        <v>480</v>
      </c>
      <c r="U2601" s="84">
        <f t="shared" si="439"/>
        <v>0</v>
      </c>
      <c r="V2601" s="84">
        <f t="shared" si="440"/>
        <v>0</v>
      </c>
      <c r="W2601" s="84">
        <v>0</v>
      </c>
      <c r="X2601" s="55">
        <f t="shared" si="441"/>
        <v>46153</v>
      </c>
    </row>
    <row r="2602" spans="1:24" s="221" customFormat="1" hidden="1" x14ac:dyDescent="0.35">
      <c r="A2602" s="46">
        <f t="shared" si="442"/>
        <v>46153</v>
      </c>
      <c r="B2602" s="46"/>
      <c r="C2602" s="46"/>
      <c r="D2602" s="46"/>
      <c r="E2602" s="47" t="s">
        <v>3566</v>
      </c>
      <c r="F2602" s="56" t="s">
        <v>900</v>
      </c>
      <c r="G2602" s="56"/>
      <c r="H2602" s="107" t="s">
        <v>3616</v>
      </c>
      <c r="I2602" s="71" t="s">
        <v>3596</v>
      </c>
      <c r="J2602" s="100" t="s">
        <v>140</v>
      </c>
      <c r="K2602" s="91">
        <v>0</v>
      </c>
      <c r="L2602" s="91">
        <v>0</v>
      </c>
      <c r="M2602" s="92">
        <v>180</v>
      </c>
      <c r="N2602" s="94">
        <v>50</v>
      </c>
      <c r="O2602" s="253">
        <v>1</v>
      </c>
      <c r="P2602" s="94">
        <f t="shared" si="436"/>
        <v>50</v>
      </c>
      <c r="Q2602" s="94"/>
      <c r="R2602" s="283">
        <v>50</v>
      </c>
      <c r="S2602" s="92">
        <f t="shared" si="437"/>
        <v>0</v>
      </c>
      <c r="T2602" s="173">
        <f t="shared" si="438"/>
        <v>480</v>
      </c>
      <c r="U2602" s="101">
        <f t="shared" si="439"/>
        <v>0</v>
      </c>
      <c r="V2602" s="101">
        <f t="shared" si="440"/>
        <v>0</v>
      </c>
      <c r="W2602" s="101">
        <v>0</v>
      </c>
      <c r="X2602" s="55">
        <f t="shared" si="441"/>
        <v>46153</v>
      </c>
    </row>
    <row r="2603" spans="1:24" s="221" customFormat="1" hidden="1" x14ac:dyDescent="0.35">
      <c r="A2603" s="46">
        <f t="shared" si="442"/>
        <v>46153</v>
      </c>
      <c r="B2603" s="46"/>
      <c r="C2603" s="46"/>
      <c r="D2603" s="46"/>
      <c r="E2603" s="47" t="s">
        <v>3566</v>
      </c>
      <c r="F2603" s="56"/>
      <c r="G2603" s="56"/>
      <c r="H2603" s="59" t="s">
        <v>3617</v>
      </c>
      <c r="I2603" s="71" t="s">
        <v>139</v>
      </c>
      <c r="J2603" s="100" t="s">
        <v>140</v>
      </c>
      <c r="K2603" s="52">
        <v>0</v>
      </c>
      <c r="L2603" s="52">
        <v>0</v>
      </c>
      <c r="M2603" s="53">
        <v>180</v>
      </c>
      <c r="N2603" s="54">
        <v>100</v>
      </c>
      <c r="O2603" s="341">
        <v>1</v>
      </c>
      <c r="P2603" s="54">
        <f t="shared" si="436"/>
        <v>100</v>
      </c>
      <c r="Q2603" s="54"/>
      <c r="R2603" s="283">
        <v>100</v>
      </c>
      <c r="S2603" s="53">
        <f t="shared" si="437"/>
        <v>0</v>
      </c>
      <c r="T2603" s="315">
        <f t="shared" si="438"/>
        <v>480</v>
      </c>
      <c r="U2603" s="84">
        <f t="shared" si="439"/>
        <v>0</v>
      </c>
      <c r="V2603" s="84">
        <f t="shared" si="440"/>
        <v>0</v>
      </c>
      <c r="W2603" s="84">
        <v>0</v>
      </c>
      <c r="X2603" s="55">
        <f t="shared" si="441"/>
        <v>46153</v>
      </c>
    </row>
    <row r="2604" spans="1:24" s="221" customFormat="1" hidden="1" x14ac:dyDescent="0.35">
      <c r="A2604" s="46">
        <f t="shared" si="442"/>
        <v>46153</v>
      </c>
      <c r="B2604" s="46"/>
      <c r="C2604" s="46"/>
      <c r="D2604" s="46"/>
      <c r="E2604" s="47" t="s">
        <v>3566</v>
      </c>
      <c r="F2604" s="56"/>
      <c r="G2604" s="56"/>
      <c r="H2604" s="59" t="s">
        <v>3618</v>
      </c>
      <c r="I2604" s="71" t="s">
        <v>155</v>
      </c>
      <c r="J2604" s="100" t="s">
        <v>140</v>
      </c>
      <c r="K2604" s="52">
        <v>0</v>
      </c>
      <c r="L2604" s="52">
        <v>0</v>
      </c>
      <c r="M2604" s="53">
        <v>180</v>
      </c>
      <c r="N2604" s="54">
        <v>100</v>
      </c>
      <c r="O2604" s="341">
        <v>1</v>
      </c>
      <c r="P2604" s="54">
        <f t="shared" si="436"/>
        <v>100</v>
      </c>
      <c r="Q2604" s="54"/>
      <c r="R2604" s="283">
        <v>100</v>
      </c>
      <c r="S2604" s="53">
        <f t="shared" si="437"/>
        <v>0</v>
      </c>
      <c r="T2604" s="315">
        <f t="shared" si="438"/>
        <v>480</v>
      </c>
      <c r="U2604" s="84">
        <f t="shared" si="439"/>
        <v>0</v>
      </c>
      <c r="V2604" s="84">
        <f t="shared" si="440"/>
        <v>0</v>
      </c>
      <c r="W2604" s="84">
        <v>0</v>
      </c>
      <c r="X2604" s="55">
        <f t="shared" si="441"/>
        <v>46153</v>
      </c>
    </row>
    <row r="2605" spans="1:24" s="221" customFormat="1" hidden="1" x14ac:dyDescent="0.35">
      <c r="A2605" s="46">
        <f t="shared" si="442"/>
        <v>46153</v>
      </c>
      <c r="B2605" s="46"/>
      <c r="C2605" s="46"/>
      <c r="D2605" s="46"/>
      <c r="E2605" s="47" t="s">
        <v>3566</v>
      </c>
      <c r="F2605" s="99"/>
      <c r="G2605" s="99"/>
      <c r="H2605" s="107" t="s">
        <v>3619</v>
      </c>
      <c r="I2605" s="82" t="s">
        <v>130</v>
      </c>
      <c r="J2605" s="100" t="s">
        <v>140</v>
      </c>
      <c r="K2605" s="91">
        <v>0</v>
      </c>
      <c r="L2605" s="91">
        <v>0</v>
      </c>
      <c r="M2605" s="92">
        <v>180</v>
      </c>
      <c r="N2605" s="94">
        <v>100</v>
      </c>
      <c r="O2605" s="253">
        <v>1</v>
      </c>
      <c r="P2605" s="94">
        <f t="shared" si="436"/>
        <v>100</v>
      </c>
      <c r="Q2605" s="94"/>
      <c r="R2605" s="283">
        <v>100</v>
      </c>
      <c r="S2605" s="92">
        <f t="shared" si="437"/>
        <v>0</v>
      </c>
      <c r="T2605" s="173">
        <f t="shared" si="438"/>
        <v>480</v>
      </c>
      <c r="U2605" s="101">
        <f t="shared" si="439"/>
        <v>0</v>
      </c>
      <c r="V2605" s="101">
        <f t="shared" si="440"/>
        <v>0</v>
      </c>
      <c r="W2605" s="101">
        <v>0</v>
      </c>
      <c r="X2605" s="55">
        <f t="shared" si="441"/>
        <v>46153</v>
      </c>
    </row>
    <row r="2606" spans="1:24" s="221" customFormat="1" hidden="1" x14ac:dyDescent="0.35">
      <c r="A2606" s="46">
        <f t="shared" si="442"/>
        <v>46153</v>
      </c>
      <c r="B2606" s="46"/>
      <c r="C2606" s="46"/>
      <c r="D2606" s="46"/>
      <c r="E2606" s="47" t="s">
        <v>3566</v>
      </c>
      <c r="F2606" s="99"/>
      <c r="G2606" s="99"/>
      <c r="H2606" s="107" t="s">
        <v>3620</v>
      </c>
      <c r="I2606" s="82" t="s">
        <v>3577</v>
      </c>
      <c r="J2606" s="100" t="s">
        <v>140</v>
      </c>
      <c r="K2606" s="91">
        <v>0</v>
      </c>
      <c r="L2606" s="91">
        <v>0</v>
      </c>
      <c r="M2606" s="92">
        <v>180</v>
      </c>
      <c r="N2606" s="94">
        <v>100</v>
      </c>
      <c r="O2606" s="253">
        <v>1</v>
      </c>
      <c r="P2606" s="94">
        <f t="shared" si="436"/>
        <v>100</v>
      </c>
      <c r="Q2606" s="94"/>
      <c r="R2606" s="283">
        <v>100</v>
      </c>
      <c r="S2606" s="92">
        <f t="shared" si="437"/>
        <v>0</v>
      </c>
      <c r="T2606" s="173">
        <f t="shared" si="438"/>
        <v>480</v>
      </c>
      <c r="U2606" s="101">
        <f t="shared" si="439"/>
        <v>0</v>
      </c>
      <c r="V2606" s="101">
        <f t="shared" si="440"/>
        <v>0</v>
      </c>
      <c r="W2606" s="101">
        <v>0</v>
      </c>
      <c r="X2606" s="55">
        <f t="shared" si="441"/>
        <v>46153</v>
      </c>
    </row>
    <row r="2607" spans="1:24" s="221" customFormat="1" hidden="1" x14ac:dyDescent="0.35">
      <c r="A2607" s="46">
        <f t="shared" si="442"/>
        <v>46153</v>
      </c>
      <c r="B2607" s="46"/>
      <c r="C2607" s="46"/>
      <c r="D2607" s="46"/>
      <c r="E2607" s="47" t="s">
        <v>3566</v>
      </c>
      <c r="F2607" s="99"/>
      <c r="G2607" s="99"/>
      <c r="H2607" s="107" t="s">
        <v>3621</v>
      </c>
      <c r="I2607" s="708" t="s">
        <v>119</v>
      </c>
      <c r="J2607" s="100" t="s">
        <v>140</v>
      </c>
      <c r="K2607" s="91">
        <v>0</v>
      </c>
      <c r="L2607" s="91">
        <v>0</v>
      </c>
      <c r="M2607" s="92">
        <v>180</v>
      </c>
      <c r="N2607" s="94">
        <v>50</v>
      </c>
      <c r="O2607" s="253">
        <v>1</v>
      </c>
      <c r="P2607" s="94">
        <f t="shared" si="436"/>
        <v>50</v>
      </c>
      <c r="Q2607" s="94"/>
      <c r="R2607" s="283">
        <v>50</v>
      </c>
      <c r="S2607" s="92">
        <f t="shared" si="437"/>
        <v>0</v>
      </c>
      <c r="T2607" s="173">
        <f t="shared" si="438"/>
        <v>480</v>
      </c>
      <c r="U2607" s="101">
        <f t="shared" si="439"/>
        <v>0</v>
      </c>
      <c r="V2607" s="101">
        <f t="shared" si="440"/>
        <v>0</v>
      </c>
      <c r="W2607" s="101">
        <v>0</v>
      </c>
      <c r="X2607" s="55">
        <f t="shared" si="441"/>
        <v>46153</v>
      </c>
    </row>
    <row r="2608" spans="1:24" s="221" customFormat="1" hidden="1" x14ac:dyDescent="0.35">
      <c r="A2608" s="46">
        <f t="shared" si="442"/>
        <v>46153</v>
      </c>
      <c r="B2608" s="46"/>
      <c r="C2608" s="46"/>
      <c r="D2608" s="46"/>
      <c r="E2608" s="47" t="s">
        <v>3566</v>
      </c>
      <c r="F2608" s="99"/>
      <c r="G2608" s="99"/>
      <c r="H2608" s="107" t="s">
        <v>3622</v>
      </c>
      <c r="I2608" s="71" t="s">
        <v>3580</v>
      </c>
      <c r="J2608" s="100" t="s">
        <v>140</v>
      </c>
      <c r="K2608" s="91">
        <v>0</v>
      </c>
      <c r="L2608" s="91">
        <v>0</v>
      </c>
      <c r="M2608" s="92">
        <v>180</v>
      </c>
      <c r="N2608" s="94">
        <v>150</v>
      </c>
      <c r="O2608" s="253">
        <v>1</v>
      </c>
      <c r="P2608" s="94">
        <f t="shared" si="436"/>
        <v>150</v>
      </c>
      <c r="Q2608" s="94"/>
      <c r="R2608" s="283">
        <v>150</v>
      </c>
      <c r="S2608" s="92">
        <f t="shared" si="437"/>
        <v>0</v>
      </c>
      <c r="T2608" s="173">
        <f t="shared" si="438"/>
        <v>480</v>
      </c>
      <c r="U2608" s="101">
        <f t="shared" si="439"/>
        <v>0</v>
      </c>
      <c r="V2608" s="101">
        <f t="shared" si="440"/>
        <v>0</v>
      </c>
      <c r="W2608" s="101">
        <v>0</v>
      </c>
      <c r="X2608" s="55">
        <f t="shared" si="441"/>
        <v>46153</v>
      </c>
    </row>
    <row r="2609" spans="1:24" s="221" customFormat="1" hidden="1" x14ac:dyDescent="0.35">
      <c r="A2609" s="46">
        <f t="shared" si="442"/>
        <v>46153</v>
      </c>
      <c r="B2609" s="46"/>
      <c r="C2609" s="46"/>
      <c r="D2609" s="46"/>
      <c r="E2609" s="47" t="s">
        <v>3566</v>
      </c>
      <c r="F2609" s="99"/>
      <c r="G2609" s="99"/>
      <c r="H2609" s="107" t="s">
        <v>3623</v>
      </c>
      <c r="I2609" s="71" t="s">
        <v>123</v>
      </c>
      <c r="J2609" s="100" t="s">
        <v>140</v>
      </c>
      <c r="K2609" s="91">
        <v>0</v>
      </c>
      <c r="L2609" s="91">
        <v>0</v>
      </c>
      <c r="M2609" s="92">
        <v>180</v>
      </c>
      <c r="N2609" s="94">
        <v>100</v>
      </c>
      <c r="O2609" s="253">
        <v>1</v>
      </c>
      <c r="P2609" s="94">
        <f t="shared" si="436"/>
        <v>100</v>
      </c>
      <c r="Q2609" s="94"/>
      <c r="R2609" s="283">
        <v>100</v>
      </c>
      <c r="S2609" s="92">
        <f t="shared" si="437"/>
        <v>0</v>
      </c>
      <c r="T2609" s="173">
        <f t="shared" si="438"/>
        <v>480</v>
      </c>
      <c r="U2609" s="101">
        <f t="shared" si="439"/>
        <v>0</v>
      </c>
      <c r="V2609" s="101">
        <f t="shared" si="440"/>
        <v>0</v>
      </c>
      <c r="W2609" s="101">
        <v>0</v>
      </c>
      <c r="X2609" s="55">
        <f t="shared" si="441"/>
        <v>46153</v>
      </c>
    </row>
    <row r="2610" spans="1:24" s="221" customFormat="1" hidden="1" x14ac:dyDescent="0.35">
      <c r="A2610" s="46">
        <f t="shared" si="442"/>
        <v>46153</v>
      </c>
      <c r="B2610" s="46"/>
      <c r="C2610" s="46"/>
      <c r="D2610" s="46"/>
      <c r="E2610" s="47" t="s">
        <v>3566</v>
      </c>
      <c r="F2610" s="99"/>
      <c r="G2610" s="99"/>
      <c r="H2610" s="107" t="s">
        <v>3624</v>
      </c>
      <c r="I2610" s="71" t="s">
        <v>155</v>
      </c>
      <c r="J2610" s="100" t="s">
        <v>140</v>
      </c>
      <c r="K2610" s="91">
        <v>0</v>
      </c>
      <c r="L2610" s="91">
        <v>0</v>
      </c>
      <c r="M2610" s="92">
        <v>180</v>
      </c>
      <c r="N2610" s="94">
        <v>150</v>
      </c>
      <c r="O2610" s="253">
        <v>1</v>
      </c>
      <c r="P2610" s="94">
        <f t="shared" si="436"/>
        <v>150</v>
      </c>
      <c r="Q2610" s="94"/>
      <c r="R2610" s="283">
        <v>150</v>
      </c>
      <c r="S2610" s="92">
        <f t="shared" si="437"/>
        <v>0</v>
      </c>
      <c r="T2610" s="173">
        <f t="shared" si="438"/>
        <v>480</v>
      </c>
      <c r="U2610" s="101">
        <f t="shared" si="439"/>
        <v>0</v>
      </c>
      <c r="V2610" s="101">
        <f t="shared" si="440"/>
        <v>0</v>
      </c>
      <c r="W2610" s="101">
        <v>0</v>
      </c>
      <c r="X2610" s="55">
        <f t="shared" si="441"/>
        <v>46153</v>
      </c>
    </row>
    <row r="2611" spans="1:24" s="613" customFormat="1" ht="25" hidden="1" customHeight="1" x14ac:dyDescent="0.35">
      <c r="A2611" s="123">
        <f>X2610</f>
        <v>46153</v>
      </c>
      <c r="B2611" s="123"/>
      <c r="C2611" s="123"/>
      <c r="D2611" s="123"/>
      <c r="E2611" s="124" t="s">
        <v>3566</v>
      </c>
      <c r="F2611" s="125" t="s">
        <v>2823</v>
      </c>
      <c r="G2611" s="125" t="s">
        <v>2832</v>
      </c>
      <c r="H2611" s="188" t="s">
        <v>3625</v>
      </c>
      <c r="I2611" s="161" t="s">
        <v>106</v>
      </c>
      <c r="J2611" s="175" t="s">
        <v>140</v>
      </c>
      <c r="K2611" s="129">
        <v>0</v>
      </c>
      <c r="L2611" s="129">
        <v>0</v>
      </c>
      <c r="M2611" s="130">
        <v>180</v>
      </c>
      <c r="N2611" s="131">
        <v>100</v>
      </c>
      <c r="O2611" s="189">
        <v>1</v>
      </c>
      <c r="P2611" s="131">
        <f t="shared" si="436"/>
        <v>100</v>
      </c>
      <c r="Q2611" s="131"/>
      <c r="R2611" s="176">
        <v>100</v>
      </c>
      <c r="S2611" s="130">
        <f t="shared" si="437"/>
        <v>0</v>
      </c>
      <c r="T2611" s="168">
        <f t="shared" si="438"/>
        <v>480</v>
      </c>
      <c r="U2611" s="163">
        <f t="shared" si="439"/>
        <v>0</v>
      </c>
      <c r="V2611" s="163">
        <f t="shared" si="440"/>
        <v>0</v>
      </c>
      <c r="W2611" s="163">
        <v>0</v>
      </c>
      <c r="X2611" s="137">
        <f t="shared" si="441"/>
        <v>46153</v>
      </c>
    </row>
    <row r="2612" spans="1:24" s="613" customFormat="1" ht="25" hidden="1" customHeight="1" x14ac:dyDescent="0.35">
      <c r="A2612" s="123">
        <f t="shared" ref="A2612:A2613" si="443">X2611</f>
        <v>46153</v>
      </c>
      <c r="B2612" s="123"/>
      <c r="C2612" s="123"/>
      <c r="D2612" s="123"/>
      <c r="E2612" s="124" t="s">
        <v>3566</v>
      </c>
      <c r="F2612" s="125" t="s">
        <v>2823</v>
      </c>
      <c r="G2612" s="187" t="s">
        <v>359</v>
      </c>
      <c r="H2612" s="188" t="s">
        <v>3626</v>
      </c>
      <c r="I2612" s="161" t="s">
        <v>3569</v>
      </c>
      <c r="J2612" s="175" t="s">
        <v>140</v>
      </c>
      <c r="K2612" s="586">
        <v>0</v>
      </c>
      <c r="L2612" s="586">
        <v>0</v>
      </c>
      <c r="M2612" s="263">
        <v>180</v>
      </c>
      <c r="N2612" s="607">
        <v>50</v>
      </c>
      <c r="O2612" s="608">
        <v>1</v>
      </c>
      <c r="P2612" s="607">
        <f t="shared" si="436"/>
        <v>50</v>
      </c>
      <c r="Q2612" s="607"/>
      <c r="R2612" s="176">
        <v>50</v>
      </c>
      <c r="S2612" s="263">
        <f t="shared" si="437"/>
        <v>0</v>
      </c>
      <c r="T2612" s="587">
        <f t="shared" si="438"/>
        <v>480</v>
      </c>
      <c r="U2612" s="570">
        <f t="shared" si="439"/>
        <v>0</v>
      </c>
      <c r="V2612" s="570">
        <f t="shared" si="440"/>
        <v>0</v>
      </c>
      <c r="W2612" s="570">
        <v>0</v>
      </c>
      <c r="X2612" s="137">
        <f t="shared" si="441"/>
        <v>46153</v>
      </c>
    </row>
    <row r="2613" spans="1:24" s="221" customFormat="1" ht="25" hidden="1" customHeight="1" x14ac:dyDescent="0.35">
      <c r="A2613" s="123">
        <f t="shared" si="443"/>
        <v>46153</v>
      </c>
      <c r="B2613" s="123"/>
      <c r="C2613" s="123"/>
      <c r="D2613" s="123"/>
      <c r="E2613" s="124" t="s">
        <v>3566</v>
      </c>
      <c r="F2613" s="125" t="s">
        <v>2823</v>
      </c>
      <c r="G2613" s="125" t="s">
        <v>359</v>
      </c>
      <c r="H2613" s="188" t="s">
        <v>3627</v>
      </c>
      <c r="I2613" s="161" t="s">
        <v>3596</v>
      </c>
      <c r="J2613" s="175" t="s">
        <v>140</v>
      </c>
      <c r="K2613" s="586">
        <v>0</v>
      </c>
      <c r="L2613" s="586">
        <v>0.2</v>
      </c>
      <c r="M2613" s="263">
        <v>180</v>
      </c>
      <c r="N2613" s="607">
        <v>50</v>
      </c>
      <c r="O2613" s="608">
        <v>1</v>
      </c>
      <c r="P2613" s="607">
        <f t="shared" si="436"/>
        <v>50</v>
      </c>
      <c r="Q2613" s="607"/>
      <c r="R2613" s="176">
        <v>50</v>
      </c>
      <c r="S2613" s="263">
        <f t="shared" si="437"/>
        <v>0</v>
      </c>
      <c r="T2613" s="587">
        <f t="shared" si="438"/>
        <v>480</v>
      </c>
      <c r="U2613" s="570">
        <f t="shared" si="439"/>
        <v>0</v>
      </c>
      <c r="V2613" s="570">
        <f t="shared" si="440"/>
        <v>0</v>
      </c>
      <c r="W2613" s="570">
        <v>0</v>
      </c>
      <c r="X2613" s="137">
        <f t="shared" si="441"/>
        <v>46153.2</v>
      </c>
    </row>
    <row r="2614" spans="1:24" s="613" customFormat="1" ht="25" hidden="1" customHeight="1" x14ac:dyDescent="0.35">
      <c r="A2614" s="123">
        <f>X2613</f>
        <v>46153.2</v>
      </c>
      <c r="B2614" s="123">
        <v>46086</v>
      </c>
      <c r="C2614" s="190">
        <f t="shared" ref="C2614:C2617" si="444">B2614-A2614</f>
        <v>-67.19999999999709</v>
      </c>
      <c r="D2614" s="190" t="s">
        <v>3628</v>
      </c>
      <c r="E2614" s="124" t="s">
        <v>3566</v>
      </c>
      <c r="F2614" s="125" t="s">
        <v>2823</v>
      </c>
      <c r="G2614" s="125" t="s">
        <v>359</v>
      </c>
      <c r="H2614" s="188" t="s">
        <v>3629</v>
      </c>
      <c r="I2614" s="159" t="s">
        <v>119</v>
      </c>
      <c r="J2614" s="175" t="s">
        <v>140</v>
      </c>
      <c r="K2614" s="129">
        <v>0</v>
      </c>
      <c r="L2614" s="129">
        <v>0.2</v>
      </c>
      <c r="M2614" s="130">
        <v>180</v>
      </c>
      <c r="N2614" s="131">
        <v>50</v>
      </c>
      <c r="O2614" s="189">
        <v>1</v>
      </c>
      <c r="P2614" s="131">
        <f t="shared" si="436"/>
        <v>50</v>
      </c>
      <c r="Q2614" s="185">
        <v>0.8</v>
      </c>
      <c r="R2614" s="176">
        <v>50</v>
      </c>
      <c r="S2614" s="164">
        <f t="shared" si="437"/>
        <v>0</v>
      </c>
      <c r="T2614" s="168">
        <f t="shared" ref="T2614:T2617" si="445">((3600/M2614)*O2614)*24*Q2614</f>
        <v>384</v>
      </c>
      <c r="U2614" s="163">
        <f t="shared" ref="U2614:U2617" si="446">(P2614-R2614)*M2614/3600/Q2614</f>
        <v>0</v>
      </c>
      <c r="V2614" s="163">
        <f t="shared" ref="V2614:V2617" si="447">U2614/24</f>
        <v>0</v>
      </c>
      <c r="W2614" s="163">
        <v>0</v>
      </c>
      <c r="X2614" s="137">
        <f t="shared" si="441"/>
        <v>46153.399999999994</v>
      </c>
    </row>
    <row r="2615" spans="1:24" s="613" customFormat="1" ht="25" hidden="1" customHeight="1" x14ac:dyDescent="0.35">
      <c r="A2615" s="123">
        <f t="shared" ref="A2615:A2618" si="448">X2614</f>
        <v>46153.399999999994</v>
      </c>
      <c r="B2615" s="123">
        <v>46087.325520833321</v>
      </c>
      <c r="C2615" s="183">
        <f>B2615-A2615</f>
        <v>-66.074479166672972</v>
      </c>
      <c r="D2615" s="190" t="s">
        <v>3628</v>
      </c>
      <c r="E2615" s="124" t="s">
        <v>3566</v>
      </c>
      <c r="F2615" s="125" t="s">
        <v>2823</v>
      </c>
      <c r="G2615" s="125" t="s">
        <v>359</v>
      </c>
      <c r="H2615" s="188" t="s">
        <v>3630</v>
      </c>
      <c r="I2615" s="161" t="s">
        <v>121</v>
      </c>
      <c r="J2615" s="175" t="s">
        <v>140</v>
      </c>
      <c r="K2615" s="129">
        <v>0</v>
      </c>
      <c r="L2615" s="129">
        <v>0.2</v>
      </c>
      <c r="M2615" s="130">
        <v>180</v>
      </c>
      <c r="N2615" s="131">
        <v>100</v>
      </c>
      <c r="O2615" s="189">
        <v>1</v>
      </c>
      <c r="P2615" s="131">
        <f>N2615/O2615</f>
        <v>100</v>
      </c>
      <c r="Q2615" s="185">
        <v>0.8</v>
      </c>
      <c r="R2615" s="176">
        <v>100</v>
      </c>
      <c r="S2615" s="164">
        <f>P2615-R2615</f>
        <v>0</v>
      </c>
      <c r="T2615" s="168">
        <f t="shared" si="445"/>
        <v>384</v>
      </c>
      <c r="U2615" s="163">
        <f t="shared" si="446"/>
        <v>0</v>
      </c>
      <c r="V2615" s="163">
        <f>U2615/24</f>
        <v>0</v>
      </c>
      <c r="W2615" s="163">
        <v>0</v>
      </c>
      <c r="X2615" s="137">
        <f>A2615+K2615+V2615+W2615+L2615</f>
        <v>46153.599999999991</v>
      </c>
    </row>
    <row r="2616" spans="1:24" s="541" customFormat="1" ht="25" customHeight="1" x14ac:dyDescent="0.35">
      <c r="A2616" s="193">
        <f t="shared" si="448"/>
        <v>46153.599999999991</v>
      </c>
      <c r="B2616" s="193">
        <v>46137</v>
      </c>
      <c r="C2616" s="267">
        <f t="shared" si="444"/>
        <v>-16.599999999991269</v>
      </c>
      <c r="D2616" s="194"/>
      <c r="E2616" s="195" t="s">
        <v>3566</v>
      </c>
      <c r="F2616" s="112" t="s">
        <v>2823</v>
      </c>
      <c r="G2616" s="112" t="s">
        <v>359</v>
      </c>
      <c r="H2616" s="524" t="s">
        <v>3631</v>
      </c>
      <c r="I2616" s="192" t="s">
        <v>3588</v>
      </c>
      <c r="J2616" s="114" t="s">
        <v>140</v>
      </c>
      <c r="K2616" s="482">
        <v>0</v>
      </c>
      <c r="L2616" s="482">
        <v>0.2</v>
      </c>
      <c r="M2616" s="199">
        <v>180</v>
      </c>
      <c r="N2616" s="483">
        <v>75</v>
      </c>
      <c r="O2616" s="484">
        <v>1</v>
      </c>
      <c r="P2616" s="483">
        <f t="shared" si="436"/>
        <v>75</v>
      </c>
      <c r="Q2616" s="198">
        <v>0.8</v>
      </c>
      <c r="R2616" s="270"/>
      <c r="S2616" s="116">
        <f t="shared" si="437"/>
        <v>75</v>
      </c>
      <c r="T2616" s="200">
        <f t="shared" si="445"/>
        <v>384</v>
      </c>
      <c r="U2616" s="115">
        <f t="shared" si="446"/>
        <v>4.6875</v>
      </c>
      <c r="V2616" s="115">
        <f t="shared" si="447"/>
        <v>0.1953125</v>
      </c>
      <c r="W2616" s="115">
        <v>0</v>
      </c>
      <c r="X2616" s="201">
        <f t="shared" si="441"/>
        <v>46153.995312499988</v>
      </c>
    </row>
    <row r="2617" spans="1:24" s="613" customFormat="1" ht="25" hidden="1" customHeight="1" x14ac:dyDescent="0.35">
      <c r="A2617" s="123">
        <f t="shared" si="448"/>
        <v>46153.995312499988</v>
      </c>
      <c r="B2617" s="123">
        <v>46086.925520833327</v>
      </c>
      <c r="C2617" s="272">
        <f t="shared" si="444"/>
        <v>-67.069791666661331</v>
      </c>
      <c r="D2617" s="286" t="s">
        <v>3628</v>
      </c>
      <c r="E2617" s="124" t="s">
        <v>3566</v>
      </c>
      <c r="F2617" s="125" t="s">
        <v>2823</v>
      </c>
      <c r="G2617" s="125" t="s">
        <v>359</v>
      </c>
      <c r="H2617" s="188" t="s">
        <v>3632</v>
      </c>
      <c r="I2617" s="161" t="s">
        <v>126</v>
      </c>
      <c r="J2617" s="175" t="s">
        <v>140</v>
      </c>
      <c r="K2617" s="129">
        <v>0</v>
      </c>
      <c r="L2617" s="129">
        <v>0.2</v>
      </c>
      <c r="M2617" s="130">
        <v>180</v>
      </c>
      <c r="N2617" s="131">
        <v>100</v>
      </c>
      <c r="O2617" s="189">
        <v>1</v>
      </c>
      <c r="P2617" s="131">
        <f t="shared" si="436"/>
        <v>100</v>
      </c>
      <c r="Q2617" s="282">
        <v>0.8</v>
      </c>
      <c r="R2617" s="176">
        <v>100</v>
      </c>
      <c r="S2617" s="279">
        <f t="shared" si="437"/>
        <v>0</v>
      </c>
      <c r="T2617" s="284">
        <f t="shared" si="445"/>
        <v>384</v>
      </c>
      <c r="U2617" s="278">
        <f t="shared" si="446"/>
        <v>0</v>
      </c>
      <c r="V2617" s="278">
        <f t="shared" si="447"/>
        <v>0</v>
      </c>
      <c r="W2617" s="278">
        <v>0</v>
      </c>
      <c r="X2617" s="137">
        <f t="shared" si="441"/>
        <v>46154.195312499985</v>
      </c>
    </row>
    <row r="2618" spans="1:24" s="613" customFormat="1" ht="25" hidden="1" customHeight="1" x14ac:dyDescent="0.35">
      <c r="A2618" s="123">
        <f t="shared" si="448"/>
        <v>46154.195312499985</v>
      </c>
      <c r="B2618" s="123">
        <v>46087.125520833324</v>
      </c>
      <c r="C2618" s="123"/>
      <c r="D2618" s="286" t="s">
        <v>3628</v>
      </c>
      <c r="E2618" s="124" t="s">
        <v>3566</v>
      </c>
      <c r="F2618" s="125" t="s">
        <v>2823</v>
      </c>
      <c r="G2618" s="125" t="s">
        <v>359</v>
      </c>
      <c r="H2618" s="188" t="s">
        <v>3633</v>
      </c>
      <c r="I2618" s="161" t="s">
        <v>128</v>
      </c>
      <c r="J2618" s="175" t="s">
        <v>140</v>
      </c>
      <c r="K2618" s="129">
        <v>0</v>
      </c>
      <c r="L2618" s="129">
        <v>0.2</v>
      </c>
      <c r="M2618" s="130">
        <v>180</v>
      </c>
      <c r="N2618" s="131">
        <v>100</v>
      </c>
      <c r="O2618" s="189">
        <v>1</v>
      </c>
      <c r="P2618" s="131">
        <f t="shared" si="436"/>
        <v>100</v>
      </c>
      <c r="Q2618" s="131"/>
      <c r="R2618" s="176">
        <v>100</v>
      </c>
      <c r="S2618" s="130">
        <f t="shared" si="437"/>
        <v>0</v>
      </c>
      <c r="T2618" s="168">
        <f t="shared" ref="T2618" si="449">((3600/M2618)*O2618)*24</f>
        <v>480</v>
      </c>
      <c r="U2618" s="163">
        <f t="shared" ref="U2618" si="450">(P2618-R2618)*M2618/3600</f>
        <v>0</v>
      </c>
      <c r="V2618" s="163">
        <f t="shared" ref="V2618" si="451">(P2618-R2618)*M2618/3600/24</f>
        <v>0</v>
      </c>
      <c r="W2618" s="163">
        <v>0</v>
      </c>
      <c r="X2618" s="137">
        <f t="shared" si="441"/>
        <v>46154.395312499983</v>
      </c>
    </row>
    <row r="2619" spans="1:24" s="221" customFormat="1" ht="25" customHeight="1" x14ac:dyDescent="0.35">
      <c r="A2619" s="548"/>
      <c r="B2619" s="548"/>
      <c r="C2619" s="548"/>
      <c r="D2619" s="548"/>
      <c r="E2619" s="273"/>
      <c r="F2619" s="709"/>
      <c r="G2619" s="709"/>
      <c r="H2619" s="710"/>
      <c r="I2619" s="271"/>
      <c r="J2619" s="277"/>
      <c r="K2619" s="711"/>
      <c r="L2619" s="711"/>
      <c r="M2619" s="712"/>
      <c r="N2619" s="713"/>
      <c r="O2619" s="714"/>
      <c r="P2619" s="713"/>
      <c r="Q2619" s="713"/>
      <c r="R2619" s="283"/>
      <c r="S2619" s="712"/>
      <c r="T2619" s="715"/>
      <c r="U2619" s="716"/>
      <c r="V2619" s="716"/>
      <c r="W2619" s="716"/>
      <c r="X2619" s="285"/>
    </row>
    <row r="2620" spans="1:24" ht="34.5" x14ac:dyDescent="0.8">
      <c r="A2620" s="35" t="s">
        <v>3634</v>
      </c>
      <c r="B2620" s="35"/>
      <c r="C2620" s="35"/>
      <c r="D2620" s="35"/>
      <c r="E2620" s="36"/>
      <c r="F2620" s="36"/>
      <c r="G2620" s="44"/>
      <c r="H2620" s="44"/>
      <c r="I2620" s="44"/>
      <c r="J2620" s="213"/>
      <c r="K2620" s="717"/>
      <c r="L2620" s="718" t="s">
        <v>41</v>
      </c>
      <c r="M2620" s="36"/>
      <c r="N2620" s="36"/>
      <c r="O2620" s="36"/>
      <c r="P2620" s="36"/>
      <c r="Q2620" s="36"/>
      <c r="R2620" s="40"/>
      <c r="S2620" s="719"/>
      <c r="T2620" s="40"/>
      <c r="U2620" s="44"/>
      <c r="V2620" s="44"/>
      <c r="W2620" s="42"/>
      <c r="X2620" s="43"/>
    </row>
    <row r="2621" spans="1:24" hidden="1" x14ac:dyDescent="0.35">
      <c r="A2621" s="123">
        <f>S7</f>
        <v>46153</v>
      </c>
      <c r="B2621" s="123"/>
      <c r="C2621" s="123"/>
      <c r="D2621" s="123"/>
      <c r="E2621" s="124" t="s">
        <v>3635</v>
      </c>
      <c r="F2621" s="125" t="s">
        <v>3636</v>
      </c>
      <c r="G2621" s="125" t="s">
        <v>3508</v>
      </c>
      <c r="H2621" s="126" t="s">
        <v>162</v>
      </c>
      <c r="I2621" s="159" t="s">
        <v>3637</v>
      </c>
      <c r="J2621" s="128" t="s">
        <v>140</v>
      </c>
      <c r="K2621" s="129">
        <v>0</v>
      </c>
      <c r="L2621" s="129">
        <v>0</v>
      </c>
      <c r="M2621" s="720">
        <v>2.86</v>
      </c>
      <c r="N2621" s="131">
        <v>9000</v>
      </c>
      <c r="O2621" s="130">
        <v>1</v>
      </c>
      <c r="P2621" s="131">
        <f t="shared" ref="P2621:P2627" si="452">N2621/O2621</f>
        <v>9000</v>
      </c>
      <c r="Q2621" s="131"/>
      <c r="R2621" s="130">
        <v>9000</v>
      </c>
      <c r="S2621" s="131">
        <f t="shared" ref="S2621" si="453">P2621-R2621</f>
        <v>0</v>
      </c>
      <c r="T2621" s="130">
        <f t="shared" ref="T2621" si="454">((3600/M2621)*O2621)*24</f>
        <v>30209.790209790212</v>
      </c>
      <c r="U2621" s="129">
        <f t="shared" ref="U2621" si="455">(P2621-R2621)*M2621/3600</f>
        <v>0</v>
      </c>
      <c r="V2621" s="129">
        <f t="shared" ref="V2621" si="456">(P2621-R2621)*M2621/3600/24</f>
        <v>0</v>
      </c>
      <c r="W2621" s="129">
        <v>0</v>
      </c>
      <c r="X2621" s="137">
        <f t="shared" ref="X2621:X2625" si="457">A2621+K2621+L2621+V2621+W2621</f>
        <v>46153</v>
      </c>
    </row>
    <row r="2622" spans="1:24" ht="25" hidden="1" customHeight="1" x14ac:dyDescent="0.35">
      <c r="A2622" s="123">
        <f>X2621</f>
        <v>46153</v>
      </c>
      <c r="B2622" s="123"/>
      <c r="C2622" s="123"/>
      <c r="D2622" s="123"/>
      <c r="E2622" s="124" t="s">
        <v>3635</v>
      </c>
      <c r="F2622" s="125" t="s">
        <v>3638</v>
      </c>
      <c r="G2622" s="125" t="s">
        <v>792</v>
      </c>
      <c r="H2622" s="126" t="s">
        <v>3639</v>
      </c>
      <c r="I2622" s="159" t="s">
        <v>3637</v>
      </c>
      <c r="J2622" s="128" t="s">
        <v>140</v>
      </c>
      <c r="K2622" s="129">
        <v>0</v>
      </c>
      <c r="L2622" s="129">
        <v>0.2</v>
      </c>
      <c r="M2622" s="720">
        <v>2.86</v>
      </c>
      <c r="N2622" s="131">
        <v>25200</v>
      </c>
      <c r="O2622" s="130">
        <v>1</v>
      </c>
      <c r="P2622" s="131">
        <f t="shared" si="452"/>
        <v>25200</v>
      </c>
      <c r="Q2622" s="131"/>
      <c r="R2622" s="130">
        <v>25200</v>
      </c>
      <c r="S2622" s="131">
        <f>P2622-R2622</f>
        <v>0</v>
      </c>
      <c r="T2622" s="130">
        <f>((3600/M2622)*O2622)*24</f>
        <v>30209.790209790212</v>
      </c>
      <c r="U2622" s="129">
        <f>(P2622-R2622)*M2622/3600</f>
        <v>0</v>
      </c>
      <c r="V2622" s="129">
        <f>(P2622-R2622)*M2622/3600/24</f>
        <v>0</v>
      </c>
      <c r="W2622" s="129">
        <v>0</v>
      </c>
      <c r="X2622" s="137">
        <f t="shared" si="457"/>
        <v>46153.2</v>
      </c>
    </row>
    <row r="2623" spans="1:24" ht="25" hidden="1" customHeight="1" x14ac:dyDescent="0.35">
      <c r="A2623" s="123">
        <f t="shared" ref="A2623:A2624" si="458">X2622</f>
        <v>46153.2</v>
      </c>
      <c r="B2623" s="123"/>
      <c r="C2623" s="123"/>
      <c r="D2623" s="123"/>
      <c r="E2623" s="124" t="s">
        <v>3635</v>
      </c>
      <c r="F2623" s="125" t="s">
        <v>3640</v>
      </c>
      <c r="G2623" s="125" t="s">
        <v>3508</v>
      </c>
      <c r="H2623" s="126" t="s">
        <v>3641</v>
      </c>
      <c r="I2623" s="159" t="s">
        <v>3642</v>
      </c>
      <c r="J2623" s="128" t="s">
        <v>140</v>
      </c>
      <c r="K2623" s="129">
        <v>0</v>
      </c>
      <c r="L2623" s="129">
        <v>0</v>
      </c>
      <c r="M2623" s="720">
        <v>2.86</v>
      </c>
      <c r="N2623" s="131">
        <v>9000</v>
      </c>
      <c r="O2623" s="130">
        <v>1</v>
      </c>
      <c r="P2623" s="131">
        <f t="shared" si="452"/>
        <v>9000</v>
      </c>
      <c r="Q2623" s="131"/>
      <c r="R2623" s="130">
        <v>9000</v>
      </c>
      <c r="S2623" s="131">
        <f>P2623-R2623</f>
        <v>0</v>
      </c>
      <c r="T2623" s="130">
        <f>((3600/M2623)*O2623)*24</f>
        <v>30209.790209790212</v>
      </c>
      <c r="U2623" s="129">
        <f>(P2623-R2623)*M2623/3600</f>
        <v>0</v>
      </c>
      <c r="V2623" s="129">
        <f>(P2623-R2623)*M2623/3600/24</f>
        <v>0</v>
      </c>
      <c r="W2623" s="129">
        <v>0</v>
      </c>
      <c r="X2623" s="137">
        <f t="shared" si="457"/>
        <v>46153.2</v>
      </c>
    </row>
    <row r="2624" spans="1:24" hidden="1" x14ac:dyDescent="0.35">
      <c r="A2624" s="123">
        <f t="shared" si="458"/>
        <v>46153.2</v>
      </c>
      <c r="B2624" s="123"/>
      <c r="C2624" s="123"/>
      <c r="D2624" s="123"/>
      <c r="E2624" s="124" t="s">
        <v>3635</v>
      </c>
      <c r="F2624" s="125" t="s">
        <v>3643</v>
      </c>
      <c r="G2624" s="125" t="s">
        <v>792</v>
      </c>
      <c r="H2624" s="126" t="s">
        <v>3644</v>
      </c>
      <c r="I2624" s="159" t="s">
        <v>3642</v>
      </c>
      <c r="J2624" s="128" t="s">
        <v>140</v>
      </c>
      <c r="K2624" s="129">
        <v>0</v>
      </c>
      <c r="L2624" s="129">
        <v>0</v>
      </c>
      <c r="M2624" s="720">
        <v>2.86</v>
      </c>
      <c r="N2624" s="131">
        <v>9000</v>
      </c>
      <c r="O2624" s="130">
        <v>1</v>
      </c>
      <c r="P2624" s="131">
        <f t="shared" si="452"/>
        <v>9000</v>
      </c>
      <c r="Q2624" s="131"/>
      <c r="R2624" s="130">
        <v>9000</v>
      </c>
      <c r="S2624" s="131">
        <f>P2624-R2624</f>
        <v>0</v>
      </c>
      <c r="T2624" s="130">
        <f>((3600/M2624)*O2624)*24</f>
        <v>30209.790209790212</v>
      </c>
      <c r="U2624" s="129">
        <f>(P2624-R2624)*M2624/3600</f>
        <v>0</v>
      </c>
      <c r="V2624" s="129">
        <f>(P2624-R2624)*M2624/3600/24</f>
        <v>0</v>
      </c>
      <c r="W2624" s="129">
        <v>0</v>
      </c>
      <c r="X2624" s="137">
        <f t="shared" si="457"/>
        <v>46153.2</v>
      </c>
    </row>
    <row r="2625" spans="1:24" s="186" customFormat="1" ht="25" hidden="1" customHeight="1" x14ac:dyDescent="0.35">
      <c r="A2625" s="123">
        <f>X2624</f>
        <v>46153.2</v>
      </c>
      <c r="B2625" s="161">
        <v>46084</v>
      </c>
      <c r="C2625" s="183">
        <f t="shared" ref="C2625:C2627" si="459">B2625-A2625</f>
        <v>-69.19999999999709</v>
      </c>
      <c r="D2625" s="183" t="s">
        <v>3645</v>
      </c>
      <c r="E2625" s="124" t="s">
        <v>3635</v>
      </c>
      <c r="F2625" s="125" t="s">
        <v>3646</v>
      </c>
      <c r="G2625" s="125"/>
      <c r="H2625" s="126" t="s">
        <v>3647</v>
      </c>
      <c r="I2625" s="159" t="s">
        <v>3648</v>
      </c>
      <c r="J2625" s="128" t="s">
        <v>140</v>
      </c>
      <c r="K2625" s="129">
        <v>0</v>
      </c>
      <c r="L2625" s="129">
        <v>0.2</v>
      </c>
      <c r="M2625" s="720">
        <v>2.86</v>
      </c>
      <c r="N2625" s="131">
        <v>700000</v>
      </c>
      <c r="O2625" s="130">
        <v>1</v>
      </c>
      <c r="P2625" s="131">
        <f t="shared" si="452"/>
        <v>700000</v>
      </c>
      <c r="Q2625" s="185">
        <v>0.8</v>
      </c>
      <c r="R2625" s="130">
        <v>700000</v>
      </c>
      <c r="S2625" s="164">
        <f t="shared" ref="S2625:S2627" si="460">P2625-R2625</f>
        <v>0</v>
      </c>
      <c r="T2625" s="168">
        <f t="shared" ref="T2625:T2627" si="461">((3600/M2625)*O2625)*24*Q2625</f>
        <v>24167.83216783217</v>
      </c>
      <c r="U2625" s="163">
        <f t="shared" ref="U2625:U2627" si="462">(P2625-R2625)*M2625/3600/Q2625</f>
        <v>0</v>
      </c>
      <c r="V2625" s="163">
        <f t="shared" ref="V2625:V2627" si="463">U2625/24</f>
        <v>0</v>
      </c>
      <c r="W2625" s="163">
        <v>0</v>
      </c>
      <c r="X2625" s="137">
        <f t="shared" si="457"/>
        <v>46153.399999999994</v>
      </c>
    </row>
    <row r="2626" spans="1:24" s="186" customFormat="1" ht="25" hidden="1" customHeight="1" x14ac:dyDescent="0.35">
      <c r="A2626" s="123">
        <f t="shared" ref="A2626:A2627" si="464">X2625</f>
        <v>46153.399999999994</v>
      </c>
      <c r="B2626" s="161">
        <v>46116</v>
      </c>
      <c r="C2626" s="183">
        <f t="shared" si="459"/>
        <v>-37.399999999994179</v>
      </c>
      <c r="D2626" s="183"/>
      <c r="E2626" s="124" t="s">
        <v>3635</v>
      </c>
      <c r="F2626" s="125" t="s">
        <v>3646</v>
      </c>
      <c r="G2626" s="125"/>
      <c r="H2626" s="126" t="s">
        <v>3649</v>
      </c>
      <c r="I2626" s="159" t="s">
        <v>3648</v>
      </c>
      <c r="J2626" s="128" t="s">
        <v>140</v>
      </c>
      <c r="K2626" s="129">
        <v>0</v>
      </c>
      <c r="L2626" s="129">
        <v>0.2</v>
      </c>
      <c r="M2626" s="720">
        <v>2.86</v>
      </c>
      <c r="N2626" s="131">
        <v>200000</v>
      </c>
      <c r="O2626" s="130">
        <v>1</v>
      </c>
      <c r="P2626" s="131">
        <f t="shared" si="452"/>
        <v>200000</v>
      </c>
      <c r="Q2626" s="185">
        <v>0.8</v>
      </c>
      <c r="R2626" s="130">
        <v>200000</v>
      </c>
      <c r="S2626" s="164">
        <f t="shared" si="460"/>
        <v>0</v>
      </c>
      <c r="T2626" s="168">
        <f t="shared" si="461"/>
        <v>24167.83216783217</v>
      </c>
      <c r="U2626" s="163">
        <f t="shared" si="462"/>
        <v>0</v>
      </c>
      <c r="V2626" s="163">
        <f t="shared" si="463"/>
        <v>0</v>
      </c>
      <c r="W2626" s="163">
        <v>0</v>
      </c>
      <c r="X2626" s="137">
        <f>A2626+K2626+L2626+V2626+W2626</f>
        <v>46153.599999999991</v>
      </c>
    </row>
    <row r="2627" spans="1:24" s="202" customFormat="1" ht="25" customHeight="1" x14ac:dyDescent="0.35">
      <c r="A2627" s="193">
        <f t="shared" si="464"/>
        <v>46153.599999999991</v>
      </c>
      <c r="B2627" s="192">
        <v>46137</v>
      </c>
      <c r="C2627" s="267">
        <f t="shared" si="459"/>
        <v>-16.599999999991269</v>
      </c>
      <c r="D2627" s="267"/>
      <c r="E2627" s="195" t="s">
        <v>3635</v>
      </c>
      <c r="F2627" s="112" t="s">
        <v>3650</v>
      </c>
      <c r="G2627" s="112"/>
      <c r="H2627" s="113" t="s">
        <v>3651</v>
      </c>
      <c r="I2627" s="196" t="s">
        <v>3648</v>
      </c>
      <c r="J2627" s="383" t="s">
        <v>140</v>
      </c>
      <c r="K2627" s="482">
        <v>0</v>
      </c>
      <c r="L2627" s="482">
        <v>0.2</v>
      </c>
      <c r="M2627" s="721">
        <v>2.86</v>
      </c>
      <c r="N2627" s="483">
        <v>900000</v>
      </c>
      <c r="O2627" s="199">
        <v>1</v>
      </c>
      <c r="P2627" s="483">
        <f t="shared" si="452"/>
        <v>900000</v>
      </c>
      <c r="Q2627" s="198">
        <v>0.8</v>
      </c>
      <c r="R2627" s="199"/>
      <c r="S2627" s="116">
        <f t="shared" si="460"/>
        <v>900000</v>
      </c>
      <c r="T2627" s="200">
        <f t="shared" si="461"/>
        <v>24167.83216783217</v>
      </c>
      <c r="U2627" s="115">
        <f t="shared" si="462"/>
        <v>893.75</v>
      </c>
      <c r="V2627" s="115">
        <f t="shared" si="463"/>
        <v>37.239583333333336</v>
      </c>
      <c r="W2627" s="115">
        <v>0</v>
      </c>
      <c r="X2627" s="201">
        <f t="shared" ref="X2627" si="465">A2627+K2627+L2627+V2627+W2627</f>
        <v>46191.039583333324</v>
      </c>
    </row>
    <row r="2628" spans="1:24" ht="47.5" hidden="1" x14ac:dyDescent="1.1000000000000001">
      <c r="A2628" s="722" t="s">
        <v>3652</v>
      </c>
      <c r="B2628" s="722"/>
      <c r="C2628" s="722"/>
      <c r="D2628" s="722"/>
      <c r="E2628" s="723"/>
      <c r="F2628" s="724"/>
      <c r="G2628" s="724"/>
      <c r="H2628" s="725"/>
      <c r="I2628" s="726"/>
      <c r="J2628" s="726"/>
      <c r="K2628" s="727"/>
      <c r="L2628" s="727"/>
      <c r="M2628" s="728"/>
      <c r="N2628" s="729"/>
      <c r="O2628" s="730"/>
      <c r="P2628" s="727"/>
      <c r="Q2628" s="727"/>
      <c r="R2628" s="731"/>
      <c r="S2628" s="727"/>
      <c r="T2628" s="732"/>
      <c r="U2628" s="733"/>
      <c r="V2628" s="733"/>
      <c r="W2628" s="733"/>
      <c r="X2628" s="734"/>
    </row>
    <row r="2629" spans="1:24" s="221" customFormat="1" ht="30" hidden="1" customHeight="1" x14ac:dyDescent="0.35">
      <c r="A2629" s="548"/>
      <c r="B2629" s="548"/>
      <c r="C2629" s="548"/>
      <c r="D2629" s="548"/>
      <c r="E2629" s="273"/>
      <c r="F2629" s="709"/>
      <c r="G2629" s="709"/>
      <c r="H2629" s="735"/>
      <c r="I2629" s="271"/>
      <c r="J2629" s="277"/>
      <c r="K2629" s="563"/>
      <c r="L2629" s="563"/>
      <c r="M2629" s="564"/>
      <c r="N2629" s="565"/>
      <c r="O2629" s="566"/>
      <c r="P2629" s="565"/>
      <c r="Q2629" s="565"/>
      <c r="R2629" s="283"/>
      <c r="S2629" s="564"/>
      <c r="T2629" s="284"/>
      <c r="U2629" s="278"/>
      <c r="V2629" s="278"/>
      <c r="W2629" s="278"/>
      <c r="X2629" s="285"/>
    </row>
    <row r="2630" spans="1:24" s="221" customFormat="1" ht="30" hidden="1" customHeight="1" x14ac:dyDescent="0.35">
      <c r="A2630" s="548"/>
      <c r="B2630" s="548"/>
      <c r="C2630" s="548"/>
      <c r="D2630" s="548"/>
      <c r="E2630" s="273"/>
      <c r="F2630" s="709"/>
      <c r="G2630" s="709"/>
      <c r="H2630" s="735"/>
      <c r="I2630" s="736"/>
      <c r="J2630" s="277"/>
      <c r="K2630" s="563"/>
      <c r="L2630" s="563"/>
      <c r="M2630" s="564"/>
      <c r="N2630" s="565"/>
      <c r="O2630" s="566"/>
      <c r="P2630" s="565"/>
      <c r="Q2630" s="565"/>
      <c r="R2630" s="283"/>
      <c r="S2630" s="564"/>
      <c r="T2630" s="284"/>
      <c r="U2630" s="278"/>
      <c r="V2630" s="278"/>
      <c r="W2630" s="278"/>
      <c r="X2630" s="285"/>
    </row>
    <row r="2631" spans="1:24" s="221" customFormat="1" ht="30" hidden="1" customHeight="1" x14ac:dyDescent="0.35">
      <c r="A2631" s="548"/>
      <c r="B2631" s="548"/>
      <c r="C2631" s="548"/>
      <c r="D2631" s="548"/>
      <c r="E2631" s="273"/>
      <c r="F2631" s="709"/>
      <c r="G2631" s="709"/>
      <c r="H2631" s="735"/>
      <c r="I2631" s="561"/>
      <c r="J2631" s="277"/>
      <c r="K2631" s="563"/>
      <c r="L2631" s="563"/>
      <c r="M2631" s="564"/>
      <c r="N2631" s="565"/>
      <c r="O2631" s="566"/>
      <c r="P2631" s="565"/>
      <c r="Q2631" s="565"/>
      <c r="R2631" s="283"/>
      <c r="S2631" s="564"/>
      <c r="T2631" s="284"/>
      <c r="U2631" s="278"/>
      <c r="V2631" s="278"/>
      <c r="W2631" s="278"/>
      <c r="X2631" s="285"/>
    </row>
    <row r="2632" spans="1:24" s="221" customFormat="1" ht="30" hidden="1" customHeight="1" x14ac:dyDescent="0.35">
      <c r="A2632" s="548"/>
      <c r="B2632" s="548"/>
      <c r="C2632" s="548"/>
      <c r="D2632" s="548"/>
      <c r="E2632" s="273"/>
      <c r="F2632" s="709"/>
      <c r="G2632" s="709"/>
      <c r="H2632" s="735"/>
      <c r="I2632" s="736"/>
      <c r="J2632" s="277"/>
      <c r="K2632" s="563"/>
      <c r="L2632" s="563"/>
      <c r="M2632" s="564"/>
      <c r="N2632" s="565"/>
      <c r="O2632" s="566"/>
      <c r="P2632" s="565"/>
      <c r="Q2632" s="565"/>
      <c r="R2632" s="283"/>
      <c r="S2632" s="564"/>
      <c r="T2632" s="284"/>
      <c r="U2632" s="278"/>
      <c r="V2632" s="278"/>
      <c r="W2632" s="278"/>
      <c r="X2632" s="285"/>
    </row>
    <row r="2633" spans="1:24" s="221" customFormat="1" ht="30" hidden="1" customHeight="1" x14ac:dyDescent="0.35">
      <c r="A2633" s="548"/>
      <c r="B2633" s="548"/>
      <c r="C2633" s="548"/>
      <c r="D2633" s="548"/>
      <c r="E2633" s="273"/>
      <c r="F2633" s="709"/>
      <c r="G2633" s="709"/>
      <c r="H2633" s="735"/>
      <c r="I2633" s="737"/>
      <c r="J2633" s="277"/>
      <c r="K2633" s="563"/>
      <c r="L2633" s="563"/>
      <c r="M2633" s="564"/>
      <c r="N2633" s="565"/>
      <c r="O2633" s="566"/>
      <c r="P2633" s="565"/>
      <c r="Q2633" s="565"/>
      <c r="R2633" s="564"/>
      <c r="S2633" s="564"/>
      <c r="T2633" s="284"/>
      <c r="U2633" s="278"/>
      <c r="V2633" s="278"/>
      <c r="W2633" s="278"/>
      <c r="X2633" s="285"/>
    </row>
    <row r="2634" spans="1:24" s="221" customFormat="1" ht="30" hidden="1" customHeight="1" x14ac:dyDescent="0.35">
      <c r="A2634" s="548"/>
      <c r="B2634" s="548"/>
      <c r="C2634" s="548"/>
      <c r="D2634" s="548"/>
      <c r="E2634" s="273"/>
      <c r="F2634" s="709"/>
      <c r="G2634" s="709"/>
      <c r="H2634" s="735"/>
      <c r="I2634" s="738"/>
      <c r="J2634" s="277"/>
      <c r="K2634" s="563"/>
      <c r="L2634" s="563"/>
      <c r="M2634" s="564"/>
      <c r="N2634" s="565"/>
      <c r="O2634" s="566"/>
      <c r="P2634" s="565"/>
      <c r="Q2634" s="565"/>
      <c r="R2634" s="564"/>
      <c r="S2634" s="564"/>
      <c r="T2634" s="284"/>
      <c r="U2634" s="278"/>
      <c r="V2634" s="278"/>
      <c r="W2634" s="278"/>
      <c r="X2634" s="285"/>
    </row>
    <row r="2635" spans="1:24" s="221" customFormat="1" ht="30" hidden="1" customHeight="1" x14ac:dyDescent="0.35">
      <c r="A2635" s="548"/>
      <c r="B2635" s="548"/>
      <c r="C2635" s="548"/>
      <c r="D2635" s="548"/>
      <c r="E2635" s="273"/>
      <c r="F2635" s="709"/>
      <c r="G2635" s="709"/>
      <c r="H2635" s="735"/>
      <c r="I2635" s="736"/>
      <c r="J2635" s="277"/>
      <c r="K2635" s="563"/>
      <c r="L2635" s="563"/>
      <c r="M2635" s="564"/>
      <c r="N2635" s="565"/>
      <c r="O2635" s="566"/>
      <c r="P2635" s="565"/>
      <c r="Q2635" s="565"/>
      <c r="R2635" s="564"/>
      <c r="S2635" s="564"/>
      <c r="T2635" s="284"/>
      <c r="U2635" s="278"/>
      <c r="V2635" s="278"/>
      <c r="W2635" s="278"/>
      <c r="X2635" s="285"/>
    </row>
    <row r="2636" spans="1:24" s="221" customFormat="1" ht="30" hidden="1" customHeight="1" x14ac:dyDescent="0.35">
      <c r="A2636" s="548"/>
      <c r="B2636" s="548"/>
      <c r="C2636" s="548"/>
      <c r="D2636" s="548"/>
      <c r="E2636" s="273"/>
      <c r="F2636" s="709"/>
      <c r="G2636" s="709"/>
      <c r="H2636" s="735" t="s">
        <v>3653</v>
      </c>
      <c r="I2636" s="736" t="s">
        <v>3654</v>
      </c>
      <c r="J2636" s="277"/>
      <c r="K2636" s="563"/>
      <c r="L2636" s="563"/>
      <c r="M2636" s="564"/>
      <c r="N2636" s="565">
        <v>1000</v>
      </c>
      <c r="O2636" s="566"/>
      <c r="P2636" s="565"/>
      <c r="Q2636" s="565"/>
      <c r="R2636" s="564"/>
      <c r="S2636" s="564"/>
      <c r="T2636" s="284"/>
      <c r="U2636" s="278"/>
      <c r="V2636" s="278"/>
      <c r="W2636" s="278"/>
      <c r="X2636" s="285"/>
    </row>
    <row r="2637" spans="1:24" s="221" customFormat="1" ht="30" hidden="1" customHeight="1" x14ac:dyDescent="0.35">
      <c r="A2637" s="548"/>
      <c r="B2637" s="548"/>
      <c r="C2637" s="548"/>
      <c r="D2637" s="548"/>
      <c r="E2637" s="273"/>
      <c r="F2637" s="709"/>
      <c r="G2637" s="709"/>
      <c r="H2637" s="735" t="s">
        <v>3655</v>
      </c>
      <c r="I2637" s="736" t="s">
        <v>3656</v>
      </c>
      <c r="J2637" s="277"/>
      <c r="K2637" s="563"/>
      <c r="L2637" s="563"/>
      <c r="M2637" s="564"/>
      <c r="N2637" s="565">
        <v>1000</v>
      </c>
      <c r="O2637" s="566"/>
      <c r="P2637" s="565"/>
      <c r="Q2637" s="565"/>
      <c r="R2637" s="564"/>
      <c r="S2637" s="564"/>
      <c r="T2637" s="284"/>
      <c r="U2637" s="278"/>
      <c r="V2637" s="278"/>
      <c r="W2637" s="278"/>
      <c r="X2637" s="285"/>
    </row>
    <row r="2638" spans="1:24" s="221" customFormat="1" ht="15" hidden="1" customHeight="1" x14ac:dyDescent="0.35">
      <c r="A2638" s="548"/>
      <c r="B2638" s="548"/>
      <c r="C2638" s="548"/>
      <c r="D2638" s="548"/>
      <c r="E2638" s="273"/>
      <c r="F2638" s="709"/>
      <c r="G2638" s="709"/>
      <c r="H2638" s="735"/>
      <c r="I2638" s="739"/>
      <c r="J2638" s="277"/>
      <c r="K2638" s="563"/>
      <c r="L2638" s="563"/>
      <c r="M2638" s="564"/>
      <c r="N2638" s="565"/>
      <c r="O2638" s="566"/>
      <c r="P2638" s="565"/>
      <c r="Q2638" s="565"/>
      <c r="R2638" s="564"/>
      <c r="S2638" s="564"/>
      <c r="T2638" s="284"/>
      <c r="U2638" s="278"/>
      <c r="V2638" s="278"/>
      <c r="W2638" s="278"/>
      <c r="X2638" s="285"/>
    </row>
    <row r="2639" spans="1:24" s="221" customFormat="1" ht="15" customHeight="1" x14ac:dyDescent="0.35">
      <c r="A2639" s="548"/>
      <c r="B2639" s="548"/>
      <c r="C2639" s="548"/>
      <c r="D2639" s="548"/>
      <c r="E2639" s="273"/>
      <c r="F2639" s="709"/>
      <c r="G2639" s="709"/>
      <c r="H2639" s="735"/>
      <c r="I2639" s="739"/>
      <c r="J2639" s="277"/>
      <c r="K2639" s="563"/>
      <c r="L2639" s="563"/>
      <c r="M2639" s="564"/>
      <c r="N2639" s="565"/>
      <c r="O2639" s="566"/>
      <c r="P2639" s="565"/>
      <c r="Q2639" s="565"/>
      <c r="R2639" s="564"/>
      <c r="S2639" s="564"/>
      <c r="T2639" s="284"/>
      <c r="U2639" s="278"/>
      <c r="V2639" s="278"/>
      <c r="W2639" s="278"/>
      <c r="X2639" s="285"/>
    </row>
    <row r="2640" spans="1:24" ht="47.5" hidden="1" x14ac:dyDescent="1.1000000000000001">
      <c r="A2640" s="722" t="s">
        <v>3657</v>
      </c>
      <c r="B2640" s="722"/>
      <c r="C2640" s="722"/>
      <c r="D2640" s="722"/>
      <c r="E2640" s="723"/>
      <c r="F2640" s="724"/>
      <c r="G2640" s="724"/>
      <c r="H2640" s="740"/>
      <c r="I2640" s="726"/>
      <c r="J2640" s="726"/>
      <c r="K2640" s="727"/>
      <c r="L2640" s="727"/>
      <c r="M2640" s="728"/>
      <c r="N2640" s="729"/>
      <c r="O2640" s="730"/>
      <c r="P2640" s="727"/>
      <c r="Q2640" s="727"/>
      <c r="R2640" s="727"/>
      <c r="S2640" s="727"/>
      <c r="T2640" s="732"/>
      <c r="U2640" s="733"/>
      <c r="V2640" s="733"/>
      <c r="W2640" s="733"/>
      <c r="X2640" s="734"/>
    </row>
    <row r="2641" spans="1:24" hidden="1" x14ac:dyDescent="0.35">
      <c r="A2641" s="46">
        <f>R11</f>
        <v>1010</v>
      </c>
      <c r="B2641" s="46"/>
      <c r="C2641" s="46"/>
      <c r="D2641" s="46"/>
      <c r="E2641" s="47"/>
      <c r="F2641" s="48"/>
      <c r="G2641" s="48"/>
      <c r="H2641" s="49"/>
      <c r="I2641" s="82"/>
      <c r="J2641" s="100"/>
      <c r="K2641" s="52"/>
      <c r="L2641" s="52">
        <v>0.2</v>
      </c>
      <c r="M2641" s="53">
        <v>100</v>
      </c>
      <c r="N2641" s="54">
        <v>1000</v>
      </c>
      <c r="O2641" s="341">
        <v>1</v>
      </c>
      <c r="P2641" s="54">
        <f>N2641/O2641</f>
        <v>1000</v>
      </c>
      <c r="Q2641" s="54"/>
      <c r="R2641" s="53">
        <v>0</v>
      </c>
      <c r="S2641" s="53">
        <f>P2641-R2641</f>
        <v>1000</v>
      </c>
      <c r="T2641" s="315">
        <f>((3600/M2641)*O2641)*24</f>
        <v>864</v>
      </c>
      <c r="U2641" s="84">
        <f>(P2641-R2641)*M2641/3600</f>
        <v>27.777777777777779</v>
      </c>
      <c r="V2641" s="84">
        <f>(P2641-R2641)*M2641/3600/24</f>
        <v>1.1574074074074074</v>
      </c>
      <c r="W2641" s="84">
        <v>0</v>
      </c>
      <c r="X2641" s="55">
        <f>A2641+K2641+V2641+W2641+L2641</f>
        <v>1011.3574074074074</v>
      </c>
    </row>
    <row r="2642" spans="1:24" hidden="1" x14ac:dyDescent="0.35">
      <c r="A2642" s="46"/>
      <c r="B2642" s="46"/>
      <c r="C2642" s="46"/>
      <c r="D2642" s="46"/>
      <c r="E2642" s="47"/>
      <c r="F2642" s="48"/>
      <c r="G2642" s="48"/>
      <c r="H2642" s="49" t="s">
        <v>3658</v>
      </c>
      <c r="I2642" s="741" t="s">
        <v>3659</v>
      </c>
      <c r="J2642" s="100"/>
      <c r="K2642" s="52"/>
      <c r="L2642" s="52"/>
      <c r="M2642" s="53"/>
      <c r="N2642" s="54">
        <v>4000</v>
      </c>
      <c r="O2642" s="341"/>
      <c r="P2642" s="54"/>
      <c r="Q2642" s="54"/>
      <c r="R2642" s="53"/>
      <c r="S2642" s="53"/>
      <c r="T2642" s="315"/>
      <c r="U2642" s="84"/>
      <c r="V2642" s="84"/>
      <c r="W2642" s="84"/>
      <c r="X2642" s="55"/>
    </row>
    <row r="2643" spans="1:24" hidden="1" x14ac:dyDescent="0.35">
      <c r="A2643" s="46"/>
      <c r="B2643" s="46"/>
      <c r="C2643" s="46"/>
      <c r="D2643" s="46"/>
      <c r="E2643" s="47"/>
      <c r="F2643" s="48"/>
      <c r="G2643" s="48"/>
      <c r="H2643" s="49" t="s">
        <v>3660</v>
      </c>
      <c r="I2643" s="82" t="s">
        <v>3661</v>
      </c>
      <c r="J2643" s="100"/>
      <c r="K2643" s="52"/>
      <c r="L2643" s="52"/>
      <c r="M2643" s="53"/>
      <c r="N2643" s="54">
        <v>216</v>
      </c>
      <c r="O2643" s="341"/>
      <c r="P2643" s="54"/>
      <c r="Q2643" s="54"/>
      <c r="R2643" s="53"/>
      <c r="S2643" s="53"/>
      <c r="T2643" s="315"/>
      <c r="U2643" s="84"/>
      <c r="V2643" s="84"/>
      <c r="W2643" s="84"/>
      <c r="X2643" s="55"/>
    </row>
    <row r="2644" spans="1:24" hidden="1" x14ac:dyDescent="0.35">
      <c r="A2644" s="46"/>
      <c r="B2644" s="46"/>
      <c r="C2644" s="46"/>
      <c r="D2644" s="46"/>
      <c r="E2644" s="47"/>
      <c r="F2644" s="48"/>
      <c r="G2644" s="48"/>
      <c r="H2644" s="49" t="s">
        <v>3662</v>
      </c>
      <c r="I2644" s="82" t="s">
        <v>3663</v>
      </c>
      <c r="J2644" s="100"/>
      <c r="K2644" s="52"/>
      <c r="L2644" s="52"/>
      <c r="M2644" s="53"/>
      <c r="N2644" s="54">
        <v>4000</v>
      </c>
      <c r="O2644" s="341"/>
      <c r="P2644" s="54"/>
      <c r="Q2644" s="54"/>
      <c r="R2644" s="53"/>
      <c r="S2644" s="53"/>
      <c r="T2644" s="315"/>
      <c r="U2644" s="84"/>
      <c r="V2644" s="84"/>
      <c r="W2644" s="84"/>
      <c r="X2644" s="55"/>
    </row>
    <row r="2645" spans="1:24" hidden="1" x14ac:dyDescent="0.35">
      <c r="A2645" s="46"/>
      <c r="B2645" s="46"/>
      <c r="C2645" s="46"/>
      <c r="D2645" s="46"/>
      <c r="E2645" s="47"/>
      <c r="F2645" s="48"/>
      <c r="G2645" s="48"/>
      <c r="H2645" s="49" t="s">
        <v>3664</v>
      </c>
      <c r="I2645" s="82" t="s">
        <v>3665</v>
      </c>
      <c r="J2645" s="100"/>
      <c r="K2645" s="52"/>
      <c r="L2645" s="52"/>
      <c r="M2645" s="53"/>
      <c r="N2645" s="54">
        <v>4000</v>
      </c>
      <c r="O2645" s="341"/>
      <c r="P2645" s="54"/>
      <c r="Q2645" s="54"/>
      <c r="R2645" s="53"/>
      <c r="S2645" s="53"/>
      <c r="T2645" s="315"/>
      <c r="U2645" s="84"/>
      <c r="V2645" s="84"/>
      <c r="W2645" s="84"/>
      <c r="X2645" s="55"/>
    </row>
    <row r="2646" spans="1:24" hidden="1" x14ac:dyDescent="0.35">
      <c r="A2646" s="46"/>
      <c r="B2646" s="46"/>
      <c r="C2646" s="46"/>
      <c r="D2646" s="46"/>
      <c r="E2646" s="47"/>
      <c r="F2646" s="48"/>
      <c r="G2646" s="48"/>
      <c r="H2646" s="49" t="s">
        <v>3666</v>
      </c>
      <c r="I2646" s="82" t="s">
        <v>3667</v>
      </c>
      <c r="J2646" s="100"/>
      <c r="K2646" s="52"/>
      <c r="L2646" s="52"/>
      <c r="M2646" s="53"/>
      <c r="N2646" s="54">
        <v>1500</v>
      </c>
      <c r="O2646" s="341"/>
      <c r="P2646" s="54"/>
      <c r="Q2646" s="54"/>
      <c r="R2646" s="53"/>
      <c r="S2646" s="53"/>
      <c r="T2646" s="315"/>
      <c r="U2646" s="84"/>
      <c r="V2646" s="84"/>
      <c r="W2646" s="84"/>
      <c r="X2646" s="55"/>
    </row>
    <row r="2647" spans="1:24" ht="26.5" hidden="1" x14ac:dyDescent="0.35">
      <c r="A2647" s="46">
        <f>X2641</f>
        <v>1011.3574074074074</v>
      </c>
      <c r="B2647" s="46"/>
      <c r="C2647" s="46"/>
      <c r="D2647" s="46"/>
      <c r="E2647" s="47"/>
      <c r="F2647" s="48"/>
      <c r="G2647" s="48"/>
      <c r="H2647" s="49" t="s">
        <v>3668</v>
      </c>
      <c r="I2647" s="82" t="s">
        <v>3669</v>
      </c>
      <c r="J2647" s="100"/>
      <c r="K2647" s="52"/>
      <c r="L2647" s="52"/>
      <c r="M2647" s="53"/>
      <c r="N2647" s="54">
        <v>1900</v>
      </c>
      <c r="O2647" s="341"/>
      <c r="P2647" s="54"/>
      <c r="Q2647" s="54"/>
      <c r="R2647" s="53"/>
      <c r="S2647" s="53"/>
      <c r="T2647" s="315"/>
      <c r="U2647" s="84"/>
      <c r="V2647" s="84"/>
      <c r="W2647" s="84"/>
      <c r="X2647" s="55"/>
    </row>
    <row r="2648" spans="1:24" hidden="1" x14ac:dyDescent="0.35">
      <c r="A2648" s="46"/>
      <c r="B2648" s="46"/>
      <c r="C2648" s="46"/>
      <c r="D2648" s="46"/>
      <c r="E2648" s="47"/>
      <c r="F2648" s="48"/>
      <c r="G2648" s="48"/>
      <c r="H2648" s="49" t="s">
        <v>3670</v>
      </c>
      <c r="I2648" s="82" t="s">
        <v>3671</v>
      </c>
      <c r="J2648" s="100"/>
      <c r="K2648" s="52"/>
      <c r="L2648" s="52"/>
      <c r="M2648" s="53"/>
      <c r="N2648" s="54">
        <v>500</v>
      </c>
      <c r="O2648" s="341"/>
      <c r="P2648" s="54"/>
      <c r="Q2648" s="54"/>
      <c r="R2648" s="53"/>
      <c r="S2648" s="53"/>
      <c r="T2648" s="315"/>
      <c r="U2648" s="84"/>
      <c r="V2648" s="84"/>
      <c r="W2648" s="84"/>
      <c r="X2648" s="55"/>
    </row>
    <row r="2649" spans="1:24" hidden="1" x14ac:dyDescent="0.35">
      <c r="A2649" s="46"/>
      <c r="B2649" s="46"/>
      <c r="C2649" s="46"/>
      <c r="D2649" s="46"/>
      <c r="E2649" s="47"/>
      <c r="F2649" s="48"/>
      <c r="G2649" s="48"/>
      <c r="H2649" s="49" t="s">
        <v>3672</v>
      </c>
      <c r="I2649" s="82" t="s">
        <v>3673</v>
      </c>
      <c r="J2649" s="100"/>
      <c r="K2649" s="52"/>
      <c r="L2649" s="52"/>
      <c r="M2649" s="53"/>
      <c r="N2649" s="54">
        <v>1500</v>
      </c>
      <c r="O2649" s="341"/>
      <c r="P2649" s="54"/>
      <c r="Q2649" s="54"/>
      <c r="R2649" s="53"/>
      <c r="S2649" s="53"/>
      <c r="T2649" s="315"/>
      <c r="U2649" s="84"/>
      <c r="V2649" s="84"/>
      <c r="W2649" s="84"/>
      <c r="X2649" s="55"/>
    </row>
    <row r="2650" spans="1:24" hidden="1" x14ac:dyDescent="0.35">
      <c r="A2650" s="46"/>
      <c r="B2650" s="46"/>
      <c r="C2650" s="46"/>
      <c r="D2650" s="46"/>
      <c r="E2650" s="47"/>
      <c r="F2650" s="48"/>
      <c r="G2650" s="48"/>
      <c r="H2650" s="49" t="s">
        <v>3674</v>
      </c>
      <c r="I2650" s="82" t="s">
        <v>3675</v>
      </c>
      <c r="J2650" s="100"/>
      <c r="K2650" s="52"/>
      <c r="L2650" s="52"/>
      <c r="M2650" s="53"/>
      <c r="N2650" s="54">
        <v>1500</v>
      </c>
      <c r="O2650" s="341"/>
      <c r="P2650" s="54"/>
      <c r="Q2650" s="54"/>
      <c r="R2650" s="53"/>
      <c r="S2650" s="53"/>
      <c r="T2650" s="315"/>
      <c r="U2650" s="84"/>
      <c r="V2650" s="84"/>
      <c r="W2650" s="84"/>
      <c r="X2650" s="55"/>
    </row>
    <row r="2651" spans="1:24" hidden="1" x14ac:dyDescent="0.35">
      <c r="A2651" s="46"/>
      <c r="B2651" s="46"/>
      <c r="C2651" s="46"/>
      <c r="D2651" s="46"/>
      <c r="E2651" s="47"/>
      <c r="F2651" s="48"/>
      <c r="G2651" s="48"/>
      <c r="H2651" s="49" t="s">
        <v>3676</v>
      </c>
      <c r="I2651" s="82" t="s">
        <v>3677</v>
      </c>
      <c r="J2651" s="100"/>
      <c r="K2651" s="52"/>
      <c r="L2651" s="52"/>
      <c r="M2651" s="53"/>
      <c r="N2651" s="54">
        <v>5500</v>
      </c>
      <c r="O2651" s="341"/>
      <c r="P2651" s="54"/>
      <c r="Q2651" s="54"/>
      <c r="R2651" s="53"/>
      <c r="S2651" s="53"/>
      <c r="T2651" s="315"/>
      <c r="U2651" s="84"/>
      <c r="V2651" s="84"/>
      <c r="W2651" s="84"/>
      <c r="X2651" s="55"/>
    </row>
    <row r="2652" spans="1:24" hidden="1" x14ac:dyDescent="0.35">
      <c r="A2652" s="46"/>
      <c r="B2652" s="46"/>
      <c r="C2652" s="46"/>
      <c r="D2652" s="46"/>
      <c r="E2652" s="47"/>
      <c r="F2652" s="48"/>
      <c r="G2652" s="48"/>
      <c r="H2652" s="49" t="s">
        <v>3678</v>
      </c>
      <c r="I2652" s="82" t="s">
        <v>3679</v>
      </c>
      <c r="J2652" s="100"/>
      <c r="K2652" s="52"/>
      <c r="L2652" s="52"/>
      <c r="M2652" s="53"/>
      <c r="N2652" s="54">
        <v>2000</v>
      </c>
      <c r="O2652" s="341"/>
      <c r="P2652" s="54"/>
      <c r="Q2652" s="54"/>
      <c r="R2652" s="53"/>
      <c r="S2652" s="53"/>
      <c r="T2652" s="315"/>
      <c r="U2652" s="84"/>
      <c r="V2652" s="84"/>
      <c r="W2652" s="84"/>
      <c r="X2652" s="55"/>
    </row>
    <row r="2653" spans="1:24" hidden="1" x14ac:dyDescent="0.35">
      <c r="A2653" s="46"/>
      <c r="B2653" s="46"/>
      <c r="C2653" s="46"/>
      <c r="D2653" s="46"/>
      <c r="E2653" s="47"/>
      <c r="F2653" s="48"/>
      <c r="G2653" s="48"/>
      <c r="H2653" s="49" t="s">
        <v>3680</v>
      </c>
      <c r="I2653" s="82" t="s">
        <v>3681</v>
      </c>
      <c r="J2653" s="100"/>
      <c r="K2653" s="52"/>
      <c r="L2653" s="52"/>
      <c r="M2653" s="53"/>
      <c r="N2653" s="54">
        <v>4500</v>
      </c>
      <c r="O2653" s="341"/>
      <c r="P2653" s="54"/>
      <c r="Q2653" s="54"/>
      <c r="R2653" s="53"/>
      <c r="S2653" s="53"/>
      <c r="T2653" s="315"/>
      <c r="U2653" s="84"/>
      <c r="V2653" s="84"/>
      <c r="W2653" s="84"/>
      <c r="X2653" s="55"/>
    </row>
    <row r="2654" spans="1:24" hidden="1" x14ac:dyDescent="0.35">
      <c r="A2654" s="46"/>
      <c r="B2654" s="46"/>
      <c r="C2654" s="46"/>
      <c r="D2654" s="46"/>
      <c r="E2654" s="47"/>
      <c r="F2654" s="48"/>
      <c r="G2654" s="48"/>
      <c r="H2654" s="49" t="s">
        <v>3682</v>
      </c>
      <c r="I2654" s="82" t="s">
        <v>3683</v>
      </c>
      <c r="J2654" s="100"/>
      <c r="K2654" s="52"/>
      <c r="L2654" s="52"/>
      <c r="M2654" s="53"/>
      <c r="N2654" s="54">
        <v>2000</v>
      </c>
      <c r="O2654" s="341"/>
      <c r="P2654" s="54"/>
      <c r="Q2654" s="54"/>
      <c r="R2654" s="53"/>
      <c r="S2654" s="53"/>
      <c r="T2654" s="315"/>
      <c r="U2654" s="84"/>
      <c r="V2654" s="84"/>
      <c r="W2654" s="84"/>
      <c r="X2654" s="55"/>
    </row>
    <row r="2655" spans="1:24" hidden="1" x14ac:dyDescent="0.35">
      <c r="A2655" s="46"/>
      <c r="B2655" s="46"/>
      <c r="C2655" s="46"/>
      <c r="D2655" s="46"/>
      <c r="E2655" s="47"/>
      <c r="F2655" s="48"/>
      <c r="G2655" s="48"/>
      <c r="H2655" s="49" t="s">
        <v>3684</v>
      </c>
      <c r="I2655" s="82" t="s">
        <v>3685</v>
      </c>
      <c r="J2655" s="100"/>
      <c r="K2655" s="52"/>
      <c r="L2655" s="52"/>
      <c r="M2655" s="53"/>
      <c r="N2655" s="54">
        <v>6000</v>
      </c>
      <c r="O2655" s="341"/>
      <c r="P2655" s="54"/>
      <c r="Q2655" s="54"/>
      <c r="R2655" s="53">
        <v>1995</v>
      </c>
      <c r="S2655" s="53"/>
      <c r="T2655" s="315"/>
      <c r="U2655" s="84"/>
      <c r="V2655" s="84"/>
      <c r="W2655" s="84"/>
      <c r="X2655" s="55"/>
    </row>
    <row r="2656" spans="1:24" hidden="1" x14ac:dyDescent="0.35">
      <c r="A2656" s="46"/>
      <c r="B2656" s="46"/>
      <c r="C2656" s="46"/>
      <c r="D2656" s="46"/>
      <c r="E2656" s="47"/>
      <c r="F2656" s="48"/>
      <c r="G2656" s="48"/>
      <c r="H2656" s="49" t="s">
        <v>3686</v>
      </c>
      <c r="I2656" s="82" t="s">
        <v>3685</v>
      </c>
      <c r="J2656" s="100"/>
      <c r="K2656" s="52"/>
      <c r="L2656" s="52"/>
      <c r="M2656" s="53"/>
      <c r="N2656" s="54">
        <v>6000</v>
      </c>
      <c r="O2656" s="341"/>
      <c r="P2656" s="54"/>
      <c r="Q2656" s="54"/>
      <c r="R2656" s="53"/>
      <c r="S2656" s="53"/>
      <c r="T2656" s="315"/>
      <c r="U2656" s="84"/>
      <c r="V2656" s="84"/>
      <c r="W2656" s="84"/>
      <c r="X2656" s="55"/>
    </row>
    <row r="2657" spans="1:24" hidden="1" x14ac:dyDescent="0.35">
      <c r="A2657" s="46"/>
      <c r="B2657" s="46"/>
      <c r="C2657" s="46"/>
      <c r="D2657" s="46"/>
      <c r="E2657" s="47"/>
      <c r="F2657" s="48"/>
      <c r="G2657" s="48"/>
      <c r="H2657" s="49" t="s">
        <v>3687</v>
      </c>
      <c r="I2657" s="82" t="s">
        <v>3688</v>
      </c>
      <c r="J2657" s="100"/>
      <c r="K2657" s="52"/>
      <c r="L2657" s="52"/>
      <c r="M2657" s="53"/>
      <c r="N2657" s="54">
        <v>300</v>
      </c>
      <c r="O2657" s="341"/>
      <c r="P2657" s="54"/>
      <c r="Q2657" s="54"/>
      <c r="R2657" s="53"/>
      <c r="S2657" s="53"/>
      <c r="T2657" s="315"/>
      <c r="U2657" s="84"/>
      <c r="V2657" s="84"/>
      <c r="W2657" s="84"/>
      <c r="X2657" s="55"/>
    </row>
    <row r="2658" spans="1:24" hidden="1" x14ac:dyDescent="0.35">
      <c r="A2658" s="46"/>
      <c r="B2658" s="46"/>
      <c r="C2658" s="46"/>
      <c r="D2658" s="46"/>
      <c r="E2658" s="47"/>
      <c r="F2658" s="48"/>
      <c r="G2658" s="48"/>
      <c r="H2658" s="49" t="s">
        <v>3689</v>
      </c>
      <c r="I2658" s="82" t="s">
        <v>3690</v>
      </c>
      <c r="J2658" s="100"/>
      <c r="K2658" s="52"/>
      <c r="L2658" s="52"/>
      <c r="M2658" s="53"/>
      <c r="N2658" s="54">
        <v>4000</v>
      </c>
      <c r="O2658" s="341"/>
      <c r="P2658" s="54"/>
      <c r="Q2658" s="54"/>
      <c r="R2658" s="53"/>
      <c r="S2658" s="53"/>
      <c r="T2658" s="315"/>
      <c r="U2658" s="84"/>
      <c r="V2658" s="84"/>
      <c r="W2658" s="84"/>
      <c r="X2658" s="55"/>
    </row>
    <row r="2659" spans="1:24" hidden="1" x14ac:dyDescent="0.35">
      <c r="A2659" s="46"/>
      <c r="B2659" s="46"/>
      <c r="C2659" s="46"/>
      <c r="D2659" s="46"/>
      <c r="E2659" s="47"/>
      <c r="F2659" s="48"/>
      <c r="G2659" s="48"/>
      <c r="H2659" s="49" t="s">
        <v>3691</v>
      </c>
      <c r="I2659" s="82" t="s">
        <v>3692</v>
      </c>
      <c r="J2659" s="100"/>
      <c r="K2659" s="52"/>
      <c r="L2659" s="52"/>
      <c r="M2659" s="53"/>
      <c r="N2659" s="54">
        <v>1000</v>
      </c>
      <c r="O2659" s="341"/>
      <c r="P2659" s="54"/>
      <c r="Q2659" s="54"/>
      <c r="R2659" s="53">
        <v>450</v>
      </c>
      <c r="S2659" s="53"/>
      <c r="T2659" s="315"/>
      <c r="U2659" s="84"/>
      <c r="V2659" s="84"/>
      <c r="W2659" s="84"/>
      <c r="X2659" s="55"/>
    </row>
    <row r="2660" spans="1:24" ht="26.5" hidden="1" x14ac:dyDescent="0.35">
      <c r="A2660" s="46"/>
      <c r="B2660" s="46"/>
      <c r="C2660" s="46"/>
      <c r="D2660" s="46"/>
      <c r="E2660" s="47"/>
      <c r="F2660" s="48"/>
      <c r="G2660" s="48"/>
      <c r="H2660" s="49" t="s">
        <v>3693</v>
      </c>
      <c r="I2660" s="82" t="s">
        <v>3694</v>
      </c>
      <c r="J2660" s="100"/>
      <c r="K2660" s="52"/>
      <c r="L2660" s="52"/>
      <c r="M2660" s="53"/>
      <c r="N2660" s="54">
        <v>1500</v>
      </c>
      <c r="O2660" s="341"/>
      <c r="P2660" s="54"/>
      <c r="Q2660" s="54"/>
      <c r="R2660" s="53"/>
      <c r="S2660" s="53"/>
      <c r="T2660" s="315"/>
      <c r="U2660" s="84"/>
      <c r="V2660" s="84"/>
      <c r="W2660" s="84"/>
      <c r="X2660" s="55"/>
    </row>
    <row r="2661" spans="1:24" hidden="1" x14ac:dyDescent="0.35">
      <c r="A2661" s="46"/>
      <c r="B2661" s="46"/>
      <c r="C2661" s="46"/>
      <c r="D2661" s="46"/>
      <c r="E2661" s="47"/>
      <c r="F2661" s="48"/>
      <c r="G2661" s="48"/>
      <c r="H2661" s="49" t="s">
        <v>3695</v>
      </c>
      <c r="I2661" s="82" t="s">
        <v>3696</v>
      </c>
      <c r="J2661" s="100"/>
      <c r="K2661" s="52"/>
      <c r="L2661" s="52"/>
      <c r="M2661" s="53"/>
      <c r="N2661" s="54">
        <v>3000</v>
      </c>
      <c r="O2661" s="341"/>
      <c r="P2661" s="54"/>
      <c r="Q2661" s="54"/>
      <c r="R2661" s="53"/>
      <c r="S2661" s="53"/>
      <c r="T2661" s="315"/>
      <c r="U2661" s="84"/>
      <c r="V2661" s="84"/>
      <c r="W2661" s="84"/>
      <c r="X2661" s="55"/>
    </row>
    <row r="2662" spans="1:24" hidden="1" x14ac:dyDescent="0.35">
      <c r="A2662" s="46"/>
      <c r="B2662" s="46"/>
      <c r="C2662" s="46"/>
      <c r="D2662" s="46"/>
      <c r="E2662" s="47"/>
      <c r="F2662" s="48"/>
      <c r="G2662" s="48"/>
      <c r="H2662" s="49" t="s">
        <v>3697</v>
      </c>
      <c r="I2662" s="82" t="s">
        <v>3698</v>
      </c>
      <c r="J2662" s="100"/>
      <c r="K2662" s="52"/>
      <c r="L2662" s="52"/>
      <c r="M2662" s="53"/>
      <c r="N2662" s="54">
        <v>500</v>
      </c>
      <c r="O2662" s="341"/>
      <c r="P2662" s="54"/>
      <c r="Q2662" s="54"/>
      <c r="R2662" s="53"/>
      <c r="S2662" s="53"/>
      <c r="T2662" s="315"/>
      <c r="U2662" s="84"/>
      <c r="V2662" s="84"/>
      <c r="W2662" s="84"/>
      <c r="X2662" s="55"/>
    </row>
    <row r="2663" spans="1:24" hidden="1" x14ac:dyDescent="0.35">
      <c r="A2663" s="46"/>
      <c r="B2663" s="46"/>
      <c r="C2663" s="46"/>
      <c r="D2663" s="46"/>
      <c r="E2663" s="47"/>
      <c r="F2663" s="48"/>
      <c r="G2663" s="48"/>
      <c r="H2663" s="49" t="s">
        <v>3699</v>
      </c>
      <c r="I2663" s="82" t="s">
        <v>3700</v>
      </c>
      <c r="J2663" s="100"/>
      <c r="K2663" s="52"/>
      <c r="L2663" s="52"/>
      <c r="M2663" s="53"/>
      <c r="N2663" s="54">
        <v>500</v>
      </c>
      <c r="O2663" s="341"/>
      <c r="P2663" s="54"/>
      <c r="Q2663" s="54"/>
      <c r="R2663" s="53"/>
      <c r="S2663" s="53"/>
      <c r="T2663" s="315"/>
      <c r="U2663" s="84"/>
      <c r="V2663" s="84"/>
      <c r="W2663" s="84"/>
      <c r="X2663" s="55"/>
    </row>
    <row r="2664" spans="1:24" ht="26.5" hidden="1" x14ac:dyDescent="0.35">
      <c r="A2664" s="46"/>
      <c r="B2664" s="46"/>
      <c r="C2664" s="46"/>
      <c r="D2664" s="46"/>
      <c r="E2664" s="47"/>
      <c r="F2664" s="48"/>
      <c r="G2664" s="48"/>
      <c r="H2664" s="49" t="s">
        <v>3701</v>
      </c>
      <c r="I2664" s="82" t="s">
        <v>3702</v>
      </c>
      <c r="J2664" s="100"/>
      <c r="K2664" s="52"/>
      <c r="L2664" s="52"/>
      <c r="M2664" s="53"/>
      <c r="N2664" s="54">
        <v>500</v>
      </c>
      <c r="O2664" s="341"/>
      <c r="P2664" s="54"/>
      <c r="Q2664" s="54"/>
      <c r="R2664" s="53"/>
      <c r="S2664" s="53"/>
      <c r="T2664" s="315"/>
      <c r="U2664" s="84"/>
      <c r="V2664" s="84"/>
      <c r="W2664" s="84"/>
      <c r="X2664" s="55"/>
    </row>
    <row r="2665" spans="1:24" hidden="1" x14ac:dyDescent="0.35">
      <c r="A2665" s="46"/>
      <c r="B2665" s="46"/>
      <c r="C2665" s="46"/>
      <c r="D2665" s="46"/>
      <c r="E2665" s="47"/>
      <c r="F2665" s="48"/>
      <c r="G2665" s="48"/>
      <c r="H2665" s="49" t="s">
        <v>3703</v>
      </c>
      <c r="I2665" s="82" t="s">
        <v>3704</v>
      </c>
      <c r="J2665" s="100"/>
      <c r="K2665" s="52"/>
      <c r="L2665" s="52"/>
      <c r="M2665" s="53"/>
      <c r="N2665" s="54">
        <v>500</v>
      </c>
      <c r="O2665" s="341"/>
      <c r="P2665" s="54"/>
      <c r="Q2665" s="54"/>
      <c r="R2665" s="53"/>
      <c r="S2665" s="53"/>
      <c r="T2665" s="315"/>
      <c r="U2665" s="84"/>
      <c r="V2665" s="84"/>
      <c r="W2665" s="84"/>
      <c r="X2665" s="55"/>
    </row>
    <row r="2666" spans="1:24" hidden="1" x14ac:dyDescent="0.35">
      <c r="A2666" s="46"/>
      <c r="B2666" s="46"/>
      <c r="C2666" s="46"/>
      <c r="D2666" s="46"/>
      <c r="E2666" s="47"/>
      <c r="F2666" s="48"/>
      <c r="G2666" s="48"/>
      <c r="H2666" s="49"/>
      <c r="I2666" s="82" t="s">
        <v>3705</v>
      </c>
      <c r="J2666" s="100"/>
      <c r="K2666" s="52"/>
      <c r="L2666" s="52"/>
      <c r="M2666" s="53"/>
      <c r="N2666" s="54"/>
      <c r="O2666" s="341"/>
      <c r="P2666" s="54"/>
      <c r="Q2666" s="54"/>
      <c r="R2666" s="53"/>
      <c r="S2666" s="53"/>
      <c r="T2666" s="315"/>
      <c r="U2666" s="84"/>
      <c r="V2666" s="84"/>
      <c r="W2666" s="84"/>
      <c r="X2666" s="55"/>
    </row>
    <row r="2667" spans="1:24" hidden="1" x14ac:dyDescent="0.35">
      <c r="A2667" s="46"/>
      <c r="B2667" s="46"/>
      <c r="C2667" s="46"/>
      <c r="D2667" s="46"/>
      <c r="E2667" s="47"/>
      <c r="F2667" s="48"/>
      <c r="G2667" s="48"/>
      <c r="H2667" s="742"/>
      <c r="I2667" s="82" t="s">
        <v>3706</v>
      </c>
      <c r="J2667" s="100"/>
      <c r="K2667" s="52"/>
      <c r="L2667" s="52"/>
      <c r="M2667" s="53"/>
      <c r="N2667" s="54">
        <v>250</v>
      </c>
      <c r="O2667" s="341"/>
      <c r="P2667" s="54"/>
      <c r="Q2667" s="54"/>
      <c r="R2667" s="53"/>
      <c r="S2667" s="53"/>
      <c r="T2667" s="315"/>
      <c r="U2667" s="84"/>
      <c r="V2667" s="84"/>
      <c r="W2667" s="84"/>
      <c r="X2667" s="55"/>
    </row>
    <row r="2668" spans="1:24" ht="26.5" hidden="1" x14ac:dyDescent="0.35">
      <c r="A2668" s="46"/>
      <c r="B2668" s="46"/>
      <c r="C2668" s="46"/>
      <c r="D2668" s="46"/>
      <c r="E2668" s="47"/>
      <c r="F2668" s="61"/>
      <c r="G2668" s="61"/>
      <c r="H2668" s="49" t="s">
        <v>3707</v>
      </c>
      <c r="I2668" s="316" t="s">
        <v>3708</v>
      </c>
      <c r="J2668" s="100"/>
      <c r="K2668" s="52"/>
      <c r="L2668" s="52"/>
      <c r="M2668" s="53"/>
      <c r="N2668" s="54">
        <v>552</v>
      </c>
      <c r="O2668" s="341"/>
      <c r="P2668" s="54"/>
      <c r="Q2668" s="54"/>
      <c r="R2668" s="53"/>
      <c r="S2668" s="53"/>
      <c r="T2668" s="315"/>
      <c r="U2668" s="84"/>
      <c r="V2668" s="84"/>
      <c r="W2668" s="84"/>
      <c r="X2668" s="55"/>
    </row>
    <row r="2669" spans="1:24" hidden="1" x14ac:dyDescent="0.35">
      <c r="A2669" s="46"/>
      <c r="B2669" s="46"/>
      <c r="C2669" s="46"/>
      <c r="D2669" s="46"/>
      <c r="E2669" s="47"/>
      <c r="F2669" s="48" t="s">
        <v>3709</v>
      </c>
      <c r="G2669" s="48"/>
      <c r="H2669" s="49" t="s">
        <v>3710</v>
      </c>
      <c r="I2669" s="99" t="s">
        <v>3711</v>
      </c>
      <c r="J2669" s="100"/>
      <c r="K2669" s="52"/>
      <c r="L2669" s="52"/>
      <c r="M2669" s="53"/>
      <c r="N2669" s="54">
        <v>50</v>
      </c>
      <c r="O2669" s="341"/>
      <c r="P2669" s="54"/>
      <c r="Q2669" s="54"/>
      <c r="R2669" s="53"/>
      <c r="S2669" s="53"/>
      <c r="T2669" s="315"/>
      <c r="U2669" s="84"/>
      <c r="V2669" s="84"/>
      <c r="W2669" s="84"/>
      <c r="X2669" s="55"/>
    </row>
    <row r="2670" spans="1:24" hidden="1" x14ac:dyDescent="0.35">
      <c r="A2670" s="46"/>
      <c r="B2670" s="46"/>
      <c r="C2670" s="46"/>
      <c r="D2670" s="46"/>
      <c r="E2670" s="47"/>
      <c r="F2670" s="48" t="s">
        <v>3709</v>
      </c>
      <c r="G2670" s="48"/>
      <c r="H2670" s="49" t="s">
        <v>3712</v>
      </c>
      <c r="I2670" s="99" t="s">
        <v>3713</v>
      </c>
      <c r="J2670" s="100"/>
      <c r="K2670" s="52"/>
      <c r="L2670" s="52"/>
      <c r="M2670" s="53"/>
      <c r="N2670" s="54">
        <v>50</v>
      </c>
      <c r="O2670" s="341"/>
      <c r="P2670" s="54"/>
      <c r="Q2670" s="54"/>
      <c r="R2670" s="53"/>
      <c r="S2670" s="53"/>
      <c r="T2670" s="315"/>
      <c r="U2670" s="84"/>
      <c r="V2670" s="84"/>
      <c r="W2670" s="84"/>
      <c r="X2670" s="55"/>
    </row>
    <row r="2671" spans="1:24" ht="26.5" hidden="1" x14ac:dyDescent="0.35">
      <c r="A2671" s="46"/>
      <c r="B2671" s="46"/>
      <c r="C2671" s="46"/>
      <c r="D2671" s="46"/>
      <c r="E2671" s="47"/>
      <c r="F2671" s="48"/>
      <c r="G2671" s="48"/>
      <c r="H2671" s="49" t="s">
        <v>3714</v>
      </c>
      <c r="I2671" s="99" t="s">
        <v>3715</v>
      </c>
      <c r="J2671" s="100"/>
      <c r="K2671" s="52"/>
      <c r="L2671" s="52"/>
      <c r="M2671" s="53"/>
      <c r="N2671" s="54">
        <v>50</v>
      </c>
      <c r="O2671" s="341"/>
      <c r="P2671" s="54"/>
      <c r="Q2671" s="54"/>
      <c r="R2671" s="53"/>
      <c r="S2671" s="53"/>
      <c r="T2671" s="315"/>
      <c r="U2671" s="84"/>
      <c r="V2671" s="84"/>
      <c r="W2671" s="84"/>
      <c r="X2671" s="55"/>
    </row>
    <row r="2672" spans="1:24" hidden="1" x14ac:dyDescent="0.35">
      <c r="A2672" s="46"/>
      <c r="B2672" s="46"/>
      <c r="C2672" s="46"/>
      <c r="D2672" s="46"/>
      <c r="E2672" s="47"/>
      <c r="F2672" s="48"/>
      <c r="G2672" s="48"/>
      <c r="H2672" s="49" t="s">
        <v>3716</v>
      </c>
      <c r="I2672" s="316" t="s">
        <v>3717</v>
      </c>
      <c r="J2672" s="100"/>
      <c r="K2672" s="52"/>
      <c r="L2672" s="52"/>
      <c r="M2672" s="53"/>
      <c r="N2672" s="54">
        <v>200</v>
      </c>
      <c r="O2672" s="341"/>
      <c r="P2672" s="54"/>
      <c r="Q2672" s="54"/>
      <c r="R2672" s="53"/>
      <c r="S2672" s="53"/>
      <c r="T2672" s="315"/>
      <c r="U2672" s="84"/>
      <c r="V2672" s="84"/>
      <c r="W2672" s="84"/>
      <c r="X2672" s="55"/>
    </row>
    <row r="2673" spans="1:24" hidden="1" x14ac:dyDescent="0.35">
      <c r="A2673" s="46"/>
      <c r="B2673" s="46"/>
      <c r="C2673" s="46"/>
      <c r="D2673" s="46"/>
      <c r="E2673" s="47"/>
      <c r="F2673" s="48"/>
      <c r="G2673" s="48"/>
      <c r="H2673" s="49" t="s">
        <v>3718</v>
      </c>
      <c r="I2673" s="316" t="s">
        <v>3719</v>
      </c>
      <c r="J2673" s="100"/>
      <c r="K2673" s="52"/>
      <c r="L2673" s="52"/>
      <c r="M2673" s="53"/>
      <c r="N2673" s="54">
        <v>100</v>
      </c>
      <c r="O2673" s="341"/>
      <c r="P2673" s="54"/>
      <c r="Q2673" s="54"/>
      <c r="R2673" s="53"/>
      <c r="S2673" s="53"/>
      <c r="T2673" s="315"/>
      <c r="U2673" s="84"/>
      <c r="V2673" s="84"/>
      <c r="W2673" s="84"/>
      <c r="X2673" s="55"/>
    </row>
    <row r="2674" spans="1:24" hidden="1" x14ac:dyDescent="0.35">
      <c r="A2674" s="46"/>
      <c r="B2674" s="46"/>
      <c r="C2674" s="46"/>
      <c r="D2674" s="46"/>
      <c r="E2674" s="47"/>
      <c r="F2674" s="48"/>
      <c r="G2674" s="48"/>
      <c r="H2674" s="49" t="s">
        <v>3720</v>
      </c>
      <c r="I2674" s="316" t="s">
        <v>3721</v>
      </c>
      <c r="J2674" s="100"/>
      <c r="K2674" s="52"/>
      <c r="L2674" s="52"/>
      <c r="M2674" s="53"/>
      <c r="N2674" s="54">
        <v>596</v>
      </c>
      <c r="O2674" s="341"/>
      <c r="P2674" s="54"/>
      <c r="Q2674" s="54"/>
      <c r="R2674" s="53"/>
      <c r="S2674" s="53"/>
      <c r="T2674" s="315"/>
      <c r="U2674" s="84"/>
      <c r="V2674" s="84"/>
      <c r="W2674" s="84"/>
      <c r="X2674" s="55"/>
    </row>
    <row r="2675" spans="1:24" hidden="1" x14ac:dyDescent="0.35">
      <c r="A2675" s="46"/>
      <c r="B2675" s="46"/>
      <c r="C2675" s="46"/>
      <c r="D2675" s="46"/>
      <c r="E2675" s="47"/>
      <c r="F2675" s="48"/>
      <c r="G2675" s="48"/>
      <c r="H2675" s="49" t="s">
        <v>3722</v>
      </c>
      <c r="I2675" s="316" t="s">
        <v>3723</v>
      </c>
      <c r="J2675" s="100"/>
      <c r="K2675" s="52"/>
      <c r="L2675" s="52"/>
      <c r="M2675" s="53"/>
      <c r="N2675" s="54">
        <v>500</v>
      </c>
      <c r="O2675" s="341"/>
      <c r="P2675" s="54"/>
      <c r="Q2675" s="54"/>
      <c r="R2675" s="53"/>
      <c r="S2675" s="53"/>
      <c r="T2675" s="315"/>
      <c r="U2675" s="84"/>
      <c r="V2675" s="84"/>
      <c r="W2675" s="84"/>
      <c r="X2675" s="55"/>
    </row>
    <row r="2676" spans="1:24" hidden="1" x14ac:dyDescent="0.35">
      <c r="A2676" s="46"/>
      <c r="B2676" s="46"/>
      <c r="C2676" s="46"/>
      <c r="D2676" s="46"/>
      <c r="E2676" s="47"/>
      <c r="F2676" s="48"/>
      <c r="G2676" s="48"/>
      <c r="H2676" s="49" t="s">
        <v>3724</v>
      </c>
      <c r="I2676" s="316" t="s">
        <v>3725</v>
      </c>
      <c r="J2676" s="100"/>
      <c r="K2676" s="52"/>
      <c r="L2676" s="52"/>
      <c r="M2676" s="53"/>
      <c r="N2676" s="54">
        <v>600</v>
      </c>
      <c r="O2676" s="341"/>
      <c r="P2676" s="54"/>
      <c r="Q2676" s="54"/>
      <c r="R2676" s="53"/>
      <c r="S2676" s="53"/>
      <c r="T2676" s="315"/>
      <c r="U2676" s="84"/>
      <c r="V2676" s="84"/>
      <c r="W2676" s="84"/>
      <c r="X2676" s="55"/>
    </row>
    <row r="2677" spans="1:24" hidden="1" x14ac:dyDescent="0.35">
      <c r="A2677" s="46"/>
      <c r="B2677" s="46"/>
      <c r="C2677" s="46"/>
      <c r="D2677" s="46"/>
      <c r="E2677" s="47"/>
      <c r="F2677" s="48"/>
      <c r="G2677" s="48"/>
      <c r="H2677" s="49" t="s">
        <v>3726</v>
      </c>
      <c r="I2677" s="316" t="s">
        <v>3673</v>
      </c>
      <c r="J2677" s="100"/>
      <c r="K2677" s="52"/>
      <c r="L2677" s="52"/>
      <c r="M2677" s="53"/>
      <c r="N2677" s="54">
        <v>1300</v>
      </c>
      <c r="O2677" s="341"/>
      <c r="P2677" s="54"/>
      <c r="Q2677" s="54"/>
      <c r="R2677" s="53"/>
      <c r="S2677" s="53"/>
      <c r="T2677" s="315"/>
      <c r="U2677" s="84"/>
      <c r="V2677" s="84"/>
      <c r="W2677" s="84"/>
      <c r="X2677" s="55"/>
    </row>
    <row r="2678" spans="1:24" hidden="1" x14ac:dyDescent="0.35">
      <c r="A2678" s="46"/>
      <c r="B2678" s="46"/>
      <c r="C2678" s="46"/>
      <c r="D2678" s="46"/>
      <c r="E2678" s="47"/>
      <c r="F2678" s="48"/>
      <c r="G2678" s="48"/>
      <c r="H2678" s="49" t="s">
        <v>3724</v>
      </c>
      <c r="I2678" s="316" t="s">
        <v>3725</v>
      </c>
      <c r="J2678" s="100"/>
      <c r="K2678" s="52"/>
      <c r="L2678" s="52"/>
      <c r="M2678" s="53"/>
      <c r="N2678" s="54">
        <v>100</v>
      </c>
      <c r="O2678" s="341"/>
      <c r="P2678" s="54"/>
      <c r="Q2678" s="54"/>
      <c r="R2678" s="53"/>
      <c r="S2678" s="53"/>
      <c r="T2678" s="315"/>
      <c r="U2678" s="84"/>
      <c r="V2678" s="84"/>
      <c r="W2678" s="84"/>
      <c r="X2678" s="55"/>
    </row>
    <row r="2679" spans="1:24" hidden="1" x14ac:dyDescent="0.35">
      <c r="A2679" s="46"/>
      <c r="B2679" s="46"/>
      <c r="C2679" s="46"/>
      <c r="D2679" s="46"/>
      <c r="E2679" s="47"/>
      <c r="F2679" s="48"/>
      <c r="G2679" s="48"/>
      <c r="H2679" s="49" t="s">
        <v>3727</v>
      </c>
      <c r="I2679" s="316" t="s">
        <v>3728</v>
      </c>
      <c r="J2679" s="100"/>
      <c r="K2679" s="52"/>
      <c r="L2679" s="52"/>
      <c r="M2679" s="53"/>
      <c r="N2679" s="54">
        <v>600</v>
      </c>
      <c r="O2679" s="341"/>
      <c r="P2679" s="54"/>
      <c r="Q2679" s="54"/>
      <c r="R2679" s="53"/>
      <c r="S2679" s="53"/>
      <c r="T2679" s="315"/>
      <c r="U2679" s="84"/>
      <c r="V2679" s="84"/>
      <c r="W2679" s="84"/>
      <c r="X2679" s="55"/>
    </row>
    <row r="2680" spans="1:24" hidden="1" x14ac:dyDescent="0.35">
      <c r="A2680" s="46"/>
      <c r="B2680" s="46"/>
      <c r="C2680" s="46"/>
      <c r="D2680" s="46"/>
      <c r="E2680" s="47"/>
      <c r="F2680" s="48"/>
      <c r="G2680" s="48"/>
      <c r="H2680" s="49" t="s">
        <v>3729</v>
      </c>
      <c r="I2680" s="82" t="s">
        <v>3730</v>
      </c>
      <c r="J2680" s="100"/>
      <c r="K2680" s="52"/>
      <c r="L2680" s="52"/>
      <c r="M2680" s="53"/>
      <c r="N2680" s="54">
        <v>500</v>
      </c>
      <c r="O2680" s="341"/>
      <c r="P2680" s="54"/>
      <c r="Q2680" s="54"/>
      <c r="R2680" s="53"/>
      <c r="S2680" s="53"/>
      <c r="T2680" s="315"/>
      <c r="U2680" s="84"/>
      <c r="V2680" s="84"/>
      <c r="W2680" s="84"/>
      <c r="X2680" s="55"/>
    </row>
    <row r="2681" spans="1:24" hidden="1" x14ac:dyDescent="0.35">
      <c r="A2681" s="46"/>
      <c r="B2681" s="46"/>
      <c r="C2681" s="46"/>
      <c r="D2681" s="46"/>
      <c r="E2681" s="47"/>
      <c r="F2681" s="48"/>
      <c r="G2681" s="48"/>
      <c r="H2681" s="49" t="s">
        <v>3731</v>
      </c>
      <c r="I2681" s="82" t="s">
        <v>3732</v>
      </c>
      <c r="J2681" s="100"/>
      <c r="K2681" s="52"/>
      <c r="L2681" s="52"/>
      <c r="M2681" s="53"/>
      <c r="N2681" s="54">
        <v>500</v>
      </c>
      <c r="O2681" s="341"/>
      <c r="P2681" s="54"/>
      <c r="Q2681" s="54"/>
      <c r="R2681" s="53"/>
      <c r="S2681" s="53"/>
      <c r="T2681" s="315"/>
      <c r="U2681" s="84"/>
      <c r="V2681" s="84"/>
      <c r="W2681" s="84"/>
      <c r="X2681" s="55"/>
    </row>
    <row r="2682" spans="1:24" hidden="1" x14ac:dyDescent="0.35">
      <c r="A2682" s="46"/>
      <c r="B2682" s="46"/>
      <c r="C2682" s="46"/>
      <c r="D2682" s="46"/>
      <c r="E2682" s="47"/>
      <c r="F2682" s="48" t="s">
        <v>101</v>
      </c>
      <c r="G2682" s="48"/>
      <c r="H2682" s="49" t="s">
        <v>3733</v>
      </c>
      <c r="I2682" s="82" t="s">
        <v>3734</v>
      </c>
      <c r="J2682" s="100"/>
      <c r="K2682" s="52"/>
      <c r="L2682" s="52"/>
      <c r="M2682" s="53"/>
      <c r="N2682" s="54">
        <v>1500</v>
      </c>
      <c r="O2682" s="341"/>
      <c r="P2682" s="54"/>
      <c r="Q2682" s="54"/>
      <c r="R2682" s="53"/>
      <c r="S2682" s="53"/>
      <c r="T2682" s="315"/>
      <c r="U2682" s="84"/>
      <c r="V2682" s="84"/>
      <c r="W2682" s="84"/>
      <c r="X2682" s="55"/>
    </row>
    <row r="2683" spans="1:24" hidden="1" x14ac:dyDescent="0.35">
      <c r="A2683" s="46"/>
      <c r="B2683" s="46"/>
      <c r="C2683" s="46"/>
      <c r="D2683" s="46"/>
      <c r="E2683" s="47"/>
      <c r="F2683" s="48" t="s">
        <v>104</v>
      </c>
      <c r="G2683" s="48"/>
      <c r="H2683" s="49" t="s">
        <v>3733</v>
      </c>
      <c r="I2683" s="82" t="s">
        <v>3734</v>
      </c>
      <c r="J2683" s="100"/>
      <c r="K2683" s="52"/>
      <c r="L2683" s="52"/>
      <c r="M2683" s="53"/>
      <c r="N2683" s="54">
        <v>1500</v>
      </c>
      <c r="O2683" s="341"/>
      <c r="P2683" s="54"/>
      <c r="Q2683" s="54"/>
      <c r="R2683" s="53"/>
      <c r="S2683" s="53"/>
      <c r="T2683" s="315"/>
      <c r="U2683" s="84"/>
      <c r="V2683" s="84"/>
      <c r="W2683" s="84"/>
      <c r="X2683" s="55"/>
    </row>
    <row r="2684" spans="1:24" hidden="1" x14ac:dyDescent="0.35">
      <c r="A2684" s="46"/>
      <c r="B2684" s="46"/>
      <c r="C2684" s="46"/>
      <c r="D2684" s="46"/>
      <c r="E2684" s="47"/>
      <c r="F2684" s="48" t="s">
        <v>113</v>
      </c>
      <c r="G2684" s="48"/>
      <c r="H2684" s="49" t="s">
        <v>3733</v>
      </c>
      <c r="I2684" s="82" t="s">
        <v>3734</v>
      </c>
      <c r="J2684" s="100"/>
      <c r="K2684" s="52"/>
      <c r="L2684" s="52"/>
      <c r="M2684" s="53"/>
      <c r="N2684" s="54">
        <v>1500</v>
      </c>
      <c r="O2684" s="341"/>
      <c r="P2684" s="54"/>
      <c r="Q2684" s="54"/>
      <c r="R2684" s="53"/>
      <c r="S2684" s="53"/>
      <c r="T2684" s="315"/>
      <c r="U2684" s="84"/>
      <c r="V2684" s="84"/>
      <c r="W2684" s="84"/>
      <c r="X2684" s="55"/>
    </row>
    <row r="2685" spans="1:24" hidden="1" x14ac:dyDescent="0.35">
      <c r="A2685" s="46"/>
      <c r="B2685" s="46"/>
      <c r="C2685" s="46"/>
      <c r="D2685" s="46"/>
      <c r="E2685" s="47"/>
      <c r="F2685" s="48" t="s">
        <v>101</v>
      </c>
      <c r="G2685" s="48"/>
      <c r="H2685" s="49" t="s">
        <v>3735</v>
      </c>
      <c r="I2685" s="82" t="s">
        <v>3736</v>
      </c>
      <c r="J2685" s="100"/>
      <c r="K2685" s="52"/>
      <c r="L2685" s="52"/>
      <c r="M2685" s="53"/>
      <c r="N2685" s="54">
        <v>3000</v>
      </c>
      <c r="O2685" s="341"/>
      <c r="P2685" s="54"/>
      <c r="Q2685" s="54"/>
      <c r="R2685" s="53"/>
      <c r="S2685" s="53"/>
      <c r="T2685" s="315"/>
      <c r="U2685" s="84"/>
      <c r="V2685" s="84"/>
      <c r="W2685" s="84"/>
      <c r="X2685" s="55"/>
    </row>
    <row r="2686" spans="1:24" hidden="1" x14ac:dyDescent="0.35">
      <c r="A2686" s="46"/>
      <c r="B2686" s="46"/>
      <c r="C2686" s="46"/>
      <c r="D2686" s="46"/>
      <c r="E2686" s="47"/>
      <c r="F2686" s="48" t="s">
        <v>104</v>
      </c>
      <c r="G2686" s="48"/>
      <c r="H2686" s="49" t="s">
        <v>3735</v>
      </c>
      <c r="I2686" s="82" t="s">
        <v>3736</v>
      </c>
      <c r="J2686" s="100"/>
      <c r="K2686" s="52"/>
      <c r="L2686" s="52"/>
      <c r="M2686" s="53"/>
      <c r="N2686" s="54">
        <v>4000</v>
      </c>
      <c r="O2686" s="341"/>
      <c r="P2686" s="54"/>
      <c r="Q2686" s="54"/>
      <c r="R2686" s="53"/>
      <c r="S2686" s="53"/>
      <c r="T2686" s="315"/>
      <c r="U2686" s="84"/>
      <c r="V2686" s="84"/>
      <c r="W2686" s="84"/>
      <c r="X2686" s="55"/>
    </row>
    <row r="2687" spans="1:24" hidden="1" x14ac:dyDescent="0.35">
      <c r="A2687" s="46"/>
      <c r="B2687" s="46"/>
      <c r="C2687" s="46"/>
      <c r="D2687" s="46"/>
      <c r="E2687" s="47"/>
      <c r="F2687" s="48" t="s">
        <v>113</v>
      </c>
      <c r="G2687" s="48"/>
      <c r="H2687" s="49" t="s">
        <v>3737</v>
      </c>
      <c r="I2687" s="82" t="s">
        <v>3736</v>
      </c>
      <c r="J2687" s="100"/>
      <c r="K2687" s="52"/>
      <c r="L2687" s="52"/>
      <c r="M2687" s="53"/>
      <c r="N2687" s="54">
        <v>4000</v>
      </c>
      <c r="O2687" s="341"/>
      <c r="P2687" s="54"/>
      <c r="Q2687" s="54"/>
      <c r="R2687" s="53"/>
      <c r="S2687" s="53"/>
      <c r="T2687" s="315"/>
      <c r="U2687" s="84"/>
      <c r="V2687" s="84"/>
      <c r="W2687" s="84"/>
      <c r="X2687" s="55"/>
    </row>
    <row r="2688" spans="1:24" hidden="1" x14ac:dyDescent="0.35">
      <c r="A2688" s="46"/>
      <c r="B2688" s="46"/>
      <c r="C2688" s="46"/>
      <c r="D2688" s="46"/>
      <c r="E2688" s="47"/>
      <c r="F2688" s="48" t="s">
        <v>104</v>
      </c>
      <c r="G2688" s="48"/>
      <c r="H2688" s="49" t="s">
        <v>3738</v>
      </c>
      <c r="I2688" s="82" t="s">
        <v>3736</v>
      </c>
      <c r="J2688" s="100"/>
      <c r="K2688" s="52"/>
      <c r="L2688" s="52"/>
      <c r="M2688" s="53"/>
      <c r="N2688" s="54">
        <v>3113</v>
      </c>
      <c r="O2688" s="341"/>
      <c r="P2688" s="54"/>
      <c r="Q2688" s="54"/>
      <c r="R2688" s="53"/>
      <c r="S2688" s="53"/>
      <c r="T2688" s="315"/>
      <c r="U2688" s="84"/>
      <c r="V2688" s="84"/>
      <c r="W2688" s="84"/>
      <c r="X2688" s="55"/>
    </row>
    <row r="2689" spans="1:24" hidden="1" x14ac:dyDescent="0.35">
      <c r="A2689" s="46"/>
      <c r="B2689" s="46"/>
      <c r="C2689" s="46"/>
      <c r="D2689" s="46"/>
      <c r="E2689" s="47"/>
      <c r="F2689" s="48" t="s">
        <v>113</v>
      </c>
      <c r="G2689" s="48"/>
      <c r="H2689" s="49" t="s">
        <v>3739</v>
      </c>
      <c r="I2689" s="82" t="s">
        <v>3736</v>
      </c>
      <c r="J2689" s="100"/>
      <c r="K2689" s="52"/>
      <c r="L2689" s="52"/>
      <c r="M2689" s="53"/>
      <c r="N2689" s="54">
        <v>3113</v>
      </c>
      <c r="O2689" s="341"/>
      <c r="P2689" s="54"/>
      <c r="Q2689" s="54"/>
      <c r="R2689" s="53"/>
      <c r="S2689" s="53"/>
      <c r="T2689" s="315"/>
      <c r="U2689" s="84"/>
      <c r="V2689" s="84"/>
      <c r="W2689" s="84"/>
      <c r="X2689" s="55"/>
    </row>
    <row r="2690" spans="1:24" hidden="1" x14ac:dyDescent="0.35">
      <c r="A2690" s="46"/>
      <c r="B2690" s="46"/>
      <c r="C2690" s="46"/>
      <c r="D2690" s="46"/>
      <c r="E2690" s="47"/>
      <c r="F2690" s="48" t="s">
        <v>104</v>
      </c>
      <c r="G2690" s="48"/>
      <c r="H2690" s="49" t="s">
        <v>3740</v>
      </c>
      <c r="I2690" s="82" t="s">
        <v>3696</v>
      </c>
      <c r="J2690" s="100"/>
      <c r="K2690" s="52"/>
      <c r="L2690" s="52"/>
      <c r="M2690" s="53"/>
      <c r="N2690" s="54">
        <v>2000</v>
      </c>
      <c r="O2690" s="341"/>
      <c r="P2690" s="54"/>
      <c r="Q2690" s="54"/>
      <c r="R2690" s="53"/>
      <c r="S2690" s="53"/>
      <c r="T2690" s="315"/>
      <c r="U2690" s="84"/>
      <c r="V2690" s="84"/>
      <c r="W2690" s="84"/>
      <c r="X2690" s="55"/>
    </row>
    <row r="2691" spans="1:24" hidden="1" x14ac:dyDescent="0.35">
      <c r="A2691" s="46"/>
      <c r="B2691" s="46"/>
      <c r="C2691" s="46"/>
      <c r="D2691" s="46"/>
      <c r="E2691" s="47"/>
      <c r="F2691" s="48" t="s">
        <v>104</v>
      </c>
      <c r="G2691" s="48"/>
      <c r="H2691" s="49" t="s">
        <v>3741</v>
      </c>
      <c r="I2691" s="82" t="s">
        <v>3742</v>
      </c>
      <c r="J2691" s="100"/>
      <c r="K2691" s="52"/>
      <c r="L2691" s="52"/>
      <c r="M2691" s="53"/>
      <c r="N2691" s="54">
        <v>1050</v>
      </c>
      <c r="O2691" s="341"/>
      <c r="P2691" s="54"/>
      <c r="Q2691" s="54"/>
      <c r="R2691" s="53"/>
      <c r="S2691" s="53"/>
      <c r="T2691" s="315"/>
      <c r="U2691" s="84"/>
      <c r="V2691" s="84"/>
      <c r="W2691" s="84"/>
      <c r="X2691" s="55"/>
    </row>
    <row r="2692" spans="1:24" hidden="1" x14ac:dyDescent="0.35">
      <c r="A2692" s="46"/>
      <c r="B2692" s="46"/>
      <c r="C2692" s="46"/>
      <c r="D2692" s="46"/>
      <c r="E2692" s="47"/>
      <c r="F2692" s="48"/>
      <c r="G2692" s="48"/>
      <c r="H2692" s="49" t="s">
        <v>3743</v>
      </c>
      <c r="I2692" s="69" t="s">
        <v>3744</v>
      </c>
      <c r="J2692" s="100"/>
      <c r="K2692" s="52"/>
      <c r="L2692" s="52"/>
      <c r="M2692" s="53"/>
      <c r="N2692" s="54">
        <v>1000</v>
      </c>
      <c r="O2692" s="341"/>
      <c r="P2692" s="54"/>
      <c r="Q2692" s="54"/>
      <c r="R2692" s="53"/>
      <c r="S2692" s="53"/>
      <c r="T2692" s="315"/>
      <c r="U2692" s="84"/>
      <c r="V2692" s="84"/>
      <c r="W2692" s="84"/>
      <c r="X2692" s="55"/>
    </row>
    <row r="2693" spans="1:24" hidden="1" x14ac:dyDescent="0.35">
      <c r="A2693" s="46"/>
      <c r="B2693" s="46"/>
      <c r="C2693" s="46"/>
      <c r="D2693" s="46"/>
      <c r="E2693" s="47"/>
      <c r="F2693" s="48" t="s">
        <v>414</v>
      </c>
      <c r="G2693" s="48"/>
      <c r="H2693" s="49" t="s">
        <v>3745</v>
      </c>
      <c r="I2693" s="743" t="s">
        <v>3746</v>
      </c>
      <c r="J2693" s="100"/>
      <c r="K2693" s="52"/>
      <c r="L2693" s="52"/>
      <c r="M2693" s="53"/>
      <c r="N2693" s="54">
        <v>3550</v>
      </c>
      <c r="O2693" s="341"/>
      <c r="P2693" s="54"/>
      <c r="Q2693" s="54"/>
      <c r="R2693" s="53"/>
      <c r="S2693" s="53"/>
      <c r="T2693" s="315"/>
      <c r="U2693" s="84"/>
      <c r="V2693" s="84"/>
      <c r="W2693" s="84"/>
      <c r="X2693" s="55"/>
    </row>
    <row r="2694" spans="1:24" hidden="1" x14ac:dyDescent="0.35">
      <c r="A2694" s="46"/>
      <c r="B2694" s="46"/>
      <c r="C2694" s="46"/>
      <c r="D2694" s="46"/>
      <c r="E2694" s="47"/>
      <c r="F2694" s="48" t="s">
        <v>3747</v>
      </c>
      <c r="G2694" s="48"/>
      <c r="H2694" s="49" t="s">
        <v>3748</v>
      </c>
      <c r="I2694" s="743" t="s">
        <v>3746</v>
      </c>
      <c r="J2694" s="100"/>
      <c r="K2694" s="52"/>
      <c r="L2694" s="52"/>
      <c r="M2694" s="53"/>
      <c r="N2694" s="54">
        <v>1780</v>
      </c>
      <c r="O2694" s="341"/>
      <c r="P2694" s="54"/>
      <c r="Q2694" s="54"/>
      <c r="R2694" s="53"/>
      <c r="S2694" s="53"/>
      <c r="T2694" s="315"/>
      <c r="U2694" s="84"/>
      <c r="V2694" s="84"/>
      <c r="W2694" s="84"/>
      <c r="X2694" s="55"/>
    </row>
    <row r="2695" spans="1:24" hidden="1" x14ac:dyDescent="0.35">
      <c r="A2695" s="46"/>
      <c r="B2695" s="46"/>
      <c r="C2695" s="46"/>
      <c r="D2695" s="46"/>
      <c r="E2695" s="47"/>
      <c r="F2695" s="48" t="s">
        <v>3749</v>
      </c>
      <c r="G2695" s="48"/>
      <c r="H2695" s="49" t="s">
        <v>3750</v>
      </c>
      <c r="I2695" s="82" t="s">
        <v>3723</v>
      </c>
      <c r="J2695" s="100"/>
      <c r="K2695" s="52"/>
      <c r="L2695" s="52"/>
      <c r="M2695" s="53"/>
      <c r="N2695" s="54">
        <v>500</v>
      </c>
      <c r="O2695" s="341"/>
      <c r="P2695" s="54"/>
      <c r="Q2695" s="54"/>
      <c r="R2695" s="53"/>
      <c r="S2695" s="53"/>
      <c r="T2695" s="315"/>
      <c r="U2695" s="84"/>
      <c r="V2695" s="84"/>
      <c r="W2695" s="84"/>
      <c r="X2695" s="55"/>
    </row>
    <row r="2696" spans="1:24" hidden="1" x14ac:dyDescent="0.35">
      <c r="A2696" s="46"/>
      <c r="B2696" s="46"/>
      <c r="C2696" s="46"/>
      <c r="D2696" s="46"/>
      <c r="E2696" s="47"/>
      <c r="F2696" s="48" t="s">
        <v>3749</v>
      </c>
      <c r="G2696" s="48"/>
      <c r="H2696" s="49" t="s">
        <v>3751</v>
      </c>
      <c r="I2696" s="82" t="s">
        <v>3752</v>
      </c>
      <c r="J2696" s="100"/>
      <c r="K2696" s="52"/>
      <c r="L2696" s="52"/>
      <c r="M2696" s="53"/>
      <c r="N2696" s="54">
        <v>500</v>
      </c>
      <c r="O2696" s="341"/>
      <c r="P2696" s="54"/>
      <c r="Q2696" s="54"/>
      <c r="R2696" s="53"/>
      <c r="S2696" s="53"/>
      <c r="T2696" s="315"/>
      <c r="U2696" s="84"/>
      <c r="V2696" s="84"/>
      <c r="W2696" s="84"/>
      <c r="X2696" s="55"/>
    </row>
    <row r="2697" spans="1:24" hidden="1" x14ac:dyDescent="0.35">
      <c r="A2697" s="46"/>
      <c r="B2697" s="46"/>
      <c r="C2697" s="46"/>
      <c r="D2697" s="46"/>
      <c r="E2697" s="47"/>
      <c r="F2697" s="48" t="s">
        <v>3753</v>
      </c>
      <c r="G2697" s="48"/>
      <c r="H2697" s="49" t="s">
        <v>3754</v>
      </c>
      <c r="I2697" s="82" t="s">
        <v>3755</v>
      </c>
      <c r="J2697" s="100"/>
      <c r="K2697" s="52"/>
      <c r="L2697" s="52"/>
      <c r="M2697" s="53"/>
      <c r="N2697" s="54">
        <v>1500</v>
      </c>
      <c r="O2697" s="341"/>
      <c r="P2697" s="54"/>
      <c r="Q2697" s="54"/>
      <c r="R2697" s="53"/>
      <c r="S2697" s="53"/>
      <c r="T2697" s="315"/>
      <c r="U2697" s="84"/>
      <c r="V2697" s="84"/>
      <c r="W2697" s="84"/>
      <c r="X2697" s="55"/>
    </row>
    <row r="2698" spans="1:24" hidden="1" x14ac:dyDescent="0.35">
      <c r="A2698" s="46"/>
      <c r="B2698" s="46"/>
      <c r="C2698" s="46"/>
      <c r="D2698" s="46"/>
      <c r="E2698" s="47"/>
      <c r="F2698" s="48" t="s">
        <v>3756</v>
      </c>
      <c r="G2698" s="48"/>
      <c r="H2698" s="49" t="s">
        <v>3757</v>
      </c>
      <c r="I2698" s="82" t="s">
        <v>3758</v>
      </c>
      <c r="J2698" s="100"/>
      <c r="K2698" s="52"/>
      <c r="L2698" s="52"/>
      <c r="M2698" s="53"/>
      <c r="N2698" s="54">
        <v>500</v>
      </c>
      <c r="O2698" s="341"/>
      <c r="P2698" s="54"/>
      <c r="Q2698" s="54"/>
      <c r="R2698" s="53"/>
      <c r="S2698" s="53"/>
      <c r="T2698" s="315"/>
      <c r="U2698" s="84"/>
      <c r="V2698" s="84"/>
      <c r="W2698" s="84"/>
      <c r="X2698" s="55"/>
    </row>
    <row r="2699" spans="1:24" hidden="1" x14ac:dyDescent="0.35">
      <c r="A2699" s="46"/>
      <c r="B2699" s="46"/>
      <c r="C2699" s="46"/>
      <c r="D2699" s="46"/>
      <c r="E2699" s="47"/>
      <c r="F2699" s="48" t="s">
        <v>3759</v>
      </c>
      <c r="G2699" s="48"/>
      <c r="H2699" s="49" t="s">
        <v>3760</v>
      </c>
      <c r="I2699" s="82" t="s">
        <v>3744</v>
      </c>
      <c r="J2699" s="100"/>
      <c r="K2699" s="52"/>
      <c r="L2699" s="52"/>
      <c r="M2699" s="53"/>
      <c r="N2699" s="54">
        <v>2000</v>
      </c>
      <c r="O2699" s="341"/>
      <c r="P2699" s="54"/>
      <c r="Q2699" s="54"/>
      <c r="R2699" s="53"/>
      <c r="S2699" s="53"/>
      <c r="T2699" s="315"/>
      <c r="U2699" s="84"/>
      <c r="V2699" s="84"/>
      <c r="W2699" s="84"/>
      <c r="X2699" s="55"/>
    </row>
    <row r="2700" spans="1:24" ht="29" hidden="1" x14ac:dyDescent="0.35">
      <c r="A2700" s="46"/>
      <c r="B2700" s="46"/>
      <c r="C2700" s="46"/>
      <c r="D2700" s="46"/>
      <c r="E2700" s="47"/>
      <c r="F2700" s="61" t="s">
        <v>449</v>
      </c>
      <c r="G2700" s="61"/>
      <c r="H2700" s="49" t="s">
        <v>3761</v>
      </c>
      <c r="I2700" s="82" t="s">
        <v>3762</v>
      </c>
      <c r="J2700" s="100"/>
      <c r="K2700" s="52"/>
      <c r="L2700" s="52"/>
      <c r="M2700" s="53"/>
      <c r="N2700" s="54">
        <v>1666</v>
      </c>
      <c r="O2700" s="341"/>
      <c r="P2700" s="54"/>
      <c r="Q2700" s="54"/>
      <c r="R2700" s="53"/>
      <c r="S2700" s="53"/>
      <c r="T2700" s="315"/>
      <c r="U2700" s="84"/>
      <c r="V2700" s="84"/>
      <c r="W2700" s="84"/>
      <c r="X2700" s="55"/>
    </row>
    <row r="2701" spans="1:24" hidden="1" x14ac:dyDescent="0.35">
      <c r="A2701" s="46"/>
      <c r="B2701" s="46"/>
      <c r="C2701" s="46"/>
      <c r="D2701" s="46"/>
      <c r="E2701" s="47"/>
      <c r="F2701" s="61" t="s">
        <v>452</v>
      </c>
      <c r="G2701" s="61"/>
      <c r="H2701" s="49" t="s">
        <v>3763</v>
      </c>
      <c r="I2701" s="82" t="s">
        <v>3762</v>
      </c>
      <c r="J2701" s="100"/>
      <c r="K2701" s="52"/>
      <c r="L2701" s="52"/>
      <c r="M2701" s="53"/>
      <c r="N2701" s="54">
        <v>2000</v>
      </c>
      <c r="O2701" s="341"/>
      <c r="P2701" s="54"/>
      <c r="Q2701" s="54"/>
      <c r="R2701" s="53"/>
      <c r="S2701" s="53"/>
      <c r="T2701" s="315"/>
      <c r="U2701" s="84"/>
      <c r="V2701" s="84"/>
      <c r="W2701" s="84"/>
      <c r="X2701" s="55"/>
    </row>
    <row r="2702" spans="1:24" hidden="1" x14ac:dyDescent="0.35">
      <c r="A2702" s="46"/>
      <c r="B2702" s="46"/>
      <c r="C2702" s="46"/>
      <c r="D2702" s="46"/>
      <c r="E2702" s="47"/>
      <c r="F2702" s="48"/>
      <c r="G2702" s="48"/>
      <c r="H2702" s="49" t="s">
        <v>3764</v>
      </c>
      <c r="I2702" s="82" t="s">
        <v>3765</v>
      </c>
      <c r="J2702" s="100"/>
      <c r="K2702" s="52"/>
      <c r="L2702" s="52"/>
      <c r="M2702" s="53"/>
      <c r="N2702" s="54">
        <v>1200</v>
      </c>
      <c r="O2702" s="341"/>
      <c r="P2702" s="54"/>
      <c r="Q2702" s="54"/>
      <c r="R2702" s="53"/>
      <c r="S2702" s="53"/>
      <c r="T2702" s="315"/>
      <c r="U2702" s="84"/>
      <c r="V2702" s="84"/>
      <c r="W2702" s="84"/>
      <c r="X2702" s="55"/>
    </row>
    <row r="2703" spans="1:24" hidden="1" x14ac:dyDescent="0.35">
      <c r="A2703" s="46"/>
      <c r="B2703" s="46"/>
      <c r="C2703" s="46"/>
      <c r="D2703" s="46"/>
      <c r="E2703" s="47"/>
      <c r="F2703" s="48"/>
      <c r="G2703" s="48"/>
      <c r="H2703" s="59" t="s">
        <v>3766</v>
      </c>
      <c r="I2703" s="82" t="s">
        <v>3767</v>
      </c>
      <c r="J2703" s="100"/>
      <c r="K2703" s="52"/>
      <c r="L2703" s="52"/>
      <c r="M2703" s="53"/>
      <c r="N2703" s="54">
        <v>2000</v>
      </c>
      <c r="O2703" s="341"/>
      <c r="P2703" s="54"/>
      <c r="Q2703" s="54"/>
      <c r="R2703" s="53"/>
      <c r="S2703" s="53"/>
      <c r="T2703" s="315"/>
      <c r="U2703" s="84"/>
      <c r="V2703" s="84"/>
      <c r="W2703" s="84"/>
      <c r="X2703" s="55"/>
    </row>
    <row r="2704" spans="1:24" hidden="1" x14ac:dyDescent="0.35">
      <c r="A2704" s="46"/>
      <c r="B2704" s="46"/>
      <c r="C2704" s="46"/>
      <c r="D2704" s="46"/>
      <c r="E2704" s="47"/>
      <c r="F2704" s="48"/>
      <c r="G2704" s="48"/>
      <c r="H2704" s="59" t="s">
        <v>3768</v>
      </c>
      <c r="I2704" s="82" t="s">
        <v>3767</v>
      </c>
      <c r="J2704" s="100"/>
      <c r="K2704" s="52"/>
      <c r="L2704" s="52"/>
      <c r="M2704" s="53"/>
      <c r="N2704" s="54">
        <v>5000</v>
      </c>
      <c r="O2704" s="341"/>
      <c r="P2704" s="54"/>
      <c r="Q2704" s="54"/>
      <c r="R2704" s="53"/>
      <c r="S2704" s="53"/>
      <c r="T2704" s="315"/>
      <c r="U2704" s="84"/>
      <c r="V2704" s="84"/>
      <c r="W2704" s="84"/>
      <c r="X2704" s="55"/>
    </row>
    <row r="2705" spans="1:24" hidden="1" x14ac:dyDescent="0.35">
      <c r="A2705" s="46"/>
      <c r="B2705" s="46"/>
      <c r="C2705" s="46"/>
      <c r="D2705" s="46"/>
      <c r="E2705" s="47"/>
      <c r="F2705" s="48"/>
      <c r="G2705" s="48"/>
      <c r="H2705" s="49" t="s">
        <v>3769</v>
      </c>
      <c r="I2705" s="82" t="s">
        <v>3770</v>
      </c>
      <c r="J2705" s="100"/>
      <c r="K2705" s="52"/>
      <c r="L2705" s="52"/>
      <c r="M2705" s="53"/>
      <c r="N2705" s="54">
        <v>1000</v>
      </c>
      <c r="O2705" s="341"/>
      <c r="P2705" s="54"/>
      <c r="Q2705" s="54"/>
      <c r="R2705" s="53"/>
      <c r="S2705" s="53"/>
      <c r="T2705" s="315"/>
      <c r="U2705" s="84"/>
      <c r="V2705" s="84"/>
      <c r="W2705" s="84"/>
      <c r="X2705" s="55"/>
    </row>
    <row r="2706" spans="1:24" hidden="1" x14ac:dyDescent="0.35">
      <c r="A2706" s="46"/>
      <c r="B2706" s="46"/>
      <c r="C2706" s="46"/>
      <c r="D2706" s="46"/>
      <c r="E2706" s="47"/>
      <c r="F2706" s="48"/>
      <c r="G2706" s="48"/>
      <c r="H2706" s="49" t="s">
        <v>3771</v>
      </c>
      <c r="I2706" s="82" t="s">
        <v>3772</v>
      </c>
      <c r="J2706" s="100"/>
      <c r="K2706" s="52"/>
      <c r="L2706" s="52"/>
      <c r="M2706" s="53"/>
      <c r="N2706" s="54">
        <v>3000</v>
      </c>
      <c r="O2706" s="341"/>
      <c r="P2706" s="54"/>
      <c r="Q2706" s="54"/>
      <c r="R2706" s="53"/>
      <c r="S2706" s="53"/>
      <c r="T2706" s="315"/>
      <c r="U2706" s="84"/>
      <c r="V2706" s="84"/>
      <c r="W2706" s="84"/>
      <c r="X2706" s="55"/>
    </row>
    <row r="2707" spans="1:24" hidden="1" x14ac:dyDescent="0.35">
      <c r="A2707" s="46"/>
      <c r="B2707" s="46"/>
      <c r="C2707" s="46"/>
      <c r="D2707" s="46"/>
      <c r="E2707" s="47"/>
      <c r="F2707" s="48"/>
      <c r="G2707" s="48"/>
      <c r="H2707" s="49" t="s">
        <v>3773</v>
      </c>
      <c r="I2707" s="82" t="s">
        <v>3663</v>
      </c>
      <c r="J2707" s="100"/>
      <c r="K2707" s="52"/>
      <c r="L2707" s="52"/>
      <c r="M2707" s="53"/>
      <c r="N2707" s="54">
        <v>3000</v>
      </c>
      <c r="O2707" s="341"/>
      <c r="P2707" s="54"/>
      <c r="Q2707" s="54"/>
      <c r="R2707" s="53"/>
      <c r="S2707" s="53"/>
      <c r="T2707" s="315"/>
      <c r="U2707" s="84"/>
      <c r="V2707" s="84"/>
      <c r="W2707" s="84"/>
      <c r="X2707" s="55"/>
    </row>
    <row r="2708" spans="1:24" hidden="1" x14ac:dyDescent="0.35">
      <c r="A2708" s="46"/>
      <c r="B2708" s="46"/>
      <c r="C2708" s="46"/>
      <c r="D2708" s="46"/>
      <c r="E2708" s="47"/>
      <c r="F2708" s="48"/>
      <c r="G2708" s="48"/>
      <c r="H2708" s="49" t="s">
        <v>3774</v>
      </c>
      <c r="I2708" s="82" t="s">
        <v>3775</v>
      </c>
      <c r="J2708" s="100"/>
      <c r="K2708" s="52"/>
      <c r="L2708" s="52"/>
      <c r="M2708" s="53"/>
      <c r="N2708" s="54">
        <v>60</v>
      </c>
      <c r="O2708" s="341"/>
      <c r="P2708" s="54"/>
      <c r="Q2708" s="54"/>
      <c r="R2708" s="53"/>
      <c r="S2708" s="53"/>
      <c r="T2708" s="315"/>
      <c r="U2708" s="84"/>
      <c r="V2708" s="84"/>
      <c r="W2708" s="84"/>
      <c r="X2708" s="55"/>
    </row>
    <row r="2709" spans="1:24" hidden="1" x14ac:dyDescent="0.35">
      <c r="A2709" s="46"/>
      <c r="B2709" s="46"/>
      <c r="C2709" s="46"/>
      <c r="D2709" s="46"/>
      <c r="E2709" s="47"/>
      <c r="F2709" s="48" t="s">
        <v>3776</v>
      </c>
      <c r="G2709" s="48"/>
      <c r="H2709" s="49" t="s">
        <v>3777</v>
      </c>
      <c r="I2709" s="82" t="s">
        <v>3696</v>
      </c>
      <c r="J2709" s="100"/>
      <c r="K2709" s="52"/>
      <c r="L2709" s="52"/>
      <c r="M2709" s="53"/>
      <c r="N2709" s="54">
        <v>5685</v>
      </c>
      <c r="O2709" s="341"/>
      <c r="P2709" s="54"/>
      <c r="Q2709" s="54"/>
      <c r="R2709" s="53"/>
      <c r="S2709" s="53"/>
      <c r="T2709" s="315"/>
      <c r="U2709" s="84"/>
      <c r="V2709" s="84"/>
      <c r="W2709" s="84"/>
      <c r="X2709" s="55"/>
    </row>
    <row r="2710" spans="1:24" hidden="1" x14ac:dyDescent="0.35">
      <c r="A2710" s="46"/>
      <c r="B2710" s="46"/>
      <c r="C2710" s="46"/>
      <c r="D2710" s="46"/>
      <c r="E2710" s="47"/>
      <c r="F2710" s="48" t="s">
        <v>3778</v>
      </c>
      <c r="G2710" s="48"/>
      <c r="H2710" s="49" t="s">
        <v>3777</v>
      </c>
      <c r="I2710" s="82" t="s">
        <v>3683</v>
      </c>
      <c r="J2710" s="100"/>
      <c r="K2710" s="52"/>
      <c r="L2710" s="52"/>
      <c r="M2710" s="53"/>
      <c r="N2710" s="54">
        <v>1500</v>
      </c>
      <c r="O2710" s="341"/>
      <c r="P2710" s="54"/>
      <c r="Q2710" s="54"/>
      <c r="R2710" s="53"/>
      <c r="S2710" s="53"/>
      <c r="T2710" s="315"/>
      <c r="U2710" s="84"/>
      <c r="V2710" s="84"/>
      <c r="W2710" s="84"/>
      <c r="X2710" s="55"/>
    </row>
    <row r="2711" spans="1:24" hidden="1" x14ac:dyDescent="0.35">
      <c r="A2711" s="46"/>
      <c r="B2711" s="46"/>
      <c r="C2711" s="46"/>
      <c r="D2711" s="46"/>
      <c r="E2711" s="47"/>
      <c r="F2711" s="48"/>
      <c r="G2711" s="48"/>
      <c r="H2711" s="49" t="s">
        <v>3779</v>
      </c>
      <c r="I2711" s="82" t="s">
        <v>3780</v>
      </c>
      <c r="J2711" s="100"/>
      <c r="K2711" s="52"/>
      <c r="L2711" s="52"/>
      <c r="M2711" s="53"/>
      <c r="N2711" s="54">
        <v>160</v>
      </c>
      <c r="O2711" s="341"/>
      <c r="P2711" s="54"/>
      <c r="Q2711" s="54"/>
      <c r="R2711" s="53"/>
      <c r="S2711" s="53"/>
      <c r="T2711" s="315"/>
      <c r="U2711" s="84"/>
      <c r="V2711" s="84"/>
      <c r="W2711" s="84"/>
      <c r="X2711" s="55"/>
    </row>
    <row r="2712" spans="1:24" hidden="1" x14ac:dyDescent="0.35">
      <c r="A2712" s="46"/>
      <c r="B2712" s="46"/>
      <c r="C2712" s="46"/>
      <c r="D2712" s="46"/>
      <c r="E2712" s="47"/>
      <c r="F2712" s="48"/>
      <c r="G2712" s="48"/>
      <c r="H2712" s="49" t="s">
        <v>3781</v>
      </c>
      <c r="I2712" s="82" t="s">
        <v>3782</v>
      </c>
      <c r="J2712" s="100"/>
      <c r="K2712" s="52"/>
      <c r="L2712" s="52"/>
      <c r="M2712" s="53"/>
      <c r="N2712" s="54">
        <v>160</v>
      </c>
      <c r="O2712" s="341"/>
      <c r="P2712" s="54"/>
      <c r="Q2712" s="54"/>
      <c r="R2712" s="53"/>
      <c r="S2712" s="53"/>
      <c r="T2712" s="315"/>
      <c r="U2712" s="84"/>
      <c r="V2712" s="84"/>
      <c r="W2712" s="84"/>
      <c r="X2712" s="55"/>
    </row>
    <row r="2713" spans="1:24" ht="26.5" hidden="1" x14ac:dyDescent="0.35">
      <c r="A2713" s="46"/>
      <c r="B2713" s="46"/>
      <c r="C2713" s="46"/>
      <c r="D2713" s="46"/>
      <c r="E2713" s="47"/>
      <c r="F2713" s="48"/>
      <c r="G2713" s="48"/>
      <c r="H2713" s="49" t="s">
        <v>3783</v>
      </c>
      <c r="I2713" s="69" t="s">
        <v>3784</v>
      </c>
      <c r="J2713" s="100"/>
      <c r="K2713" s="52"/>
      <c r="L2713" s="52"/>
      <c r="M2713" s="53"/>
      <c r="N2713" s="54">
        <v>300</v>
      </c>
      <c r="O2713" s="341"/>
      <c r="P2713" s="54"/>
      <c r="Q2713" s="54"/>
      <c r="R2713" s="53"/>
      <c r="S2713" s="53"/>
      <c r="T2713" s="315"/>
      <c r="U2713" s="84"/>
      <c r="V2713" s="84"/>
      <c r="W2713" s="84"/>
      <c r="X2713" s="55"/>
    </row>
    <row r="2714" spans="1:24" hidden="1" x14ac:dyDescent="0.35">
      <c r="A2714" s="46"/>
      <c r="B2714" s="46"/>
      <c r="C2714" s="46"/>
      <c r="D2714" s="46"/>
      <c r="E2714" s="47"/>
      <c r="F2714" s="48" t="s">
        <v>3785</v>
      </c>
      <c r="G2714" s="48"/>
      <c r="H2714" s="49"/>
      <c r="I2714" s="82" t="s">
        <v>3683</v>
      </c>
      <c r="J2714" s="100"/>
      <c r="K2714" s="52"/>
      <c r="L2714" s="52"/>
      <c r="M2714" s="53"/>
      <c r="N2714" s="54">
        <v>2000</v>
      </c>
      <c r="O2714" s="341"/>
      <c r="P2714" s="54"/>
      <c r="Q2714" s="54"/>
      <c r="R2714" s="53"/>
      <c r="S2714" s="53"/>
      <c r="T2714" s="315"/>
      <c r="U2714" s="84"/>
      <c r="V2714" s="84"/>
      <c r="W2714" s="84"/>
      <c r="X2714" s="55"/>
    </row>
    <row r="2715" spans="1:24" hidden="1" x14ac:dyDescent="0.35">
      <c r="A2715" s="46"/>
      <c r="B2715" s="46"/>
      <c r="C2715" s="46"/>
      <c r="D2715" s="46"/>
      <c r="E2715" s="47"/>
      <c r="F2715" s="48" t="s">
        <v>3786</v>
      </c>
      <c r="G2715" s="48"/>
      <c r="H2715" s="49" t="s">
        <v>3787</v>
      </c>
      <c r="I2715" s="82" t="s">
        <v>3788</v>
      </c>
      <c r="J2715" s="100"/>
      <c r="K2715" s="52"/>
      <c r="L2715" s="52"/>
      <c r="M2715" s="53"/>
      <c r="N2715" s="54">
        <v>500</v>
      </c>
      <c r="O2715" s="341"/>
      <c r="P2715" s="54"/>
      <c r="Q2715" s="54"/>
      <c r="R2715" s="53"/>
      <c r="S2715" s="53"/>
      <c r="T2715" s="315"/>
      <c r="U2715" s="84"/>
      <c r="V2715" s="84"/>
      <c r="W2715" s="84"/>
      <c r="X2715" s="55"/>
    </row>
    <row r="2716" spans="1:24" hidden="1" x14ac:dyDescent="0.35">
      <c r="A2716" s="46"/>
      <c r="B2716" s="46"/>
      <c r="C2716" s="46"/>
      <c r="D2716" s="46"/>
      <c r="E2716" s="47"/>
      <c r="F2716" s="48" t="s">
        <v>3786</v>
      </c>
      <c r="G2716" s="48"/>
      <c r="H2716" s="49" t="s">
        <v>3789</v>
      </c>
      <c r="I2716" s="82" t="s">
        <v>3790</v>
      </c>
      <c r="J2716" s="100"/>
      <c r="K2716" s="52"/>
      <c r="L2716" s="52"/>
      <c r="M2716" s="53"/>
      <c r="N2716" s="54">
        <v>450</v>
      </c>
      <c r="O2716" s="341"/>
      <c r="P2716" s="54"/>
      <c r="Q2716" s="54"/>
      <c r="R2716" s="53"/>
      <c r="S2716" s="53"/>
      <c r="T2716" s="315"/>
      <c r="U2716" s="84"/>
      <c r="V2716" s="84"/>
      <c r="W2716" s="84"/>
      <c r="X2716" s="55"/>
    </row>
    <row r="2717" spans="1:24" hidden="1" x14ac:dyDescent="0.35">
      <c r="A2717" s="46"/>
      <c r="B2717" s="46"/>
      <c r="C2717" s="46"/>
      <c r="D2717" s="46"/>
      <c r="E2717" s="47"/>
      <c r="F2717" s="48" t="s">
        <v>3786</v>
      </c>
      <c r="G2717" s="48"/>
      <c r="H2717" s="49" t="s">
        <v>3791</v>
      </c>
      <c r="I2717" s="82" t="s">
        <v>3792</v>
      </c>
      <c r="J2717" s="100"/>
      <c r="K2717" s="52"/>
      <c r="L2717" s="52"/>
      <c r="M2717" s="53"/>
      <c r="N2717" s="54">
        <v>50</v>
      </c>
      <c r="O2717" s="341"/>
      <c r="P2717" s="54"/>
      <c r="Q2717" s="54"/>
      <c r="R2717" s="53"/>
      <c r="S2717" s="53"/>
      <c r="T2717" s="315"/>
      <c r="U2717" s="84"/>
      <c r="V2717" s="84"/>
      <c r="W2717" s="84"/>
      <c r="X2717" s="55"/>
    </row>
    <row r="2718" spans="1:24" hidden="1" x14ac:dyDescent="0.35">
      <c r="A2718" s="46"/>
      <c r="B2718" s="46"/>
      <c r="C2718" s="46"/>
      <c r="D2718" s="46"/>
      <c r="E2718" s="47"/>
      <c r="F2718" s="48" t="s">
        <v>3793</v>
      </c>
      <c r="G2718" s="48"/>
      <c r="H2718" s="49" t="s">
        <v>3794</v>
      </c>
      <c r="I2718" s="82" t="s">
        <v>3795</v>
      </c>
      <c r="J2718" s="100"/>
      <c r="K2718" s="52"/>
      <c r="L2718" s="52"/>
      <c r="M2718" s="53"/>
      <c r="N2718" s="54">
        <v>800</v>
      </c>
      <c r="O2718" s="341"/>
      <c r="P2718" s="54"/>
      <c r="Q2718" s="54"/>
      <c r="R2718" s="53"/>
      <c r="S2718" s="53"/>
      <c r="T2718" s="315"/>
      <c r="U2718" s="84"/>
      <c r="V2718" s="84"/>
      <c r="W2718" s="84"/>
      <c r="X2718" s="55"/>
    </row>
    <row r="2719" spans="1:24" hidden="1" x14ac:dyDescent="0.35">
      <c r="A2719" s="46"/>
      <c r="B2719" s="46"/>
      <c r="C2719" s="46"/>
      <c r="D2719" s="46"/>
      <c r="E2719" s="47"/>
      <c r="F2719" s="48" t="s">
        <v>144</v>
      </c>
      <c r="G2719" s="48"/>
      <c r="H2719" s="59" t="s">
        <v>3796</v>
      </c>
      <c r="I2719" s="82" t="s">
        <v>3797</v>
      </c>
      <c r="J2719" s="100"/>
      <c r="K2719" s="52"/>
      <c r="L2719" s="52"/>
      <c r="M2719" s="53"/>
      <c r="N2719" s="54">
        <v>800</v>
      </c>
      <c r="O2719" s="341"/>
      <c r="P2719" s="54"/>
      <c r="Q2719" s="54"/>
      <c r="R2719" s="53"/>
      <c r="S2719" s="53"/>
      <c r="T2719" s="315"/>
      <c r="U2719" s="84"/>
      <c r="V2719" s="84"/>
      <c r="W2719" s="84"/>
      <c r="X2719" s="55"/>
    </row>
    <row r="2720" spans="1:24" hidden="1" x14ac:dyDescent="0.35">
      <c r="A2720" s="46"/>
      <c r="B2720" s="46"/>
      <c r="C2720" s="46"/>
      <c r="D2720" s="46"/>
      <c r="E2720" s="47"/>
      <c r="F2720" s="48" t="s">
        <v>144</v>
      </c>
      <c r="G2720" s="48"/>
      <c r="H2720" s="59" t="s">
        <v>3798</v>
      </c>
      <c r="I2720" s="82" t="s">
        <v>3799</v>
      </c>
      <c r="J2720" s="100"/>
      <c r="K2720" s="52"/>
      <c r="L2720" s="52"/>
      <c r="M2720" s="53"/>
      <c r="N2720" s="54">
        <v>800</v>
      </c>
      <c r="O2720" s="341"/>
      <c r="P2720" s="54"/>
      <c r="Q2720" s="54"/>
      <c r="R2720" s="53"/>
      <c r="S2720" s="53"/>
      <c r="T2720" s="315"/>
      <c r="U2720" s="84"/>
      <c r="V2720" s="84"/>
      <c r="W2720" s="84"/>
      <c r="X2720" s="55"/>
    </row>
    <row r="2721" spans="1:24" hidden="1" x14ac:dyDescent="0.35">
      <c r="A2721" s="46"/>
      <c r="B2721" s="46"/>
      <c r="C2721" s="46"/>
      <c r="D2721" s="46"/>
      <c r="E2721" s="47"/>
      <c r="F2721" s="48" t="s">
        <v>3800</v>
      </c>
      <c r="G2721" s="48"/>
      <c r="H2721" s="59" t="s">
        <v>3801</v>
      </c>
      <c r="I2721" s="82" t="s">
        <v>3742</v>
      </c>
      <c r="J2721" s="100"/>
      <c r="K2721" s="52"/>
      <c r="L2721" s="52"/>
      <c r="M2721" s="53"/>
      <c r="N2721" s="54">
        <v>2600</v>
      </c>
      <c r="O2721" s="341"/>
      <c r="P2721" s="54"/>
      <c r="Q2721" s="54"/>
      <c r="R2721" s="53"/>
      <c r="S2721" s="53"/>
      <c r="T2721" s="315"/>
      <c r="U2721" s="84"/>
      <c r="V2721" s="84"/>
      <c r="W2721" s="84"/>
      <c r="X2721" s="55"/>
    </row>
    <row r="2722" spans="1:24" hidden="1" x14ac:dyDescent="0.35">
      <c r="A2722" s="46"/>
      <c r="B2722" s="46"/>
      <c r="C2722" s="46"/>
      <c r="D2722" s="46"/>
      <c r="E2722" s="47"/>
      <c r="F2722" s="48" t="s">
        <v>144</v>
      </c>
      <c r="G2722" s="48"/>
      <c r="H2722" s="59" t="s">
        <v>3802</v>
      </c>
      <c r="I2722" s="82" t="s">
        <v>3661</v>
      </c>
      <c r="J2722" s="100"/>
      <c r="K2722" s="52"/>
      <c r="L2722" s="52"/>
      <c r="M2722" s="53"/>
      <c r="N2722" s="54">
        <v>408</v>
      </c>
      <c r="O2722" s="341"/>
      <c r="P2722" s="54"/>
      <c r="Q2722" s="54"/>
      <c r="R2722" s="53"/>
      <c r="S2722" s="53"/>
      <c r="T2722" s="315"/>
      <c r="U2722" s="84"/>
      <c r="V2722" s="84"/>
      <c r="W2722" s="84"/>
      <c r="X2722" s="55"/>
    </row>
    <row r="2723" spans="1:24" ht="26.5" hidden="1" x14ac:dyDescent="0.35">
      <c r="A2723" s="46"/>
      <c r="B2723" s="46"/>
      <c r="C2723" s="46"/>
      <c r="D2723" s="46"/>
      <c r="E2723" s="47"/>
      <c r="F2723" s="48" t="s">
        <v>144</v>
      </c>
      <c r="G2723" s="48"/>
      <c r="H2723" s="59" t="s">
        <v>3803</v>
      </c>
      <c r="I2723" s="82" t="s">
        <v>3804</v>
      </c>
      <c r="J2723" s="100"/>
      <c r="K2723" s="52"/>
      <c r="L2723" s="52"/>
      <c r="M2723" s="53"/>
      <c r="N2723" s="54">
        <v>408</v>
      </c>
      <c r="O2723" s="341"/>
      <c r="P2723" s="54"/>
      <c r="Q2723" s="54"/>
      <c r="R2723" s="53"/>
      <c r="S2723" s="53"/>
      <c r="T2723" s="315"/>
      <c r="U2723" s="84"/>
      <c r="V2723" s="84"/>
      <c r="W2723" s="84"/>
      <c r="X2723" s="55"/>
    </row>
    <row r="2724" spans="1:24" ht="26.5" hidden="1" x14ac:dyDescent="0.35">
      <c r="A2724" s="46"/>
      <c r="B2724" s="46"/>
      <c r="C2724" s="46"/>
      <c r="D2724" s="46"/>
      <c r="E2724" s="47"/>
      <c r="F2724" s="48" t="s">
        <v>144</v>
      </c>
      <c r="G2724" s="48"/>
      <c r="H2724" s="59" t="s">
        <v>3805</v>
      </c>
      <c r="I2724" s="82" t="s">
        <v>3806</v>
      </c>
      <c r="J2724" s="100"/>
      <c r="K2724" s="52"/>
      <c r="L2724" s="52"/>
      <c r="M2724" s="53"/>
      <c r="N2724" s="54">
        <v>300</v>
      </c>
      <c r="O2724" s="341"/>
      <c r="P2724" s="54"/>
      <c r="Q2724" s="54"/>
      <c r="R2724" s="53"/>
      <c r="S2724" s="53"/>
      <c r="T2724" s="315"/>
      <c r="U2724" s="84"/>
      <c r="V2724" s="84"/>
      <c r="W2724" s="84"/>
      <c r="X2724" s="55"/>
    </row>
    <row r="2725" spans="1:24" ht="26.5" hidden="1" x14ac:dyDescent="0.35">
      <c r="A2725" s="46"/>
      <c r="B2725" s="46"/>
      <c r="C2725" s="46"/>
      <c r="D2725" s="46"/>
      <c r="E2725" s="47"/>
      <c r="F2725" s="48" t="s">
        <v>144</v>
      </c>
      <c r="G2725" s="48"/>
      <c r="H2725" s="59" t="s">
        <v>3807</v>
      </c>
      <c r="I2725" s="82" t="s">
        <v>3808</v>
      </c>
      <c r="J2725" s="100"/>
      <c r="K2725" s="52"/>
      <c r="L2725" s="52"/>
      <c r="M2725" s="53"/>
      <c r="N2725" s="54">
        <v>300</v>
      </c>
      <c r="O2725" s="341"/>
      <c r="P2725" s="54"/>
      <c r="Q2725" s="54"/>
      <c r="R2725" s="53"/>
      <c r="S2725" s="53"/>
      <c r="T2725" s="315"/>
      <c r="U2725" s="84"/>
      <c r="V2725" s="84"/>
      <c r="W2725" s="84"/>
      <c r="X2725" s="55"/>
    </row>
    <row r="2726" spans="1:24" hidden="1" x14ac:dyDescent="0.35">
      <c r="A2726" s="46"/>
      <c r="B2726" s="46"/>
      <c r="C2726" s="46"/>
      <c r="D2726" s="46"/>
      <c r="E2726" s="47"/>
      <c r="F2726" s="48" t="s">
        <v>3809</v>
      </c>
      <c r="G2726" s="48"/>
      <c r="H2726" s="59" t="s">
        <v>3810</v>
      </c>
      <c r="I2726" s="82" t="s">
        <v>3811</v>
      </c>
      <c r="J2726" s="100"/>
      <c r="K2726" s="52"/>
      <c r="L2726" s="52"/>
      <c r="M2726" s="53"/>
      <c r="N2726" s="54">
        <v>2500</v>
      </c>
      <c r="O2726" s="341"/>
      <c r="P2726" s="54"/>
      <c r="Q2726" s="54"/>
      <c r="R2726" s="53"/>
      <c r="S2726" s="53"/>
      <c r="T2726" s="315"/>
      <c r="U2726" s="84"/>
      <c r="V2726" s="84"/>
      <c r="W2726" s="84"/>
      <c r="X2726" s="55"/>
    </row>
    <row r="2727" spans="1:24" hidden="1" x14ac:dyDescent="0.35">
      <c r="A2727" s="46"/>
      <c r="B2727" s="46"/>
      <c r="C2727" s="46"/>
      <c r="D2727" s="46"/>
      <c r="E2727" s="47"/>
      <c r="F2727" s="48"/>
      <c r="G2727" s="48"/>
      <c r="H2727" s="49"/>
      <c r="I2727" s="69" t="s">
        <v>3812</v>
      </c>
      <c r="J2727" s="100"/>
      <c r="K2727" s="52"/>
      <c r="L2727" s="52"/>
      <c r="M2727" s="53"/>
      <c r="N2727" s="54"/>
      <c r="O2727" s="341"/>
      <c r="P2727" s="54"/>
      <c r="Q2727" s="54"/>
      <c r="R2727" s="53"/>
      <c r="S2727" s="53"/>
      <c r="T2727" s="315"/>
      <c r="U2727" s="84"/>
      <c r="V2727" s="84"/>
      <c r="W2727" s="84"/>
      <c r="X2727" s="55"/>
    </row>
    <row r="2728" spans="1:24" hidden="1" x14ac:dyDescent="0.35">
      <c r="A2728" s="46"/>
      <c r="B2728" s="46"/>
      <c r="C2728" s="46"/>
      <c r="D2728" s="46"/>
      <c r="E2728" s="47"/>
      <c r="F2728" s="48"/>
      <c r="G2728" s="48"/>
      <c r="H2728" s="49"/>
      <c r="I2728" s="82"/>
      <c r="J2728" s="100"/>
      <c r="K2728" s="52"/>
      <c r="L2728" s="52"/>
      <c r="M2728" s="53"/>
      <c r="N2728" s="54"/>
      <c r="O2728" s="341"/>
      <c r="P2728" s="54"/>
      <c r="Q2728" s="54"/>
      <c r="R2728" s="53"/>
      <c r="S2728" s="53"/>
      <c r="T2728" s="315"/>
      <c r="U2728" s="84"/>
      <c r="V2728" s="84"/>
      <c r="W2728" s="84"/>
      <c r="X2728" s="55"/>
    </row>
    <row r="2729" spans="1:24" ht="26.5" hidden="1" x14ac:dyDescent="0.35">
      <c r="A2729" s="744"/>
      <c r="B2729" s="744"/>
      <c r="C2729" s="744"/>
      <c r="D2729" s="744"/>
      <c r="E2729" s="47"/>
      <c r="F2729" s="48"/>
      <c r="G2729" s="48"/>
      <c r="H2729" s="49" t="s">
        <v>3813</v>
      </c>
      <c r="I2729" s="82" t="s">
        <v>3694</v>
      </c>
      <c r="J2729" s="100"/>
      <c r="K2729" s="52"/>
      <c r="L2729" s="52"/>
      <c r="M2729" s="53"/>
      <c r="N2729" s="54"/>
      <c r="O2729" s="341"/>
      <c r="P2729" s="217">
        <v>2000</v>
      </c>
      <c r="Q2729" s="217"/>
      <c r="R2729" s="53"/>
      <c r="S2729" s="53"/>
      <c r="T2729" s="315"/>
      <c r="U2729" s="84"/>
      <c r="V2729" s="84"/>
      <c r="W2729" s="84"/>
      <c r="X2729" s="55"/>
    </row>
    <row r="2730" spans="1:24" hidden="1" x14ac:dyDescent="0.35">
      <c r="A2730" s="744"/>
      <c r="B2730" s="744"/>
      <c r="C2730" s="744"/>
      <c r="D2730" s="744"/>
      <c r="E2730" s="47"/>
      <c r="F2730" s="48"/>
      <c r="G2730" s="48"/>
      <c r="H2730" s="49" t="s">
        <v>3814</v>
      </c>
      <c r="I2730" s="82" t="s">
        <v>3815</v>
      </c>
      <c r="J2730" s="100"/>
      <c r="K2730" s="52"/>
      <c r="L2730" s="52"/>
      <c r="M2730" s="53"/>
      <c r="N2730" s="54"/>
      <c r="O2730" s="341"/>
      <c r="P2730" s="217">
        <v>2000</v>
      </c>
      <c r="Q2730" s="217"/>
      <c r="R2730" s="53"/>
      <c r="S2730" s="53"/>
      <c r="T2730" s="315"/>
      <c r="U2730" s="84"/>
      <c r="V2730" s="84"/>
      <c r="W2730" s="84"/>
      <c r="X2730" s="55"/>
    </row>
    <row r="2731" spans="1:24" hidden="1" x14ac:dyDescent="0.35">
      <c r="A2731" s="744"/>
      <c r="B2731" s="744"/>
      <c r="C2731" s="744"/>
      <c r="D2731" s="744"/>
      <c r="E2731" s="47"/>
      <c r="F2731" s="48"/>
      <c r="G2731" s="48"/>
      <c r="H2731" s="49" t="s">
        <v>3816</v>
      </c>
      <c r="I2731" s="82" t="s">
        <v>3734</v>
      </c>
      <c r="J2731" s="100"/>
      <c r="K2731" s="52"/>
      <c r="L2731" s="52"/>
      <c r="M2731" s="53"/>
      <c r="N2731" s="54"/>
      <c r="O2731" s="341"/>
      <c r="P2731" s="217">
        <v>5000</v>
      </c>
      <c r="Q2731" s="217"/>
      <c r="R2731" s="53"/>
      <c r="S2731" s="53"/>
      <c r="T2731" s="315"/>
      <c r="U2731" s="84"/>
      <c r="V2731" s="84"/>
      <c r="W2731" s="84"/>
      <c r="X2731" s="55"/>
    </row>
    <row r="2732" spans="1:24" hidden="1" x14ac:dyDescent="0.35">
      <c r="A2732" s="744"/>
      <c r="B2732" s="744"/>
      <c r="C2732" s="744"/>
      <c r="D2732" s="744"/>
      <c r="E2732" s="47"/>
      <c r="F2732" s="48"/>
      <c r="G2732" s="48"/>
      <c r="H2732" s="49" t="s">
        <v>3817</v>
      </c>
      <c r="I2732" s="82" t="s">
        <v>3818</v>
      </c>
      <c r="J2732" s="100"/>
      <c r="K2732" s="52"/>
      <c r="L2732" s="52"/>
      <c r="M2732" s="53"/>
      <c r="N2732" s="54"/>
      <c r="O2732" s="341"/>
      <c r="P2732" s="217">
        <v>4000</v>
      </c>
      <c r="Q2732" s="217"/>
      <c r="R2732" s="53"/>
      <c r="S2732" s="53"/>
      <c r="T2732" s="315"/>
      <c r="U2732" s="84"/>
      <c r="V2732" s="84"/>
      <c r="W2732" s="84"/>
      <c r="X2732" s="55"/>
    </row>
    <row r="2733" spans="1:24" hidden="1" x14ac:dyDescent="0.35">
      <c r="A2733" s="744"/>
      <c r="B2733" s="744"/>
      <c r="C2733" s="744"/>
      <c r="D2733" s="744"/>
      <c r="E2733" s="47"/>
      <c r="F2733" s="48"/>
      <c r="G2733" s="48"/>
      <c r="H2733" s="49" t="s">
        <v>3819</v>
      </c>
      <c r="I2733" s="82" t="s">
        <v>3696</v>
      </c>
      <c r="J2733" s="100"/>
      <c r="K2733" s="52"/>
      <c r="L2733" s="52"/>
      <c r="M2733" s="53"/>
      <c r="N2733" s="54"/>
      <c r="O2733" s="341"/>
      <c r="P2733" s="217">
        <f>1300+1050</f>
        <v>2350</v>
      </c>
      <c r="Q2733" s="217"/>
      <c r="R2733" s="53"/>
      <c r="S2733" s="53"/>
      <c r="T2733" s="315"/>
      <c r="U2733" s="84"/>
      <c r="V2733" s="84"/>
      <c r="W2733" s="84"/>
      <c r="X2733" s="55"/>
    </row>
    <row r="2734" spans="1:24" ht="26.5" hidden="1" x14ac:dyDescent="0.35">
      <c r="A2734" s="744"/>
      <c r="B2734" s="744"/>
      <c r="C2734" s="744"/>
      <c r="D2734" s="744"/>
      <c r="E2734" s="47"/>
      <c r="F2734" s="48"/>
      <c r="G2734" s="48"/>
      <c r="H2734" s="49" t="s">
        <v>3820</v>
      </c>
      <c r="I2734" s="82" t="s">
        <v>3804</v>
      </c>
      <c r="J2734" s="77"/>
      <c r="K2734" s="52"/>
      <c r="L2734" s="52"/>
      <c r="M2734" s="53"/>
      <c r="N2734" s="54"/>
      <c r="O2734" s="341"/>
      <c r="P2734" s="217">
        <v>250</v>
      </c>
      <c r="Q2734" s="217"/>
      <c r="R2734" s="53"/>
      <c r="S2734" s="53"/>
      <c r="T2734" s="315"/>
      <c r="U2734" s="84"/>
      <c r="V2734" s="84"/>
      <c r="W2734" s="84"/>
      <c r="X2734" s="55"/>
    </row>
    <row r="2735" spans="1:24" ht="26.5" hidden="1" x14ac:dyDescent="0.35">
      <c r="A2735" s="744"/>
      <c r="B2735" s="744"/>
      <c r="C2735" s="744"/>
      <c r="D2735" s="744"/>
      <c r="E2735" s="47"/>
      <c r="F2735" s="48"/>
      <c r="G2735" s="48"/>
      <c r="H2735" s="49" t="s">
        <v>3821</v>
      </c>
      <c r="I2735" s="82" t="s">
        <v>3808</v>
      </c>
      <c r="J2735" s="100"/>
      <c r="K2735" s="52"/>
      <c r="L2735" s="52"/>
      <c r="M2735" s="53"/>
      <c r="N2735" s="54"/>
      <c r="O2735" s="341"/>
      <c r="P2735" s="217">
        <v>250</v>
      </c>
      <c r="Q2735" s="217"/>
      <c r="R2735" s="53"/>
      <c r="S2735" s="53"/>
      <c r="T2735" s="315"/>
      <c r="U2735" s="84"/>
      <c r="V2735" s="84"/>
      <c r="W2735" s="84"/>
      <c r="X2735" s="55"/>
    </row>
    <row r="2736" spans="1:24" hidden="1" x14ac:dyDescent="0.35">
      <c r="A2736" s="744"/>
      <c r="B2736" s="744"/>
      <c r="C2736" s="744"/>
      <c r="D2736" s="744"/>
      <c r="E2736" s="47"/>
      <c r="F2736" s="48" t="s">
        <v>1395</v>
      </c>
      <c r="G2736" s="48"/>
      <c r="H2736" s="59" t="s">
        <v>3822</v>
      </c>
      <c r="I2736" s="82" t="s">
        <v>3742</v>
      </c>
      <c r="J2736" s="100"/>
      <c r="K2736" s="52"/>
      <c r="L2736" s="52"/>
      <c r="M2736" s="53"/>
      <c r="N2736" s="54"/>
      <c r="O2736" s="341"/>
      <c r="P2736" s="217">
        <v>1000</v>
      </c>
      <c r="Q2736" s="217"/>
      <c r="R2736" s="53"/>
      <c r="S2736" s="53"/>
      <c r="T2736" s="315"/>
      <c r="U2736" s="84"/>
      <c r="V2736" s="84"/>
      <c r="W2736" s="84"/>
      <c r="X2736" s="55"/>
    </row>
    <row r="2737" spans="1:24" hidden="1" x14ac:dyDescent="0.35">
      <c r="A2737" s="744"/>
      <c r="B2737" s="744"/>
      <c r="C2737" s="744"/>
      <c r="D2737" s="744"/>
      <c r="E2737" s="47"/>
      <c r="F2737" s="48" t="s">
        <v>1383</v>
      </c>
      <c r="G2737" s="48"/>
      <c r="H2737" s="59" t="s">
        <v>3823</v>
      </c>
      <c r="I2737" s="534" t="s">
        <v>3824</v>
      </c>
      <c r="J2737" s="100"/>
      <c r="K2737" s="52"/>
      <c r="L2737" s="52"/>
      <c r="M2737" s="53"/>
      <c r="N2737" s="54"/>
      <c r="O2737" s="341"/>
      <c r="P2737" s="217">
        <v>5000</v>
      </c>
      <c r="Q2737" s="217"/>
      <c r="R2737" s="53"/>
      <c r="S2737" s="53"/>
      <c r="T2737" s="315"/>
      <c r="U2737" s="84"/>
      <c r="V2737" s="84"/>
      <c r="W2737" s="84"/>
      <c r="X2737" s="55"/>
    </row>
    <row r="2738" spans="1:24" hidden="1" x14ac:dyDescent="0.35">
      <c r="A2738" s="744"/>
      <c r="B2738" s="744"/>
      <c r="C2738" s="744"/>
      <c r="D2738" s="744"/>
      <c r="E2738" s="47"/>
      <c r="F2738" s="48" t="s">
        <v>2016</v>
      </c>
      <c r="G2738" s="48"/>
      <c r="H2738" s="59" t="s">
        <v>3825</v>
      </c>
      <c r="I2738" s="534" t="s">
        <v>3826</v>
      </c>
      <c r="J2738" s="100"/>
      <c r="K2738" s="52"/>
      <c r="L2738" s="52"/>
      <c r="M2738" s="53"/>
      <c r="N2738" s="54"/>
      <c r="O2738" s="341"/>
      <c r="P2738" s="217">
        <v>4500</v>
      </c>
      <c r="Q2738" s="217"/>
      <c r="R2738" s="53"/>
      <c r="S2738" s="53"/>
      <c r="T2738" s="315"/>
      <c r="U2738" s="84"/>
      <c r="V2738" s="84"/>
      <c r="W2738" s="84"/>
      <c r="X2738" s="55"/>
    </row>
    <row r="2739" spans="1:24" hidden="1" x14ac:dyDescent="0.35">
      <c r="A2739" s="744"/>
      <c r="B2739" s="744"/>
      <c r="C2739" s="744"/>
      <c r="D2739" s="744"/>
      <c r="E2739" s="47"/>
      <c r="F2739" s="48" t="s">
        <v>1389</v>
      </c>
      <c r="G2739" s="48"/>
      <c r="H2739" s="59" t="s">
        <v>3827</v>
      </c>
      <c r="I2739" s="534" t="s">
        <v>3828</v>
      </c>
      <c r="J2739" s="100"/>
      <c r="K2739" s="52"/>
      <c r="L2739" s="52"/>
      <c r="M2739" s="53"/>
      <c r="N2739" s="54"/>
      <c r="O2739" s="341"/>
      <c r="P2739" s="217">
        <v>1000</v>
      </c>
      <c r="Q2739" s="217"/>
      <c r="R2739" s="53"/>
      <c r="S2739" s="53"/>
      <c r="T2739" s="315"/>
      <c r="U2739" s="84"/>
      <c r="V2739" s="84"/>
      <c r="W2739" s="84"/>
      <c r="X2739" s="55"/>
    </row>
    <row r="2740" spans="1:24" hidden="1" x14ac:dyDescent="0.35">
      <c r="A2740" s="744"/>
      <c r="B2740" s="744"/>
      <c r="C2740" s="744"/>
      <c r="D2740" s="744"/>
      <c r="E2740" s="47"/>
      <c r="F2740" s="48" t="s">
        <v>3829</v>
      </c>
      <c r="G2740" s="48"/>
      <c r="H2740" s="59" t="s">
        <v>3830</v>
      </c>
      <c r="I2740" s="534" t="s">
        <v>3831</v>
      </c>
      <c r="J2740" s="100"/>
      <c r="K2740" s="52"/>
      <c r="L2740" s="52"/>
      <c r="M2740" s="53"/>
      <c r="N2740" s="54"/>
      <c r="O2740" s="341"/>
      <c r="P2740" s="217">
        <v>3500</v>
      </c>
      <c r="Q2740" s="217"/>
      <c r="R2740" s="53"/>
      <c r="S2740" s="53"/>
      <c r="T2740" s="315"/>
      <c r="U2740" s="84"/>
      <c r="V2740" s="84"/>
      <c r="W2740" s="84"/>
      <c r="X2740" s="55"/>
    </row>
    <row r="2741" spans="1:24" ht="29" hidden="1" x14ac:dyDescent="0.35">
      <c r="A2741" s="744"/>
      <c r="B2741" s="744"/>
      <c r="C2741" s="744"/>
      <c r="D2741" s="744"/>
      <c r="E2741" s="47"/>
      <c r="F2741" s="48" t="s">
        <v>501</v>
      </c>
      <c r="G2741" s="48"/>
      <c r="H2741" s="59" t="s">
        <v>3832</v>
      </c>
      <c r="I2741" s="534" t="s">
        <v>3765</v>
      </c>
      <c r="J2741" s="100"/>
      <c r="K2741" s="52"/>
      <c r="L2741" s="52"/>
      <c r="M2741" s="53"/>
      <c r="N2741" s="54"/>
      <c r="O2741" s="341"/>
      <c r="P2741" s="217">
        <v>1000</v>
      </c>
      <c r="Q2741" s="217"/>
      <c r="R2741" s="53"/>
      <c r="S2741" s="53"/>
      <c r="T2741" s="315"/>
      <c r="U2741" s="84"/>
      <c r="V2741" s="84"/>
      <c r="W2741" s="84"/>
      <c r="X2741" s="55"/>
    </row>
    <row r="2742" spans="1:24" hidden="1" x14ac:dyDescent="0.35">
      <c r="A2742" s="744"/>
      <c r="B2742" s="744"/>
      <c r="C2742" s="744"/>
      <c r="D2742" s="744"/>
      <c r="E2742" s="47"/>
      <c r="F2742" s="48" t="s">
        <v>3829</v>
      </c>
      <c r="G2742" s="48"/>
      <c r="H2742" s="59" t="s">
        <v>3830</v>
      </c>
      <c r="I2742" s="534" t="s">
        <v>3831</v>
      </c>
      <c r="J2742" s="100"/>
      <c r="K2742" s="52"/>
      <c r="L2742" s="52"/>
      <c r="M2742" s="53"/>
      <c r="N2742" s="54"/>
      <c r="O2742" s="341"/>
      <c r="P2742" s="217">
        <v>3500</v>
      </c>
      <c r="Q2742" s="217"/>
      <c r="R2742" s="53"/>
      <c r="S2742" s="53"/>
      <c r="T2742" s="315"/>
      <c r="U2742" s="84"/>
      <c r="V2742" s="84"/>
      <c r="W2742" s="84"/>
      <c r="X2742" s="55"/>
    </row>
    <row r="2743" spans="1:24" hidden="1" x14ac:dyDescent="0.35">
      <c r="A2743" s="744"/>
      <c r="B2743" s="744"/>
      <c r="C2743" s="744"/>
      <c r="D2743" s="744"/>
      <c r="E2743" s="47"/>
      <c r="F2743" s="48"/>
      <c r="G2743" s="48"/>
      <c r="H2743" s="49" t="s">
        <v>3833</v>
      </c>
      <c r="I2743" s="82" t="s">
        <v>3834</v>
      </c>
      <c r="J2743" s="100"/>
      <c r="K2743" s="52"/>
      <c r="L2743" s="52"/>
      <c r="M2743" s="53"/>
      <c r="N2743" s="54"/>
      <c r="O2743" s="341"/>
      <c r="P2743" s="217">
        <v>5000</v>
      </c>
      <c r="Q2743" s="217"/>
      <c r="R2743" s="53"/>
      <c r="S2743" s="53"/>
      <c r="T2743" s="315"/>
      <c r="U2743" s="84"/>
      <c r="V2743" s="84"/>
      <c r="W2743" s="84"/>
      <c r="X2743" s="55"/>
    </row>
    <row r="2744" spans="1:24" hidden="1" x14ac:dyDescent="0.35">
      <c r="A2744" s="744"/>
      <c r="B2744" s="744"/>
      <c r="C2744" s="744"/>
      <c r="D2744" s="744"/>
      <c r="E2744" s="47"/>
      <c r="F2744" s="48"/>
      <c r="G2744" s="48"/>
      <c r="H2744" s="59" t="s">
        <v>3835</v>
      </c>
      <c r="I2744" s="82" t="s">
        <v>3661</v>
      </c>
      <c r="J2744" s="100"/>
      <c r="K2744" s="52"/>
      <c r="L2744" s="52"/>
      <c r="M2744" s="53"/>
      <c r="N2744" s="54"/>
      <c r="O2744" s="341"/>
      <c r="P2744" s="217">
        <v>250</v>
      </c>
      <c r="Q2744" s="217"/>
      <c r="R2744" s="53"/>
      <c r="S2744" s="53"/>
      <c r="T2744" s="315"/>
      <c r="U2744" s="84"/>
      <c r="V2744" s="84"/>
      <c r="W2744" s="84"/>
      <c r="X2744" s="55"/>
    </row>
    <row r="2745" spans="1:24" hidden="1" x14ac:dyDescent="0.35">
      <c r="A2745" s="744"/>
      <c r="B2745" s="744"/>
      <c r="C2745" s="744"/>
      <c r="D2745" s="744"/>
      <c r="E2745" s="47"/>
      <c r="F2745" s="48"/>
      <c r="G2745" s="48"/>
      <c r="H2745" s="49" t="s">
        <v>3836</v>
      </c>
      <c r="I2745" s="100" t="s">
        <v>3837</v>
      </c>
      <c r="J2745" s="100"/>
      <c r="K2745" s="52"/>
      <c r="L2745" s="52"/>
      <c r="M2745" s="53"/>
      <c r="N2745" s="54"/>
      <c r="O2745" s="341"/>
      <c r="P2745" s="217">
        <v>250</v>
      </c>
      <c r="Q2745" s="217"/>
      <c r="R2745" s="53"/>
      <c r="S2745" s="53"/>
      <c r="T2745" s="315"/>
      <c r="U2745" s="84"/>
      <c r="V2745" s="84"/>
      <c r="W2745" s="84"/>
      <c r="X2745" s="55"/>
    </row>
    <row r="2746" spans="1:24" hidden="1" x14ac:dyDescent="0.35">
      <c r="A2746" s="744"/>
      <c r="B2746" s="744"/>
      <c r="C2746" s="744"/>
      <c r="D2746" s="744"/>
      <c r="E2746" s="47"/>
      <c r="F2746" s="48"/>
      <c r="G2746" s="48"/>
      <c r="H2746" s="59" t="s">
        <v>3838</v>
      </c>
      <c r="I2746" s="82" t="s">
        <v>3839</v>
      </c>
      <c r="J2746" s="100"/>
      <c r="K2746" s="52"/>
      <c r="L2746" s="52"/>
      <c r="M2746" s="53"/>
      <c r="N2746" s="54"/>
      <c r="O2746" s="341"/>
      <c r="P2746" s="217">
        <v>36</v>
      </c>
      <c r="Q2746" s="217"/>
      <c r="R2746" s="53"/>
      <c r="S2746" s="53"/>
      <c r="T2746" s="315"/>
      <c r="U2746" s="84"/>
      <c r="V2746" s="84"/>
      <c r="W2746" s="84"/>
      <c r="X2746" s="55"/>
    </row>
    <row r="2747" spans="1:24" ht="26.5" hidden="1" x14ac:dyDescent="0.35">
      <c r="A2747" s="744"/>
      <c r="B2747" s="744"/>
      <c r="C2747" s="744"/>
      <c r="D2747" s="744"/>
      <c r="E2747" s="47"/>
      <c r="F2747" s="48"/>
      <c r="G2747" s="48"/>
      <c r="H2747" s="59" t="s">
        <v>3840</v>
      </c>
      <c r="I2747" s="82" t="s">
        <v>3702</v>
      </c>
      <c r="J2747" s="100"/>
      <c r="K2747" s="52"/>
      <c r="L2747" s="52"/>
      <c r="M2747" s="53"/>
      <c r="N2747" s="54"/>
      <c r="O2747" s="341"/>
      <c r="P2747" s="217">
        <v>36</v>
      </c>
      <c r="Q2747" s="217"/>
      <c r="R2747" s="53"/>
      <c r="S2747" s="53"/>
      <c r="T2747" s="315"/>
      <c r="U2747" s="84"/>
      <c r="V2747" s="84"/>
      <c r="W2747" s="84"/>
      <c r="X2747" s="55"/>
    </row>
    <row r="2748" spans="1:24" hidden="1" x14ac:dyDescent="0.35">
      <c r="A2748" s="744"/>
      <c r="B2748" s="744"/>
      <c r="C2748" s="744"/>
      <c r="D2748" s="744"/>
      <c r="E2748" s="47"/>
      <c r="F2748" s="48"/>
      <c r="G2748" s="48"/>
      <c r="H2748" s="59" t="s">
        <v>3841</v>
      </c>
      <c r="I2748" s="82" t="s">
        <v>3842</v>
      </c>
      <c r="J2748" s="100"/>
      <c r="K2748" s="52"/>
      <c r="L2748" s="52"/>
      <c r="M2748" s="53"/>
      <c r="N2748" s="54"/>
      <c r="O2748" s="341"/>
      <c r="P2748" s="217">
        <v>36</v>
      </c>
      <c r="Q2748" s="217"/>
      <c r="R2748" s="53"/>
      <c r="S2748" s="53"/>
      <c r="T2748" s="315"/>
      <c r="U2748" s="84"/>
      <c r="V2748" s="84"/>
      <c r="W2748" s="84"/>
      <c r="X2748" s="55"/>
    </row>
    <row r="2749" spans="1:24" hidden="1" x14ac:dyDescent="0.35">
      <c r="A2749" s="744"/>
      <c r="B2749" s="744"/>
      <c r="C2749" s="744"/>
      <c r="D2749" s="744"/>
      <c r="E2749" s="47"/>
      <c r="F2749" s="48"/>
      <c r="G2749" s="48"/>
      <c r="H2749" s="59" t="s">
        <v>3843</v>
      </c>
      <c r="I2749" s="82" t="s">
        <v>3797</v>
      </c>
      <c r="J2749" s="100"/>
      <c r="K2749" s="52"/>
      <c r="L2749" s="52"/>
      <c r="M2749" s="53"/>
      <c r="N2749" s="54"/>
      <c r="O2749" s="341"/>
      <c r="P2749" s="217">
        <v>500</v>
      </c>
      <c r="Q2749" s="217"/>
      <c r="R2749" s="53"/>
      <c r="S2749" s="53"/>
      <c r="T2749" s="315"/>
      <c r="U2749" s="84"/>
      <c r="V2749" s="84"/>
      <c r="W2749" s="84"/>
      <c r="X2749" s="55"/>
    </row>
    <row r="2750" spans="1:24" hidden="1" x14ac:dyDescent="0.35">
      <c r="A2750" s="744"/>
      <c r="B2750" s="744"/>
      <c r="C2750" s="744"/>
      <c r="D2750" s="744"/>
      <c r="E2750" s="47"/>
      <c r="F2750" s="48"/>
      <c r="G2750" s="48"/>
      <c r="H2750" s="59" t="s">
        <v>3844</v>
      </c>
      <c r="I2750" s="82" t="s">
        <v>3845</v>
      </c>
      <c r="J2750" s="100"/>
      <c r="K2750" s="52"/>
      <c r="L2750" s="52"/>
      <c r="M2750" s="53"/>
      <c r="N2750" s="54"/>
      <c r="O2750" s="341"/>
      <c r="P2750" s="217">
        <v>60</v>
      </c>
      <c r="Q2750" s="217"/>
      <c r="R2750" s="53"/>
      <c r="S2750" s="53"/>
      <c r="T2750" s="315"/>
      <c r="U2750" s="84"/>
      <c r="V2750" s="84"/>
      <c r="W2750" s="84"/>
      <c r="X2750" s="55"/>
    </row>
    <row r="2751" spans="1:24" hidden="1" x14ac:dyDescent="0.35">
      <c r="A2751" s="744"/>
      <c r="B2751" s="744"/>
      <c r="C2751" s="744"/>
      <c r="D2751" s="744"/>
      <c r="E2751" s="47"/>
      <c r="F2751" s="48"/>
      <c r="G2751" s="48"/>
      <c r="H2751" s="59" t="s">
        <v>3846</v>
      </c>
      <c r="I2751" s="82" t="s">
        <v>3847</v>
      </c>
      <c r="J2751" s="100"/>
      <c r="K2751" s="52"/>
      <c r="L2751" s="52"/>
      <c r="M2751" s="53"/>
      <c r="N2751" s="54"/>
      <c r="O2751" s="341"/>
      <c r="P2751" s="217">
        <v>60</v>
      </c>
      <c r="Q2751" s="217"/>
      <c r="R2751" s="53"/>
      <c r="S2751" s="53"/>
      <c r="T2751" s="315"/>
      <c r="U2751" s="84"/>
      <c r="V2751" s="84"/>
      <c r="W2751" s="84"/>
      <c r="X2751" s="55"/>
    </row>
    <row r="2752" spans="1:24" ht="26" hidden="1" x14ac:dyDescent="0.35">
      <c r="A2752" s="46"/>
      <c r="B2752" s="46"/>
      <c r="C2752" s="46"/>
      <c r="D2752" s="46"/>
      <c r="E2752" s="47"/>
      <c r="F2752" s="62" t="s">
        <v>3039</v>
      </c>
      <c r="G2752" s="62"/>
      <c r="H2752" s="59" t="s">
        <v>3848</v>
      </c>
      <c r="I2752" s="534" t="s">
        <v>3849</v>
      </c>
      <c r="J2752" s="100"/>
      <c r="K2752" s="52"/>
      <c r="L2752" s="52"/>
      <c r="M2752" s="53"/>
      <c r="N2752" s="54"/>
      <c r="O2752" s="341"/>
      <c r="P2752" s="217">
        <v>92</v>
      </c>
      <c r="Q2752" s="217"/>
      <c r="R2752" s="53"/>
      <c r="S2752" s="53"/>
      <c r="T2752" s="315"/>
      <c r="U2752" s="84"/>
      <c r="V2752" s="84"/>
      <c r="W2752" s="84"/>
      <c r="X2752" s="55"/>
    </row>
    <row r="2753" spans="1:24" ht="26" hidden="1" x14ac:dyDescent="0.35">
      <c r="A2753" s="46"/>
      <c r="B2753" s="46"/>
      <c r="C2753" s="46"/>
      <c r="D2753" s="46"/>
      <c r="E2753" s="47"/>
      <c r="F2753" s="62" t="s">
        <v>3039</v>
      </c>
      <c r="G2753" s="62"/>
      <c r="H2753" s="59" t="s">
        <v>3850</v>
      </c>
      <c r="I2753" s="534" t="s">
        <v>3784</v>
      </c>
      <c r="J2753" s="100"/>
      <c r="K2753" s="52"/>
      <c r="L2753" s="52"/>
      <c r="M2753" s="53"/>
      <c r="N2753" s="54"/>
      <c r="O2753" s="341"/>
      <c r="P2753" s="217">
        <v>92</v>
      </c>
      <c r="Q2753" s="217"/>
      <c r="R2753" s="53"/>
      <c r="S2753" s="53"/>
      <c r="T2753" s="315"/>
      <c r="U2753" s="84"/>
      <c r="V2753" s="84"/>
      <c r="W2753" s="84"/>
      <c r="X2753" s="55"/>
    </row>
    <row r="2754" spans="1:24" ht="29" hidden="1" x14ac:dyDescent="0.35">
      <c r="A2754" s="46"/>
      <c r="B2754" s="46"/>
      <c r="C2754" s="46"/>
      <c r="D2754" s="46"/>
      <c r="E2754" s="47"/>
      <c r="F2754" s="62" t="s">
        <v>501</v>
      </c>
      <c r="G2754" s="62"/>
      <c r="H2754" s="59" t="s">
        <v>3851</v>
      </c>
      <c r="I2754" s="534" t="s">
        <v>3852</v>
      </c>
      <c r="J2754" s="100"/>
      <c r="K2754" s="52"/>
      <c r="L2754" s="52"/>
      <c r="M2754" s="53"/>
      <c r="N2754" s="54"/>
      <c r="O2754" s="341"/>
      <c r="P2754" s="217">
        <v>250</v>
      </c>
      <c r="Q2754" s="217"/>
      <c r="R2754" s="53"/>
      <c r="S2754" s="53"/>
      <c r="T2754" s="315"/>
      <c r="U2754" s="84"/>
      <c r="V2754" s="84"/>
      <c r="W2754" s="84"/>
      <c r="X2754" s="55"/>
    </row>
    <row r="2755" spans="1:24" hidden="1" x14ac:dyDescent="0.35">
      <c r="A2755" s="46"/>
      <c r="B2755" s="46"/>
      <c r="C2755" s="46"/>
      <c r="D2755" s="46"/>
      <c r="E2755" s="47"/>
      <c r="F2755" s="48" t="s">
        <v>3829</v>
      </c>
      <c r="G2755" s="48"/>
      <c r="H2755" s="59" t="s">
        <v>3830</v>
      </c>
      <c r="I2755" s="534" t="s">
        <v>3831</v>
      </c>
      <c r="J2755" s="100"/>
      <c r="K2755" s="52"/>
      <c r="L2755" s="52"/>
      <c r="M2755" s="53"/>
      <c r="N2755" s="54"/>
      <c r="O2755" s="341"/>
      <c r="P2755" s="217">
        <v>3500</v>
      </c>
      <c r="Q2755" s="217"/>
      <c r="R2755" s="53"/>
      <c r="S2755" s="53"/>
      <c r="T2755" s="315"/>
      <c r="U2755" s="84"/>
      <c r="V2755" s="84"/>
      <c r="W2755" s="84"/>
      <c r="X2755" s="55"/>
    </row>
    <row r="2756" spans="1:24" hidden="1" x14ac:dyDescent="0.35">
      <c r="A2756" s="46"/>
      <c r="B2756" s="46"/>
      <c r="C2756" s="46"/>
      <c r="D2756" s="46"/>
      <c r="E2756" s="47"/>
      <c r="F2756" s="48" t="s">
        <v>2019</v>
      </c>
      <c r="G2756" s="48"/>
      <c r="H2756" s="59" t="s">
        <v>3853</v>
      </c>
      <c r="I2756" s="396" t="s">
        <v>3834</v>
      </c>
      <c r="J2756" s="100"/>
      <c r="K2756" s="52"/>
      <c r="L2756" s="52"/>
      <c r="M2756" s="53"/>
      <c r="N2756" s="54"/>
      <c r="O2756" s="341"/>
      <c r="P2756" s="217">
        <v>1700</v>
      </c>
      <c r="Q2756" s="217"/>
      <c r="R2756" s="53"/>
      <c r="S2756" s="53"/>
      <c r="T2756" s="315"/>
      <c r="U2756" s="84"/>
      <c r="V2756" s="84"/>
      <c r="W2756" s="84"/>
      <c r="X2756" s="55"/>
    </row>
    <row r="2757" spans="1:24" hidden="1" x14ac:dyDescent="0.35">
      <c r="A2757" s="46"/>
      <c r="B2757" s="46"/>
      <c r="C2757" s="46"/>
      <c r="D2757" s="46"/>
      <c r="E2757" s="47"/>
      <c r="F2757" s="48" t="s">
        <v>3829</v>
      </c>
      <c r="G2757" s="48"/>
      <c r="H2757" s="59" t="s">
        <v>3854</v>
      </c>
      <c r="I2757" s="396" t="s">
        <v>3696</v>
      </c>
      <c r="J2757" s="100"/>
      <c r="K2757" s="52"/>
      <c r="L2757" s="52"/>
      <c r="M2757" s="53"/>
      <c r="N2757" s="54"/>
      <c r="O2757" s="341"/>
      <c r="P2757" s="217">
        <v>1000</v>
      </c>
      <c r="Q2757" s="217"/>
      <c r="R2757" s="53"/>
      <c r="S2757" s="53"/>
      <c r="T2757" s="315"/>
      <c r="U2757" s="84"/>
      <c r="V2757" s="84"/>
      <c r="W2757" s="84"/>
      <c r="X2757" s="55"/>
    </row>
    <row r="2758" spans="1:24" hidden="1" x14ac:dyDescent="0.35">
      <c r="A2758" s="46"/>
      <c r="B2758" s="46"/>
      <c r="C2758" s="46"/>
      <c r="D2758" s="46"/>
      <c r="E2758" s="47"/>
      <c r="F2758" s="48" t="s">
        <v>2021</v>
      </c>
      <c r="G2758" s="48"/>
      <c r="H2758" s="59" t="s">
        <v>3855</v>
      </c>
      <c r="I2758" s="396" t="s">
        <v>3834</v>
      </c>
      <c r="J2758" s="100"/>
      <c r="K2758" s="52"/>
      <c r="L2758" s="52"/>
      <c r="M2758" s="53"/>
      <c r="N2758" s="54"/>
      <c r="O2758" s="341"/>
      <c r="P2758" s="745">
        <v>1000</v>
      </c>
      <c r="Q2758" s="745"/>
      <c r="R2758" s="53"/>
      <c r="S2758" s="53"/>
      <c r="T2758" s="315"/>
      <c r="U2758" s="84"/>
      <c r="V2758" s="84"/>
      <c r="W2758" s="84"/>
      <c r="X2758" s="55"/>
    </row>
    <row r="2759" spans="1:24" hidden="1" x14ac:dyDescent="0.35">
      <c r="A2759" s="46"/>
      <c r="B2759" s="46"/>
      <c r="C2759" s="46"/>
      <c r="D2759" s="46"/>
      <c r="E2759" s="47"/>
      <c r="F2759" s="48" t="s">
        <v>511</v>
      </c>
      <c r="G2759" s="48"/>
      <c r="H2759" s="49" t="s">
        <v>3856</v>
      </c>
      <c r="I2759" s="395" t="s">
        <v>3723</v>
      </c>
      <c r="J2759" s="100"/>
      <c r="K2759" s="52"/>
      <c r="L2759" s="52"/>
      <c r="M2759" s="53"/>
      <c r="N2759" s="54"/>
      <c r="O2759" s="341"/>
      <c r="P2759" s="746">
        <v>200</v>
      </c>
      <c r="Q2759" s="746"/>
      <c r="R2759" s="53"/>
      <c r="S2759" s="53"/>
      <c r="T2759" s="315"/>
      <c r="U2759" s="84"/>
      <c r="V2759" s="84"/>
      <c r="W2759" s="84"/>
      <c r="X2759" s="55"/>
    </row>
    <row r="2760" spans="1:24" hidden="1" x14ac:dyDescent="0.35">
      <c r="A2760" s="46"/>
      <c r="B2760" s="46"/>
      <c r="C2760" s="46"/>
      <c r="D2760" s="46"/>
      <c r="E2760" s="47"/>
      <c r="F2760" s="48" t="s">
        <v>3857</v>
      </c>
      <c r="G2760" s="48"/>
      <c r="H2760" s="59" t="s">
        <v>3858</v>
      </c>
      <c r="I2760" s="396" t="s">
        <v>3859</v>
      </c>
      <c r="J2760" s="100"/>
      <c r="K2760" s="52"/>
      <c r="L2760" s="52"/>
      <c r="M2760" s="53"/>
      <c r="N2760" s="54"/>
      <c r="O2760" s="341"/>
      <c r="P2760" s="745">
        <v>1000</v>
      </c>
      <c r="Q2760" s="745"/>
      <c r="R2760" s="53"/>
      <c r="S2760" s="53"/>
      <c r="T2760" s="315"/>
      <c r="U2760" s="84"/>
      <c r="V2760" s="84"/>
      <c r="W2760" s="84"/>
      <c r="X2760" s="55"/>
    </row>
    <row r="2761" spans="1:24" hidden="1" x14ac:dyDescent="0.35">
      <c r="A2761" s="46"/>
      <c r="B2761" s="46"/>
      <c r="C2761" s="46"/>
      <c r="D2761" s="46"/>
      <c r="E2761" s="47"/>
      <c r="F2761" s="48" t="s">
        <v>3860</v>
      </c>
      <c r="G2761" s="48"/>
      <c r="H2761" s="59" t="s">
        <v>3861</v>
      </c>
      <c r="I2761" s="396" t="s">
        <v>3862</v>
      </c>
      <c r="J2761" s="100"/>
      <c r="K2761" s="52"/>
      <c r="L2761" s="52"/>
      <c r="M2761" s="53"/>
      <c r="N2761" s="54"/>
      <c r="O2761" s="341"/>
      <c r="P2761" s="745">
        <v>5000</v>
      </c>
      <c r="Q2761" s="745"/>
      <c r="R2761" s="53"/>
      <c r="S2761" s="53"/>
      <c r="T2761" s="315"/>
      <c r="U2761" s="84"/>
      <c r="V2761" s="84"/>
      <c r="W2761" s="84"/>
      <c r="X2761" s="55"/>
    </row>
    <row r="2762" spans="1:24" ht="29" hidden="1" x14ac:dyDescent="0.35">
      <c r="A2762" s="71"/>
      <c r="B2762" s="71"/>
      <c r="C2762" s="71"/>
      <c r="D2762" s="71"/>
      <c r="E2762" s="119"/>
      <c r="F2762" s="48" t="s">
        <v>501</v>
      </c>
      <c r="G2762" s="48"/>
      <c r="H2762" s="63" t="s">
        <v>3863</v>
      </c>
      <c r="I2762" s="747" t="s">
        <v>3730</v>
      </c>
      <c r="J2762" s="100"/>
      <c r="K2762" s="84"/>
      <c r="L2762" s="84"/>
      <c r="M2762" s="83"/>
      <c r="N2762" s="223"/>
      <c r="O2762" s="314"/>
      <c r="P2762" s="748">
        <v>116</v>
      </c>
      <c r="Q2762" s="748"/>
      <c r="R2762" s="83"/>
      <c r="S2762" s="83"/>
      <c r="T2762" s="315"/>
      <c r="U2762" s="84"/>
      <c r="V2762" s="84"/>
      <c r="W2762" s="84"/>
      <c r="X2762" s="255"/>
    </row>
    <row r="2763" spans="1:24" ht="29" hidden="1" x14ac:dyDescent="0.35">
      <c r="A2763" s="46"/>
      <c r="B2763" s="46"/>
      <c r="C2763" s="46"/>
      <c r="D2763" s="46"/>
      <c r="E2763" s="47"/>
      <c r="F2763" s="62" t="s">
        <v>501</v>
      </c>
      <c r="G2763" s="62"/>
      <c r="H2763" s="59" t="s">
        <v>3864</v>
      </c>
      <c r="I2763" s="749" t="s">
        <v>3782</v>
      </c>
      <c r="J2763" s="100"/>
      <c r="K2763" s="52"/>
      <c r="L2763" s="52"/>
      <c r="M2763" s="53"/>
      <c r="N2763" s="54"/>
      <c r="O2763" s="341"/>
      <c r="P2763" s="217">
        <v>250</v>
      </c>
      <c r="Q2763" s="217"/>
      <c r="R2763" s="53"/>
      <c r="S2763" s="53"/>
      <c r="T2763" s="315"/>
      <c r="U2763" s="84"/>
      <c r="V2763" s="84"/>
      <c r="W2763" s="84"/>
      <c r="X2763" s="55"/>
    </row>
    <row r="2764" spans="1:24" hidden="1" x14ac:dyDescent="0.35">
      <c r="A2764" s="46"/>
      <c r="B2764" s="46"/>
      <c r="C2764" s="46"/>
      <c r="D2764" s="46"/>
      <c r="E2764" s="47"/>
      <c r="F2764" s="48" t="s">
        <v>2021</v>
      </c>
      <c r="G2764" s="48"/>
      <c r="H2764" s="59" t="s">
        <v>3865</v>
      </c>
      <c r="I2764" s="396" t="s">
        <v>3866</v>
      </c>
      <c r="J2764" s="100"/>
      <c r="K2764" s="52"/>
      <c r="L2764" s="52"/>
      <c r="M2764" s="53"/>
      <c r="N2764" s="54"/>
      <c r="O2764" s="341"/>
      <c r="P2764" s="745">
        <v>4000</v>
      </c>
      <c r="Q2764" s="745"/>
      <c r="R2764" s="53"/>
      <c r="S2764" s="53"/>
      <c r="T2764" s="315"/>
      <c r="U2764" s="84"/>
      <c r="V2764" s="84"/>
      <c r="W2764" s="84"/>
      <c r="X2764" s="55"/>
    </row>
    <row r="2765" spans="1:24" hidden="1" x14ac:dyDescent="0.35">
      <c r="A2765" s="46"/>
      <c r="B2765" s="46"/>
      <c r="C2765" s="46"/>
      <c r="D2765" s="46"/>
      <c r="E2765" s="750"/>
      <c r="F2765" s="48" t="s">
        <v>3867</v>
      </c>
      <c r="G2765" s="48"/>
      <c r="H2765" s="49" t="s">
        <v>3868</v>
      </c>
      <c r="I2765" s="69" t="s">
        <v>3812</v>
      </c>
      <c r="J2765" s="100"/>
      <c r="K2765" s="52"/>
      <c r="L2765" s="52"/>
      <c r="M2765" s="53"/>
      <c r="N2765" s="54"/>
      <c r="O2765" s="341"/>
      <c r="P2765" s="745">
        <v>300</v>
      </c>
      <c r="Q2765" s="745"/>
      <c r="R2765" s="53"/>
      <c r="S2765" s="53"/>
      <c r="T2765" s="315"/>
      <c r="U2765" s="84"/>
      <c r="V2765" s="84"/>
      <c r="W2765" s="84"/>
      <c r="X2765" s="55"/>
    </row>
    <row r="2766" spans="1:24" ht="29" hidden="1" x14ac:dyDescent="0.35">
      <c r="A2766" s="46"/>
      <c r="B2766" s="46"/>
      <c r="C2766" s="46"/>
      <c r="D2766" s="46"/>
      <c r="E2766" s="47"/>
      <c r="F2766" s="48" t="s">
        <v>519</v>
      </c>
      <c r="G2766" s="48"/>
      <c r="H2766" s="59" t="s">
        <v>3869</v>
      </c>
      <c r="I2766" s="396" t="s">
        <v>3696</v>
      </c>
      <c r="J2766" s="100"/>
      <c r="K2766" s="52"/>
      <c r="L2766" s="52"/>
      <c r="M2766" s="53"/>
      <c r="N2766" s="54"/>
      <c r="O2766" s="341"/>
      <c r="P2766" s="745"/>
      <c r="Q2766" s="745"/>
      <c r="R2766" s="53"/>
      <c r="S2766" s="53"/>
      <c r="T2766" s="315"/>
      <c r="U2766" s="84"/>
      <c r="V2766" s="84"/>
      <c r="W2766" s="84"/>
      <c r="X2766" s="55"/>
    </row>
    <row r="2767" spans="1:24" hidden="1" x14ac:dyDescent="0.35">
      <c r="A2767" s="46"/>
      <c r="B2767" s="46"/>
      <c r="C2767" s="46"/>
      <c r="D2767" s="46"/>
      <c r="E2767" s="751"/>
      <c r="F2767" s="48" t="s">
        <v>3860</v>
      </c>
      <c r="G2767" s="48"/>
      <c r="H2767" s="59" t="s">
        <v>3861</v>
      </c>
      <c r="I2767" s="396" t="s">
        <v>3862</v>
      </c>
      <c r="J2767" s="100"/>
      <c r="K2767" s="52"/>
      <c r="L2767" s="52"/>
      <c r="M2767" s="53"/>
      <c r="N2767" s="54"/>
      <c r="O2767" s="341"/>
      <c r="P2767" s="745">
        <v>5000</v>
      </c>
      <c r="Q2767" s="745"/>
      <c r="R2767" s="53"/>
      <c r="S2767" s="53"/>
      <c r="T2767" s="315"/>
      <c r="U2767" s="84"/>
      <c r="V2767" s="84"/>
      <c r="W2767" s="84"/>
      <c r="X2767" s="55"/>
    </row>
    <row r="2768" spans="1:24" hidden="1" x14ac:dyDescent="0.35">
      <c r="A2768" s="46"/>
      <c r="B2768" s="46"/>
      <c r="C2768" s="46"/>
      <c r="D2768" s="46"/>
      <c r="E2768" s="751"/>
      <c r="F2768" s="48" t="s">
        <v>3870</v>
      </c>
      <c r="G2768" s="48"/>
      <c r="H2768" s="59" t="s">
        <v>3871</v>
      </c>
      <c r="I2768" s="396" t="s">
        <v>3872</v>
      </c>
      <c r="J2768" s="100"/>
      <c r="K2768" s="52"/>
      <c r="L2768" s="52"/>
      <c r="M2768" s="53"/>
      <c r="N2768" s="54"/>
      <c r="O2768" s="341"/>
      <c r="P2768" s="745">
        <v>4200</v>
      </c>
      <c r="Q2768" s="745"/>
      <c r="R2768" s="53"/>
      <c r="S2768" s="53"/>
      <c r="T2768" s="315"/>
      <c r="U2768" s="84"/>
      <c r="V2768" s="84"/>
      <c r="W2768" s="84"/>
      <c r="X2768" s="55"/>
    </row>
    <row r="2769" spans="1:24" ht="29" hidden="1" x14ac:dyDescent="0.35">
      <c r="A2769" s="46"/>
      <c r="B2769" s="46"/>
      <c r="C2769" s="46"/>
      <c r="D2769" s="46"/>
      <c r="E2769" s="751"/>
      <c r="F2769" s="48" t="s">
        <v>3873</v>
      </c>
      <c r="G2769" s="48"/>
      <c r="H2769" s="49" t="s">
        <v>3874</v>
      </c>
      <c r="I2769" s="71" t="s">
        <v>3808</v>
      </c>
      <c r="J2769" s="100"/>
      <c r="K2769" s="52"/>
      <c r="L2769" s="52"/>
      <c r="M2769" s="53"/>
      <c r="N2769" s="54"/>
      <c r="O2769" s="341"/>
      <c r="P2769" s="745">
        <v>1100</v>
      </c>
      <c r="Q2769" s="745"/>
      <c r="R2769" s="53"/>
      <c r="S2769" s="53"/>
      <c r="T2769" s="315"/>
      <c r="U2769" s="84"/>
      <c r="V2769" s="84"/>
      <c r="W2769" s="84"/>
      <c r="X2769" s="55"/>
    </row>
    <row r="2770" spans="1:24" ht="29" hidden="1" x14ac:dyDescent="0.35">
      <c r="A2770" s="46"/>
      <c r="B2770" s="46"/>
      <c r="C2770" s="46"/>
      <c r="D2770" s="46"/>
      <c r="E2770" s="751"/>
      <c r="F2770" s="48" t="s">
        <v>3873</v>
      </c>
      <c r="G2770" s="48"/>
      <c r="H2770" s="49" t="s">
        <v>3875</v>
      </c>
      <c r="I2770" s="71" t="s">
        <v>3804</v>
      </c>
      <c r="J2770" s="100"/>
      <c r="K2770" s="52"/>
      <c r="L2770" s="52"/>
      <c r="M2770" s="53"/>
      <c r="N2770" s="54"/>
      <c r="O2770" s="341"/>
      <c r="P2770" s="745">
        <v>400</v>
      </c>
      <c r="Q2770" s="745"/>
      <c r="R2770" s="53"/>
      <c r="S2770" s="53"/>
      <c r="T2770" s="315"/>
      <c r="U2770" s="84"/>
      <c r="V2770" s="84"/>
      <c r="W2770" s="84"/>
      <c r="X2770" s="55"/>
    </row>
    <row r="2771" spans="1:24" ht="29" hidden="1" x14ac:dyDescent="0.35">
      <c r="A2771" s="46"/>
      <c r="B2771" s="46"/>
      <c r="C2771" s="46"/>
      <c r="D2771" s="46"/>
      <c r="E2771" s="751"/>
      <c r="F2771" s="48" t="s">
        <v>3873</v>
      </c>
      <c r="G2771" s="48"/>
      <c r="H2771" s="49" t="s">
        <v>3876</v>
      </c>
      <c r="I2771" s="71" t="s">
        <v>3806</v>
      </c>
      <c r="J2771" s="100"/>
      <c r="K2771" s="52"/>
      <c r="L2771" s="52"/>
      <c r="M2771" s="53"/>
      <c r="N2771" s="54"/>
      <c r="O2771" s="341"/>
      <c r="P2771" s="745">
        <v>1100</v>
      </c>
      <c r="Q2771" s="745"/>
      <c r="R2771" s="53"/>
      <c r="S2771" s="53"/>
      <c r="T2771" s="315"/>
      <c r="U2771" s="84"/>
      <c r="V2771" s="84"/>
      <c r="W2771" s="84"/>
      <c r="X2771" s="55"/>
    </row>
    <row r="2772" spans="1:24" ht="29" hidden="1" x14ac:dyDescent="0.35">
      <c r="A2772" s="46"/>
      <c r="B2772" s="46"/>
      <c r="C2772" s="46"/>
      <c r="D2772" s="46"/>
      <c r="E2772" s="751"/>
      <c r="F2772" s="48" t="s">
        <v>3873</v>
      </c>
      <c r="G2772" s="48"/>
      <c r="H2772" s="49" t="s">
        <v>3877</v>
      </c>
      <c r="I2772" s="71" t="s">
        <v>3661</v>
      </c>
      <c r="J2772" s="100"/>
      <c r="K2772" s="52"/>
      <c r="L2772" s="52"/>
      <c r="M2772" s="53"/>
      <c r="N2772" s="54"/>
      <c r="O2772" s="341"/>
      <c r="P2772" s="745">
        <v>400</v>
      </c>
      <c r="Q2772" s="745"/>
      <c r="R2772" s="53"/>
      <c r="S2772" s="53"/>
      <c r="T2772" s="315"/>
      <c r="U2772" s="84"/>
      <c r="V2772" s="84"/>
      <c r="W2772" s="84"/>
      <c r="X2772" s="55"/>
    </row>
    <row r="2773" spans="1:24" ht="29" hidden="1" x14ac:dyDescent="0.35">
      <c r="A2773" s="46"/>
      <c r="B2773" s="46"/>
      <c r="C2773" s="46"/>
      <c r="D2773" s="46"/>
      <c r="E2773" s="751"/>
      <c r="F2773" s="48" t="s">
        <v>3873</v>
      </c>
      <c r="G2773" s="48"/>
      <c r="H2773" s="49" t="s">
        <v>3878</v>
      </c>
      <c r="I2773" s="71" t="s">
        <v>3879</v>
      </c>
      <c r="J2773" s="100"/>
      <c r="K2773" s="52"/>
      <c r="L2773" s="52"/>
      <c r="M2773" s="53"/>
      <c r="N2773" s="54"/>
      <c r="O2773" s="341"/>
      <c r="P2773" s="745">
        <v>2000</v>
      </c>
      <c r="Q2773" s="745"/>
      <c r="R2773" s="53"/>
      <c r="S2773" s="53"/>
      <c r="T2773" s="315"/>
      <c r="U2773" s="84"/>
      <c r="V2773" s="84"/>
      <c r="W2773" s="84"/>
      <c r="X2773" s="55"/>
    </row>
    <row r="2774" spans="1:24" ht="29" hidden="1" x14ac:dyDescent="0.35">
      <c r="A2774" s="46"/>
      <c r="B2774" s="46"/>
      <c r="C2774" s="46"/>
      <c r="D2774" s="46"/>
      <c r="E2774" s="751"/>
      <c r="F2774" s="48" t="s">
        <v>3873</v>
      </c>
      <c r="G2774" s="48"/>
      <c r="H2774" s="49" t="s">
        <v>3880</v>
      </c>
      <c r="I2774" s="71" t="s">
        <v>3881</v>
      </c>
      <c r="J2774" s="100"/>
      <c r="K2774" s="52"/>
      <c r="L2774" s="52"/>
      <c r="M2774" s="53"/>
      <c r="N2774" s="54"/>
      <c r="O2774" s="341"/>
      <c r="P2774" s="745">
        <v>2000</v>
      </c>
      <c r="Q2774" s="745"/>
      <c r="R2774" s="53"/>
      <c r="S2774" s="53"/>
      <c r="T2774" s="315"/>
      <c r="U2774" s="84"/>
      <c r="V2774" s="84"/>
      <c r="W2774" s="84"/>
      <c r="X2774" s="55"/>
    </row>
    <row r="2775" spans="1:24" hidden="1" x14ac:dyDescent="0.35">
      <c r="A2775" s="46"/>
      <c r="B2775" s="46"/>
      <c r="C2775" s="46"/>
      <c r="D2775" s="46"/>
      <c r="E2775" s="751"/>
      <c r="F2775" s="48" t="s">
        <v>3882</v>
      </c>
      <c r="G2775" s="48"/>
      <c r="H2775" s="59" t="s">
        <v>3883</v>
      </c>
      <c r="I2775" s="396" t="s">
        <v>3862</v>
      </c>
      <c r="J2775" s="100"/>
      <c r="K2775" s="52"/>
      <c r="L2775" s="52"/>
      <c r="M2775" s="53"/>
      <c r="N2775" s="54"/>
      <c r="O2775" s="341"/>
      <c r="P2775" s="745">
        <v>3500</v>
      </c>
      <c r="Q2775" s="745"/>
      <c r="R2775" s="53"/>
      <c r="S2775" s="53"/>
      <c r="T2775" s="315"/>
      <c r="U2775" s="84"/>
      <c r="V2775" s="84"/>
      <c r="W2775" s="84"/>
      <c r="X2775" s="55"/>
    </row>
    <row r="2776" spans="1:24" ht="29" hidden="1" x14ac:dyDescent="0.35">
      <c r="A2776" s="46"/>
      <c r="B2776" s="46"/>
      <c r="C2776" s="46"/>
      <c r="D2776" s="46"/>
      <c r="E2776" s="751"/>
      <c r="F2776" s="48" t="s">
        <v>519</v>
      </c>
      <c r="G2776" s="48"/>
      <c r="H2776" s="49" t="s">
        <v>3884</v>
      </c>
      <c r="I2776" s="69" t="s">
        <v>3885</v>
      </c>
      <c r="J2776" s="100"/>
      <c r="K2776" s="52"/>
      <c r="L2776" s="52"/>
      <c r="M2776" s="53"/>
      <c r="N2776" s="54"/>
      <c r="O2776" s="341"/>
      <c r="P2776" s="745">
        <v>5700</v>
      </c>
      <c r="Q2776" s="745"/>
      <c r="R2776" s="53"/>
      <c r="S2776" s="53"/>
      <c r="T2776" s="315"/>
      <c r="U2776" s="84"/>
      <c r="V2776" s="84"/>
      <c r="W2776" s="84"/>
      <c r="X2776" s="55"/>
    </row>
    <row r="2777" spans="1:24" ht="29" hidden="1" x14ac:dyDescent="0.35">
      <c r="A2777" s="744"/>
      <c r="B2777" s="744"/>
      <c r="C2777" s="744"/>
      <c r="D2777" s="744"/>
      <c r="E2777" s="750"/>
      <c r="F2777" s="48" t="s">
        <v>3873</v>
      </c>
      <c r="G2777" s="48"/>
      <c r="H2777" s="59" t="s">
        <v>3886</v>
      </c>
      <c r="I2777" s="396" t="s">
        <v>3834</v>
      </c>
      <c r="J2777" s="75"/>
      <c r="K2777" s="52"/>
      <c r="L2777" s="52"/>
      <c r="M2777" s="53"/>
      <c r="N2777" s="54"/>
      <c r="O2777" s="341"/>
      <c r="P2777" s="745">
        <v>120</v>
      </c>
      <c r="Q2777" s="745"/>
      <c r="R2777" s="53"/>
      <c r="S2777" s="53"/>
      <c r="T2777" s="315"/>
      <c r="U2777" s="84"/>
      <c r="V2777" s="84"/>
      <c r="W2777" s="84"/>
      <c r="X2777" s="55"/>
    </row>
    <row r="2778" spans="1:24" hidden="1" x14ac:dyDescent="0.35">
      <c r="A2778" s="46"/>
      <c r="B2778" s="46"/>
      <c r="C2778" s="46"/>
      <c r="D2778" s="46"/>
      <c r="E2778" s="751"/>
      <c r="F2778" s="48" t="s">
        <v>3887</v>
      </c>
      <c r="G2778" s="48"/>
      <c r="H2778" s="49" t="s">
        <v>3888</v>
      </c>
      <c r="I2778" s="71" t="s">
        <v>3728</v>
      </c>
      <c r="J2778" s="100"/>
      <c r="K2778" s="52"/>
      <c r="L2778" s="52"/>
      <c r="M2778" s="53"/>
      <c r="N2778" s="54"/>
      <c r="O2778" s="341"/>
      <c r="P2778" s="745">
        <v>2500</v>
      </c>
      <c r="Q2778" s="745"/>
      <c r="R2778" s="53"/>
      <c r="S2778" s="53"/>
      <c r="T2778" s="315"/>
      <c r="U2778" s="84"/>
      <c r="V2778" s="84"/>
      <c r="W2778" s="84"/>
      <c r="X2778" s="55"/>
    </row>
    <row r="2779" spans="1:24" hidden="1" x14ac:dyDescent="0.35">
      <c r="A2779" s="46"/>
      <c r="B2779" s="46"/>
      <c r="C2779" s="46"/>
      <c r="D2779" s="46"/>
      <c r="E2779" s="751"/>
      <c r="F2779" s="48" t="s">
        <v>3887</v>
      </c>
      <c r="G2779" s="48"/>
      <c r="H2779" s="49" t="s">
        <v>3889</v>
      </c>
      <c r="I2779" s="71" t="s">
        <v>3890</v>
      </c>
      <c r="J2779" s="100"/>
      <c r="K2779" s="52"/>
      <c r="L2779" s="52"/>
      <c r="M2779" s="53"/>
      <c r="N2779" s="54"/>
      <c r="O2779" s="341"/>
      <c r="P2779" s="745">
        <v>300</v>
      </c>
      <c r="Q2779" s="745"/>
      <c r="R2779" s="53"/>
      <c r="S2779" s="53"/>
      <c r="T2779" s="315"/>
      <c r="U2779" s="84"/>
      <c r="V2779" s="84"/>
      <c r="W2779" s="84"/>
      <c r="X2779" s="55"/>
    </row>
    <row r="2780" spans="1:24" ht="29" hidden="1" x14ac:dyDescent="0.35">
      <c r="A2780" s="46"/>
      <c r="B2780" s="46"/>
      <c r="C2780" s="46"/>
      <c r="D2780" s="46"/>
      <c r="E2780" s="751"/>
      <c r="F2780" s="48" t="s">
        <v>543</v>
      </c>
      <c r="G2780" s="48"/>
      <c r="H2780" s="49" t="s">
        <v>3891</v>
      </c>
      <c r="I2780" s="747" t="s">
        <v>3730</v>
      </c>
      <c r="J2780" s="100"/>
      <c r="K2780" s="52"/>
      <c r="L2780" s="52"/>
      <c r="M2780" s="53"/>
      <c r="N2780" s="54"/>
      <c r="O2780" s="341"/>
      <c r="P2780" s="745">
        <v>260</v>
      </c>
      <c r="Q2780" s="745"/>
      <c r="R2780" s="53"/>
      <c r="S2780" s="53"/>
      <c r="T2780" s="315"/>
      <c r="U2780" s="84"/>
      <c r="V2780" s="84"/>
      <c r="W2780" s="84"/>
      <c r="X2780" s="55"/>
    </row>
    <row r="2781" spans="1:24" ht="18" hidden="1" x14ac:dyDescent="0.35">
      <c r="A2781" s="46"/>
      <c r="B2781" s="46"/>
      <c r="C2781" s="46"/>
      <c r="D2781" s="46"/>
      <c r="E2781" s="47"/>
      <c r="F2781" s="752" t="s">
        <v>3892</v>
      </c>
      <c r="G2781" s="752"/>
      <c r="H2781" s="49">
        <v>10124</v>
      </c>
      <c r="I2781" s="753" t="s">
        <v>3893</v>
      </c>
      <c r="J2781" s="51"/>
      <c r="K2781" s="52"/>
      <c r="L2781" s="52"/>
      <c r="M2781" s="53"/>
      <c r="N2781" s="54"/>
      <c r="O2781" s="341"/>
      <c r="P2781" s="745">
        <v>16224</v>
      </c>
      <c r="Q2781" s="745"/>
      <c r="R2781" s="53">
        <v>16224</v>
      </c>
      <c r="S2781" s="79">
        <f t="shared" ref="S2781:S2844" si="466">P2781-R2781</f>
        <v>0</v>
      </c>
      <c r="T2781" s="343"/>
      <c r="U2781" s="52"/>
      <c r="V2781" s="52"/>
      <c r="W2781" s="52"/>
      <c r="X2781" s="55"/>
    </row>
    <row r="2782" spans="1:24" ht="18.5" hidden="1" x14ac:dyDescent="0.45">
      <c r="A2782" s="548"/>
      <c r="B2782" s="548"/>
      <c r="C2782" s="548"/>
      <c r="D2782" s="548"/>
      <c r="E2782" s="273"/>
      <c r="F2782" s="754" t="s">
        <v>3894</v>
      </c>
      <c r="G2782" s="754"/>
      <c r="H2782" s="755" t="s">
        <v>3895</v>
      </c>
      <c r="I2782" s="756" t="s">
        <v>3896</v>
      </c>
      <c r="J2782" s="562"/>
      <c r="K2782" s="711"/>
      <c r="L2782" s="711"/>
      <c r="M2782" s="712"/>
      <c r="N2782" s="713"/>
      <c r="O2782" s="714"/>
      <c r="P2782" s="757">
        <v>3200</v>
      </c>
      <c r="Q2782" s="757"/>
      <c r="R2782" s="712">
        <v>3200</v>
      </c>
      <c r="S2782" s="758">
        <f t="shared" si="466"/>
        <v>0</v>
      </c>
      <c r="T2782" s="759"/>
      <c r="U2782" s="711"/>
      <c r="V2782" s="711"/>
      <c r="W2782" s="711"/>
      <c r="X2782" s="285"/>
    </row>
    <row r="2783" spans="1:24" ht="18.5" hidden="1" x14ac:dyDescent="0.45">
      <c r="A2783" s="548"/>
      <c r="B2783" s="548"/>
      <c r="C2783" s="548"/>
      <c r="D2783" s="548"/>
      <c r="E2783" s="273"/>
      <c r="F2783" s="754" t="s">
        <v>3894</v>
      </c>
      <c r="G2783" s="754"/>
      <c r="H2783" s="755" t="s">
        <v>3897</v>
      </c>
      <c r="I2783" s="756" t="s">
        <v>3898</v>
      </c>
      <c r="J2783" s="562"/>
      <c r="K2783" s="711"/>
      <c r="L2783" s="711"/>
      <c r="M2783" s="712"/>
      <c r="N2783" s="713"/>
      <c r="O2783" s="714"/>
      <c r="P2783" s="757">
        <v>3200</v>
      </c>
      <c r="Q2783" s="757"/>
      <c r="R2783" s="712">
        <v>3200</v>
      </c>
      <c r="S2783" s="758">
        <f t="shared" si="466"/>
        <v>0</v>
      </c>
      <c r="T2783" s="759"/>
      <c r="U2783" s="711"/>
      <c r="V2783" s="711"/>
      <c r="W2783" s="711"/>
      <c r="X2783" s="285"/>
    </row>
    <row r="2784" spans="1:24" ht="18.5" hidden="1" x14ac:dyDescent="0.45">
      <c r="A2784" s="548"/>
      <c r="B2784" s="548"/>
      <c r="C2784" s="548"/>
      <c r="D2784" s="548"/>
      <c r="E2784" s="273"/>
      <c r="F2784" s="754" t="s">
        <v>3894</v>
      </c>
      <c r="G2784" s="754"/>
      <c r="H2784" s="755" t="s">
        <v>3899</v>
      </c>
      <c r="I2784" s="756" t="s">
        <v>3900</v>
      </c>
      <c r="J2784" s="562"/>
      <c r="K2784" s="711"/>
      <c r="L2784" s="711"/>
      <c r="M2784" s="712"/>
      <c r="N2784" s="713"/>
      <c r="O2784" s="714"/>
      <c r="P2784" s="757">
        <v>3200</v>
      </c>
      <c r="Q2784" s="757"/>
      <c r="R2784" s="712">
        <v>3200</v>
      </c>
      <c r="S2784" s="758">
        <f t="shared" si="466"/>
        <v>0</v>
      </c>
      <c r="T2784" s="759"/>
      <c r="U2784" s="711"/>
      <c r="V2784" s="711"/>
      <c r="W2784" s="711"/>
      <c r="X2784" s="285"/>
    </row>
    <row r="2785" spans="1:24" ht="18.5" hidden="1" x14ac:dyDescent="0.45">
      <c r="A2785" s="548"/>
      <c r="B2785" s="548"/>
      <c r="C2785" s="548"/>
      <c r="D2785" s="548"/>
      <c r="E2785" s="273"/>
      <c r="F2785" s="754" t="s">
        <v>3894</v>
      </c>
      <c r="G2785" s="754"/>
      <c r="H2785" s="755" t="s">
        <v>3901</v>
      </c>
      <c r="I2785" s="274" t="s">
        <v>3902</v>
      </c>
      <c r="J2785" s="562"/>
      <c r="K2785" s="711"/>
      <c r="L2785" s="711"/>
      <c r="M2785" s="712"/>
      <c r="N2785" s="713"/>
      <c r="O2785" s="714"/>
      <c r="P2785" s="757">
        <v>3200</v>
      </c>
      <c r="Q2785" s="757"/>
      <c r="R2785" s="712">
        <v>3200</v>
      </c>
      <c r="S2785" s="758">
        <f t="shared" si="466"/>
        <v>0</v>
      </c>
      <c r="T2785" s="759"/>
      <c r="U2785" s="711"/>
      <c r="V2785" s="711"/>
      <c r="W2785" s="711"/>
      <c r="X2785" s="285"/>
    </row>
    <row r="2786" spans="1:24" ht="18" hidden="1" x14ac:dyDescent="0.35">
      <c r="A2786" s="548"/>
      <c r="B2786" s="548"/>
      <c r="C2786" s="548"/>
      <c r="D2786" s="548"/>
      <c r="E2786" s="273"/>
      <c r="F2786" s="760" t="s">
        <v>3892</v>
      </c>
      <c r="G2786" s="760"/>
      <c r="H2786" s="755">
        <v>614</v>
      </c>
      <c r="I2786" s="761" t="s">
        <v>3903</v>
      </c>
      <c r="J2786" s="562"/>
      <c r="K2786" s="711"/>
      <c r="L2786" s="711"/>
      <c r="M2786" s="712"/>
      <c r="N2786" s="713"/>
      <c r="O2786" s="714"/>
      <c r="P2786" s="757">
        <v>3200</v>
      </c>
      <c r="Q2786" s="757"/>
      <c r="R2786" s="712">
        <v>3200</v>
      </c>
      <c r="S2786" s="758">
        <f t="shared" si="466"/>
        <v>0</v>
      </c>
      <c r="T2786" s="759"/>
      <c r="U2786" s="711"/>
      <c r="V2786" s="711"/>
      <c r="W2786" s="711"/>
      <c r="X2786" s="285"/>
    </row>
    <row r="2787" spans="1:24" ht="18" hidden="1" x14ac:dyDescent="0.35">
      <c r="A2787" s="46"/>
      <c r="B2787" s="46"/>
      <c r="C2787" s="46"/>
      <c r="D2787" s="46"/>
      <c r="E2787" s="47"/>
      <c r="F2787" s="752" t="s">
        <v>3892</v>
      </c>
      <c r="G2787" s="752"/>
      <c r="H2787" s="49" t="s">
        <v>3904</v>
      </c>
      <c r="I2787" s="82" t="s">
        <v>3661</v>
      </c>
      <c r="J2787" s="51"/>
      <c r="K2787" s="52"/>
      <c r="L2787" s="52"/>
      <c r="M2787" s="53"/>
      <c r="N2787" s="54"/>
      <c r="O2787" s="341"/>
      <c r="P2787" s="745">
        <v>150</v>
      </c>
      <c r="Q2787" s="745"/>
      <c r="R2787" s="53">
        <v>150</v>
      </c>
      <c r="S2787" s="79">
        <f t="shared" si="466"/>
        <v>0</v>
      </c>
      <c r="T2787" s="343"/>
      <c r="U2787" s="52"/>
      <c r="V2787" s="52"/>
      <c r="W2787" s="52"/>
      <c r="X2787" s="55"/>
    </row>
    <row r="2788" spans="1:24" ht="18" hidden="1" x14ac:dyDescent="0.35">
      <c r="A2788" s="46"/>
      <c r="B2788" s="46"/>
      <c r="C2788" s="46"/>
      <c r="D2788" s="46"/>
      <c r="E2788" s="47"/>
      <c r="F2788" s="752" t="s">
        <v>3892</v>
      </c>
      <c r="G2788" s="752"/>
      <c r="H2788" s="49" t="s">
        <v>3905</v>
      </c>
      <c r="I2788" s="82" t="s">
        <v>3906</v>
      </c>
      <c r="J2788" s="51"/>
      <c r="K2788" s="52"/>
      <c r="L2788" s="52"/>
      <c r="M2788" s="53"/>
      <c r="N2788" s="54"/>
      <c r="O2788" s="341"/>
      <c r="P2788" s="745">
        <v>100</v>
      </c>
      <c r="Q2788" s="745"/>
      <c r="R2788" s="53">
        <v>100</v>
      </c>
      <c r="S2788" s="79">
        <f t="shared" si="466"/>
        <v>0</v>
      </c>
      <c r="T2788" s="343"/>
      <c r="U2788" s="52"/>
      <c r="V2788" s="52"/>
      <c r="W2788" s="52"/>
      <c r="X2788" s="55"/>
    </row>
    <row r="2789" spans="1:24" ht="26.5" hidden="1" x14ac:dyDescent="0.35">
      <c r="A2789" s="548"/>
      <c r="B2789" s="548"/>
      <c r="C2789" s="548"/>
      <c r="D2789" s="548"/>
      <c r="E2789" s="273"/>
      <c r="F2789" s="760" t="s">
        <v>3892</v>
      </c>
      <c r="G2789" s="760"/>
      <c r="H2789" s="755" t="s">
        <v>3907</v>
      </c>
      <c r="I2789" s="274" t="s">
        <v>3806</v>
      </c>
      <c r="J2789" s="562"/>
      <c r="K2789" s="711"/>
      <c r="L2789" s="711"/>
      <c r="M2789" s="712"/>
      <c r="N2789" s="713"/>
      <c r="O2789" s="714"/>
      <c r="P2789" s="757">
        <v>400</v>
      </c>
      <c r="Q2789" s="757"/>
      <c r="R2789" s="712">
        <v>0</v>
      </c>
      <c r="S2789" s="758">
        <f t="shared" si="466"/>
        <v>400</v>
      </c>
      <c r="T2789" s="759"/>
      <c r="U2789" s="711"/>
      <c r="V2789" s="711"/>
      <c r="W2789" s="711"/>
      <c r="X2789" s="285"/>
    </row>
    <row r="2790" spans="1:24" ht="27.5" hidden="1" x14ac:dyDescent="0.45">
      <c r="A2790" s="46"/>
      <c r="B2790" s="46"/>
      <c r="C2790" s="46"/>
      <c r="D2790" s="46"/>
      <c r="E2790" s="47"/>
      <c r="F2790" s="762" t="s">
        <v>3894</v>
      </c>
      <c r="G2790" s="762"/>
      <c r="H2790" s="49" t="s">
        <v>3908</v>
      </c>
      <c r="I2790" s="71" t="s">
        <v>3804</v>
      </c>
      <c r="J2790" s="51"/>
      <c r="K2790" s="52"/>
      <c r="L2790" s="52"/>
      <c r="M2790" s="53"/>
      <c r="N2790" s="54"/>
      <c r="O2790" s="341"/>
      <c r="P2790" s="745">
        <v>250</v>
      </c>
      <c r="Q2790" s="745"/>
      <c r="R2790" s="53">
        <v>250</v>
      </c>
      <c r="S2790" s="79">
        <f t="shared" si="466"/>
        <v>0</v>
      </c>
      <c r="T2790" s="343"/>
      <c r="U2790" s="52"/>
      <c r="V2790" s="52"/>
      <c r="W2790" s="52"/>
      <c r="X2790" s="55"/>
    </row>
    <row r="2791" spans="1:24" ht="18.5" hidden="1" x14ac:dyDescent="0.45">
      <c r="A2791" s="46"/>
      <c r="B2791" s="46"/>
      <c r="C2791" s="46"/>
      <c r="D2791" s="46"/>
      <c r="E2791" s="47"/>
      <c r="F2791" s="762" t="s">
        <v>3894</v>
      </c>
      <c r="G2791" s="762"/>
      <c r="H2791" s="49" t="s">
        <v>3909</v>
      </c>
      <c r="I2791" s="71" t="s">
        <v>3879</v>
      </c>
      <c r="J2791" s="51"/>
      <c r="K2791" s="52"/>
      <c r="L2791" s="52"/>
      <c r="M2791" s="53"/>
      <c r="N2791" s="54"/>
      <c r="O2791" s="341"/>
      <c r="P2791" s="745">
        <v>650</v>
      </c>
      <c r="Q2791" s="745"/>
      <c r="R2791" s="53">
        <v>650</v>
      </c>
      <c r="S2791" s="79">
        <f t="shared" si="466"/>
        <v>0</v>
      </c>
      <c r="T2791" s="343"/>
      <c r="U2791" s="52"/>
      <c r="V2791" s="52"/>
      <c r="W2791" s="52"/>
      <c r="X2791" s="55"/>
    </row>
    <row r="2792" spans="1:24" ht="18.5" hidden="1" x14ac:dyDescent="0.45">
      <c r="A2792" s="46"/>
      <c r="B2792" s="46"/>
      <c r="C2792" s="46"/>
      <c r="D2792" s="46"/>
      <c r="E2792" s="47"/>
      <c r="F2792" s="762" t="s">
        <v>3894</v>
      </c>
      <c r="G2792" s="762"/>
      <c r="H2792" s="49" t="s">
        <v>3910</v>
      </c>
      <c r="I2792" s="71" t="s">
        <v>3881</v>
      </c>
      <c r="J2792" s="51"/>
      <c r="K2792" s="52"/>
      <c r="L2792" s="52"/>
      <c r="M2792" s="53"/>
      <c r="N2792" s="54"/>
      <c r="O2792" s="341"/>
      <c r="P2792" s="745">
        <v>650</v>
      </c>
      <c r="Q2792" s="745"/>
      <c r="R2792" s="53">
        <v>650</v>
      </c>
      <c r="S2792" s="79">
        <f t="shared" si="466"/>
        <v>0</v>
      </c>
      <c r="T2792" s="343"/>
      <c r="U2792" s="52"/>
      <c r="V2792" s="52"/>
      <c r="W2792" s="52"/>
      <c r="X2792" s="55"/>
    </row>
    <row r="2793" spans="1:24" ht="27.5" hidden="1" x14ac:dyDescent="0.45">
      <c r="A2793" s="548"/>
      <c r="B2793" s="548"/>
      <c r="C2793" s="548"/>
      <c r="D2793" s="548"/>
      <c r="E2793" s="273"/>
      <c r="F2793" s="754" t="s">
        <v>3894</v>
      </c>
      <c r="G2793" s="754"/>
      <c r="H2793" s="755" t="s">
        <v>3911</v>
      </c>
      <c r="I2793" s="274" t="s">
        <v>3808</v>
      </c>
      <c r="J2793" s="562"/>
      <c r="K2793" s="711"/>
      <c r="L2793" s="711"/>
      <c r="M2793" s="712"/>
      <c r="N2793" s="713"/>
      <c r="O2793" s="714"/>
      <c r="P2793" s="757">
        <v>400</v>
      </c>
      <c r="Q2793" s="757"/>
      <c r="R2793" s="712">
        <v>0</v>
      </c>
      <c r="S2793" s="758">
        <f t="shared" si="466"/>
        <v>400</v>
      </c>
      <c r="T2793" s="759"/>
      <c r="U2793" s="711"/>
      <c r="V2793" s="711"/>
      <c r="W2793" s="711"/>
      <c r="X2793" s="285"/>
    </row>
    <row r="2794" spans="1:24" ht="18" hidden="1" x14ac:dyDescent="0.35">
      <c r="A2794" s="46"/>
      <c r="B2794" s="46"/>
      <c r="C2794" s="46"/>
      <c r="D2794" s="46"/>
      <c r="E2794" s="47"/>
      <c r="F2794" s="752" t="s">
        <v>3892</v>
      </c>
      <c r="G2794" s="752"/>
      <c r="H2794" s="49" t="s">
        <v>3912</v>
      </c>
      <c r="I2794" s="748" t="s">
        <v>3913</v>
      </c>
      <c r="J2794" s="51"/>
      <c r="K2794" s="52"/>
      <c r="L2794" s="52"/>
      <c r="M2794" s="53"/>
      <c r="N2794" s="54"/>
      <c r="O2794" s="341"/>
      <c r="P2794" s="745">
        <v>6500</v>
      </c>
      <c r="Q2794" s="745"/>
      <c r="R2794" s="53">
        <v>6500</v>
      </c>
      <c r="S2794" s="79">
        <f t="shared" si="466"/>
        <v>0</v>
      </c>
      <c r="T2794" s="343"/>
      <c r="U2794" s="52"/>
      <c r="V2794" s="52"/>
      <c r="W2794" s="52"/>
      <c r="X2794" s="55"/>
    </row>
    <row r="2795" spans="1:24" ht="30" hidden="1" x14ac:dyDescent="0.45">
      <c r="A2795" s="46"/>
      <c r="B2795" s="46"/>
      <c r="C2795" s="46"/>
      <c r="D2795" s="46"/>
      <c r="E2795" s="47"/>
      <c r="F2795" s="762" t="s">
        <v>3894</v>
      </c>
      <c r="G2795" s="762"/>
      <c r="H2795" s="49" t="s">
        <v>3914</v>
      </c>
      <c r="I2795" s="62" t="s">
        <v>3842</v>
      </c>
      <c r="J2795" s="51"/>
      <c r="K2795" s="52"/>
      <c r="L2795" s="52"/>
      <c r="M2795" s="53"/>
      <c r="N2795" s="54"/>
      <c r="O2795" s="341"/>
      <c r="P2795" s="745">
        <f>9*6</f>
        <v>54</v>
      </c>
      <c r="Q2795" s="745"/>
      <c r="R2795" s="53">
        <v>54</v>
      </c>
      <c r="S2795" s="79">
        <f t="shared" si="466"/>
        <v>0</v>
      </c>
      <c r="T2795" s="343"/>
      <c r="U2795" s="52"/>
      <c r="V2795" s="52"/>
      <c r="W2795" s="52"/>
      <c r="X2795" s="55"/>
    </row>
    <row r="2796" spans="1:24" ht="18" hidden="1" x14ac:dyDescent="0.35">
      <c r="A2796" s="46"/>
      <c r="B2796" s="46"/>
      <c r="C2796" s="46"/>
      <c r="D2796" s="46"/>
      <c r="E2796" s="47"/>
      <c r="F2796" s="752" t="s">
        <v>3892</v>
      </c>
      <c r="G2796" s="752"/>
      <c r="H2796" s="49" t="s">
        <v>3915</v>
      </c>
      <c r="I2796" s="748" t="s">
        <v>3916</v>
      </c>
      <c r="J2796" s="51"/>
      <c r="K2796" s="52"/>
      <c r="L2796" s="52"/>
      <c r="M2796" s="53"/>
      <c r="N2796" s="54"/>
      <c r="O2796" s="341"/>
      <c r="P2796" s="745">
        <v>54</v>
      </c>
      <c r="Q2796" s="745"/>
      <c r="R2796" s="53">
        <v>54</v>
      </c>
      <c r="S2796" s="79">
        <f t="shared" si="466"/>
        <v>0</v>
      </c>
      <c r="T2796" s="343"/>
      <c r="U2796" s="52"/>
      <c r="V2796" s="52"/>
      <c r="W2796" s="52"/>
      <c r="X2796" s="55"/>
    </row>
    <row r="2797" spans="1:24" ht="18.5" hidden="1" x14ac:dyDescent="0.45">
      <c r="A2797" s="46"/>
      <c r="B2797" s="46"/>
      <c r="C2797" s="46"/>
      <c r="D2797" s="46"/>
      <c r="E2797" s="47"/>
      <c r="F2797" s="762" t="s">
        <v>3894</v>
      </c>
      <c r="G2797" s="762"/>
      <c r="H2797" s="49" t="s">
        <v>3917</v>
      </c>
      <c r="I2797" s="62" t="s">
        <v>3918</v>
      </c>
      <c r="J2797" s="51"/>
      <c r="K2797" s="52"/>
      <c r="L2797" s="52"/>
      <c r="M2797" s="53"/>
      <c r="N2797" s="54"/>
      <c r="O2797" s="341"/>
      <c r="P2797" s="745">
        <v>54</v>
      </c>
      <c r="Q2797" s="745"/>
      <c r="R2797" s="53">
        <v>54</v>
      </c>
      <c r="S2797" s="79">
        <f t="shared" si="466"/>
        <v>0</v>
      </c>
      <c r="T2797" s="343"/>
      <c r="U2797" s="52"/>
      <c r="V2797" s="52"/>
      <c r="W2797" s="52"/>
      <c r="X2797" s="55"/>
    </row>
    <row r="2798" spans="1:24" ht="18.5" hidden="1" x14ac:dyDescent="0.45">
      <c r="A2798" s="46"/>
      <c r="B2798" s="46"/>
      <c r="C2798" s="46"/>
      <c r="D2798" s="46"/>
      <c r="E2798" s="47"/>
      <c r="F2798" s="762" t="s">
        <v>3894</v>
      </c>
      <c r="G2798" s="762"/>
      <c r="H2798" s="49" t="s">
        <v>3919</v>
      </c>
      <c r="I2798" s="62" t="s">
        <v>3920</v>
      </c>
      <c r="J2798" s="51"/>
      <c r="K2798" s="52"/>
      <c r="L2798" s="52"/>
      <c r="M2798" s="53"/>
      <c r="N2798" s="54"/>
      <c r="O2798" s="341"/>
      <c r="P2798" s="745">
        <v>20</v>
      </c>
      <c r="Q2798" s="745"/>
      <c r="R2798" s="53">
        <v>20</v>
      </c>
      <c r="S2798" s="79">
        <f t="shared" si="466"/>
        <v>0</v>
      </c>
      <c r="T2798" s="343"/>
      <c r="U2798" s="52"/>
      <c r="V2798" s="52"/>
      <c r="W2798" s="52"/>
      <c r="X2798" s="55"/>
    </row>
    <row r="2799" spans="1:24" ht="18.5" hidden="1" x14ac:dyDescent="0.45">
      <c r="A2799" s="46"/>
      <c r="B2799" s="46"/>
      <c r="C2799" s="46"/>
      <c r="D2799" s="46"/>
      <c r="E2799" s="47"/>
      <c r="F2799" s="762" t="s">
        <v>3894</v>
      </c>
      <c r="G2799" s="762"/>
      <c r="H2799" s="49" t="s">
        <v>3921</v>
      </c>
      <c r="I2799" s="62" t="s">
        <v>3922</v>
      </c>
      <c r="J2799" s="51"/>
      <c r="K2799" s="52"/>
      <c r="L2799" s="52"/>
      <c r="M2799" s="53"/>
      <c r="N2799" s="54"/>
      <c r="O2799" s="341"/>
      <c r="P2799" s="745">
        <v>20</v>
      </c>
      <c r="Q2799" s="745"/>
      <c r="R2799" s="53">
        <v>20</v>
      </c>
      <c r="S2799" s="79">
        <f t="shared" si="466"/>
        <v>0</v>
      </c>
      <c r="T2799" s="343"/>
      <c r="U2799" s="52"/>
      <c r="V2799" s="52"/>
      <c r="W2799" s="52"/>
      <c r="X2799" s="55"/>
    </row>
    <row r="2800" spans="1:24" ht="18" hidden="1" x14ac:dyDescent="0.35">
      <c r="A2800" s="548"/>
      <c r="B2800" s="548"/>
      <c r="C2800" s="548"/>
      <c r="D2800" s="548"/>
      <c r="E2800" s="273"/>
      <c r="F2800" s="760" t="s">
        <v>3892</v>
      </c>
      <c r="G2800" s="760"/>
      <c r="H2800" s="755" t="s">
        <v>3923</v>
      </c>
      <c r="I2800" s="763" t="s">
        <v>3924</v>
      </c>
      <c r="J2800" s="562"/>
      <c r="K2800" s="711"/>
      <c r="L2800" s="711"/>
      <c r="M2800" s="712"/>
      <c r="N2800" s="713"/>
      <c r="O2800" s="714"/>
      <c r="P2800" s="757">
        <v>20</v>
      </c>
      <c r="Q2800" s="757"/>
      <c r="R2800" s="712">
        <v>20</v>
      </c>
      <c r="S2800" s="758">
        <f t="shared" si="466"/>
        <v>0</v>
      </c>
      <c r="T2800" s="759"/>
      <c r="U2800" s="711"/>
      <c r="V2800" s="711"/>
      <c r="W2800" s="711"/>
      <c r="X2800" s="285"/>
    </row>
    <row r="2801" spans="1:24" ht="18" hidden="1" x14ac:dyDescent="0.35">
      <c r="A2801" s="548"/>
      <c r="B2801" s="548"/>
      <c r="C2801" s="548"/>
      <c r="D2801" s="548"/>
      <c r="E2801" s="273"/>
      <c r="F2801" s="760" t="s">
        <v>3892</v>
      </c>
      <c r="G2801" s="760"/>
      <c r="H2801" s="755" t="s">
        <v>3925</v>
      </c>
      <c r="I2801" s="763" t="s">
        <v>3926</v>
      </c>
      <c r="J2801" s="562"/>
      <c r="K2801" s="711"/>
      <c r="L2801" s="711"/>
      <c r="M2801" s="712"/>
      <c r="N2801" s="713"/>
      <c r="O2801" s="714"/>
      <c r="P2801" s="757">
        <f>120+16+16+16</f>
        <v>168</v>
      </c>
      <c r="Q2801" s="757"/>
      <c r="R2801" s="712">
        <v>168</v>
      </c>
      <c r="S2801" s="758">
        <f t="shared" si="466"/>
        <v>0</v>
      </c>
      <c r="T2801" s="759"/>
      <c r="U2801" s="711"/>
      <c r="V2801" s="711"/>
      <c r="W2801" s="711"/>
      <c r="X2801" s="285"/>
    </row>
    <row r="2802" spans="1:24" ht="18.5" hidden="1" x14ac:dyDescent="0.45">
      <c r="A2802" s="548"/>
      <c r="B2802" s="548"/>
      <c r="C2802" s="548"/>
      <c r="D2802" s="548"/>
      <c r="E2802" s="273"/>
      <c r="F2802" s="754" t="s">
        <v>3894</v>
      </c>
      <c r="G2802" s="754"/>
      <c r="H2802" s="755" t="s">
        <v>3927</v>
      </c>
      <c r="I2802" s="764" t="s">
        <v>3928</v>
      </c>
      <c r="J2802" s="562"/>
      <c r="K2802" s="711"/>
      <c r="L2802" s="711"/>
      <c r="M2802" s="712"/>
      <c r="N2802" s="713"/>
      <c r="O2802" s="714"/>
      <c r="P2802" s="757">
        <f>120+16+16+16</f>
        <v>168</v>
      </c>
      <c r="Q2802" s="757"/>
      <c r="R2802" s="712">
        <v>168</v>
      </c>
      <c r="S2802" s="758">
        <f t="shared" si="466"/>
        <v>0</v>
      </c>
      <c r="T2802" s="759"/>
      <c r="U2802" s="711"/>
      <c r="V2802" s="711"/>
      <c r="W2802" s="711"/>
      <c r="X2802" s="285"/>
    </row>
    <row r="2803" spans="1:24" ht="18.5" hidden="1" x14ac:dyDescent="0.45">
      <c r="A2803" s="548"/>
      <c r="B2803" s="548"/>
      <c r="C2803" s="548"/>
      <c r="D2803" s="548"/>
      <c r="E2803" s="273"/>
      <c r="F2803" s="754" t="s">
        <v>3894</v>
      </c>
      <c r="G2803" s="754"/>
      <c r="H2803" s="755" t="s">
        <v>3929</v>
      </c>
      <c r="I2803" s="764" t="s">
        <v>3930</v>
      </c>
      <c r="J2803" s="562"/>
      <c r="K2803" s="711"/>
      <c r="L2803" s="711"/>
      <c r="M2803" s="712"/>
      <c r="N2803" s="713"/>
      <c r="O2803" s="714"/>
      <c r="P2803" s="757">
        <f>120+16+16+16</f>
        <v>168</v>
      </c>
      <c r="Q2803" s="757"/>
      <c r="R2803" s="712">
        <v>168</v>
      </c>
      <c r="S2803" s="758">
        <f t="shared" si="466"/>
        <v>0</v>
      </c>
      <c r="T2803" s="759"/>
      <c r="U2803" s="711"/>
      <c r="V2803" s="711"/>
      <c r="W2803" s="711"/>
      <c r="X2803" s="285"/>
    </row>
    <row r="2804" spans="1:24" ht="18" hidden="1" x14ac:dyDescent="0.35">
      <c r="A2804" s="548"/>
      <c r="B2804" s="548"/>
      <c r="C2804" s="548"/>
      <c r="D2804" s="548"/>
      <c r="E2804" s="273"/>
      <c r="F2804" s="760" t="s">
        <v>3892</v>
      </c>
      <c r="G2804" s="760"/>
      <c r="H2804" s="755" t="s">
        <v>3931</v>
      </c>
      <c r="I2804" s="763" t="s">
        <v>3932</v>
      </c>
      <c r="J2804" s="562"/>
      <c r="K2804" s="711"/>
      <c r="L2804" s="711"/>
      <c r="M2804" s="712"/>
      <c r="N2804" s="713"/>
      <c r="O2804" s="714"/>
      <c r="P2804" s="757">
        <v>15</v>
      </c>
      <c r="Q2804" s="757"/>
      <c r="R2804" s="712">
        <v>0</v>
      </c>
      <c r="S2804" s="758">
        <f t="shared" si="466"/>
        <v>15</v>
      </c>
      <c r="T2804" s="759"/>
      <c r="U2804" s="711"/>
      <c r="V2804" s="711"/>
      <c r="W2804" s="711"/>
      <c r="X2804" s="285"/>
    </row>
    <row r="2805" spans="1:24" ht="18.5" hidden="1" x14ac:dyDescent="0.45">
      <c r="A2805" s="548"/>
      <c r="B2805" s="548"/>
      <c r="C2805" s="548"/>
      <c r="D2805" s="548"/>
      <c r="E2805" s="273"/>
      <c r="F2805" s="754" t="s">
        <v>3894</v>
      </c>
      <c r="G2805" s="754"/>
      <c r="H2805" s="755" t="s">
        <v>3933</v>
      </c>
      <c r="I2805" s="764" t="s">
        <v>3934</v>
      </c>
      <c r="J2805" s="562"/>
      <c r="K2805" s="711"/>
      <c r="L2805" s="711"/>
      <c r="M2805" s="712"/>
      <c r="N2805" s="713"/>
      <c r="O2805" s="714"/>
      <c r="P2805" s="757">
        <v>15</v>
      </c>
      <c r="Q2805" s="757"/>
      <c r="R2805" s="712">
        <v>0</v>
      </c>
      <c r="S2805" s="758">
        <f t="shared" si="466"/>
        <v>15</v>
      </c>
      <c r="T2805" s="759"/>
      <c r="U2805" s="711"/>
      <c r="V2805" s="711"/>
      <c r="W2805" s="711"/>
      <c r="X2805" s="285"/>
    </row>
    <row r="2806" spans="1:24" ht="18" hidden="1" x14ac:dyDescent="0.35">
      <c r="A2806" s="46"/>
      <c r="B2806" s="46"/>
      <c r="C2806" s="46"/>
      <c r="D2806" s="46"/>
      <c r="E2806" s="47"/>
      <c r="F2806" s="752" t="s">
        <v>3892</v>
      </c>
      <c r="G2806" s="752"/>
      <c r="H2806" s="49" t="s">
        <v>3935</v>
      </c>
      <c r="I2806" s="748" t="s">
        <v>3845</v>
      </c>
      <c r="J2806" s="51"/>
      <c r="K2806" s="52"/>
      <c r="L2806" s="52"/>
      <c r="M2806" s="53"/>
      <c r="N2806" s="54"/>
      <c r="O2806" s="341"/>
      <c r="P2806" s="745">
        <v>15</v>
      </c>
      <c r="Q2806" s="745"/>
      <c r="R2806" s="53">
        <v>15</v>
      </c>
      <c r="S2806" s="79">
        <f t="shared" si="466"/>
        <v>0</v>
      </c>
      <c r="T2806" s="343"/>
      <c r="U2806" s="52"/>
      <c r="V2806" s="52"/>
      <c r="W2806" s="52"/>
      <c r="X2806" s="55"/>
    </row>
    <row r="2807" spans="1:24" ht="18.5" hidden="1" x14ac:dyDescent="0.45">
      <c r="A2807" s="46"/>
      <c r="B2807" s="46"/>
      <c r="C2807" s="46"/>
      <c r="D2807" s="46"/>
      <c r="E2807" s="47"/>
      <c r="F2807" s="762" t="s">
        <v>3894</v>
      </c>
      <c r="G2807" s="762"/>
      <c r="H2807" s="49" t="s">
        <v>3936</v>
      </c>
      <c r="I2807" s="62" t="s">
        <v>3847</v>
      </c>
      <c r="J2807" s="51"/>
      <c r="K2807" s="52"/>
      <c r="L2807" s="52"/>
      <c r="M2807" s="53"/>
      <c r="N2807" s="54"/>
      <c r="O2807" s="341"/>
      <c r="P2807" s="745">
        <v>15</v>
      </c>
      <c r="Q2807" s="745"/>
      <c r="R2807" s="53">
        <v>15</v>
      </c>
      <c r="S2807" s="79">
        <f t="shared" si="466"/>
        <v>0</v>
      </c>
      <c r="T2807" s="343"/>
      <c r="U2807" s="52"/>
      <c r="V2807" s="52"/>
      <c r="W2807" s="52"/>
      <c r="X2807" s="55"/>
    </row>
    <row r="2808" spans="1:24" ht="18" hidden="1" x14ac:dyDescent="0.35">
      <c r="A2808" s="548"/>
      <c r="B2808" s="548"/>
      <c r="C2808" s="548"/>
      <c r="D2808" s="548"/>
      <c r="E2808" s="273"/>
      <c r="F2808" s="760" t="s">
        <v>3892</v>
      </c>
      <c r="G2808" s="760"/>
      <c r="H2808" s="755" t="s">
        <v>3937</v>
      </c>
      <c r="I2808" s="763" t="s">
        <v>3780</v>
      </c>
      <c r="J2808" s="562"/>
      <c r="K2808" s="711"/>
      <c r="L2808" s="711"/>
      <c r="M2808" s="712"/>
      <c r="N2808" s="713"/>
      <c r="O2808" s="714"/>
      <c r="P2808" s="757">
        <v>50</v>
      </c>
      <c r="Q2808" s="757"/>
      <c r="R2808" s="712">
        <v>0</v>
      </c>
      <c r="S2808" s="758">
        <f t="shared" si="466"/>
        <v>50</v>
      </c>
      <c r="T2808" s="759"/>
      <c r="U2808" s="711"/>
      <c r="V2808" s="711"/>
      <c r="W2808" s="711"/>
      <c r="X2808" s="285"/>
    </row>
    <row r="2809" spans="1:24" ht="18.5" hidden="1" x14ac:dyDescent="0.45">
      <c r="A2809" s="548"/>
      <c r="B2809" s="548"/>
      <c r="C2809" s="548"/>
      <c r="D2809" s="548"/>
      <c r="E2809" s="273"/>
      <c r="F2809" s="754" t="s">
        <v>3894</v>
      </c>
      <c r="G2809" s="754"/>
      <c r="H2809" s="755" t="s">
        <v>3938</v>
      </c>
      <c r="I2809" s="764" t="s">
        <v>3939</v>
      </c>
      <c r="J2809" s="562"/>
      <c r="K2809" s="711"/>
      <c r="L2809" s="711"/>
      <c r="M2809" s="712"/>
      <c r="N2809" s="713"/>
      <c r="O2809" s="714"/>
      <c r="P2809" s="757">
        <v>50</v>
      </c>
      <c r="Q2809" s="757"/>
      <c r="R2809" s="712">
        <v>0</v>
      </c>
      <c r="S2809" s="758">
        <f t="shared" si="466"/>
        <v>50</v>
      </c>
      <c r="T2809" s="759"/>
      <c r="U2809" s="711"/>
      <c r="V2809" s="711"/>
      <c r="W2809" s="711"/>
      <c r="X2809" s="285"/>
    </row>
    <row r="2810" spans="1:24" hidden="1" x14ac:dyDescent="0.35">
      <c r="A2810" s="548"/>
      <c r="B2810" s="548"/>
      <c r="C2810" s="548"/>
      <c r="D2810" s="548"/>
      <c r="E2810" s="273"/>
      <c r="F2810" s="765" t="s">
        <v>3892</v>
      </c>
      <c r="G2810" s="765"/>
      <c r="H2810" s="755" t="s">
        <v>3940</v>
      </c>
      <c r="I2810" s="764" t="s">
        <v>3941</v>
      </c>
      <c r="J2810" s="766"/>
      <c r="K2810" s="711"/>
      <c r="L2810" s="711"/>
      <c r="M2810" s="712"/>
      <c r="N2810" s="713"/>
      <c r="O2810" s="714"/>
      <c r="P2810" s="757">
        <v>1000</v>
      </c>
      <c r="Q2810" s="757"/>
      <c r="R2810" s="712">
        <v>1000</v>
      </c>
      <c r="S2810" s="758">
        <f t="shared" si="466"/>
        <v>0</v>
      </c>
      <c r="T2810" s="759"/>
      <c r="U2810" s="711"/>
      <c r="V2810" s="711"/>
      <c r="W2810" s="711"/>
      <c r="X2810" s="285"/>
    </row>
    <row r="2811" spans="1:24" hidden="1" x14ac:dyDescent="0.35">
      <c r="A2811" s="46"/>
      <c r="B2811" s="46"/>
      <c r="C2811" s="46"/>
      <c r="D2811" s="46"/>
      <c r="E2811" s="47"/>
      <c r="F2811" s="765" t="s">
        <v>3892</v>
      </c>
      <c r="G2811" s="765"/>
      <c r="H2811" s="49" t="s">
        <v>3942</v>
      </c>
      <c r="I2811" s="62" t="s">
        <v>3943</v>
      </c>
      <c r="J2811" s="767"/>
      <c r="K2811" s="52"/>
      <c r="L2811" s="52"/>
      <c r="M2811" s="53"/>
      <c r="N2811" s="54"/>
      <c r="O2811" s="341"/>
      <c r="P2811" s="745">
        <v>1000</v>
      </c>
      <c r="Q2811" s="745"/>
      <c r="R2811" s="53">
        <v>1000</v>
      </c>
      <c r="S2811" s="79">
        <f t="shared" si="466"/>
        <v>0</v>
      </c>
      <c r="T2811" s="343"/>
      <c r="U2811" s="52"/>
      <c r="V2811" s="52"/>
      <c r="W2811" s="52"/>
      <c r="X2811" s="55"/>
    </row>
    <row r="2812" spans="1:24" hidden="1" x14ac:dyDescent="0.35">
      <c r="A2812" s="46"/>
      <c r="B2812" s="46"/>
      <c r="C2812" s="46"/>
      <c r="D2812" s="46"/>
      <c r="E2812" s="47"/>
      <c r="F2812" s="765" t="s">
        <v>3892</v>
      </c>
      <c r="G2812" s="765"/>
      <c r="H2812" s="49" t="s">
        <v>3944</v>
      </c>
      <c r="I2812" s="62" t="s">
        <v>3898</v>
      </c>
      <c r="J2812" s="767"/>
      <c r="K2812" s="52"/>
      <c r="L2812" s="52"/>
      <c r="M2812" s="53"/>
      <c r="N2812" s="54"/>
      <c r="O2812" s="341"/>
      <c r="P2812" s="745">
        <v>1000</v>
      </c>
      <c r="Q2812" s="745"/>
      <c r="R2812" s="53">
        <v>1000</v>
      </c>
      <c r="S2812" s="79">
        <f t="shared" si="466"/>
        <v>0</v>
      </c>
      <c r="T2812" s="343"/>
      <c r="U2812" s="52"/>
      <c r="V2812" s="52"/>
      <c r="W2812" s="52"/>
      <c r="X2812" s="55"/>
    </row>
    <row r="2813" spans="1:24" hidden="1" x14ac:dyDescent="0.35">
      <c r="A2813" s="46"/>
      <c r="B2813" s="46"/>
      <c r="C2813" s="46"/>
      <c r="D2813" s="46"/>
      <c r="E2813" s="47"/>
      <c r="F2813" s="765" t="s">
        <v>3892</v>
      </c>
      <c r="G2813" s="765"/>
      <c r="H2813" s="49" t="s">
        <v>3945</v>
      </c>
      <c r="I2813" s="62" t="s">
        <v>3896</v>
      </c>
      <c r="J2813" s="767"/>
      <c r="K2813" s="52"/>
      <c r="L2813" s="52"/>
      <c r="M2813" s="53"/>
      <c r="N2813" s="54"/>
      <c r="O2813" s="341"/>
      <c r="P2813" s="745">
        <v>1000</v>
      </c>
      <c r="Q2813" s="745"/>
      <c r="R2813" s="53">
        <v>1000</v>
      </c>
      <c r="S2813" s="79">
        <f t="shared" si="466"/>
        <v>0</v>
      </c>
      <c r="T2813" s="343"/>
      <c r="U2813" s="52"/>
      <c r="V2813" s="52"/>
      <c r="W2813" s="52"/>
      <c r="X2813" s="55"/>
    </row>
    <row r="2814" spans="1:24" ht="29" hidden="1" x14ac:dyDescent="0.35">
      <c r="A2814" s="46"/>
      <c r="B2814" s="46"/>
      <c r="C2814" s="46"/>
      <c r="D2814" s="46"/>
      <c r="E2814" s="47"/>
      <c r="F2814" s="765" t="s">
        <v>3892</v>
      </c>
      <c r="G2814" s="765"/>
      <c r="H2814" s="49" t="s">
        <v>3946</v>
      </c>
      <c r="I2814" s="62" t="s">
        <v>3947</v>
      </c>
      <c r="J2814" s="767"/>
      <c r="K2814" s="52"/>
      <c r="L2814" s="52"/>
      <c r="M2814" s="53"/>
      <c r="N2814" s="54"/>
      <c r="O2814" s="341"/>
      <c r="P2814" s="745">
        <v>1000</v>
      </c>
      <c r="Q2814" s="745"/>
      <c r="R2814" s="53">
        <v>1000</v>
      </c>
      <c r="S2814" s="79">
        <f t="shared" si="466"/>
        <v>0</v>
      </c>
      <c r="T2814" s="343"/>
      <c r="U2814" s="52"/>
      <c r="V2814" s="52"/>
      <c r="W2814" s="52"/>
      <c r="X2814" s="55"/>
    </row>
    <row r="2815" spans="1:24" hidden="1" x14ac:dyDescent="0.35">
      <c r="A2815" s="46"/>
      <c r="B2815" s="46"/>
      <c r="C2815" s="46"/>
      <c r="D2815" s="46"/>
      <c r="E2815" s="47"/>
      <c r="F2815" s="765" t="s">
        <v>3892</v>
      </c>
      <c r="G2815" s="765"/>
      <c r="H2815" s="49" t="s">
        <v>3948</v>
      </c>
      <c r="I2815" s="62" t="s">
        <v>3949</v>
      </c>
      <c r="J2815" s="767"/>
      <c r="K2815" s="52"/>
      <c r="L2815" s="52"/>
      <c r="M2815" s="53"/>
      <c r="N2815" s="54"/>
      <c r="O2815" s="341"/>
      <c r="P2815" s="745">
        <v>1000</v>
      </c>
      <c r="Q2815" s="745"/>
      <c r="R2815" s="53">
        <v>1000</v>
      </c>
      <c r="S2815" s="79">
        <f t="shared" si="466"/>
        <v>0</v>
      </c>
      <c r="T2815" s="343"/>
      <c r="U2815" s="52"/>
      <c r="V2815" s="52"/>
      <c r="W2815" s="52"/>
      <c r="X2815" s="55"/>
    </row>
    <row r="2816" spans="1:24" ht="29" hidden="1" x14ac:dyDescent="0.35">
      <c r="A2816" s="548"/>
      <c r="B2816" s="548"/>
      <c r="C2816" s="548"/>
      <c r="D2816" s="548"/>
      <c r="E2816" s="273"/>
      <c r="F2816" s="765" t="s">
        <v>3892</v>
      </c>
      <c r="G2816" s="765"/>
      <c r="H2816" s="755" t="s">
        <v>3950</v>
      </c>
      <c r="I2816" s="764" t="s">
        <v>3951</v>
      </c>
      <c r="J2816" s="766"/>
      <c r="K2816" s="711"/>
      <c r="L2816" s="711"/>
      <c r="M2816" s="712"/>
      <c r="N2816" s="713"/>
      <c r="O2816" s="714"/>
      <c r="P2816" s="757">
        <v>600</v>
      </c>
      <c r="Q2816" s="757"/>
      <c r="R2816" s="712">
        <v>200</v>
      </c>
      <c r="S2816" s="758">
        <f t="shared" si="466"/>
        <v>400</v>
      </c>
      <c r="T2816" s="759"/>
      <c r="U2816" s="711"/>
      <c r="V2816" s="711"/>
      <c r="W2816" s="711"/>
      <c r="X2816" s="285"/>
    </row>
    <row r="2817" spans="1:24" ht="29" hidden="1" x14ac:dyDescent="0.35">
      <c r="A2817" s="548"/>
      <c r="B2817" s="548"/>
      <c r="C2817" s="548"/>
      <c r="D2817" s="548"/>
      <c r="E2817" s="273"/>
      <c r="F2817" s="765" t="s">
        <v>3892</v>
      </c>
      <c r="G2817" s="765"/>
      <c r="H2817" s="755" t="s">
        <v>3952</v>
      </c>
      <c r="I2817" s="764" t="s">
        <v>3806</v>
      </c>
      <c r="J2817" s="766"/>
      <c r="K2817" s="711"/>
      <c r="L2817" s="711"/>
      <c r="M2817" s="712"/>
      <c r="N2817" s="713"/>
      <c r="O2817" s="714"/>
      <c r="P2817" s="757">
        <v>400</v>
      </c>
      <c r="Q2817" s="757"/>
      <c r="R2817" s="712"/>
      <c r="S2817" s="758">
        <f t="shared" si="466"/>
        <v>400</v>
      </c>
      <c r="T2817" s="759"/>
      <c r="U2817" s="711"/>
      <c r="V2817" s="711"/>
      <c r="W2817" s="711"/>
      <c r="X2817" s="285"/>
    </row>
    <row r="2818" spans="1:24" hidden="1" x14ac:dyDescent="0.35">
      <c r="A2818" s="548"/>
      <c r="B2818" s="548"/>
      <c r="C2818" s="548"/>
      <c r="D2818" s="548"/>
      <c r="E2818" s="273"/>
      <c r="F2818" s="765" t="s">
        <v>3892</v>
      </c>
      <c r="G2818" s="765"/>
      <c r="H2818" s="755"/>
      <c r="I2818" s="764" t="s">
        <v>3815</v>
      </c>
      <c r="J2818" s="766"/>
      <c r="K2818" s="711"/>
      <c r="L2818" s="711"/>
      <c r="M2818" s="712"/>
      <c r="N2818" s="713"/>
      <c r="O2818" s="714"/>
      <c r="P2818" s="757">
        <v>3000</v>
      </c>
      <c r="Q2818" s="757"/>
      <c r="R2818" s="712"/>
      <c r="S2818" s="758">
        <f t="shared" si="466"/>
        <v>3000</v>
      </c>
      <c r="T2818" s="759"/>
      <c r="U2818" s="711"/>
      <c r="V2818" s="711"/>
      <c r="W2818" s="711"/>
      <c r="X2818" s="285"/>
    </row>
    <row r="2819" spans="1:24" ht="29" hidden="1" x14ac:dyDescent="0.35">
      <c r="A2819" s="548"/>
      <c r="B2819" s="548"/>
      <c r="C2819" s="548"/>
      <c r="D2819" s="548"/>
      <c r="E2819" s="273"/>
      <c r="F2819" s="765" t="s">
        <v>3892</v>
      </c>
      <c r="G2819" s="765"/>
      <c r="H2819" s="755"/>
      <c r="I2819" s="764" t="s">
        <v>3694</v>
      </c>
      <c r="J2819" s="766"/>
      <c r="K2819" s="711"/>
      <c r="L2819" s="711"/>
      <c r="M2819" s="712"/>
      <c r="N2819" s="713"/>
      <c r="O2819" s="714"/>
      <c r="P2819" s="757">
        <v>3000</v>
      </c>
      <c r="Q2819" s="757"/>
      <c r="R2819" s="712"/>
      <c r="S2819" s="758">
        <f t="shared" si="466"/>
        <v>3000</v>
      </c>
      <c r="T2819" s="759"/>
      <c r="U2819" s="711"/>
      <c r="V2819" s="711"/>
      <c r="W2819" s="711"/>
      <c r="X2819" s="285"/>
    </row>
    <row r="2820" spans="1:24" hidden="1" x14ac:dyDescent="0.35">
      <c r="A2820" s="548"/>
      <c r="B2820" s="548"/>
      <c r="C2820" s="548"/>
      <c r="D2820" s="548"/>
      <c r="E2820" s="273"/>
      <c r="F2820" s="765" t="s">
        <v>3892</v>
      </c>
      <c r="G2820" s="765"/>
      <c r="H2820" s="755"/>
      <c r="I2820" s="764" t="s">
        <v>3953</v>
      </c>
      <c r="J2820" s="766"/>
      <c r="K2820" s="711"/>
      <c r="L2820" s="711"/>
      <c r="M2820" s="712"/>
      <c r="N2820" s="713"/>
      <c r="O2820" s="714"/>
      <c r="P2820" s="757">
        <v>3000</v>
      </c>
      <c r="Q2820" s="757"/>
      <c r="R2820" s="712"/>
      <c r="S2820" s="758">
        <f t="shared" si="466"/>
        <v>3000</v>
      </c>
      <c r="T2820" s="759"/>
      <c r="U2820" s="711"/>
      <c r="V2820" s="711"/>
      <c r="W2820" s="711"/>
      <c r="X2820" s="285"/>
    </row>
    <row r="2821" spans="1:24" hidden="1" x14ac:dyDescent="0.35">
      <c r="A2821" s="548"/>
      <c r="B2821" s="548"/>
      <c r="C2821" s="548"/>
      <c r="D2821" s="548"/>
      <c r="E2821" s="273"/>
      <c r="F2821" s="765" t="s">
        <v>3892</v>
      </c>
      <c r="G2821" s="765"/>
      <c r="H2821" s="755"/>
      <c r="I2821" s="764" t="s">
        <v>3859</v>
      </c>
      <c r="J2821" s="766"/>
      <c r="K2821" s="711"/>
      <c r="L2821" s="711"/>
      <c r="M2821" s="712"/>
      <c r="N2821" s="713"/>
      <c r="O2821" s="714"/>
      <c r="P2821" s="757">
        <v>1000</v>
      </c>
      <c r="Q2821" s="757"/>
      <c r="R2821" s="712"/>
      <c r="S2821" s="758">
        <f t="shared" si="466"/>
        <v>1000</v>
      </c>
      <c r="T2821" s="759"/>
      <c r="U2821" s="711"/>
      <c r="V2821" s="711"/>
      <c r="W2821" s="711"/>
      <c r="X2821" s="285"/>
    </row>
    <row r="2822" spans="1:24" hidden="1" x14ac:dyDescent="0.35">
      <c r="A2822" s="548"/>
      <c r="B2822" s="548"/>
      <c r="C2822" s="548"/>
      <c r="D2822" s="548"/>
      <c r="E2822" s="273"/>
      <c r="F2822" s="765" t="s">
        <v>3892</v>
      </c>
      <c r="G2822" s="765"/>
      <c r="H2822" s="755" t="s">
        <v>3954</v>
      </c>
      <c r="I2822" s="764" t="s">
        <v>3696</v>
      </c>
      <c r="J2822" s="766"/>
      <c r="K2822" s="711"/>
      <c r="L2822" s="711"/>
      <c r="M2822" s="712"/>
      <c r="N2822" s="713"/>
      <c r="O2822" s="714"/>
      <c r="P2822" s="757">
        <v>1000</v>
      </c>
      <c r="Q2822" s="757"/>
      <c r="R2822" s="712"/>
      <c r="S2822" s="758">
        <f t="shared" si="466"/>
        <v>1000</v>
      </c>
      <c r="T2822" s="759"/>
      <c r="U2822" s="711"/>
      <c r="V2822" s="711"/>
      <c r="W2822" s="711"/>
      <c r="X2822" s="285"/>
    </row>
    <row r="2823" spans="1:24" hidden="1" x14ac:dyDescent="0.35">
      <c r="A2823" s="548"/>
      <c r="B2823" s="548"/>
      <c r="C2823" s="548"/>
      <c r="D2823" s="548"/>
      <c r="E2823" s="273"/>
      <c r="F2823" s="765" t="s">
        <v>3892</v>
      </c>
      <c r="G2823" s="765"/>
      <c r="H2823" s="755" t="s">
        <v>3955</v>
      </c>
      <c r="I2823" s="764" t="s">
        <v>3956</v>
      </c>
      <c r="J2823" s="766"/>
      <c r="K2823" s="711"/>
      <c r="L2823" s="711"/>
      <c r="M2823" s="712"/>
      <c r="N2823" s="713"/>
      <c r="O2823" s="714"/>
      <c r="P2823" s="757">
        <v>500</v>
      </c>
      <c r="Q2823" s="757"/>
      <c r="R2823" s="712"/>
      <c r="S2823" s="758">
        <f t="shared" si="466"/>
        <v>500</v>
      </c>
      <c r="T2823" s="759"/>
      <c r="U2823" s="711"/>
      <c r="V2823" s="711"/>
      <c r="W2823" s="711"/>
      <c r="X2823" s="285"/>
    </row>
    <row r="2824" spans="1:24" ht="29" hidden="1" x14ac:dyDescent="0.35">
      <c r="A2824" s="548"/>
      <c r="B2824" s="548"/>
      <c r="C2824" s="548"/>
      <c r="D2824" s="548"/>
      <c r="E2824" s="273"/>
      <c r="F2824" s="765" t="s">
        <v>3892</v>
      </c>
      <c r="G2824" s="765"/>
      <c r="H2824" s="755" t="s">
        <v>2627</v>
      </c>
      <c r="I2824" s="764" t="s">
        <v>3661</v>
      </c>
      <c r="J2824" s="766"/>
      <c r="K2824" s="711"/>
      <c r="L2824" s="711"/>
      <c r="M2824" s="712"/>
      <c r="N2824" s="713"/>
      <c r="O2824" s="714"/>
      <c r="P2824" s="757">
        <v>200</v>
      </c>
      <c r="Q2824" s="757"/>
      <c r="R2824" s="712"/>
      <c r="S2824" s="758">
        <f t="shared" si="466"/>
        <v>200</v>
      </c>
      <c r="T2824" s="759"/>
      <c r="U2824" s="711"/>
      <c r="V2824" s="711"/>
      <c r="W2824" s="711"/>
      <c r="X2824" s="285"/>
    </row>
    <row r="2825" spans="1:24" ht="29" hidden="1" x14ac:dyDescent="0.35">
      <c r="A2825" s="548"/>
      <c r="B2825" s="548"/>
      <c r="C2825" s="548"/>
      <c r="D2825" s="548"/>
      <c r="E2825" s="273"/>
      <c r="F2825" s="765" t="s">
        <v>3892</v>
      </c>
      <c r="G2825" s="765"/>
      <c r="H2825" s="755" t="s">
        <v>3957</v>
      </c>
      <c r="I2825" s="764" t="s">
        <v>3842</v>
      </c>
      <c r="J2825" s="766"/>
      <c r="K2825" s="711"/>
      <c r="L2825" s="711"/>
      <c r="M2825" s="712"/>
      <c r="N2825" s="713"/>
      <c r="O2825" s="714"/>
      <c r="P2825" s="757">
        <v>15</v>
      </c>
      <c r="Q2825" s="757"/>
      <c r="R2825" s="712"/>
      <c r="S2825" s="758">
        <f t="shared" si="466"/>
        <v>15</v>
      </c>
      <c r="T2825" s="759"/>
      <c r="U2825" s="711"/>
      <c r="V2825" s="711"/>
      <c r="W2825" s="711"/>
      <c r="X2825" s="285"/>
    </row>
    <row r="2826" spans="1:24" hidden="1" x14ac:dyDescent="0.35">
      <c r="A2826" s="548"/>
      <c r="B2826" s="548"/>
      <c r="C2826" s="548"/>
      <c r="D2826" s="548"/>
      <c r="E2826" s="273"/>
      <c r="F2826" s="765" t="s">
        <v>3892</v>
      </c>
      <c r="G2826" s="765"/>
      <c r="H2826" s="755" t="s">
        <v>3958</v>
      </c>
      <c r="I2826" s="764" t="s">
        <v>3959</v>
      </c>
      <c r="J2826" s="766"/>
      <c r="K2826" s="711"/>
      <c r="L2826" s="711"/>
      <c r="M2826" s="712"/>
      <c r="N2826" s="713"/>
      <c r="O2826" s="714"/>
      <c r="P2826" s="757">
        <v>50</v>
      </c>
      <c r="Q2826" s="757"/>
      <c r="R2826" s="712"/>
      <c r="S2826" s="758">
        <f t="shared" si="466"/>
        <v>50</v>
      </c>
      <c r="T2826" s="759"/>
      <c r="U2826" s="711"/>
      <c r="V2826" s="711"/>
      <c r="W2826" s="711"/>
      <c r="X2826" s="285"/>
    </row>
    <row r="2827" spans="1:24" hidden="1" x14ac:dyDescent="0.35">
      <c r="A2827" s="548"/>
      <c r="B2827" s="548"/>
      <c r="C2827" s="548"/>
      <c r="D2827" s="548"/>
      <c r="E2827" s="273"/>
      <c r="F2827" s="765" t="s">
        <v>3892</v>
      </c>
      <c r="G2827" s="765"/>
      <c r="H2827" s="755" t="s">
        <v>3960</v>
      </c>
      <c r="I2827" s="764" t="s">
        <v>3845</v>
      </c>
      <c r="J2827" s="766"/>
      <c r="K2827" s="711"/>
      <c r="L2827" s="711"/>
      <c r="M2827" s="712"/>
      <c r="N2827" s="713"/>
      <c r="O2827" s="714"/>
      <c r="P2827" s="757">
        <v>25</v>
      </c>
      <c r="Q2827" s="757"/>
      <c r="R2827" s="712"/>
      <c r="S2827" s="758">
        <f t="shared" si="466"/>
        <v>25</v>
      </c>
      <c r="T2827" s="759"/>
      <c r="U2827" s="711"/>
      <c r="V2827" s="711"/>
      <c r="W2827" s="711"/>
      <c r="X2827" s="285"/>
    </row>
    <row r="2828" spans="1:24" hidden="1" x14ac:dyDescent="0.35">
      <c r="A2828" s="548"/>
      <c r="B2828" s="548"/>
      <c r="C2828" s="548"/>
      <c r="D2828" s="548"/>
      <c r="E2828" s="273"/>
      <c r="F2828" s="765" t="s">
        <v>3892</v>
      </c>
      <c r="G2828" s="765"/>
      <c r="H2828" s="755" t="s">
        <v>3961</v>
      </c>
      <c r="I2828" s="764" t="s">
        <v>3962</v>
      </c>
      <c r="J2828" s="766"/>
      <c r="K2828" s="711"/>
      <c r="L2828" s="711"/>
      <c r="M2828" s="712"/>
      <c r="N2828" s="713"/>
      <c r="O2828" s="714"/>
      <c r="P2828" s="757">
        <v>25</v>
      </c>
      <c r="Q2828" s="757"/>
      <c r="R2828" s="712"/>
      <c r="S2828" s="758">
        <f t="shared" si="466"/>
        <v>25</v>
      </c>
      <c r="T2828" s="759"/>
      <c r="U2828" s="711"/>
      <c r="V2828" s="711"/>
      <c r="W2828" s="711"/>
      <c r="X2828" s="285"/>
    </row>
    <row r="2829" spans="1:24" hidden="1" x14ac:dyDescent="0.35">
      <c r="A2829" s="548"/>
      <c r="B2829" s="548"/>
      <c r="C2829" s="548"/>
      <c r="D2829" s="548"/>
      <c r="E2829" s="273"/>
      <c r="F2829" s="765" t="s">
        <v>3892</v>
      </c>
      <c r="G2829" s="765"/>
      <c r="H2829" s="755" t="s">
        <v>3963</v>
      </c>
      <c r="I2829" s="764" t="s">
        <v>3964</v>
      </c>
      <c r="J2829" s="766"/>
      <c r="K2829" s="711"/>
      <c r="L2829" s="711"/>
      <c r="M2829" s="712"/>
      <c r="N2829" s="713"/>
      <c r="O2829" s="714"/>
      <c r="P2829" s="757">
        <v>100</v>
      </c>
      <c r="Q2829" s="757"/>
      <c r="R2829" s="712"/>
      <c r="S2829" s="758">
        <f t="shared" si="466"/>
        <v>100</v>
      </c>
      <c r="T2829" s="759"/>
      <c r="U2829" s="711"/>
      <c r="V2829" s="711"/>
      <c r="W2829" s="711"/>
      <c r="X2829" s="285"/>
    </row>
    <row r="2830" spans="1:24" ht="29" hidden="1" x14ac:dyDescent="0.35">
      <c r="A2830" s="548"/>
      <c r="B2830" s="548"/>
      <c r="C2830" s="548"/>
      <c r="D2830" s="548"/>
      <c r="E2830" s="273"/>
      <c r="F2830" s="765" t="s">
        <v>3892</v>
      </c>
      <c r="G2830" s="765"/>
      <c r="H2830" s="755" t="s">
        <v>3965</v>
      </c>
      <c r="I2830" s="764" t="s">
        <v>3966</v>
      </c>
      <c r="J2830" s="766"/>
      <c r="K2830" s="711"/>
      <c r="L2830" s="711"/>
      <c r="M2830" s="712"/>
      <c r="N2830" s="713"/>
      <c r="O2830" s="714"/>
      <c r="P2830" s="757">
        <v>150</v>
      </c>
      <c r="Q2830" s="757"/>
      <c r="R2830" s="712"/>
      <c r="S2830" s="758">
        <f t="shared" si="466"/>
        <v>150</v>
      </c>
      <c r="T2830" s="759"/>
      <c r="U2830" s="711"/>
      <c r="V2830" s="711"/>
      <c r="W2830" s="711"/>
      <c r="X2830" s="285"/>
    </row>
    <row r="2831" spans="1:24" ht="29" hidden="1" x14ac:dyDescent="0.35">
      <c r="A2831" s="548"/>
      <c r="B2831" s="548"/>
      <c r="C2831" s="548"/>
      <c r="D2831" s="548"/>
      <c r="E2831" s="273"/>
      <c r="F2831" s="765" t="s">
        <v>3892</v>
      </c>
      <c r="G2831" s="765"/>
      <c r="H2831" s="755" t="s">
        <v>3967</v>
      </c>
      <c r="I2831" s="764" t="s">
        <v>3968</v>
      </c>
      <c r="J2831" s="766"/>
      <c r="K2831" s="711"/>
      <c r="L2831" s="711"/>
      <c r="M2831" s="712"/>
      <c r="N2831" s="713"/>
      <c r="O2831" s="714"/>
      <c r="P2831" s="757">
        <v>130</v>
      </c>
      <c r="Q2831" s="757"/>
      <c r="R2831" s="712"/>
      <c r="S2831" s="758">
        <f t="shared" si="466"/>
        <v>130</v>
      </c>
      <c r="T2831" s="759"/>
      <c r="U2831" s="711"/>
      <c r="V2831" s="711"/>
      <c r="W2831" s="711"/>
      <c r="X2831" s="285"/>
    </row>
    <row r="2832" spans="1:24" ht="29" hidden="1" x14ac:dyDescent="0.35">
      <c r="A2832" s="548"/>
      <c r="B2832" s="548"/>
      <c r="C2832" s="548"/>
      <c r="D2832" s="548"/>
      <c r="E2832" s="273"/>
      <c r="F2832" s="765" t="s">
        <v>3892</v>
      </c>
      <c r="G2832" s="765"/>
      <c r="H2832" s="755" t="s">
        <v>3969</v>
      </c>
      <c r="I2832" s="764" t="s">
        <v>3970</v>
      </c>
      <c r="J2832" s="766"/>
      <c r="K2832" s="711"/>
      <c r="L2832" s="711"/>
      <c r="M2832" s="712"/>
      <c r="N2832" s="713"/>
      <c r="O2832" s="714"/>
      <c r="P2832" s="757">
        <v>3500</v>
      </c>
      <c r="Q2832" s="757"/>
      <c r="R2832" s="712"/>
      <c r="S2832" s="758">
        <f t="shared" si="466"/>
        <v>3500</v>
      </c>
      <c r="T2832" s="759"/>
      <c r="U2832" s="711"/>
      <c r="V2832" s="711"/>
      <c r="W2832" s="711"/>
      <c r="X2832" s="285"/>
    </row>
    <row r="2833" spans="1:24" hidden="1" x14ac:dyDescent="0.35">
      <c r="A2833" s="548"/>
      <c r="B2833" s="548"/>
      <c r="C2833" s="548"/>
      <c r="D2833" s="548"/>
      <c r="E2833" s="273"/>
      <c r="F2833" s="765" t="s">
        <v>3892</v>
      </c>
      <c r="G2833" s="765"/>
      <c r="H2833" s="755" t="s">
        <v>3971</v>
      </c>
      <c r="I2833" s="764" t="s">
        <v>3696</v>
      </c>
      <c r="J2833" s="766"/>
      <c r="K2833" s="711"/>
      <c r="L2833" s="711"/>
      <c r="M2833" s="712"/>
      <c r="N2833" s="713"/>
      <c r="O2833" s="714"/>
      <c r="P2833" s="757">
        <v>1200</v>
      </c>
      <c r="Q2833" s="757"/>
      <c r="R2833" s="712"/>
      <c r="S2833" s="758">
        <f t="shared" si="466"/>
        <v>1200</v>
      </c>
      <c r="T2833" s="759"/>
      <c r="U2833" s="711"/>
      <c r="V2833" s="711"/>
      <c r="W2833" s="711"/>
      <c r="X2833" s="285"/>
    </row>
    <row r="2834" spans="1:24" hidden="1" x14ac:dyDescent="0.35">
      <c r="A2834" s="548"/>
      <c r="B2834" s="548"/>
      <c r="C2834" s="548"/>
      <c r="D2834" s="548"/>
      <c r="E2834" s="273"/>
      <c r="F2834" s="765" t="s">
        <v>3892</v>
      </c>
      <c r="G2834" s="765"/>
      <c r="H2834" s="755" t="s">
        <v>3972</v>
      </c>
      <c r="I2834" s="764" t="s">
        <v>3696</v>
      </c>
      <c r="J2834" s="766"/>
      <c r="K2834" s="711"/>
      <c r="L2834" s="711"/>
      <c r="M2834" s="712"/>
      <c r="N2834" s="713"/>
      <c r="O2834" s="714"/>
      <c r="P2834" s="757">
        <v>1200</v>
      </c>
      <c r="Q2834" s="757"/>
      <c r="R2834" s="712"/>
      <c r="S2834" s="758">
        <f t="shared" si="466"/>
        <v>1200</v>
      </c>
      <c r="T2834" s="759"/>
      <c r="U2834" s="711"/>
      <c r="V2834" s="711"/>
      <c r="W2834" s="711"/>
      <c r="X2834" s="285"/>
    </row>
    <row r="2835" spans="1:24" hidden="1" x14ac:dyDescent="0.35">
      <c r="A2835" s="548"/>
      <c r="B2835" s="548"/>
      <c r="C2835" s="548"/>
      <c r="D2835" s="548"/>
      <c r="E2835" s="273"/>
      <c r="F2835" s="765" t="s">
        <v>3892</v>
      </c>
      <c r="G2835" s="765"/>
      <c r="H2835" s="755" t="s">
        <v>3973</v>
      </c>
      <c r="I2835" s="764" t="s">
        <v>3926</v>
      </c>
      <c r="J2835" s="766"/>
      <c r="K2835" s="711"/>
      <c r="L2835" s="711"/>
      <c r="M2835" s="712"/>
      <c r="N2835" s="713"/>
      <c r="O2835" s="714"/>
      <c r="P2835" s="757">
        <v>400</v>
      </c>
      <c r="Q2835" s="757"/>
      <c r="R2835" s="712"/>
      <c r="S2835" s="758">
        <f t="shared" si="466"/>
        <v>400</v>
      </c>
      <c r="T2835" s="759"/>
      <c r="U2835" s="711"/>
      <c r="V2835" s="711"/>
      <c r="W2835" s="711"/>
      <c r="X2835" s="285"/>
    </row>
    <row r="2836" spans="1:24" ht="29" hidden="1" x14ac:dyDescent="0.35">
      <c r="A2836" s="548"/>
      <c r="B2836" s="548"/>
      <c r="C2836" s="548"/>
      <c r="D2836" s="548"/>
      <c r="E2836" s="273"/>
      <c r="F2836" s="765" t="s">
        <v>3892</v>
      </c>
      <c r="G2836" s="765"/>
      <c r="H2836" s="755" t="s">
        <v>3974</v>
      </c>
      <c r="I2836" s="764" t="s">
        <v>3806</v>
      </c>
      <c r="J2836" s="766"/>
      <c r="K2836" s="711"/>
      <c r="L2836" s="711"/>
      <c r="M2836" s="712"/>
      <c r="N2836" s="713"/>
      <c r="O2836" s="714"/>
      <c r="P2836" s="757">
        <v>600</v>
      </c>
      <c r="Q2836" s="757"/>
      <c r="R2836" s="712"/>
      <c r="S2836" s="758">
        <f t="shared" si="466"/>
        <v>600</v>
      </c>
      <c r="T2836" s="759"/>
      <c r="U2836" s="711"/>
      <c r="V2836" s="711"/>
      <c r="W2836" s="711"/>
      <c r="X2836" s="285"/>
    </row>
    <row r="2837" spans="1:24" ht="29" hidden="1" x14ac:dyDescent="0.35">
      <c r="A2837" s="548"/>
      <c r="B2837" s="548"/>
      <c r="C2837" s="548"/>
      <c r="D2837" s="548"/>
      <c r="E2837" s="273"/>
      <c r="F2837" s="765" t="s">
        <v>3892</v>
      </c>
      <c r="G2837" s="765"/>
      <c r="H2837" s="755" t="s">
        <v>3975</v>
      </c>
      <c r="I2837" s="764" t="s">
        <v>3661</v>
      </c>
      <c r="J2837" s="766"/>
      <c r="K2837" s="711"/>
      <c r="L2837" s="711"/>
      <c r="M2837" s="712"/>
      <c r="N2837" s="713"/>
      <c r="O2837" s="714"/>
      <c r="P2837" s="757">
        <v>300</v>
      </c>
      <c r="Q2837" s="757"/>
      <c r="R2837" s="712">
        <v>300</v>
      </c>
      <c r="S2837" s="758">
        <f t="shared" si="466"/>
        <v>0</v>
      </c>
      <c r="T2837" s="759"/>
      <c r="U2837" s="711"/>
      <c r="V2837" s="711"/>
      <c r="W2837" s="711"/>
      <c r="X2837" s="285"/>
    </row>
    <row r="2838" spans="1:24" hidden="1" x14ac:dyDescent="0.35">
      <c r="A2838" s="548"/>
      <c r="B2838" s="548"/>
      <c r="C2838" s="548"/>
      <c r="D2838" s="548"/>
      <c r="E2838" s="273"/>
      <c r="F2838" s="765" t="s">
        <v>3892</v>
      </c>
      <c r="G2838" s="765"/>
      <c r="H2838" s="755" t="s">
        <v>3976</v>
      </c>
      <c r="I2838" s="764" t="s">
        <v>3977</v>
      </c>
      <c r="J2838" s="766"/>
      <c r="K2838" s="711"/>
      <c r="L2838" s="711"/>
      <c r="M2838" s="712"/>
      <c r="N2838" s="713"/>
      <c r="O2838" s="714"/>
      <c r="P2838" s="757">
        <v>500</v>
      </c>
      <c r="Q2838" s="757"/>
      <c r="R2838" s="712"/>
      <c r="S2838" s="758">
        <f t="shared" si="466"/>
        <v>500</v>
      </c>
      <c r="T2838" s="759"/>
      <c r="U2838" s="711"/>
      <c r="V2838" s="711"/>
      <c r="W2838" s="711"/>
      <c r="X2838" s="285"/>
    </row>
    <row r="2839" spans="1:24" hidden="1" x14ac:dyDescent="0.35">
      <c r="A2839" s="548"/>
      <c r="B2839" s="548"/>
      <c r="C2839" s="548"/>
      <c r="D2839" s="548"/>
      <c r="E2839" s="273"/>
      <c r="F2839" s="765" t="s">
        <v>3892</v>
      </c>
      <c r="G2839" s="765"/>
      <c r="H2839" s="755" t="s">
        <v>3978</v>
      </c>
      <c r="I2839" s="764" t="s">
        <v>3730</v>
      </c>
      <c r="J2839" s="766"/>
      <c r="K2839" s="711"/>
      <c r="L2839" s="711"/>
      <c r="M2839" s="712"/>
      <c r="N2839" s="713"/>
      <c r="O2839" s="714"/>
      <c r="P2839" s="757">
        <v>200</v>
      </c>
      <c r="Q2839" s="757"/>
      <c r="R2839" s="712"/>
      <c r="S2839" s="758">
        <f t="shared" si="466"/>
        <v>200</v>
      </c>
      <c r="T2839" s="759"/>
      <c r="U2839" s="711"/>
      <c r="V2839" s="711"/>
      <c r="W2839" s="711"/>
      <c r="X2839" s="285"/>
    </row>
    <row r="2840" spans="1:24" hidden="1" x14ac:dyDescent="0.35">
      <c r="A2840" s="548"/>
      <c r="B2840" s="548"/>
      <c r="C2840" s="548"/>
      <c r="D2840" s="548"/>
      <c r="E2840" s="273"/>
      <c r="F2840" s="765" t="s">
        <v>3892</v>
      </c>
      <c r="G2840" s="765"/>
      <c r="H2840" s="755" t="s">
        <v>3979</v>
      </c>
      <c r="I2840" s="764" t="s">
        <v>3980</v>
      </c>
      <c r="J2840" s="766"/>
      <c r="K2840" s="711"/>
      <c r="L2840" s="711"/>
      <c r="M2840" s="712"/>
      <c r="N2840" s="713"/>
      <c r="O2840" s="714"/>
      <c r="P2840" s="757">
        <v>200</v>
      </c>
      <c r="Q2840" s="757"/>
      <c r="R2840" s="712"/>
      <c r="S2840" s="758">
        <f t="shared" si="466"/>
        <v>200</v>
      </c>
      <c r="T2840" s="759"/>
      <c r="U2840" s="711"/>
      <c r="V2840" s="711"/>
      <c r="W2840" s="711"/>
      <c r="X2840" s="285"/>
    </row>
    <row r="2841" spans="1:24" hidden="1" x14ac:dyDescent="0.35">
      <c r="A2841" s="548"/>
      <c r="B2841" s="548"/>
      <c r="C2841" s="548"/>
      <c r="D2841" s="548"/>
      <c r="E2841" s="273"/>
      <c r="F2841" s="765" t="s">
        <v>3892</v>
      </c>
      <c r="G2841" s="765"/>
      <c r="H2841" s="755" t="s">
        <v>3981</v>
      </c>
      <c r="I2841" s="764" t="s">
        <v>3982</v>
      </c>
      <c r="J2841" s="766"/>
      <c r="K2841" s="711"/>
      <c r="L2841" s="711"/>
      <c r="M2841" s="712"/>
      <c r="N2841" s="713"/>
      <c r="O2841" s="714"/>
      <c r="P2841" s="757">
        <v>200</v>
      </c>
      <c r="Q2841" s="757"/>
      <c r="R2841" s="712"/>
      <c r="S2841" s="758">
        <f t="shared" si="466"/>
        <v>200</v>
      </c>
      <c r="T2841" s="759"/>
      <c r="U2841" s="711"/>
      <c r="V2841" s="711"/>
      <c r="W2841" s="711"/>
      <c r="X2841" s="285"/>
    </row>
    <row r="2842" spans="1:24" hidden="1" x14ac:dyDescent="0.35">
      <c r="A2842" s="548"/>
      <c r="B2842" s="548"/>
      <c r="C2842" s="548"/>
      <c r="D2842" s="548"/>
      <c r="E2842" s="273"/>
      <c r="F2842" s="765" t="s">
        <v>3892</v>
      </c>
      <c r="G2842" s="765"/>
      <c r="H2842" s="755" t="s">
        <v>3983</v>
      </c>
      <c r="I2842" s="764" t="s">
        <v>3780</v>
      </c>
      <c r="J2842" s="766"/>
      <c r="K2842" s="711"/>
      <c r="L2842" s="711"/>
      <c r="M2842" s="712"/>
      <c r="N2842" s="713"/>
      <c r="O2842" s="714"/>
      <c r="P2842" s="757">
        <v>300</v>
      </c>
      <c r="Q2842" s="757"/>
      <c r="R2842" s="712"/>
      <c r="S2842" s="758">
        <f t="shared" si="466"/>
        <v>300</v>
      </c>
      <c r="T2842" s="759"/>
      <c r="U2842" s="711"/>
      <c r="V2842" s="711"/>
      <c r="W2842" s="711"/>
      <c r="X2842" s="285"/>
    </row>
    <row r="2843" spans="1:24" hidden="1" x14ac:dyDescent="0.35">
      <c r="A2843" s="548"/>
      <c r="B2843" s="548"/>
      <c r="C2843" s="548"/>
      <c r="D2843" s="548"/>
      <c r="E2843" s="273"/>
      <c r="F2843" s="765" t="s">
        <v>3892</v>
      </c>
      <c r="G2843" s="765"/>
      <c r="H2843" s="755" t="s">
        <v>3984</v>
      </c>
      <c r="I2843" s="764" t="s">
        <v>3845</v>
      </c>
      <c r="J2843" s="766"/>
      <c r="K2843" s="711"/>
      <c r="L2843" s="711"/>
      <c r="M2843" s="712"/>
      <c r="N2843" s="713"/>
      <c r="O2843" s="714"/>
      <c r="P2843" s="757">
        <v>25</v>
      </c>
      <c r="Q2843" s="757"/>
      <c r="R2843" s="712"/>
      <c r="S2843" s="758">
        <f t="shared" si="466"/>
        <v>25</v>
      </c>
      <c r="T2843" s="759"/>
      <c r="U2843" s="711"/>
      <c r="V2843" s="711"/>
      <c r="W2843" s="711"/>
      <c r="X2843" s="285"/>
    </row>
    <row r="2844" spans="1:24" hidden="1" x14ac:dyDescent="0.35">
      <c r="A2844" s="548"/>
      <c r="B2844" s="548"/>
      <c r="C2844" s="548"/>
      <c r="D2844" s="548"/>
      <c r="E2844" s="273"/>
      <c r="F2844" s="765" t="s">
        <v>3892</v>
      </c>
      <c r="G2844" s="765"/>
      <c r="H2844" s="755" t="s">
        <v>3985</v>
      </c>
      <c r="I2844" s="764" t="s">
        <v>3705</v>
      </c>
      <c r="J2844" s="766"/>
      <c r="K2844" s="711"/>
      <c r="L2844" s="711"/>
      <c r="M2844" s="712"/>
      <c r="N2844" s="713"/>
      <c r="O2844" s="714"/>
      <c r="P2844" s="757">
        <v>50</v>
      </c>
      <c r="Q2844" s="757"/>
      <c r="R2844" s="712"/>
      <c r="S2844" s="758">
        <f t="shared" si="466"/>
        <v>50</v>
      </c>
      <c r="T2844" s="759"/>
      <c r="U2844" s="711"/>
      <c r="V2844" s="711"/>
      <c r="W2844" s="711"/>
      <c r="X2844" s="285"/>
    </row>
    <row r="2845" spans="1:24" hidden="1" x14ac:dyDescent="0.35">
      <c r="A2845" s="548"/>
      <c r="B2845" s="548"/>
      <c r="C2845" s="548"/>
      <c r="D2845" s="548"/>
      <c r="E2845" s="273"/>
      <c r="F2845" s="765" t="s">
        <v>3892</v>
      </c>
      <c r="G2845" s="765"/>
      <c r="H2845" s="755" t="s">
        <v>3986</v>
      </c>
      <c r="I2845" s="764" t="s">
        <v>3959</v>
      </c>
      <c r="J2845" s="766"/>
      <c r="K2845" s="711"/>
      <c r="L2845" s="711"/>
      <c r="M2845" s="712"/>
      <c r="N2845" s="713"/>
      <c r="O2845" s="714"/>
      <c r="P2845" s="757">
        <v>50</v>
      </c>
      <c r="Q2845" s="757"/>
      <c r="R2845" s="712"/>
      <c r="S2845" s="758">
        <f t="shared" ref="S2845:S2852" si="467">P2845-R2845</f>
        <v>50</v>
      </c>
      <c r="T2845" s="759"/>
      <c r="U2845" s="711"/>
      <c r="V2845" s="711"/>
      <c r="W2845" s="711"/>
      <c r="X2845" s="285"/>
    </row>
    <row r="2846" spans="1:24" hidden="1" x14ac:dyDescent="0.35">
      <c r="A2846" s="548"/>
      <c r="B2846" s="548"/>
      <c r="C2846" s="548"/>
      <c r="D2846" s="548"/>
      <c r="E2846" s="273"/>
      <c r="F2846" s="765" t="s">
        <v>3892</v>
      </c>
      <c r="G2846" s="765"/>
      <c r="H2846" s="755" t="s">
        <v>3987</v>
      </c>
      <c r="I2846" s="764" t="s">
        <v>3988</v>
      </c>
      <c r="J2846" s="766"/>
      <c r="K2846" s="711"/>
      <c r="L2846" s="711"/>
      <c r="M2846" s="712"/>
      <c r="N2846" s="713"/>
      <c r="O2846" s="714"/>
      <c r="P2846" s="757">
        <v>75</v>
      </c>
      <c r="Q2846" s="757"/>
      <c r="R2846" s="712"/>
      <c r="S2846" s="758">
        <f t="shared" si="467"/>
        <v>75</v>
      </c>
      <c r="T2846" s="759"/>
      <c r="U2846" s="711"/>
      <c r="V2846" s="711"/>
      <c r="W2846" s="711"/>
      <c r="X2846" s="285"/>
    </row>
    <row r="2847" spans="1:24" hidden="1" x14ac:dyDescent="0.35">
      <c r="A2847" s="548"/>
      <c r="B2847" s="548"/>
      <c r="C2847" s="548"/>
      <c r="D2847" s="548"/>
      <c r="E2847" s="273"/>
      <c r="F2847" s="765" t="s">
        <v>3892</v>
      </c>
      <c r="G2847" s="765"/>
      <c r="H2847" s="755" t="s">
        <v>3989</v>
      </c>
      <c r="I2847" s="764" t="s">
        <v>3962</v>
      </c>
      <c r="J2847" s="766"/>
      <c r="K2847" s="711"/>
      <c r="L2847" s="711"/>
      <c r="M2847" s="712"/>
      <c r="N2847" s="713"/>
      <c r="O2847" s="714"/>
      <c r="P2847" s="757">
        <v>50</v>
      </c>
      <c r="Q2847" s="757"/>
      <c r="R2847" s="712"/>
      <c r="S2847" s="758">
        <f t="shared" si="467"/>
        <v>50</v>
      </c>
      <c r="T2847" s="759"/>
      <c r="U2847" s="711"/>
      <c r="V2847" s="711"/>
      <c r="W2847" s="711"/>
      <c r="X2847" s="285"/>
    </row>
    <row r="2848" spans="1:24" hidden="1" x14ac:dyDescent="0.35">
      <c r="A2848" s="548"/>
      <c r="B2848" s="548"/>
      <c r="C2848" s="548"/>
      <c r="D2848" s="548"/>
      <c r="E2848" s="273"/>
      <c r="F2848" s="765" t="s">
        <v>3892</v>
      </c>
      <c r="G2848" s="765"/>
      <c r="H2848" s="755" t="s">
        <v>3990</v>
      </c>
      <c r="I2848" s="764" t="s">
        <v>3732</v>
      </c>
      <c r="J2848" s="766"/>
      <c r="K2848" s="711"/>
      <c r="L2848" s="711"/>
      <c r="M2848" s="712"/>
      <c r="N2848" s="713"/>
      <c r="O2848" s="714"/>
      <c r="P2848" s="757">
        <v>25</v>
      </c>
      <c r="Q2848" s="757"/>
      <c r="R2848" s="712"/>
      <c r="S2848" s="758">
        <f t="shared" si="467"/>
        <v>25</v>
      </c>
      <c r="T2848" s="759"/>
      <c r="U2848" s="711"/>
      <c r="V2848" s="711"/>
      <c r="W2848" s="711"/>
      <c r="X2848" s="285"/>
    </row>
    <row r="2849" spans="1:24" hidden="1" x14ac:dyDescent="0.35">
      <c r="A2849" s="548"/>
      <c r="B2849" s="548"/>
      <c r="C2849" s="548"/>
      <c r="D2849" s="548"/>
      <c r="E2849" s="273"/>
      <c r="F2849" s="765" t="s">
        <v>3892</v>
      </c>
      <c r="G2849" s="765"/>
      <c r="H2849" s="755" t="s">
        <v>3991</v>
      </c>
      <c r="I2849" s="764" t="s">
        <v>3992</v>
      </c>
      <c r="J2849" s="766"/>
      <c r="K2849" s="711"/>
      <c r="L2849" s="711"/>
      <c r="M2849" s="712"/>
      <c r="N2849" s="713"/>
      <c r="O2849" s="714"/>
      <c r="P2849" s="757">
        <v>25</v>
      </c>
      <c r="Q2849" s="757"/>
      <c r="R2849" s="712"/>
      <c r="S2849" s="758">
        <f t="shared" si="467"/>
        <v>25</v>
      </c>
      <c r="T2849" s="759"/>
      <c r="U2849" s="711"/>
      <c r="V2849" s="711"/>
      <c r="W2849" s="711"/>
      <c r="X2849" s="285"/>
    </row>
    <row r="2850" spans="1:24" hidden="1" x14ac:dyDescent="0.35">
      <c r="A2850" s="548"/>
      <c r="B2850" s="548"/>
      <c r="C2850" s="548"/>
      <c r="D2850" s="548"/>
      <c r="E2850" s="273"/>
      <c r="F2850" s="765" t="s">
        <v>3892</v>
      </c>
      <c r="G2850" s="765"/>
      <c r="H2850" s="755" t="s">
        <v>3993</v>
      </c>
      <c r="I2850" s="764" t="s">
        <v>3994</v>
      </c>
      <c r="J2850" s="766"/>
      <c r="K2850" s="711"/>
      <c r="L2850" s="711"/>
      <c r="M2850" s="712"/>
      <c r="N2850" s="713"/>
      <c r="O2850" s="714"/>
      <c r="P2850" s="757">
        <v>23000</v>
      </c>
      <c r="Q2850" s="757"/>
      <c r="R2850" s="712"/>
      <c r="S2850" s="758">
        <f t="shared" si="467"/>
        <v>23000</v>
      </c>
      <c r="T2850" s="759"/>
      <c r="U2850" s="711"/>
      <c r="V2850" s="711"/>
      <c r="W2850" s="711"/>
      <c r="X2850" s="285"/>
    </row>
    <row r="2851" spans="1:24" hidden="1" x14ac:dyDescent="0.35">
      <c r="A2851" s="548"/>
      <c r="B2851" s="548"/>
      <c r="C2851" s="548"/>
      <c r="D2851" s="548"/>
      <c r="E2851" s="273"/>
      <c r="F2851" s="765" t="s">
        <v>3892</v>
      </c>
      <c r="G2851" s="765"/>
      <c r="H2851" s="755" t="s">
        <v>3995</v>
      </c>
      <c r="I2851" s="764" t="s">
        <v>3996</v>
      </c>
      <c r="J2851" s="766"/>
      <c r="K2851" s="711"/>
      <c r="L2851" s="711"/>
      <c r="M2851" s="712"/>
      <c r="N2851" s="713"/>
      <c r="O2851" s="714"/>
      <c r="P2851" s="757">
        <v>25000</v>
      </c>
      <c r="Q2851" s="757"/>
      <c r="R2851" s="712"/>
      <c r="S2851" s="758">
        <f t="shared" si="467"/>
        <v>25000</v>
      </c>
      <c r="T2851" s="759"/>
      <c r="U2851" s="711"/>
      <c r="V2851" s="711"/>
      <c r="W2851" s="711"/>
      <c r="X2851" s="285"/>
    </row>
    <row r="2852" spans="1:24" hidden="1" x14ac:dyDescent="0.35">
      <c r="A2852" s="548"/>
      <c r="B2852" s="548"/>
      <c r="C2852" s="548"/>
      <c r="D2852" s="548"/>
      <c r="E2852" s="273"/>
      <c r="F2852" s="765" t="s">
        <v>3892</v>
      </c>
      <c r="G2852" s="765"/>
      <c r="H2852" s="755" t="s">
        <v>3997</v>
      </c>
      <c r="I2852" s="764" t="s">
        <v>3998</v>
      </c>
      <c r="J2852" s="766"/>
      <c r="K2852" s="711"/>
      <c r="L2852" s="711"/>
      <c r="M2852" s="712"/>
      <c r="N2852" s="713"/>
      <c r="O2852" s="714"/>
      <c r="P2852" s="757">
        <v>700</v>
      </c>
      <c r="Q2852" s="757"/>
      <c r="R2852" s="712">
        <v>700</v>
      </c>
      <c r="S2852" s="758">
        <f t="shared" si="467"/>
        <v>0</v>
      </c>
      <c r="T2852" s="759"/>
      <c r="U2852" s="711"/>
      <c r="V2852" s="711"/>
      <c r="W2852" s="711"/>
      <c r="X2852" s="285"/>
    </row>
    <row r="2853" spans="1:24" hidden="1" x14ac:dyDescent="0.35">
      <c r="A2853" s="548"/>
      <c r="B2853" s="548"/>
      <c r="C2853" s="548"/>
      <c r="D2853" s="548"/>
      <c r="E2853" s="273"/>
      <c r="F2853" s="765"/>
      <c r="G2853" s="765"/>
      <c r="H2853" s="755" t="s">
        <v>3999</v>
      </c>
      <c r="I2853" s="275" t="s">
        <v>4000</v>
      </c>
      <c r="J2853" s="766"/>
      <c r="K2853" s="711"/>
      <c r="L2853" s="711"/>
      <c r="M2853" s="712"/>
      <c r="N2853" s="713">
        <v>150</v>
      </c>
      <c r="O2853" s="714"/>
      <c r="P2853" s="757">
        <v>150</v>
      </c>
      <c r="Q2853" s="757"/>
      <c r="R2853" s="712"/>
      <c r="S2853" s="758"/>
      <c r="T2853" s="759"/>
      <c r="U2853" s="711"/>
      <c r="V2853" s="711"/>
      <c r="W2853" s="711"/>
      <c r="X2853" s="285"/>
    </row>
    <row r="2854" spans="1:24" ht="26.5" hidden="1" x14ac:dyDescent="0.35">
      <c r="A2854" s="548"/>
      <c r="B2854" s="548"/>
      <c r="C2854" s="548"/>
      <c r="D2854" s="548"/>
      <c r="E2854" s="273"/>
      <c r="F2854" s="765"/>
      <c r="G2854" s="765"/>
      <c r="H2854" s="755" t="s">
        <v>4001</v>
      </c>
      <c r="I2854" s="275" t="s">
        <v>3806</v>
      </c>
      <c r="J2854" s="766"/>
      <c r="K2854" s="711"/>
      <c r="L2854" s="711"/>
      <c r="M2854" s="712"/>
      <c r="N2854" s="713">
        <v>500</v>
      </c>
      <c r="O2854" s="714"/>
      <c r="P2854" s="757">
        <v>500</v>
      </c>
      <c r="Q2854" s="757"/>
      <c r="R2854" s="712"/>
      <c r="S2854" s="758"/>
      <c r="T2854" s="759"/>
      <c r="U2854" s="711"/>
      <c r="V2854" s="711"/>
      <c r="W2854" s="711"/>
      <c r="X2854" s="285"/>
    </row>
    <row r="2855" spans="1:24" hidden="1" x14ac:dyDescent="0.35">
      <c r="A2855" s="548"/>
      <c r="B2855" s="548"/>
      <c r="C2855" s="548"/>
      <c r="D2855" s="548"/>
      <c r="E2855" s="273"/>
      <c r="F2855" s="765"/>
      <c r="G2855" s="765"/>
      <c r="H2855" s="755" t="s">
        <v>4002</v>
      </c>
      <c r="I2855" s="275" t="s">
        <v>3661</v>
      </c>
      <c r="J2855" s="766"/>
      <c r="K2855" s="711"/>
      <c r="L2855" s="711"/>
      <c r="M2855" s="712"/>
      <c r="N2855" s="713">
        <v>300</v>
      </c>
      <c r="O2855" s="714"/>
      <c r="P2855" s="757">
        <v>300</v>
      </c>
      <c r="Q2855" s="757"/>
      <c r="R2855" s="712"/>
      <c r="S2855" s="758"/>
      <c r="T2855" s="759"/>
      <c r="U2855" s="711"/>
      <c r="V2855" s="711"/>
      <c r="W2855" s="711"/>
      <c r="X2855" s="285"/>
    </row>
    <row r="2856" spans="1:24" hidden="1" x14ac:dyDescent="0.35">
      <c r="A2856" s="548"/>
      <c r="B2856" s="548"/>
      <c r="C2856" s="548"/>
      <c r="D2856" s="548"/>
      <c r="E2856" s="273"/>
      <c r="F2856" s="765"/>
      <c r="G2856" s="765"/>
      <c r="H2856" s="755" t="s">
        <v>4003</v>
      </c>
      <c r="I2856" s="275" t="s">
        <v>4004</v>
      </c>
      <c r="J2856" s="766"/>
      <c r="K2856" s="711"/>
      <c r="L2856" s="711"/>
      <c r="M2856" s="712"/>
      <c r="N2856" s="713">
        <v>24000</v>
      </c>
      <c r="O2856" s="714"/>
      <c r="P2856" s="757">
        <v>24000</v>
      </c>
      <c r="Q2856" s="757"/>
      <c r="R2856" s="712"/>
      <c r="S2856" s="758"/>
      <c r="T2856" s="759"/>
      <c r="U2856" s="711"/>
      <c r="V2856" s="711"/>
      <c r="W2856" s="711"/>
      <c r="X2856" s="285"/>
    </row>
    <row r="2857" spans="1:24" hidden="1" x14ac:dyDescent="0.35">
      <c r="A2857" s="548"/>
      <c r="B2857" s="548"/>
      <c r="C2857" s="548"/>
      <c r="D2857" s="548"/>
      <c r="E2857" s="273"/>
      <c r="F2857" s="765"/>
      <c r="G2857" s="765"/>
      <c r="H2857" s="755" t="s">
        <v>4005</v>
      </c>
      <c r="I2857" s="275" t="s">
        <v>3926</v>
      </c>
      <c r="J2857" s="766"/>
      <c r="K2857" s="711"/>
      <c r="L2857" s="711"/>
      <c r="M2857" s="712"/>
      <c r="N2857" s="713">
        <v>400</v>
      </c>
      <c r="O2857" s="714"/>
      <c r="P2857" s="757">
        <v>400</v>
      </c>
      <c r="Q2857" s="757"/>
      <c r="R2857" s="712"/>
      <c r="S2857" s="758"/>
      <c r="T2857" s="759"/>
      <c r="U2857" s="711"/>
      <c r="V2857" s="711"/>
      <c r="W2857" s="711"/>
      <c r="X2857" s="285"/>
    </row>
    <row r="2858" spans="1:24" hidden="1" x14ac:dyDescent="0.35">
      <c r="A2858" s="548"/>
      <c r="B2858" s="548"/>
      <c r="C2858" s="548"/>
      <c r="D2858" s="548"/>
      <c r="E2858" s="273"/>
      <c r="F2858" s="765"/>
      <c r="G2858" s="765"/>
      <c r="H2858" s="755" t="s">
        <v>4006</v>
      </c>
      <c r="I2858" s="275" t="s">
        <v>4007</v>
      </c>
      <c r="J2858" s="766"/>
      <c r="K2858" s="711"/>
      <c r="L2858" s="711"/>
      <c r="M2858" s="712"/>
      <c r="N2858" s="713">
        <v>1500</v>
      </c>
      <c r="O2858" s="714"/>
      <c r="P2858" s="757">
        <v>1500</v>
      </c>
      <c r="Q2858" s="757"/>
      <c r="R2858" s="712"/>
      <c r="S2858" s="758"/>
      <c r="T2858" s="759"/>
      <c r="U2858" s="711"/>
      <c r="V2858" s="711"/>
      <c r="W2858" s="711"/>
      <c r="X2858" s="285"/>
    </row>
    <row r="2859" spans="1:24" hidden="1" x14ac:dyDescent="0.35">
      <c r="A2859" s="548"/>
      <c r="B2859" s="548"/>
      <c r="C2859" s="548"/>
      <c r="D2859" s="548"/>
      <c r="E2859" s="273"/>
      <c r="F2859" s="765"/>
      <c r="G2859" s="765"/>
      <c r="H2859" s="755" t="s">
        <v>4008</v>
      </c>
      <c r="I2859" s="275" t="s">
        <v>4007</v>
      </c>
      <c r="J2859" s="766"/>
      <c r="K2859" s="711"/>
      <c r="L2859" s="711"/>
      <c r="M2859" s="712"/>
      <c r="N2859" s="713">
        <v>1500</v>
      </c>
      <c r="O2859" s="714"/>
      <c r="P2859" s="757">
        <v>1500</v>
      </c>
      <c r="Q2859" s="757"/>
      <c r="R2859" s="712"/>
      <c r="S2859" s="758"/>
      <c r="T2859" s="759"/>
      <c r="U2859" s="711"/>
      <c r="V2859" s="711"/>
      <c r="W2859" s="711"/>
      <c r="X2859" s="285"/>
    </row>
    <row r="2860" spans="1:24" hidden="1" x14ac:dyDescent="0.35">
      <c r="A2860" s="548"/>
      <c r="B2860" s="548"/>
      <c r="C2860" s="548"/>
      <c r="D2860" s="548"/>
      <c r="E2860" s="273"/>
      <c r="F2860" s="765"/>
      <c r="G2860" s="765"/>
      <c r="H2860" s="755" t="s">
        <v>4009</v>
      </c>
      <c r="I2860" s="275" t="s">
        <v>3696</v>
      </c>
      <c r="J2860" s="766"/>
      <c r="K2860" s="711"/>
      <c r="L2860" s="711"/>
      <c r="M2860" s="712"/>
      <c r="N2860" s="713">
        <v>7500</v>
      </c>
      <c r="O2860" s="714"/>
      <c r="P2860" s="757"/>
      <c r="Q2860" s="757"/>
      <c r="R2860" s="712"/>
      <c r="S2860" s="758"/>
      <c r="T2860" s="759"/>
      <c r="U2860" s="711"/>
      <c r="V2860" s="711"/>
      <c r="W2860" s="711"/>
      <c r="X2860" s="285"/>
    </row>
    <row r="2861" spans="1:24" hidden="1" x14ac:dyDescent="0.35">
      <c r="A2861" s="548"/>
      <c r="B2861" s="548"/>
      <c r="C2861" s="548"/>
      <c r="D2861" s="548"/>
      <c r="E2861" s="273"/>
      <c r="F2861" s="765"/>
      <c r="G2861" s="765"/>
      <c r="H2861" s="755" t="s">
        <v>918</v>
      </c>
      <c r="I2861" s="764" t="s">
        <v>4010</v>
      </c>
      <c r="J2861" s="766"/>
      <c r="K2861" s="711"/>
      <c r="L2861" s="711"/>
      <c r="M2861" s="712"/>
      <c r="N2861" s="713">
        <v>20</v>
      </c>
      <c r="O2861" s="714"/>
      <c r="P2861" s="757"/>
      <c r="Q2861" s="757"/>
      <c r="R2861" s="712"/>
      <c r="S2861" s="758"/>
      <c r="T2861" s="759"/>
      <c r="U2861" s="711"/>
      <c r="V2861" s="711"/>
      <c r="W2861" s="711"/>
      <c r="X2861" s="285"/>
    </row>
    <row r="2862" spans="1:24" hidden="1" x14ac:dyDescent="0.35">
      <c r="A2862" s="548"/>
      <c r="B2862" s="548"/>
      <c r="C2862" s="548"/>
      <c r="D2862" s="548"/>
      <c r="E2862" s="273"/>
      <c r="F2862" s="765"/>
      <c r="G2862" s="765"/>
      <c r="H2862" s="755" t="s">
        <v>918</v>
      </c>
      <c r="I2862" s="764" t="s">
        <v>4011</v>
      </c>
      <c r="J2862" s="766"/>
      <c r="K2862" s="711"/>
      <c r="L2862" s="711"/>
      <c r="M2862" s="712"/>
      <c r="N2862" s="713">
        <v>20</v>
      </c>
      <c r="O2862" s="714"/>
      <c r="P2862" s="757"/>
      <c r="Q2862" s="757"/>
      <c r="R2862" s="712"/>
      <c r="S2862" s="758"/>
      <c r="T2862" s="759"/>
      <c r="U2862" s="711"/>
      <c r="V2862" s="711"/>
      <c r="W2862" s="711"/>
      <c r="X2862" s="285"/>
    </row>
    <row r="2863" spans="1:24" hidden="1" x14ac:dyDescent="0.35">
      <c r="A2863" s="548"/>
      <c r="B2863" s="548"/>
      <c r="C2863" s="548"/>
      <c r="D2863" s="548"/>
      <c r="E2863" s="273"/>
      <c r="F2863" s="765"/>
      <c r="G2863" s="765"/>
      <c r="H2863" s="755" t="s">
        <v>918</v>
      </c>
      <c r="I2863" s="764" t="s">
        <v>4012</v>
      </c>
      <c r="J2863" s="766"/>
      <c r="K2863" s="711"/>
      <c r="L2863" s="711"/>
      <c r="M2863" s="712"/>
      <c r="N2863" s="713">
        <v>20</v>
      </c>
      <c r="O2863" s="714"/>
      <c r="P2863" s="757"/>
      <c r="Q2863" s="757"/>
      <c r="R2863" s="712"/>
      <c r="S2863" s="758"/>
      <c r="T2863" s="759"/>
      <c r="U2863" s="711"/>
      <c r="V2863" s="711"/>
      <c r="W2863" s="711"/>
      <c r="X2863" s="285"/>
    </row>
    <row r="2864" spans="1:24" ht="26.5" hidden="1" x14ac:dyDescent="0.35">
      <c r="A2864" s="548"/>
      <c r="B2864" s="548"/>
      <c r="C2864" s="548"/>
      <c r="D2864" s="548"/>
      <c r="E2864" s="273"/>
      <c r="F2864" s="768" t="s">
        <v>3892</v>
      </c>
      <c r="G2864" s="768"/>
      <c r="H2864" s="276" t="s">
        <v>4013</v>
      </c>
      <c r="I2864" s="275" t="s">
        <v>3806</v>
      </c>
      <c r="J2864" s="562"/>
      <c r="K2864" s="563"/>
      <c r="L2864" s="563"/>
      <c r="M2864" s="564"/>
      <c r="N2864" s="565">
        <v>150</v>
      </c>
      <c r="O2864" s="714"/>
      <c r="P2864" s="769"/>
      <c r="Q2864" s="769"/>
      <c r="R2864" s="712"/>
      <c r="S2864" s="758"/>
      <c r="T2864" s="759"/>
      <c r="U2864" s="711"/>
      <c r="V2864" s="711"/>
      <c r="W2864" s="711"/>
      <c r="X2864" s="285"/>
    </row>
    <row r="2865" spans="1:24" hidden="1" x14ac:dyDescent="0.35">
      <c r="A2865" s="548"/>
      <c r="B2865" s="548"/>
      <c r="C2865" s="548"/>
      <c r="D2865" s="548"/>
      <c r="E2865" s="273"/>
      <c r="F2865" s="768" t="s">
        <v>3892</v>
      </c>
      <c r="G2865" s="768"/>
      <c r="H2865" s="276" t="s">
        <v>4014</v>
      </c>
      <c r="I2865" s="275" t="s">
        <v>4015</v>
      </c>
      <c r="J2865" s="562"/>
      <c r="K2865" s="563"/>
      <c r="L2865" s="563"/>
      <c r="M2865" s="564"/>
      <c r="N2865" s="565"/>
      <c r="O2865" s="714"/>
      <c r="P2865" s="757"/>
      <c r="Q2865" s="757"/>
      <c r="R2865" s="712"/>
      <c r="S2865" s="758"/>
      <c r="T2865" s="759"/>
      <c r="U2865" s="711"/>
      <c r="V2865" s="711"/>
      <c r="W2865" s="711"/>
      <c r="X2865" s="285"/>
    </row>
    <row r="2866" spans="1:24" hidden="1" x14ac:dyDescent="0.35">
      <c r="A2866" s="548"/>
      <c r="B2866" s="548"/>
      <c r="C2866" s="548"/>
      <c r="D2866" s="548"/>
      <c r="E2866" s="273"/>
      <c r="F2866" s="768" t="s">
        <v>3892</v>
      </c>
      <c r="G2866" s="768"/>
      <c r="H2866" s="276" t="s">
        <v>4016</v>
      </c>
      <c r="I2866" s="275" t="s">
        <v>4017</v>
      </c>
      <c r="J2866" s="562"/>
      <c r="K2866" s="563"/>
      <c r="L2866" s="563"/>
      <c r="M2866" s="564"/>
      <c r="N2866" s="565"/>
      <c r="O2866" s="714"/>
      <c r="P2866" s="757"/>
      <c r="Q2866" s="757"/>
      <c r="R2866" s="712"/>
      <c r="S2866" s="758"/>
      <c r="T2866" s="759"/>
      <c r="U2866" s="711"/>
      <c r="V2866" s="711"/>
      <c r="W2866" s="711"/>
      <c r="X2866" s="285"/>
    </row>
    <row r="2867" spans="1:24" hidden="1" x14ac:dyDescent="0.35">
      <c r="A2867" s="548"/>
      <c r="B2867" s="548"/>
      <c r="C2867" s="548"/>
      <c r="D2867" s="548"/>
      <c r="E2867" s="273"/>
      <c r="F2867" s="768" t="s">
        <v>3892</v>
      </c>
      <c r="G2867" s="768"/>
      <c r="H2867" s="276" t="s">
        <v>4018</v>
      </c>
      <c r="I2867" s="275" t="s">
        <v>4019</v>
      </c>
      <c r="J2867" s="562"/>
      <c r="K2867" s="563"/>
      <c r="L2867" s="563"/>
      <c r="M2867" s="564"/>
      <c r="N2867" s="565"/>
      <c r="O2867" s="714"/>
      <c r="P2867" s="757"/>
      <c r="Q2867" s="757"/>
      <c r="R2867" s="712"/>
      <c r="S2867" s="758"/>
      <c r="T2867" s="759"/>
      <c r="U2867" s="711"/>
      <c r="V2867" s="711"/>
      <c r="W2867" s="711"/>
      <c r="X2867" s="285"/>
    </row>
    <row r="2868" spans="1:24" hidden="1" x14ac:dyDescent="0.35">
      <c r="A2868" s="548"/>
      <c r="B2868" s="548"/>
      <c r="C2868" s="548"/>
      <c r="D2868" s="548"/>
      <c r="E2868" s="273"/>
      <c r="F2868" s="768" t="s">
        <v>3892</v>
      </c>
      <c r="G2868" s="768"/>
      <c r="H2868" s="276" t="s">
        <v>4020</v>
      </c>
      <c r="I2868" s="275" t="s">
        <v>3964</v>
      </c>
      <c r="J2868" s="562"/>
      <c r="K2868" s="563"/>
      <c r="L2868" s="563"/>
      <c r="M2868" s="564"/>
      <c r="N2868" s="565">
        <v>400</v>
      </c>
      <c r="O2868" s="714"/>
      <c r="P2868" s="757"/>
      <c r="Q2868" s="757"/>
      <c r="R2868" s="712"/>
      <c r="S2868" s="758"/>
      <c r="T2868" s="759"/>
      <c r="U2868" s="711"/>
      <c r="V2868" s="711"/>
      <c r="W2868" s="711"/>
      <c r="X2868" s="285"/>
    </row>
    <row r="2869" spans="1:24" hidden="1" x14ac:dyDescent="0.35">
      <c r="A2869" s="548"/>
      <c r="B2869" s="548"/>
      <c r="C2869" s="548"/>
      <c r="D2869" s="548"/>
      <c r="E2869" s="273"/>
      <c r="F2869" s="768" t="s">
        <v>3892</v>
      </c>
      <c r="G2869" s="768"/>
      <c r="H2869" s="276" t="s">
        <v>4021</v>
      </c>
      <c r="I2869" s="275" t="s">
        <v>3916</v>
      </c>
      <c r="J2869" s="562"/>
      <c r="K2869" s="563"/>
      <c r="L2869" s="563"/>
      <c r="M2869" s="564"/>
      <c r="N2869" s="565">
        <v>20</v>
      </c>
      <c r="O2869" s="714"/>
      <c r="P2869" s="757">
        <v>20</v>
      </c>
      <c r="Q2869" s="757"/>
      <c r="R2869" s="712"/>
      <c r="S2869" s="758"/>
      <c r="T2869" s="759"/>
      <c r="U2869" s="711"/>
      <c r="V2869" s="711"/>
      <c r="W2869" s="711"/>
      <c r="X2869" s="285"/>
    </row>
    <row r="2870" spans="1:24" hidden="1" x14ac:dyDescent="0.35">
      <c r="A2870" s="548"/>
      <c r="B2870" s="548"/>
      <c r="C2870" s="548"/>
      <c r="D2870" s="548"/>
      <c r="E2870" s="273"/>
      <c r="F2870" s="768" t="s">
        <v>3892</v>
      </c>
      <c r="G2870" s="768"/>
      <c r="H2870" s="276" t="s">
        <v>4020</v>
      </c>
      <c r="I2870" s="275" t="s">
        <v>3661</v>
      </c>
      <c r="J2870" s="562"/>
      <c r="K2870" s="563"/>
      <c r="L2870" s="563"/>
      <c r="M2870" s="564"/>
      <c r="N2870" s="565">
        <v>200</v>
      </c>
      <c r="O2870" s="714"/>
      <c r="P2870" s="757"/>
      <c r="Q2870" s="757"/>
      <c r="R2870" s="712"/>
      <c r="S2870" s="758"/>
      <c r="T2870" s="759"/>
      <c r="U2870" s="711"/>
      <c r="V2870" s="711"/>
      <c r="W2870" s="711"/>
      <c r="X2870" s="285"/>
    </row>
    <row r="2871" spans="1:24" hidden="1" x14ac:dyDescent="0.35">
      <c r="A2871" s="548"/>
      <c r="B2871" s="548"/>
      <c r="C2871" s="548"/>
      <c r="D2871" s="548"/>
      <c r="E2871" s="273"/>
      <c r="F2871" s="768" t="s">
        <v>3892</v>
      </c>
      <c r="G2871" s="768"/>
      <c r="H2871" s="276" t="s">
        <v>4022</v>
      </c>
      <c r="I2871" s="275" t="s">
        <v>4023</v>
      </c>
      <c r="J2871" s="562"/>
      <c r="K2871" s="563"/>
      <c r="L2871" s="563"/>
      <c r="M2871" s="564"/>
      <c r="N2871" s="565">
        <v>150</v>
      </c>
      <c r="O2871" s="714"/>
      <c r="P2871" s="757"/>
      <c r="Q2871" s="757"/>
      <c r="R2871" s="712"/>
      <c r="S2871" s="758"/>
      <c r="T2871" s="759"/>
      <c r="U2871" s="711"/>
      <c r="V2871" s="711"/>
      <c r="W2871" s="711"/>
      <c r="X2871" s="285"/>
    </row>
    <row r="2872" spans="1:24" hidden="1" x14ac:dyDescent="0.35">
      <c r="A2872" s="548"/>
      <c r="B2872" s="548"/>
      <c r="C2872" s="548"/>
      <c r="D2872" s="548"/>
      <c r="E2872" s="273"/>
      <c r="F2872" s="768" t="s">
        <v>3892</v>
      </c>
      <c r="G2872" s="768"/>
      <c r="H2872" s="276" t="s">
        <v>4024</v>
      </c>
      <c r="I2872" s="275" t="s">
        <v>4023</v>
      </c>
      <c r="J2872" s="562"/>
      <c r="K2872" s="563"/>
      <c r="L2872" s="563"/>
      <c r="M2872" s="564"/>
      <c r="N2872" s="565">
        <v>1200</v>
      </c>
      <c r="O2872" s="714"/>
      <c r="P2872" s="757"/>
      <c r="Q2872" s="757"/>
      <c r="R2872" s="712"/>
      <c r="S2872" s="758"/>
      <c r="T2872" s="759"/>
      <c r="U2872" s="711"/>
      <c r="V2872" s="711"/>
      <c r="W2872" s="711"/>
      <c r="X2872" s="285"/>
    </row>
    <row r="2873" spans="1:24" hidden="1" x14ac:dyDescent="0.35">
      <c r="A2873" s="548"/>
      <c r="B2873" s="548"/>
      <c r="C2873" s="548"/>
      <c r="D2873" s="548"/>
      <c r="E2873" s="273"/>
      <c r="F2873" s="768" t="s">
        <v>3892</v>
      </c>
      <c r="G2873" s="768"/>
      <c r="H2873" s="276" t="s">
        <v>4025</v>
      </c>
      <c r="I2873" s="275" t="s">
        <v>3696</v>
      </c>
      <c r="J2873" s="562"/>
      <c r="K2873" s="563"/>
      <c r="L2873" s="563"/>
      <c r="M2873" s="564"/>
      <c r="N2873" s="565">
        <v>1200</v>
      </c>
      <c r="O2873" s="714"/>
      <c r="P2873" s="757"/>
      <c r="Q2873" s="757"/>
      <c r="R2873" s="712"/>
      <c r="S2873" s="758"/>
      <c r="T2873" s="759"/>
      <c r="U2873" s="711"/>
      <c r="V2873" s="711"/>
      <c r="W2873" s="711"/>
      <c r="X2873" s="285"/>
    </row>
    <row r="2874" spans="1:24" hidden="1" x14ac:dyDescent="0.35">
      <c r="A2874" s="548"/>
      <c r="B2874" s="548"/>
      <c r="C2874" s="548"/>
      <c r="D2874" s="548"/>
      <c r="E2874" s="273"/>
      <c r="F2874" s="768" t="s">
        <v>3892</v>
      </c>
      <c r="G2874" s="768"/>
      <c r="H2874" s="276" t="s">
        <v>4026</v>
      </c>
      <c r="I2874" s="275" t="s">
        <v>4027</v>
      </c>
      <c r="J2874" s="562"/>
      <c r="K2874" s="563"/>
      <c r="L2874" s="563"/>
      <c r="M2874" s="564"/>
      <c r="N2874" s="565">
        <v>126</v>
      </c>
      <c r="O2874" s="714"/>
      <c r="P2874" s="757"/>
      <c r="Q2874" s="757"/>
      <c r="R2874" s="712"/>
      <c r="S2874" s="758"/>
      <c r="T2874" s="759"/>
      <c r="U2874" s="711"/>
      <c r="V2874" s="711"/>
      <c r="W2874" s="711"/>
      <c r="X2874" s="285"/>
    </row>
    <row r="2875" spans="1:24" hidden="1" x14ac:dyDescent="0.35">
      <c r="A2875" s="548"/>
      <c r="B2875" s="548"/>
      <c r="C2875" s="548"/>
      <c r="D2875" s="548"/>
      <c r="E2875" s="273"/>
      <c r="F2875" s="768" t="s">
        <v>3892</v>
      </c>
      <c r="G2875" s="768"/>
      <c r="H2875" s="276" t="s">
        <v>4028</v>
      </c>
      <c r="I2875" s="275" t="s">
        <v>4029</v>
      </c>
      <c r="J2875" s="562"/>
      <c r="K2875" s="563"/>
      <c r="L2875" s="563"/>
      <c r="M2875" s="564"/>
      <c r="N2875" s="565">
        <v>20</v>
      </c>
      <c r="O2875" s="714"/>
      <c r="P2875" s="757"/>
      <c r="Q2875" s="757"/>
      <c r="R2875" s="712"/>
      <c r="S2875" s="758"/>
      <c r="T2875" s="759"/>
      <c r="U2875" s="711"/>
      <c r="V2875" s="711"/>
      <c r="W2875" s="711"/>
      <c r="X2875" s="285"/>
    </row>
    <row r="2876" spans="1:24" hidden="1" x14ac:dyDescent="0.35">
      <c r="A2876" s="548"/>
      <c r="B2876" s="548"/>
      <c r="C2876" s="548"/>
      <c r="D2876" s="548"/>
      <c r="E2876" s="273"/>
      <c r="F2876" s="768" t="s">
        <v>3892</v>
      </c>
      <c r="G2876" s="768"/>
      <c r="H2876" s="276" t="s">
        <v>4030</v>
      </c>
      <c r="I2876" s="275" t="s">
        <v>4031</v>
      </c>
      <c r="J2876" s="562"/>
      <c r="K2876" s="563"/>
      <c r="L2876" s="563"/>
      <c r="M2876" s="564"/>
      <c r="N2876" s="565">
        <v>4200</v>
      </c>
      <c r="O2876" s="714"/>
      <c r="P2876" s="757"/>
      <c r="Q2876" s="757"/>
      <c r="R2876" s="712"/>
      <c r="S2876" s="758"/>
      <c r="T2876" s="759"/>
      <c r="U2876" s="711"/>
      <c r="V2876" s="711"/>
      <c r="W2876" s="711"/>
      <c r="X2876" s="285"/>
    </row>
    <row r="2877" spans="1:24" hidden="1" x14ac:dyDescent="0.35">
      <c r="A2877" s="548"/>
      <c r="B2877" s="548"/>
      <c r="C2877" s="548"/>
      <c r="D2877" s="548"/>
      <c r="E2877" s="273"/>
      <c r="F2877" s="768" t="s">
        <v>3892</v>
      </c>
      <c r="G2877" s="768"/>
      <c r="H2877" s="276" t="s">
        <v>4032</v>
      </c>
      <c r="I2877" s="275" t="s">
        <v>4031</v>
      </c>
      <c r="J2877" s="562"/>
      <c r="K2877" s="563"/>
      <c r="L2877" s="563"/>
      <c r="M2877" s="564"/>
      <c r="N2877" s="565">
        <v>3000</v>
      </c>
      <c r="O2877" s="714"/>
      <c r="P2877" s="757"/>
      <c r="Q2877" s="757"/>
      <c r="R2877" s="712"/>
      <c r="S2877" s="758"/>
      <c r="T2877" s="759"/>
      <c r="U2877" s="711"/>
      <c r="V2877" s="711"/>
      <c r="W2877" s="711"/>
      <c r="X2877" s="285"/>
    </row>
    <row r="2878" spans="1:24" hidden="1" x14ac:dyDescent="0.35">
      <c r="A2878" s="548"/>
      <c r="B2878" s="548"/>
      <c r="C2878" s="548"/>
      <c r="D2878" s="548"/>
      <c r="E2878" s="273"/>
      <c r="F2878" s="770" t="s">
        <v>3892</v>
      </c>
      <c r="G2878" s="770"/>
      <c r="H2878" s="276" t="s">
        <v>4033</v>
      </c>
      <c r="I2878" s="771" t="s">
        <v>4031</v>
      </c>
      <c r="J2878" s="562"/>
      <c r="K2878" s="563"/>
      <c r="L2878" s="563"/>
      <c r="M2878" s="564"/>
      <c r="N2878" s="565">
        <v>1874</v>
      </c>
      <c r="O2878" s="714"/>
      <c r="P2878" s="757"/>
      <c r="Q2878" s="757"/>
      <c r="R2878" s="712"/>
      <c r="S2878" s="758"/>
      <c r="T2878" s="759"/>
      <c r="U2878" s="711"/>
      <c r="V2878" s="711"/>
      <c r="W2878" s="711"/>
      <c r="X2878" s="285"/>
    </row>
    <row r="2879" spans="1:24" hidden="1" x14ac:dyDescent="0.35">
      <c r="A2879" s="548"/>
      <c r="B2879" s="548"/>
      <c r="C2879" s="548"/>
      <c r="D2879" s="548"/>
      <c r="E2879" s="273"/>
      <c r="F2879" s="768" t="s">
        <v>3892</v>
      </c>
      <c r="G2879" s="768"/>
      <c r="H2879" s="276" t="s">
        <v>4034</v>
      </c>
      <c r="I2879" s="275" t="s">
        <v>4007</v>
      </c>
      <c r="J2879" s="562"/>
      <c r="K2879" s="563"/>
      <c r="L2879" s="563"/>
      <c r="M2879" s="564"/>
      <c r="N2879" s="565">
        <v>2000</v>
      </c>
      <c r="O2879" s="714"/>
      <c r="P2879" s="757"/>
      <c r="Q2879" s="757"/>
      <c r="R2879" s="712"/>
      <c r="S2879" s="758"/>
      <c r="T2879" s="759"/>
      <c r="U2879" s="711"/>
      <c r="V2879" s="711"/>
      <c r="W2879" s="711"/>
      <c r="X2879" s="285"/>
    </row>
    <row r="2880" spans="1:24" hidden="1" x14ac:dyDescent="0.35">
      <c r="A2880" s="548" t="s">
        <v>2250</v>
      </c>
      <c r="B2880" s="548"/>
      <c r="C2880" s="548"/>
      <c r="D2880" s="548"/>
      <c r="E2880" s="273"/>
      <c r="F2880" s="768" t="s">
        <v>3892</v>
      </c>
      <c r="G2880" s="768"/>
      <c r="H2880" s="276" t="s">
        <v>4035</v>
      </c>
      <c r="I2880" s="275" t="s">
        <v>4007</v>
      </c>
      <c r="J2880" s="562"/>
      <c r="K2880" s="563"/>
      <c r="L2880" s="563"/>
      <c r="M2880" s="564"/>
      <c r="N2880" s="565">
        <v>2000</v>
      </c>
      <c r="O2880" s="714"/>
      <c r="P2880" s="757"/>
      <c r="Q2880" s="757"/>
      <c r="R2880" s="712"/>
      <c r="S2880" s="758"/>
      <c r="T2880" s="759"/>
      <c r="U2880" s="711"/>
      <c r="V2880" s="711"/>
      <c r="W2880" s="711"/>
      <c r="X2880" s="285"/>
    </row>
    <row r="2881" spans="1:24" hidden="1" x14ac:dyDescent="0.35">
      <c r="A2881" s="548"/>
      <c r="B2881" s="548"/>
      <c r="C2881" s="548"/>
      <c r="D2881" s="548"/>
      <c r="E2881" s="273"/>
      <c r="F2881" s="768" t="s">
        <v>3892</v>
      </c>
      <c r="G2881" s="768"/>
      <c r="H2881" s="276" t="s">
        <v>4036</v>
      </c>
      <c r="I2881" s="275" t="s">
        <v>4015</v>
      </c>
      <c r="J2881" s="562"/>
      <c r="K2881" s="563"/>
      <c r="L2881" s="563"/>
      <c r="M2881" s="564"/>
      <c r="N2881" s="565">
        <v>2500</v>
      </c>
      <c r="O2881" s="714"/>
      <c r="P2881" s="757"/>
      <c r="Q2881" s="757"/>
      <c r="R2881" s="712"/>
      <c r="S2881" s="758"/>
      <c r="T2881" s="759"/>
      <c r="U2881" s="711"/>
      <c r="V2881" s="711"/>
      <c r="W2881" s="711"/>
      <c r="X2881" s="285"/>
    </row>
    <row r="2882" spans="1:24" hidden="1" x14ac:dyDescent="0.35">
      <c r="A2882" s="548"/>
      <c r="B2882" s="548"/>
      <c r="C2882" s="548"/>
      <c r="D2882" s="548"/>
      <c r="E2882" s="273"/>
      <c r="F2882" s="768" t="s">
        <v>3892</v>
      </c>
      <c r="G2882" s="768"/>
      <c r="H2882" s="276" t="s">
        <v>4037</v>
      </c>
      <c r="I2882" s="275" t="s">
        <v>3732</v>
      </c>
      <c r="J2882" s="562"/>
      <c r="K2882" s="563"/>
      <c r="L2882" s="563"/>
      <c r="M2882" s="564"/>
      <c r="N2882" s="565">
        <v>25</v>
      </c>
      <c r="O2882" s="714"/>
      <c r="P2882" s="757"/>
      <c r="Q2882" s="757"/>
      <c r="R2882" s="712"/>
      <c r="S2882" s="758"/>
      <c r="T2882" s="759"/>
      <c r="U2882" s="711"/>
      <c r="V2882" s="711"/>
      <c r="W2882" s="711"/>
      <c r="X2882" s="285"/>
    </row>
    <row r="2883" spans="1:24" hidden="1" x14ac:dyDescent="0.35">
      <c r="A2883" s="548"/>
      <c r="B2883" s="548"/>
      <c r="C2883" s="548"/>
      <c r="D2883" s="548"/>
      <c r="E2883" s="273"/>
      <c r="F2883" s="768" t="s">
        <v>3892</v>
      </c>
      <c r="G2883" s="768"/>
      <c r="H2883" s="276" t="s">
        <v>4038</v>
      </c>
      <c r="I2883" s="275" t="s">
        <v>3730</v>
      </c>
      <c r="J2883" s="562"/>
      <c r="K2883" s="563"/>
      <c r="L2883" s="563"/>
      <c r="M2883" s="564"/>
      <c r="N2883" s="565">
        <v>100</v>
      </c>
      <c r="O2883" s="714"/>
      <c r="P2883" s="757"/>
      <c r="Q2883" s="757"/>
      <c r="R2883" s="712"/>
      <c r="S2883" s="758"/>
      <c r="T2883" s="759"/>
      <c r="U2883" s="711"/>
      <c r="V2883" s="711"/>
      <c r="W2883" s="711"/>
      <c r="X2883" s="285"/>
    </row>
    <row r="2884" spans="1:24" hidden="1" x14ac:dyDescent="0.35">
      <c r="A2884" s="548"/>
      <c r="B2884" s="548"/>
      <c r="C2884" s="548"/>
      <c r="D2884" s="548"/>
      <c r="E2884" s="273"/>
      <c r="F2884" s="768" t="s">
        <v>3892</v>
      </c>
      <c r="G2884" s="768"/>
      <c r="H2884" s="276" t="s">
        <v>4039</v>
      </c>
      <c r="I2884" s="275" t="s">
        <v>4040</v>
      </c>
      <c r="J2884" s="562"/>
      <c r="K2884" s="563"/>
      <c r="L2884" s="563"/>
      <c r="M2884" s="564"/>
      <c r="N2884" s="565">
        <v>25</v>
      </c>
      <c r="O2884" s="714"/>
      <c r="P2884" s="757"/>
      <c r="Q2884" s="757"/>
      <c r="R2884" s="712"/>
      <c r="S2884" s="758"/>
      <c r="T2884" s="759"/>
      <c r="U2884" s="711"/>
      <c r="V2884" s="711"/>
      <c r="W2884" s="711"/>
      <c r="X2884" s="285"/>
    </row>
    <row r="2885" spans="1:24" hidden="1" x14ac:dyDescent="0.35">
      <c r="A2885" s="548"/>
      <c r="B2885" s="548"/>
      <c r="C2885" s="548"/>
      <c r="D2885" s="548"/>
      <c r="E2885" s="273"/>
      <c r="F2885" s="768" t="s">
        <v>3892</v>
      </c>
      <c r="G2885" s="768"/>
      <c r="H2885" s="276" t="s">
        <v>4041</v>
      </c>
      <c r="I2885" s="275" t="s">
        <v>3959</v>
      </c>
      <c r="J2885" s="562"/>
      <c r="K2885" s="563"/>
      <c r="L2885" s="563"/>
      <c r="M2885" s="564"/>
      <c r="N2885" s="565">
        <v>50</v>
      </c>
      <c r="O2885" s="714"/>
      <c r="P2885" s="757"/>
      <c r="Q2885" s="757"/>
      <c r="R2885" s="712"/>
      <c r="S2885" s="758"/>
      <c r="T2885" s="759"/>
      <c r="U2885" s="711"/>
      <c r="V2885" s="711"/>
      <c r="W2885" s="711"/>
      <c r="X2885" s="285"/>
    </row>
    <row r="2886" spans="1:24" hidden="1" x14ac:dyDescent="0.35">
      <c r="A2886" s="548"/>
      <c r="B2886" s="548"/>
      <c r="C2886" s="548"/>
      <c r="D2886" s="548"/>
      <c r="E2886" s="273"/>
      <c r="F2886" s="768" t="s">
        <v>3892</v>
      </c>
      <c r="G2886" s="768"/>
      <c r="H2886" s="276" t="s">
        <v>4042</v>
      </c>
      <c r="I2886" s="275" t="s">
        <v>3992</v>
      </c>
      <c r="J2886" s="562"/>
      <c r="K2886" s="563"/>
      <c r="L2886" s="563"/>
      <c r="M2886" s="564"/>
      <c r="N2886" s="565">
        <v>25</v>
      </c>
      <c r="O2886" s="714"/>
      <c r="P2886" s="757">
        <v>25</v>
      </c>
      <c r="Q2886" s="757"/>
      <c r="R2886" s="712"/>
      <c r="S2886" s="758"/>
      <c r="T2886" s="759"/>
      <c r="U2886" s="711"/>
      <c r="V2886" s="711"/>
      <c r="W2886" s="711"/>
      <c r="X2886" s="285"/>
    </row>
    <row r="2887" spans="1:24" hidden="1" x14ac:dyDescent="0.35">
      <c r="A2887" s="548"/>
      <c r="B2887" s="548"/>
      <c r="C2887" s="548"/>
      <c r="D2887" s="548"/>
      <c r="E2887" s="273"/>
      <c r="F2887" s="768" t="s">
        <v>3892</v>
      </c>
      <c r="G2887" s="768"/>
      <c r="H2887" s="276" t="s">
        <v>4043</v>
      </c>
      <c r="I2887" s="275" t="s">
        <v>3780</v>
      </c>
      <c r="J2887" s="562"/>
      <c r="K2887" s="563"/>
      <c r="L2887" s="563"/>
      <c r="M2887" s="564"/>
      <c r="N2887" s="565">
        <v>25</v>
      </c>
      <c r="O2887" s="714"/>
      <c r="P2887" s="757"/>
      <c r="Q2887" s="757"/>
      <c r="R2887" s="712"/>
      <c r="S2887" s="758"/>
      <c r="T2887" s="759"/>
      <c r="U2887" s="711"/>
      <c r="V2887" s="711"/>
      <c r="W2887" s="711"/>
      <c r="X2887" s="285"/>
    </row>
    <row r="2888" spans="1:24" hidden="1" x14ac:dyDescent="0.35">
      <c r="A2888" s="548"/>
      <c r="B2888" s="548"/>
      <c r="C2888" s="548"/>
      <c r="D2888" s="548"/>
      <c r="E2888" s="273"/>
      <c r="F2888" s="768" t="s">
        <v>3892</v>
      </c>
      <c r="G2888" s="768"/>
      <c r="H2888" s="276" t="s">
        <v>4044</v>
      </c>
      <c r="I2888" s="275" t="s">
        <v>4045</v>
      </c>
      <c r="J2888" s="562"/>
      <c r="K2888" s="563"/>
      <c r="L2888" s="563"/>
      <c r="M2888" s="564"/>
      <c r="N2888" s="565">
        <v>25</v>
      </c>
      <c r="O2888" s="714"/>
      <c r="P2888" s="757"/>
      <c r="Q2888" s="757"/>
      <c r="R2888" s="712"/>
      <c r="S2888" s="758"/>
      <c r="T2888" s="759"/>
      <c r="U2888" s="711"/>
      <c r="V2888" s="711"/>
      <c r="W2888" s="711"/>
      <c r="X2888" s="285"/>
    </row>
    <row r="2889" spans="1:24" hidden="1" x14ac:dyDescent="0.35">
      <c r="A2889" s="548"/>
      <c r="B2889" s="548"/>
      <c r="C2889" s="548"/>
      <c r="D2889" s="548"/>
      <c r="E2889" s="273"/>
      <c r="F2889" s="768" t="s">
        <v>3892</v>
      </c>
      <c r="G2889" s="768"/>
      <c r="H2889" s="276" t="s">
        <v>4046</v>
      </c>
      <c r="I2889" s="275" t="s">
        <v>4047</v>
      </c>
      <c r="J2889" s="562"/>
      <c r="K2889" s="563"/>
      <c r="L2889" s="563"/>
      <c r="M2889" s="564"/>
      <c r="N2889" s="565">
        <v>25</v>
      </c>
      <c r="O2889" s="714"/>
      <c r="P2889" s="757"/>
      <c r="Q2889" s="757"/>
      <c r="R2889" s="712"/>
      <c r="S2889" s="758"/>
      <c r="T2889" s="759"/>
      <c r="U2889" s="711"/>
      <c r="V2889" s="711"/>
      <c r="W2889" s="711"/>
      <c r="X2889" s="285"/>
    </row>
    <row r="2890" spans="1:24" ht="26.5" hidden="1" x14ac:dyDescent="0.35">
      <c r="A2890" s="548"/>
      <c r="B2890" s="548"/>
      <c r="C2890" s="548"/>
      <c r="D2890" s="548"/>
      <c r="E2890" s="273"/>
      <c r="F2890" s="768" t="s">
        <v>3892</v>
      </c>
      <c r="G2890" s="768"/>
      <c r="H2890" s="276" t="s">
        <v>4048</v>
      </c>
      <c r="I2890" s="275" t="s">
        <v>4049</v>
      </c>
      <c r="J2890" s="562"/>
      <c r="K2890" s="563"/>
      <c r="L2890" s="563"/>
      <c r="M2890" s="564"/>
      <c r="N2890" s="565">
        <v>300</v>
      </c>
      <c r="O2890" s="714"/>
      <c r="P2890" s="757"/>
      <c r="Q2890" s="757"/>
      <c r="R2890" s="712"/>
      <c r="S2890" s="758"/>
      <c r="T2890" s="759"/>
      <c r="U2890" s="711"/>
      <c r="V2890" s="711"/>
      <c r="W2890" s="711"/>
      <c r="X2890" s="285"/>
    </row>
    <row r="2891" spans="1:24" hidden="1" x14ac:dyDescent="0.35">
      <c r="A2891" s="548"/>
      <c r="B2891" s="548"/>
      <c r="C2891" s="548"/>
      <c r="D2891" s="548"/>
      <c r="E2891" s="273"/>
      <c r="F2891" s="768" t="s">
        <v>3892</v>
      </c>
      <c r="G2891" s="768"/>
      <c r="H2891" s="276" t="s">
        <v>4050</v>
      </c>
      <c r="I2891" s="275" t="s">
        <v>4051</v>
      </c>
      <c r="J2891" s="562"/>
      <c r="K2891" s="563"/>
      <c r="L2891" s="563"/>
      <c r="M2891" s="564"/>
      <c r="N2891" s="565">
        <v>500</v>
      </c>
      <c r="O2891" s="714"/>
      <c r="P2891" s="757"/>
      <c r="Q2891" s="757"/>
      <c r="R2891" s="712"/>
      <c r="S2891" s="758"/>
      <c r="T2891" s="759"/>
      <c r="U2891" s="711"/>
      <c r="V2891" s="711"/>
      <c r="W2891" s="711"/>
      <c r="X2891" s="285"/>
    </row>
    <row r="2892" spans="1:24" hidden="1" x14ac:dyDescent="0.35">
      <c r="A2892" s="548"/>
      <c r="B2892" s="548"/>
      <c r="C2892" s="548"/>
      <c r="D2892" s="548"/>
      <c r="E2892" s="273"/>
      <c r="F2892" s="768" t="s">
        <v>3892</v>
      </c>
      <c r="G2892" s="768"/>
      <c r="H2892" s="276" t="s">
        <v>4052</v>
      </c>
      <c r="I2892" s="275" t="s">
        <v>4053</v>
      </c>
      <c r="J2892" s="562"/>
      <c r="K2892" s="563"/>
      <c r="L2892" s="563"/>
      <c r="M2892" s="564"/>
      <c r="N2892" s="565">
        <v>100</v>
      </c>
      <c r="O2892" s="714"/>
      <c r="P2892" s="757">
        <v>100</v>
      </c>
      <c r="Q2892" s="757"/>
      <c r="R2892" s="712"/>
      <c r="S2892" s="758"/>
      <c r="T2892" s="759"/>
      <c r="U2892" s="711"/>
      <c r="V2892" s="711"/>
      <c r="W2892" s="711"/>
      <c r="X2892" s="285"/>
    </row>
    <row r="2893" spans="1:24" ht="26.5" hidden="1" x14ac:dyDescent="0.35">
      <c r="A2893" s="548"/>
      <c r="B2893" s="548"/>
      <c r="C2893" s="548"/>
      <c r="D2893" s="548"/>
      <c r="E2893" s="273"/>
      <c r="F2893" s="768" t="s">
        <v>3892</v>
      </c>
      <c r="G2893" s="768"/>
      <c r="H2893" s="276" t="s">
        <v>4054</v>
      </c>
      <c r="I2893" s="275" t="s">
        <v>4055</v>
      </c>
      <c r="J2893" s="562"/>
      <c r="K2893" s="563"/>
      <c r="L2893" s="563"/>
      <c r="M2893" s="564"/>
      <c r="N2893" s="565">
        <v>1000</v>
      </c>
      <c r="O2893" s="714"/>
      <c r="P2893" s="757"/>
      <c r="Q2893" s="757"/>
      <c r="R2893" s="712"/>
      <c r="S2893" s="758"/>
      <c r="T2893" s="759"/>
      <c r="U2893" s="711"/>
      <c r="V2893" s="711"/>
      <c r="W2893" s="711"/>
      <c r="X2893" s="285"/>
    </row>
    <row r="2894" spans="1:24" hidden="1" x14ac:dyDescent="0.35">
      <c r="A2894" s="548"/>
      <c r="B2894" s="548"/>
      <c r="C2894" s="548"/>
      <c r="D2894" s="548"/>
      <c r="E2894" s="273"/>
      <c r="F2894" s="768" t="s">
        <v>3892</v>
      </c>
      <c r="G2894" s="768"/>
      <c r="H2894" s="276" t="s">
        <v>4056</v>
      </c>
      <c r="I2894" s="275" t="s">
        <v>4057</v>
      </c>
      <c r="J2894" s="562" t="s">
        <v>4058</v>
      </c>
      <c r="K2894" s="563"/>
      <c r="L2894" s="563"/>
      <c r="M2894" s="564"/>
      <c r="N2894" s="565">
        <v>4000</v>
      </c>
      <c r="O2894" s="714"/>
      <c r="P2894" s="757"/>
      <c r="Q2894" s="757"/>
      <c r="R2894" s="712"/>
      <c r="S2894" s="758"/>
      <c r="T2894" s="759"/>
      <c r="U2894" s="711"/>
      <c r="V2894" s="711"/>
      <c r="W2894" s="711"/>
      <c r="X2894" s="285"/>
    </row>
    <row r="2895" spans="1:24" hidden="1" x14ac:dyDescent="0.35">
      <c r="A2895" s="548"/>
      <c r="B2895" s="548"/>
      <c r="C2895" s="548"/>
      <c r="D2895" s="548"/>
      <c r="E2895" s="273"/>
      <c r="F2895" s="768" t="s">
        <v>3892</v>
      </c>
      <c r="G2895" s="768"/>
      <c r="H2895" s="276" t="s">
        <v>4059</v>
      </c>
      <c r="I2895" s="275" t="s">
        <v>4060</v>
      </c>
      <c r="J2895" s="562"/>
      <c r="K2895" s="563"/>
      <c r="L2895" s="563"/>
      <c r="M2895" s="564"/>
      <c r="N2895" s="565">
        <v>800</v>
      </c>
      <c r="O2895" s="714"/>
      <c r="P2895" s="757"/>
      <c r="Q2895" s="757"/>
      <c r="R2895" s="712"/>
      <c r="S2895" s="758"/>
      <c r="T2895" s="759"/>
      <c r="U2895" s="711"/>
      <c r="V2895" s="711"/>
      <c r="W2895" s="711"/>
      <c r="X2895" s="285"/>
    </row>
    <row r="2896" spans="1:24" hidden="1" x14ac:dyDescent="0.35">
      <c r="A2896" s="548"/>
      <c r="B2896" s="548"/>
      <c r="C2896" s="548"/>
      <c r="D2896" s="548"/>
      <c r="E2896" s="273"/>
      <c r="F2896" s="768" t="s">
        <v>3892</v>
      </c>
      <c r="G2896" s="768"/>
      <c r="H2896" s="276" t="s">
        <v>4059</v>
      </c>
      <c r="I2896" s="275" t="s">
        <v>3696</v>
      </c>
      <c r="J2896" s="562"/>
      <c r="K2896" s="563"/>
      <c r="L2896" s="563"/>
      <c r="M2896" s="564"/>
      <c r="N2896" s="565">
        <v>700</v>
      </c>
      <c r="O2896" s="714"/>
      <c r="P2896" s="757"/>
      <c r="Q2896" s="757"/>
      <c r="R2896" s="712"/>
      <c r="S2896" s="758"/>
      <c r="T2896" s="759"/>
      <c r="U2896" s="711"/>
      <c r="V2896" s="711"/>
      <c r="W2896" s="711"/>
      <c r="X2896" s="285"/>
    </row>
    <row r="2897" spans="1:24" hidden="1" x14ac:dyDescent="0.35">
      <c r="A2897" s="548"/>
      <c r="B2897" s="548"/>
      <c r="C2897" s="548"/>
      <c r="D2897" s="548"/>
      <c r="E2897" s="273"/>
      <c r="F2897" s="768" t="s">
        <v>3892</v>
      </c>
      <c r="G2897" s="768"/>
      <c r="H2897" s="276" t="s">
        <v>4059</v>
      </c>
      <c r="I2897" s="275" t="s">
        <v>3696</v>
      </c>
      <c r="J2897" s="562"/>
      <c r="K2897" s="563"/>
      <c r="L2897" s="563"/>
      <c r="M2897" s="564"/>
      <c r="N2897" s="565">
        <v>900</v>
      </c>
      <c r="O2897" s="714"/>
      <c r="P2897" s="757"/>
      <c r="Q2897" s="757"/>
      <c r="R2897" s="712"/>
      <c r="S2897" s="758"/>
      <c r="T2897" s="759"/>
      <c r="U2897" s="711"/>
      <c r="V2897" s="711"/>
      <c r="W2897" s="711"/>
      <c r="X2897" s="285"/>
    </row>
    <row r="2898" spans="1:24" hidden="1" x14ac:dyDescent="0.35">
      <c r="A2898" s="548"/>
      <c r="B2898" s="548"/>
      <c r="C2898" s="548"/>
      <c r="D2898" s="548"/>
      <c r="E2898" s="273"/>
      <c r="F2898" s="768" t="s">
        <v>3892</v>
      </c>
      <c r="G2898" s="768"/>
      <c r="H2898" s="276" t="s">
        <v>4059</v>
      </c>
      <c r="I2898" s="275" t="s">
        <v>3696</v>
      </c>
      <c r="J2898" s="562"/>
      <c r="K2898" s="563"/>
      <c r="L2898" s="563"/>
      <c r="M2898" s="564"/>
      <c r="N2898" s="565">
        <v>1200</v>
      </c>
      <c r="O2898" s="714"/>
      <c r="P2898" s="757"/>
      <c r="Q2898" s="757"/>
      <c r="R2898" s="712"/>
      <c r="S2898" s="758"/>
      <c r="T2898" s="759"/>
      <c r="U2898" s="711"/>
      <c r="V2898" s="711"/>
      <c r="W2898" s="711"/>
      <c r="X2898" s="285"/>
    </row>
    <row r="2899" spans="1:24" hidden="1" x14ac:dyDescent="0.35">
      <c r="A2899" s="548"/>
      <c r="B2899" s="548"/>
      <c r="C2899" s="548"/>
      <c r="D2899" s="548"/>
      <c r="E2899" s="273"/>
      <c r="F2899" s="768" t="s">
        <v>3892</v>
      </c>
      <c r="G2899" s="768"/>
      <c r="H2899" s="276" t="s">
        <v>4059</v>
      </c>
      <c r="I2899" s="275" t="s">
        <v>3696</v>
      </c>
      <c r="J2899" s="562"/>
      <c r="K2899" s="563"/>
      <c r="L2899" s="563"/>
      <c r="M2899" s="564"/>
      <c r="N2899" s="565">
        <v>1200</v>
      </c>
      <c r="O2899" s="714"/>
      <c r="P2899" s="757"/>
      <c r="Q2899" s="757"/>
      <c r="R2899" s="712"/>
      <c r="S2899" s="758"/>
      <c r="T2899" s="759"/>
      <c r="U2899" s="711"/>
      <c r="V2899" s="711"/>
      <c r="W2899" s="711"/>
      <c r="X2899" s="285"/>
    </row>
    <row r="2900" spans="1:24" hidden="1" x14ac:dyDescent="0.35">
      <c r="A2900" s="548"/>
      <c r="B2900" s="548"/>
      <c r="C2900" s="548"/>
      <c r="D2900" s="548"/>
      <c r="E2900" s="273"/>
      <c r="F2900" s="768" t="s">
        <v>3892</v>
      </c>
      <c r="G2900" s="768"/>
      <c r="H2900" s="276" t="s">
        <v>4061</v>
      </c>
      <c r="I2900" s="275" t="s">
        <v>4062</v>
      </c>
      <c r="J2900" s="562"/>
      <c r="K2900" s="563"/>
      <c r="L2900" s="563"/>
      <c r="M2900" s="564"/>
      <c r="N2900" s="565">
        <v>200</v>
      </c>
      <c r="O2900" s="714"/>
      <c r="P2900" s="757"/>
      <c r="Q2900" s="757"/>
      <c r="R2900" s="712"/>
      <c r="S2900" s="758"/>
      <c r="T2900" s="759"/>
      <c r="U2900" s="711"/>
      <c r="V2900" s="711"/>
      <c r="W2900" s="711"/>
      <c r="X2900" s="285"/>
    </row>
    <row r="2901" spans="1:24" hidden="1" x14ac:dyDescent="0.35">
      <c r="A2901" s="548"/>
      <c r="B2901" s="548"/>
      <c r="C2901" s="548"/>
      <c r="D2901" s="548"/>
      <c r="E2901" s="273"/>
      <c r="F2901" s="768" t="s">
        <v>3892</v>
      </c>
      <c r="G2901" s="768"/>
      <c r="H2901" s="276" t="s">
        <v>4063</v>
      </c>
      <c r="I2901" s="275" t="s">
        <v>3661</v>
      </c>
      <c r="J2901" s="562"/>
      <c r="K2901" s="563"/>
      <c r="L2901" s="563"/>
      <c r="M2901" s="564"/>
      <c r="N2901" s="565">
        <v>150</v>
      </c>
      <c r="O2901" s="714"/>
      <c r="P2901" s="757"/>
      <c r="Q2901" s="757"/>
      <c r="R2901" s="712"/>
      <c r="S2901" s="758"/>
      <c r="T2901" s="759"/>
      <c r="U2901" s="711"/>
      <c r="V2901" s="711"/>
      <c r="W2901" s="711"/>
      <c r="X2901" s="285"/>
    </row>
    <row r="2902" spans="1:24" ht="26.5" hidden="1" x14ac:dyDescent="0.35">
      <c r="A2902" s="548"/>
      <c r="B2902" s="548"/>
      <c r="C2902" s="548"/>
      <c r="D2902" s="548"/>
      <c r="E2902" s="273"/>
      <c r="F2902" s="768" t="s">
        <v>3892</v>
      </c>
      <c r="G2902" s="768"/>
      <c r="H2902" s="276" t="s">
        <v>4064</v>
      </c>
      <c r="I2902" s="275" t="s">
        <v>4065</v>
      </c>
      <c r="J2902" s="562"/>
      <c r="K2902" s="563"/>
      <c r="L2902" s="563"/>
      <c r="M2902" s="564"/>
      <c r="N2902" s="565">
        <v>200</v>
      </c>
      <c r="O2902" s="714"/>
      <c r="P2902" s="757"/>
      <c r="Q2902" s="757"/>
      <c r="R2902" s="712"/>
      <c r="S2902" s="758"/>
      <c r="T2902" s="759"/>
      <c r="U2902" s="711"/>
      <c r="V2902" s="711"/>
      <c r="W2902" s="711"/>
      <c r="X2902" s="285"/>
    </row>
    <row r="2903" spans="1:24" hidden="1" x14ac:dyDescent="0.35">
      <c r="A2903" s="548"/>
      <c r="B2903" s="548"/>
      <c r="C2903" s="548"/>
      <c r="D2903" s="548"/>
      <c r="E2903" s="273"/>
      <c r="F2903" s="768" t="s">
        <v>3892</v>
      </c>
      <c r="G2903" s="768"/>
      <c r="H2903" s="276" t="s">
        <v>4066</v>
      </c>
      <c r="I2903" s="275" t="s">
        <v>4067</v>
      </c>
      <c r="J2903" s="562"/>
      <c r="K2903" s="563"/>
      <c r="L2903" s="563"/>
      <c r="M2903" s="564"/>
      <c r="N2903" s="565">
        <v>50</v>
      </c>
      <c r="O2903" s="714"/>
      <c r="P2903" s="757"/>
      <c r="Q2903" s="757"/>
      <c r="R2903" s="712"/>
      <c r="S2903" s="758"/>
      <c r="T2903" s="759"/>
      <c r="U2903" s="711"/>
      <c r="V2903" s="711"/>
      <c r="W2903" s="711"/>
      <c r="X2903" s="285"/>
    </row>
    <row r="2904" spans="1:24" hidden="1" x14ac:dyDescent="0.35">
      <c r="A2904" s="772"/>
      <c r="B2904" s="772"/>
      <c r="C2904" s="772"/>
      <c r="D2904" s="772"/>
      <c r="E2904" s="273"/>
      <c r="F2904" s="768" t="s">
        <v>3892</v>
      </c>
      <c r="G2904" s="768"/>
      <c r="H2904" s="276" t="s">
        <v>4068</v>
      </c>
      <c r="I2904" s="275" t="s">
        <v>3994</v>
      </c>
      <c r="J2904" s="562"/>
      <c r="K2904" s="563"/>
      <c r="L2904" s="563"/>
      <c r="M2904" s="564"/>
      <c r="N2904" s="565">
        <v>80000</v>
      </c>
      <c r="O2904" s="714"/>
      <c r="P2904" s="757"/>
      <c r="Q2904" s="757"/>
      <c r="R2904" s="712"/>
      <c r="S2904" s="758"/>
      <c r="T2904" s="759"/>
      <c r="U2904" s="711"/>
      <c r="V2904" s="711"/>
      <c r="W2904" s="711"/>
      <c r="X2904" s="285"/>
    </row>
    <row r="2905" spans="1:24" hidden="1" x14ac:dyDescent="0.35">
      <c r="A2905" s="548"/>
      <c r="B2905" s="548"/>
      <c r="C2905" s="548"/>
      <c r="D2905" s="548"/>
      <c r="E2905" s="273"/>
      <c r="F2905" s="768" t="s">
        <v>3892</v>
      </c>
      <c r="G2905" s="768"/>
      <c r="H2905" s="276" t="s">
        <v>4069</v>
      </c>
      <c r="I2905" s="275" t="s">
        <v>4070</v>
      </c>
      <c r="J2905" s="562"/>
      <c r="K2905" s="563"/>
      <c r="L2905" s="563"/>
      <c r="M2905" s="564"/>
      <c r="N2905" s="565">
        <v>46000</v>
      </c>
      <c r="O2905" s="714"/>
      <c r="P2905" s="757"/>
      <c r="Q2905" s="757"/>
      <c r="R2905" s="712"/>
      <c r="S2905" s="758"/>
      <c r="T2905" s="759"/>
      <c r="U2905" s="711"/>
      <c r="V2905" s="711"/>
      <c r="W2905" s="711"/>
      <c r="X2905" s="285"/>
    </row>
    <row r="2906" spans="1:24" hidden="1" x14ac:dyDescent="0.35">
      <c r="A2906" s="548"/>
      <c r="B2906" s="548"/>
      <c r="C2906" s="548"/>
      <c r="D2906" s="548"/>
      <c r="E2906" s="273"/>
      <c r="F2906" s="768" t="s">
        <v>3892</v>
      </c>
      <c r="G2906" s="768"/>
      <c r="H2906" s="276" t="s">
        <v>4071</v>
      </c>
      <c r="I2906" s="275" t="s">
        <v>4023</v>
      </c>
      <c r="J2906" s="562"/>
      <c r="K2906" s="563"/>
      <c r="L2906" s="563"/>
      <c r="M2906" s="564"/>
      <c r="N2906" s="565">
        <v>2400</v>
      </c>
      <c r="O2906" s="714"/>
      <c r="P2906" s="757"/>
      <c r="Q2906" s="757"/>
      <c r="R2906" s="712"/>
      <c r="S2906" s="758"/>
      <c r="T2906" s="759"/>
      <c r="U2906" s="711"/>
      <c r="V2906" s="711"/>
      <c r="W2906" s="711"/>
      <c r="X2906" s="285"/>
    </row>
    <row r="2907" spans="1:24" hidden="1" x14ac:dyDescent="0.35">
      <c r="A2907" s="548"/>
      <c r="B2907" s="548"/>
      <c r="C2907" s="548"/>
      <c r="D2907" s="548"/>
      <c r="E2907" s="273"/>
      <c r="F2907" s="768" t="s">
        <v>3892</v>
      </c>
      <c r="G2907" s="768"/>
      <c r="H2907" s="276" t="s">
        <v>4072</v>
      </c>
      <c r="I2907" s="275" t="s">
        <v>4073</v>
      </c>
      <c r="J2907" s="562"/>
      <c r="K2907" s="563"/>
      <c r="L2907" s="563"/>
      <c r="M2907" s="564"/>
      <c r="N2907" s="565">
        <v>1152</v>
      </c>
      <c r="O2907" s="714"/>
      <c r="P2907" s="757"/>
      <c r="Q2907" s="757"/>
      <c r="R2907" s="712"/>
      <c r="S2907" s="758"/>
      <c r="T2907" s="759"/>
      <c r="U2907" s="711"/>
      <c r="V2907" s="711"/>
      <c r="W2907" s="711"/>
      <c r="X2907" s="285"/>
    </row>
    <row r="2908" spans="1:24" hidden="1" x14ac:dyDescent="0.35">
      <c r="A2908" s="548"/>
      <c r="B2908" s="548"/>
      <c r="C2908" s="548"/>
      <c r="D2908" s="548"/>
      <c r="E2908" s="273"/>
      <c r="F2908" s="768" t="s">
        <v>3892</v>
      </c>
      <c r="G2908" s="768"/>
      <c r="H2908" s="276" t="s">
        <v>4074</v>
      </c>
      <c r="I2908" s="275" t="s">
        <v>4057</v>
      </c>
      <c r="J2908" s="562"/>
      <c r="K2908" s="563"/>
      <c r="L2908" s="563"/>
      <c r="M2908" s="564"/>
      <c r="N2908" s="565">
        <v>5760</v>
      </c>
      <c r="O2908" s="714"/>
      <c r="P2908" s="757"/>
      <c r="Q2908" s="757"/>
      <c r="R2908" s="712"/>
      <c r="S2908" s="758"/>
      <c r="T2908" s="759"/>
      <c r="U2908" s="711"/>
      <c r="V2908" s="711"/>
      <c r="W2908" s="711"/>
      <c r="X2908" s="285"/>
    </row>
    <row r="2909" spans="1:24" hidden="1" x14ac:dyDescent="0.35">
      <c r="A2909" s="548"/>
      <c r="B2909" s="548"/>
      <c r="C2909" s="548"/>
      <c r="D2909" s="548"/>
      <c r="E2909" s="273"/>
      <c r="F2909" s="768" t="s">
        <v>3892</v>
      </c>
      <c r="G2909" s="768"/>
      <c r="H2909" s="276" t="s">
        <v>4075</v>
      </c>
      <c r="I2909" s="275" t="s">
        <v>4015</v>
      </c>
      <c r="J2909" s="562"/>
      <c r="K2909" s="563"/>
      <c r="L2909" s="563"/>
      <c r="M2909" s="564"/>
      <c r="N2909" s="565">
        <v>5000</v>
      </c>
      <c r="O2909" s="714"/>
      <c r="P2909" s="757"/>
      <c r="Q2909" s="757"/>
      <c r="R2909" s="712"/>
      <c r="S2909" s="758"/>
      <c r="T2909" s="759"/>
      <c r="U2909" s="711"/>
      <c r="V2909" s="711"/>
      <c r="W2909" s="711"/>
      <c r="X2909" s="285"/>
    </row>
    <row r="2910" spans="1:24" hidden="1" x14ac:dyDescent="0.35">
      <c r="A2910" s="548"/>
      <c r="B2910" s="548"/>
      <c r="C2910" s="548"/>
      <c r="D2910" s="548"/>
      <c r="E2910" s="273"/>
      <c r="F2910" s="768" t="s">
        <v>3892</v>
      </c>
      <c r="G2910" s="768"/>
      <c r="H2910" s="276" t="s">
        <v>4076</v>
      </c>
      <c r="I2910" s="736" t="s">
        <v>4077</v>
      </c>
      <c r="J2910" s="562"/>
      <c r="K2910" s="563"/>
      <c r="L2910" s="563"/>
      <c r="M2910" s="564"/>
      <c r="N2910" s="565">
        <v>1000</v>
      </c>
      <c r="O2910" s="714"/>
      <c r="P2910" s="757"/>
      <c r="Q2910" s="757"/>
      <c r="R2910" s="712"/>
      <c r="S2910" s="758"/>
      <c r="T2910" s="759"/>
      <c r="U2910" s="711"/>
      <c r="V2910" s="711"/>
      <c r="W2910" s="711"/>
      <c r="X2910" s="285"/>
    </row>
    <row r="2911" spans="1:24" hidden="1" x14ac:dyDescent="0.35">
      <c r="A2911" s="548"/>
      <c r="B2911" s="548"/>
      <c r="C2911" s="548"/>
      <c r="D2911" s="548"/>
      <c r="E2911" s="273"/>
      <c r="F2911" s="768" t="s">
        <v>3892</v>
      </c>
      <c r="G2911" s="768"/>
      <c r="H2911" s="276" t="s">
        <v>4078</v>
      </c>
      <c r="I2911" s="736" t="s">
        <v>4077</v>
      </c>
      <c r="J2911" s="562"/>
      <c r="K2911" s="563"/>
      <c r="L2911" s="563"/>
      <c r="M2911" s="564"/>
      <c r="N2911" s="565">
        <v>300</v>
      </c>
      <c r="O2911" s="714"/>
      <c r="P2911" s="757"/>
      <c r="Q2911" s="757"/>
      <c r="R2911" s="712"/>
      <c r="S2911" s="758"/>
      <c r="T2911" s="759"/>
      <c r="U2911" s="711"/>
      <c r="V2911" s="711"/>
      <c r="W2911" s="711"/>
      <c r="X2911" s="285"/>
    </row>
    <row r="2912" spans="1:24" hidden="1" x14ac:dyDescent="0.35">
      <c r="A2912" s="548"/>
      <c r="B2912" s="548"/>
      <c r="C2912" s="548"/>
      <c r="D2912" s="548"/>
      <c r="E2912" s="273"/>
      <c r="F2912" s="768" t="s">
        <v>3892</v>
      </c>
      <c r="G2912" s="768"/>
      <c r="H2912" s="276" t="s">
        <v>4079</v>
      </c>
      <c r="I2912" s="736" t="s">
        <v>3845</v>
      </c>
      <c r="J2912" s="562"/>
      <c r="K2912" s="563"/>
      <c r="L2912" s="563"/>
      <c r="M2912" s="564"/>
      <c r="N2912" s="565">
        <v>20</v>
      </c>
      <c r="O2912" s="714"/>
      <c r="P2912" s="757">
        <v>20</v>
      </c>
      <c r="Q2912" s="757"/>
      <c r="R2912" s="712"/>
      <c r="S2912" s="758"/>
      <c r="T2912" s="759"/>
      <c r="U2912" s="711"/>
      <c r="V2912" s="711"/>
      <c r="W2912" s="711"/>
      <c r="X2912" s="285"/>
    </row>
    <row r="2913" spans="1:24" hidden="1" x14ac:dyDescent="0.35">
      <c r="A2913" s="548"/>
      <c r="B2913" s="548"/>
      <c r="C2913" s="548"/>
      <c r="D2913" s="548"/>
      <c r="E2913" s="273"/>
      <c r="F2913" s="768" t="s">
        <v>3892</v>
      </c>
      <c r="G2913" s="768"/>
      <c r="H2913" s="276" t="s">
        <v>4080</v>
      </c>
      <c r="I2913" s="736" t="s">
        <v>3780</v>
      </c>
      <c r="J2913" s="562"/>
      <c r="K2913" s="563"/>
      <c r="L2913" s="563"/>
      <c r="M2913" s="564"/>
      <c r="N2913" s="565">
        <v>5</v>
      </c>
      <c r="O2913" s="714"/>
      <c r="P2913" s="757">
        <v>5</v>
      </c>
      <c r="Q2913" s="757"/>
      <c r="R2913" s="712"/>
      <c r="S2913" s="758"/>
      <c r="T2913" s="759"/>
      <c r="U2913" s="711"/>
      <c r="V2913" s="711"/>
      <c r="W2913" s="711"/>
      <c r="X2913" s="285"/>
    </row>
    <row r="2914" spans="1:24" hidden="1" x14ac:dyDescent="0.35">
      <c r="A2914" s="548"/>
      <c r="B2914" s="548"/>
      <c r="C2914" s="548"/>
      <c r="D2914" s="548"/>
      <c r="E2914" s="273"/>
      <c r="F2914" s="768" t="s">
        <v>3892</v>
      </c>
      <c r="G2914" s="768"/>
      <c r="H2914" s="276" t="s">
        <v>4081</v>
      </c>
      <c r="I2914" s="736" t="s">
        <v>3962</v>
      </c>
      <c r="J2914" s="562"/>
      <c r="K2914" s="563"/>
      <c r="L2914" s="563"/>
      <c r="M2914" s="564"/>
      <c r="N2914" s="565">
        <v>5</v>
      </c>
      <c r="O2914" s="714"/>
      <c r="P2914" s="757"/>
      <c r="Q2914" s="757"/>
      <c r="R2914" s="712"/>
      <c r="S2914" s="758"/>
      <c r="T2914" s="759"/>
      <c r="U2914" s="711"/>
      <c r="V2914" s="711"/>
      <c r="W2914" s="711"/>
      <c r="X2914" s="285"/>
    </row>
    <row r="2915" spans="1:24" hidden="1" x14ac:dyDescent="0.35">
      <c r="A2915" s="548"/>
      <c r="B2915" s="548"/>
      <c r="C2915" s="548"/>
      <c r="D2915" s="548"/>
      <c r="E2915" s="273"/>
      <c r="F2915" s="768" t="s">
        <v>3892</v>
      </c>
      <c r="G2915" s="768"/>
      <c r="H2915" s="276" t="s">
        <v>4082</v>
      </c>
      <c r="I2915" s="736" t="s">
        <v>3730</v>
      </c>
      <c r="J2915" s="562"/>
      <c r="K2915" s="563"/>
      <c r="L2915" s="563"/>
      <c r="M2915" s="564"/>
      <c r="N2915" s="565">
        <v>5</v>
      </c>
      <c r="O2915" s="714"/>
      <c r="P2915" s="757"/>
      <c r="Q2915" s="757"/>
      <c r="R2915" s="712"/>
      <c r="S2915" s="758"/>
      <c r="T2915" s="759"/>
      <c r="U2915" s="711"/>
      <c r="V2915" s="711"/>
      <c r="W2915" s="711"/>
      <c r="X2915" s="285"/>
    </row>
    <row r="2916" spans="1:24" hidden="1" x14ac:dyDescent="0.35">
      <c r="A2916" s="548"/>
      <c r="B2916" s="548"/>
      <c r="C2916" s="548"/>
      <c r="D2916" s="548"/>
      <c r="E2916" s="273"/>
      <c r="F2916" s="768" t="s">
        <v>3892</v>
      </c>
      <c r="G2916" s="768"/>
      <c r="H2916" s="276" t="s">
        <v>4083</v>
      </c>
      <c r="I2916" s="736" t="s">
        <v>3959</v>
      </c>
      <c r="J2916" s="562"/>
      <c r="K2916" s="563"/>
      <c r="L2916" s="563"/>
      <c r="M2916" s="564"/>
      <c r="N2916" s="565">
        <v>10</v>
      </c>
      <c r="O2916" s="714"/>
      <c r="P2916" s="757"/>
      <c r="Q2916" s="757"/>
      <c r="R2916" s="712"/>
      <c r="S2916" s="758"/>
      <c r="T2916" s="759"/>
      <c r="U2916" s="711"/>
      <c r="V2916" s="711"/>
      <c r="W2916" s="711"/>
      <c r="X2916" s="285"/>
    </row>
    <row r="2917" spans="1:24" hidden="1" x14ac:dyDescent="0.35">
      <c r="A2917" s="548"/>
      <c r="B2917" s="548"/>
      <c r="C2917" s="548"/>
      <c r="D2917" s="548"/>
      <c r="E2917" s="273"/>
      <c r="F2917" s="768" t="s">
        <v>3892</v>
      </c>
      <c r="G2917" s="768"/>
      <c r="H2917" s="276" t="s">
        <v>4084</v>
      </c>
      <c r="I2917" s="736" t="s">
        <v>3732</v>
      </c>
      <c r="J2917" s="562"/>
      <c r="K2917" s="563"/>
      <c r="L2917" s="563"/>
      <c r="M2917" s="564"/>
      <c r="N2917" s="565">
        <v>15</v>
      </c>
      <c r="O2917" s="714"/>
      <c r="P2917" s="757"/>
      <c r="Q2917" s="757"/>
      <c r="R2917" s="712"/>
      <c r="S2917" s="758"/>
      <c r="T2917" s="759"/>
      <c r="U2917" s="711"/>
      <c r="V2917" s="711"/>
      <c r="W2917" s="711"/>
      <c r="X2917" s="285"/>
    </row>
    <row r="2918" spans="1:24" hidden="1" x14ac:dyDescent="0.35">
      <c r="A2918" s="548"/>
      <c r="B2918" s="548"/>
      <c r="C2918" s="548"/>
      <c r="D2918" s="548"/>
      <c r="E2918" s="273"/>
      <c r="F2918" s="768" t="s">
        <v>3892</v>
      </c>
      <c r="G2918" s="768"/>
      <c r="H2918" s="276" t="s">
        <v>4085</v>
      </c>
      <c r="I2918" s="736" t="s">
        <v>3992</v>
      </c>
      <c r="J2918" s="562"/>
      <c r="K2918" s="563"/>
      <c r="L2918" s="563"/>
      <c r="M2918" s="564"/>
      <c r="N2918" s="565">
        <v>5</v>
      </c>
      <c r="O2918" s="714"/>
      <c r="P2918" s="757"/>
      <c r="Q2918" s="757"/>
      <c r="R2918" s="712"/>
      <c r="S2918" s="758"/>
      <c r="T2918" s="759"/>
      <c r="U2918" s="711"/>
      <c r="V2918" s="711"/>
      <c r="W2918" s="711"/>
      <c r="X2918" s="285"/>
    </row>
    <row r="2919" spans="1:24" hidden="1" x14ac:dyDescent="0.35">
      <c r="A2919" s="548"/>
      <c r="B2919" s="548"/>
      <c r="C2919" s="548"/>
      <c r="D2919" s="548"/>
      <c r="E2919" s="273"/>
      <c r="F2919" s="768" t="s">
        <v>3892</v>
      </c>
      <c r="G2919" s="768"/>
      <c r="H2919" s="276" t="s">
        <v>4086</v>
      </c>
      <c r="I2919" s="736" t="s">
        <v>4053</v>
      </c>
      <c r="J2919" s="562"/>
      <c r="K2919" s="563"/>
      <c r="L2919" s="563"/>
      <c r="M2919" s="564"/>
      <c r="N2919" s="565">
        <v>25</v>
      </c>
      <c r="O2919" s="714"/>
      <c r="P2919" s="757"/>
      <c r="Q2919" s="757"/>
      <c r="R2919" s="712"/>
      <c r="S2919" s="758"/>
      <c r="T2919" s="759"/>
      <c r="U2919" s="711"/>
      <c r="V2919" s="711"/>
      <c r="W2919" s="711"/>
      <c r="X2919" s="285"/>
    </row>
    <row r="2920" spans="1:24" hidden="1" x14ac:dyDescent="0.35">
      <c r="A2920" s="548"/>
      <c r="B2920" s="548"/>
      <c r="C2920" s="548"/>
      <c r="D2920" s="548"/>
      <c r="E2920" s="273"/>
      <c r="F2920" s="768" t="s">
        <v>3892</v>
      </c>
      <c r="G2920" s="768"/>
      <c r="H2920" s="276" t="s">
        <v>4087</v>
      </c>
      <c r="I2920" s="275" t="s">
        <v>3661</v>
      </c>
      <c r="J2920" s="562"/>
      <c r="K2920" s="563"/>
      <c r="L2920" s="563"/>
      <c r="M2920" s="564"/>
      <c r="N2920" s="565">
        <v>200</v>
      </c>
      <c r="O2920" s="714"/>
      <c r="P2920" s="757"/>
      <c r="Q2920" s="757"/>
      <c r="R2920" s="712"/>
      <c r="S2920" s="758"/>
      <c r="T2920" s="759"/>
      <c r="U2920" s="711"/>
      <c r="V2920" s="711"/>
      <c r="W2920" s="711"/>
      <c r="X2920" s="285"/>
    </row>
    <row r="2921" spans="1:24" hidden="1" x14ac:dyDescent="0.35">
      <c r="A2921" s="548"/>
      <c r="B2921" s="548"/>
      <c r="C2921" s="548"/>
      <c r="D2921" s="548"/>
      <c r="E2921" s="273"/>
      <c r="F2921" s="768" t="s">
        <v>3892</v>
      </c>
      <c r="G2921" s="768"/>
      <c r="H2921" s="276" t="s">
        <v>4088</v>
      </c>
      <c r="I2921" s="275" t="s">
        <v>4089</v>
      </c>
      <c r="J2921" s="562"/>
      <c r="K2921" s="563"/>
      <c r="L2921" s="563"/>
      <c r="M2921" s="564"/>
      <c r="N2921" s="565">
        <v>25</v>
      </c>
      <c r="O2921" s="714"/>
      <c r="P2921" s="757"/>
      <c r="Q2921" s="757"/>
      <c r="R2921" s="712"/>
      <c r="S2921" s="758"/>
      <c r="T2921" s="759"/>
      <c r="U2921" s="711"/>
      <c r="V2921" s="711"/>
      <c r="W2921" s="711"/>
      <c r="X2921" s="285"/>
    </row>
    <row r="2922" spans="1:24" hidden="1" x14ac:dyDescent="0.35">
      <c r="A2922" s="548"/>
      <c r="B2922" s="548"/>
      <c r="C2922" s="548"/>
      <c r="D2922" s="548"/>
      <c r="E2922" s="273"/>
      <c r="F2922" s="768" t="s">
        <v>3892</v>
      </c>
      <c r="G2922" s="768"/>
      <c r="H2922" s="276" t="s">
        <v>4090</v>
      </c>
      <c r="I2922" s="275" t="s">
        <v>4091</v>
      </c>
      <c r="J2922" s="562"/>
      <c r="K2922" s="563"/>
      <c r="L2922" s="563"/>
      <c r="M2922" s="564"/>
      <c r="N2922" s="565">
        <v>50</v>
      </c>
      <c r="O2922" s="714"/>
      <c r="P2922" s="757"/>
      <c r="Q2922" s="757"/>
      <c r="R2922" s="712"/>
      <c r="S2922" s="758"/>
      <c r="T2922" s="759"/>
      <c r="U2922" s="711"/>
      <c r="V2922" s="711"/>
      <c r="W2922" s="711"/>
      <c r="X2922" s="285"/>
    </row>
    <row r="2923" spans="1:24" hidden="1" x14ac:dyDescent="0.35">
      <c r="A2923" s="548"/>
      <c r="B2923" s="548"/>
      <c r="C2923" s="548"/>
      <c r="D2923" s="548"/>
      <c r="E2923" s="273"/>
      <c r="F2923" s="768" t="s">
        <v>3892</v>
      </c>
      <c r="G2923" s="768"/>
      <c r="H2923" s="276" t="s">
        <v>4092</v>
      </c>
      <c r="I2923" s="275" t="s">
        <v>4093</v>
      </c>
      <c r="J2923" s="562"/>
      <c r="K2923" s="563"/>
      <c r="L2923" s="563"/>
      <c r="M2923" s="564"/>
      <c r="N2923" s="565">
        <v>20</v>
      </c>
      <c r="O2923" s="714"/>
      <c r="P2923" s="757"/>
      <c r="Q2923" s="757"/>
      <c r="R2923" s="712"/>
      <c r="S2923" s="758"/>
      <c r="T2923" s="759"/>
      <c r="U2923" s="711"/>
      <c r="V2923" s="711"/>
      <c r="W2923" s="711"/>
      <c r="X2923" s="285"/>
    </row>
    <row r="2924" spans="1:24" ht="26.5" hidden="1" x14ac:dyDescent="0.35">
      <c r="A2924" s="548"/>
      <c r="B2924" s="548"/>
      <c r="C2924" s="548"/>
      <c r="D2924" s="548"/>
      <c r="E2924" s="273"/>
      <c r="F2924" s="768" t="s">
        <v>3892</v>
      </c>
      <c r="G2924" s="768"/>
      <c r="H2924" s="276" t="s">
        <v>4094</v>
      </c>
      <c r="I2924" s="275" t="s">
        <v>3806</v>
      </c>
      <c r="J2924" s="562"/>
      <c r="K2924" s="563"/>
      <c r="L2924" s="563"/>
      <c r="M2924" s="564"/>
      <c r="N2924" s="565">
        <v>600</v>
      </c>
      <c r="O2924" s="714"/>
      <c r="P2924" s="757"/>
      <c r="Q2924" s="757"/>
      <c r="R2924" s="712"/>
      <c r="S2924" s="758"/>
      <c r="T2924" s="759"/>
      <c r="U2924" s="711"/>
      <c r="V2924" s="711"/>
      <c r="W2924" s="711"/>
      <c r="X2924" s="285"/>
    </row>
    <row r="2925" spans="1:24" hidden="1" x14ac:dyDescent="0.35">
      <c r="A2925" s="548"/>
      <c r="B2925" s="548"/>
      <c r="C2925" s="548"/>
      <c r="D2925" s="548"/>
      <c r="E2925" s="273"/>
      <c r="F2925" s="768" t="s">
        <v>3892</v>
      </c>
      <c r="G2925" s="768"/>
      <c r="H2925" s="276" t="s">
        <v>4095</v>
      </c>
      <c r="I2925" s="275" t="s">
        <v>4096</v>
      </c>
      <c r="J2925" s="562"/>
      <c r="K2925" s="563"/>
      <c r="L2925" s="563"/>
      <c r="M2925" s="564"/>
      <c r="N2925" s="565">
        <v>200</v>
      </c>
      <c r="O2925" s="714"/>
      <c r="P2925" s="757"/>
      <c r="Q2925" s="757"/>
      <c r="R2925" s="712"/>
      <c r="S2925" s="758"/>
      <c r="T2925" s="759"/>
      <c r="U2925" s="711"/>
      <c r="V2925" s="711"/>
      <c r="W2925" s="711"/>
      <c r="X2925" s="285"/>
    </row>
    <row r="2926" spans="1:24" hidden="1" x14ac:dyDescent="0.35">
      <c r="A2926" s="548"/>
      <c r="B2926" s="548"/>
      <c r="C2926" s="548"/>
      <c r="D2926" s="548"/>
      <c r="E2926" s="273"/>
      <c r="F2926" s="768" t="s">
        <v>3892</v>
      </c>
      <c r="G2926" s="768"/>
      <c r="H2926" s="276" t="s">
        <v>4097</v>
      </c>
      <c r="I2926" s="275" t="s">
        <v>3926</v>
      </c>
      <c r="J2926" s="562"/>
      <c r="K2926" s="563"/>
      <c r="L2926" s="563"/>
      <c r="M2926" s="564"/>
      <c r="N2926" s="565">
        <v>200</v>
      </c>
      <c r="O2926" s="714"/>
      <c r="P2926" s="757"/>
      <c r="Q2926" s="757"/>
      <c r="R2926" s="712"/>
      <c r="S2926" s="758"/>
      <c r="T2926" s="759"/>
      <c r="U2926" s="711"/>
      <c r="V2926" s="711"/>
      <c r="W2926" s="711"/>
      <c r="X2926" s="285"/>
    </row>
    <row r="2927" spans="1:24" ht="26.5" hidden="1" x14ac:dyDescent="0.35">
      <c r="A2927" s="548"/>
      <c r="B2927" s="548"/>
      <c r="C2927" s="548"/>
      <c r="D2927" s="548"/>
      <c r="E2927" s="273"/>
      <c r="F2927" s="768" t="s">
        <v>3892</v>
      </c>
      <c r="G2927" s="768"/>
      <c r="H2927" s="276" t="s">
        <v>4098</v>
      </c>
      <c r="I2927" s="275" t="s">
        <v>4049</v>
      </c>
      <c r="J2927" s="562"/>
      <c r="K2927" s="563"/>
      <c r="L2927" s="563"/>
      <c r="M2927" s="564"/>
      <c r="N2927" s="565">
        <v>100</v>
      </c>
      <c r="O2927" s="714"/>
      <c r="P2927" s="757"/>
      <c r="Q2927" s="757"/>
      <c r="R2927" s="712"/>
      <c r="S2927" s="758"/>
      <c r="T2927" s="759"/>
      <c r="U2927" s="711"/>
      <c r="V2927" s="711"/>
      <c r="W2927" s="711"/>
      <c r="X2927" s="285"/>
    </row>
    <row r="2928" spans="1:24" hidden="1" x14ac:dyDescent="0.35">
      <c r="A2928" s="548"/>
      <c r="B2928" s="548"/>
      <c r="C2928" s="548"/>
      <c r="D2928" s="548"/>
      <c r="E2928" s="273"/>
      <c r="F2928" s="768" t="s">
        <v>3892</v>
      </c>
      <c r="G2928" s="768"/>
      <c r="H2928" s="276" t="s">
        <v>4099</v>
      </c>
      <c r="I2928" s="275" t="s">
        <v>4100</v>
      </c>
      <c r="J2928" s="562"/>
      <c r="K2928" s="563"/>
      <c r="L2928" s="563"/>
      <c r="M2928" s="564"/>
      <c r="N2928" s="565">
        <v>10</v>
      </c>
      <c r="O2928" s="714"/>
      <c r="P2928" s="757"/>
      <c r="Q2928" s="757"/>
      <c r="R2928" s="712"/>
      <c r="S2928" s="758"/>
      <c r="T2928" s="759"/>
      <c r="U2928" s="711"/>
      <c r="V2928" s="711"/>
      <c r="W2928" s="711"/>
      <c r="X2928" s="285"/>
    </row>
    <row r="2929" spans="1:24" hidden="1" x14ac:dyDescent="0.35">
      <c r="A2929" s="548"/>
      <c r="B2929" s="548"/>
      <c r="C2929" s="548"/>
      <c r="D2929" s="548"/>
      <c r="E2929" s="273"/>
      <c r="F2929" s="768" t="s">
        <v>3892</v>
      </c>
      <c r="G2929" s="768"/>
      <c r="H2929" s="276" t="s">
        <v>4101</v>
      </c>
      <c r="I2929" s="736" t="s">
        <v>3730</v>
      </c>
      <c r="J2929" s="562"/>
      <c r="K2929" s="563"/>
      <c r="L2929" s="563"/>
      <c r="M2929" s="564"/>
      <c r="N2929" s="565">
        <v>25</v>
      </c>
      <c r="O2929" s="714"/>
      <c r="P2929" s="757"/>
      <c r="Q2929" s="757"/>
      <c r="R2929" s="712"/>
      <c r="S2929" s="758"/>
      <c r="T2929" s="759"/>
      <c r="U2929" s="711"/>
      <c r="V2929" s="711"/>
      <c r="W2929" s="711"/>
      <c r="X2929" s="285"/>
    </row>
    <row r="2930" spans="1:24" hidden="1" x14ac:dyDescent="0.35">
      <c r="A2930" s="548"/>
      <c r="B2930" s="548"/>
      <c r="C2930" s="548"/>
      <c r="D2930" s="548"/>
      <c r="E2930" s="273"/>
      <c r="F2930" s="768" t="s">
        <v>3892</v>
      </c>
      <c r="G2930" s="768"/>
      <c r="H2930" s="276" t="s">
        <v>4102</v>
      </c>
      <c r="I2930" s="275" t="s">
        <v>3982</v>
      </c>
      <c r="J2930" s="562"/>
      <c r="K2930" s="563"/>
      <c r="L2930" s="563"/>
      <c r="M2930" s="564"/>
      <c r="N2930" s="565">
        <v>50</v>
      </c>
      <c r="O2930" s="714"/>
      <c r="P2930" s="757"/>
      <c r="Q2930" s="757"/>
      <c r="R2930" s="712"/>
      <c r="S2930" s="758"/>
      <c r="T2930" s="759"/>
      <c r="U2930" s="711"/>
      <c r="V2930" s="711"/>
      <c r="W2930" s="711"/>
      <c r="X2930" s="285"/>
    </row>
    <row r="2931" spans="1:24" hidden="1" x14ac:dyDescent="0.35">
      <c r="A2931" s="548"/>
      <c r="B2931" s="548"/>
      <c r="C2931" s="548"/>
      <c r="D2931" s="548"/>
      <c r="E2931" s="562" t="s">
        <v>4103</v>
      </c>
      <c r="F2931" s="768" t="s">
        <v>3892</v>
      </c>
      <c r="G2931" s="768"/>
      <c r="H2931" s="276" t="s">
        <v>4104</v>
      </c>
      <c r="I2931" s="275" t="s">
        <v>4105</v>
      </c>
      <c r="J2931" s="498"/>
      <c r="K2931" s="563"/>
      <c r="L2931" s="563"/>
      <c r="M2931" s="564"/>
      <c r="N2931" s="565">
        <v>2000</v>
      </c>
      <c r="O2931" s="714"/>
      <c r="P2931" s="757"/>
      <c r="Q2931" s="757"/>
      <c r="R2931" s="712"/>
      <c r="S2931" s="758"/>
      <c r="T2931" s="759"/>
      <c r="U2931" s="711"/>
      <c r="V2931" s="711"/>
      <c r="W2931" s="711"/>
      <c r="X2931" s="285"/>
    </row>
    <row r="2932" spans="1:24" hidden="1" x14ac:dyDescent="0.35">
      <c r="A2932" s="548"/>
      <c r="B2932" s="548"/>
      <c r="C2932" s="548"/>
      <c r="D2932" s="548"/>
      <c r="E2932" s="562" t="s">
        <v>3498</v>
      </c>
      <c r="F2932" s="768" t="s">
        <v>3892</v>
      </c>
      <c r="G2932" s="768"/>
      <c r="H2932" s="276" t="s">
        <v>4106</v>
      </c>
      <c r="I2932" s="275" t="s">
        <v>4105</v>
      </c>
      <c r="J2932" s="498"/>
      <c r="K2932" s="563"/>
      <c r="L2932" s="563"/>
      <c r="M2932" s="564"/>
      <c r="N2932" s="565">
        <v>2400</v>
      </c>
      <c r="O2932" s="714"/>
      <c r="P2932" s="757"/>
      <c r="Q2932" s="757"/>
      <c r="R2932" s="712"/>
      <c r="S2932" s="758"/>
      <c r="T2932" s="759"/>
      <c r="U2932" s="711"/>
      <c r="V2932" s="711"/>
      <c r="W2932" s="711"/>
      <c r="X2932" s="285"/>
    </row>
    <row r="2933" spans="1:24" hidden="1" x14ac:dyDescent="0.35">
      <c r="A2933" s="548"/>
      <c r="B2933" s="548"/>
      <c r="C2933" s="548"/>
      <c r="D2933" s="548"/>
      <c r="E2933" s="562" t="s">
        <v>3498</v>
      </c>
      <c r="F2933" s="768" t="s">
        <v>3892</v>
      </c>
      <c r="G2933" s="768"/>
      <c r="H2933" s="276" t="s">
        <v>4107</v>
      </c>
      <c r="I2933" s="275" t="s">
        <v>4023</v>
      </c>
      <c r="J2933" s="498"/>
      <c r="K2933" s="563"/>
      <c r="L2933" s="563"/>
      <c r="M2933" s="564"/>
      <c r="N2933" s="565">
        <v>6000</v>
      </c>
      <c r="O2933" s="714"/>
      <c r="P2933" s="757"/>
      <c r="Q2933" s="757"/>
      <c r="R2933" s="712"/>
      <c r="S2933" s="758"/>
      <c r="T2933" s="759"/>
      <c r="U2933" s="711"/>
      <c r="V2933" s="711"/>
      <c r="W2933" s="711"/>
      <c r="X2933" s="285"/>
    </row>
    <row r="2934" spans="1:24" hidden="1" x14ac:dyDescent="0.35">
      <c r="A2934" s="548"/>
      <c r="B2934" s="548"/>
      <c r="C2934" s="548"/>
      <c r="D2934" s="548"/>
      <c r="E2934" s="562" t="s">
        <v>4108</v>
      </c>
      <c r="F2934" s="768" t="s">
        <v>3892</v>
      </c>
      <c r="G2934" s="768"/>
      <c r="H2934" s="276" t="s">
        <v>4109</v>
      </c>
      <c r="I2934" s="275" t="s">
        <v>4031</v>
      </c>
      <c r="J2934" s="498"/>
      <c r="K2934" s="563"/>
      <c r="L2934" s="563"/>
      <c r="M2934" s="564"/>
      <c r="N2934" s="565">
        <v>5000</v>
      </c>
      <c r="O2934" s="714"/>
      <c r="P2934" s="757"/>
      <c r="Q2934" s="757"/>
      <c r="R2934" s="712"/>
      <c r="S2934" s="758"/>
      <c r="T2934" s="759"/>
      <c r="U2934" s="711"/>
      <c r="V2934" s="711"/>
      <c r="W2934" s="711"/>
      <c r="X2934" s="285"/>
    </row>
    <row r="2935" spans="1:24" hidden="1" x14ac:dyDescent="0.35">
      <c r="A2935" s="548"/>
      <c r="B2935" s="548"/>
      <c r="C2935" s="548"/>
      <c r="D2935" s="548"/>
      <c r="E2935" s="562" t="s">
        <v>3498</v>
      </c>
      <c r="F2935" s="768" t="s">
        <v>3892</v>
      </c>
      <c r="G2935" s="768"/>
      <c r="H2935" s="276" t="s">
        <v>4110</v>
      </c>
      <c r="I2935" s="275" t="s">
        <v>4111</v>
      </c>
      <c r="J2935" s="498"/>
      <c r="K2935" s="563"/>
      <c r="L2935" s="563"/>
      <c r="M2935" s="564"/>
      <c r="N2935" s="565">
        <v>567</v>
      </c>
      <c r="O2935" s="714"/>
      <c r="P2935" s="757"/>
      <c r="Q2935" s="757"/>
      <c r="R2935" s="712"/>
      <c r="S2935" s="758"/>
      <c r="T2935" s="759"/>
      <c r="U2935" s="711"/>
      <c r="V2935" s="711"/>
      <c r="W2935" s="711"/>
      <c r="X2935" s="285"/>
    </row>
    <row r="2936" spans="1:24" hidden="1" x14ac:dyDescent="0.35">
      <c r="A2936" s="548"/>
      <c r="B2936" s="548"/>
      <c r="C2936" s="548"/>
      <c r="D2936" s="548"/>
      <c r="E2936" s="562" t="s">
        <v>4112</v>
      </c>
      <c r="F2936" s="768" t="s">
        <v>3892</v>
      </c>
      <c r="G2936" s="768"/>
      <c r="H2936" s="276" t="s">
        <v>4113</v>
      </c>
      <c r="I2936" s="275" t="s">
        <v>4023</v>
      </c>
      <c r="J2936" s="498"/>
      <c r="K2936" s="563"/>
      <c r="L2936" s="563"/>
      <c r="M2936" s="564"/>
      <c r="N2936" s="565">
        <v>1200</v>
      </c>
      <c r="O2936" s="714"/>
      <c r="P2936" s="757"/>
      <c r="Q2936" s="757"/>
      <c r="R2936" s="712"/>
      <c r="S2936" s="758"/>
      <c r="T2936" s="759"/>
      <c r="U2936" s="711"/>
      <c r="V2936" s="711"/>
      <c r="W2936" s="711"/>
      <c r="X2936" s="285"/>
    </row>
    <row r="2937" spans="1:24" hidden="1" x14ac:dyDescent="0.35">
      <c r="A2937" s="548"/>
      <c r="B2937" s="548"/>
      <c r="C2937" s="548"/>
      <c r="D2937" s="548"/>
      <c r="E2937" s="562" t="s">
        <v>4114</v>
      </c>
      <c r="F2937" s="768" t="s">
        <v>3892</v>
      </c>
      <c r="G2937" s="768"/>
      <c r="H2937" s="276" t="s">
        <v>4115</v>
      </c>
      <c r="I2937" s="275" t="s">
        <v>4111</v>
      </c>
      <c r="J2937" s="498"/>
      <c r="K2937" s="563"/>
      <c r="L2937" s="563"/>
      <c r="M2937" s="564"/>
      <c r="N2937" s="565">
        <v>61</v>
      </c>
      <c r="O2937" s="714"/>
      <c r="P2937" s="757"/>
      <c r="Q2937" s="757"/>
      <c r="R2937" s="712"/>
      <c r="S2937" s="758"/>
      <c r="T2937" s="759"/>
      <c r="U2937" s="711"/>
      <c r="V2937" s="711"/>
      <c r="W2937" s="711"/>
      <c r="X2937" s="285"/>
    </row>
    <row r="2938" spans="1:24" hidden="1" x14ac:dyDescent="0.35">
      <c r="A2938" s="548"/>
      <c r="B2938" s="548"/>
      <c r="C2938" s="548"/>
      <c r="D2938" s="548"/>
      <c r="E2938" s="562" t="s">
        <v>4116</v>
      </c>
      <c r="F2938" s="768" t="s">
        <v>3892</v>
      </c>
      <c r="G2938" s="768"/>
      <c r="H2938" s="276" t="s">
        <v>4117</v>
      </c>
      <c r="I2938" s="275" t="s">
        <v>4111</v>
      </c>
      <c r="J2938" s="498"/>
      <c r="K2938" s="563"/>
      <c r="L2938" s="563"/>
      <c r="M2938" s="564"/>
      <c r="N2938" s="565">
        <v>1134</v>
      </c>
      <c r="O2938" s="714"/>
      <c r="P2938" s="757"/>
      <c r="Q2938" s="757"/>
      <c r="R2938" s="712"/>
      <c r="S2938" s="758"/>
      <c r="T2938" s="759"/>
      <c r="U2938" s="711"/>
      <c r="V2938" s="711"/>
      <c r="W2938" s="711"/>
      <c r="X2938" s="285"/>
    </row>
    <row r="2939" spans="1:24" hidden="1" x14ac:dyDescent="0.35">
      <c r="A2939" s="548"/>
      <c r="B2939" s="548"/>
      <c r="C2939" s="548"/>
      <c r="D2939" s="548"/>
      <c r="E2939" s="562"/>
      <c r="F2939" s="768" t="s">
        <v>3892</v>
      </c>
      <c r="G2939" s="768"/>
      <c r="H2939" s="276" t="s">
        <v>4118</v>
      </c>
      <c r="I2939" s="736" t="s">
        <v>3962</v>
      </c>
      <c r="J2939" s="562"/>
      <c r="K2939" s="563"/>
      <c r="L2939" s="563"/>
      <c r="M2939" s="564"/>
      <c r="N2939" s="565">
        <v>25</v>
      </c>
      <c r="O2939" s="714"/>
      <c r="P2939" s="757"/>
      <c r="Q2939" s="757"/>
      <c r="R2939" s="712"/>
      <c r="S2939" s="758"/>
      <c r="T2939" s="759"/>
      <c r="U2939" s="711"/>
      <c r="V2939" s="711"/>
      <c r="W2939" s="711"/>
      <c r="X2939" s="285"/>
    </row>
    <row r="2940" spans="1:24" hidden="1" x14ac:dyDescent="0.35">
      <c r="A2940" s="548"/>
      <c r="B2940" s="548"/>
      <c r="C2940" s="548"/>
      <c r="D2940" s="548"/>
      <c r="E2940" s="562"/>
      <c r="F2940" s="768" t="s">
        <v>3892</v>
      </c>
      <c r="G2940" s="768"/>
      <c r="H2940" s="276" t="s">
        <v>4119</v>
      </c>
      <c r="I2940" s="736" t="s">
        <v>3732</v>
      </c>
      <c r="J2940" s="562"/>
      <c r="K2940" s="563"/>
      <c r="L2940" s="563"/>
      <c r="M2940" s="564"/>
      <c r="N2940" s="565">
        <v>15</v>
      </c>
      <c r="O2940" s="714"/>
      <c r="P2940" s="757"/>
      <c r="Q2940" s="757"/>
      <c r="R2940" s="712"/>
      <c r="S2940" s="758"/>
      <c r="T2940" s="759"/>
      <c r="U2940" s="711"/>
      <c r="V2940" s="711"/>
      <c r="W2940" s="711"/>
      <c r="X2940" s="285"/>
    </row>
    <row r="2941" spans="1:24" hidden="1" x14ac:dyDescent="0.35">
      <c r="A2941" s="548"/>
      <c r="B2941" s="548"/>
      <c r="C2941" s="548"/>
      <c r="D2941" s="548"/>
      <c r="E2941" s="562"/>
      <c r="F2941" s="768" t="s">
        <v>3892</v>
      </c>
      <c r="G2941" s="768"/>
      <c r="H2941" s="276" t="s">
        <v>4120</v>
      </c>
      <c r="I2941" s="736" t="s">
        <v>3845</v>
      </c>
      <c r="J2941" s="562"/>
      <c r="K2941" s="563"/>
      <c r="L2941" s="563"/>
      <c r="M2941" s="564"/>
      <c r="N2941" s="565">
        <v>15</v>
      </c>
      <c r="O2941" s="714"/>
      <c r="P2941" s="757"/>
      <c r="Q2941" s="757"/>
      <c r="R2941" s="712"/>
      <c r="S2941" s="758"/>
      <c r="T2941" s="759"/>
      <c r="U2941" s="711"/>
      <c r="V2941" s="711"/>
      <c r="W2941" s="711"/>
      <c r="X2941" s="285"/>
    </row>
    <row r="2942" spans="1:24" hidden="1" x14ac:dyDescent="0.35">
      <c r="A2942" s="548"/>
      <c r="B2942" s="548"/>
      <c r="C2942" s="548"/>
      <c r="D2942" s="548"/>
      <c r="E2942" s="562"/>
      <c r="F2942" s="768" t="s">
        <v>3892</v>
      </c>
      <c r="G2942" s="768"/>
      <c r="H2942" s="276" t="s">
        <v>4121</v>
      </c>
      <c r="I2942" s="736" t="s">
        <v>3845</v>
      </c>
      <c r="J2942" s="562"/>
      <c r="K2942" s="563"/>
      <c r="L2942" s="563"/>
      <c r="M2942" s="564"/>
      <c r="N2942" s="565">
        <v>10</v>
      </c>
      <c r="O2942" s="714"/>
      <c r="P2942" s="757"/>
      <c r="Q2942" s="757"/>
      <c r="R2942" s="712"/>
      <c r="S2942" s="758"/>
      <c r="T2942" s="759"/>
      <c r="U2942" s="711"/>
      <c r="V2942" s="711"/>
      <c r="W2942" s="711"/>
      <c r="X2942" s="285"/>
    </row>
    <row r="2943" spans="1:24" hidden="1" x14ac:dyDescent="0.35">
      <c r="A2943" s="548"/>
      <c r="B2943" s="548"/>
      <c r="C2943" s="548"/>
      <c r="D2943" s="548"/>
      <c r="E2943" s="562" t="s">
        <v>4122</v>
      </c>
      <c r="F2943" s="768" t="s">
        <v>3892</v>
      </c>
      <c r="G2943" s="768"/>
      <c r="H2943" s="276" t="s">
        <v>4123</v>
      </c>
      <c r="I2943" s="736" t="s">
        <v>3730</v>
      </c>
      <c r="J2943" s="562"/>
      <c r="K2943" s="563"/>
      <c r="L2943" s="563"/>
      <c r="M2943" s="564"/>
      <c r="N2943" s="565">
        <v>175</v>
      </c>
      <c r="O2943" s="714"/>
      <c r="P2943" s="757"/>
      <c r="Q2943" s="757"/>
      <c r="R2943" s="712"/>
      <c r="S2943" s="758"/>
      <c r="T2943" s="759"/>
      <c r="U2943" s="711"/>
      <c r="V2943" s="711"/>
      <c r="W2943" s="711"/>
      <c r="X2943" s="285"/>
    </row>
    <row r="2944" spans="1:24" hidden="1" x14ac:dyDescent="0.35">
      <c r="A2944" s="548"/>
      <c r="B2944" s="548"/>
      <c r="C2944" s="548"/>
      <c r="D2944" s="548"/>
      <c r="E2944" s="562" t="s">
        <v>4122</v>
      </c>
      <c r="F2944" s="768" t="s">
        <v>3892</v>
      </c>
      <c r="G2944" s="768"/>
      <c r="H2944" s="276" t="s">
        <v>4124</v>
      </c>
      <c r="I2944" s="736" t="s">
        <v>3780</v>
      </c>
      <c r="J2944" s="562"/>
      <c r="K2944" s="563"/>
      <c r="L2944" s="563"/>
      <c r="M2944" s="564"/>
      <c r="N2944" s="565">
        <v>175</v>
      </c>
      <c r="O2944" s="714"/>
      <c r="P2944" s="757"/>
      <c r="Q2944" s="757"/>
      <c r="R2944" s="712"/>
      <c r="S2944" s="758"/>
      <c r="T2944" s="759"/>
      <c r="U2944" s="711"/>
      <c r="V2944" s="711"/>
      <c r="W2944" s="711"/>
      <c r="X2944" s="285"/>
    </row>
    <row r="2945" spans="1:24" hidden="1" x14ac:dyDescent="0.35">
      <c r="A2945" s="548"/>
      <c r="B2945" s="548"/>
      <c r="C2945" s="548"/>
      <c r="D2945" s="548"/>
      <c r="E2945" s="562" t="s">
        <v>4122</v>
      </c>
      <c r="F2945" s="768" t="s">
        <v>3892</v>
      </c>
      <c r="G2945" s="768"/>
      <c r="H2945" s="276" t="s">
        <v>4125</v>
      </c>
      <c r="I2945" s="275" t="s">
        <v>3982</v>
      </c>
      <c r="J2945" s="562"/>
      <c r="K2945" s="563"/>
      <c r="L2945" s="563"/>
      <c r="M2945" s="564"/>
      <c r="N2945" s="565">
        <v>100</v>
      </c>
      <c r="O2945" s="714"/>
      <c r="P2945" s="757"/>
      <c r="Q2945" s="757"/>
      <c r="R2945" s="712"/>
      <c r="S2945" s="758"/>
      <c r="T2945" s="759"/>
      <c r="U2945" s="711"/>
      <c r="V2945" s="711"/>
      <c r="W2945" s="711"/>
      <c r="X2945" s="285"/>
    </row>
    <row r="2946" spans="1:24" hidden="1" x14ac:dyDescent="0.35">
      <c r="A2946" s="548"/>
      <c r="B2946" s="548"/>
      <c r="C2946" s="548"/>
      <c r="D2946" s="548"/>
      <c r="E2946" s="562" t="s">
        <v>4126</v>
      </c>
      <c r="F2946" s="768" t="s">
        <v>3892</v>
      </c>
      <c r="G2946" s="768"/>
      <c r="H2946" s="276" t="s">
        <v>4127</v>
      </c>
      <c r="I2946" s="275" t="s">
        <v>4128</v>
      </c>
      <c r="J2946" s="562"/>
      <c r="K2946" s="563"/>
      <c r="L2946" s="563"/>
      <c r="M2946" s="564"/>
      <c r="N2946" s="565">
        <v>7140</v>
      </c>
      <c r="O2946" s="714"/>
      <c r="P2946" s="757"/>
      <c r="Q2946" s="757"/>
      <c r="R2946" s="712"/>
      <c r="S2946" s="758"/>
      <c r="T2946" s="759"/>
      <c r="U2946" s="711"/>
      <c r="V2946" s="711"/>
      <c r="W2946" s="711"/>
      <c r="X2946" s="285"/>
    </row>
    <row r="2947" spans="1:24" hidden="1" x14ac:dyDescent="0.35">
      <c r="A2947" s="548"/>
      <c r="B2947" s="548"/>
      <c r="C2947" s="548"/>
      <c r="D2947" s="548"/>
      <c r="E2947" s="562" t="s">
        <v>4129</v>
      </c>
      <c r="F2947" s="768" t="s">
        <v>3892</v>
      </c>
      <c r="G2947" s="768"/>
      <c r="H2947" s="276" t="s">
        <v>3649</v>
      </c>
      <c r="I2947" s="275"/>
      <c r="J2947" s="562"/>
      <c r="K2947" s="563"/>
      <c r="L2947" s="563"/>
      <c r="M2947" s="564"/>
      <c r="N2947" s="565">
        <v>40000</v>
      </c>
      <c r="O2947" s="714"/>
      <c r="P2947" s="757"/>
      <c r="Q2947" s="757"/>
      <c r="R2947" s="712"/>
      <c r="S2947" s="758"/>
      <c r="T2947" s="759"/>
      <c r="U2947" s="711"/>
      <c r="V2947" s="711"/>
      <c r="W2947" s="711"/>
      <c r="X2947" s="285"/>
    </row>
    <row r="2948" spans="1:24" hidden="1" x14ac:dyDescent="0.35">
      <c r="A2948" s="548"/>
      <c r="B2948" s="548"/>
      <c r="C2948" s="548"/>
      <c r="D2948" s="548"/>
      <c r="E2948" s="274" t="s">
        <v>4130</v>
      </c>
      <c r="F2948" s="773" t="s">
        <v>3892</v>
      </c>
      <c r="G2948" s="768" t="s">
        <v>839</v>
      </c>
      <c r="H2948" s="276" t="s">
        <v>4131</v>
      </c>
      <c r="I2948" s="275" t="s">
        <v>4132</v>
      </c>
      <c r="J2948" s="562"/>
      <c r="K2948" s="563"/>
      <c r="L2948" s="563"/>
      <c r="M2948" s="564"/>
      <c r="N2948" s="565">
        <v>1000</v>
      </c>
      <c r="O2948" s="714"/>
      <c r="P2948" s="757"/>
      <c r="Q2948" s="757"/>
      <c r="R2948" s="712"/>
      <c r="S2948" s="758"/>
      <c r="T2948" s="759"/>
      <c r="U2948" s="711"/>
      <c r="V2948" s="711"/>
      <c r="W2948" s="711"/>
      <c r="X2948" s="285"/>
    </row>
    <row r="2949" spans="1:24" ht="25" hidden="1" customHeight="1" x14ac:dyDescent="0.35">
      <c r="A2949" s="548"/>
      <c r="B2949" s="548"/>
      <c r="C2949" s="548"/>
      <c r="D2949" s="548"/>
      <c r="E2949" s="562"/>
      <c r="F2949" s="773" t="s">
        <v>3892</v>
      </c>
      <c r="G2949" s="768"/>
      <c r="H2949" s="276" t="s">
        <v>4133</v>
      </c>
      <c r="I2949" s="275" t="s">
        <v>4070</v>
      </c>
      <c r="J2949" s="562"/>
      <c r="K2949" s="563"/>
      <c r="L2949" s="563"/>
      <c r="M2949" s="564"/>
      <c r="N2949" s="565">
        <f>100000-57000</f>
        <v>43000</v>
      </c>
      <c r="O2949" s="712"/>
      <c r="P2949" s="757"/>
      <c r="Q2949" s="757"/>
      <c r="R2949" s="712"/>
      <c r="S2949" s="758"/>
      <c r="T2949" s="712"/>
      <c r="U2949" s="711"/>
      <c r="V2949" s="711"/>
      <c r="W2949" s="711"/>
      <c r="X2949" s="285"/>
    </row>
    <row r="2950" spans="1:24" ht="25" hidden="1" customHeight="1" x14ac:dyDescent="0.35">
      <c r="A2950" s="548"/>
      <c r="B2950" s="548"/>
      <c r="C2950" s="548"/>
      <c r="D2950" s="548"/>
      <c r="E2950" s="562"/>
      <c r="F2950" s="773"/>
      <c r="G2950" s="768"/>
      <c r="H2950" s="276" t="s">
        <v>4134</v>
      </c>
      <c r="I2950" s="275" t="s">
        <v>4135</v>
      </c>
      <c r="J2950" s="562"/>
      <c r="K2950" s="563"/>
      <c r="L2950" s="563"/>
      <c r="M2950" s="564"/>
      <c r="N2950" s="565">
        <f>200000-17000</f>
        <v>183000</v>
      </c>
      <c r="O2950" s="714"/>
      <c r="P2950" s="757"/>
      <c r="Q2950" s="757"/>
      <c r="R2950" s="712"/>
      <c r="S2950" s="758"/>
      <c r="T2950" s="759"/>
      <c r="U2950" s="711"/>
      <c r="V2950" s="711"/>
      <c r="W2950" s="711"/>
      <c r="X2950" s="285"/>
    </row>
    <row r="2951" spans="1:24" ht="25" hidden="1" customHeight="1" x14ac:dyDescent="0.35">
      <c r="A2951" s="548"/>
      <c r="B2951" s="548"/>
      <c r="C2951" s="548"/>
      <c r="D2951" s="548"/>
      <c r="E2951" s="562"/>
      <c r="F2951" s="773"/>
      <c r="G2951" s="768"/>
      <c r="H2951" s="276" t="s">
        <v>4136</v>
      </c>
      <c r="I2951" s="548" t="s">
        <v>3913</v>
      </c>
      <c r="J2951" s="562"/>
      <c r="K2951" s="563"/>
      <c r="L2951" s="563"/>
      <c r="M2951" s="564"/>
      <c r="N2951" s="565">
        <v>13000</v>
      </c>
      <c r="O2951" s="714"/>
      <c r="P2951" s="757"/>
      <c r="Q2951" s="757"/>
      <c r="R2951" s="712"/>
      <c r="S2951" s="758"/>
      <c r="T2951" s="759"/>
      <c r="U2951" s="711"/>
      <c r="V2951" s="711"/>
      <c r="W2951" s="711"/>
      <c r="X2951" s="285"/>
    </row>
    <row r="2952" spans="1:24" ht="25" hidden="1" customHeight="1" x14ac:dyDescent="0.35">
      <c r="A2952" s="548"/>
      <c r="B2952" s="548"/>
      <c r="C2952" s="548"/>
      <c r="D2952" s="548"/>
      <c r="E2952" s="562"/>
      <c r="F2952" s="768"/>
      <c r="G2952" s="768"/>
      <c r="H2952" s="276" t="s">
        <v>4137</v>
      </c>
      <c r="I2952" s="275" t="s">
        <v>4138</v>
      </c>
      <c r="J2952" s="562"/>
      <c r="K2952" s="563"/>
      <c r="L2952" s="563"/>
      <c r="M2952" s="564"/>
      <c r="N2952" s="565">
        <v>1280</v>
      </c>
      <c r="O2952" s="714"/>
      <c r="P2952" s="757"/>
      <c r="Q2952" s="757"/>
      <c r="R2952" s="712"/>
      <c r="S2952" s="758"/>
      <c r="T2952" s="759"/>
      <c r="U2952" s="711"/>
      <c r="V2952" s="711"/>
      <c r="W2952" s="711"/>
      <c r="X2952" s="285"/>
    </row>
    <row r="2953" spans="1:24" ht="25" hidden="1" customHeight="1" x14ac:dyDescent="0.35">
      <c r="A2953" s="548"/>
      <c r="B2953" s="548"/>
      <c r="C2953" s="548"/>
      <c r="D2953" s="548"/>
      <c r="E2953" s="562"/>
      <c r="F2953" s="768"/>
      <c r="G2953" s="768"/>
      <c r="H2953" s="276" t="s">
        <v>4139</v>
      </c>
      <c r="I2953" s="774" t="s">
        <v>4140</v>
      </c>
      <c r="J2953" s="562"/>
      <c r="K2953" s="563"/>
      <c r="L2953" s="563"/>
      <c r="M2953" s="564"/>
      <c r="N2953" s="565">
        <v>72</v>
      </c>
      <c r="O2953" s="714"/>
      <c r="P2953" s="757"/>
      <c r="Q2953" s="757"/>
      <c r="R2953" s="712"/>
      <c r="S2953" s="758"/>
      <c r="T2953" s="759"/>
      <c r="U2953" s="711"/>
      <c r="V2953" s="711"/>
      <c r="W2953" s="711"/>
      <c r="X2953" s="285"/>
    </row>
    <row r="2954" spans="1:24" ht="25" hidden="1" customHeight="1" x14ac:dyDescent="0.35">
      <c r="A2954" s="548"/>
      <c r="B2954" s="548"/>
      <c r="C2954" s="548"/>
      <c r="D2954" s="548"/>
      <c r="E2954" s="562"/>
      <c r="F2954" s="768"/>
      <c r="G2954" s="768"/>
      <c r="H2954" s="276" t="s">
        <v>4141</v>
      </c>
      <c r="I2954" s="774" t="s">
        <v>4142</v>
      </c>
      <c r="J2954" s="562"/>
      <c r="K2954" s="563"/>
      <c r="L2954" s="563"/>
      <c r="M2954" s="564"/>
      <c r="N2954" s="565">
        <v>200</v>
      </c>
      <c r="O2954" s="714"/>
      <c r="P2954" s="757"/>
      <c r="Q2954" s="757"/>
      <c r="R2954" s="712"/>
      <c r="S2954" s="758"/>
      <c r="T2954" s="759"/>
      <c r="U2954" s="711"/>
      <c r="V2954" s="711"/>
      <c r="W2954" s="711"/>
      <c r="X2954" s="285"/>
    </row>
    <row r="2955" spans="1:24" ht="25" hidden="1" customHeight="1" x14ac:dyDescent="0.35">
      <c r="A2955" s="548"/>
      <c r="B2955" s="548"/>
      <c r="C2955" s="548"/>
      <c r="D2955" s="548"/>
      <c r="E2955" s="562"/>
      <c r="F2955" s="768"/>
      <c r="G2955" s="768"/>
      <c r="H2955" s="276" t="s">
        <v>4143</v>
      </c>
      <c r="I2955" s="774" t="s">
        <v>4144</v>
      </c>
      <c r="J2955" s="562"/>
      <c r="K2955" s="563"/>
      <c r="L2955" s="563"/>
      <c r="M2955" s="564"/>
      <c r="N2955" s="565">
        <v>50</v>
      </c>
      <c r="O2955" s="714"/>
      <c r="P2955" s="757"/>
      <c r="Q2955" s="757"/>
      <c r="R2955" s="712"/>
      <c r="S2955" s="758"/>
      <c r="T2955" s="759"/>
      <c r="U2955" s="711"/>
      <c r="V2955" s="711"/>
      <c r="W2955" s="711"/>
      <c r="X2955" s="285"/>
    </row>
    <row r="2956" spans="1:24" ht="25" hidden="1" customHeight="1" x14ac:dyDescent="0.35">
      <c r="A2956" s="548"/>
      <c r="B2956" s="548"/>
      <c r="C2956" s="548"/>
      <c r="D2956" s="548"/>
      <c r="E2956" s="562"/>
      <c r="F2956" s="768"/>
      <c r="G2956" s="768"/>
      <c r="H2956" s="276" t="s">
        <v>4145</v>
      </c>
      <c r="I2956" s="774" t="s">
        <v>4045</v>
      </c>
      <c r="J2956" s="562"/>
      <c r="K2956" s="563"/>
      <c r="L2956" s="563"/>
      <c r="M2956" s="564"/>
      <c r="N2956" s="565">
        <v>50</v>
      </c>
      <c r="O2956" s="714"/>
      <c r="P2956" s="757"/>
      <c r="Q2956" s="757"/>
      <c r="R2956" s="712"/>
      <c r="S2956" s="758"/>
      <c r="T2956" s="759"/>
      <c r="U2956" s="711"/>
      <c r="V2956" s="711"/>
      <c r="W2956" s="711"/>
      <c r="X2956" s="285"/>
    </row>
    <row r="2957" spans="1:24" ht="25" hidden="1" customHeight="1" x14ac:dyDescent="0.35">
      <c r="A2957" s="548"/>
      <c r="B2957" s="548"/>
      <c r="C2957" s="548"/>
      <c r="D2957" s="548"/>
      <c r="E2957" s="562"/>
      <c r="F2957" s="768"/>
      <c r="G2957" s="768"/>
      <c r="H2957" s="276" t="s">
        <v>4146</v>
      </c>
      <c r="I2957" s="774" t="s">
        <v>3845</v>
      </c>
      <c r="J2957" s="562"/>
      <c r="K2957" s="563"/>
      <c r="L2957" s="563"/>
      <c r="M2957" s="564"/>
      <c r="N2957" s="565">
        <v>50</v>
      </c>
      <c r="O2957" s="714"/>
      <c r="P2957" s="757"/>
      <c r="Q2957" s="757"/>
      <c r="R2957" s="712"/>
      <c r="S2957" s="758"/>
      <c r="T2957" s="759"/>
      <c r="U2957" s="711"/>
      <c r="V2957" s="711"/>
      <c r="W2957" s="711"/>
      <c r="X2957" s="285"/>
    </row>
    <row r="2958" spans="1:24" ht="25" hidden="1" customHeight="1" x14ac:dyDescent="0.35">
      <c r="A2958" s="548"/>
      <c r="B2958" s="548"/>
      <c r="C2958" s="548"/>
      <c r="D2958" s="548"/>
      <c r="E2958" s="562"/>
      <c r="F2958" s="768"/>
      <c r="G2958" s="768"/>
      <c r="H2958" s="276" t="s">
        <v>4147</v>
      </c>
      <c r="I2958" s="774" t="s">
        <v>3959</v>
      </c>
      <c r="J2958" s="562"/>
      <c r="K2958" s="563"/>
      <c r="L2958" s="563"/>
      <c r="M2958" s="564"/>
      <c r="N2958" s="565">
        <v>50</v>
      </c>
      <c r="O2958" s="714"/>
      <c r="P2958" s="757"/>
      <c r="Q2958" s="757"/>
      <c r="R2958" s="712"/>
      <c r="S2958" s="758"/>
      <c r="T2958" s="759"/>
      <c r="U2958" s="711"/>
      <c r="V2958" s="711"/>
      <c r="W2958" s="711"/>
      <c r="X2958" s="285"/>
    </row>
    <row r="2959" spans="1:24" ht="25" hidden="1" customHeight="1" x14ac:dyDescent="0.35">
      <c r="A2959" s="548"/>
      <c r="B2959" s="548"/>
      <c r="C2959" s="548"/>
      <c r="D2959" s="548"/>
      <c r="E2959" s="562"/>
      <c r="F2959" s="768"/>
      <c r="G2959" s="768"/>
      <c r="H2959" s="276" t="s">
        <v>4148</v>
      </c>
      <c r="I2959" s="774" t="s">
        <v>4040</v>
      </c>
      <c r="J2959" s="562"/>
      <c r="K2959" s="563"/>
      <c r="L2959" s="563"/>
      <c r="M2959" s="564"/>
      <c r="N2959" s="565">
        <v>75</v>
      </c>
      <c r="O2959" s="714"/>
      <c r="P2959" s="757"/>
      <c r="Q2959" s="757"/>
      <c r="R2959" s="712"/>
      <c r="S2959" s="758"/>
      <c r="T2959" s="759"/>
      <c r="U2959" s="711"/>
      <c r="V2959" s="711"/>
      <c r="W2959" s="711"/>
      <c r="X2959" s="285"/>
    </row>
    <row r="2960" spans="1:24" s="221" customFormat="1" ht="25" hidden="1" customHeight="1" x14ac:dyDescent="0.35">
      <c r="A2960" s="548"/>
      <c r="B2960" s="548"/>
      <c r="C2960" s="548"/>
      <c r="D2960" s="548"/>
      <c r="E2960" s="548"/>
      <c r="F2960" s="709"/>
      <c r="G2960" s="768"/>
      <c r="H2960" s="735" t="s">
        <v>4149</v>
      </c>
      <c r="I2960" s="774" t="s">
        <v>3730</v>
      </c>
      <c r="J2960" s="277"/>
      <c r="K2960" s="563"/>
      <c r="L2960" s="563"/>
      <c r="M2960" s="564"/>
      <c r="N2960" s="565">
        <v>200</v>
      </c>
      <c r="O2960" s="566"/>
      <c r="P2960" s="565"/>
      <c r="Q2960" s="565"/>
      <c r="R2960" s="564"/>
      <c r="S2960" s="564"/>
      <c r="T2960" s="284"/>
      <c r="U2960" s="278"/>
      <c r="V2960" s="278"/>
      <c r="W2960" s="278"/>
      <c r="X2960" s="285"/>
    </row>
    <row r="2961" spans="1:24" ht="25" hidden="1" customHeight="1" x14ac:dyDescent="0.35">
      <c r="A2961" s="548"/>
      <c r="B2961" s="548"/>
      <c r="C2961" s="548"/>
      <c r="D2961" s="548"/>
      <c r="E2961" s="562"/>
      <c r="F2961" s="768"/>
      <c r="G2961" s="768"/>
      <c r="H2961" s="276" t="s">
        <v>4150</v>
      </c>
      <c r="I2961" s="774" t="s">
        <v>4151</v>
      </c>
      <c r="J2961" s="562"/>
      <c r="K2961" s="563"/>
      <c r="L2961" s="563"/>
      <c r="M2961" s="564"/>
      <c r="N2961" s="565">
        <v>75</v>
      </c>
      <c r="O2961" s="714"/>
      <c r="P2961" s="757"/>
      <c r="Q2961" s="757"/>
      <c r="R2961" s="712"/>
      <c r="S2961" s="758"/>
      <c r="T2961" s="759"/>
      <c r="U2961" s="711"/>
      <c r="V2961" s="711"/>
      <c r="W2961" s="711"/>
      <c r="X2961" s="285"/>
    </row>
    <row r="2962" spans="1:24" s="221" customFormat="1" ht="25" hidden="1" customHeight="1" x14ac:dyDescent="0.35">
      <c r="A2962" s="548"/>
      <c r="B2962" s="548"/>
      <c r="C2962" s="548"/>
      <c r="D2962" s="548"/>
      <c r="E2962" s="548"/>
      <c r="F2962" s="709"/>
      <c r="G2962" s="768"/>
      <c r="H2962" s="735" t="s">
        <v>4152</v>
      </c>
      <c r="I2962" s="774" t="s">
        <v>4153</v>
      </c>
      <c r="J2962" s="277"/>
      <c r="K2962" s="563"/>
      <c r="L2962" s="563"/>
      <c r="M2962" s="564"/>
      <c r="N2962" s="565">
        <v>75</v>
      </c>
      <c r="O2962" s="566"/>
      <c r="P2962" s="565"/>
      <c r="Q2962" s="565"/>
      <c r="R2962" s="564"/>
      <c r="S2962" s="564"/>
      <c r="T2962" s="284"/>
      <c r="U2962" s="278"/>
      <c r="V2962" s="278"/>
      <c r="W2962" s="278"/>
      <c r="X2962" s="285"/>
    </row>
    <row r="2963" spans="1:24" s="221" customFormat="1" ht="25" hidden="1" customHeight="1" x14ac:dyDescent="0.35">
      <c r="A2963" s="548"/>
      <c r="B2963" s="548"/>
      <c r="C2963" s="548"/>
      <c r="D2963" s="548"/>
      <c r="E2963" s="548"/>
      <c r="F2963" s="709"/>
      <c r="G2963" s="768"/>
      <c r="H2963" s="735" t="s">
        <v>4154</v>
      </c>
      <c r="I2963" s="774" t="s">
        <v>4011</v>
      </c>
      <c r="J2963" s="277"/>
      <c r="K2963" s="563"/>
      <c r="L2963" s="563"/>
      <c r="M2963" s="564"/>
      <c r="N2963" s="565">
        <v>240</v>
      </c>
      <c r="O2963" s="566"/>
      <c r="P2963" s="565"/>
      <c r="Q2963" s="565"/>
      <c r="R2963" s="564"/>
      <c r="S2963" s="564"/>
      <c r="T2963" s="284"/>
      <c r="U2963" s="278"/>
      <c r="V2963" s="278"/>
      <c r="W2963" s="278"/>
      <c r="X2963" s="285"/>
    </row>
    <row r="2964" spans="1:24" s="221" customFormat="1" ht="25" hidden="1" customHeight="1" x14ac:dyDescent="0.35">
      <c r="A2964" s="548"/>
      <c r="B2964" s="548"/>
      <c r="C2964" s="548"/>
      <c r="D2964" s="548"/>
      <c r="E2964" s="548"/>
      <c r="F2964" s="709"/>
      <c r="G2964" s="768"/>
      <c r="H2964" s="735" t="s">
        <v>4155</v>
      </c>
      <c r="I2964" s="774" t="s">
        <v>4156</v>
      </c>
      <c r="J2964" s="277"/>
      <c r="K2964" s="563"/>
      <c r="L2964" s="563"/>
      <c r="M2964" s="564"/>
      <c r="N2964" s="565">
        <v>240</v>
      </c>
      <c r="O2964" s="566"/>
      <c r="P2964" s="565"/>
      <c r="Q2964" s="565"/>
      <c r="R2964" s="564"/>
      <c r="S2964" s="564"/>
      <c r="T2964" s="284"/>
      <c r="U2964" s="278"/>
      <c r="V2964" s="278"/>
      <c r="W2964" s="278"/>
      <c r="X2964" s="285"/>
    </row>
    <row r="2965" spans="1:24" s="221" customFormat="1" ht="25" hidden="1" customHeight="1" x14ac:dyDescent="0.35">
      <c r="A2965" s="548"/>
      <c r="B2965" s="548"/>
      <c r="C2965" s="548"/>
      <c r="D2965" s="548"/>
      <c r="E2965" s="548"/>
      <c r="F2965" s="709"/>
      <c r="G2965" s="768"/>
      <c r="H2965" s="735" t="s">
        <v>4157</v>
      </c>
      <c r="I2965" s="774" t="s">
        <v>4010</v>
      </c>
      <c r="J2965" s="277"/>
      <c r="K2965" s="563"/>
      <c r="L2965" s="563"/>
      <c r="M2965" s="564"/>
      <c r="N2965" s="565">
        <v>240</v>
      </c>
      <c r="O2965" s="566"/>
      <c r="P2965" s="565"/>
      <c r="Q2965" s="565"/>
      <c r="R2965" s="564"/>
      <c r="S2965" s="564"/>
      <c r="T2965" s="284"/>
      <c r="U2965" s="278"/>
      <c r="V2965" s="278"/>
      <c r="W2965" s="278"/>
      <c r="X2965" s="285"/>
    </row>
    <row r="2966" spans="1:24" s="221" customFormat="1" ht="25" hidden="1" customHeight="1" x14ac:dyDescent="0.35">
      <c r="A2966" s="548"/>
      <c r="B2966" s="548"/>
      <c r="C2966" s="548"/>
      <c r="D2966" s="548"/>
      <c r="E2966" s="548"/>
      <c r="F2966" s="709"/>
      <c r="G2966" s="768"/>
      <c r="H2966" s="735" t="s">
        <v>4158</v>
      </c>
      <c r="I2966" s="774" t="s">
        <v>4053</v>
      </c>
      <c r="J2966" s="277"/>
      <c r="K2966" s="563"/>
      <c r="L2966" s="563"/>
      <c r="M2966" s="564"/>
      <c r="N2966" s="565">
        <v>200</v>
      </c>
      <c r="O2966" s="566"/>
      <c r="P2966" s="565"/>
      <c r="Q2966" s="565"/>
      <c r="R2966" s="564"/>
      <c r="S2966" s="564"/>
      <c r="T2966" s="284"/>
      <c r="U2966" s="278"/>
      <c r="V2966" s="278"/>
      <c r="W2966" s="278"/>
      <c r="X2966" s="285"/>
    </row>
    <row r="2967" spans="1:24" ht="25" hidden="1" customHeight="1" x14ac:dyDescent="0.35">
      <c r="A2967" s="548"/>
      <c r="B2967" s="548"/>
      <c r="C2967" s="548"/>
      <c r="D2967" s="548"/>
      <c r="E2967" s="562"/>
      <c r="F2967" s="768"/>
      <c r="G2967" s="768"/>
      <c r="H2967" s="276" t="s">
        <v>4159</v>
      </c>
      <c r="I2967" s="774" t="s">
        <v>4000</v>
      </c>
      <c r="J2967" s="562"/>
      <c r="K2967" s="563"/>
      <c r="L2967" s="563"/>
      <c r="M2967" s="564"/>
      <c r="N2967" s="565">
        <v>72</v>
      </c>
      <c r="O2967" s="714"/>
      <c r="P2967" s="757"/>
      <c r="Q2967" s="757"/>
      <c r="R2967" s="712"/>
      <c r="S2967" s="758"/>
      <c r="T2967" s="759"/>
      <c r="U2967" s="711"/>
      <c r="V2967" s="711"/>
      <c r="W2967" s="711"/>
      <c r="X2967" s="285"/>
    </row>
    <row r="2968" spans="1:24" ht="25" hidden="1" customHeight="1" x14ac:dyDescent="0.35">
      <c r="A2968" s="548"/>
      <c r="B2968" s="548"/>
      <c r="C2968" s="548"/>
      <c r="D2968" s="548"/>
      <c r="E2968" s="562"/>
      <c r="F2968" s="768"/>
      <c r="G2968" s="768"/>
      <c r="H2968" s="276" t="s">
        <v>4160</v>
      </c>
      <c r="I2968" s="774" t="s">
        <v>4089</v>
      </c>
      <c r="J2968" s="562"/>
      <c r="K2968" s="563"/>
      <c r="L2968" s="563"/>
      <c r="M2968" s="564"/>
      <c r="N2968" s="565">
        <v>48</v>
      </c>
      <c r="O2968" s="714"/>
      <c r="P2968" s="757"/>
      <c r="Q2968" s="757"/>
      <c r="R2968" s="712"/>
      <c r="S2968" s="758"/>
      <c r="T2968" s="759"/>
      <c r="U2968" s="711"/>
      <c r="V2968" s="711"/>
      <c r="W2968" s="711"/>
      <c r="X2968" s="285"/>
    </row>
    <row r="2969" spans="1:24" ht="25" hidden="1" customHeight="1" x14ac:dyDescent="0.35">
      <c r="A2969" s="548"/>
      <c r="B2969" s="548"/>
      <c r="C2969" s="548"/>
      <c r="D2969" s="548"/>
      <c r="E2969" s="562"/>
      <c r="F2969" s="768"/>
      <c r="G2969" s="768"/>
      <c r="H2969" s="276" t="s">
        <v>4161</v>
      </c>
      <c r="I2969" s="774" t="s">
        <v>3806</v>
      </c>
      <c r="J2969" s="562"/>
      <c r="K2969" s="563"/>
      <c r="L2969" s="563"/>
      <c r="M2969" s="564"/>
      <c r="N2969" s="565">
        <v>1000</v>
      </c>
      <c r="O2969" s="714"/>
      <c r="P2969" s="757"/>
      <c r="Q2969" s="757"/>
      <c r="R2969" s="712"/>
      <c r="S2969" s="758"/>
      <c r="T2969" s="759"/>
      <c r="U2969" s="711"/>
      <c r="V2969" s="711"/>
      <c r="W2969" s="711"/>
      <c r="X2969" s="285"/>
    </row>
    <row r="2970" spans="1:24" ht="25" hidden="1" customHeight="1" x14ac:dyDescent="0.35">
      <c r="A2970" s="548"/>
      <c r="B2970" s="548"/>
      <c r="C2970" s="548"/>
      <c r="D2970" s="548"/>
      <c r="E2970" s="562"/>
      <c r="F2970" s="768"/>
      <c r="G2970" s="768"/>
      <c r="H2970" s="276" t="s">
        <v>4162</v>
      </c>
      <c r="I2970" s="774" t="s">
        <v>4163</v>
      </c>
      <c r="J2970" s="562"/>
      <c r="K2970" s="563"/>
      <c r="L2970" s="563"/>
      <c r="M2970" s="564"/>
      <c r="N2970" s="565">
        <v>100</v>
      </c>
      <c r="O2970" s="714"/>
      <c r="P2970" s="757"/>
      <c r="Q2970" s="757"/>
      <c r="R2970" s="712"/>
      <c r="S2970" s="758"/>
      <c r="T2970" s="759"/>
      <c r="U2970" s="711"/>
      <c r="V2970" s="711"/>
      <c r="W2970" s="711"/>
      <c r="X2970" s="285"/>
    </row>
    <row r="2971" spans="1:24" s="221" customFormat="1" ht="25" hidden="1" customHeight="1" x14ac:dyDescent="0.35">
      <c r="A2971" s="548"/>
      <c r="B2971" s="548"/>
      <c r="C2971" s="548"/>
      <c r="D2971" s="548"/>
      <c r="E2971" s="548"/>
      <c r="F2971" s="709"/>
      <c r="G2971" s="768"/>
      <c r="H2971" s="735" t="s">
        <v>4164</v>
      </c>
      <c r="I2971" s="774" t="s">
        <v>4091</v>
      </c>
      <c r="J2971" s="277"/>
      <c r="K2971" s="563"/>
      <c r="L2971" s="563"/>
      <c r="M2971" s="564"/>
      <c r="N2971" s="565">
        <v>36</v>
      </c>
      <c r="O2971" s="566"/>
      <c r="P2971" s="565"/>
      <c r="Q2971" s="565"/>
      <c r="R2971" s="564"/>
      <c r="S2971" s="564"/>
      <c r="T2971" s="284"/>
      <c r="U2971" s="278"/>
      <c r="V2971" s="278"/>
      <c r="W2971" s="278"/>
      <c r="X2971" s="285"/>
    </row>
    <row r="2972" spans="1:24" s="221" customFormat="1" ht="25" hidden="1" customHeight="1" x14ac:dyDescent="0.35">
      <c r="A2972" s="548"/>
      <c r="B2972" s="548"/>
      <c r="C2972" s="548"/>
      <c r="D2972" s="548"/>
      <c r="E2972" s="548"/>
      <c r="F2972" s="709"/>
      <c r="G2972" s="768"/>
      <c r="H2972" s="735" t="s">
        <v>4165</v>
      </c>
      <c r="I2972" s="774" t="s">
        <v>4166</v>
      </c>
      <c r="J2972" s="277"/>
      <c r="K2972" s="563"/>
      <c r="L2972" s="563"/>
      <c r="M2972" s="564"/>
      <c r="N2972" s="565">
        <v>10</v>
      </c>
      <c r="O2972" s="566"/>
      <c r="P2972" s="565"/>
      <c r="Q2972" s="565"/>
      <c r="R2972" s="564"/>
      <c r="S2972" s="564"/>
      <c r="T2972" s="284"/>
      <c r="U2972" s="278"/>
      <c r="V2972" s="278"/>
      <c r="W2972" s="278"/>
      <c r="X2972" s="285"/>
    </row>
    <row r="2973" spans="1:24" s="221" customFormat="1" ht="25" hidden="1" customHeight="1" x14ac:dyDescent="0.35">
      <c r="A2973" s="548"/>
      <c r="B2973" s="548"/>
      <c r="C2973" s="548"/>
      <c r="D2973" s="548"/>
      <c r="E2973" s="548"/>
      <c r="F2973" s="709"/>
      <c r="G2973" s="768"/>
      <c r="H2973" s="735" t="s">
        <v>4167</v>
      </c>
      <c r="I2973" s="774" t="s">
        <v>4168</v>
      </c>
      <c r="J2973" s="277"/>
      <c r="K2973" s="563"/>
      <c r="L2973" s="563"/>
      <c r="M2973" s="564"/>
      <c r="N2973" s="565">
        <v>20</v>
      </c>
      <c r="O2973" s="566"/>
      <c r="P2973" s="565"/>
      <c r="Q2973" s="565"/>
      <c r="R2973" s="564"/>
      <c r="S2973" s="564"/>
      <c r="T2973" s="284"/>
      <c r="U2973" s="278"/>
      <c r="V2973" s="278"/>
      <c r="W2973" s="278"/>
      <c r="X2973" s="285"/>
    </row>
    <row r="2974" spans="1:24" s="221" customFormat="1" ht="25" hidden="1" customHeight="1" x14ac:dyDescent="0.35">
      <c r="A2974" s="548"/>
      <c r="B2974" s="548"/>
      <c r="C2974" s="548"/>
      <c r="D2974" s="548"/>
      <c r="E2974" s="548"/>
      <c r="F2974" s="709"/>
      <c r="G2974" s="768"/>
      <c r="H2974" s="735" t="s">
        <v>4169</v>
      </c>
      <c r="I2974" s="774" t="s">
        <v>4029</v>
      </c>
      <c r="J2974" s="277"/>
      <c r="K2974" s="563"/>
      <c r="L2974" s="563"/>
      <c r="M2974" s="564"/>
      <c r="N2974" s="565">
        <v>100</v>
      </c>
      <c r="O2974" s="566"/>
      <c r="P2974" s="565"/>
      <c r="Q2974" s="565"/>
      <c r="R2974" s="564"/>
      <c r="S2974" s="564"/>
      <c r="T2974" s="284"/>
      <c r="U2974" s="278"/>
      <c r="V2974" s="278"/>
      <c r="W2974" s="278"/>
      <c r="X2974" s="285"/>
    </row>
    <row r="2975" spans="1:24" ht="25" hidden="1" customHeight="1" x14ac:dyDescent="0.35">
      <c r="A2975" s="548"/>
      <c r="B2975" s="548"/>
      <c r="C2975" s="548"/>
      <c r="D2975" s="548"/>
      <c r="E2975" s="562"/>
      <c r="F2975" s="768"/>
      <c r="G2975" s="768"/>
      <c r="H2975" s="276" t="s">
        <v>4170</v>
      </c>
      <c r="I2975" s="774" t="s">
        <v>4049</v>
      </c>
      <c r="J2975" s="562"/>
      <c r="K2975" s="563"/>
      <c r="L2975" s="563"/>
      <c r="M2975" s="564"/>
      <c r="N2975" s="565">
        <v>200</v>
      </c>
      <c r="O2975" s="712"/>
      <c r="P2975" s="757"/>
      <c r="Q2975" s="757"/>
      <c r="R2975" s="712"/>
      <c r="S2975" s="758"/>
      <c r="T2975" s="712"/>
      <c r="U2975" s="711"/>
      <c r="V2975" s="711"/>
      <c r="W2975" s="711"/>
      <c r="X2975" s="285"/>
    </row>
    <row r="2976" spans="1:24" ht="25" hidden="1" customHeight="1" x14ac:dyDescent="0.35">
      <c r="A2976" s="548"/>
      <c r="B2976" s="548"/>
      <c r="C2976" s="548"/>
      <c r="D2976" s="548"/>
      <c r="E2976" s="562"/>
      <c r="F2976" s="768"/>
      <c r="G2976" s="768"/>
      <c r="H2976" s="276" t="s">
        <v>4171</v>
      </c>
      <c r="I2976" s="774" t="s">
        <v>3661</v>
      </c>
      <c r="J2976" s="562"/>
      <c r="K2976" s="563"/>
      <c r="L2976" s="563"/>
      <c r="M2976" s="564"/>
      <c r="N2976" s="565">
        <v>100</v>
      </c>
      <c r="O2976" s="714"/>
      <c r="P2976" s="757"/>
      <c r="Q2976" s="757"/>
      <c r="R2976" s="712"/>
      <c r="S2976" s="758"/>
      <c r="T2976" s="759"/>
      <c r="U2976" s="711"/>
      <c r="V2976" s="711"/>
      <c r="W2976" s="711"/>
      <c r="X2976" s="285"/>
    </row>
    <row r="2977" spans="1:24" ht="25" hidden="1" customHeight="1" x14ac:dyDescent="0.35">
      <c r="A2977" s="548"/>
      <c r="B2977" s="548"/>
      <c r="C2977" s="548"/>
      <c r="D2977" s="548"/>
      <c r="E2977" s="562"/>
      <c r="F2977" s="768"/>
      <c r="G2977" s="768"/>
      <c r="H2977" s="276" t="s">
        <v>4172</v>
      </c>
      <c r="I2977" s="774" t="s">
        <v>3926</v>
      </c>
      <c r="J2977" s="562"/>
      <c r="K2977" s="563"/>
      <c r="L2977" s="563"/>
      <c r="M2977" s="564"/>
      <c r="N2977" s="565">
        <v>1000</v>
      </c>
      <c r="O2977" s="714"/>
      <c r="P2977" s="757"/>
      <c r="Q2977" s="757"/>
      <c r="R2977" s="712"/>
      <c r="S2977" s="758"/>
      <c r="T2977" s="759"/>
      <c r="U2977" s="711"/>
      <c r="V2977" s="711"/>
      <c r="W2977" s="711"/>
      <c r="X2977" s="285"/>
    </row>
    <row r="2978" spans="1:24" ht="25" hidden="1" customHeight="1" x14ac:dyDescent="0.35">
      <c r="A2978" s="548"/>
      <c r="B2978" s="548"/>
      <c r="C2978" s="548"/>
      <c r="D2978" s="548"/>
      <c r="E2978" s="562"/>
      <c r="F2978" s="768"/>
      <c r="G2978" s="768"/>
      <c r="H2978" s="276" t="s">
        <v>4173</v>
      </c>
      <c r="I2978" s="275" t="s">
        <v>4017</v>
      </c>
      <c r="J2978" s="562"/>
      <c r="K2978" s="563"/>
      <c r="L2978" s="563"/>
      <c r="M2978" s="564"/>
      <c r="N2978" s="565">
        <v>5000</v>
      </c>
      <c r="O2978" s="714"/>
      <c r="P2978" s="757"/>
      <c r="Q2978" s="757"/>
      <c r="R2978" s="712"/>
      <c r="S2978" s="758"/>
      <c r="T2978" s="759"/>
      <c r="U2978" s="711"/>
      <c r="V2978" s="711"/>
      <c r="W2978" s="711"/>
      <c r="X2978" s="285"/>
    </row>
    <row r="2979" spans="1:24" ht="25" hidden="1" customHeight="1" x14ac:dyDescent="0.35">
      <c r="A2979" s="548"/>
      <c r="B2979" s="548"/>
      <c r="C2979" s="548"/>
      <c r="D2979" s="548"/>
      <c r="E2979" s="562"/>
      <c r="F2979" s="768"/>
      <c r="G2979" s="768"/>
      <c r="H2979" s="276" t="s">
        <v>4174</v>
      </c>
      <c r="I2979" s="275" t="s">
        <v>4031</v>
      </c>
      <c r="J2979" s="562"/>
      <c r="K2979" s="563"/>
      <c r="L2979" s="563"/>
      <c r="M2979" s="564"/>
      <c r="N2979" s="565">
        <v>15000</v>
      </c>
      <c r="O2979" s="714"/>
      <c r="P2979" s="757"/>
      <c r="Q2979" s="757"/>
      <c r="R2979" s="712"/>
      <c r="S2979" s="758"/>
      <c r="T2979" s="759"/>
      <c r="U2979" s="711"/>
      <c r="V2979" s="711"/>
      <c r="W2979" s="711"/>
      <c r="X2979" s="285"/>
    </row>
    <row r="2980" spans="1:24" ht="25" hidden="1" customHeight="1" x14ac:dyDescent="0.35">
      <c r="A2980" s="548"/>
      <c r="B2980" s="548"/>
      <c r="C2980" s="548"/>
      <c r="D2980" s="548"/>
      <c r="E2980" s="562"/>
      <c r="F2980" s="768"/>
      <c r="G2980" s="768"/>
      <c r="H2980" s="276" t="s">
        <v>4175</v>
      </c>
      <c r="I2980" s="275" t="s">
        <v>4077</v>
      </c>
      <c r="J2980" s="562"/>
      <c r="K2980" s="563"/>
      <c r="L2980" s="563"/>
      <c r="M2980" s="564"/>
      <c r="N2980" s="565">
        <v>15000</v>
      </c>
      <c r="O2980" s="714"/>
      <c r="P2980" s="757"/>
      <c r="Q2980" s="757"/>
      <c r="R2980" s="712"/>
      <c r="S2980" s="758"/>
      <c r="T2980" s="759"/>
      <c r="U2980" s="711"/>
      <c r="V2980" s="711"/>
      <c r="W2980" s="711"/>
      <c r="X2980" s="285"/>
    </row>
    <row r="2981" spans="1:24" ht="25" hidden="1" customHeight="1" x14ac:dyDescent="0.35">
      <c r="A2981" s="548"/>
      <c r="B2981" s="548"/>
      <c r="C2981" s="548"/>
      <c r="D2981" s="548"/>
      <c r="E2981" s="562"/>
      <c r="F2981" s="768" t="s">
        <v>4176</v>
      </c>
      <c r="G2981" s="768"/>
      <c r="H2981" s="276" t="s">
        <v>4177</v>
      </c>
      <c r="I2981" s="275" t="s">
        <v>4077</v>
      </c>
      <c r="J2981" s="562"/>
      <c r="K2981" s="563"/>
      <c r="L2981" s="563"/>
      <c r="M2981" s="564"/>
      <c r="N2981" s="565">
        <v>2400</v>
      </c>
      <c r="O2981" s="714"/>
      <c r="P2981" s="757"/>
      <c r="Q2981" s="757"/>
      <c r="R2981" s="712"/>
      <c r="S2981" s="758"/>
      <c r="T2981" s="759"/>
      <c r="U2981" s="711"/>
      <c r="V2981" s="711"/>
      <c r="W2981" s="711"/>
      <c r="X2981" s="285"/>
    </row>
    <row r="2982" spans="1:24" ht="25" hidden="1" customHeight="1" x14ac:dyDescent="0.35">
      <c r="A2982" s="548"/>
      <c r="B2982" s="548"/>
      <c r="C2982" s="548"/>
      <c r="D2982" s="548"/>
      <c r="E2982" s="562"/>
      <c r="F2982" s="768" t="s">
        <v>4178</v>
      </c>
      <c r="G2982" s="768"/>
      <c r="H2982" s="276" t="s">
        <v>4179</v>
      </c>
      <c r="I2982" s="275" t="s">
        <v>4180</v>
      </c>
      <c r="J2982" s="562"/>
      <c r="K2982" s="563"/>
      <c r="L2982" s="563"/>
      <c r="M2982" s="564"/>
      <c r="N2982" s="565">
        <v>8400</v>
      </c>
      <c r="O2982" s="714"/>
      <c r="P2982" s="757"/>
      <c r="Q2982" s="757"/>
      <c r="R2982" s="712"/>
      <c r="S2982" s="758"/>
      <c r="T2982" s="759"/>
      <c r="U2982" s="711"/>
      <c r="V2982" s="711"/>
      <c r="W2982" s="711"/>
      <c r="X2982" s="285"/>
    </row>
    <row r="2983" spans="1:24" ht="25" hidden="1" customHeight="1" x14ac:dyDescent="0.35">
      <c r="A2983" s="548"/>
      <c r="B2983" s="548"/>
      <c r="C2983" s="548"/>
      <c r="D2983" s="548"/>
      <c r="E2983" s="562"/>
      <c r="F2983" s="768" t="s">
        <v>4181</v>
      </c>
      <c r="G2983" s="768"/>
      <c r="H2983" s="276" t="s">
        <v>4174</v>
      </c>
      <c r="I2983" s="275" t="s">
        <v>4031</v>
      </c>
      <c r="J2983" s="562"/>
      <c r="K2983" s="563"/>
      <c r="L2983" s="563"/>
      <c r="M2983" s="564"/>
      <c r="N2983" s="565">
        <v>576</v>
      </c>
      <c r="O2983" s="714"/>
      <c r="P2983" s="757"/>
      <c r="Q2983" s="757"/>
      <c r="R2983" s="712"/>
      <c r="S2983" s="758"/>
      <c r="T2983" s="759"/>
      <c r="U2983" s="711"/>
      <c r="V2983" s="711"/>
      <c r="W2983" s="711"/>
      <c r="X2983" s="285"/>
    </row>
    <row r="2984" spans="1:24" ht="25" hidden="1" customHeight="1" x14ac:dyDescent="0.35">
      <c r="A2984" s="548"/>
      <c r="B2984" s="548"/>
      <c r="C2984" s="548"/>
      <c r="D2984" s="548"/>
      <c r="E2984" s="562"/>
      <c r="F2984" s="768" t="s">
        <v>4181</v>
      </c>
      <c r="G2984" s="768"/>
      <c r="H2984" s="276" t="s">
        <v>4182</v>
      </c>
      <c r="I2984" s="275" t="s">
        <v>4183</v>
      </c>
      <c r="J2984" s="562"/>
      <c r="K2984" s="563"/>
      <c r="L2984" s="563"/>
      <c r="M2984" s="564"/>
      <c r="N2984" s="565">
        <v>600</v>
      </c>
      <c r="O2984" s="714"/>
      <c r="P2984" s="757"/>
      <c r="Q2984" s="757"/>
      <c r="R2984" s="712"/>
      <c r="S2984" s="758"/>
      <c r="T2984" s="759"/>
      <c r="U2984" s="711"/>
      <c r="V2984" s="711"/>
      <c r="W2984" s="711"/>
      <c r="X2984" s="285"/>
    </row>
    <row r="2985" spans="1:24" ht="25" hidden="1" customHeight="1" x14ac:dyDescent="0.35">
      <c r="A2985" s="548"/>
      <c r="B2985" s="548"/>
      <c r="C2985" s="548"/>
      <c r="D2985" s="548"/>
      <c r="E2985" s="562"/>
      <c r="F2985" s="768" t="s">
        <v>3892</v>
      </c>
      <c r="G2985" s="768"/>
      <c r="H2985" s="775"/>
      <c r="I2985" s="275" t="s">
        <v>4053</v>
      </c>
      <c r="J2985" s="776" t="s">
        <v>4184</v>
      </c>
      <c r="K2985" s="563"/>
      <c r="L2985" s="563"/>
      <c r="M2985" s="564"/>
      <c r="N2985" s="565">
        <v>200</v>
      </c>
      <c r="O2985" s="712"/>
      <c r="P2985" s="757"/>
      <c r="Q2985" s="757"/>
      <c r="R2985" s="712"/>
      <c r="S2985" s="758"/>
      <c r="T2985" s="712"/>
      <c r="U2985" s="711"/>
      <c r="V2985" s="711"/>
      <c r="W2985" s="711"/>
      <c r="X2985" s="285"/>
    </row>
    <row r="2986" spans="1:24" ht="29.25" hidden="1" customHeight="1" x14ac:dyDescent="0.35">
      <c r="A2986" s="548"/>
      <c r="B2986" s="548"/>
      <c r="C2986" s="548"/>
      <c r="D2986" s="548"/>
      <c r="E2986" s="562"/>
      <c r="F2986" s="768" t="s">
        <v>3892</v>
      </c>
      <c r="G2986" s="768"/>
      <c r="H2986" s="276" t="s">
        <v>4185</v>
      </c>
      <c r="I2986" s="275" t="s">
        <v>3806</v>
      </c>
      <c r="J2986" s="776"/>
      <c r="K2986" s="563"/>
      <c r="L2986" s="563"/>
      <c r="M2986" s="564"/>
      <c r="N2986" s="565">
        <v>600</v>
      </c>
      <c r="O2986" s="712"/>
      <c r="P2986" s="757"/>
      <c r="Q2986" s="757"/>
      <c r="R2986" s="712"/>
      <c r="S2986" s="758"/>
      <c r="T2986" s="712"/>
      <c r="U2986" s="711"/>
      <c r="V2986" s="711"/>
      <c r="W2986" s="711"/>
      <c r="X2986" s="285"/>
    </row>
    <row r="2987" spans="1:24" ht="25" hidden="1" customHeight="1" x14ac:dyDescent="0.35">
      <c r="A2987" s="548"/>
      <c r="B2987" s="548"/>
      <c r="C2987" s="548"/>
      <c r="D2987" s="548"/>
      <c r="E2987" s="562"/>
      <c r="F2987" s="768" t="s">
        <v>3892</v>
      </c>
      <c r="G2987" s="768"/>
      <c r="H2987" s="276" t="s">
        <v>4186</v>
      </c>
      <c r="I2987" s="275" t="s">
        <v>3661</v>
      </c>
      <c r="J2987" s="776"/>
      <c r="K2987" s="563"/>
      <c r="L2987" s="563"/>
      <c r="M2987" s="564"/>
      <c r="N2987" s="565">
        <v>600</v>
      </c>
      <c r="O2987" s="712"/>
      <c r="P2987" s="757"/>
      <c r="Q2987" s="757"/>
      <c r="R2987" s="712"/>
      <c r="S2987" s="758"/>
      <c r="T2987" s="712"/>
      <c r="U2987" s="711"/>
      <c r="V2987" s="711"/>
      <c r="W2987" s="711"/>
      <c r="X2987" s="285"/>
    </row>
    <row r="2988" spans="1:24" ht="25" hidden="1" customHeight="1" x14ac:dyDescent="0.35">
      <c r="A2988" s="548"/>
      <c r="B2988" s="548"/>
      <c r="C2988" s="548"/>
      <c r="D2988" s="548"/>
      <c r="E2988" s="562"/>
      <c r="F2988" s="768" t="s">
        <v>3892</v>
      </c>
      <c r="G2988" s="768"/>
      <c r="H2988" s="276" t="s">
        <v>4187</v>
      </c>
      <c r="I2988" s="275" t="s">
        <v>3780</v>
      </c>
      <c r="J2988" s="776"/>
      <c r="K2988" s="563"/>
      <c r="L2988" s="563"/>
      <c r="M2988" s="564"/>
      <c r="N2988" s="565">
        <v>120</v>
      </c>
      <c r="O2988" s="712"/>
      <c r="P2988" s="757"/>
      <c r="Q2988" s="757"/>
      <c r="R2988" s="712"/>
      <c r="S2988" s="758"/>
      <c r="T2988" s="712"/>
      <c r="U2988" s="711"/>
      <c r="V2988" s="711"/>
      <c r="W2988" s="711"/>
      <c r="X2988" s="285"/>
    </row>
    <row r="2989" spans="1:24" ht="25" hidden="1" customHeight="1" x14ac:dyDescent="0.35">
      <c r="A2989" s="548"/>
      <c r="B2989" s="548"/>
      <c r="C2989" s="548"/>
      <c r="D2989" s="548"/>
      <c r="E2989" s="562"/>
      <c r="F2989" s="768" t="s">
        <v>3892</v>
      </c>
      <c r="G2989" s="768"/>
      <c r="H2989" s="276" t="s">
        <v>4188</v>
      </c>
      <c r="I2989" s="275" t="s">
        <v>3959</v>
      </c>
      <c r="J2989" s="776"/>
      <c r="K2989" s="563"/>
      <c r="L2989" s="563"/>
      <c r="M2989" s="564"/>
      <c r="N2989" s="565">
        <v>25</v>
      </c>
      <c r="O2989" s="712"/>
      <c r="P2989" s="757"/>
      <c r="Q2989" s="757"/>
      <c r="R2989" s="712"/>
      <c r="S2989" s="758"/>
      <c r="T2989" s="712"/>
      <c r="U2989" s="711"/>
      <c r="V2989" s="711"/>
      <c r="W2989" s="711"/>
      <c r="X2989" s="285"/>
    </row>
    <row r="2990" spans="1:24" ht="25" hidden="1" customHeight="1" x14ac:dyDescent="0.35">
      <c r="A2990" s="548"/>
      <c r="B2990" s="548"/>
      <c r="C2990" s="548"/>
      <c r="D2990" s="548"/>
      <c r="E2990" s="273"/>
      <c r="F2990" s="768" t="s">
        <v>3892</v>
      </c>
      <c r="G2990" s="768"/>
      <c r="H2990" s="276" t="s">
        <v>4189</v>
      </c>
      <c r="I2990" s="275" t="s">
        <v>4067</v>
      </c>
      <c r="J2990" s="776"/>
      <c r="K2990" s="563"/>
      <c r="L2990" s="563"/>
      <c r="M2990" s="564"/>
      <c r="N2990" s="565">
        <v>50</v>
      </c>
      <c r="O2990" s="712"/>
      <c r="P2990" s="757"/>
      <c r="Q2990" s="757"/>
      <c r="R2990" s="712"/>
      <c r="S2990" s="758"/>
      <c r="T2990" s="712"/>
      <c r="U2990" s="711"/>
      <c r="V2990" s="711"/>
      <c r="W2990" s="711"/>
      <c r="X2990" s="285"/>
    </row>
  </sheetData>
  <mergeCells count="17">
    <mergeCell ref="A1:F2"/>
    <mergeCell ref="G1:H1"/>
    <mergeCell ref="K1:N1"/>
    <mergeCell ref="O1:R1"/>
    <mergeCell ref="S1:X1"/>
    <mergeCell ref="G2:N2"/>
    <mergeCell ref="O2:R2"/>
    <mergeCell ref="S2:X2"/>
    <mergeCell ref="A7:R7"/>
    <mergeCell ref="S7:X7"/>
    <mergeCell ref="A4:F5"/>
    <mergeCell ref="G4:I4"/>
    <mergeCell ref="J4:P4"/>
    <mergeCell ref="R4:X4"/>
    <mergeCell ref="G5:I5"/>
    <mergeCell ref="J5:P5"/>
    <mergeCell ref="R5:X5"/>
  </mergeCells>
  <conditionalFormatting sqref="A7:D7">
    <cfRule type="cellIs" dxfId="55" priority="10" operator="lessThan">
      <formula>#REF!</formula>
    </cfRule>
    <cfRule type="cellIs" dxfId="54" priority="11" operator="greaterThan">
      <formula>#REF!</formula>
    </cfRule>
    <cfRule type="cellIs" dxfId="53" priority="12" operator="lessThan">
      <formula>0</formula>
    </cfRule>
  </conditionalFormatting>
  <conditionalFormatting sqref="C1:D444 C446:D1369 C1371:D1824 C1825 C1826:D1830 C1831 C1832:D1048576">
    <cfRule type="cellIs" dxfId="52" priority="9" operator="lessThan">
      <formula>-0.5</formula>
    </cfRule>
  </conditionalFormatting>
  <conditionalFormatting sqref="C8:D8">
    <cfRule type="cellIs" dxfId="51" priority="8" operator="greaterThan">
      <formula>".5"</formula>
    </cfRule>
  </conditionalFormatting>
  <conditionalFormatting sqref="P2620:Q2620">
    <cfRule type="cellIs" dxfId="50" priority="5" operator="lessThan">
      <formula>#REF!</formula>
    </cfRule>
    <cfRule type="cellIs" dxfId="49" priority="6" operator="greaterThan">
      <formula>#REF!</formula>
    </cfRule>
    <cfRule type="cellIs" dxfId="48" priority="7" operator="lessThan">
      <formula>0</formula>
    </cfRule>
  </conditionalFormatting>
  <conditionalFormatting sqref="X965">
    <cfRule type="timePeriod" dxfId="47" priority="4" timePeriod="nextMonth">
      <formula>AND(MONTH(X965)=MONTH(EDATE(TODAY(),0+1)),YEAR(X965)=YEAR(EDATE(TODAY(),0+1)))</formula>
    </cfRule>
  </conditionalFormatting>
  <conditionalFormatting sqref="X1143 X1823:X1824 X1828:X1829">
    <cfRule type="timePeriod" dxfId="46" priority="3" timePeriod="nextMonth">
      <formula>AND(MONTH(X1143)=MONTH(EDATE(TODAY(),0+1)),YEAR(X1143)=YEAR(EDATE(TODAY(),0+1)))</formula>
    </cfRule>
  </conditionalFormatting>
  <conditionalFormatting sqref="X2547">
    <cfRule type="timePeriod" dxfId="45" priority="2" timePeriod="nextMonth">
      <formula>AND(MONTH(X2547)=MONTH(EDATE(TODAY(),0+1)),YEAR(X2547)=YEAR(EDATE(TODAY(),0+1)))</formula>
    </cfRule>
  </conditionalFormatting>
  <conditionalFormatting sqref="X2549:X2553">
    <cfRule type="timePeriod" dxfId="44" priority="1" timePeriod="nextMonth">
      <formula>AND(MONTH(X2549)=MONTH(EDATE(TODAY(),0+1)),YEAR(X2549)=YEAR(EDATE(TODAY(),0+1)))</formula>
    </cfRule>
  </conditionalFormatting>
  <dataValidations count="2">
    <dataValidation type="list" allowBlank="1" showInputMessage="1" showErrorMessage="1" sqref="R9 R11:R153 R2724:R2765 R2767:R2809 R2812:R2821 R2858 R2991 R372:R406 M2380 R2620 M1116 M2530:M2532 R2633:R2722 M713:M714 M1795:M1804 M942:M943 M1121:M1129 M1131 M2534:M2536 M2526:M2528 M1133:M1134 J1133:J1134 R2985:R2989 M946:M948 R197:R370 M1806:M1814 M1686 M955:M961 M2539:M2544 R2949:R2975 J1143 M1142:M1143 M1818:M1820 M1822 M2365:M2366 M1147:M1150 M1825 M964 M1157 M2547:M2551 M2554 M731:M734 M1831:M1832 M1835 M1160 M966:M968" xr:uid="{10834EFC-B473-40C0-8DB7-27A22ECC655B}">
      <formula1>"BLACK - 1.0M X 1.2M LOCAL, BLUE - 1.2M X 1.0M EXPORT, GREEN - 1.1M X 1.0M EXPORT, RED - 1.0M X 0.9M EXPORT, YELLOW - 1.6. X 0.75M - BATHTUB"</formula1>
    </dataValidation>
    <dataValidation type="list" allowBlank="1" showInputMessage="1" showErrorMessage="1" sqref="O1121:O1129 O1806:O1814 O1131 O2534 O1116 O2530:O2532 O1686 O2526:O2528 O946:O948 O713:O714 L1801 O2536 O942:O943 O1795:O1804 O1133:O1134 O2539:O2544 O1142:O1143 O1147:O1150 O2122 O455 O460:O461 O1367 O458 O467 O1818:O1829 O2621:O2627 O2365:O2375 O1157 S2552:S2553 N2552 O2546:O2554 O731:O734 O2380 O1831:O1832 O1835 O1930:O1936 O1160 O955:O968" xr:uid="{794F1278-EFD0-4347-835D-0652FC0E01D3}">
      <formula1>"Finished Goods - DC, Parts/Components - Assembly Store, Parts/Components - Assembly at a Machine"</formula1>
    </dataValidation>
  </dataValidations>
  <hyperlinks>
    <hyperlink ref="L1213" r:id="rId1" location="id=1701&amp;model=product.product" display="https://pimmsv14.odoo.com/web - id=1701&amp;model=product.product" xr:uid="{B35B4DEB-39CD-49AC-9327-6FAAA981A7EA}"/>
    <hyperlink ref="L1439" r:id="rId2" location="id=1711&amp;model=product.product" display="https://pimmsv14.odoo.com/web - id=1711&amp;model=product.product" xr:uid="{15B8028B-E104-418D-9BB1-D4D544AA26B7}"/>
    <hyperlink ref="L1214" r:id="rId3" location="id=1698&amp;model=product.product" display="https://pimmsv14.odoo.com/web - id=1698&amp;model=product.product" xr:uid="{63F5D62A-02EB-4365-B24D-BA3E6A9FA947}"/>
    <hyperlink ref="L1437" r:id="rId4" location="id=1713&amp;model=product.product" display="https://pimmsv14.odoo.com/web - id=1713&amp;model=product.product" xr:uid="{965C404B-D5F0-4A09-A8B4-10B0AB5674E4}"/>
    <hyperlink ref="L1438" r:id="rId5" location="id=7518&amp;model=product.product" display="https://pimmsv14.odoo.com/web - id=7518&amp;model=product.product" xr:uid="{44A60953-60BD-4DCB-A078-918087A88526}"/>
    <hyperlink ref="L1212" r:id="rId6" location="id=7517&amp;model=product.product" display="https://pimmsv14.odoo.com/web - id=7517&amp;model=product.product" xr:uid="{993F1249-8289-4BF9-8DBE-402FDD02DFF6}"/>
    <hyperlink ref="L2750" r:id="rId7" location="id=1969&amp;model=product.product" display="https://pimmsv14.odoo.com/web - id=1969&amp;model=product.product" xr:uid="{26BF01FF-1466-457D-B60E-AFDDF886935F}"/>
    <hyperlink ref="L773" r:id="rId8" location="id=1713&amp;model=product.product" display="https://pimmsv14.odoo.com/web - id=1713&amp;model=product.product" xr:uid="{9B977A1A-1E60-47FD-96AC-1D9192A30E68}"/>
    <hyperlink ref="L774" r:id="rId9" location="id=1709&amp;model=product.product" display="https://pimmsv14.odoo.com/web - id=1709&amp;model=product.product" xr:uid="{FF7000B8-C712-425C-903C-05B3C97E55AA}"/>
    <hyperlink ref="L775" r:id="rId10" location="id=1740&amp;model=product.product" display="https://pimmsv14.odoo.com/web - id=1740&amp;model=product.product" xr:uid="{40475CAC-4CE2-43E6-B324-D2EACE25849C}"/>
    <hyperlink ref="L776" r:id="rId11" location="id=1955&amp;model=product.product" display="https://pimmsv14.odoo.com/web - id=1955&amp;model=product.product" xr:uid="{C3C9210C-471A-404E-9E98-0565A0247749}"/>
  </hyperlinks>
  <pageMargins left="0.7" right="0.7" top="0.75" bottom="0.75" header="0.3" footer="0.3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59FA3-976D-4A9A-98FF-71E77E9036C8}">
  <dimension ref="A1:AN1733"/>
  <sheetViews>
    <sheetView workbookViewId="0">
      <selection activeCell="D28" sqref="D28"/>
    </sheetView>
  </sheetViews>
  <sheetFormatPr defaultRowHeight="14.5" x14ac:dyDescent="0.35"/>
  <cols>
    <col min="1" max="1" width="28" customWidth="1"/>
    <col min="2" max="2" width="21.453125" customWidth="1"/>
    <col min="3" max="3" width="6.54296875" style="777" bestFit="1" customWidth="1"/>
    <col min="4" max="4" width="27.1796875" customWidth="1"/>
    <col min="5" max="5" width="9.7265625" customWidth="1"/>
    <col min="6" max="6" width="20.7265625" customWidth="1"/>
    <col min="7" max="7" width="10.7265625" customWidth="1"/>
    <col min="8" max="8" width="18.54296875" customWidth="1"/>
    <col min="9" max="9" width="66.453125" customWidth="1"/>
    <col min="10" max="10" width="23.453125" customWidth="1"/>
    <col min="11" max="11" width="6.7265625" bestFit="1" customWidth="1"/>
    <col min="12" max="12" width="5.7265625" bestFit="1" customWidth="1"/>
    <col min="13" max="13" width="7.1796875" bestFit="1" customWidth="1"/>
    <col min="14" max="16" width="7.7265625" customWidth="1"/>
    <col min="17" max="17" width="6.26953125" customWidth="1"/>
    <col min="18" max="18" width="7.7265625" customWidth="1"/>
    <col min="19" max="19" width="9.54296875" customWidth="1"/>
    <col min="20" max="23" width="7.7265625" customWidth="1"/>
    <col min="24" max="24" width="30.7265625" customWidth="1"/>
  </cols>
  <sheetData>
    <row r="1" spans="1:24" ht="26.5" thickBot="1" x14ac:dyDescent="0.65">
      <c r="A1" s="1192"/>
      <c r="B1" s="1193"/>
      <c r="C1" s="1193"/>
      <c r="D1" s="1193"/>
      <c r="E1" s="1193"/>
      <c r="F1" s="1194"/>
      <c r="G1" s="1198" t="s">
        <v>0</v>
      </c>
      <c r="H1" s="1199"/>
      <c r="I1" s="1">
        <f>S7</f>
        <v>46153</v>
      </c>
      <c r="J1" s="2" t="s">
        <v>1</v>
      </c>
      <c r="K1" s="1200" t="s">
        <v>4266</v>
      </c>
      <c r="L1" s="1201"/>
      <c r="M1" s="1201"/>
      <c r="N1" s="1201"/>
      <c r="O1" s="1203" t="s">
        <v>3</v>
      </c>
      <c r="P1" s="1203"/>
      <c r="Q1" s="1203"/>
      <c r="R1" s="1204"/>
      <c r="S1" s="1205" t="s">
        <v>4</v>
      </c>
      <c r="T1" s="1206"/>
      <c r="U1" s="1206"/>
      <c r="V1" s="1206"/>
      <c r="W1" s="1206"/>
      <c r="X1" s="1206"/>
    </row>
    <row r="2" spans="1:24" ht="37.5" thickBot="1" x14ac:dyDescent="0.9">
      <c r="A2" s="1220"/>
      <c r="B2" s="1221"/>
      <c r="C2" s="1221"/>
      <c r="D2" s="1221"/>
      <c r="E2" s="1221"/>
      <c r="F2" s="1222"/>
      <c r="G2" s="1208" t="s">
        <v>5</v>
      </c>
      <c r="H2" s="1209"/>
      <c r="I2" s="1209"/>
      <c r="J2" s="1209"/>
      <c r="K2" s="1209"/>
      <c r="L2" s="1209"/>
      <c r="M2" s="1209"/>
      <c r="N2" s="1210"/>
      <c r="O2" s="1211" t="s">
        <v>6</v>
      </c>
      <c r="P2" s="1203"/>
      <c r="Q2" s="1203"/>
      <c r="R2" s="1204"/>
      <c r="S2" s="1212" t="s">
        <v>7</v>
      </c>
      <c r="T2" s="1213"/>
      <c r="U2" s="1213"/>
      <c r="V2" s="1213"/>
      <c r="W2" s="1213"/>
      <c r="X2" s="1213"/>
    </row>
    <row r="3" spans="1:24" ht="7.9" customHeight="1" thickBot="1" x14ac:dyDescent="0.4"/>
    <row r="4" spans="1:24" ht="27.65" customHeight="1" thickBot="1" x14ac:dyDescent="0.6">
      <c r="A4" s="1168" t="s">
        <v>8</v>
      </c>
      <c r="B4" s="1169"/>
      <c r="C4" s="1169"/>
      <c r="D4" s="1169"/>
      <c r="E4" s="1169"/>
      <c r="F4" s="1170"/>
      <c r="G4" s="1174" t="s">
        <v>9</v>
      </c>
      <c r="H4" s="1175"/>
      <c r="I4" s="1176"/>
      <c r="J4" s="1177" t="s">
        <v>10</v>
      </c>
      <c r="K4" s="1178"/>
      <c r="L4" s="1178"/>
      <c r="M4" s="1178"/>
      <c r="N4" s="1178"/>
      <c r="O4" s="1178"/>
      <c r="P4" s="1179"/>
      <c r="Q4" s="4"/>
      <c r="R4" s="1180" t="s">
        <v>11</v>
      </c>
      <c r="S4" s="1181"/>
      <c r="T4" s="1181"/>
      <c r="U4" s="1181"/>
      <c r="V4" s="1181"/>
      <c r="W4" s="1181"/>
      <c r="X4" s="1181"/>
    </row>
    <row r="5" spans="1:24" ht="27.65" customHeight="1" thickBot="1" x14ac:dyDescent="0.6">
      <c r="A5" s="1171"/>
      <c r="B5" s="1172"/>
      <c r="C5" s="1172"/>
      <c r="D5" s="1172"/>
      <c r="E5" s="1172"/>
      <c r="F5" s="1173"/>
      <c r="G5" s="1183" t="s">
        <v>12</v>
      </c>
      <c r="H5" s="1184"/>
      <c r="I5" s="1185"/>
      <c r="J5" s="1186" t="s">
        <v>13</v>
      </c>
      <c r="K5" s="1187"/>
      <c r="L5" s="1187"/>
      <c r="M5" s="1187"/>
      <c r="N5" s="1187"/>
      <c r="O5" s="1187"/>
      <c r="P5" s="1188"/>
      <c r="Q5" s="5"/>
      <c r="R5" s="1189" t="s">
        <v>14</v>
      </c>
      <c r="S5" s="1190"/>
      <c r="T5" s="1190"/>
      <c r="U5" s="1190"/>
      <c r="V5" s="1190"/>
      <c r="W5" s="1190"/>
      <c r="X5" s="1190"/>
    </row>
    <row r="6" spans="1:24" ht="15" thickBot="1" x14ac:dyDescent="0.4">
      <c r="A6" s="780"/>
      <c r="B6" s="781"/>
      <c r="C6" s="782"/>
      <c r="D6" s="781"/>
      <c r="E6" s="781"/>
      <c r="F6" s="781"/>
      <c r="G6" s="783"/>
      <c r="H6" s="783"/>
      <c r="I6" s="784"/>
      <c r="J6" s="783"/>
      <c r="K6" s="783"/>
      <c r="L6" s="783"/>
      <c r="M6" s="783"/>
      <c r="N6" s="783"/>
      <c r="O6" s="783"/>
      <c r="P6" s="783"/>
      <c r="Q6" s="783"/>
      <c r="R6" s="783"/>
      <c r="S6" s="783"/>
      <c r="T6" s="783"/>
      <c r="U6" s="783"/>
      <c r="V6" s="783"/>
      <c r="W6" s="783"/>
      <c r="X6" s="785"/>
    </row>
    <row r="7" spans="1:24" ht="26.5" thickBot="1" x14ac:dyDescent="0.65">
      <c r="A7" s="1162" t="s">
        <v>15</v>
      </c>
      <c r="B7" s="1163"/>
      <c r="C7" s="1163"/>
      <c r="D7" s="1163"/>
      <c r="E7" s="1163"/>
      <c r="F7" s="1163"/>
      <c r="G7" s="1163"/>
      <c r="H7" s="1163"/>
      <c r="I7" s="1163"/>
      <c r="J7" s="1163"/>
      <c r="K7" s="1163"/>
      <c r="L7" s="1163"/>
      <c r="M7" s="1163"/>
      <c r="N7" s="1163"/>
      <c r="O7" s="1163"/>
      <c r="P7" s="1163"/>
      <c r="Q7" s="1163"/>
      <c r="R7" s="1163"/>
      <c r="S7" s="1166">
        <v>46153</v>
      </c>
      <c r="T7" s="1166"/>
      <c r="U7" s="1166"/>
      <c r="V7" s="1166"/>
      <c r="W7" s="1166"/>
      <c r="X7" s="1166"/>
    </row>
    <row r="8" spans="1:24" ht="29.5" thickBot="1" x14ac:dyDescent="0.4">
      <c r="A8" s="8" t="s">
        <v>16</v>
      </c>
      <c r="B8" s="9" t="s">
        <v>17</v>
      </c>
      <c r="C8" s="786" t="s">
        <v>18</v>
      </c>
      <c r="D8" s="10" t="s">
        <v>4267</v>
      </c>
      <c r="E8" s="8" t="s">
        <v>20</v>
      </c>
      <c r="F8" s="11" t="s">
        <v>21</v>
      </c>
      <c r="G8" s="12" t="s">
        <v>22</v>
      </c>
      <c r="H8" s="13" t="s">
        <v>23</v>
      </c>
      <c r="I8" s="11" t="s">
        <v>24</v>
      </c>
      <c r="J8" s="14" t="s">
        <v>25</v>
      </c>
      <c r="K8" s="15" t="s">
        <v>26</v>
      </c>
      <c r="L8" s="16" t="s">
        <v>27</v>
      </c>
      <c r="M8" s="17" t="s">
        <v>28</v>
      </c>
      <c r="N8" s="18" t="s">
        <v>29</v>
      </c>
      <c r="O8" s="17" t="s">
        <v>30</v>
      </c>
      <c r="P8" s="19" t="s">
        <v>31</v>
      </c>
      <c r="Q8" s="20" t="s">
        <v>32</v>
      </c>
      <c r="R8" s="18">
        <v>70</v>
      </c>
      <c r="S8" s="17" t="s">
        <v>33</v>
      </c>
      <c r="T8" s="18" t="s">
        <v>34</v>
      </c>
      <c r="U8" s="12" t="s">
        <v>35</v>
      </c>
      <c r="V8" s="21" t="s">
        <v>36</v>
      </c>
      <c r="W8" s="12" t="s">
        <v>37</v>
      </c>
      <c r="X8" s="22" t="s">
        <v>38</v>
      </c>
    </row>
    <row r="9" spans="1:24" ht="34.5" x14ac:dyDescent="0.8">
      <c r="A9" s="1215" t="s">
        <v>4268</v>
      </c>
      <c r="B9" s="1216"/>
      <c r="C9" s="1216"/>
      <c r="D9" s="1216"/>
      <c r="E9" s="1216"/>
      <c r="F9" s="1216"/>
      <c r="G9" s="1216"/>
      <c r="H9" s="1216"/>
      <c r="I9" s="1216"/>
      <c r="J9" s="1216"/>
      <c r="K9" s="1216"/>
      <c r="L9" s="1216"/>
      <c r="M9" s="1216"/>
      <c r="N9" s="1216"/>
      <c r="O9" s="1216"/>
      <c r="P9" s="1216"/>
      <c r="Q9" s="1216"/>
      <c r="R9" s="1216"/>
      <c r="S9" s="1216"/>
      <c r="T9" s="1216"/>
      <c r="U9" s="1216"/>
      <c r="V9" s="1216"/>
      <c r="W9" s="1216"/>
      <c r="X9" s="1216"/>
    </row>
    <row r="10" spans="1:24" ht="45" x14ac:dyDescent="0.8">
      <c r="A10" s="35" t="s">
        <v>1684</v>
      </c>
      <c r="B10" s="35"/>
      <c r="C10" s="787"/>
      <c r="D10" s="35"/>
      <c r="E10" s="36"/>
      <c r="F10" s="213"/>
      <c r="G10" s="213"/>
      <c r="H10" s="311" t="s">
        <v>4269</v>
      </c>
      <c r="I10" s="214"/>
      <c r="J10" s="40"/>
      <c r="K10" s="41"/>
      <c r="L10" s="41"/>
      <c r="M10" s="42"/>
      <c r="N10" s="43"/>
      <c r="O10" s="44"/>
      <c r="P10" s="44"/>
      <c r="Q10" s="44"/>
      <c r="R10" s="43"/>
      <c r="S10" s="44"/>
      <c r="T10" s="44"/>
      <c r="U10" s="44"/>
      <c r="V10" s="44"/>
      <c r="W10" s="44"/>
      <c r="X10" s="45"/>
    </row>
    <row r="11" spans="1:24" ht="26.5" hidden="1" x14ac:dyDescent="0.35">
      <c r="A11" s="46">
        <f>S7</f>
        <v>46153</v>
      </c>
      <c r="B11" s="46"/>
      <c r="C11" s="260"/>
      <c r="D11" s="46"/>
      <c r="E11" s="47" t="s">
        <v>4270</v>
      </c>
      <c r="F11" s="82" t="s">
        <v>4271</v>
      </c>
      <c r="G11" s="82" t="s">
        <v>830</v>
      </c>
      <c r="H11" s="107" t="s">
        <v>4272</v>
      </c>
      <c r="I11" s="82" t="s">
        <v>1611</v>
      </c>
      <c r="J11" s="100" t="s">
        <v>140</v>
      </c>
      <c r="K11" s="91">
        <v>0</v>
      </c>
      <c r="L11" s="91">
        <v>0</v>
      </c>
      <c r="M11" s="92">
        <v>100</v>
      </c>
      <c r="N11" s="94">
        <v>8470</v>
      </c>
      <c r="O11" s="92">
        <v>1</v>
      </c>
      <c r="P11" s="94">
        <f t="shared" ref="P11:P25" si="0">N11/O11</f>
        <v>8470</v>
      </c>
      <c r="Q11" s="94"/>
      <c r="R11" s="92">
        <v>8470</v>
      </c>
      <c r="S11" s="92">
        <f t="shared" ref="S11:S24" si="1">P11-R11</f>
        <v>0</v>
      </c>
      <c r="T11" s="102">
        <f>((3600/M11)*O11)*24</f>
        <v>864</v>
      </c>
      <c r="U11" s="101">
        <f>(P11-R11)*M11/3600</f>
        <v>0</v>
      </c>
      <c r="V11" s="101">
        <f>(P11-R11)*M11/3600/24</f>
        <v>0</v>
      </c>
      <c r="W11" s="101">
        <v>0</v>
      </c>
      <c r="X11" s="55">
        <f>A11+K11+V11+W11+L11</f>
        <v>46153</v>
      </c>
    </row>
    <row r="12" spans="1:24" s="511" customFormat="1" ht="26.5" hidden="1" x14ac:dyDescent="0.35">
      <c r="A12" s="71">
        <f t="shared" ref="A12:A24" si="2">X11</f>
        <v>46153</v>
      </c>
      <c r="B12" s="71"/>
      <c r="C12" s="180"/>
      <c r="D12" s="71"/>
      <c r="E12" s="47" t="s">
        <v>4270</v>
      </c>
      <c r="F12" s="82" t="s">
        <v>4271</v>
      </c>
      <c r="G12" s="82" t="s">
        <v>830</v>
      </c>
      <c r="H12" s="107" t="s">
        <v>4272</v>
      </c>
      <c r="I12" s="82" t="s">
        <v>1611</v>
      </c>
      <c r="J12" s="100" t="s">
        <v>140</v>
      </c>
      <c r="K12" s="91">
        <v>0</v>
      </c>
      <c r="L12" s="91">
        <v>0</v>
      </c>
      <c r="M12" s="92">
        <v>100</v>
      </c>
      <c r="N12" s="94">
        <f>8470+3000</f>
        <v>11470</v>
      </c>
      <c r="O12" s="92">
        <v>1</v>
      </c>
      <c r="P12" s="94">
        <f t="shared" si="0"/>
        <v>11470</v>
      </c>
      <c r="Q12" s="94"/>
      <c r="R12" s="92">
        <v>11470</v>
      </c>
      <c r="S12" s="92">
        <f t="shared" si="1"/>
        <v>0</v>
      </c>
      <c r="T12" s="102">
        <f>((3600/M12)*O12)*24</f>
        <v>864</v>
      </c>
      <c r="U12" s="101">
        <f>(P12-R12)*M12/3600</f>
        <v>0</v>
      </c>
      <c r="V12" s="101">
        <f>(P12-R12)*M12/3600/24</f>
        <v>0</v>
      </c>
      <c r="W12" s="101">
        <v>0</v>
      </c>
      <c r="X12" s="55">
        <f>A12+K12+V12+W12+L12</f>
        <v>46153</v>
      </c>
    </row>
    <row r="13" spans="1:24" s="511" customFormat="1" ht="26.5" hidden="1" x14ac:dyDescent="0.35">
      <c r="A13" s="71">
        <f t="shared" si="2"/>
        <v>46153</v>
      </c>
      <c r="B13" s="71">
        <v>46059</v>
      </c>
      <c r="C13" s="180">
        <f t="shared" ref="C13:C24" si="3">B13-A13</f>
        <v>-94</v>
      </c>
      <c r="D13" s="180"/>
      <c r="E13" s="47" t="s">
        <v>4270</v>
      </c>
      <c r="F13" s="82" t="s">
        <v>4273</v>
      </c>
      <c r="G13" s="82" t="s">
        <v>839</v>
      </c>
      <c r="H13" s="107" t="s">
        <v>4274</v>
      </c>
      <c r="I13" s="82" t="s">
        <v>1611</v>
      </c>
      <c r="J13" s="100" t="s">
        <v>140</v>
      </c>
      <c r="K13" s="91">
        <v>0</v>
      </c>
      <c r="L13" s="91">
        <v>0</v>
      </c>
      <c r="M13" s="92">
        <v>100</v>
      </c>
      <c r="N13" s="94">
        <v>7000</v>
      </c>
      <c r="O13" s="92">
        <v>1</v>
      </c>
      <c r="P13" s="94">
        <f t="shared" si="0"/>
        <v>7000</v>
      </c>
      <c r="Q13" s="181">
        <v>0.8</v>
      </c>
      <c r="R13" s="92">
        <v>7000</v>
      </c>
      <c r="S13" s="102">
        <f t="shared" si="1"/>
        <v>0</v>
      </c>
      <c r="T13" s="173">
        <f t="shared" ref="T13:T24" si="4">((3600/M13)*O13)*24*Q13</f>
        <v>691.2</v>
      </c>
      <c r="U13" s="101">
        <f t="shared" ref="U13:U24" si="5">(P13-R13)*M13/3600/Q13</f>
        <v>0</v>
      </c>
      <c r="V13" s="101">
        <f t="shared" ref="V13:V24" si="6">U13/24</f>
        <v>0</v>
      </c>
      <c r="W13" s="101">
        <v>0</v>
      </c>
      <c r="X13" s="55">
        <f>A13+K13+V13+W13+L13</f>
        <v>46153</v>
      </c>
    </row>
    <row r="14" spans="1:24" s="511" customFormat="1" hidden="1" x14ac:dyDescent="0.35">
      <c r="A14" s="46">
        <f t="shared" si="2"/>
        <v>46153</v>
      </c>
      <c r="B14" s="46">
        <f>'[3]Factory A'!X1818</f>
        <v>46153.815393518526</v>
      </c>
      <c r="C14" s="260">
        <f t="shared" si="3"/>
        <v>0.815393518525525</v>
      </c>
      <c r="D14" s="260" t="s">
        <v>1905</v>
      </c>
      <c r="E14" s="47" t="s">
        <v>1684</v>
      </c>
      <c r="F14" s="316" t="s">
        <v>2842</v>
      </c>
      <c r="G14" s="316" t="s">
        <v>386</v>
      </c>
      <c r="H14" s="98" t="s">
        <v>4275</v>
      </c>
      <c r="I14" s="316" t="s">
        <v>1807</v>
      </c>
      <c r="J14" s="100" t="s">
        <v>140</v>
      </c>
      <c r="K14" s="91">
        <v>0</v>
      </c>
      <c r="L14" s="91">
        <v>0</v>
      </c>
      <c r="M14" s="92">
        <v>200</v>
      </c>
      <c r="N14" s="94">
        <v>620</v>
      </c>
      <c r="O14" s="253">
        <v>1</v>
      </c>
      <c r="P14" s="94">
        <f t="shared" si="0"/>
        <v>620</v>
      </c>
      <c r="Q14" s="181">
        <v>0.8</v>
      </c>
      <c r="R14" s="182">
        <v>620</v>
      </c>
      <c r="S14" s="102">
        <f t="shared" si="1"/>
        <v>0</v>
      </c>
      <c r="T14" s="173">
        <f t="shared" si="4"/>
        <v>345.6</v>
      </c>
      <c r="U14" s="101">
        <f t="shared" si="5"/>
        <v>0</v>
      </c>
      <c r="V14" s="101">
        <f t="shared" si="6"/>
        <v>0</v>
      </c>
      <c r="W14" s="101">
        <v>0</v>
      </c>
      <c r="X14" s="55">
        <f>A14+K14+V14+W14+L14</f>
        <v>46153</v>
      </c>
    </row>
    <row r="15" spans="1:24" s="511" customFormat="1" ht="26.5" hidden="1" x14ac:dyDescent="0.35">
      <c r="A15" s="71">
        <f t="shared" si="2"/>
        <v>46153</v>
      </c>
      <c r="B15" s="71">
        <v>46094.990300925929</v>
      </c>
      <c r="C15" s="260">
        <f t="shared" si="3"/>
        <v>-58.00969907407125</v>
      </c>
      <c r="D15" s="180" t="s">
        <v>4276</v>
      </c>
      <c r="E15" s="47" t="s">
        <v>1684</v>
      </c>
      <c r="F15" s="97" t="s">
        <v>2823</v>
      </c>
      <c r="G15" s="97" t="s">
        <v>359</v>
      </c>
      <c r="H15" s="98" t="s">
        <v>4277</v>
      </c>
      <c r="I15" s="82" t="s">
        <v>1602</v>
      </c>
      <c r="J15" s="100" t="s">
        <v>140</v>
      </c>
      <c r="K15" s="91">
        <v>0</v>
      </c>
      <c r="L15" s="91">
        <v>0</v>
      </c>
      <c r="M15" s="92">
        <v>730</v>
      </c>
      <c r="N15" s="94">
        <v>100</v>
      </c>
      <c r="O15" s="253">
        <v>1</v>
      </c>
      <c r="P15" s="94">
        <f t="shared" si="0"/>
        <v>100</v>
      </c>
      <c r="Q15" s="181">
        <v>0.8</v>
      </c>
      <c r="R15" s="92">
        <v>100</v>
      </c>
      <c r="S15" s="92">
        <f t="shared" si="1"/>
        <v>0</v>
      </c>
      <c r="T15" s="173">
        <f t="shared" si="4"/>
        <v>94.684931506849324</v>
      </c>
      <c r="U15" s="101">
        <f t="shared" si="5"/>
        <v>0</v>
      </c>
      <c r="V15" s="101">
        <f t="shared" si="6"/>
        <v>0</v>
      </c>
      <c r="W15" s="101">
        <v>0</v>
      </c>
      <c r="X15" s="55">
        <f>'[2]Factory 2'!A15+K15+V15+W15+L15</f>
        <v>46153</v>
      </c>
    </row>
    <row r="16" spans="1:24" s="511" customFormat="1" ht="26.5" hidden="1" x14ac:dyDescent="0.35">
      <c r="A16" s="71">
        <f t="shared" si="2"/>
        <v>46153</v>
      </c>
      <c r="B16" s="71">
        <v>46096.270138888889</v>
      </c>
      <c r="C16" s="180">
        <f t="shared" si="3"/>
        <v>-56.729861111110949</v>
      </c>
      <c r="D16" s="180" t="s">
        <v>4276</v>
      </c>
      <c r="E16" s="47" t="s">
        <v>1684</v>
      </c>
      <c r="F16" s="97" t="s">
        <v>2823</v>
      </c>
      <c r="G16" s="97" t="s">
        <v>359</v>
      </c>
      <c r="H16" s="107" t="s">
        <v>4278</v>
      </c>
      <c r="I16" s="71" t="s">
        <v>4279</v>
      </c>
      <c r="J16" s="100" t="s">
        <v>140</v>
      </c>
      <c r="K16" s="91">
        <v>0</v>
      </c>
      <c r="L16" s="91">
        <v>0</v>
      </c>
      <c r="M16" s="92">
        <v>730</v>
      </c>
      <c r="N16" s="94">
        <v>75</v>
      </c>
      <c r="O16" s="253">
        <v>1</v>
      </c>
      <c r="P16" s="94">
        <f t="shared" si="0"/>
        <v>75</v>
      </c>
      <c r="Q16" s="181">
        <v>0.8</v>
      </c>
      <c r="R16" s="92">
        <v>75</v>
      </c>
      <c r="S16" s="102">
        <f t="shared" si="1"/>
        <v>0</v>
      </c>
      <c r="T16" s="173">
        <f t="shared" si="4"/>
        <v>94.684931506849324</v>
      </c>
      <c r="U16" s="101">
        <f t="shared" si="5"/>
        <v>0</v>
      </c>
      <c r="V16" s="101">
        <f t="shared" si="6"/>
        <v>0</v>
      </c>
      <c r="W16" s="101">
        <v>0</v>
      </c>
      <c r="X16" s="55">
        <f>'[2]Factory 2'!A16+K16+V16+W16+L16</f>
        <v>46153</v>
      </c>
    </row>
    <row r="17" spans="1:24" s="511" customFormat="1" ht="26.5" hidden="1" x14ac:dyDescent="0.35">
      <c r="A17" s="71">
        <f t="shared" si="2"/>
        <v>46153</v>
      </c>
      <c r="B17" s="71">
        <v>46100.262233796297</v>
      </c>
      <c r="C17" s="260">
        <f t="shared" si="3"/>
        <v>-52.737766203703359</v>
      </c>
      <c r="D17" s="180" t="s">
        <v>4276</v>
      </c>
      <c r="E17" s="47" t="s">
        <v>1684</v>
      </c>
      <c r="F17" s="97" t="s">
        <v>4280</v>
      </c>
      <c r="G17" s="97" t="s">
        <v>398</v>
      </c>
      <c r="H17" s="98" t="s">
        <v>4281</v>
      </c>
      <c r="I17" s="82" t="s">
        <v>1595</v>
      </c>
      <c r="J17" s="100" t="s">
        <v>140</v>
      </c>
      <c r="K17" s="91">
        <v>0</v>
      </c>
      <c r="L17" s="91">
        <v>0</v>
      </c>
      <c r="M17" s="92">
        <v>730</v>
      </c>
      <c r="N17" s="94">
        <v>150</v>
      </c>
      <c r="O17" s="253">
        <v>1</v>
      </c>
      <c r="P17" s="94">
        <f t="shared" si="0"/>
        <v>150</v>
      </c>
      <c r="Q17" s="181">
        <v>0.8</v>
      </c>
      <c r="R17" s="92">
        <v>150</v>
      </c>
      <c r="S17" s="102">
        <f t="shared" si="1"/>
        <v>0</v>
      </c>
      <c r="T17" s="173">
        <f t="shared" si="4"/>
        <v>94.684931506849324</v>
      </c>
      <c r="U17" s="101">
        <f t="shared" si="5"/>
        <v>0</v>
      </c>
      <c r="V17" s="101">
        <f t="shared" si="6"/>
        <v>0</v>
      </c>
      <c r="W17" s="101">
        <v>0</v>
      </c>
      <c r="X17" s="55">
        <f>'[2]Factory 2'!A17+K17+V17+W17+L17</f>
        <v>46153</v>
      </c>
    </row>
    <row r="18" spans="1:24" s="511" customFormat="1" ht="26.5" hidden="1" x14ac:dyDescent="0.35">
      <c r="A18" s="71">
        <f t="shared" si="2"/>
        <v>46153</v>
      </c>
      <c r="B18" s="71">
        <v>46099.262233796297</v>
      </c>
      <c r="C18" s="260">
        <f t="shared" si="3"/>
        <v>-53.737766203703359</v>
      </c>
      <c r="D18" s="180" t="s">
        <v>4276</v>
      </c>
      <c r="E18" s="47" t="s">
        <v>1684</v>
      </c>
      <c r="F18" s="97" t="s">
        <v>4280</v>
      </c>
      <c r="G18" s="97" t="s">
        <v>398</v>
      </c>
      <c r="H18" s="98" t="s">
        <v>4282</v>
      </c>
      <c r="I18" s="82" t="s">
        <v>2829</v>
      </c>
      <c r="J18" s="100" t="s">
        <v>140</v>
      </c>
      <c r="K18" s="91">
        <v>0</v>
      </c>
      <c r="L18" s="91">
        <v>0</v>
      </c>
      <c r="M18" s="92">
        <v>730</v>
      </c>
      <c r="N18" s="94">
        <v>30</v>
      </c>
      <c r="O18" s="253">
        <v>1</v>
      </c>
      <c r="P18" s="94">
        <f t="shared" si="0"/>
        <v>30</v>
      </c>
      <c r="Q18" s="181">
        <v>0.8</v>
      </c>
      <c r="R18" s="92">
        <v>30</v>
      </c>
      <c r="S18" s="102">
        <f t="shared" si="1"/>
        <v>0</v>
      </c>
      <c r="T18" s="173">
        <f t="shared" si="4"/>
        <v>94.684931506849324</v>
      </c>
      <c r="U18" s="101">
        <f t="shared" si="5"/>
        <v>0</v>
      </c>
      <c r="V18" s="101">
        <f t="shared" si="6"/>
        <v>0</v>
      </c>
      <c r="W18" s="101">
        <v>0</v>
      </c>
      <c r="X18" s="55">
        <f>'[2]Factory 2'!A18+K18+V18+W18+L18</f>
        <v>46153</v>
      </c>
    </row>
    <row r="19" spans="1:24" s="511" customFormat="1" ht="26.5" hidden="1" x14ac:dyDescent="0.35">
      <c r="A19" s="71">
        <f t="shared" si="2"/>
        <v>46153</v>
      </c>
      <c r="B19" s="71">
        <v>46098.262233796297</v>
      </c>
      <c r="C19" s="260">
        <f t="shared" si="3"/>
        <v>-54.737766203703359</v>
      </c>
      <c r="D19" s="180" t="s">
        <v>4276</v>
      </c>
      <c r="E19" s="47" t="s">
        <v>1684</v>
      </c>
      <c r="F19" s="97" t="s">
        <v>2823</v>
      </c>
      <c r="G19" s="97" t="s">
        <v>359</v>
      </c>
      <c r="H19" s="98" t="s">
        <v>4283</v>
      </c>
      <c r="I19" s="82" t="s">
        <v>1842</v>
      </c>
      <c r="J19" s="100" t="s">
        <v>140</v>
      </c>
      <c r="K19" s="91">
        <v>0</v>
      </c>
      <c r="L19" s="91">
        <v>0</v>
      </c>
      <c r="M19" s="92">
        <v>730</v>
      </c>
      <c r="N19" s="94">
        <v>50</v>
      </c>
      <c r="O19" s="253">
        <v>1</v>
      </c>
      <c r="P19" s="94">
        <f t="shared" si="0"/>
        <v>50</v>
      </c>
      <c r="Q19" s="181">
        <v>0.8</v>
      </c>
      <c r="R19" s="92">
        <v>50</v>
      </c>
      <c r="S19" s="102">
        <f t="shared" si="1"/>
        <v>0</v>
      </c>
      <c r="T19" s="173">
        <f t="shared" si="4"/>
        <v>94.684931506849324</v>
      </c>
      <c r="U19" s="101">
        <f t="shared" si="5"/>
        <v>0</v>
      </c>
      <c r="V19" s="101">
        <f t="shared" si="6"/>
        <v>0</v>
      </c>
      <c r="W19" s="101">
        <v>0</v>
      </c>
      <c r="X19" s="55">
        <f>'[2]Factory 2'!A19+K19+V19+W19+L19</f>
        <v>46153</v>
      </c>
    </row>
    <row r="20" spans="1:24" s="511" customFormat="1" hidden="1" x14ac:dyDescent="0.35">
      <c r="A20" s="71">
        <f t="shared" si="2"/>
        <v>46153</v>
      </c>
      <c r="B20" s="71">
        <v>46105</v>
      </c>
      <c r="C20" s="260">
        <f t="shared" si="3"/>
        <v>-48</v>
      </c>
      <c r="D20" s="180"/>
      <c r="E20" s="47" t="s">
        <v>1684</v>
      </c>
      <c r="F20" s="97" t="s">
        <v>4284</v>
      </c>
      <c r="G20" s="97" t="s">
        <v>398</v>
      </c>
      <c r="H20" s="98" t="s">
        <v>4285</v>
      </c>
      <c r="I20" s="82" t="s">
        <v>2827</v>
      </c>
      <c r="J20" s="100" t="s">
        <v>140</v>
      </c>
      <c r="K20" s="91">
        <v>0</v>
      </c>
      <c r="L20" s="91">
        <v>0</v>
      </c>
      <c r="M20" s="92">
        <v>730</v>
      </c>
      <c r="N20" s="94">
        <v>75</v>
      </c>
      <c r="O20" s="253">
        <v>1</v>
      </c>
      <c r="P20" s="94">
        <f t="shared" si="0"/>
        <v>75</v>
      </c>
      <c r="Q20" s="181">
        <v>0.8</v>
      </c>
      <c r="R20" s="92">
        <v>75</v>
      </c>
      <c r="S20" s="102">
        <f t="shared" si="1"/>
        <v>0</v>
      </c>
      <c r="T20" s="173">
        <f t="shared" si="4"/>
        <v>94.684931506849324</v>
      </c>
      <c r="U20" s="101">
        <f t="shared" si="5"/>
        <v>0</v>
      </c>
      <c r="V20" s="101">
        <f t="shared" si="6"/>
        <v>0</v>
      </c>
      <c r="W20" s="101">
        <v>0</v>
      </c>
      <c r="X20" s="55">
        <f>'[2]Factory 2'!A20+K20+V20+W20+L20</f>
        <v>46153</v>
      </c>
    </row>
    <row r="21" spans="1:24" s="511" customFormat="1" hidden="1" x14ac:dyDescent="0.35">
      <c r="A21" s="71">
        <f t="shared" si="2"/>
        <v>46153</v>
      </c>
      <c r="B21" s="71">
        <v>46105</v>
      </c>
      <c r="C21" s="260">
        <f t="shared" si="3"/>
        <v>-48</v>
      </c>
      <c r="D21" s="180"/>
      <c r="E21" s="47" t="s">
        <v>1684</v>
      </c>
      <c r="F21" s="97" t="s">
        <v>4284</v>
      </c>
      <c r="G21" s="97" t="s">
        <v>398</v>
      </c>
      <c r="H21" s="98" t="s">
        <v>4286</v>
      </c>
      <c r="I21" s="82" t="s">
        <v>2831</v>
      </c>
      <c r="J21" s="100" t="s">
        <v>140</v>
      </c>
      <c r="K21" s="91">
        <v>0</v>
      </c>
      <c r="L21" s="91">
        <v>0</v>
      </c>
      <c r="M21" s="92">
        <v>730</v>
      </c>
      <c r="N21" s="94">
        <v>75</v>
      </c>
      <c r="O21" s="253">
        <v>1</v>
      </c>
      <c r="P21" s="94">
        <f t="shared" si="0"/>
        <v>75</v>
      </c>
      <c r="Q21" s="181">
        <v>0.8</v>
      </c>
      <c r="R21" s="92">
        <v>75</v>
      </c>
      <c r="S21" s="102">
        <f t="shared" si="1"/>
        <v>0</v>
      </c>
      <c r="T21" s="173">
        <f t="shared" si="4"/>
        <v>94.684931506849324</v>
      </c>
      <c r="U21" s="101">
        <f t="shared" si="5"/>
        <v>0</v>
      </c>
      <c r="V21" s="101">
        <f t="shared" si="6"/>
        <v>0</v>
      </c>
      <c r="W21" s="101">
        <v>0</v>
      </c>
      <c r="X21" s="55">
        <f>'[2]Factory 2'!A21+K21+V21+W21+L21</f>
        <v>46153</v>
      </c>
    </row>
    <row r="22" spans="1:24" s="511" customFormat="1" hidden="1" x14ac:dyDescent="0.35">
      <c r="A22" s="71">
        <f t="shared" si="2"/>
        <v>46153</v>
      </c>
      <c r="B22" s="46">
        <v>46108</v>
      </c>
      <c r="C22" s="260">
        <f t="shared" si="3"/>
        <v>-45</v>
      </c>
      <c r="D22" s="260"/>
      <c r="E22" s="47" t="s">
        <v>1684</v>
      </c>
      <c r="F22" s="316" t="s">
        <v>4287</v>
      </c>
      <c r="G22" s="316" t="s">
        <v>398</v>
      </c>
      <c r="H22" s="98" t="s">
        <v>4288</v>
      </c>
      <c r="I22" s="316" t="s">
        <v>1807</v>
      </c>
      <c r="J22" s="100" t="s">
        <v>140</v>
      </c>
      <c r="K22" s="91">
        <v>0</v>
      </c>
      <c r="L22" s="91">
        <v>0</v>
      </c>
      <c r="M22" s="92">
        <v>240</v>
      </c>
      <c r="N22" s="94">
        <v>1000</v>
      </c>
      <c r="O22" s="253">
        <v>1</v>
      </c>
      <c r="P22" s="94">
        <f t="shared" si="0"/>
        <v>1000</v>
      </c>
      <c r="Q22" s="181">
        <v>0.8</v>
      </c>
      <c r="R22" s="182">
        <v>1000</v>
      </c>
      <c r="S22" s="102">
        <f t="shared" si="1"/>
        <v>0</v>
      </c>
      <c r="T22" s="173">
        <f t="shared" si="4"/>
        <v>288</v>
      </c>
      <c r="U22" s="101">
        <f t="shared" si="5"/>
        <v>0</v>
      </c>
      <c r="V22" s="101">
        <f t="shared" si="6"/>
        <v>0</v>
      </c>
      <c r="W22" s="101">
        <v>0</v>
      </c>
      <c r="X22" s="55">
        <f>A22+K22+V22+W22+L22</f>
        <v>46153</v>
      </c>
    </row>
    <row r="23" spans="1:24" s="511" customFormat="1" ht="26.5" hidden="1" x14ac:dyDescent="0.35">
      <c r="A23" s="71">
        <f t="shared" si="2"/>
        <v>46153</v>
      </c>
      <c r="B23" s="46">
        <v>46105</v>
      </c>
      <c r="C23" s="180">
        <f t="shared" si="3"/>
        <v>-48</v>
      </c>
      <c r="D23" s="180" t="s">
        <v>4276</v>
      </c>
      <c r="E23" s="47" t="s">
        <v>1684</v>
      </c>
      <c r="F23" s="316" t="s">
        <v>4287</v>
      </c>
      <c r="G23" s="316" t="s">
        <v>398</v>
      </c>
      <c r="H23" s="98" t="s">
        <v>4289</v>
      </c>
      <c r="I23" s="316" t="s">
        <v>1686</v>
      </c>
      <c r="J23" s="100" t="s">
        <v>140</v>
      </c>
      <c r="K23" s="91">
        <v>0</v>
      </c>
      <c r="L23" s="91">
        <v>0</v>
      </c>
      <c r="M23" s="92">
        <v>280</v>
      </c>
      <c r="N23" s="94">
        <v>1000</v>
      </c>
      <c r="O23" s="253">
        <v>1</v>
      </c>
      <c r="P23" s="94">
        <f t="shared" si="0"/>
        <v>1000</v>
      </c>
      <c r="Q23" s="181">
        <v>0.8</v>
      </c>
      <c r="R23" s="92">
        <v>1000</v>
      </c>
      <c r="S23" s="102">
        <f t="shared" si="1"/>
        <v>0</v>
      </c>
      <c r="T23" s="173">
        <f t="shared" si="4"/>
        <v>246.85714285714286</v>
      </c>
      <c r="U23" s="101">
        <f t="shared" si="5"/>
        <v>0</v>
      </c>
      <c r="V23" s="101">
        <f t="shared" si="6"/>
        <v>0</v>
      </c>
      <c r="W23" s="101">
        <v>0</v>
      </c>
      <c r="X23" s="55">
        <f>A23+K23+V23+W23+L23</f>
        <v>46153</v>
      </c>
    </row>
    <row r="24" spans="1:24" s="202" customFormat="1" x14ac:dyDescent="0.35">
      <c r="A24" s="192">
        <f t="shared" si="2"/>
        <v>46153</v>
      </c>
      <c r="B24" s="193">
        <v>46139</v>
      </c>
      <c r="C24" s="194">
        <f t="shared" si="3"/>
        <v>-14</v>
      </c>
      <c r="D24" s="193"/>
      <c r="E24" s="195" t="s">
        <v>1684</v>
      </c>
      <c r="F24" s="196" t="s">
        <v>1917</v>
      </c>
      <c r="G24" s="196" t="s">
        <v>411</v>
      </c>
      <c r="H24" s="616">
        <v>14017</v>
      </c>
      <c r="I24" s="196" t="s">
        <v>4290</v>
      </c>
      <c r="J24" s="383" t="s">
        <v>140</v>
      </c>
      <c r="K24" s="482">
        <v>0</v>
      </c>
      <c r="L24" s="482">
        <v>0</v>
      </c>
      <c r="M24" s="199">
        <v>60</v>
      </c>
      <c r="N24" s="483">
        <v>7500</v>
      </c>
      <c r="O24" s="199">
        <v>1</v>
      </c>
      <c r="P24" s="483">
        <f t="shared" si="0"/>
        <v>7500</v>
      </c>
      <c r="Q24" s="198">
        <v>0.8</v>
      </c>
      <c r="R24" s="199">
        <v>354</v>
      </c>
      <c r="S24" s="116">
        <f t="shared" si="1"/>
        <v>7146</v>
      </c>
      <c r="T24" s="200">
        <f t="shared" si="4"/>
        <v>1152</v>
      </c>
      <c r="U24" s="115">
        <f t="shared" si="5"/>
        <v>148.87499999999997</v>
      </c>
      <c r="V24" s="115">
        <f t="shared" si="6"/>
        <v>6.2031249999999991</v>
      </c>
      <c r="W24" s="115">
        <v>0</v>
      </c>
      <c r="X24" s="201">
        <f>A24+K24+L24+V24+W24</f>
        <v>46159.203125</v>
      </c>
    </row>
    <row r="25" spans="1:24" s="487" customFormat="1" x14ac:dyDescent="0.35">
      <c r="A25" s="203">
        <f>X26</f>
        <v>46162.908333333333</v>
      </c>
      <c r="B25" s="203">
        <v>46150</v>
      </c>
      <c r="C25" s="385">
        <f>B25-A25</f>
        <v>-12.908333333332848</v>
      </c>
      <c r="D25" s="203"/>
      <c r="E25" s="386" t="s">
        <v>1684</v>
      </c>
      <c r="F25" s="287" t="s">
        <v>915</v>
      </c>
      <c r="G25" s="287" t="s">
        <v>414</v>
      </c>
      <c r="H25" s="206" t="s">
        <v>4291</v>
      </c>
      <c r="I25" s="205" t="s">
        <v>4292</v>
      </c>
      <c r="J25" s="310" t="s">
        <v>140</v>
      </c>
      <c r="K25" s="208">
        <v>0.25</v>
      </c>
      <c r="L25" s="208">
        <v>0.2</v>
      </c>
      <c r="M25" s="209">
        <v>45</v>
      </c>
      <c r="N25" s="210">
        <v>8400</v>
      </c>
      <c r="O25" s="209">
        <v>2</v>
      </c>
      <c r="P25" s="210">
        <f t="shared" si="0"/>
        <v>4200</v>
      </c>
      <c r="Q25" s="293">
        <v>0.8</v>
      </c>
      <c r="R25" s="209"/>
      <c r="S25" s="209">
        <f>P25-R25</f>
        <v>4200</v>
      </c>
      <c r="T25" s="294">
        <f>((3600/M25)*O25)*24*Q25</f>
        <v>3072</v>
      </c>
      <c r="U25" s="289">
        <f>(P25-R25)*M25/3600/Q25</f>
        <v>65.625</v>
      </c>
      <c r="V25" s="289">
        <f>U25/24</f>
        <v>2.734375</v>
      </c>
      <c r="W25" s="289">
        <v>0</v>
      </c>
      <c r="X25" s="212">
        <f t="shared" ref="X25" si="7">A25+K25+L25+V25+W25</f>
        <v>46166.09270833333</v>
      </c>
    </row>
    <row r="26" spans="1:24" s="178" customFormat="1" x14ac:dyDescent="0.35">
      <c r="A26" s="384">
        <f>X24</f>
        <v>46159.203125</v>
      </c>
      <c r="B26" s="203">
        <v>46147</v>
      </c>
      <c r="C26" s="385">
        <f>B26-A26</f>
        <v>-12.203125</v>
      </c>
      <c r="D26" s="203"/>
      <c r="E26" s="386" t="s">
        <v>1684</v>
      </c>
      <c r="F26" s="287" t="s">
        <v>1583</v>
      </c>
      <c r="G26" s="205" t="s">
        <v>411</v>
      </c>
      <c r="H26" s="206" t="s">
        <v>4293</v>
      </c>
      <c r="I26" s="205" t="s">
        <v>4294</v>
      </c>
      <c r="J26" s="207" t="s">
        <v>140</v>
      </c>
      <c r="K26" s="208">
        <v>0.25</v>
      </c>
      <c r="L26" s="208">
        <v>0.2</v>
      </c>
      <c r="M26" s="209">
        <v>60</v>
      </c>
      <c r="N26" s="210">
        <v>7500</v>
      </c>
      <c r="O26" s="209">
        <v>2</v>
      </c>
      <c r="P26" s="210">
        <f>N26/O26</f>
        <v>3750</v>
      </c>
      <c r="Q26" s="293">
        <v>0.8</v>
      </c>
      <c r="R26" s="209"/>
      <c r="S26" s="209">
        <f>P26-R26</f>
        <v>3750</v>
      </c>
      <c r="T26" s="294">
        <f>((3600/M26)*O26)*24*Q26</f>
        <v>2304</v>
      </c>
      <c r="U26" s="289">
        <f>(P26-R26)*M26/3600/Q26</f>
        <v>78.125</v>
      </c>
      <c r="V26" s="289">
        <f>U26/24</f>
        <v>3.2552083333333335</v>
      </c>
      <c r="W26" s="289">
        <v>0</v>
      </c>
      <c r="X26" s="212">
        <f>A26+K26+V26+W26+L26</f>
        <v>46162.908333333333</v>
      </c>
    </row>
    <row r="27" spans="1:24" s="487" customFormat="1" x14ac:dyDescent="0.35">
      <c r="A27" s="203"/>
      <c r="B27" s="203"/>
      <c r="C27" s="286"/>
      <c r="D27" s="203"/>
      <c r="E27" s="204"/>
      <c r="F27" s="287"/>
      <c r="G27" s="287"/>
      <c r="H27" s="206"/>
      <c r="I27" s="205"/>
      <c r="J27" s="310"/>
      <c r="K27" s="208"/>
      <c r="L27" s="208"/>
      <c r="M27" s="209"/>
      <c r="N27" s="209"/>
      <c r="O27" s="209"/>
      <c r="P27" s="209"/>
      <c r="Q27" s="209"/>
      <c r="R27" s="209"/>
      <c r="S27" s="209"/>
      <c r="T27" s="290"/>
      <c r="U27" s="289"/>
      <c r="V27" s="289"/>
      <c r="W27" s="289"/>
      <c r="X27" s="212"/>
    </row>
    <row r="28" spans="1:24" ht="45" x14ac:dyDescent="0.8">
      <c r="A28" s="35" t="s">
        <v>4270</v>
      </c>
      <c r="B28" s="35"/>
      <c r="C28" s="787"/>
      <c r="D28" s="35"/>
      <c r="E28" s="36"/>
      <c r="F28" s="213"/>
      <c r="G28" s="213"/>
      <c r="H28" s="311" t="s">
        <v>4269</v>
      </c>
      <c r="I28" s="214"/>
      <c r="J28" s="40"/>
      <c r="K28" s="41"/>
      <c r="L28" s="41"/>
      <c r="M28" s="42"/>
      <c r="N28" s="43"/>
      <c r="O28" s="44"/>
      <c r="P28" s="44"/>
      <c r="Q28" s="44"/>
      <c r="R28" s="43"/>
      <c r="S28" s="44"/>
      <c r="T28" s="44"/>
      <c r="U28" s="44"/>
      <c r="V28" s="44"/>
      <c r="W28" s="44"/>
      <c r="X28" s="45"/>
    </row>
    <row r="29" spans="1:24" ht="26.5" hidden="1" x14ac:dyDescent="0.35">
      <c r="A29" s="161">
        <f>S7</f>
        <v>46153</v>
      </c>
      <c r="B29" s="161"/>
      <c r="C29" s="183"/>
      <c r="D29" s="161"/>
      <c r="E29" s="124" t="s">
        <v>4270</v>
      </c>
      <c r="F29" s="125" t="s">
        <v>1640</v>
      </c>
      <c r="G29" s="125" t="s">
        <v>359</v>
      </c>
      <c r="H29" s="126" t="s">
        <v>2820</v>
      </c>
      <c r="I29" s="125" t="s">
        <v>2812</v>
      </c>
      <c r="J29" s="162" t="s">
        <v>140</v>
      </c>
      <c r="K29" s="129">
        <v>0</v>
      </c>
      <c r="L29" s="129">
        <v>0</v>
      </c>
      <c r="M29" s="130">
        <v>60</v>
      </c>
      <c r="N29" s="131">
        <v>5000</v>
      </c>
      <c r="O29" s="130">
        <v>1</v>
      </c>
      <c r="P29" s="131">
        <f t="shared" ref="P29:P42" si="8">N29/O29</f>
        <v>5000</v>
      </c>
      <c r="Q29" s="131"/>
      <c r="R29" s="130">
        <v>5000</v>
      </c>
      <c r="S29" s="130">
        <f t="shared" ref="S29:S42" si="9">P29-R29</f>
        <v>0</v>
      </c>
      <c r="T29" s="164">
        <f>((3600/M29)*O29)*24</f>
        <v>1440</v>
      </c>
      <c r="U29" s="163">
        <f>(P29-R29)*M29/3600</f>
        <v>0</v>
      </c>
      <c r="V29" s="163">
        <f>(P29-R29)*M29/3600/24</f>
        <v>0</v>
      </c>
      <c r="W29" s="163">
        <v>0</v>
      </c>
      <c r="X29" s="137">
        <f>A29+K29+L29+V29+W29</f>
        <v>46153</v>
      </c>
    </row>
    <row r="30" spans="1:24" s="511" customFormat="1" ht="26.5" hidden="1" x14ac:dyDescent="0.35">
      <c r="A30" s="71">
        <f t="shared" ref="A30:A43" si="10">X29</f>
        <v>46153</v>
      </c>
      <c r="B30" s="71"/>
      <c r="C30" s="180"/>
      <c r="D30" s="71"/>
      <c r="E30" s="47" t="s">
        <v>4270</v>
      </c>
      <c r="F30" s="97" t="s">
        <v>1640</v>
      </c>
      <c r="G30" s="97" t="s">
        <v>359</v>
      </c>
      <c r="H30" s="98" t="s">
        <v>2820</v>
      </c>
      <c r="I30" s="97" t="s">
        <v>2812</v>
      </c>
      <c r="J30" s="170" t="s">
        <v>140</v>
      </c>
      <c r="K30" s="91">
        <v>0</v>
      </c>
      <c r="L30" s="91">
        <v>0</v>
      </c>
      <c r="M30" s="92">
        <v>60</v>
      </c>
      <c r="N30" s="94">
        <f>25000-12000</f>
        <v>13000</v>
      </c>
      <c r="O30" s="92">
        <v>1</v>
      </c>
      <c r="P30" s="94">
        <f t="shared" si="8"/>
        <v>13000</v>
      </c>
      <c r="Q30" s="94"/>
      <c r="R30" s="92">
        <v>13000</v>
      </c>
      <c r="S30" s="92">
        <f t="shared" si="9"/>
        <v>0</v>
      </c>
      <c r="T30" s="102">
        <f>((3600/M30)*O30)*24</f>
        <v>1440</v>
      </c>
      <c r="U30" s="101">
        <f>(P30-R30)*M30/3600</f>
        <v>0</v>
      </c>
      <c r="V30" s="101">
        <f>(P30-R30)*M30/3600/24</f>
        <v>0</v>
      </c>
      <c r="W30" s="101">
        <v>0</v>
      </c>
      <c r="X30" s="55">
        <f>A30+K30+L30+V30+W30</f>
        <v>46153</v>
      </c>
    </row>
    <row r="31" spans="1:24" s="511" customFormat="1" hidden="1" x14ac:dyDescent="0.35">
      <c r="A31" s="46">
        <f t="shared" si="10"/>
        <v>46153</v>
      </c>
      <c r="B31" s="46"/>
      <c r="C31" s="260"/>
      <c r="D31" s="46"/>
      <c r="E31" s="47" t="s">
        <v>4270</v>
      </c>
      <c r="F31" s="97" t="s">
        <v>355</v>
      </c>
      <c r="G31" s="82" t="s">
        <v>839</v>
      </c>
      <c r="H31" s="98" t="s">
        <v>4295</v>
      </c>
      <c r="I31" s="82" t="s">
        <v>3512</v>
      </c>
      <c r="J31" s="51" t="s">
        <v>140</v>
      </c>
      <c r="K31" s="91">
        <v>0</v>
      </c>
      <c r="L31" s="91">
        <v>0</v>
      </c>
      <c r="M31" s="92">
        <v>75</v>
      </c>
      <c r="N31" s="94">
        <v>1500</v>
      </c>
      <c r="O31" s="92">
        <v>1</v>
      </c>
      <c r="P31" s="94">
        <f t="shared" si="8"/>
        <v>1500</v>
      </c>
      <c r="Q31" s="94"/>
      <c r="R31" s="92">
        <v>1500</v>
      </c>
      <c r="S31" s="92">
        <f t="shared" si="9"/>
        <v>0</v>
      </c>
      <c r="T31" s="92">
        <f>((3600/M31)*O31)*24</f>
        <v>1152</v>
      </c>
      <c r="U31" s="91">
        <f>(P31-R31)*M31/3600</f>
        <v>0</v>
      </c>
      <c r="V31" s="91">
        <f>(P31-R31)*M31/3600/24</f>
        <v>0</v>
      </c>
      <c r="W31" s="91">
        <v>0</v>
      </c>
      <c r="X31" s="55">
        <f>A31+K31+V31+W31+L31</f>
        <v>46153</v>
      </c>
    </row>
    <row r="32" spans="1:24" s="511" customFormat="1" ht="26.5" hidden="1" x14ac:dyDescent="0.35">
      <c r="A32" s="71">
        <f t="shared" si="10"/>
        <v>46153</v>
      </c>
      <c r="B32" s="71"/>
      <c r="C32" s="180"/>
      <c r="D32" s="71"/>
      <c r="E32" s="119" t="s">
        <v>4270</v>
      </c>
      <c r="F32" s="97" t="s">
        <v>1583</v>
      </c>
      <c r="G32" s="97" t="s">
        <v>359</v>
      </c>
      <c r="H32" s="107" t="s">
        <v>4296</v>
      </c>
      <c r="I32" s="71" t="s">
        <v>4297</v>
      </c>
      <c r="J32" s="100" t="s">
        <v>140</v>
      </c>
      <c r="K32" s="91">
        <v>0</v>
      </c>
      <c r="L32" s="91">
        <v>0</v>
      </c>
      <c r="M32" s="92">
        <v>90</v>
      </c>
      <c r="N32" s="94">
        <v>2000</v>
      </c>
      <c r="O32" s="92">
        <v>1</v>
      </c>
      <c r="P32" s="94">
        <f t="shared" si="8"/>
        <v>2000</v>
      </c>
      <c r="Q32" s="94"/>
      <c r="R32" s="92">
        <v>2000</v>
      </c>
      <c r="S32" s="92">
        <f t="shared" si="9"/>
        <v>0</v>
      </c>
      <c r="T32" s="102">
        <f>((3600/M32)*O32)*24</f>
        <v>960</v>
      </c>
      <c r="U32" s="101">
        <f>(P32-R32)*M32/3600</f>
        <v>0</v>
      </c>
      <c r="V32" s="101">
        <f>(P32-R32)*M32/3600/24</f>
        <v>0</v>
      </c>
      <c r="W32" s="101">
        <v>0</v>
      </c>
      <c r="X32" s="55">
        <f>A32+K32+L32+V32+W32</f>
        <v>46153</v>
      </c>
    </row>
    <row r="33" spans="1:24" s="121" customFormat="1" hidden="1" x14ac:dyDescent="0.35">
      <c r="A33" s="46">
        <f t="shared" si="10"/>
        <v>46153</v>
      </c>
      <c r="B33" s="46"/>
      <c r="C33" s="260"/>
      <c r="D33" s="46"/>
      <c r="E33" s="47" t="s">
        <v>4270</v>
      </c>
      <c r="F33" s="82" t="s">
        <v>4273</v>
      </c>
      <c r="G33" s="82" t="s">
        <v>839</v>
      </c>
      <c r="H33" s="107" t="s">
        <v>4298</v>
      </c>
      <c r="I33" s="417" t="s">
        <v>4299</v>
      </c>
      <c r="J33" s="100" t="s">
        <v>140</v>
      </c>
      <c r="K33" s="91">
        <v>0</v>
      </c>
      <c r="L33" s="91">
        <v>0</v>
      </c>
      <c r="M33" s="92">
        <v>55</v>
      </c>
      <c r="N33" s="94">
        <v>7000</v>
      </c>
      <c r="O33" s="92">
        <v>1</v>
      </c>
      <c r="P33" s="94">
        <f t="shared" si="8"/>
        <v>7000</v>
      </c>
      <c r="Q33" s="94"/>
      <c r="R33" s="92">
        <v>7000</v>
      </c>
      <c r="S33" s="92">
        <f t="shared" si="9"/>
        <v>0</v>
      </c>
      <c r="T33" s="102">
        <f>((3600/M33)*O33)*24</f>
        <v>1570.909090909091</v>
      </c>
      <c r="U33" s="101">
        <f>(P33-R33)*M33/3600</f>
        <v>0</v>
      </c>
      <c r="V33" s="101">
        <f>(P33-R33)*M33/3600/24</f>
        <v>0</v>
      </c>
      <c r="W33" s="101">
        <v>0</v>
      </c>
      <c r="X33" s="55">
        <f>A33+K33+V33+W33+L33</f>
        <v>46153</v>
      </c>
    </row>
    <row r="34" spans="1:24" s="121" customFormat="1" hidden="1" x14ac:dyDescent="0.35">
      <c r="A34" s="46">
        <f t="shared" si="10"/>
        <v>46153</v>
      </c>
      <c r="B34" s="71">
        <v>46059</v>
      </c>
      <c r="C34" s="180">
        <f t="shared" ref="C34:C42" si="11">B34-A34</f>
        <v>-94</v>
      </c>
      <c r="D34" s="180"/>
      <c r="E34" s="47" t="s">
        <v>4270</v>
      </c>
      <c r="F34" s="82" t="s">
        <v>4273</v>
      </c>
      <c r="G34" s="82" t="s">
        <v>839</v>
      </c>
      <c r="H34" s="107" t="s">
        <v>4300</v>
      </c>
      <c r="I34" s="417" t="s">
        <v>4299</v>
      </c>
      <c r="J34" s="100" t="s">
        <v>140</v>
      </c>
      <c r="K34" s="91">
        <v>0</v>
      </c>
      <c r="L34" s="91">
        <v>0</v>
      </c>
      <c r="M34" s="92">
        <v>55</v>
      </c>
      <c r="N34" s="94">
        <v>10000</v>
      </c>
      <c r="O34" s="92">
        <v>1</v>
      </c>
      <c r="P34" s="94">
        <f t="shared" si="8"/>
        <v>10000</v>
      </c>
      <c r="Q34" s="181">
        <v>0.8</v>
      </c>
      <c r="R34" s="92">
        <v>10000</v>
      </c>
      <c r="S34" s="102">
        <f t="shared" si="9"/>
        <v>0</v>
      </c>
      <c r="T34" s="173">
        <f t="shared" ref="T34:T42" si="12">((3600/M34)*O34)*24*Q34</f>
        <v>1256.727272727273</v>
      </c>
      <c r="U34" s="101">
        <f t="shared" ref="U34:U42" si="13">(P34-R34)*M34/3600/Q34</f>
        <v>0</v>
      </c>
      <c r="V34" s="101">
        <f t="shared" ref="V34:V42" si="14">U34/24</f>
        <v>0</v>
      </c>
      <c r="W34" s="101">
        <v>0</v>
      </c>
      <c r="X34" s="55">
        <f>A34+K34+V34+W34+L34</f>
        <v>46153</v>
      </c>
    </row>
    <row r="35" spans="1:24" s="121" customFormat="1" hidden="1" x14ac:dyDescent="0.35">
      <c r="A35" s="46">
        <f t="shared" si="10"/>
        <v>46153</v>
      </c>
      <c r="B35" s="71">
        <v>46059</v>
      </c>
      <c r="C35" s="180">
        <f t="shared" si="11"/>
        <v>-94</v>
      </c>
      <c r="D35" s="180"/>
      <c r="E35" s="47" t="s">
        <v>4270</v>
      </c>
      <c r="F35" s="82" t="s">
        <v>4301</v>
      </c>
      <c r="G35" s="82" t="s">
        <v>386</v>
      </c>
      <c r="H35" s="107" t="s">
        <v>4302</v>
      </c>
      <c r="I35" s="417" t="s">
        <v>4299</v>
      </c>
      <c r="J35" s="100" t="s">
        <v>140</v>
      </c>
      <c r="K35" s="91">
        <v>0</v>
      </c>
      <c r="L35" s="91">
        <v>0</v>
      </c>
      <c r="M35" s="92">
        <v>55</v>
      </c>
      <c r="N35" s="94">
        <v>10000</v>
      </c>
      <c r="O35" s="92">
        <v>1</v>
      </c>
      <c r="P35" s="94">
        <f t="shared" si="8"/>
        <v>10000</v>
      </c>
      <c r="Q35" s="181">
        <v>0.8</v>
      </c>
      <c r="R35" s="92">
        <v>10000</v>
      </c>
      <c r="S35" s="102">
        <f t="shared" si="9"/>
        <v>0</v>
      </c>
      <c r="T35" s="173">
        <f t="shared" si="12"/>
        <v>1256.727272727273</v>
      </c>
      <c r="U35" s="101">
        <f t="shared" si="13"/>
        <v>0</v>
      </c>
      <c r="V35" s="101">
        <f t="shared" si="14"/>
        <v>0</v>
      </c>
      <c r="W35" s="101">
        <v>0</v>
      </c>
      <c r="X35" s="55">
        <f>A35+K35+V35+W35+L35</f>
        <v>46153</v>
      </c>
    </row>
    <row r="36" spans="1:24" s="511" customFormat="1" hidden="1" x14ac:dyDescent="0.35">
      <c r="A36" s="46">
        <f t="shared" si="10"/>
        <v>46153</v>
      </c>
      <c r="B36" s="71">
        <v>46084.3</v>
      </c>
      <c r="C36" s="180">
        <f t="shared" si="11"/>
        <v>-68.69999999999709</v>
      </c>
      <c r="D36" s="260" t="s">
        <v>2673</v>
      </c>
      <c r="E36" s="47" t="s">
        <v>4270</v>
      </c>
      <c r="F36" s="82" t="s">
        <v>4301</v>
      </c>
      <c r="G36" s="82" t="s">
        <v>386</v>
      </c>
      <c r="H36" s="107" t="s">
        <v>4303</v>
      </c>
      <c r="I36" s="417" t="s">
        <v>4299</v>
      </c>
      <c r="J36" s="100" t="s">
        <v>140</v>
      </c>
      <c r="K36" s="91">
        <v>0</v>
      </c>
      <c r="L36" s="91">
        <v>0</v>
      </c>
      <c r="M36" s="92">
        <v>55</v>
      </c>
      <c r="N36" s="94">
        <f>15000-5625</f>
        <v>9375</v>
      </c>
      <c r="O36" s="92">
        <v>1</v>
      </c>
      <c r="P36" s="94">
        <f t="shared" si="8"/>
        <v>9375</v>
      </c>
      <c r="Q36" s="181">
        <v>0.8</v>
      </c>
      <c r="R36" s="92">
        <v>9375</v>
      </c>
      <c r="S36" s="102">
        <f t="shared" si="9"/>
        <v>0</v>
      </c>
      <c r="T36" s="173">
        <f t="shared" si="12"/>
        <v>1256.727272727273</v>
      </c>
      <c r="U36" s="101">
        <f t="shared" si="13"/>
        <v>0</v>
      </c>
      <c r="V36" s="101">
        <f t="shared" si="14"/>
        <v>0</v>
      </c>
      <c r="W36" s="101">
        <v>0</v>
      </c>
      <c r="X36" s="55">
        <f>A36+K36+V36+W36+L36</f>
        <v>46153</v>
      </c>
    </row>
    <row r="37" spans="1:24" s="511" customFormat="1" hidden="1" x14ac:dyDescent="0.35">
      <c r="A37" s="46">
        <f t="shared" si="10"/>
        <v>46153</v>
      </c>
      <c r="B37" s="46">
        <v>46097</v>
      </c>
      <c r="C37" s="180">
        <f t="shared" si="11"/>
        <v>-56</v>
      </c>
      <c r="D37" s="46" t="s">
        <v>2673</v>
      </c>
      <c r="E37" s="47" t="s">
        <v>4270</v>
      </c>
      <c r="F37" s="82" t="s">
        <v>271</v>
      </c>
      <c r="G37" s="82" t="s">
        <v>386</v>
      </c>
      <c r="H37" s="107" t="s">
        <v>4304</v>
      </c>
      <c r="I37" s="106" t="s">
        <v>4305</v>
      </c>
      <c r="J37" s="51" t="s">
        <v>140</v>
      </c>
      <c r="K37" s="91">
        <v>0</v>
      </c>
      <c r="L37" s="91">
        <v>0</v>
      </c>
      <c r="M37" s="92">
        <v>50</v>
      </c>
      <c r="N37" s="94">
        <v>2000</v>
      </c>
      <c r="O37" s="92">
        <v>1</v>
      </c>
      <c r="P37" s="94">
        <f t="shared" si="8"/>
        <v>2000</v>
      </c>
      <c r="Q37" s="181">
        <v>0.8</v>
      </c>
      <c r="R37" s="92">
        <v>2000</v>
      </c>
      <c r="S37" s="92">
        <f t="shared" si="9"/>
        <v>0</v>
      </c>
      <c r="T37" s="173">
        <f t="shared" si="12"/>
        <v>1382.4</v>
      </c>
      <c r="U37" s="101">
        <f t="shared" si="13"/>
        <v>0</v>
      </c>
      <c r="V37" s="101">
        <f t="shared" si="14"/>
        <v>0</v>
      </c>
      <c r="W37" s="101">
        <v>0</v>
      </c>
      <c r="X37" s="55">
        <f t="shared" ref="X37:X42" si="15">A37+K37+L37+V37+W37</f>
        <v>46153</v>
      </c>
    </row>
    <row r="38" spans="1:24" s="121" customFormat="1" ht="26.5" hidden="1" x14ac:dyDescent="0.35">
      <c r="A38" s="46">
        <f t="shared" si="10"/>
        <v>46153</v>
      </c>
      <c r="B38" s="46">
        <v>46094</v>
      </c>
      <c r="C38" s="180">
        <f t="shared" si="11"/>
        <v>-59</v>
      </c>
      <c r="D38" s="180" t="s">
        <v>4276</v>
      </c>
      <c r="E38" s="119" t="s">
        <v>4270</v>
      </c>
      <c r="F38" s="99" t="s">
        <v>4306</v>
      </c>
      <c r="G38" s="82" t="s">
        <v>839</v>
      </c>
      <c r="H38" s="98" t="s">
        <v>4307</v>
      </c>
      <c r="I38" s="82" t="s">
        <v>4308</v>
      </c>
      <c r="J38" s="100" t="s">
        <v>140</v>
      </c>
      <c r="K38" s="91">
        <v>0</v>
      </c>
      <c r="L38" s="91">
        <v>0</v>
      </c>
      <c r="M38" s="92">
        <v>250</v>
      </c>
      <c r="N38" s="94">
        <f>500-138</f>
        <v>362</v>
      </c>
      <c r="O38" s="92">
        <v>1</v>
      </c>
      <c r="P38" s="94">
        <f t="shared" si="8"/>
        <v>362</v>
      </c>
      <c r="Q38" s="181">
        <v>0.8</v>
      </c>
      <c r="R38" s="92">
        <v>362</v>
      </c>
      <c r="S38" s="102">
        <f t="shared" si="9"/>
        <v>0</v>
      </c>
      <c r="T38" s="173">
        <f t="shared" si="12"/>
        <v>276.48</v>
      </c>
      <c r="U38" s="101">
        <f t="shared" si="13"/>
        <v>0</v>
      </c>
      <c r="V38" s="101">
        <f t="shared" si="14"/>
        <v>0</v>
      </c>
      <c r="W38" s="101">
        <v>0</v>
      </c>
      <c r="X38" s="55">
        <f t="shared" si="15"/>
        <v>46153</v>
      </c>
    </row>
    <row r="39" spans="1:24" s="121" customFormat="1" ht="26.5" hidden="1" x14ac:dyDescent="0.35">
      <c r="A39" s="46">
        <f t="shared" si="10"/>
        <v>46153</v>
      </c>
      <c r="B39" s="46">
        <v>46094</v>
      </c>
      <c r="C39" s="180">
        <f t="shared" si="11"/>
        <v>-59</v>
      </c>
      <c r="D39" s="180" t="s">
        <v>4276</v>
      </c>
      <c r="E39" s="119" t="s">
        <v>4270</v>
      </c>
      <c r="F39" s="99" t="s">
        <v>4287</v>
      </c>
      <c r="G39" s="82" t="s">
        <v>398</v>
      </c>
      <c r="H39" s="98" t="s">
        <v>4309</v>
      </c>
      <c r="I39" s="82" t="s">
        <v>4308</v>
      </c>
      <c r="J39" s="100" t="s">
        <v>140</v>
      </c>
      <c r="K39" s="91">
        <v>0</v>
      </c>
      <c r="L39" s="91">
        <v>0</v>
      </c>
      <c r="M39" s="92">
        <v>250</v>
      </c>
      <c r="N39" s="94">
        <v>638</v>
      </c>
      <c r="O39" s="92">
        <v>1</v>
      </c>
      <c r="P39" s="94">
        <f t="shared" si="8"/>
        <v>638</v>
      </c>
      <c r="Q39" s="181">
        <v>0.8</v>
      </c>
      <c r="R39" s="92">
        <v>638</v>
      </c>
      <c r="S39" s="102">
        <f t="shared" si="9"/>
        <v>0</v>
      </c>
      <c r="T39" s="173">
        <f t="shared" si="12"/>
        <v>276.48</v>
      </c>
      <c r="U39" s="101">
        <f t="shared" si="13"/>
        <v>0</v>
      </c>
      <c r="V39" s="101">
        <f t="shared" si="14"/>
        <v>0</v>
      </c>
      <c r="W39" s="101">
        <v>0</v>
      </c>
      <c r="X39" s="55">
        <f t="shared" si="15"/>
        <v>46153</v>
      </c>
    </row>
    <row r="40" spans="1:24" s="118" customFormat="1" hidden="1" x14ac:dyDescent="0.35">
      <c r="A40" s="295">
        <f t="shared" si="10"/>
        <v>46153</v>
      </c>
      <c r="B40" s="295">
        <v>46105.460162037038</v>
      </c>
      <c r="C40" s="514">
        <f t="shared" si="11"/>
        <v>-47.539837962962338</v>
      </c>
      <c r="D40" s="514"/>
      <c r="E40" s="514" t="s">
        <v>4270</v>
      </c>
      <c r="F40" s="366" t="s">
        <v>918</v>
      </c>
      <c r="G40" s="366" t="s">
        <v>14</v>
      </c>
      <c r="H40" s="298" t="s">
        <v>14</v>
      </c>
      <c r="I40" s="652" t="s">
        <v>4310</v>
      </c>
      <c r="J40" s="351" t="s">
        <v>283</v>
      </c>
      <c r="K40" s="352">
        <v>0</v>
      </c>
      <c r="L40" s="352">
        <v>0</v>
      </c>
      <c r="M40" s="353">
        <v>33</v>
      </c>
      <c r="N40" s="354">
        <v>50</v>
      </c>
      <c r="O40" s="355">
        <v>1</v>
      </c>
      <c r="P40" s="354">
        <f t="shared" si="8"/>
        <v>50</v>
      </c>
      <c r="Q40" s="305">
        <v>0.8</v>
      </c>
      <c r="R40" s="306">
        <v>50</v>
      </c>
      <c r="S40" s="302">
        <f t="shared" si="9"/>
        <v>0</v>
      </c>
      <c r="T40" s="307">
        <f t="shared" si="12"/>
        <v>2094.5454545454545</v>
      </c>
      <c r="U40" s="301">
        <f t="shared" si="13"/>
        <v>0</v>
      </c>
      <c r="V40" s="301">
        <f t="shared" si="14"/>
        <v>0</v>
      </c>
      <c r="W40" s="301">
        <v>0</v>
      </c>
      <c r="X40" s="308">
        <f t="shared" si="15"/>
        <v>46153</v>
      </c>
    </row>
    <row r="41" spans="1:24" s="121" customFormat="1" hidden="1" x14ac:dyDescent="0.35">
      <c r="A41" s="46">
        <f t="shared" si="10"/>
        <v>46153</v>
      </c>
      <c r="B41" s="46">
        <v>46124</v>
      </c>
      <c r="C41" s="180">
        <f t="shared" si="11"/>
        <v>-29</v>
      </c>
      <c r="D41" s="180"/>
      <c r="E41" s="180" t="s">
        <v>4270</v>
      </c>
      <c r="F41" s="97" t="s">
        <v>4311</v>
      </c>
      <c r="G41" s="97" t="s">
        <v>411</v>
      </c>
      <c r="H41" s="98" t="s">
        <v>4312</v>
      </c>
      <c r="I41" s="85" t="s">
        <v>4313</v>
      </c>
      <c r="J41" s="51" t="s">
        <v>283</v>
      </c>
      <c r="K41" s="91">
        <v>0</v>
      </c>
      <c r="L41" s="91">
        <v>0</v>
      </c>
      <c r="M41" s="92">
        <v>60</v>
      </c>
      <c r="N41" s="94">
        <v>2016</v>
      </c>
      <c r="O41" s="253">
        <v>1</v>
      </c>
      <c r="P41" s="94">
        <f t="shared" si="8"/>
        <v>2016</v>
      </c>
      <c r="Q41" s="181">
        <v>0.8</v>
      </c>
      <c r="R41" s="182">
        <v>2016</v>
      </c>
      <c r="S41" s="102">
        <f t="shared" si="9"/>
        <v>0</v>
      </c>
      <c r="T41" s="173">
        <f t="shared" si="12"/>
        <v>1152</v>
      </c>
      <c r="U41" s="101">
        <f t="shared" si="13"/>
        <v>0</v>
      </c>
      <c r="V41" s="101">
        <f t="shared" si="14"/>
        <v>0</v>
      </c>
      <c r="W41" s="101">
        <v>0</v>
      </c>
      <c r="X41" s="55">
        <f t="shared" si="15"/>
        <v>46153</v>
      </c>
    </row>
    <row r="42" spans="1:24" s="121" customFormat="1" hidden="1" x14ac:dyDescent="0.35">
      <c r="A42" s="46">
        <f t="shared" si="10"/>
        <v>46153</v>
      </c>
      <c r="B42" s="46">
        <v>46128</v>
      </c>
      <c r="C42" s="180">
        <f t="shared" si="11"/>
        <v>-25</v>
      </c>
      <c r="D42" s="180"/>
      <c r="E42" s="180" t="s">
        <v>4270</v>
      </c>
      <c r="F42" s="97" t="s">
        <v>4311</v>
      </c>
      <c r="G42" s="97" t="s">
        <v>411</v>
      </c>
      <c r="H42" s="98" t="s">
        <v>4314</v>
      </c>
      <c r="I42" s="85" t="s">
        <v>4315</v>
      </c>
      <c r="J42" s="51" t="s">
        <v>283</v>
      </c>
      <c r="K42" s="91">
        <v>0</v>
      </c>
      <c r="L42" s="91">
        <v>0</v>
      </c>
      <c r="M42" s="92">
        <v>60</v>
      </c>
      <c r="N42" s="94">
        <v>2016</v>
      </c>
      <c r="O42" s="253">
        <v>1</v>
      </c>
      <c r="P42" s="94">
        <f t="shared" si="8"/>
        <v>2016</v>
      </c>
      <c r="Q42" s="181">
        <v>0.8</v>
      </c>
      <c r="R42" s="182">
        <v>2016</v>
      </c>
      <c r="S42" s="102">
        <f t="shared" si="9"/>
        <v>0</v>
      </c>
      <c r="T42" s="173">
        <f t="shared" si="12"/>
        <v>1152</v>
      </c>
      <c r="U42" s="101">
        <f t="shared" si="13"/>
        <v>0</v>
      </c>
      <c r="V42" s="101">
        <f t="shared" si="14"/>
        <v>0</v>
      </c>
      <c r="W42" s="101">
        <v>0</v>
      </c>
      <c r="X42" s="55">
        <f t="shared" si="15"/>
        <v>46153</v>
      </c>
    </row>
    <row r="43" spans="1:24" s="541" customFormat="1" x14ac:dyDescent="0.35">
      <c r="A43" s="193">
        <f t="shared" si="10"/>
        <v>46153</v>
      </c>
      <c r="B43" s="192">
        <v>46140</v>
      </c>
      <c r="C43" s="194">
        <f>B43-A43</f>
        <v>-13</v>
      </c>
      <c r="D43" s="192"/>
      <c r="E43" s="111" t="s">
        <v>4270</v>
      </c>
      <c r="F43" s="112" t="s">
        <v>1583</v>
      </c>
      <c r="G43" s="112" t="s">
        <v>4316</v>
      </c>
      <c r="H43" s="113" t="s">
        <v>4317</v>
      </c>
      <c r="I43" s="788" t="s">
        <v>1554</v>
      </c>
      <c r="J43" s="114" t="s">
        <v>140</v>
      </c>
      <c r="K43" s="115">
        <v>0</v>
      </c>
      <c r="L43" s="115">
        <v>0</v>
      </c>
      <c r="M43" s="116">
        <v>85</v>
      </c>
      <c r="N43" s="117">
        <v>5000</v>
      </c>
      <c r="O43" s="116">
        <v>2</v>
      </c>
      <c r="P43" s="116">
        <f>N43/O43</f>
        <v>2500</v>
      </c>
      <c r="Q43" s="198">
        <v>0.8</v>
      </c>
      <c r="R43" s="117">
        <v>930</v>
      </c>
      <c r="S43" s="116">
        <f>P43-R43</f>
        <v>1570</v>
      </c>
      <c r="T43" s="200">
        <f>((3600/M43)*O43)*24*Q43</f>
        <v>1626.3529411764707</v>
      </c>
      <c r="U43" s="115">
        <f>(P43-R43)*M43/3600/Q43</f>
        <v>46.33680555555555</v>
      </c>
      <c r="V43" s="115">
        <f>U43/24</f>
        <v>1.9307002314814812</v>
      </c>
      <c r="W43" s="115">
        <v>0</v>
      </c>
      <c r="X43" s="591">
        <f>A43+K43+V43+W43+L43</f>
        <v>46154.930700231482</v>
      </c>
    </row>
    <row r="44" spans="1:24" s="221" customFormat="1" x14ac:dyDescent="0.35">
      <c r="A44" s="548">
        <f>X43</f>
        <v>46154.930700231482</v>
      </c>
      <c r="B44" s="271">
        <v>46142</v>
      </c>
      <c r="C44" s="576">
        <f t="shared" ref="C44" si="16">B44-A44</f>
        <v>-12.930700231481751</v>
      </c>
      <c r="D44" s="271"/>
      <c r="E44" s="686" t="s">
        <v>4270</v>
      </c>
      <c r="F44" s="561" t="s">
        <v>1583</v>
      </c>
      <c r="G44" s="561" t="s">
        <v>4316</v>
      </c>
      <c r="H44" s="276" t="s">
        <v>4318</v>
      </c>
      <c r="I44" s="789" t="s">
        <v>1556</v>
      </c>
      <c r="J44" s="277" t="s">
        <v>140</v>
      </c>
      <c r="K44" s="278">
        <v>0</v>
      </c>
      <c r="L44" s="278">
        <v>0</v>
      </c>
      <c r="M44" s="279">
        <v>85</v>
      </c>
      <c r="N44" s="280">
        <v>5000</v>
      </c>
      <c r="O44" s="279">
        <v>2</v>
      </c>
      <c r="P44" s="279">
        <f t="shared" ref="P44" si="17">N44/O44</f>
        <v>2500</v>
      </c>
      <c r="Q44" s="282">
        <v>0.8</v>
      </c>
      <c r="R44" s="280"/>
      <c r="S44" s="279">
        <f>P44-R44</f>
        <v>2500</v>
      </c>
      <c r="T44" s="284">
        <f>((3600/M44)*O44)*24*Q44</f>
        <v>1626.3529411764707</v>
      </c>
      <c r="U44" s="278">
        <f>(P44-R44)*M44/3600/Q44</f>
        <v>73.784722222222214</v>
      </c>
      <c r="V44" s="278">
        <f>U44/24</f>
        <v>3.0743634259259256</v>
      </c>
      <c r="W44" s="278">
        <v>0</v>
      </c>
      <c r="X44" s="790">
        <f t="shared" ref="X44" si="18">A44+K44+V44+W44+L44</f>
        <v>46158.005063657409</v>
      </c>
    </row>
    <row r="45" spans="1:24" s="118" customFormat="1" x14ac:dyDescent="0.35">
      <c r="A45" s="548">
        <f>X44</f>
        <v>46158.005063657409</v>
      </c>
      <c r="B45" s="548">
        <v>46140</v>
      </c>
      <c r="C45" s="272">
        <f>B45-A45</f>
        <v>-18.005063657408755</v>
      </c>
      <c r="D45" s="548"/>
      <c r="E45" s="686" t="s">
        <v>4270</v>
      </c>
      <c r="F45" s="561" t="s">
        <v>1583</v>
      </c>
      <c r="G45" s="274" t="s">
        <v>411</v>
      </c>
      <c r="H45" s="735" t="s">
        <v>4319</v>
      </c>
      <c r="I45" s="789" t="s">
        <v>4305</v>
      </c>
      <c r="J45" s="562" t="s">
        <v>140</v>
      </c>
      <c r="K45" s="563">
        <v>0.25</v>
      </c>
      <c r="L45" s="563">
        <v>0.2</v>
      </c>
      <c r="M45" s="564">
        <v>50</v>
      </c>
      <c r="N45" s="565">
        <v>7500</v>
      </c>
      <c r="O45" s="564">
        <v>1</v>
      </c>
      <c r="P45" s="565">
        <f>N45/O45</f>
        <v>7500</v>
      </c>
      <c r="Q45" s="282">
        <v>0.8</v>
      </c>
      <c r="R45" s="564"/>
      <c r="S45" s="564">
        <f>P45-R45</f>
        <v>7500</v>
      </c>
      <c r="T45" s="284">
        <f>((3600/M45)*O45)*24*Q45</f>
        <v>1382.4</v>
      </c>
      <c r="U45" s="278">
        <f>(P45-R45)*M45/3600/Q45</f>
        <v>130.20833333333334</v>
      </c>
      <c r="V45" s="278">
        <f>U45/24</f>
        <v>5.4253472222222223</v>
      </c>
      <c r="W45" s="278">
        <v>0</v>
      </c>
      <c r="X45" s="285">
        <f>A45+K45+L45+V45+W45</f>
        <v>46163.880410879625</v>
      </c>
    </row>
    <row r="46" spans="1:24" s="487" customFormat="1" x14ac:dyDescent="0.35">
      <c r="A46" s="203"/>
      <c r="B46" s="203"/>
      <c r="C46" s="385"/>
      <c r="D46" s="385"/>
      <c r="E46" s="386"/>
      <c r="F46" s="488"/>
      <c r="G46" s="205"/>
      <c r="H46" s="206"/>
      <c r="I46" s="205"/>
      <c r="J46" s="310"/>
      <c r="K46" s="208"/>
      <c r="L46" s="208"/>
      <c r="M46" s="209"/>
      <c r="N46" s="210"/>
      <c r="O46" s="209"/>
      <c r="P46" s="210"/>
      <c r="Q46" s="293"/>
      <c r="R46" s="209"/>
      <c r="S46" s="290"/>
      <c r="T46" s="294"/>
      <c r="U46" s="289"/>
      <c r="V46" s="289"/>
      <c r="W46" s="289"/>
      <c r="X46" s="212"/>
    </row>
    <row r="47" spans="1:24" ht="45" x14ac:dyDescent="0.8">
      <c r="A47" s="35" t="s">
        <v>4320</v>
      </c>
      <c r="B47" s="35"/>
      <c r="C47" s="787"/>
      <c r="D47" s="35"/>
      <c r="E47" s="36"/>
      <c r="F47" s="213"/>
      <c r="G47" s="213"/>
      <c r="H47" s="311" t="s">
        <v>4269</v>
      </c>
      <c r="I47" s="214"/>
      <c r="J47" s="40"/>
      <c r="K47" s="41"/>
      <c r="L47" s="41"/>
      <c r="M47" s="42"/>
      <c r="N47" s="43"/>
      <c r="O47" s="44"/>
      <c r="P47" s="44"/>
      <c r="Q47" s="44"/>
      <c r="R47" s="43"/>
      <c r="S47" s="44"/>
      <c r="T47" s="44"/>
      <c r="U47" s="44"/>
      <c r="V47" s="44"/>
      <c r="W47" s="44"/>
      <c r="X47" s="45"/>
    </row>
    <row r="48" spans="1:24" s="511" customFormat="1" hidden="1" x14ac:dyDescent="0.35">
      <c r="A48" s="71">
        <f>S7</f>
        <v>46153</v>
      </c>
      <c r="B48" s="71"/>
      <c r="C48" s="180"/>
      <c r="D48" s="71"/>
      <c r="E48" s="47" t="s">
        <v>4321</v>
      </c>
      <c r="F48" s="82" t="s">
        <v>4322</v>
      </c>
      <c r="G48" s="97" t="s">
        <v>359</v>
      </c>
      <c r="H48" s="107" t="s">
        <v>4323</v>
      </c>
      <c r="I48" s="791" t="s">
        <v>4324</v>
      </c>
      <c r="J48" s="100" t="s">
        <v>140</v>
      </c>
      <c r="K48" s="91">
        <v>0</v>
      </c>
      <c r="L48" s="91">
        <v>0</v>
      </c>
      <c r="M48" s="345">
        <v>70</v>
      </c>
      <c r="N48" s="94">
        <v>15000</v>
      </c>
      <c r="O48" s="92">
        <v>1</v>
      </c>
      <c r="P48" s="94">
        <f t="shared" ref="P48:P62" si="19">N48/O48</f>
        <v>15000</v>
      </c>
      <c r="Q48" s="94"/>
      <c r="R48" s="92">
        <v>15000</v>
      </c>
      <c r="S48" s="92">
        <f t="shared" ref="S48:S62" si="20">P48-R48</f>
        <v>0</v>
      </c>
      <c r="T48" s="102">
        <f>((3600/M48)*O48)*24</f>
        <v>1234.2857142857142</v>
      </c>
      <c r="U48" s="101">
        <f>(P48-R48)*M48/3600</f>
        <v>0</v>
      </c>
      <c r="V48" s="101">
        <f>(P48-R48)*M48/3600/24</f>
        <v>0</v>
      </c>
      <c r="W48" s="101">
        <v>0</v>
      </c>
      <c r="X48" s="55">
        <f>A48+K48+L48+V48+W48</f>
        <v>46153</v>
      </c>
    </row>
    <row r="49" spans="1:24" s="511" customFormat="1" hidden="1" x14ac:dyDescent="0.35">
      <c r="A49" s="792">
        <f t="shared" ref="A49:A60" si="21">X48</f>
        <v>46153</v>
      </c>
      <c r="B49" s="71">
        <v>46059</v>
      </c>
      <c r="C49" s="180">
        <f t="shared" ref="C49:C62" si="22">B49-A49</f>
        <v>-94</v>
      </c>
      <c r="D49" s="180"/>
      <c r="E49" s="47" t="s">
        <v>4321</v>
      </c>
      <c r="F49" s="46" t="s">
        <v>4325</v>
      </c>
      <c r="G49" s="46" t="s">
        <v>839</v>
      </c>
      <c r="H49" s="793" t="s">
        <v>4326</v>
      </c>
      <c r="I49" s="82" t="s">
        <v>4327</v>
      </c>
      <c r="J49" s="100" t="s">
        <v>140</v>
      </c>
      <c r="K49" s="794">
        <v>0</v>
      </c>
      <c r="L49" s="795">
        <v>0</v>
      </c>
      <c r="M49" s="796">
        <v>20</v>
      </c>
      <c r="N49" s="796">
        <f>9400*3</f>
        <v>28200</v>
      </c>
      <c r="O49" s="796">
        <v>8</v>
      </c>
      <c r="P49" s="92">
        <f t="shared" si="19"/>
        <v>3525</v>
      </c>
      <c r="Q49" s="181">
        <v>0.8</v>
      </c>
      <c r="R49" s="796">
        <v>3525</v>
      </c>
      <c r="S49" s="102">
        <f t="shared" si="20"/>
        <v>0</v>
      </c>
      <c r="T49" s="173">
        <f t="shared" ref="T49:T62" si="23">((3600/M49)*O49)*24*Q49</f>
        <v>27648</v>
      </c>
      <c r="U49" s="101">
        <f t="shared" ref="U49:U62" si="24">(P49-R49)*M49/3600/Q49</f>
        <v>0</v>
      </c>
      <c r="V49" s="101">
        <f t="shared" ref="V49:V62" si="25">U49/24</f>
        <v>0</v>
      </c>
      <c r="W49" s="101">
        <v>0</v>
      </c>
      <c r="X49" s="55">
        <f>A49+K49+V49+W49+L49</f>
        <v>46153</v>
      </c>
    </row>
    <row r="50" spans="1:24" s="511" customFormat="1" hidden="1" x14ac:dyDescent="0.35">
      <c r="A50" s="46">
        <f t="shared" si="21"/>
        <v>46153</v>
      </c>
      <c r="B50" s="46">
        <v>46070</v>
      </c>
      <c r="C50" s="260">
        <f t="shared" si="22"/>
        <v>-83</v>
      </c>
      <c r="D50" s="260"/>
      <c r="E50" s="47" t="s">
        <v>4321</v>
      </c>
      <c r="F50" s="97" t="s">
        <v>4328</v>
      </c>
      <c r="G50" s="97" t="s">
        <v>359</v>
      </c>
      <c r="H50" s="98" t="s">
        <v>4329</v>
      </c>
      <c r="I50" s="71" t="s">
        <v>4330</v>
      </c>
      <c r="J50" s="100" t="s">
        <v>140</v>
      </c>
      <c r="K50" s="101">
        <v>0</v>
      </c>
      <c r="L50" s="101">
        <v>0</v>
      </c>
      <c r="M50" s="102">
        <v>60</v>
      </c>
      <c r="N50" s="103">
        <v>10000</v>
      </c>
      <c r="O50" s="102">
        <v>2</v>
      </c>
      <c r="P50" s="103">
        <f t="shared" si="19"/>
        <v>5000</v>
      </c>
      <c r="Q50" s="181">
        <v>0.8</v>
      </c>
      <c r="R50" s="103">
        <v>5000</v>
      </c>
      <c r="S50" s="102">
        <f t="shared" si="20"/>
        <v>0</v>
      </c>
      <c r="T50" s="173">
        <f t="shared" si="23"/>
        <v>2304</v>
      </c>
      <c r="U50" s="101">
        <f t="shared" si="24"/>
        <v>0</v>
      </c>
      <c r="V50" s="101">
        <f t="shared" si="25"/>
        <v>0</v>
      </c>
      <c r="W50" s="101">
        <v>0</v>
      </c>
      <c r="X50" s="255">
        <f>A50+K50+V50+W50+L50</f>
        <v>46153</v>
      </c>
    </row>
    <row r="51" spans="1:24" s="109" customFormat="1" ht="13" hidden="1" x14ac:dyDescent="0.3">
      <c r="A51" s="193">
        <f t="shared" si="21"/>
        <v>46153</v>
      </c>
      <c r="B51" s="193">
        <v>46064</v>
      </c>
      <c r="C51" s="194">
        <f t="shared" si="22"/>
        <v>-89</v>
      </c>
      <c r="D51" s="194"/>
      <c r="E51" s="195" t="s">
        <v>1896</v>
      </c>
      <c r="F51" s="112" t="s">
        <v>2837</v>
      </c>
      <c r="G51" s="112" t="s">
        <v>386</v>
      </c>
      <c r="H51" s="113" t="s">
        <v>4331</v>
      </c>
      <c r="I51" s="671" t="s">
        <v>4332</v>
      </c>
      <c r="J51" s="114" t="s">
        <v>140</v>
      </c>
      <c r="K51" s="482">
        <v>0</v>
      </c>
      <c r="L51" s="482">
        <v>0</v>
      </c>
      <c r="M51" s="199">
        <v>90</v>
      </c>
      <c r="N51" s="483">
        <v>1000</v>
      </c>
      <c r="O51" s="199">
        <v>1</v>
      </c>
      <c r="P51" s="483">
        <f t="shared" si="19"/>
        <v>1000</v>
      </c>
      <c r="Q51" s="198">
        <v>0.8</v>
      </c>
      <c r="R51" s="116">
        <v>1000</v>
      </c>
      <c r="S51" s="117">
        <f t="shared" si="20"/>
        <v>0</v>
      </c>
      <c r="T51" s="200">
        <f t="shared" si="23"/>
        <v>768</v>
      </c>
      <c r="U51" s="115">
        <f t="shared" si="24"/>
        <v>0</v>
      </c>
      <c r="V51" s="115">
        <f t="shared" si="25"/>
        <v>0</v>
      </c>
      <c r="W51" s="115">
        <v>0</v>
      </c>
      <c r="X51" s="201">
        <f>A51+K51+L51+V51+W51</f>
        <v>46153</v>
      </c>
    </row>
    <row r="52" spans="1:24" s="121" customFormat="1" hidden="1" x14ac:dyDescent="0.35">
      <c r="A52" s="46">
        <f t="shared" si="21"/>
        <v>46153</v>
      </c>
      <c r="B52" s="46">
        <v>46066</v>
      </c>
      <c r="C52" s="260">
        <f t="shared" si="22"/>
        <v>-87</v>
      </c>
      <c r="D52" s="260"/>
      <c r="E52" s="47" t="s">
        <v>1896</v>
      </c>
      <c r="F52" s="99" t="s">
        <v>4333</v>
      </c>
      <c r="G52" s="99" t="s">
        <v>386</v>
      </c>
      <c r="H52" s="107" t="s">
        <v>4334</v>
      </c>
      <c r="I52" s="82" t="s">
        <v>4335</v>
      </c>
      <c r="J52" s="100" t="s">
        <v>140</v>
      </c>
      <c r="K52" s="91">
        <v>0</v>
      </c>
      <c r="L52" s="91">
        <v>0</v>
      </c>
      <c r="M52" s="92">
        <v>45</v>
      </c>
      <c r="N52" s="94">
        <v>1300</v>
      </c>
      <c r="O52" s="92">
        <v>1</v>
      </c>
      <c r="P52" s="103">
        <f t="shared" si="19"/>
        <v>1300</v>
      </c>
      <c r="Q52" s="181">
        <v>0.8</v>
      </c>
      <c r="R52" s="92">
        <v>1300</v>
      </c>
      <c r="S52" s="103">
        <f t="shared" si="20"/>
        <v>0</v>
      </c>
      <c r="T52" s="173">
        <f t="shared" si="23"/>
        <v>1536</v>
      </c>
      <c r="U52" s="101">
        <f t="shared" si="24"/>
        <v>0</v>
      </c>
      <c r="V52" s="101">
        <f t="shared" si="25"/>
        <v>0</v>
      </c>
      <c r="W52" s="101">
        <v>0</v>
      </c>
      <c r="X52" s="55">
        <f>A52+K52+L52+V52+W52</f>
        <v>46153</v>
      </c>
    </row>
    <row r="53" spans="1:24" s="511" customFormat="1" ht="26.5" hidden="1" x14ac:dyDescent="0.35">
      <c r="A53" s="46">
        <f t="shared" si="21"/>
        <v>46153</v>
      </c>
      <c r="B53" s="46">
        <v>46068</v>
      </c>
      <c r="C53" s="260">
        <f t="shared" si="22"/>
        <v>-85</v>
      </c>
      <c r="D53" s="260"/>
      <c r="E53" s="47" t="s">
        <v>4336</v>
      </c>
      <c r="F53" s="69" t="s">
        <v>4337</v>
      </c>
      <c r="G53" s="69" t="s">
        <v>386</v>
      </c>
      <c r="H53" s="107" t="s">
        <v>4338</v>
      </c>
      <c r="I53" s="82" t="s">
        <v>4339</v>
      </c>
      <c r="J53" s="100" t="s">
        <v>140</v>
      </c>
      <c r="K53" s="91">
        <v>0</v>
      </c>
      <c r="L53" s="91">
        <v>0</v>
      </c>
      <c r="M53" s="92">
        <v>55</v>
      </c>
      <c r="N53" s="94">
        <v>2000</v>
      </c>
      <c r="O53" s="92">
        <v>1</v>
      </c>
      <c r="P53" s="94">
        <f t="shared" si="19"/>
        <v>2000</v>
      </c>
      <c r="Q53" s="181">
        <v>0.8</v>
      </c>
      <c r="R53" s="92">
        <v>2000</v>
      </c>
      <c r="S53" s="102">
        <f t="shared" si="20"/>
        <v>0</v>
      </c>
      <c r="T53" s="173">
        <f t="shared" si="23"/>
        <v>1256.727272727273</v>
      </c>
      <c r="U53" s="101">
        <f t="shared" si="24"/>
        <v>0</v>
      </c>
      <c r="V53" s="101">
        <f t="shared" si="25"/>
        <v>0</v>
      </c>
      <c r="W53" s="101">
        <v>0</v>
      </c>
      <c r="X53" s="55">
        <f>A53+K53+V53+W53+L53</f>
        <v>46153</v>
      </c>
    </row>
    <row r="54" spans="1:24" s="511" customFormat="1" hidden="1" x14ac:dyDescent="0.35">
      <c r="A54" s="46">
        <f t="shared" si="21"/>
        <v>46153</v>
      </c>
      <c r="B54" s="71">
        <v>46084.3</v>
      </c>
      <c r="C54" s="260">
        <f t="shared" si="22"/>
        <v>-68.69999999999709</v>
      </c>
      <c r="D54" s="260" t="s">
        <v>4340</v>
      </c>
      <c r="E54" s="74" t="s">
        <v>4336</v>
      </c>
      <c r="F54" s="97" t="s">
        <v>1574</v>
      </c>
      <c r="G54" s="97" t="s">
        <v>386</v>
      </c>
      <c r="H54" s="107" t="s">
        <v>4341</v>
      </c>
      <c r="I54" s="797" t="s">
        <v>4342</v>
      </c>
      <c r="J54" s="100" t="s">
        <v>140</v>
      </c>
      <c r="K54" s="91">
        <v>0</v>
      </c>
      <c r="L54" s="91">
        <v>0</v>
      </c>
      <c r="M54" s="92">
        <v>70</v>
      </c>
      <c r="N54" s="94">
        <v>2000</v>
      </c>
      <c r="O54" s="92">
        <v>1</v>
      </c>
      <c r="P54" s="94">
        <f t="shared" si="19"/>
        <v>2000</v>
      </c>
      <c r="Q54" s="181">
        <v>0.8</v>
      </c>
      <c r="R54" s="92">
        <v>2000</v>
      </c>
      <c r="S54" s="103">
        <f t="shared" si="20"/>
        <v>0</v>
      </c>
      <c r="T54" s="173">
        <f t="shared" si="23"/>
        <v>987.42857142857144</v>
      </c>
      <c r="U54" s="101">
        <f t="shared" si="24"/>
        <v>0</v>
      </c>
      <c r="V54" s="101">
        <f t="shared" si="25"/>
        <v>0</v>
      </c>
      <c r="W54" s="101">
        <v>0</v>
      </c>
      <c r="X54" s="55">
        <f>A54+K54+L54+V54+W54</f>
        <v>46153</v>
      </c>
    </row>
    <row r="55" spans="1:24" s="511" customFormat="1" hidden="1" x14ac:dyDescent="0.35">
      <c r="A55" s="46">
        <f t="shared" si="21"/>
        <v>46153</v>
      </c>
      <c r="B55" s="46">
        <v>46086</v>
      </c>
      <c r="C55" s="260">
        <f t="shared" si="22"/>
        <v>-67</v>
      </c>
      <c r="D55" s="260" t="s">
        <v>4340</v>
      </c>
      <c r="E55" s="74" t="s">
        <v>4336</v>
      </c>
      <c r="F55" s="97" t="s">
        <v>1669</v>
      </c>
      <c r="G55" s="97" t="s">
        <v>398</v>
      </c>
      <c r="H55" s="107" t="s">
        <v>4343</v>
      </c>
      <c r="I55" s="797" t="s">
        <v>4342</v>
      </c>
      <c r="J55" s="100" t="s">
        <v>140</v>
      </c>
      <c r="K55" s="91">
        <v>0</v>
      </c>
      <c r="L55" s="91">
        <v>0</v>
      </c>
      <c r="M55" s="92">
        <v>70</v>
      </c>
      <c r="N55" s="94">
        <f>2004-1688</f>
        <v>316</v>
      </c>
      <c r="O55" s="94">
        <v>1</v>
      </c>
      <c r="P55" s="94">
        <f t="shared" si="19"/>
        <v>316</v>
      </c>
      <c r="Q55" s="181">
        <v>0.8</v>
      </c>
      <c r="R55" s="92">
        <v>316</v>
      </c>
      <c r="S55" s="103">
        <f t="shared" si="20"/>
        <v>0</v>
      </c>
      <c r="T55" s="173">
        <f t="shared" si="23"/>
        <v>987.42857142857144</v>
      </c>
      <c r="U55" s="101">
        <f t="shared" si="24"/>
        <v>0</v>
      </c>
      <c r="V55" s="101">
        <f t="shared" si="25"/>
        <v>0</v>
      </c>
      <c r="W55" s="101">
        <v>0</v>
      </c>
      <c r="X55" s="55">
        <f>A55+K55+L55+V55+W55</f>
        <v>46153</v>
      </c>
    </row>
    <row r="56" spans="1:24" s="511" customFormat="1" ht="26.5" hidden="1" x14ac:dyDescent="0.35">
      <c r="A56" s="46">
        <f t="shared" si="21"/>
        <v>46153</v>
      </c>
      <c r="B56" s="46">
        <v>46088</v>
      </c>
      <c r="C56" s="260">
        <f t="shared" si="22"/>
        <v>-65</v>
      </c>
      <c r="D56" s="260" t="s">
        <v>4340</v>
      </c>
      <c r="E56" s="74" t="s">
        <v>4336</v>
      </c>
      <c r="F56" s="97" t="s">
        <v>1669</v>
      </c>
      <c r="G56" s="82" t="s">
        <v>398</v>
      </c>
      <c r="H56" s="107" t="s">
        <v>4344</v>
      </c>
      <c r="I56" s="85" t="s">
        <v>1642</v>
      </c>
      <c r="J56" s="100" t="s">
        <v>140</v>
      </c>
      <c r="K56" s="91">
        <v>0</v>
      </c>
      <c r="L56" s="91">
        <v>0</v>
      </c>
      <c r="M56" s="92">
        <v>60</v>
      </c>
      <c r="N56" s="94">
        <v>1750</v>
      </c>
      <c r="O56" s="94">
        <v>1</v>
      </c>
      <c r="P56" s="94">
        <f t="shared" si="19"/>
        <v>1750</v>
      </c>
      <c r="Q56" s="181">
        <v>0.8</v>
      </c>
      <c r="R56" s="92">
        <v>1750</v>
      </c>
      <c r="S56" s="103">
        <f t="shared" si="20"/>
        <v>0</v>
      </c>
      <c r="T56" s="173">
        <f t="shared" si="23"/>
        <v>1152</v>
      </c>
      <c r="U56" s="101">
        <f t="shared" si="24"/>
        <v>0</v>
      </c>
      <c r="V56" s="101">
        <f t="shared" si="25"/>
        <v>0</v>
      </c>
      <c r="W56" s="101">
        <v>0</v>
      </c>
      <c r="X56" s="55">
        <f>A56+K56+V56+W56+L56</f>
        <v>46153</v>
      </c>
    </row>
    <row r="57" spans="1:24" s="511" customFormat="1" ht="26.5" hidden="1" x14ac:dyDescent="0.35">
      <c r="A57" s="46">
        <f t="shared" si="21"/>
        <v>46153</v>
      </c>
      <c r="B57" s="46">
        <v>46094</v>
      </c>
      <c r="C57" s="260">
        <f t="shared" si="22"/>
        <v>-59</v>
      </c>
      <c r="D57" s="260"/>
      <c r="E57" s="74" t="s">
        <v>4336</v>
      </c>
      <c r="F57" s="97" t="s">
        <v>1669</v>
      </c>
      <c r="G57" s="82" t="s">
        <v>398</v>
      </c>
      <c r="H57" s="107" t="s">
        <v>4345</v>
      </c>
      <c r="I57" s="85" t="s">
        <v>1642</v>
      </c>
      <c r="J57" s="100" t="s">
        <v>140</v>
      </c>
      <c r="K57" s="91">
        <v>0</v>
      </c>
      <c r="L57" s="91">
        <v>0</v>
      </c>
      <c r="M57" s="92">
        <v>60</v>
      </c>
      <c r="N57" s="94">
        <v>1700</v>
      </c>
      <c r="O57" s="94">
        <v>1</v>
      </c>
      <c r="P57" s="94">
        <f t="shared" si="19"/>
        <v>1700</v>
      </c>
      <c r="Q57" s="181">
        <v>0.8</v>
      </c>
      <c r="R57" s="92">
        <v>1700</v>
      </c>
      <c r="S57" s="103">
        <f t="shared" si="20"/>
        <v>0</v>
      </c>
      <c r="T57" s="173">
        <f t="shared" si="23"/>
        <v>1152</v>
      </c>
      <c r="U57" s="101">
        <f t="shared" si="24"/>
        <v>0</v>
      </c>
      <c r="V57" s="101">
        <f t="shared" si="25"/>
        <v>0</v>
      </c>
      <c r="W57" s="101">
        <v>0</v>
      </c>
      <c r="X57" s="55">
        <f>A57+K57+V57+W57+L57</f>
        <v>46153</v>
      </c>
    </row>
    <row r="58" spans="1:24" s="511" customFormat="1" hidden="1" x14ac:dyDescent="0.35">
      <c r="A58" s="46">
        <f t="shared" si="21"/>
        <v>46153</v>
      </c>
      <c r="B58" s="46">
        <v>46096</v>
      </c>
      <c r="C58" s="260">
        <f t="shared" si="22"/>
        <v>-57</v>
      </c>
      <c r="D58" s="260" t="s">
        <v>4346</v>
      </c>
      <c r="E58" s="74" t="s">
        <v>4336</v>
      </c>
      <c r="F58" s="97" t="s">
        <v>1669</v>
      </c>
      <c r="G58" s="97" t="s">
        <v>398</v>
      </c>
      <c r="H58" s="107" t="s">
        <v>4343</v>
      </c>
      <c r="I58" s="797" t="s">
        <v>4342</v>
      </c>
      <c r="J58" s="100" t="s">
        <v>140</v>
      </c>
      <c r="K58" s="91">
        <v>0</v>
      </c>
      <c r="L58" s="91">
        <v>0</v>
      </c>
      <c r="M58" s="92">
        <v>70</v>
      </c>
      <c r="N58" s="94">
        <f>1688</f>
        <v>1688</v>
      </c>
      <c r="O58" s="94">
        <v>1</v>
      </c>
      <c r="P58" s="94">
        <f t="shared" si="19"/>
        <v>1688</v>
      </c>
      <c r="Q58" s="181">
        <v>0.8</v>
      </c>
      <c r="R58" s="92">
        <v>1688</v>
      </c>
      <c r="S58" s="103">
        <f t="shared" si="20"/>
        <v>0</v>
      </c>
      <c r="T58" s="173">
        <f t="shared" si="23"/>
        <v>987.42857142857144</v>
      </c>
      <c r="U58" s="101">
        <f t="shared" si="24"/>
        <v>0</v>
      </c>
      <c r="V58" s="101">
        <f t="shared" si="25"/>
        <v>0</v>
      </c>
      <c r="W58" s="101">
        <v>0</v>
      </c>
      <c r="X58" s="55">
        <f>A58+K58+L58+V58+W58</f>
        <v>46153</v>
      </c>
    </row>
    <row r="59" spans="1:24" s="511" customFormat="1" ht="26.5" hidden="1" x14ac:dyDescent="0.35">
      <c r="A59" s="46">
        <f t="shared" si="21"/>
        <v>46153</v>
      </c>
      <c r="B59" s="46">
        <v>46107</v>
      </c>
      <c r="C59" s="260">
        <f t="shared" si="22"/>
        <v>-46</v>
      </c>
      <c r="D59" s="260" t="s">
        <v>4340</v>
      </c>
      <c r="E59" s="47" t="s">
        <v>4336</v>
      </c>
      <c r="F59" s="97" t="s">
        <v>1669</v>
      </c>
      <c r="G59" s="69" t="s">
        <v>398</v>
      </c>
      <c r="H59" s="107" t="s">
        <v>4347</v>
      </c>
      <c r="I59" s="82" t="s">
        <v>4339</v>
      </c>
      <c r="J59" s="100" t="s">
        <v>140</v>
      </c>
      <c r="K59" s="91">
        <v>0</v>
      </c>
      <c r="L59" s="91">
        <v>0</v>
      </c>
      <c r="M59" s="92">
        <v>55</v>
      </c>
      <c r="N59" s="94">
        <v>2000</v>
      </c>
      <c r="O59" s="92">
        <v>1</v>
      </c>
      <c r="P59" s="94">
        <f t="shared" si="19"/>
        <v>2000</v>
      </c>
      <c r="Q59" s="181">
        <v>0.8</v>
      </c>
      <c r="R59" s="92">
        <v>2000</v>
      </c>
      <c r="S59" s="103">
        <f t="shared" si="20"/>
        <v>0</v>
      </c>
      <c r="T59" s="173">
        <f t="shared" si="23"/>
        <v>1256.727272727273</v>
      </c>
      <c r="U59" s="101">
        <f t="shared" si="24"/>
        <v>0</v>
      </c>
      <c r="V59" s="101">
        <f t="shared" si="25"/>
        <v>0</v>
      </c>
      <c r="W59" s="101">
        <v>0</v>
      </c>
      <c r="X59" s="55">
        <f>A59+K59+V59+W59+L59</f>
        <v>46153</v>
      </c>
    </row>
    <row r="60" spans="1:24" s="186" customFormat="1" hidden="1" x14ac:dyDescent="0.35">
      <c r="A60" s="123">
        <f t="shared" si="21"/>
        <v>46153</v>
      </c>
      <c r="B60" s="123">
        <v>46108</v>
      </c>
      <c r="C60" s="190">
        <f t="shared" si="22"/>
        <v>-45</v>
      </c>
      <c r="D60" s="190"/>
      <c r="E60" s="476" t="s">
        <v>4336</v>
      </c>
      <c r="F60" s="187" t="s">
        <v>1669</v>
      </c>
      <c r="G60" s="187" t="s">
        <v>398</v>
      </c>
      <c r="H60" s="188" t="s">
        <v>4348</v>
      </c>
      <c r="I60" s="159" t="s">
        <v>4335</v>
      </c>
      <c r="J60" s="175" t="s">
        <v>140</v>
      </c>
      <c r="K60" s="129">
        <v>0</v>
      </c>
      <c r="L60" s="129">
        <v>0</v>
      </c>
      <c r="M60" s="130">
        <v>45</v>
      </c>
      <c r="N60" s="131">
        <v>2000</v>
      </c>
      <c r="O60" s="130">
        <v>1</v>
      </c>
      <c r="P60" s="165">
        <f t="shared" si="19"/>
        <v>2000</v>
      </c>
      <c r="Q60" s="185">
        <v>0.8</v>
      </c>
      <c r="R60" s="130">
        <v>2000</v>
      </c>
      <c r="S60" s="165">
        <f t="shared" si="20"/>
        <v>0</v>
      </c>
      <c r="T60" s="168">
        <f t="shared" si="23"/>
        <v>1536</v>
      </c>
      <c r="U60" s="163">
        <f t="shared" si="24"/>
        <v>0</v>
      </c>
      <c r="V60" s="163">
        <f t="shared" si="25"/>
        <v>0</v>
      </c>
      <c r="W60" s="163">
        <v>0</v>
      </c>
      <c r="X60" s="137">
        <f>A60+K60+L60+V60+W60</f>
        <v>46153</v>
      </c>
    </row>
    <row r="61" spans="1:24" s="202" customFormat="1" x14ac:dyDescent="0.35">
      <c r="A61" s="193">
        <f>X39</f>
        <v>46153</v>
      </c>
      <c r="B61" s="193">
        <v>46121</v>
      </c>
      <c r="C61" s="194">
        <f t="shared" si="22"/>
        <v>-32</v>
      </c>
      <c r="D61" s="192"/>
      <c r="E61" s="111" t="s">
        <v>4336</v>
      </c>
      <c r="F61" s="196" t="s">
        <v>4349</v>
      </c>
      <c r="G61" s="196" t="s">
        <v>1675</v>
      </c>
      <c r="H61" s="616">
        <v>13808</v>
      </c>
      <c r="I61" s="196" t="s">
        <v>4350</v>
      </c>
      <c r="J61" s="383" t="s">
        <v>140</v>
      </c>
      <c r="K61" s="482">
        <v>0</v>
      </c>
      <c r="L61" s="482">
        <v>0</v>
      </c>
      <c r="M61" s="199">
        <v>60</v>
      </c>
      <c r="N61" s="483">
        <v>15000</v>
      </c>
      <c r="O61" s="199">
        <v>1</v>
      </c>
      <c r="P61" s="483">
        <f t="shared" si="19"/>
        <v>15000</v>
      </c>
      <c r="Q61" s="198">
        <v>0.8</v>
      </c>
      <c r="R61" s="199">
        <v>9329</v>
      </c>
      <c r="S61" s="117">
        <f t="shared" si="20"/>
        <v>5671</v>
      </c>
      <c r="T61" s="200">
        <f t="shared" si="23"/>
        <v>1152</v>
      </c>
      <c r="U61" s="115">
        <f t="shared" si="24"/>
        <v>118.14583333333333</v>
      </c>
      <c r="V61" s="115">
        <f t="shared" si="25"/>
        <v>4.9227430555555554</v>
      </c>
      <c r="W61" s="115">
        <v>0</v>
      </c>
      <c r="X61" s="201">
        <f>A61+K61+V61+W61+L61</f>
        <v>46157.922743055555</v>
      </c>
    </row>
    <row r="62" spans="1:24" s="487" customFormat="1" x14ac:dyDescent="0.35">
      <c r="A62" s="203">
        <f>X61</f>
        <v>46157.922743055555</v>
      </c>
      <c r="B62" s="203">
        <v>46138</v>
      </c>
      <c r="C62" s="286">
        <f t="shared" si="22"/>
        <v>-19.922743055554747</v>
      </c>
      <c r="D62" s="203"/>
      <c r="E62" s="386" t="s">
        <v>4336</v>
      </c>
      <c r="F62" s="798" t="s">
        <v>220</v>
      </c>
      <c r="G62" s="205" t="s">
        <v>1675</v>
      </c>
      <c r="H62" s="799" t="s">
        <v>4351</v>
      </c>
      <c r="I62" s="387" t="s">
        <v>4352</v>
      </c>
      <c r="J62" s="310" t="s">
        <v>140</v>
      </c>
      <c r="K62" s="208">
        <v>0.25</v>
      </c>
      <c r="L62" s="208">
        <v>0.2</v>
      </c>
      <c r="M62" s="209">
        <v>30</v>
      </c>
      <c r="N62" s="210">
        <v>10000</v>
      </c>
      <c r="O62" s="209">
        <v>2</v>
      </c>
      <c r="P62" s="210">
        <f t="shared" si="19"/>
        <v>5000</v>
      </c>
      <c r="Q62" s="293">
        <v>0.8</v>
      </c>
      <c r="R62" s="209"/>
      <c r="S62" s="209">
        <f t="shared" si="20"/>
        <v>5000</v>
      </c>
      <c r="T62" s="294">
        <f t="shared" si="23"/>
        <v>4608</v>
      </c>
      <c r="U62" s="289">
        <f t="shared" si="24"/>
        <v>52.083333333333329</v>
      </c>
      <c r="V62" s="289">
        <f t="shared" si="25"/>
        <v>2.1701388888888888</v>
      </c>
      <c r="W62" s="289">
        <v>0</v>
      </c>
      <c r="X62" s="212">
        <f>A62+K62+L62+V62+W62</f>
        <v>46160.542881944442</v>
      </c>
    </row>
    <row r="63" spans="1:24" s="487" customFormat="1" x14ac:dyDescent="0.35">
      <c r="A63" s="203"/>
      <c r="B63" s="203"/>
      <c r="C63" s="286"/>
      <c r="D63" s="203"/>
      <c r="E63" s="204"/>
      <c r="F63" s="798"/>
      <c r="G63" s="798"/>
      <c r="H63" s="799"/>
      <c r="I63" s="387"/>
      <c r="J63" s="310"/>
      <c r="K63" s="800"/>
      <c r="L63" s="800"/>
      <c r="M63" s="801"/>
      <c r="N63" s="801"/>
      <c r="O63" s="801"/>
      <c r="P63" s="209"/>
      <c r="Q63" s="293"/>
      <c r="R63" s="209"/>
      <c r="S63" s="209"/>
      <c r="T63" s="294"/>
      <c r="U63" s="289"/>
      <c r="V63" s="289"/>
      <c r="W63" s="289"/>
      <c r="X63" s="212"/>
    </row>
    <row r="64" spans="1:24" ht="45" x14ac:dyDescent="0.8">
      <c r="A64" s="35" t="s">
        <v>4336</v>
      </c>
      <c r="B64" s="35"/>
      <c r="C64" s="787"/>
      <c r="D64" s="35"/>
      <c r="E64" s="36"/>
      <c r="F64" s="213"/>
      <c r="G64" s="213"/>
      <c r="H64" s="311" t="s">
        <v>4269</v>
      </c>
      <c r="I64" s="214"/>
      <c r="J64" s="40"/>
      <c r="K64" s="41"/>
      <c r="L64" s="41"/>
      <c r="M64" s="42"/>
      <c r="N64" s="43"/>
      <c r="O64" s="44"/>
      <c r="P64" s="44"/>
      <c r="Q64" s="44"/>
      <c r="R64" s="43"/>
      <c r="S64" s="44"/>
      <c r="T64" s="44"/>
      <c r="U64" s="44"/>
      <c r="V64" s="44"/>
      <c r="W64" s="44"/>
      <c r="X64" s="45"/>
    </row>
    <row r="65" spans="1:24" hidden="1" x14ac:dyDescent="0.35">
      <c r="A65" s="71">
        <f>S7</f>
        <v>46153</v>
      </c>
      <c r="B65" s="71"/>
      <c r="C65" s="180"/>
      <c r="D65" s="71"/>
      <c r="E65" s="119" t="s">
        <v>4336</v>
      </c>
      <c r="F65" s="82" t="s">
        <v>4353</v>
      </c>
      <c r="G65" s="82" t="s">
        <v>359</v>
      </c>
      <c r="H65" s="108">
        <v>13311</v>
      </c>
      <c r="I65" s="82" t="s">
        <v>4350</v>
      </c>
      <c r="J65" s="51" t="s">
        <v>140</v>
      </c>
      <c r="K65" s="91">
        <v>0</v>
      </c>
      <c r="L65" s="91">
        <v>0</v>
      </c>
      <c r="M65" s="92">
        <v>60</v>
      </c>
      <c r="N65" s="94">
        <v>5000</v>
      </c>
      <c r="O65" s="92">
        <v>1</v>
      </c>
      <c r="P65" s="94">
        <f t="shared" ref="P65:P79" si="26">N65/O65</f>
        <v>5000</v>
      </c>
      <c r="Q65" s="94"/>
      <c r="R65" s="92">
        <v>5000</v>
      </c>
      <c r="S65" s="94">
        <f t="shared" ref="S65:S79" si="27">P65-R65</f>
        <v>0</v>
      </c>
      <c r="T65" s="92">
        <f>((3600/M65)*O65)*24</f>
        <v>1440</v>
      </c>
      <c r="U65" s="91">
        <f>(P65-R65)*M65/3600</f>
        <v>0</v>
      </c>
      <c r="V65" s="91">
        <f>(P65-R65)*M65/3600/24</f>
        <v>0</v>
      </c>
      <c r="W65" s="91">
        <v>0</v>
      </c>
      <c r="X65" s="55">
        <f>A65+K65+V65+W65+L65</f>
        <v>46153</v>
      </c>
    </row>
    <row r="66" spans="1:24" s="511" customFormat="1" hidden="1" x14ac:dyDescent="0.35">
      <c r="A66" s="71">
        <f t="shared" ref="A66:A79" si="28">X65</f>
        <v>46153</v>
      </c>
      <c r="B66" s="71"/>
      <c r="C66" s="180"/>
      <c r="D66" s="71"/>
      <c r="E66" s="119" t="s">
        <v>4336</v>
      </c>
      <c r="F66" s="82" t="s">
        <v>4354</v>
      </c>
      <c r="G66" s="82" t="s">
        <v>830</v>
      </c>
      <c r="H66" s="108">
        <v>13341</v>
      </c>
      <c r="I66" s="82" t="s">
        <v>4350</v>
      </c>
      <c r="J66" s="51" t="s">
        <v>140</v>
      </c>
      <c r="K66" s="91">
        <v>0</v>
      </c>
      <c r="L66" s="91">
        <v>0</v>
      </c>
      <c r="M66" s="92">
        <v>60</v>
      </c>
      <c r="N66" s="94">
        <v>10000</v>
      </c>
      <c r="O66" s="92">
        <v>1</v>
      </c>
      <c r="P66" s="94">
        <f t="shared" si="26"/>
        <v>10000</v>
      </c>
      <c r="Q66" s="94"/>
      <c r="R66" s="92">
        <v>10000</v>
      </c>
      <c r="S66" s="94">
        <f t="shared" si="27"/>
        <v>0</v>
      </c>
      <c r="T66" s="92">
        <f>((3600/M66)*O66)*24</f>
        <v>1440</v>
      </c>
      <c r="U66" s="91">
        <f>(P66-R66)*M66/3600</f>
        <v>0</v>
      </c>
      <c r="V66" s="91">
        <f>(P66-R66)*M66/3600/24</f>
        <v>0</v>
      </c>
      <c r="W66" s="91">
        <v>0</v>
      </c>
      <c r="X66" s="55">
        <f>A66+K66+V66+W66+L66</f>
        <v>46153</v>
      </c>
    </row>
    <row r="67" spans="1:24" s="511" customFormat="1" ht="26.5" hidden="1" x14ac:dyDescent="0.35">
      <c r="A67" s="46">
        <f t="shared" si="28"/>
        <v>46153</v>
      </c>
      <c r="B67" s="46"/>
      <c r="C67" s="260"/>
      <c r="D67" s="46"/>
      <c r="E67" s="47" t="s">
        <v>4336</v>
      </c>
      <c r="F67" s="69" t="s">
        <v>809</v>
      </c>
      <c r="G67" s="69" t="s">
        <v>839</v>
      </c>
      <c r="H67" s="107" t="s">
        <v>4355</v>
      </c>
      <c r="I67" s="82" t="s">
        <v>4339</v>
      </c>
      <c r="J67" s="100" t="s">
        <v>140</v>
      </c>
      <c r="K67" s="91">
        <v>0</v>
      </c>
      <c r="L67" s="91">
        <v>0</v>
      </c>
      <c r="M67" s="92">
        <v>55</v>
      </c>
      <c r="N67" s="94">
        <v>1000</v>
      </c>
      <c r="O67" s="92">
        <v>1</v>
      </c>
      <c r="P67" s="94">
        <f t="shared" si="26"/>
        <v>1000</v>
      </c>
      <c r="Q67" s="94"/>
      <c r="R67" s="92">
        <v>1000</v>
      </c>
      <c r="S67" s="92">
        <f t="shared" si="27"/>
        <v>0</v>
      </c>
      <c r="T67" s="102">
        <f>((3600/M67)*O67)*24</f>
        <v>1570.909090909091</v>
      </c>
      <c r="U67" s="101">
        <f>(P67-R67)*M67/3600</f>
        <v>0</v>
      </c>
      <c r="V67" s="101">
        <f>(P67-R67)*M67/3600/24</f>
        <v>0</v>
      </c>
      <c r="W67" s="101">
        <v>0</v>
      </c>
      <c r="X67" s="55">
        <f>A67+K67+V67+W67+L67</f>
        <v>46153</v>
      </c>
    </row>
    <row r="68" spans="1:24" s="802" customFormat="1" ht="13" hidden="1" x14ac:dyDescent="0.3">
      <c r="A68" s="46">
        <f t="shared" si="28"/>
        <v>46153</v>
      </c>
      <c r="B68" s="46"/>
      <c r="C68" s="260"/>
      <c r="D68" s="46"/>
      <c r="E68" s="47" t="s">
        <v>1896</v>
      </c>
      <c r="F68" s="97" t="s">
        <v>1583</v>
      </c>
      <c r="G68" s="97" t="s">
        <v>2219</v>
      </c>
      <c r="H68" s="98" t="s">
        <v>4356</v>
      </c>
      <c r="I68" s="442" t="s">
        <v>1554</v>
      </c>
      <c r="J68" s="100" t="s">
        <v>140</v>
      </c>
      <c r="K68" s="91">
        <v>0</v>
      </c>
      <c r="L68" s="91">
        <v>0</v>
      </c>
      <c r="M68" s="92">
        <v>85</v>
      </c>
      <c r="N68" s="94">
        <v>5000</v>
      </c>
      <c r="O68" s="92">
        <v>2</v>
      </c>
      <c r="P68" s="94">
        <f t="shared" si="26"/>
        <v>2500</v>
      </c>
      <c r="Q68" s="94"/>
      <c r="R68" s="92">
        <v>2500</v>
      </c>
      <c r="S68" s="92">
        <f t="shared" si="27"/>
        <v>0</v>
      </c>
      <c r="T68" s="102">
        <f>((3600/M68)*O68)*24</f>
        <v>2032.9411764705883</v>
      </c>
      <c r="U68" s="101">
        <f>(P68-R68)*M68/3600</f>
        <v>0</v>
      </c>
      <c r="V68" s="101">
        <f>(P68-R68)*M68/3600/24</f>
        <v>0</v>
      </c>
      <c r="W68" s="101">
        <v>0</v>
      </c>
      <c r="X68" s="55">
        <f>A68+K68+V68+W68+L68</f>
        <v>46153</v>
      </c>
    </row>
    <row r="69" spans="1:24" s="500" customFormat="1" ht="13" hidden="1" x14ac:dyDescent="0.3">
      <c r="A69" s="46">
        <f t="shared" si="28"/>
        <v>46153</v>
      </c>
      <c r="B69" s="71">
        <v>46059</v>
      </c>
      <c r="C69" s="180">
        <f t="shared" ref="C69:C79" si="29">B69-A69</f>
        <v>-94</v>
      </c>
      <c r="D69" s="180"/>
      <c r="E69" s="47" t="s">
        <v>1896</v>
      </c>
      <c r="F69" s="97" t="s">
        <v>1583</v>
      </c>
      <c r="G69" s="97" t="s">
        <v>2219</v>
      </c>
      <c r="H69" s="98" t="s">
        <v>4357</v>
      </c>
      <c r="I69" s="442" t="s">
        <v>1556</v>
      </c>
      <c r="J69" s="100" t="s">
        <v>140</v>
      </c>
      <c r="K69" s="91">
        <v>0</v>
      </c>
      <c r="L69" s="91">
        <v>0</v>
      </c>
      <c r="M69" s="92">
        <v>85</v>
      </c>
      <c r="N69" s="94">
        <v>5000</v>
      </c>
      <c r="O69" s="92">
        <v>2</v>
      </c>
      <c r="P69" s="94">
        <f t="shared" si="26"/>
        <v>2500</v>
      </c>
      <c r="Q69" s="181">
        <v>0.8</v>
      </c>
      <c r="R69" s="92">
        <v>2500</v>
      </c>
      <c r="S69" s="102">
        <f t="shared" si="27"/>
        <v>0</v>
      </c>
      <c r="T69" s="173">
        <f t="shared" ref="T69:T79" si="30">((3600/M69)*O69)*24*Q69</f>
        <v>1626.3529411764707</v>
      </c>
      <c r="U69" s="101">
        <f t="shared" ref="U69:U79" si="31">(P69-R69)*M69/3600/Q69</f>
        <v>0</v>
      </c>
      <c r="V69" s="101">
        <f t="shared" ref="V69:V79" si="32">U69/24</f>
        <v>0</v>
      </c>
      <c r="W69" s="101">
        <v>0</v>
      </c>
      <c r="X69" s="55">
        <f>A69+K69+V69+W69+L69</f>
        <v>46153</v>
      </c>
    </row>
    <row r="70" spans="1:24" s="511" customFormat="1" ht="26.5" hidden="1" x14ac:dyDescent="0.35">
      <c r="A70" s="46">
        <f t="shared" si="28"/>
        <v>46153</v>
      </c>
      <c r="B70" s="46">
        <v>46059</v>
      </c>
      <c r="C70" s="260">
        <f t="shared" si="29"/>
        <v>-94</v>
      </c>
      <c r="D70" s="260"/>
      <c r="E70" s="47" t="s">
        <v>4336</v>
      </c>
      <c r="F70" s="82" t="s">
        <v>838</v>
      </c>
      <c r="G70" s="82" t="s">
        <v>839</v>
      </c>
      <c r="H70" s="98" t="s">
        <v>4358</v>
      </c>
      <c r="I70" s="82" t="s">
        <v>4359</v>
      </c>
      <c r="J70" s="100" t="s">
        <v>140</v>
      </c>
      <c r="K70" s="91">
        <v>0</v>
      </c>
      <c r="L70" s="91">
        <v>0</v>
      </c>
      <c r="M70" s="102">
        <v>45</v>
      </c>
      <c r="N70" s="103">
        <v>3000</v>
      </c>
      <c r="O70" s="102">
        <v>1</v>
      </c>
      <c r="P70" s="103">
        <f t="shared" si="26"/>
        <v>3000</v>
      </c>
      <c r="Q70" s="181">
        <v>0.8</v>
      </c>
      <c r="R70" s="102">
        <v>3000</v>
      </c>
      <c r="S70" s="102">
        <f t="shared" si="27"/>
        <v>0</v>
      </c>
      <c r="T70" s="173">
        <f t="shared" si="30"/>
        <v>1536</v>
      </c>
      <c r="U70" s="101">
        <f t="shared" si="31"/>
        <v>0</v>
      </c>
      <c r="V70" s="101">
        <f t="shared" si="32"/>
        <v>0</v>
      </c>
      <c r="W70" s="101">
        <v>0</v>
      </c>
      <c r="X70" s="55">
        <f>A70+K70+L70+V70+W70</f>
        <v>46153</v>
      </c>
    </row>
    <row r="71" spans="1:24" s="511" customFormat="1" ht="26.5" hidden="1" x14ac:dyDescent="0.35">
      <c r="A71" s="46">
        <f t="shared" si="28"/>
        <v>46153</v>
      </c>
      <c r="B71" s="46">
        <v>46061</v>
      </c>
      <c r="C71" s="260">
        <f t="shared" si="29"/>
        <v>-92</v>
      </c>
      <c r="D71" s="260"/>
      <c r="E71" s="47" t="s">
        <v>4336</v>
      </c>
      <c r="F71" s="82" t="s">
        <v>385</v>
      </c>
      <c r="G71" s="82" t="s">
        <v>386</v>
      </c>
      <c r="H71" s="98" t="s">
        <v>4360</v>
      </c>
      <c r="I71" s="82" t="s">
        <v>4359</v>
      </c>
      <c r="J71" s="100" t="s">
        <v>140</v>
      </c>
      <c r="K71" s="91">
        <v>0</v>
      </c>
      <c r="L71" s="91">
        <v>0</v>
      </c>
      <c r="M71" s="102">
        <v>45</v>
      </c>
      <c r="N71" s="103">
        <v>3500</v>
      </c>
      <c r="O71" s="102">
        <v>1</v>
      </c>
      <c r="P71" s="103">
        <f t="shared" si="26"/>
        <v>3500</v>
      </c>
      <c r="Q71" s="181">
        <v>0.8</v>
      </c>
      <c r="R71" s="102">
        <v>3500</v>
      </c>
      <c r="S71" s="102">
        <f t="shared" si="27"/>
        <v>0</v>
      </c>
      <c r="T71" s="173">
        <f t="shared" si="30"/>
        <v>1536</v>
      </c>
      <c r="U71" s="101">
        <f t="shared" si="31"/>
        <v>0</v>
      </c>
      <c r="V71" s="101">
        <f t="shared" si="32"/>
        <v>0</v>
      </c>
      <c r="W71" s="101">
        <v>0</v>
      </c>
      <c r="X71" s="55">
        <f>A71+K71+L71+V71+W71</f>
        <v>46153</v>
      </c>
    </row>
    <row r="72" spans="1:24" s="179" customFormat="1" ht="26.5" hidden="1" x14ac:dyDescent="0.35">
      <c r="A72" s="123">
        <f t="shared" si="28"/>
        <v>46153</v>
      </c>
      <c r="B72" s="123">
        <v>46063</v>
      </c>
      <c r="C72" s="190">
        <f t="shared" si="29"/>
        <v>-90</v>
      </c>
      <c r="D72" s="190"/>
      <c r="E72" s="124" t="s">
        <v>4336</v>
      </c>
      <c r="F72" s="159" t="s">
        <v>838</v>
      </c>
      <c r="G72" s="159" t="s">
        <v>839</v>
      </c>
      <c r="H72" s="188" t="s">
        <v>4361</v>
      </c>
      <c r="I72" s="159" t="s">
        <v>2816</v>
      </c>
      <c r="J72" s="175" t="s">
        <v>140</v>
      </c>
      <c r="K72" s="163">
        <v>0</v>
      </c>
      <c r="L72" s="163">
        <v>0</v>
      </c>
      <c r="M72" s="164">
        <v>60</v>
      </c>
      <c r="N72" s="165">
        <v>1200</v>
      </c>
      <c r="O72" s="164">
        <v>1</v>
      </c>
      <c r="P72" s="165">
        <f t="shared" si="26"/>
        <v>1200</v>
      </c>
      <c r="Q72" s="185">
        <v>0.8</v>
      </c>
      <c r="R72" s="165">
        <v>1200</v>
      </c>
      <c r="S72" s="164">
        <f t="shared" si="27"/>
        <v>0</v>
      </c>
      <c r="T72" s="168">
        <f t="shared" si="30"/>
        <v>1152</v>
      </c>
      <c r="U72" s="163">
        <f t="shared" si="31"/>
        <v>0</v>
      </c>
      <c r="V72" s="163">
        <f t="shared" si="32"/>
        <v>0</v>
      </c>
      <c r="W72" s="163">
        <v>0</v>
      </c>
      <c r="X72" s="169">
        <f>A72+K72+L72+V72+W72</f>
        <v>46153</v>
      </c>
    </row>
    <row r="73" spans="1:24" s="511" customFormat="1" hidden="1" x14ac:dyDescent="0.35">
      <c r="A73" s="46">
        <f t="shared" si="28"/>
        <v>46153</v>
      </c>
      <c r="B73" s="46">
        <v>46077</v>
      </c>
      <c r="C73" s="260">
        <f t="shared" si="29"/>
        <v>-76</v>
      </c>
      <c r="D73" s="260" t="s">
        <v>2673</v>
      </c>
      <c r="E73" s="119" t="s">
        <v>4336</v>
      </c>
      <c r="F73" s="803"/>
      <c r="G73" s="803" t="s">
        <v>839</v>
      </c>
      <c r="H73" s="804" t="s">
        <v>4362</v>
      </c>
      <c r="I73" s="805" t="s">
        <v>4363</v>
      </c>
      <c r="J73" s="805" t="s">
        <v>140</v>
      </c>
      <c r="K73" s="101">
        <v>0</v>
      </c>
      <c r="L73" s="101">
        <v>0</v>
      </c>
      <c r="M73" s="346">
        <v>15</v>
      </c>
      <c r="N73" s="806">
        <f>6000*45</f>
        <v>270000</v>
      </c>
      <c r="O73" s="807">
        <v>6</v>
      </c>
      <c r="P73" s="806">
        <f t="shared" si="26"/>
        <v>45000</v>
      </c>
      <c r="Q73" s="181">
        <v>0.8</v>
      </c>
      <c r="R73" s="806">
        <v>45000</v>
      </c>
      <c r="S73" s="806">
        <f t="shared" si="27"/>
        <v>0</v>
      </c>
      <c r="T73" s="173">
        <f t="shared" si="30"/>
        <v>27648</v>
      </c>
      <c r="U73" s="101">
        <f t="shared" si="31"/>
        <v>0</v>
      </c>
      <c r="V73" s="101">
        <f t="shared" si="32"/>
        <v>0</v>
      </c>
      <c r="W73" s="101">
        <v>0</v>
      </c>
      <c r="X73" s="255">
        <f>A73+K73+L73+V73+W73</f>
        <v>46153</v>
      </c>
    </row>
    <row r="74" spans="1:24" s="511" customFormat="1" hidden="1" x14ac:dyDescent="0.35">
      <c r="A74" s="46">
        <f t="shared" si="28"/>
        <v>46153</v>
      </c>
      <c r="B74" s="46">
        <v>46093</v>
      </c>
      <c r="C74" s="260">
        <f t="shared" si="29"/>
        <v>-60</v>
      </c>
      <c r="D74" s="46" t="s">
        <v>2673</v>
      </c>
      <c r="E74" s="119" t="s">
        <v>4336</v>
      </c>
      <c r="F74" s="803"/>
      <c r="G74" s="803" t="s">
        <v>839</v>
      </c>
      <c r="H74" s="804" t="s">
        <v>4364</v>
      </c>
      <c r="I74" s="805" t="s">
        <v>4363</v>
      </c>
      <c r="J74" s="805" t="s">
        <v>140</v>
      </c>
      <c r="K74" s="101">
        <v>0</v>
      </c>
      <c r="L74" s="101">
        <v>0</v>
      </c>
      <c r="M74" s="346">
        <v>15</v>
      </c>
      <c r="N74" s="806">
        <f>6000*60</f>
        <v>360000</v>
      </c>
      <c r="O74" s="807">
        <v>6</v>
      </c>
      <c r="P74" s="806">
        <f t="shared" si="26"/>
        <v>60000</v>
      </c>
      <c r="Q74" s="181">
        <v>0.8</v>
      </c>
      <c r="R74" s="806">
        <v>60000</v>
      </c>
      <c r="S74" s="806">
        <f t="shared" si="27"/>
        <v>0</v>
      </c>
      <c r="T74" s="173">
        <f t="shared" si="30"/>
        <v>27648</v>
      </c>
      <c r="U74" s="101">
        <f t="shared" si="31"/>
        <v>0</v>
      </c>
      <c r="V74" s="101">
        <f t="shared" si="32"/>
        <v>0</v>
      </c>
      <c r="W74" s="101">
        <v>0</v>
      </c>
      <c r="X74" s="255">
        <f>A74+K74+L74+V74+W74</f>
        <v>46153</v>
      </c>
    </row>
    <row r="75" spans="1:24" s="121" customFormat="1" hidden="1" x14ac:dyDescent="0.35">
      <c r="A75" s="71">
        <f t="shared" si="28"/>
        <v>46153</v>
      </c>
      <c r="B75" s="46">
        <v>46105</v>
      </c>
      <c r="C75" s="260">
        <f t="shared" si="29"/>
        <v>-48</v>
      </c>
      <c r="D75" s="260"/>
      <c r="E75" s="119" t="s">
        <v>4336</v>
      </c>
      <c r="F75" s="69" t="s">
        <v>871</v>
      </c>
      <c r="G75" s="69" t="s">
        <v>386</v>
      </c>
      <c r="H75" s="340" t="s">
        <v>4365</v>
      </c>
      <c r="I75" s="82" t="s">
        <v>4366</v>
      </c>
      <c r="J75" s="100" t="s">
        <v>140</v>
      </c>
      <c r="K75" s="91">
        <v>0</v>
      </c>
      <c r="L75" s="91">
        <v>0</v>
      </c>
      <c r="M75" s="345">
        <v>75</v>
      </c>
      <c r="N75" s="94">
        <v>450</v>
      </c>
      <c r="O75" s="345">
        <v>1</v>
      </c>
      <c r="P75" s="94">
        <f t="shared" si="26"/>
        <v>450</v>
      </c>
      <c r="Q75" s="181">
        <v>0.8</v>
      </c>
      <c r="R75" s="92">
        <v>450</v>
      </c>
      <c r="S75" s="103">
        <f t="shared" si="27"/>
        <v>0</v>
      </c>
      <c r="T75" s="173">
        <f t="shared" si="30"/>
        <v>921.6</v>
      </c>
      <c r="U75" s="101">
        <f t="shared" si="31"/>
        <v>0</v>
      </c>
      <c r="V75" s="101">
        <f t="shared" si="32"/>
        <v>0</v>
      </c>
      <c r="W75" s="101">
        <v>0</v>
      </c>
      <c r="X75" s="55">
        <f>A75+K75+V75+W75+L75</f>
        <v>46153</v>
      </c>
    </row>
    <row r="76" spans="1:24" s="121" customFormat="1" hidden="1" x14ac:dyDescent="0.35">
      <c r="A76" s="71">
        <f t="shared" si="28"/>
        <v>46153</v>
      </c>
      <c r="B76" s="46">
        <v>46106</v>
      </c>
      <c r="C76" s="260">
        <f t="shared" si="29"/>
        <v>-47</v>
      </c>
      <c r="D76" s="260"/>
      <c r="E76" s="119" t="s">
        <v>4336</v>
      </c>
      <c r="F76" s="69" t="s">
        <v>871</v>
      </c>
      <c r="G76" s="69" t="s">
        <v>386</v>
      </c>
      <c r="H76" s="340" t="s">
        <v>4367</v>
      </c>
      <c r="I76" s="82" t="s">
        <v>4368</v>
      </c>
      <c r="J76" s="100" t="s">
        <v>140</v>
      </c>
      <c r="K76" s="91">
        <v>0</v>
      </c>
      <c r="L76" s="91">
        <v>0</v>
      </c>
      <c r="M76" s="345">
        <v>75</v>
      </c>
      <c r="N76" s="94">
        <v>450</v>
      </c>
      <c r="O76" s="345">
        <v>1</v>
      </c>
      <c r="P76" s="94">
        <f t="shared" si="26"/>
        <v>450</v>
      </c>
      <c r="Q76" s="181">
        <v>0.8</v>
      </c>
      <c r="R76" s="92">
        <v>450</v>
      </c>
      <c r="S76" s="103">
        <f t="shared" si="27"/>
        <v>0</v>
      </c>
      <c r="T76" s="173">
        <f t="shared" si="30"/>
        <v>921.6</v>
      </c>
      <c r="U76" s="101">
        <f t="shared" si="31"/>
        <v>0</v>
      </c>
      <c r="V76" s="101">
        <f t="shared" si="32"/>
        <v>0</v>
      </c>
      <c r="W76" s="101">
        <v>0</v>
      </c>
      <c r="X76" s="55">
        <f>A76+K76+V76+W76+L76</f>
        <v>46153</v>
      </c>
    </row>
    <row r="77" spans="1:24" s="179" customFormat="1" ht="26.5" hidden="1" x14ac:dyDescent="0.35">
      <c r="A77" s="123">
        <f t="shared" si="28"/>
        <v>46153</v>
      </c>
      <c r="B77" s="123">
        <v>46063</v>
      </c>
      <c r="C77" s="190">
        <f t="shared" si="29"/>
        <v>-90</v>
      </c>
      <c r="D77" s="190"/>
      <c r="E77" s="124" t="s">
        <v>4336</v>
      </c>
      <c r="F77" s="159" t="s">
        <v>1669</v>
      </c>
      <c r="G77" s="159" t="s">
        <v>398</v>
      </c>
      <c r="H77" s="188" t="s">
        <v>4369</v>
      </c>
      <c r="I77" s="159" t="s">
        <v>2816</v>
      </c>
      <c r="J77" s="175" t="s">
        <v>140</v>
      </c>
      <c r="K77" s="163">
        <v>0</v>
      </c>
      <c r="L77" s="163">
        <v>0</v>
      </c>
      <c r="M77" s="164">
        <v>60</v>
      </c>
      <c r="N77" s="165">
        <v>674</v>
      </c>
      <c r="O77" s="164">
        <v>1</v>
      </c>
      <c r="P77" s="165">
        <f t="shared" si="26"/>
        <v>674</v>
      </c>
      <c r="Q77" s="185">
        <v>0.8</v>
      </c>
      <c r="R77" s="165">
        <v>674</v>
      </c>
      <c r="S77" s="164">
        <f t="shared" si="27"/>
        <v>0</v>
      </c>
      <c r="T77" s="168">
        <f t="shared" si="30"/>
        <v>1152</v>
      </c>
      <c r="U77" s="163">
        <f t="shared" si="31"/>
        <v>0</v>
      </c>
      <c r="V77" s="163">
        <f t="shared" si="32"/>
        <v>0</v>
      </c>
      <c r="W77" s="163">
        <v>0</v>
      </c>
      <c r="X77" s="169">
        <f>A77+K77+L77+V77+W77</f>
        <v>46153</v>
      </c>
    </row>
    <row r="78" spans="1:24" s="121" customFormat="1" ht="26.5" hidden="1" x14ac:dyDescent="0.35">
      <c r="A78" s="46">
        <f t="shared" si="28"/>
        <v>46153</v>
      </c>
      <c r="B78" s="46">
        <v>46091</v>
      </c>
      <c r="C78" s="260">
        <f t="shared" si="29"/>
        <v>-62</v>
      </c>
      <c r="D78" s="260"/>
      <c r="E78" s="47" t="s">
        <v>4336</v>
      </c>
      <c r="F78" s="82" t="s">
        <v>2682</v>
      </c>
      <c r="G78" s="82" t="s">
        <v>411</v>
      </c>
      <c r="H78" s="107" t="s">
        <v>4370</v>
      </c>
      <c r="I78" s="82" t="s">
        <v>2816</v>
      </c>
      <c r="J78" s="100" t="s">
        <v>140</v>
      </c>
      <c r="K78" s="101">
        <v>0</v>
      </c>
      <c r="L78" s="101">
        <v>0</v>
      </c>
      <c r="M78" s="102">
        <v>60</v>
      </c>
      <c r="N78" s="103">
        <v>1200</v>
      </c>
      <c r="O78" s="102">
        <v>1</v>
      </c>
      <c r="P78" s="103">
        <f t="shared" si="26"/>
        <v>1200</v>
      </c>
      <c r="Q78" s="181">
        <v>0.8</v>
      </c>
      <c r="R78" s="103">
        <v>1200</v>
      </c>
      <c r="S78" s="102">
        <f t="shared" si="27"/>
        <v>0</v>
      </c>
      <c r="T78" s="173">
        <f t="shared" si="30"/>
        <v>1152</v>
      </c>
      <c r="U78" s="101">
        <f t="shared" si="31"/>
        <v>0</v>
      </c>
      <c r="V78" s="101">
        <f t="shared" si="32"/>
        <v>0</v>
      </c>
      <c r="W78" s="101">
        <v>0</v>
      </c>
      <c r="X78" s="255">
        <f>A78+K78+L78+V78+W78</f>
        <v>46153</v>
      </c>
    </row>
    <row r="79" spans="1:24" s="511" customFormat="1" hidden="1" x14ac:dyDescent="0.35">
      <c r="A79" s="46">
        <f t="shared" si="28"/>
        <v>46153</v>
      </c>
      <c r="B79" s="71">
        <v>46121</v>
      </c>
      <c r="C79" s="180">
        <f t="shared" si="29"/>
        <v>-32</v>
      </c>
      <c r="D79" s="260"/>
      <c r="E79" s="47" t="s">
        <v>4336</v>
      </c>
      <c r="F79" s="82" t="s">
        <v>4371</v>
      </c>
      <c r="G79" s="82" t="s">
        <v>411</v>
      </c>
      <c r="H79" s="107" t="s">
        <v>4372</v>
      </c>
      <c r="I79" s="417" t="s">
        <v>4299</v>
      </c>
      <c r="J79" s="100" t="s">
        <v>140</v>
      </c>
      <c r="K79" s="91">
        <v>0</v>
      </c>
      <c r="L79" s="91">
        <v>0</v>
      </c>
      <c r="M79" s="92">
        <v>47</v>
      </c>
      <c r="N79" s="94">
        <v>25254</v>
      </c>
      <c r="O79" s="92">
        <v>1</v>
      </c>
      <c r="P79" s="94">
        <f t="shared" si="26"/>
        <v>25254</v>
      </c>
      <c r="Q79" s="181">
        <v>0.8</v>
      </c>
      <c r="R79" s="92">
        <v>25254</v>
      </c>
      <c r="S79" s="102">
        <f t="shared" si="27"/>
        <v>0</v>
      </c>
      <c r="T79" s="173">
        <f t="shared" si="30"/>
        <v>1470.6382978723407</v>
      </c>
      <c r="U79" s="101">
        <f t="shared" si="31"/>
        <v>0</v>
      </c>
      <c r="V79" s="101">
        <f t="shared" si="32"/>
        <v>0</v>
      </c>
      <c r="W79" s="101">
        <v>0</v>
      </c>
      <c r="X79" s="55">
        <f>A79+K79+V79+W79+L79</f>
        <v>46153</v>
      </c>
    </row>
    <row r="80" spans="1:24" s="243" customFormat="1" x14ac:dyDescent="0.35">
      <c r="A80" s="193">
        <f>X79</f>
        <v>46153</v>
      </c>
      <c r="B80" s="193">
        <v>46148</v>
      </c>
      <c r="C80" s="194">
        <f>B80-A80</f>
        <v>-5</v>
      </c>
      <c r="D80" s="193"/>
      <c r="E80" s="195" t="s">
        <v>4321</v>
      </c>
      <c r="F80" s="197" t="s">
        <v>4373</v>
      </c>
      <c r="G80" s="112" t="s">
        <v>414</v>
      </c>
      <c r="H80" s="113" t="s">
        <v>4374</v>
      </c>
      <c r="I80" s="615" t="s">
        <v>4375</v>
      </c>
      <c r="J80" s="808" t="s">
        <v>140</v>
      </c>
      <c r="K80" s="482">
        <v>0</v>
      </c>
      <c r="L80" s="482">
        <v>0</v>
      </c>
      <c r="M80" s="199">
        <v>60</v>
      </c>
      <c r="N80" s="483">
        <v>11232</v>
      </c>
      <c r="O80" s="199">
        <v>1</v>
      </c>
      <c r="P80" s="199">
        <f>N80/O80</f>
        <v>11232</v>
      </c>
      <c r="Q80" s="198">
        <v>0.8</v>
      </c>
      <c r="R80" s="199">
        <v>492</v>
      </c>
      <c r="S80" s="117">
        <f>P80-R80</f>
        <v>10740</v>
      </c>
      <c r="T80" s="116">
        <f>((3600/M80)*O80)*24*Q80</f>
        <v>1152</v>
      </c>
      <c r="U80" s="115">
        <f>(P80-R80)*M80/3600/Q80</f>
        <v>223.75</v>
      </c>
      <c r="V80" s="115">
        <f>U80/24</f>
        <v>9.3229166666666661</v>
      </c>
      <c r="W80" s="115">
        <v>0</v>
      </c>
      <c r="X80" s="201">
        <f>A80+K80+V80+W80+L80</f>
        <v>46162.322916666664</v>
      </c>
    </row>
    <row r="81" spans="1:40" s="178" customFormat="1" ht="26" x14ac:dyDescent="0.35">
      <c r="A81" s="384"/>
      <c r="B81" s="384"/>
      <c r="C81" s="385"/>
      <c r="D81" s="385"/>
      <c r="E81" s="204"/>
      <c r="F81" s="205"/>
      <c r="G81" s="288"/>
      <c r="H81" s="206"/>
      <c r="I81" s="809"/>
      <c r="J81" s="310"/>
      <c r="K81" s="289"/>
      <c r="L81" s="289"/>
      <c r="M81" s="290"/>
      <c r="N81" s="291"/>
      <c r="O81" s="292"/>
      <c r="P81" s="291"/>
      <c r="Q81" s="293"/>
      <c r="R81" s="211"/>
      <c r="S81" s="290"/>
      <c r="T81" s="294"/>
      <c r="U81" s="289"/>
      <c r="V81" s="289"/>
      <c r="W81" s="289"/>
      <c r="X81" s="212"/>
    </row>
    <row r="82" spans="1:40" ht="45" x14ac:dyDescent="0.8">
      <c r="A82" s="35" t="s">
        <v>3560</v>
      </c>
      <c r="B82" s="35"/>
      <c r="C82" s="787"/>
      <c r="D82" s="35"/>
      <c r="E82" s="36"/>
      <c r="F82" s="213"/>
      <c r="G82" s="213"/>
      <c r="H82" s="311" t="s">
        <v>4269</v>
      </c>
      <c r="I82" s="214"/>
      <c r="J82" s="40"/>
      <c r="K82" s="41"/>
      <c r="L82" s="41"/>
      <c r="M82" s="42"/>
      <c r="N82" s="43"/>
      <c r="O82" s="44"/>
      <c r="P82" s="44"/>
      <c r="Q82" s="44"/>
      <c r="R82" s="43"/>
      <c r="S82" s="44"/>
      <c r="T82" s="44"/>
      <c r="U82" s="44"/>
      <c r="V82" s="44"/>
      <c r="W82" s="44"/>
      <c r="X82" s="45"/>
    </row>
    <row r="83" spans="1:40" s="511" customFormat="1" ht="26.5" hidden="1" x14ac:dyDescent="0.35">
      <c r="A83" s="46">
        <f>X1457</f>
        <v>46153.904513888876</v>
      </c>
      <c r="B83" s="46"/>
      <c r="C83" s="260"/>
      <c r="D83" s="46"/>
      <c r="E83" s="810" t="s">
        <v>4376</v>
      </c>
      <c r="F83" s="97" t="s">
        <v>1264</v>
      </c>
      <c r="G83" s="97" t="s">
        <v>327</v>
      </c>
      <c r="H83" s="98" t="s">
        <v>4377</v>
      </c>
      <c r="I83" s="82" t="s">
        <v>4378</v>
      </c>
      <c r="J83" s="51" t="s">
        <v>140</v>
      </c>
      <c r="K83" s="91">
        <v>0</v>
      </c>
      <c r="L83" s="91">
        <v>0</v>
      </c>
      <c r="M83" s="92">
        <v>35</v>
      </c>
      <c r="N83" s="94">
        <v>15000</v>
      </c>
      <c r="O83" s="253">
        <v>3</v>
      </c>
      <c r="P83" s="94">
        <f t="shared" ref="P83:P92" si="33">N83/O83</f>
        <v>5000</v>
      </c>
      <c r="Q83" s="94"/>
      <c r="R83" s="92">
        <v>5000</v>
      </c>
      <c r="S83" s="92">
        <f t="shared" ref="S83:S92" si="34">P83-R83</f>
        <v>0</v>
      </c>
      <c r="T83" s="254">
        <f>((3600/M83)*O83)*24</f>
        <v>7405.7142857142853</v>
      </c>
      <c r="U83" s="91">
        <f>(P83-R83)*M83/3600</f>
        <v>0</v>
      </c>
      <c r="V83" s="91">
        <f>(P83-R83)*M83/3600/24</f>
        <v>0</v>
      </c>
      <c r="W83" s="91">
        <v>0</v>
      </c>
      <c r="X83" s="696">
        <f>A83+K83+V83+W83+L83</f>
        <v>46153.904513888876</v>
      </c>
    </row>
    <row r="84" spans="1:40" s="811" customFormat="1" hidden="1" x14ac:dyDescent="0.35">
      <c r="A84" s="295">
        <f>X83</f>
        <v>46153.904513888876</v>
      </c>
      <c r="B84" s="295">
        <v>46091.460156250003</v>
      </c>
      <c r="C84" s="514">
        <f>B84-A84</f>
        <v>-62.444357638873043</v>
      </c>
      <c r="D84" s="514"/>
      <c r="E84" s="514" t="s">
        <v>4376</v>
      </c>
      <c r="F84" s="366" t="s">
        <v>918</v>
      </c>
      <c r="G84" s="366" t="s">
        <v>14</v>
      </c>
      <c r="H84" s="298" t="s">
        <v>14</v>
      </c>
      <c r="I84" s="652" t="s">
        <v>4379</v>
      </c>
      <c r="J84" s="351" t="s">
        <v>283</v>
      </c>
      <c r="K84" s="352">
        <v>0</v>
      </c>
      <c r="L84" s="352">
        <v>0</v>
      </c>
      <c r="M84" s="353">
        <v>33</v>
      </c>
      <c r="N84" s="354">
        <v>50</v>
      </c>
      <c r="O84" s="355">
        <v>2</v>
      </c>
      <c r="P84" s="354">
        <f t="shared" si="33"/>
        <v>25</v>
      </c>
      <c r="Q84" s="305">
        <v>0.8</v>
      </c>
      <c r="R84" s="306"/>
      <c r="S84" s="302">
        <f t="shared" si="34"/>
        <v>25</v>
      </c>
      <c r="T84" s="307">
        <f t="shared" ref="T84:T92" si="35">((3600/M84)*O84)*24*Q84</f>
        <v>4189.090909090909</v>
      </c>
      <c r="U84" s="301">
        <f t="shared" ref="U84:U92" si="36">(P84-R84)*M84/3600/Q84</f>
        <v>0.28645833333333331</v>
      </c>
      <c r="V84" s="301">
        <f t="shared" ref="V84:V92" si="37">U84/24</f>
        <v>1.1935763888888888E-2</v>
      </c>
      <c r="W84" s="301">
        <v>0</v>
      </c>
      <c r="X84" s="308">
        <f>A84+K84+L84+V84+W84</f>
        <v>46153.916449652766</v>
      </c>
    </row>
    <row r="85" spans="1:40" s="511" customFormat="1" hidden="1" x14ac:dyDescent="0.35">
      <c r="A85" s="46">
        <f>X84</f>
        <v>46153.916449652766</v>
      </c>
      <c r="B85" s="46">
        <v>46094</v>
      </c>
      <c r="C85" s="260">
        <f>B85-A85</f>
        <v>-59.91644965276646</v>
      </c>
      <c r="D85" s="46"/>
      <c r="E85" s="810" t="s">
        <v>4376</v>
      </c>
      <c r="F85" s="82" t="s">
        <v>4380</v>
      </c>
      <c r="G85" s="82" t="s">
        <v>398</v>
      </c>
      <c r="H85" s="98" t="s">
        <v>4381</v>
      </c>
      <c r="I85" s="82" t="s">
        <v>3478</v>
      </c>
      <c r="J85" s="100" t="s">
        <v>140</v>
      </c>
      <c r="K85" s="91">
        <v>0</v>
      </c>
      <c r="L85" s="91">
        <v>0</v>
      </c>
      <c r="M85" s="92">
        <v>40</v>
      </c>
      <c r="N85" s="94">
        <v>12000</v>
      </c>
      <c r="O85" s="92">
        <v>2</v>
      </c>
      <c r="P85" s="94">
        <f t="shared" si="33"/>
        <v>6000</v>
      </c>
      <c r="Q85" s="181">
        <v>0.8</v>
      </c>
      <c r="R85" s="102">
        <v>6000</v>
      </c>
      <c r="S85" s="102">
        <f t="shared" si="34"/>
        <v>0</v>
      </c>
      <c r="T85" s="173">
        <f t="shared" si="35"/>
        <v>3456</v>
      </c>
      <c r="U85" s="101">
        <f t="shared" si="36"/>
        <v>0</v>
      </c>
      <c r="V85" s="101">
        <f t="shared" si="37"/>
        <v>0</v>
      </c>
      <c r="W85" s="101">
        <v>0</v>
      </c>
      <c r="X85" s="55">
        <f>A85+K85+L85+V85+W85</f>
        <v>46153.916449652766</v>
      </c>
    </row>
    <row r="86" spans="1:40" s="820" customFormat="1" hidden="1" x14ac:dyDescent="0.35">
      <c r="A86" s="622">
        <f>X143</f>
        <v>46153.449943639287</v>
      </c>
      <c r="B86" s="622"/>
      <c r="C86" s="812"/>
      <c r="D86" s="622"/>
      <c r="E86" s="623" t="s">
        <v>4321</v>
      </c>
      <c r="F86" s="813" t="s">
        <v>4371</v>
      </c>
      <c r="G86" s="814" t="s">
        <v>411</v>
      </c>
      <c r="H86" s="625"/>
      <c r="I86" s="815" t="s">
        <v>4382</v>
      </c>
      <c r="J86" s="816" t="s">
        <v>140</v>
      </c>
      <c r="K86" s="817">
        <v>0</v>
      </c>
      <c r="L86" s="817">
        <v>0</v>
      </c>
      <c r="M86" s="818">
        <v>60</v>
      </c>
      <c r="N86" s="819">
        <v>1500</v>
      </c>
      <c r="O86" s="818">
        <v>1</v>
      </c>
      <c r="P86" s="818">
        <f t="shared" si="33"/>
        <v>1500</v>
      </c>
      <c r="Q86" s="632">
        <v>0.8</v>
      </c>
      <c r="R86" s="818">
        <v>1500</v>
      </c>
      <c r="S86" s="630">
        <f t="shared" si="34"/>
        <v>0</v>
      </c>
      <c r="T86" s="629">
        <f t="shared" si="35"/>
        <v>1152</v>
      </c>
      <c r="U86" s="628">
        <f t="shared" si="36"/>
        <v>0</v>
      </c>
      <c r="V86" s="628">
        <f t="shared" si="37"/>
        <v>0</v>
      </c>
      <c r="W86" s="628">
        <v>0</v>
      </c>
      <c r="X86" s="635">
        <f>A86+K86+V86+W86+L86</f>
        <v>46153.449943639287</v>
      </c>
    </row>
    <row r="87" spans="1:40" s="62" customFormat="1" hidden="1" x14ac:dyDescent="0.35">
      <c r="A87" s="46">
        <f>X86</f>
        <v>46153.449943639287</v>
      </c>
      <c r="B87" s="46"/>
      <c r="C87" s="260"/>
      <c r="D87" s="46"/>
      <c r="E87" s="47" t="s">
        <v>4321</v>
      </c>
      <c r="F87" s="99" t="s">
        <v>4371</v>
      </c>
      <c r="G87" s="97" t="s">
        <v>411</v>
      </c>
      <c r="H87" s="98" t="s">
        <v>4383</v>
      </c>
      <c r="I87" s="104" t="s">
        <v>4375</v>
      </c>
      <c r="J87" s="491" t="s">
        <v>140</v>
      </c>
      <c r="K87" s="91">
        <v>0</v>
      </c>
      <c r="L87" s="91">
        <v>0</v>
      </c>
      <c r="M87" s="92">
        <v>60</v>
      </c>
      <c r="N87" s="94">
        <v>2496</v>
      </c>
      <c r="O87" s="92">
        <v>1</v>
      </c>
      <c r="P87" s="92">
        <f t="shared" si="33"/>
        <v>2496</v>
      </c>
      <c r="Q87" s="181">
        <v>0.8</v>
      </c>
      <c r="R87" s="92">
        <v>2496</v>
      </c>
      <c r="S87" s="103">
        <f t="shared" si="34"/>
        <v>0</v>
      </c>
      <c r="T87" s="102">
        <f t="shared" si="35"/>
        <v>1152</v>
      </c>
      <c r="U87" s="101">
        <f t="shared" si="36"/>
        <v>0</v>
      </c>
      <c r="V87" s="101">
        <f t="shared" si="37"/>
        <v>0</v>
      </c>
      <c r="W87" s="101">
        <v>0</v>
      </c>
      <c r="X87" s="55">
        <f>A87+K87+V87+W87+L87</f>
        <v>46153.449943639287</v>
      </c>
    </row>
    <row r="88" spans="1:40" s="121" customFormat="1" hidden="1" x14ac:dyDescent="0.35">
      <c r="A88" s="46">
        <f t="shared" ref="A88:A92" si="38">X87</f>
        <v>46153.449943639287</v>
      </c>
      <c r="B88" s="46">
        <v>46132</v>
      </c>
      <c r="C88" s="180">
        <f>B88-A88</f>
        <v>-21.449943639287085</v>
      </c>
      <c r="D88" s="46"/>
      <c r="E88" s="47" t="s">
        <v>4384</v>
      </c>
      <c r="F88" s="82" t="s">
        <v>1917</v>
      </c>
      <c r="G88" s="97" t="s">
        <v>411</v>
      </c>
      <c r="H88" s="108">
        <v>13980</v>
      </c>
      <c r="I88" s="82" t="s">
        <v>4385</v>
      </c>
      <c r="J88" s="100" t="s">
        <v>140</v>
      </c>
      <c r="K88" s="101">
        <v>0</v>
      </c>
      <c r="L88" s="91">
        <v>0</v>
      </c>
      <c r="M88" s="102">
        <v>35</v>
      </c>
      <c r="N88" s="103">
        <v>7500</v>
      </c>
      <c r="O88" s="102">
        <v>1</v>
      </c>
      <c r="P88" s="103">
        <f t="shared" si="33"/>
        <v>7500</v>
      </c>
      <c r="Q88" s="181">
        <v>0.8</v>
      </c>
      <c r="R88" s="92">
        <v>7500</v>
      </c>
      <c r="S88" s="102">
        <f t="shared" si="34"/>
        <v>0</v>
      </c>
      <c r="T88" s="173">
        <f t="shared" si="35"/>
        <v>1974.8571428571429</v>
      </c>
      <c r="U88" s="101">
        <f t="shared" si="36"/>
        <v>0</v>
      </c>
      <c r="V88" s="101">
        <f t="shared" si="37"/>
        <v>0</v>
      </c>
      <c r="W88" s="101">
        <v>0</v>
      </c>
      <c r="X88" s="55">
        <f>A88+K88+V88+W88+L88</f>
        <v>46153.449943639287</v>
      </c>
    </row>
    <row r="89" spans="1:40" s="511" customFormat="1" hidden="1" x14ac:dyDescent="0.35">
      <c r="A89" s="46">
        <f t="shared" si="38"/>
        <v>46153.449943639287</v>
      </c>
      <c r="B89" s="46">
        <v>46136</v>
      </c>
      <c r="C89" s="260">
        <f>B89-A89</f>
        <v>-17.449943639287085</v>
      </c>
      <c r="D89" s="260"/>
      <c r="E89" s="74" t="s">
        <v>3556</v>
      </c>
      <c r="F89" s="82" t="s">
        <v>1917</v>
      </c>
      <c r="G89" s="97" t="s">
        <v>411</v>
      </c>
      <c r="H89" s="108">
        <v>13985</v>
      </c>
      <c r="I89" s="82" t="s">
        <v>3489</v>
      </c>
      <c r="J89" s="100" t="s">
        <v>140</v>
      </c>
      <c r="K89" s="101">
        <v>0</v>
      </c>
      <c r="L89" s="91">
        <v>0</v>
      </c>
      <c r="M89" s="102">
        <v>35</v>
      </c>
      <c r="N89" s="103">
        <v>7500</v>
      </c>
      <c r="O89" s="102">
        <v>1</v>
      </c>
      <c r="P89" s="103">
        <f>N89/O89</f>
        <v>7500</v>
      </c>
      <c r="Q89" s="181">
        <v>0.8</v>
      </c>
      <c r="R89" s="103">
        <v>7500</v>
      </c>
      <c r="S89" s="102">
        <f>P89-R89</f>
        <v>0</v>
      </c>
      <c r="T89" s="173">
        <f>((3600/M89)*O89)*24*Q89</f>
        <v>1974.8571428571429</v>
      </c>
      <c r="U89" s="101">
        <f>(P89-R89)*M89/3600/Q89</f>
        <v>0</v>
      </c>
      <c r="V89" s="101">
        <f>U89/24</f>
        <v>0</v>
      </c>
      <c r="W89" s="101">
        <v>0</v>
      </c>
      <c r="X89" s="255">
        <f>A89+K89+L89+V89+W89</f>
        <v>46153.449943639287</v>
      </c>
    </row>
    <row r="90" spans="1:40" s="243" customFormat="1" x14ac:dyDescent="0.35">
      <c r="A90" s="193">
        <f t="shared" si="38"/>
        <v>46153.449943639287</v>
      </c>
      <c r="B90" s="193">
        <v>46141</v>
      </c>
      <c r="C90" s="194">
        <f>B90-A90</f>
        <v>-12.449943639287085</v>
      </c>
      <c r="D90" s="193"/>
      <c r="E90" s="821" t="s">
        <v>4376</v>
      </c>
      <c r="F90" s="197" t="s">
        <v>4373</v>
      </c>
      <c r="G90" s="112" t="s">
        <v>414</v>
      </c>
      <c r="H90" s="524" t="s">
        <v>4386</v>
      </c>
      <c r="I90" s="822" t="s">
        <v>4387</v>
      </c>
      <c r="J90" s="114" t="s">
        <v>140</v>
      </c>
      <c r="K90" s="482">
        <v>0</v>
      </c>
      <c r="L90" s="482">
        <v>0</v>
      </c>
      <c r="M90" s="199">
        <v>60</v>
      </c>
      <c r="N90" s="483">
        <v>11232</v>
      </c>
      <c r="O90" s="199">
        <v>1</v>
      </c>
      <c r="P90" s="483">
        <f>N90/O90</f>
        <v>11232</v>
      </c>
      <c r="Q90" s="198">
        <v>0.8</v>
      </c>
      <c r="R90" s="199">
        <v>1412</v>
      </c>
      <c r="S90" s="117">
        <f>P90-R90</f>
        <v>9820</v>
      </c>
      <c r="T90" s="200">
        <f>((3600/M90)*O90)*24*Q90</f>
        <v>1152</v>
      </c>
      <c r="U90" s="115">
        <f>(P90-R90)*M90/3600/Q90</f>
        <v>204.58333333333331</v>
      </c>
      <c r="V90" s="115">
        <f>U90/24</f>
        <v>8.5243055555555554</v>
      </c>
      <c r="W90" s="115">
        <v>0</v>
      </c>
      <c r="X90" s="201">
        <f>A90+K90+L90+V90+W90</f>
        <v>46161.974249194842</v>
      </c>
      <c r="Y90" s="202"/>
      <c r="Z90" s="202"/>
      <c r="AA90" s="202"/>
      <c r="AB90" s="202"/>
      <c r="AC90" s="202"/>
      <c r="AD90" s="202"/>
      <c r="AE90" s="202"/>
      <c r="AF90" s="202"/>
      <c r="AG90" s="202"/>
      <c r="AH90" s="202"/>
      <c r="AI90" s="202"/>
      <c r="AJ90" s="202"/>
      <c r="AK90" s="202"/>
      <c r="AL90" s="202"/>
      <c r="AM90" s="202"/>
      <c r="AN90" s="202"/>
    </row>
    <row r="91" spans="1:40" ht="26" x14ac:dyDescent="0.35">
      <c r="A91" s="548">
        <f t="shared" si="38"/>
        <v>46161.974249194842</v>
      </c>
      <c r="B91" s="548">
        <v>46150</v>
      </c>
      <c r="C91" s="576">
        <f>B91-A91</f>
        <v>-11.974249194841832</v>
      </c>
      <c r="D91" s="576" t="s">
        <v>2673</v>
      </c>
      <c r="E91" s="823" t="s">
        <v>4376</v>
      </c>
      <c r="F91" s="561" t="s">
        <v>1583</v>
      </c>
      <c r="G91" s="824" t="s">
        <v>1900</v>
      </c>
      <c r="H91" s="825" t="s">
        <v>4388</v>
      </c>
      <c r="I91" s="826" t="s">
        <v>4389</v>
      </c>
      <c r="J91" s="277" t="s">
        <v>140</v>
      </c>
      <c r="K91" s="563">
        <v>0</v>
      </c>
      <c r="L91" s="563">
        <v>0</v>
      </c>
      <c r="M91" s="564">
        <v>50</v>
      </c>
      <c r="N91" s="565">
        <v>11710</v>
      </c>
      <c r="O91" s="279">
        <v>1</v>
      </c>
      <c r="P91" s="565">
        <f t="shared" si="33"/>
        <v>11710</v>
      </c>
      <c r="Q91" s="282">
        <v>0.8</v>
      </c>
      <c r="R91" s="564"/>
      <c r="S91" s="279">
        <f t="shared" si="34"/>
        <v>11710</v>
      </c>
      <c r="T91" s="284">
        <f t="shared" si="35"/>
        <v>1382.4</v>
      </c>
      <c r="U91" s="278">
        <f t="shared" si="36"/>
        <v>203.29861111111109</v>
      </c>
      <c r="V91" s="278">
        <f t="shared" si="37"/>
        <v>8.4707754629629619</v>
      </c>
      <c r="W91" s="278">
        <v>0</v>
      </c>
      <c r="X91" s="827">
        <f>A91+K91+L91+V91+W91</f>
        <v>46170.445024657805</v>
      </c>
    </row>
    <row r="92" spans="1:40" ht="26" x14ac:dyDescent="0.35">
      <c r="A92" s="548">
        <f t="shared" si="38"/>
        <v>46170.445024657805</v>
      </c>
      <c r="B92" s="271">
        <v>46157</v>
      </c>
      <c r="C92" s="576">
        <f>B92-A92</f>
        <v>-13.445024657805334</v>
      </c>
      <c r="D92" s="548"/>
      <c r="E92" s="823" t="s">
        <v>4376</v>
      </c>
      <c r="F92" s="274" t="s">
        <v>4390</v>
      </c>
      <c r="G92" s="824" t="s">
        <v>398</v>
      </c>
      <c r="H92" s="825" t="s">
        <v>4391</v>
      </c>
      <c r="I92" s="826" t="s">
        <v>4389</v>
      </c>
      <c r="J92" s="277" t="s">
        <v>140</v>
      </c>
      <c r="K92" s="563">
        <v>0</v>
      </c>
      <c r="L92" s="563">
        <v>0</v>
      </c>
      <c r="M92" s="564">
        <v>50</v>
      </c>
      <c r="N92" s="565">
        <v>80000</v>
      </c>
      <c r="O92" s="279">
        <v>1</v>
      </c>
      <c r="P92" s="565">
        <f t="shared" si="33"/>
        <v>80000</v>
      </c>
      <c r="Q92" s="282">
        <v>0.8</v>
      </c>
      <c r="R92" s="564"/>
      <c r="S92" s="279">
        <f t="shared" si="34"/>
        <v>80000</v>
      </c>
      <c r="T92" s="284">
        <f t="shared" si="35"/>
        <v>1382.4</v>
      </c>
      <c r="U92" s="278">
        <f t="shared" si="36"/>
        <v>1388.8888888888887</v>
      </c>
      <c r="V92" s="278">
        <f t="shared" si="37"/>
        <v>57.87037037037036</v>
      </c>
      <c r="W92" s="278">
        <v>0</v>
      </c>
      <c r="X92" s="827">
        <f>A92+K92+L92+V92+W92</f>
        <v>46228.315395028178</v>
      </c>
    </row>
    <row r="93" spans="1:40" x14ac:dyDescent="0.35">
      <c r="A93" s="271"/>
      <c r="B93" s="271"/>
      <c r="C93" s="576"/>
      <c r="D93" s="548"/>
      <c r="E93" s="823"/>
      <c r="F93" s="274"/>
      <c r="G93" s="824"/>
      <c r="H93" s="825"/>
      <c r="I93" s="826"/>
      <c r="J93" s="277"/>
      <c r="K93" s="563"/>
      <c r="L93" s="563"/>
      <c r="M93" s="564"/>
      <c r="N93" s="565"/>
      <c r="O93" s="279"/>
      <c r="P93" s="565"/>
      <c r="Q93" s="282"/>
      <c r="R93" s="564"/>
      <c r="S93" s="279"/>
      <c r="T93" s="284"/>
      <c r="U93" s="278"/>
      <c r="V93" s="278"/>
      <c r="W93" s="278"/>
      <c r="X93" s="827"/>
    </row>
    <row r="94" spans="1:40" ht="45" x14ac:dyDescent="0.8">
      <c r="A94" s="35" t="s">
        <v>3556</v>
      </c>
      <c r="B94" s="35"/>
      <c r="C94" s="787"/>
      <c r="D94" s="35"/>
      <c r="E94" s="36"/>
      <c r="F94" s="213"/>
      <c r="G94" s="213"/>
      <c r="H94" s="311" t="s">
        <v>4269</v>
      </c>
      <c r="I94" s="40"/>
      <c r="J94" s="40"/>
      <c r="K94" s="41"/>
      <c r="L94" s="41"/>
      <c r="M94" s="42"/>
      <c r="N94" s="43"/>
      <c r="O94" s="44"/>
      <c r="P94" s="44"/>
      <c r="Q94" s="44"/>
      <c r="R94" s="43"/>
      <c r="S94" s="44"/>
      <c r="T94" s="44"/>
      <c r="U94" s="44"/>
      <c r="V94" s="44"/>
      <c r="W94" s="44"/>
      <c r="X94" s="45"/>
    </row>
    <row r="95" spans="1:40" hidden="1" x14ac:dyDescent="0.35">
      <c r="A95" s="123">
        <f>S7</f>
        <v>46153</v>
      </c>
      <c r="B95" s="123"/>
      <c r="C95" s="190"/>
      <c r="D95" s="123"/>
      <c r="E95" s="476" t="s">
        <v>3556</v>
      </c>
      <c r="F95" s="187" t="s">
        <v>4392</v>
      </c>
      <c r="G95" s="187" t="s">
        <v>359</v>
      </c>
      <c r="H95" s="126" t="s">
        <v>4393</v>
      </c>
      <c r="I95" s="159" t="s">
        <v>4394</v>
      </c>
      <c r="J95" s="175" t="s">
        <v>140</v>
      </c>
      <c r="K95" s="129">
        <v>0</v>
      </c>
      <c r="L95" s="129">
        <v>0</v>
      </c>
      <c r="M95" s="130">
        <v>70</v>
      </c>
      <c r="N95" s="131">
        <v>12000</v>
      </c>
      <c r="O95" s="130">
        <v>2</v>
      </c>
      <c r="P95" s="131">
        <f t="shared" ref="P95:P109" si="39">N95/O95</f>
        <v>6000</v>
      </c>
      <c r="Q95" s="131"/>
      <c r="R95" s="130">
        <v>6000</v>
      </c>
      <c r="S95" s="130">
        <f t="shared" ref="S95:S105" si="40">P95-R95</f>
        <v>0</v>
      </c>
      <c r="T95" s="164">
        <f>((3600/M95)*O95)*24</f>
        <v>2468.5714285714284</v>
      </c>
      <c r="U95" s="163">
        <f>(P95-R95)*M95/3600</f>
        <v>0</v>
      </c>
      <c r="V95" s="163">
        <f>(P95-R95)*M95/3600/24</f>
        <v>0</v>
      </c>
      <c r="W95" s="163">
        <v>0</v>
      </c>
      <c r="X95" s="137">
        <f>A95+K95+L95+V95+W95</f>
        <v>46153</v>
      </c>
    </row>
    <row r="96" spans="1:40" hidden="1" x14ac:dyDescent="0.35">
      <c r="A96" s="46">
        <f t="shared" ref="A96:A109" si="41">X95</f>
        <v>46153</v>
      </c>
      <c r="B96" s="46"/>
      <c r="C96" s="260"/>
      <c r="D96" s="46"/>
      <c r="E96" s="47" t="s">
        <v>4395</v>
      </c>
      <c r="F96" s="82" t="s">
        <v>4396</v>
      </c>
      <c r="G96" s="82" t="s">
        <v>830</v>
      </c>
      <c r="H96" s="98" t="s">
        <v>4397</v>
      </c>
      <c r="I96" s="82" t="s">
        <v>4398</v>
      </c>
      <c r="J96" s="100" t="s">
        <v>140</v>
      </c>
      <c r="K96" s="91">
        <v>0</v>
      </c>
      <c r="L96" s="91">
        <v>0</v>
      </c>
      <c r="M96" s="92">
        <v>40</v>
      </c>
      <c r="N96" s="94">
        <v>20000</v>
      </c>
      <c r="O96" s="345">
        <v>1</v>
      </c>
      <c r="P96" s="94">
        <f t="shared" si="39"/>
        <v>20000</v>
      </c>
      <c r="Q96" s="94"/>
      <c r="R96" s="92">
        <v>20000</v>
      </c>
      <c r="S96" s="92">
        <f t="shared" si="40"/>
        <v>0</v>
      </c>
      <c r="T96" s="102">
        <f>((3600/M96)*O96)*24</f>
        <v>2160</v>
      </c>
      <c r="U96" s="101">
        <f>(P96-R96)*M96/3600</f>
        <v>0</v>
      </c>
      <c r="V96" s="101">
        <f>(P96-R96)*M96/3600/24</f>
        <v>0</v>
      </c>
      <c r="W96" s="101">
        <v>0</v>
      </c>
      <c r="X96" s="55">
        <f>A96+K96+V96+W96+L96</f>
        <v>46153</v>
      </c>
    </row>
    <row r="97" spans="1:24" s="511" customFormat="1" ht="26.5" hidden="1" x14ac:dyDescent="0.35">
      <c r="A97" s="71">
        <f t="shared" si="41"/>
        <v>46153</v>
      </c>
      <c r="B97" s="71"/>
      <c r="C97" s="180"/>
      <c r="D97" s="71"/>
      <c r="E97" s="74" t="s">
        <v>3556</v>
      </c>
      <c r="F97" s="82" t="s">
        <v>355</v>
      </c>
      <c r="G97" s="99" t="s">
        <v>839</v>
      </c>
      <c r="H97" s="107" t="s">
        <v>4399</v>
      </c>
      <c r="I97" s="69" t="s">
        <v>3525</v>
      </c>
      <c r="J97" s="51" t="s">
        <v>140</v>
      </c>
      <c r="K97" s="91">
        <v>0</v>
      </c>
      <c r="L97" s="91">
        <v>0</v>
      </c>
      <c r="M97" s="92">
        <v>45</v>
      </c>
      <c r="N97" s="94">
        <v>38000</v>
      </c>
      <c r="O97" s="345">
        <v>2</v>
      </c>
      <c r="P97" s="94">
        <f t="shared" si="39"/>
        <v>19000</v>
      </c>
      <c r="Q97" s="94"/>
      <c r="R97" s="92">
        <v>19000</v>
      </c>
      <c r="S97" s="92">
        <f t="shared" si="40"/>
        <v>0</v>
      </c>
      <c r="T97" s="92">
        <f>((3600/M97)*O97)*24</f>
        <v>3840</v>
      </c>
      <c r="U97" s="91">
        <f>(P97-R97)*M97/3600</f>
        <v>0</v>
      </c>
      <c r="V97" s="91">
        <f>(P97-R97)*M97/3600/24</f>
        <v>0</v>
      </c>
      <c r="W97" s="91">
        <v>0</v>
      </c>
      <c r="X97" s="55">
        <f>A97+K97+V97+W97+L97</f>
        <v>46153</v>
      </c>
    </row>
    <row r="98" spans="1:24" hidden="1" x14ac:dyDescent="0.35">
      <c r="A98" s="46">
        <f t="shared" si="41"/>
        <v>46153</v>
      </c>
      <c r="B98" s="46">
        <v>46059</v>
      </c>
      <c r="C98" s="260">
        <f t="shared" ref="C98:C105" si="42">B98-A98</f>
        <v>-94</v>
      </c>
      <c r="D98" s="260"/>
      <c r="E98" s="74" t="s">
        <v>4400</v>
      </c>
      <c r="F98" s="82" t="s">
        <v>1583</v>
      </c>
      <c r="G98" s="97" t="s">
        <v>386</v>
      </c>
      <c r="H98" s="108">
        <v>13588</v>
      </c>
      <c r="I98" s="82" t="s">
        <v>3489</v>
      </c>
      <c r="J98" s="100" t="s">
        <v>140</v>
      </c>
      <c r="K98" s="101">
        <v>0</v>
      </c>
      <c r="L98" s="91">
        <v>0</v>
      </c>
      <c r="M98" s="102">
        <v>35</v>
      </c>
      <c r="N98" s="103">
        <f>10000-7409</f>
        <v>2591</v>
      </c>
      <c r="O98" s="102">
        <v>1</v>
      </c>
      <c r="P98" s="103">
        <f t="shared" si="39"/>
        <v>2591</v>
      </c>
      <c r="Q98" s="181">
        <v>0.8</v>
      </c>
      <c r="R98" s="103">
        <v>2591</v>
      </c>
      <c r="S98" s="102">
        <f t="shared" si="40"/>
        <v>0</v>
      </c>
      <c r="T98" s="173">
        <f t="shared" ref="T98:T105" si="43">((3600/M98)*O98)*24*Q98</f>
        <v>1974.8571428571429</v>
      </c>
      <c r="U98" s="101">
        <f t="shared" ref="U98:U105" si="44">(P98-R98)*M98/3600/Q98</f>
        <v>0</v>
      </c>
      <c r="V98" s="101">
        <f t="shared" ref="V98:V105" si="45">U98/24</f>
        <v>0</v>
      </c>
      <c r="W98" s="101">
        <v>0</v>
      </c>
      <c r="X98" s="255">
        <f>A98+K98+L98+V98+W98</f>
        <v>46153</v>
      </c>
    </row>
    <row r="99" spans="1:24" s="511" customFormat="1" hidden="1" x14ac:dyDescent="0.35">
      <c r="A99" s="71">
        <f t="shared" si="41"/>
        <v>46153</v>
      </c>
      <c r="B99" s="71">
        <v>46062</v>
      </c>
      <c r="C99" s="260">
        <f t="shared" si="42"/>
        <v>-91</v>
      </c>
      <c r="D99" s="260"/>
      <c r="E99" s="47" t="s">
        <v>3556</v>
      </c>
      <c r="F99" s="82" t="s">
        <v>220</v>
      </c>
      <c r="G99" s="82" t="s">
        <v>386</v>
      </c>
      <c r="H99" s="108">
        <v>13639</v>
      </c>
      <c r="I99" s="106" t="s">
        <v>4401</v>
      </c>
      <c r="J99" s="100" t="s">
        <v>140</v>
      </c>
      <c r="K99" s="101">
        <v>0</v>
      </c>
      <c r="L99" s="101">
        <v>0</v>
      </c>
      <c r="M99" s="102">
        <v>50</v>
      </c>
      <c r="N99" s="103">
        <v>5000</v>
      </c>
      <c r="O99" s="102">
        <v>2</v>
      </c>
      <c r="P99" s="103">
        <f t="shared" si="39"/>
        <v>2500</v>
      </c>
      <c r="Q99" s="181">
        <v>0.8</v>
      </c>
      <c r="R99" s="103">
        <v>2500</v>
      </c>
      <c r="S99" s="102">
        <f t="shared" si="40"/>
        <v>0</v>
      </c>
      <c r="T99" s="173">
        <f t="shared" si="43"/>
        <v>2764.8</v>
      </c>
      <c r="U99" s="101">
        <f t="shared" si="44"/>
        <v>0</v>
      </c>
      <c r="V99" s="101">
        <f t="shared" si="45"/>
        <v>0</v>
      </c>
      <c r="W99" s="101">
        <v>0</v>
      </c>
      <c r="X99" s="255">
        <f>A99+K99+L99+V99+W99</f>
        <v>46153</v>
      </c>
    </row>
    <row r="100" spans="1:24" s="511" customFormat="1" ht="26.5" hidden="1" x14ac:dyDescent="0.35">
      <c r="A100" s="71">
        <f t="shared" si="41"/>
        <v>46153</v>
      </c>
      <c r="B100" s="71">
        <v>46066</v>
      </c>
      <c r="C100" s="260">
        <f t="shared" si="42"/>
        <v>-87</v>
      </c>
      <c r="D100" s="260"/>
      <c r="E100" s="47" t="s">
        <v>3556</v>
      </c>
      <c r="F100" s="82" t="s">
        <v>220</v>
      </c>
      <c r="G100" s="82" t="s">
        <v>386</v>
      </c>
      <c r="H100" s="108" t="s">
        <v>4402</v>
      </c>
      <c r="I100" s="85" t="s">
        <v>4403</v>
      </c>
      <c r="J100" s="100" t="s">
        <v>140</v>
      </c>
      <c r="K100" s="101">
        <v>0</v>
      </c>
      <c r="L100" s="101">
        <v>0</v>
      </c>
      <c r="M100" s="102">
        <v>50</v>
      </c>
      <c r="N100" s="103">
        <v>5000</v>
      </c>
      <c r="O100" s="102">
        <v>1</v>
      </c>
      <c r="P100" s="103">
        <f t="shared" si="39"/>
        <v>5000</v>
      </c>
      <c r="Q100" s="181">
        <v>0.8</v>
      </c>
      <c r="R100" s="103">
        <v>5000</v>
      </c>
      <c r="S100" s="102">
        <f t="shared" si="40"/>
        <v>0</v>
      </c>
      <c r="T100" s="173">
        <f t="shared" si="43"/>
        <v>1382.4</v>
      </c>
      <c r="U100" s="101">
        <f t="shared" si="44"/>
        <v>0</v>
      </c>
      <c r="V100" s="101">
        <f t="shared" si="45"/>
        <v>0</v>
      </c>
      <c r="W100" s="101">
        <v>0</v>
      </c>
      <c r="X100" s="255">
        <f>A100+K100+L100+V100+W100</f>
        <v>46153</v>
      </c>
    </row>
    <row r="101" spans="1:24" hidden="1" x14ac:dyDescent="0.35">
      <c r="A101" s="295">
        <f t="shared" si="41"/>
        <v>46153</v>
      </c>
      <c r="B101" s="295">
        <v>46059</v>
      </c>
      <c r="C101" s="576">
        <f t="shared" si="42"/>
        <v>-94</v>
      </c>
      <c r="D101" s="576"/>
      <c r="E101" s="296" t="s">
        <v>4404</v>
      </c>
      <c r="F101" s="577" t="s">
        <v>14</v>
      </c>
      <c r="G101" s="577"/>
      <c r="H101" s="398" t="s">
        <v>14</v>
      </c>
      <c r="I101" s="297" t="s">
        <v>4405</v>
      </c>
      <c r="J101" s="300"/>
      <c r="K101" s="399">
        <v>0</v>
      </c>
      <c r="L101" s="399">
        <v>0</v>
      </c>
      <c r="M101" s="400">
        <v>30</v>
      </c>
      <c r="N101" s="400">
        <v>50</v>
      </c>
      <c r="O101" s="400">
        <v>8</v>
      </c>
      <c r="P101" s="400">
        <f t="shared" si="39"/>
        <v>6.25</v>
      </c>
      <c r="Q101" s="305">
        <v>0.8</v>
      </c>
      <c r="R101" s="579">
        <v>6</v>
      </c>
      <c r="S101" s="302">
        <f t="shared" si="40"/>
        <v>0.25</v>
      </c>
      <c r="T101" s="307">
        <f t="shared" si="43"/>
        <v>18432</v>
      </c>
      <c r="U101" s="301">
        <f t="shared" si="44"/>
        <v>2.6041666666666665E-3</v>
      </c>
      <c r="V101" s="301">
        <f t="shared" si="45"/>
        <v>1.0850694444444444E-4</v>
      </c>
      <c r="W101" s="301">
        <v>0</v>
      </c>
      <c r="X101" s="308">
        <f>A101+K101+V101+W101+L101</f>
        <v>46153.000108506945</v>
      </c>
    </row>
    <row r="102" spans="1:24" s="121" customFormat="1" hidden="1" x14ac:dyDescent="0.35">
      <c r="A102" s="46">
        <f t="shared" si="41"/>
        <v>46153.000108506945</v>
      </c>
      <c r="B102" s="46">
        <v>46084.3</v>
      </c>
      <c r="C102" s="260">
        <f t="shared" si="42"/>
        <v>-68.700108506942343</v>
      </c>
      <c r="D102" s="260"/>
      <c r="E102" s="47" t="s">
        <v>3556</v>
      </c>
      <c r="F102" s="97" t="s">
        <v>3543</v>
      </c>
      <c r="G102" s="62" t="s">
        <v>386</v>
      </c>
      <c r="H102" s="49" t="s">
        <v>4406</v>
      </c>
      <c r="I102" s="316" t="s">
        <v>4407</v>
      </c>
      <c r="J102" s="100" t="s">
        <v>140</v>
      </c>
      <c r="K102" s="91">
        <v>0</v>
      </c>
      <c r="L102" s="91">
        <v>0</v>
      </c>
      <c r="M102" s="92">
        <v>45</v>
      </c>
      <c r="N102" s="94">
        <v>1280</v>
      </c>
      <c r="O102" s="92">
        <v>1</v>
      </c>
      <c r="P102" s="94">
        <f t="shared" si="39"/>
        <v>1280</v>
      </c>
      <c r="Q102" s="181">
        <v>0.8</v>
      </c>
      <c r="R102" s="92">
        <v>1280</v>
      </c>
      <c r="S102" s="92">
        <f t="shared" si="40"/>
        <v>0</v>
      </c>
      <c r="T102" s="173">
        <f t="shared" si="43"/>
        <v>1536</v>
      </c>
      <c r="U102" s="101">
        <f t="shared" si="44"/>
        <v>0</v>
      </c>
      <c r="V102" s="101">
        <f t="shared" si="45"/>
        <v>0</v>
      </c>
      <c r="W102" s="101">
        <v>0</v>
      </c>
      <c r="X102" s="55">
        <f>A102+K102+V102+W102+L102</f>
        <v>46153.000108506945</v>
      </c>
    </row>
    <row r="103" spans="1:24" s="511" customFormat="1" hidden="1" x14ac:dyDescent="0.35">
      <c r="A103" s="71">
        <f t="shared" si="41"/>
        <v>46153.000108506945</v>
      </c>
      <c r="B103" s="71">
        <v>46087</v>
      </c>
      <c r="C103" s="260">
        <f t="shared" si="42"/>
        <v>-66.000108506945253</v>
      </c>
      <c r="D103" s="71" t="s">
        <v>2673</v>
      </c>
      <c r="E103" s="47" t="s">
        <v>4408</v>
      </c>
      <c r="F103" s="100" t="s">
        <v>4380</v>
      </c>
      <c r="G103" s="698" t="s">
        <v>398</v>
      </c>
      <c r="H103" s="699" t="s">
        <v>4409</v>
      </c>
      <c r="I103" s="71" t="s">
        <v>3502</v>
      </c>
      <c r="J103" s="100" t="s">
        <v>140</v>
      </c>
      <c r="K103" s="101">
        <v>0</v>
      </c>
      <c r="L103" s="91">
        <v>0</v>
      </c>
      <c r="M103" s="102">
        <v>24</v>
      </c>
      <c r="N103" s="103">
        <v>50000</v>
      </c>
      <c r="O103" s="102">
        <v>1</v>
      </c>
      <c r="P103" s="94">
        <f t="shared" si="39"/>
        <v>50000</v>
      </c>
      <c r="Q103" s="181">
        <v>0.8</v>
      </c>
      <c r="R103" s="92">
        <v>50000</v>
      </c>
      <c r="S103" s="103">
        <f t="shared" si="40"/>
        <v>0</v>
      </c>
      <c r="T103" s="173">
        <f t="shared" si="43"/>
        <v>2880</v>
      </c>
      <c r="U103" s="101">
        <f t="shared" si="44"/>
        <v>0</v>
      </c>
      <c r="V103" s="101">
        <f t="shared" si="45"/>
        <v>0</v>
      </c>
      <c r="W103" s="101">
        <v>0</v>
      </c>
      <c r="X103" s="255">
        <f>A103+K103+L103+V103+W103</f>
        <v>46153.000108506945</v>
      </c>
    </row>
    <row r="104" spans="1:24" s="511" customFormat="1" ht="26.5" hidden="1" x14ac:dyDescent="0.35">
      <c r="A104" s="71">
        <f t="shared" si="41"/>
        <v>46153.000108506945</v>
      </c>
      <c r="B104" s="46">
        <v>46128</v>
      </c>
      <c r="C104" s="260">
        <f t="shared" si="42"/>
        <v>-25.000108506945253</v>
      </c>
      <c r="D104" s="46"/>
      <c r="E104" s="74" t="s">
        <v>3556</v>
      </c>
      <c r="F104" s="46" t="s">
        <v>4380</v>
      </c>
      <c r="G104" s="97" t="s">
        <v>411</v>
      </c>
      <c r="H104" s="699" t="s">
        <v>4410</v>
      </c>
      <c r="I104" s="82" t="s">
        <v>3470</v>
      </c>
      <c r="J104" s="100" t="s">
        <v>140</v>
      </c>
      <c r="K104" s="91">
        <v>0</v>
      </c>
      <c r="L104" s="91">
        <v>0</v>
      </c>
      <c r="M104" s="345">
        <v>50</v>
      </c>
      <c r="N104" s="94">
        <v>15000</v>
      </c>
      <c r="O104" s="92">
        <v>1</v>
      </c>
      <c r="P104" s="94">
        <f t="shared" si="39"/>
        <v>15000</v>
      </c>
      <c r="Q104" s="181">
        <v>0.8</v>
      </c>
      <c r="R104" s="92">
        <v>15000</v>
      </c>
      <c r="S104" s="103">
        <f t="shared" si="40"/>
        <v>0</v>
      </c>
      <c r="T104" s="173">
        <f t="shared" si="43"/>
        <v>1382.4</v>
      </c>
      <c r="U104" s="101">
        <f t="shared" si="44"/>
        <v>0</v>
      </c>
      <c r="V104" s="101">
        <f t="shared" si="45"/>
        <v>0</v>
      </c>
      <c r="W104" s="101">
        <v>0</v>
      </c>
      <c r="X104" s="55">
        <f>A104+K104+L104+V104+W104</f>
        <v>46153.000108506945</v>
      </c>
    </row>
    <row r="105" spans="1:24" s="511" customFormat="1" hidden="1" x14ac:dyDescent="0.35">
      <c r="A105" s="71">
        <f t="shared" si="41"/>
        <v>46153.000108506945</v>
      </c>
      <c r="B105" s="46">
        <v>46140</v>
      </c>
      <c r="C105" s="260">
        <f t="shared" si="42"/>
        <v>-13.000108506945253</v>
      </c>
      <c r="D105" s="46"/>
      <c r="E105" s="47" t="s">
        <v>4411</v>
      </c>
      <c r="F105" s="97" t="s">
        <v>2248</v>
      </c>
      <c r="G105" s="97" t="s">
        <v>414</v>
      </c>
      <c r="H105" s="98" t="s">
        <v>4412</v>
      </c>
      <c r="I105" s="82" t="s">
        <v>4413</v>
      </c>
      <c r="J105" s="100" t="s">
        <v>140</v>
      </c>
      <c r="K105" s="91">
        <v>0</v>
      </c>
      <c r="L105" s="91">
        <v>0</v>
      </c>
      <c r="M105" s="92">
        <v>80</v>
      </c>
      <c r="N105" s="94">
        <v>1000</v>
      </c>
      <c r="O105" s="92">
        <v>1</v>
      </c>
      <c r="P105" s="94">
        <f t="shared" si="39"/>
        <v>1000</v>
      </c>
      <c r="Q105" s="181">
        <v>0.8</v>
      </c>
      <c r="R105" s="92">
        <v>1000</v>
      </c>
      <c r="S105" s="103">
        <f t="shared" si="40"/>
        <v>0</v>
      </c>
      <c r="T105" s="173">
        <f t="shared" si="43"/>
        <v>864</v>
      </c>
      <c r="U105" s="101">
        <f t="shared" si="44"/>
        <v>0</v>
      </c>
      <c r="V105" s="101">
        <f t="shared" si="45"/>
        <v>0</v>
      </c>
      <c r="W105" s="101">
        <v>0</v>
      </c>
      <c r="X105" s="55">
        <f t="shared" ref="X105:X110" si="46">A105+K105+V105+W105+L105</f>
        <v>46153.000108506945</v>
      </c>
    </row>
    <row r="106" spans="1:24" s="186" customFormat="1" ht="39.5" hidden="1" x14ac:dyDescent="0.35">
      <c r="A106" s="161">
        <f t="shared" si="41"/>
        <v>46153.000108506945</v>
      </c>
      <c r="B106" s="123">
        <v>46147</v>
      </c>
      <c r="C106" s="190">
        <f>B106-A106</f>
        <v>-6.0001085069452529</v>
      </c>
      <c r="D106" s="123"/>
      <c r="E106" s="124" t="s">
        <v>3556</v>
      </c>
      <c r="F106" s="125" t="s">
        <v>501</v>
      </c>
      <c r="G106" s="125" t="s">
        <v>414</v>
      </c>
      <c r="H106" s="126"/>
      <c r="I106" s="159" t="s">
        <v>4414</v>
      </c>
      <c r="J106" s="128" t="s">
        <v>140</v>
      </c>
      <c r="K106" s="129">
        <v>0</v>
      </c>
      <c r="L106" s="129">
        <v>0</v>
      </c>
      <c r="M106" s="130">
        <v>40</v>
      </c>
      <c r="N106" s="131">
        <v>1200</v>
      </c>
      <c r="O106" s="130">
        <v>1</v>
      </c>
      <c r="P106" s="131">
        <f t="shared" si="39"/>
        <v>1200</v>
      </c>
      <c r="Q106" s="185">
        <v>0.8</v>
      </c>
      <c r="R106" s="130">
        <v>1200</v>
      </c>
      <c r="S106" s="165">
        <f>P106-R106</f>
        <v>0</v>
      </c>
      <c r="T106" s="168">
        <f>((3600/M106)*O106)*24*Q106</f>
        <v>1728</v>
      </c>
      <c r="U106" s="163">
        <f>(P106-R106)*M106/3600/Q106</f>
        <v>0</v>
      </c>
      <c r="V106" s="163">
        <f>U106/24</f>
        <v>0</v>
      </c>
      <c r="W106" s="163">
        <v>0</v>
      </c>
      <c r="X106" s="137">
        <f t="shared" si="46"/>
        <v>46153.000108506945</v>
      </c>
    </row>
    <row r="107" spans="1:24" s="511" customFormat="1" ht="39.5" hidden="1" x14ac:dyDescent="0.35">
      <c r="A107" s="71">
        <f t="shared" si="41"/>
        <v>46153.000108506945</v>
      </c>
      <c r="B107" s="46">
        <v>46148</v>
      </c>
      <c r="C107" s="260">
        <f>B107-A107</f>
        <v>-5.0001085069452529</v>
      </c>
      <c r="D107" s="46"/>
      <c r="E107" s="47" t="s">
        <v>3556</v>
      </c>
      <c r="F107" s="97" t="s">
        <v>501</v>
      </c>
      <c r="G107" s="97" t="s">
        <v>414</v>
      </c>
      <c r="H107" s="98"/>
      <c r="I107" s="82" t="s">
        <v>4414</v>
      </c>
      <c r="J107" s="51" t="s">
        <v>140</v>
      </c>
      <c r="K107" s="91">
        <v>0</v>
      </c>
      <c r="L107" s="91">
        <v>0</v>
      </c>
      <c r="M107" s="92">
        <v>40</v>
      </c>
      <c r="N107" s="94">
        <v>1200</v>
      </c>
      <c r="O107" s="92">
        <v>1</v>
      </c>
      <c r="P107" s="94">
        <f t="shared" si="39"/>
        <v>1200</v>
      </c>
      <c r="Q107" s="181">
        <v>0.8</v>
      </c>
      <c r="R107" s="92">
        <v>1200</v>
      </c>
      <c r="S107" s="103">
        <f>P107-R107</f>
        <v>0</v>
      </c>
      <c r="T107" s="173">
        <f>((3600/M107)*O107)*24*Q107</f>
        <v>1728</v>
      </c>
      <c r="U107" s="101">
        <f>(P107-R107)*M107/3600/Q107</f>
        <v>0</v>
      </c>
      <c r="V107" s="101">
        <f>U107/24</f>
        <v>0</v>
      </c>
      <c r="W107" s="101">
        <v>0</v>
      </c>
      <c r="X107" s="55">
        <f t="shared" si="46"/>
        <v>46153.000108506945</v>
      </c>
    </row>
    <row r="108" spans="1:24" s="243" customFormat="1" ht="39.5" x14ac:dyDescent="0.35">
      <c r="A108" s="192">
        <f>X105</f>
        <v>46153.000108506945</v>
      </c>
      <c r="B108" s="193">
        <v>46148</v>
      </c>
      <c r="C108" s="194">
        <f>B108-A108</f>
        <v>-5.0001085069452529</v>
      </c>
      <c r="D108" s="193"/>
      <c r="E108" s="195" t="s">
        <v>3556</v>
      </c>
      <c r="F108" s="112" t="s">
        <v>501</v>
      </c>
      <c r="G108" s="112" t="s">
        <v>414</v>
      </c>
      <c r="H108" s="113" t="s">
        <v>4415</v>
      </c>
      <c r="I108" s="196" t="s">
        <v>4414</v>
      </c>
      <c r="J108" s="383" t="s">
        <v>140</v>
      </c>
      <c r="K108" s="482">
        <v>0</v>
      </c>
      <c r="L108" s="482">
        <v>0</v>
      </c>
      <c r="M108" s="199">
        <v>40</v>
      </c>
      <c r="N108" s="483">
        <v>2000</v>
      </c>
      <c r="O108" s="199">
        <v>1</v>
      </c>
      <c r="P108" s="483">
        <f t="shared" si="39"/>
        <v>2000</v>
      </c>
      <c r="Q108" s="198">
        <v>0.8</v>
      </c>
      <c r="R108" s="199"/>
      <c r="S108" s="117">
        <f>P108-R108</f>
        <v>2000</v>
      </c>
      <c r="T108" s="200">
        <f>((3600/M108)*O108)*24*Q108</f>
        <v>1728</v>
      </c>
      <c r="U108" s="115">
        <f>(P108-R108)*M108/3600/Q108</f>
        <v>27.777777777777775</v>
      </c>
      <c r="V108" s="115">
        <f>U108/24</f>
        <v>1.1574074074074072</v>
      </c>
      <c r="W108" s="115">
        <v>0</v>
      </c>
      <c r="X108" s="201">
        <f t="shared" si="46"/>
        <v>46154.157515914354</v>
      </c>
    </row>
    <row r="109" spans="1:24" s="178" customFormat="1" ht="39.5" x14ac:dyDescent="0.35">
      <c r="A109" s="384">
        <f t="shared" si="41"/>
        <v>46154.157515914354</v>
      </c>
      <c r="B109" s="203">
        <v>46150</v>
      </c>
      <c r="C109" s="286">
        <f>B109-A109</f>
        <v>-4.1575159143540077</v>
      </c>
      <c r="D109" s="203"/>
      <c r="E109" s="204" t="s">
        <v>3556</v>
      </c>
      <c r="F109" s="287" t="s">
        <v>501</v>
      </c>
      <c r="G109" s="287" t="s">
        <v>414</v>
      </c>
      <c r="H109" s="206" t="s">
        <v>4416</v>
      </c>
      <c r="I109" s="288" t="s">
        <v>4417</v>
      </c>
      <c r="J109" s="207" t="s">
        <v>140</v>
      </c>
      <c r="K109" s="208">
        <v>0</v>
      </c>
      <c r="L109" s="208">
        <v>0</v>
      </c>
      <c r="M109" s="209">
        <v>40</v>
      </c>
      <c r="N109" s="210">
        <v>2000</v>
      </c>
      <c r="O109" s="209">
        <v>1</v>
      </c>
      <c r="P109" s="210">
        <f t="shared" si="39"/>
        <v>2000</v>
      </c>
      <c r="Q109" s="293">
        <v>0.8</v>
      </c>
      <c r="R109" s="209"/>
      <c r="S109" s="291">
        <f>P109-R109</f>
        <v>2000</v>
      </c>
      <c r="T109" s="294">
        <f>((3600/M109)*O109)*24*Q109</f>
        <v>1728</v>
      </c>
      <c r="U109" s="289">
        <f>(P109-R109)*M109/3600/Q109</f>
        <v>27.777777777777775</v>
      </c>
      <c r="V109" s="289">
        <f>U109/24</f>
        <v>1.1574074074074072</v>
      </c>
      <c r="W109" s="289">
        <v>0</v>
      </c>
      <c r="X109" s="212">
        <f t="shared" si="46"/>
        <v>46155.314923321763</v>
      </c>
    </row>
    <row r="110" spans="1:24" s="487" customFormat="1" x14ac:dyDescent="0.35">
      <c r="A110" s="384">
        <f>X109</f>
        <v>46155.314923321763</v>
      </c>
      <c r="B110" s="203">
        <v>46150</v>
      </c>
      <c r="C110" s="286">
        <f>B110-A110</f>
        <v>-5.3149233217627625</v>
      </c>
      <c r="D110" s="203"/>
      <c r="E110" s="204" t="s">
        <v>3556</v>
      </c>
      <c r="F110" s="287" t="s">
        <v>4418</v>
      </c>
      <c r="G110" s="287" t="s">
        <v>414</v>
      </c>
      <c r="H110" s="206" t="s">
        <v>4419</v>
      </c>
      <c r="I110" s="288" t="s">
        <v>4420</v>
      </c>
      <c r="J110" s="207" t="s">
        <v>140</v>
      </c>
      <c r="K110" s="208">
        <v>0.25</v>
      </c>
      <c r="L110" s="208">
        <v>0.2</v>
      </c>
      <c r="M110" s="209">
        <v>60</v>
      </c>
      <c r="N110" s="210">
        <v>500</v>
      </c>
      <c r="O110" s="209">
        <v>1</v>
      </c>
      <c r="P110" s="210">
        <f>N110/O110</f>
        <v>500</v>
      </c>
      <c r="Q110" s="293">
        <v>0.8</v>
      </c>
      <c r="R110" s="209"/>
      <c r="S110" s="291">
        <f>P110-R110</f>
        <v>500</v>
      </c>
      <c r="T110" s="294">
        <f>((3600/M110)*O110)*24*Q110</f>
        <v>1152</v>
      </c>
      <c r="U110" s="289">
        <f>(P110-R110)*M110/3600/Q110</f>
        <v>10.416666666666666</v>
      </c>
      <c r="V110" s="289">
        <f>U110/24</f>
        <v>0.43402777777777773</v>
      </c>
      <c r="W110" s="289">
        <v>0</v>
      </c>
      <c r="X110" s="212">
        <f t="shared" si="46"/>
        <v>46156.198951099541</v>
      </c>
    </row>
    <row r="111" spans="1:24" s="487" customFormat="1" x14ac:dyDescent="0.35">
      <c r="A111" s="384"/>
      <c r="B111" s="203"/>
      <c r="C111" s="286"/>
      <c r="D111" s="203"/>
      <c r="E111" s="204"/>
      <c r="F111" s="287"/>
      <c r="G111" s="287"/>
      <c r="H111" s="206"/>
      <c r="I111" s="288"/>
      <c r="J111" s="207"/>
      <c r="K111" s="208"/>
      <c r="L111" s="208"/>
      <c r="M111" s="209"/>
      <c r="N111" s="210"/>
      <c r="O111" s="209"/>
      <c r="P111" s="210"/>
      <c r="Q111" s="293"/>
      <c r="R111" s="209"/>
      <c r="S111" s="291"/>
      <c r="T111" s="294"/>
      <c r="U111" s="289"/>
      <c r="V111" s="289"/>
      <c r="W111" s="289"/>
      <c r="X111" s="212"/>
    </row>
    <row r="112" spans="1:24" ht="45" x14ac:dyDescent="0.8">
      <c r="A112" s="35" t="s">
        <v>4400</v>
      </c>
      <c r="B112" s="35"/>
      <c r="C112" s="787"/>
      <c r="D112" s="35"/>
      <c r="E112" s="36"/>
      <c r="F112" s="213"/>
      <c r="G112" s="213"/>
      <c r="H112" s="311" t="s">
        <v>4269</v>
      </c>
      <c r="I112" s="214"/>
      <c r="J112" s="40"/>
      <c r="K112" s="41"/>
      <c r="L112" s="41"/>
      <c r="M112" s="42"/>
      <c r="N112" s="43"/>
      <c r="O112" s="44"/>
      <c r="P112" s="44"/>
      <c r="Q112" s="44"/>
      <c r="R112" s="43"/>
      <c r="S112" s="44"/>
      <c r="T112" s="44"/>
      <c r="U112" s="44"/>
      <c r="V112" s="44"/>
      <c r="W112" s="44"/>
      <c r="X112" s="45"/>
    </row>
    <row r="113" spans="1:24" s="118" customFormat="1" ht="26.5" hidden="1" x14ac:dyDescent="0.35">
      <c r="A113" s="46">
        <f>S7</f>
        <v>46153</v>
      </c>
      <c r="B113" s="46"/>
      <c r="C113" s="260"/>
      <c r="D113" s="46"/>
      <c r="E113" s="74" t="s">
        <v>4400</v>
      </c>
      <c r="F113" s="82" t="s">
        <v>355</v>
      </c>
      <c r="G113" s="99" t="s">
        <v>4421</v>
      </c>
      <c r="H113" s="107" t="s">
        <v>4399</v>
      </c>
      <c r="I113" s="69" t="s">
        <v>3525</v>
      </c>
      <c r="J113" s="51" t="s">
        <v>140</v>
      </c>
      <c r="K113" s="91">
        <v>0</v>
      </c>
      <c r="L113" s="91">
        <v>0</v>
      </c>
      <c r="M113" s="92">
        <v>45</v>
      </c>
      <c r="N113" s="94">
        <f>3*24000</f>
        <v>72000</v>
      </c>
      <c r="O113" s="345">
        <v>2</v>
      </c>
      <c r="P113" s="94">
        <f>N113/O113</f>
        <v>36000</v>
      </c>
      <c r="Q113" s="94"/>
      <c r="R113" s="92">
        <v>36000</v>
      </c>
      <c r="S113" s="92">
        <f t="shared" ref="S113:S131" si="47">P113-R113</f>
        <v>0</v>
      </c>
      <c r="T113" s="92">
        <f>((3600/M113)*O113)*24</f>
        <v>3840</v>
      </c>
      <c r="U113" s="91">
        <f>(P113-R113)*M113/3600</f>
        <v>0</v>
      </c>
      <c r="V113" s="91">
        <f>(P113-R113)*M113/3600/24</f>
        <v>0</v>
      </c>
      <c r="W113" s="91">
        <v>0</v>
      </c>
      <c r="X113" s="55">
        <f>A113+K113+V113+W113+L113</f>
        <v>46153</v>
      </c>
    </row>
    <row r="114" spans="1:24" s="511" customFormat="1" hidden="1" x14ac:dyDescent="0.35">
      <c r="A114" s="71">
        <f t="shared" ref="A114:A128" si="48">X113</f>
        <v>46153</v>
      </c>
      <c r="B114" s="71"/>
      <c r="C114" s="180"/>
      <c r="D114" s="71"/>
      <c r="E114" s="47" t="s">
        <v>4376</v>
      </c>
      <c r="F114" s="82" t="s">
        <v>1640</v>
      </c>
      <c r="G114" s="453" t="s">
        <v>839</v>
      </c>
      <c r="H114" s="108">
        <v>13419</v>
      </c>
      <c r="I114" s="82" t="s">
        <v>4385</v>
      </c>
      <c r="J114" s="100" t="s">
        <v>140</v>
      </c>
      <c r="K114" s="101">
        <v>0</v>
      </c>
      <c r="L114" s="91">
        <v>0</v>
      </c>
      <c r="M114" s="102">
        <v>35</v>
      </c>
      <c r="N114" s="103">
        <v>10000</v>
      </c>
      <c r="O114" s="102">
        <v>1</v>
      </c>
      <c r="P114" s="103">
        <f>N114/O114</f>
        <v>10000</v>
      </c>
      <c r="Q114" s="103"/>
      <c r="R114" s="103">
        <v>10000</v>
      </c>
      <c r="S114" s="103">
        <f t="shared" si="47"/>
        <v>0</v>
      </c>
      <c r="T114" s="102">
        <f>((3600/M114)*O114)*24</f>
        <v>2468.5714285714284</v>
      </c>
      <c r="U114" s="101">
        <f>(P114-R114)*M114/3600</f>
        <v>0</v>
      </c>
      <c r="V114" s="101">
        <f>(P114-R114)*M114/3600/24</f>
        <v>0</v>
      </c>
      <c r="W114" s="101">
        <v>0</v>
      </c>
      <c r="X114" s="255">
        <f>A114+K114+L114+V114+W114</f>
        <v>46153</v>
      </c>
    </row>
    <row r="115" spans="1:24" s="121" customFormat="1" hidden="1" x14ac:dyDescent="0.35">
      <c r="A115" s="46">
        <f t="shared" si="48"/>
        <v>46153</v>
      </c>
      <c r="B115" s="46"/>
      <c r="C115" s="260"/>
      <c r="D115" s="46"/>
      <c r="E115" s="47" t="s">
        <v>4400</v>
      </c>
      <c r="F115" s="97" t="s">
        <v>1625</v>
      </c>
      <c r="G115" s="453" t="s">
        <v>839</v>
      </c>
      <c r="H115" s="108">
        <v>13420</v>
      </c>
      <c r="I115" s="82" t="s">
        <v>2814</v>
      </c>
      <c r="J115" s="100" t="s">
        <v>140</v>
      </c>
      <c r="K115" s="101">
        <v>0</v>
      </c>
      <c r="L115" s="91">
        <v>0</v>
      </c>
      <c r="M115" s="102">
        <v>35</v>
      </c>
      <c r="N115" s="103">
        <v>4000</v>
      </c>
      <c r="O115" s="102">
        <v>1</v>
      </c>
      <c r="P115" s="103">
        <f>N115/O115</f>
        <v>4000</v>
      </c>
      <c r="Q115" s="103"/>
      <c r="R115" s="103">
        <v>4000</v>
      </c>
      <c r="S115" s="103">
        <f t="shared" si="47"/>
        <v>0</v>
      </c>
      <c r="T115" s="102">
        <f>((3600/M115)*O115)*24</f>
        <v>2468.5714285714284</v>
      </c>
      <c r="U115" s="101">
        <f>(P115-R115)*M115/3600</f>
        <v>0</v>
      </c>
      <c r="V115" s="101">
        <f>(P115-R115)*M115/3600/24</f>
        <v>0</v>
      </c>
      <c r="W115" s="101">
        <v>0</v>
      </c>
      <c r="X115" s="255">
        <f>A115+K115+L115+V115+W115</f>
        <v>46153</v>
      </c>
    </row>
    <row r="116" spans="1:24" s="511" customFormat="1" hidden="1" x14ac:dyDescent="0.35">
      <c r="A116" s="46">
        <f t="shared" si="48"/>
        <v>46153</v>
      </c>
      <c r="B116" s="46">
        <v>46059</v>
      </c>
      <c r="C116" s="260">
        <f t="shared" ref="C116:C131" si="49">B116-A116</f>
        <v>-94</v>
      </c>
      <c r="D116" s="260"/>
      <c r="E116" s="47" t="s">
        <v>4400</v>
      </c>
      <c r="F116" s="51" t="s">
        <v>3533</v>
      </c>
      <c r="G116" s="82" t="s">
        <v>839</v>
      </c>
      <c r="H116" s="107" t="s">
        <v>4422</v>
      </c>
      <c r="I116" s="82" t="s">
        <v>3528</v>
      </c>
      <c r="J116" s="100" t="s">
        <v>140</v>
      </c>
      <c r="K116" s="91">
        <v>0</v>
      </c>
      <c r="L116" s="91">
        <v>0</v>
      </c>
      <c r="M116" s="92">
        <v>45</v>
      </c>
      <c r="N116" s="94">
        <v>15000</v>
      </c>
      <c r="O116" s="92">
        <v>1</v>
      </c>
      <c r="P116" s="94">
        <f>N116/O116</f>
        <v>15000</v>
      </c>
      <c r="Q116" s="181">
        <v>0.8</v>
      </c>
      <c r="R116" s="92">
        <v>15000</v>
      </c>
      <c r="S116" s="102">
        <f t="shared" si="47"/>
        <v>0</v>
      </c>
      <c r="T116" s="173">
        <f t="shared" ref="T116:T131" si="50">((3600/M116)*O116)*24*Q116</f>
        <v>1536</v>
      </c>
      <c r="U116" s="101">
        <f t="shared" ref="U116:U131" si="51">(P116-R116)*M116/3600/Q116</f>
        <v>0</v>
      </c>
      <c r="V116" s="101">
        <f t="shared" ref="V116:V131" si="52">U116/24</f>
        <v>0</v>
      </c>
      <c r="W116" s="101">
        <v>0</v>
      </c>
      <c r="X116" s="55">
        <f>A116+K116+L116+V116+W116</f>
        <v>46153</v>
      </c>
    </row>
    <row r="117" spans="1:24" s="186" customFormat="1" ht="26.5" hidden="1" x14ac:dyDescent="0.35">
      <c r="A117" s="123">
        <f t="shared" si="48"/>
        <v>46153</v>
      </c>
      <c r="B117" s="123">
        <v>46067</v>
      </c>
      <c r="C117" s="190">
        <f t="shared" si="49"/>
        <v>-86</v>
      </c>
      <c r="D117" s="190"/>
      <c r="E117" s="124" t="s">
        <v>4400</v>
      </c>
      <c r="F117" s="125" t="s">
        <v>4423</v>
      </c>
      <c r="G117" s="828" t="s">
        <v>386</v>
      </c>
      <c r="H117" s="262" t="s">
        <v>4424</v>
      </c>
      <c r="I117" s="159" t="s">
        <v>4425</v>
      </c>
      <c r="J117" s="175" t="s">
        <v>140</v>
      </c>
      <c r="K117" s="586">
        <v>0</v>
      </c>
      <c r="L117" s="586">
        <v>0</v>
      </c>
      <c r="M117" s="263">
        <v>45</v>
      </c>
      <c r="N117" s="263">
        <v>500</v>
      </c>
      <c r="O117" s="263">
        <v>1</v>
      </c>
      <c r="P117" s="263">
        <v>500</v>
      </c>
      <c r="Q117" s="185">
        <v>0.8</v>
      </c>
      <c r="R117" s="263">
        <v>500</v>
      </c>
      <c r="S117" s="165">
        <f t="shared" si="47"/>
        <v>0</v>
      </c>
      <c r="T117" s="168">
        <f t="shared" si="50"/>
        <v>1536</v>
      </c>
      <c r="U117" s="163">
        <f t="shared" si="51"/>
        <v>0</v>
      </c>
      <c r="V117" s="163">
        <f t="shared" si="52"/>
        <v>0</v>
      </c>
      <c r="W117" s="163">
        <v>0</v>
      </c>
      <c r="X117" s="137">
        <f>A117+K117+V117+W117+L117</f>
        <v>46153</v>
      </c>
    </row>
    <row r="118" spans="1:24" s="511" customFormat="1" hidden="1" x14ac:dyDescent="0.35">
      <c r="A118" s="46">
        <f t="shared" si="48"/>
        <v>46153</v>
      </c>
      <c r="B118" s="46">
        <v>46066</v>
      </c>
      <c r="C118" s="260">
        <f t="shared" si="49"/>
        <v>-87</v>
      </c>
      <c r="D118" s="260"/>
      <c r="E118" s="47" t="s">
        <v>4400</v>
      </c>
      <c r="F118" s="82" t="s">
        <v>4426</v>
      </c>
      <c r="G118" s="82" t="s">
        <v>4427</v>
      </c>
      <c r="H118" s="98" t="s">
        <v>4428</v>
      </c>
      <c r="I118" s="99" t="s">
        <v>3473</v>
      </c>
      <c r="J118" s="100" t="s">
        <v>140</v>
      </c>
      <c r="K118" s="91">
        <v>0.25</v>
      </c>
      <c r="L118" s="91">
        <v>0.2</v>
      </c>
      <c r="M118" s="92">
        <v>40</v>
      </c>
      <c r="N118" s="829">
        <v>20000</v>
      </c>
      <c r="O118" s="92">
        <v>8</v>
      </c>
      <c r="P118" s="94">
        <f t="shared" ref="P118:P131" si="53">N118/O118</f>
        <v>2500</v>
      </c>
      <c r="Q118" s="181">
        <v>0.8</v>
      </c>
      <c r="R118" s="102">
        <v>2500</v>
      </c>
      <c r="S118" s="103">
        <f t="shared" si="47"/>
        <v>0</v>
      </c>
      <c r="T118" s="173">
        <f t="shared" si="50"/>
        <v>13824</v>
      </c>
      <c r="U118" s="101">
        <f t="shared" si="51"/>
        <v>0</v>
      </c>
      <c r="V118" s="101">
        <f t="shared" si="52"/>
        <v>0</v>
      </c>
      <c r="W118" s="101">
        <v>0</v>
      </c>
      <c r="X118" s="55">
        <f>A118+K118+L118+V118+W118</f>
        <v>46153.45</v>
      </c>
    </row>
    <row r="119" spans="1:24" s="511" customFormat="1" hidden="1" x14ac:dyDescent="0.35">
      <c r="A119" s="46">
        <f t="shared" si="48"/>
        <v>46153.45</v>
      </c>
      <c r="B119" s="46">
        <v>46070</v>
      </c>
      <c r="C119" s="260">
        <f t="shared" si="49"/>
        <v>-83.44999999999709</v>
      </c>
      <c r="D119" s="260"/>
      <c r="E119" s="47" t="s">
        <v>4400</v>
      </c>
      <c r="F119" s="100" t="s">
        <v>355</v>
      </c>
      <c r="G119" s="830" t="s">
        <v>839</v>
      </c>
      <c r="H119" s="98" t="s">
        <v>4429</v>
      </c>
      <c r="I119" s="71" t="s">
        <v>3481</v>
      </c>
      <c r="J119" s="100" t="s">
        <v>140</v>
      </c>
      <c r="K119" s="91">
        <v>0</v>
      </c>
      <c r="L119" s="91">
        <v>0</v>
      </c>
      <c r="M119" s="92">
        <v>40</v>
      </c>
      <c r="N119" s="94">
        <v>10000</v>
      </c>
      <c r="O119" s="92">
        <v>1</v>
      </c>
      <c r="P119" s="94">
        <f t="shared" si="53"/>
        <v>10000</v>
      </c>
      <c r="Q119" s="181">
        <v>0.8</v>
      </c>
      <c r="R119" s="92">
        <v>10000</v>
      </c>
      <c r="S119" s="94">
        <f t="shared" si="47"/>
        <v>0</v>
      </c>
      <c r="T119" s="173">
        <f t="shared" si="50"/>
        <v>1728</v>
      </c>
      <c r="U119" s="101">
        <f t="shared" si="51"/>
        <v>0</v>
      </c>
      <c r="V119" s="101">
        <f t="shared" si="52"/>
        <v>0</v>
      </c>
      <c r="W119" s="101">
        <v>0</v>
      </c>
      <c r="X119" s="696">
        <f>A119+K119+V119+W119+L119</f>
        <v>46153.45</v>
      </c>
    </row>
    <row r="120" spans="1:24" s="511" customFormat="1" hidden="1" x14ac:dyDescent="0.35">
      <c r="A120" s="71">
        <f t="shared" si="48"/>
        <v>46153.45</v>
      </c>
      <c r="B120" s="71">
        <v>46084</v>
      </c>
      <c r="C120" s="180">
        <f t="shared" si="49"/>
        <v>-69.44999999999709</v>
      </c>
      <c r="D120" s="71"/>
      <c r="E120" s="47" t="s">
        <v>4376</v>
      </c>
      <c r="F120" s="82" t="s">
        <v>1640</v>
      </c>
      <c r="G120" s="453" t="s">
        <v>839</v>
      </c>
      <c r="H120" s="108">
        <v>13419</v>
      </c>
      <c r="I120" s="82" t="s">
        <v>4385</v>
      </c>
      <c r="J120" s="100" t="s">
        <v>140</v>
      </c>
      <c r="K120" s="101">
        <v>0</v>
      </c>
      <c r="L120" s="91">
        <v>0</v>
      </c>
      <c r="M120" s="102">
        <v>35</v>
      </c>
      <c r="N120" s="103">
        <v>1109</v>
      </c>
      <c r="O120" s="102">
        <v>1</v>
      </c>
      <c r="P120" s="103">
        <f t="shared" si="53"/>
        <v>1109</v>
      </c>
      <c r="Q120" s="181">
        <v>0.8</v>
      </c>
      <c r="R120" s="103">
        <v>1109</v>
      </c>
      <c r="S120" s="103">
        <f t="shared" si="47"/>
        <v>0</v>
      </c>
      <c r="T120" s="173">
        <f t="shared" si="50"/>
        <v>1974.8571428571429</v>
      </c>
      <c r="U120" s="101">
        <f t="shared" si="51"/>
        <v>0</v>
      </c>
      <c r="V120" s="101">
        <f t="shared" si="52"/>
        <v>0</v>
      </c>
      <c r="W120" s="101">
        <v>0</v>
      </c>
      <c r="X120" s="255">
        <f>A120+K120+L120+V120+W120</f>
        <v>46153.45</v>
      </c>
    </row>
    <row r="121" spans="1:24" s="487" customFormat="1" hidden="1" x14ac:dyDescent="0.35">
      <c r="A121" s="71">
        <f t="shared" si="48"/>
        <v>46153.45</v>
      </c>
      <c r="B121" s="46">
        <v>46085</v>
      </c>
      <c r="C121" s="260">
        <f t="shared" si="49"/>
        <v>-68.44999999999709</v>
      </c>
      <c r="D121" s="260"/>
      <c r="E121" s="47" t="s">
        <v>3556</v>
      </c>
      <c r="F121" s="97" t="s">
        <v>4430</v>
      </c>
      <c r="G121" s="831" t="s">
        <v>386</v>
      </c>
      <c r="H121" s="98" t="s">
        <v>4431</v>
      </c>
      <c r="I121" s="82" t="s">
        <v>4432</v>
      </c>
      <c r="J121" s="51" t="s">
        <v>140</v>
      </c>
      <c r="K121" s="91">
        <v>0</v>
      </c>
      <c r="L121" s="91">
        <v>0</v>
      </c>
      <c r="M121" s="92">
        <v>60</v>
      </c>
      <c r="N121" s="94">
        <v>700</v>
      </c>
      <c r="O121" s="92">
        <v>2</v>
      </c>
      <c r="P121" s="94">
        <f t="shared" si="53"/>
        <v>350</v>
      </c>
      <c r="Q121" s="181">
        <v>0.8</v>
      </c>
      <c r="R121" s="92">
        <v>350</v>
      </c>
      <c r="S121" s="103">
        <f t="shared" si="47"/>
        <v>0</v>
      </c>
      <c r="T121" s="173">
        <f t="shared" si="50"/>
        <v>2304</v>
      </c>
      <c r="U121" s="101">
        <f t="shared" si="51"/>
        <v>0</v>
      </c>
      <c r="V121" s="101">
        <f t="shared" si="52"/>
        <v>0</v>
      </c>
      <c r="W121" s="101">
        <v>0</v>
      </c>
      <c r="X121" s="55">
        <f>A121+K121+V121+W121+L121</f>
        <v>46153.45</v>
      </c>
    </row>
    <row r="122" spans="1:24" s="511" customFormat="1" hidden="1" x14ac:dyDescent="0.35">
      <c r="A122" s="71">
        <f t="shared" si="48"/>
        <v>46153.45</v>
      </c>
      <c r="B122" s="46">
        <v>46086</v>
      </c>
      <c r="C122" s="260">
        <f t="shared" si="49"/>
        <v>-67.44999999999709</v>
      </c>
      <c r="D122" s="260" t="s">
        <v>2673</v>
      </c>
      <c r="E122" s="47" t="s">
        <v>3556</v>
      </c>
      <c r="F122" s="97" t="s">
        <v>4430</v>
      </c>
      <c r="G122" s="831" t="s">
        <v>386</v>
      </c>
      <c r="H122" s="98" t="s">
        <v>4433</v>
      </c>
      <c r="I122" s="82" t="s">
        <v>4434</v>
      </c>
      <c r="J122" s="51" t="s">
        <v>140</v>
      </c>
      <c r="K122" s="91">
        <v>0</v>
      </c>
      <c r="L122" s="91">
        <v>0</v>
      </c>
      <c r="M122" s="92">
        <v>60</v>
      </c>
      <c r="N122" s="94">
        <v>300</v>
      </c>
      <c r="O122" s="92">
        <v>2</v>
      </c>
      <c r="P122" s="94">
        <f t="shared" si="53"/>
        <v>150</v>
      </c>
      <c r="Q122" s="181">
        <v>0.8</v>
      </c>
      <c r="R122" s="92">
        <v>150</v>
      </c>
      <c r="S122" s="103">
        <f t="shared" si="47"/>
        <v>0</v>
      </c>
      <c r="T122" s="173">
        <f t="shared" si="50"/>
        <v>2304</v>
      </c>
      <c r="U122" s="101">
        <f t="shared" si="51"/>
        <v>0</v>
      </c>
      <c r="V122" s="101">
        <f t="shared" si="52"/>
        <v>0</v>
      </c>
      <c r="W122" s="101">
        <v>0</v>
      </c>
      <c r="X122" s="55">
        <f>A122+K122+V122+W122+L122</f>
        <v>46153.45</v>
      </c>
    </row>
    <row r="123" spans="1:24" s="511" customFormat="1" hidden="1" x14ac:dyDescent="0.35">
      <c r="A123" s="46">
        <f t="shared" si="48"/>
        <v>46153.45</v>
      </c>
      <c r="B123" s="46">
        <v>46089</v>
      </c>
      <c r="C123" s="260">
        <f t="shared" si="49"/>
        <v>-64.44999999999709</v>
      </c>
      <c r="D123" s="46" t="s">
        <v>4435</v>
      </c>
      <c r="E123" s="47" t="s">
        <v>4376</v>
      </c>
      <c r="F123" s="97" t="s">
        <v>4436</v>
      </c>
      <c r="G123" s="97" t="s">
        <v>398</v>
      </c>
      <c r="H123" s="98" t="s">
        <v>4437</v>
      </c>
      <c r="I123" s="82" t="s">
        <v>4438</v>
      </c>
      <c r="J123" s="100" t="s">
        <v>140</v>
      </c>
      <c r="K123" s="91">
        <v>0</v>
      </c>
      <c r="L123" s="91">
        <v>0</v>
      </c>
      <c r="M123" s="92">
        <v>50</v>
      </c>
      <c r="N123" s="92">
        <v>1000</v>
      </c>
      <c r="O123" s="92">
        <v>1</v>
      </c>
      <c r="P123" s="94">
        <f t="shared" si="53"/>
        <v>1000</v>
      </c>
      <c r="Q123" s="181">
        <v>0.8</v>
      </c>
      <c r="R123" s="92">
        <v>1000</v>
      </c>
      <c r="S123" s="103">
        <f t="shared" si="47"/>
        <v>0</v>
      </c>
      <c r="T123" s="173">
        <f t="shared" si="50"/>
        <v>1382.4</v>
      </c>
      <c r="U123" s="101">
        <f t="shared" si="51"/>
        <v>0</v>
      </c>
      <c r="V123" s="101">
        <f t="shared" si="52"/>
        <v>0</v>
      </c>
      <c r="W123" s="101">
        <v>0</v>
      </c>
      <c r="X123" s="55">
        <f>A123+K123+V123+W123+L123</f>
        <v>46153.45</v>
      </c>
    </row>
    <row r="124" spans="1:24" s="511" customFormat="1" hidden="1" x14ac:dyDescent="0.35">
      <c r="A124" s="46">
        <f t="shared" si="48"/>
        <v>46153.45</v>
      </c>
      <c r="B124" s="46">
        <v>46095</v>
      </c>
      <c r="C124" s="260">
        <f t="shared" si="49"/>
        <v>-58.44999999999709</v>
      </c>
      <c r="D124" s="46" t="s">
        <v>4439</v>
      </c>
      <c r="E124" s="47" t="s">
        <v>3556</v>
      </c>
      <c r="F124" s="97" t="s">
        <v>4436</v>
      </c>
      <c r="G124" s="97" t="s">
        <v>398</v>
      </c>
      <c r="H124" s="98" t="s">
        <v>4440</v>
      </c>
      <c r="I124" s="82" t="s">
        <v>4441</v>
      </c>
      <c r="J124" s="100" t="s">
        <v>140</v>
      </c>
      <c r="K124" s="91">
        <v>0</v>
      </c>
      <c r="L124" s="91">
        <v>0</v>
      </c>
      <c r="M124" s="92">
        <v>70</v>
      </c>
      <c r="N124" s="92">
        <v>1000</v>
      </c>
      <c r="O124" s="92">
        <v>1</v>
      </c>
      <c r="P124" s="94">
        <f t="shared" si="53"/>
        <v>1000</v>
      </c>
      <c r="Q124" s="181">
        <v>0.8</v>
      </c>
      <c r="R124" s="92">
        <v>1000</v>
      </c>
      <c r="S124" s="103">
        <f t="shared" si="47"/>
        <v>0</v>
      </c>
      <c r="T124" s="173">
        <f t="shared" si="50"/>
        <v>987.42857142857144</v>
      </c>
      <c r="U124" s="101">
        <f t="shared" si="51"/>
        <v>0</v>
      </c>
      <c r="V124" s="101">
        <f t="shared" si="52"/>
        <v>0</v>
      </c>
      <c r="W124" s="101">
        <v>0</v>
      </c>
      <c r="X124" s="55">
        <f>A124+K124+V124+W124+L124</f>
        <v>46153.45</v>
      </c>
    </row>
    <row r="125" spans="1:24" s="511" customFormat="1" hidden="1" x14ac:dyDescent="0.35">
      <c r="A125" s="46">
        <f t="shared" si="48"/>
        <v>46153.45</v>
      </c>
      <c r="B125" s="46">
        <v>46097</v>
      </c>
      <c r="C125" s="260">
        <f t="shared" si="49"/>
        <v>-56.44999999999709</v>
      </c>
      <c r="D125" s="46" t="s">
        <v>4439</v>
      </c>
      <c r="E125" s="47" t="s">
        <v>4442</v>
      </c>
      <c r="F125" s="97" t="s">
        <v>4436</v>
      </c>
      <c r="G125" s="97" t="s">
        <v>398</v>
      </c>
      <c r="H125" s="98" t="s">
        <v>4443</v>
      </c>
      <c r="I125" s="82" t="s">
        <v>4413</v>
      </c>
      <c r="J125" s="100" t="s">
        <v>140</v>
      </c>
      <c r="K125" s="91">
        <v>0</v>
      </c>
      <c r="L125" s="91">
        <v>0</v>
      </c>
      <c r="M125" s="92">
        <v>80</v>
      </c>
      <c r="N125" s="92">
        <v>1000</v>
      </c>
      <c r="O125" s="92">
        <v>1</v>
      </c>
      <c r="P125" s="94">
        <f t="shared" si="53"/>
        <v>1000</v>
      </c>
      <c r="Q125" s="181">
        <v>0.8</v>
      </c>
      <c r="R125" s="92">
        <v>1000</v>
      </c>
      <c r="S125" s="103">
        <f t="shared" si="47"/>
        <v>0</v>
      </c>
      <c r="T125" s="173">
        <f t="shared" si="50"/>
        <v>864</v>
      </c>
      <c r="U125" s="101">
        <f t="shared" si="51"/>
        <v>0</v>
      </c>
      <c r="V125" s="101">
        <f t="shared" si="52"/>
        <v>0</v>
      </c>
      <c r="W125" s="101">
        <v>0</v>
      </c>
      <c r="X125" s="55">
        <f>A125+K125+V125+W125+L125</f>
        <v>46153.45</v>
      </c>
    </row>
    <row r="126" spans="1:24" s="186" customFormat="1" hidden="1" x14ac:dyDescent="0.35">
      <c r="A126" s="161">
        <f t="shared" si="48"/>
        <v>46153.45</v>
      </c>
      <c r="B126" s="161">
        <v>46102</v>
      </c>
      <c r="C126" s="183">
        <f t="shared" si="49"/>
        <v>-51.44999999999709</v>
      </c>
      <c r="D126" s="183"/>
      <c r="E126" s="124" t="s">
        <v>4442</v>
      </c>
      <c r="F126" s="159" t="s">
        <v>220</v>
      </c>
      <c r="G126" s="159" t="s">
        <v>411</v>
      </c>
      <c r="H126" s="467">
        <v>13849</v>
      </c>
      <c r="I126" s="259" t="s">
        <v>4444</v>
      </c>
      <c r="J126" s="175" t="s">
        <v>140</v>
      </c>
      <c r="K126" s="163">
        <v>0</v>
      </c>
      <c r="L126" s="163">
        <v>0</v>
      </c>
      <c r="M126" s="164">
        <v>50</v>
      </c>
      <c r="N126" s="165">
        <v>10000</v>
      </c>
      <c r="O126" s="164">
        <v>2</v>
      </c>
      <c r="P126" s="165">
        <f t="shared" si="53"/>
        <v>5000</v>
      </c>
      <c r="Q126" s="185">
        <v>0.8</v>
      </c>
      <c r="R126" s="165">
        <v>5000</v>
      </c>
      <c r="S126" s="164">
        <f t="shared" si="47"/>
        <v>0</v>
      </c>
      <c r="T126" s="168">
        <f t="shared" si="50"/>
        <v>2764.8</v>
      </c>
      <c r="U126" s="163">
        <f t="shared" si="51"/>
        <v>0</v>
      </c>
      <c r="V126" s="163">
        <f t="shared" si="52"/>
        <v>0</v>
      </c>
      <c r="W126" s="163">
        <v>0</v>
      </c>
      <c r="X126" s="169">
        <f>A126+K126+L126+V126+W126</f>
        <v>46153.45</v>
      </c>
    </row>
    <row r="127" spans="1:24" s="511" customFormat="1" hidden="1" x14ac:dyDescent="0.35">
      <c r="A127" s="71">
        <f t="shared" si="48"/>
        <v>46153.45</v>
      </c>
      <c r="B127" s="71">
        <v>46121</v>
      </c>
      <c r="C127" s="260">
        <f t="shared" si="49"/>
        <v>-32.44999999999709</v>
      </c>
      <c r="D127" s="260" t="s">
        <v>2673</v>
      </c>
      <c r="E127" s="47" t="s">
        <v>3556</v>
      </c>
      <c r="F127" s="82" t="s">
        <v>220</v>
      </c>
      <c r="G127" s="82" t="s">
        <v>1675</v>
      </c>
      <c r="H127" s="108">
        <v>13863</v>
      </c>
      <c r="I127" s="106" t="s">
        <v>4401</v>
      </c>
      <c r="J127" s="100" t="s">
        <v>140</v>
      </c>
      <c r="K127" s="101">
        <v>0</v>
      </c>
      <c r="L127" s="101">
        <v>0</v>
      </c>
      <c r="M127" s="102">
        <v>50</v>
      </c>
      <c r="N127" s="103">
        <v>10000</v>
      </c>
      <c r="O127" s="102">
        <v>2</v>
      </c>
      <c r="P127" s="103">
        <f t="shared" si="53"/>
        <v>5000</v>
      </c>
      <c r="Q127" s="181">
        <v>0.8</v>
      </c>
      <c r="R127" s="103">
        <v>5000</v>
      </c>
      <c r="S127" s="102">
        <f t="shared" si="47"/>
        <v>0</v>
      </c>
      <c r="T127" s="173">
        <f t="shared" si="50"/>
        <v>2764.8</v>
      </c>
      <c r="U127" s="101">
        <f t="shared" si="51"/>
        <v>0</v>
      </c>
      <c r="V127" s="101">
        <f t="shared" si="52"/>
        <v>0</v>
      </c>
      <c r="W127" s="101">
        <v>0</v>
      </c>
      <c r="X127" s="255">
        <f>A127+K127+L127+V127+W127</f>
        <v>46153.45</v>
      </c>
    </row>
    <row r="128" spans="1:24" s="511" customFormat="1" ht="26.5" hidden="1" x14ac:dyDescent="0.35">
      <c r="A128" s="71">
        <f t="shared" si="48"/>
        <v>46153.45</v>
      </c>
      <c r="B128" s="71">
        <v>46133</v>
      </c>
      <c r="C128" s="260">
        <f t="shared" si="49"/>
        <v>-20.44999999999709</v>
      </c>
      <c r="D128" s="71"/>
      <c r="E128" s="47" t="s">
        <v>3556</v>
      </c>
      <c r="F128" s="82" t="s">
        <v>220</v>
      </c>
      <c r="G128" s="82" t="s">
        <v>411</v>
      </c>
      <c r="H128" s="108" t="s">
        <v>4445</v>
      </c>
      <c r="I128" s="85" t="s">
        <v>4403</v>
      </c>
      <c r="J128" s="100" t="s">
        <v>140</v>
      </c>
      <c r="K128" s="101">
        <v>0</v>
      </c>
      <c r="L128" s="101">
        <v>0</v>
      </c>
      <c r="M128" s="102">
        <v>50</v>
      </c>
      <c r="N128" s="103">
        <v>10000</v>
      </c>
      <c r="O128" s="102">
        <v>1</v>
      </c>
      <c r="P128" s="103">
        <f t="shared" si="53"/>
        <v>10000</v>
      </c>
      <c r="Q128" s="181">
        <v>0.8</v>
      </c>
      <c r="R128" s="103">
        <v>10000</v>
      </c>
      <c r="S128" s="102">
        <f t="shared" si="47"/>
        <v>0</v>
      </c>
      <c r="T128" s="173">
        <f t="shared" si="50"/>
        <v>1382.4</v>
      </c>
      <c r="U128" s="101">
        <f t="shared" si="51"/>
        <v>0</v>
      </c>
      <c r="V128" s="101">
        <f t="shared" si="52"/>
        <v>0</v>
      </c>
      <c r="W128" s="101">
        <v>0</v>
      </c>
      <c r="X128" s="255">
        <f>A128+K128+L128+V128+W128</f>
        <v>46153.45</v>
      </c>
    </row>
    <row r="129" spans="1:24" s="243" customFormat="1" x14ac:dyDescent="0.35">
      <c r="A129" s="192">
        <f>X128</f>
        <v>46153.45</v>
      </c>
      <c r="B129" s="192">
        <v>46152</v>
      </c>
      <c r="C129" s="194">
        <f t="shared" si="49"/>
        <v>-1.4499999999970896</v>
      </c>
      <c r="D129" s="192"/>
      <c r="E129" s="195" t="s">
        <v>4400</v>
      </c>
      <c r="F129" s="114" t="s">
        <v>4380</v>
      </c>
      <c r="G129" s="832" t="s">
        <v>411</v>
      </c>
      <c r="H129" s="833" t="s">
        <v>4446</v>
      </c>
      <c r="I129" s="192" t="s">
        <v>3502</v>
      </c>
      <c r="J129" s="114" t="s">
        <v>140</v>
      </c>
      <c r="K129" s="115">
        <v>0</v>
      </c>
      <c r="L129" s="482">
        <v>0</v>
      </c>
      <c r="M129" s="116">
        <v>24</v>
      </c>
      <c r="N129" s="117">
        <v>50000</v>
      </c>
      <c r="O129" s="116">
        <v>1</v>
      </c>
      <c r="P129" s="483">
        <f t="shared" si="53"/>
        <v>50000</v>
      </c>
      <c r="Q129" s="198">
        <v>0.8</v>
      </c>
      <c r="R129" s="199">
        <v>6639</v>
      </c>
      <c r="S129" s="117">
        <f t="shared" si="47"/>
        <v>43361</v>
      </c>
      <c r="T129" s="200">
        <f t="shared" si="50"/>
        <v>2880</v>
      </c>
      <c r="U129" s="115">
        <f t="shared" si="51"/>
        <v>361.34166666666664</v>
      </c>
      <c r="V129" s="115">
        <f t="shared" si="52"/>
        <v>15.055902777777776</v>
      </c>
      <c r="W129" s="115">
        <v>0</v>
      </c>
      <c r="X129" s="591">
        <f>A129+K129+L129+V129+W129</f>
        <v>46168.505902777775</v>
      </c>
    </row>
    <row r="130" spans="1:24" s="178" customFormat="1" x14ac:dyDescent="0.35">
      <c r="A130" s="384">
        <f t="shared" ref="A130:A131" si="54">X129</f>
        <v>46168.505902777775</v>
      </c>
      <c r="B130" s="203">
        <v>46164</v>
      </c>
      <c r="C130" s="385">
        <f>B130-A130</f>
        <v>-4.5059027777751908</v>
      </c>
      <c r="D130" s="203"/>
      <c r="E130" s="204" t="s">
        <v>3556</v>
      </c>
      <c r="F130" s="205" t="s">
        <v>1917</v>
      </c>
      <c r="G130" s="287" t="s">
        <v>411</v>
      </c>
      <c r="H130" s="618">
        <v>13981</v>
      </c>
      <c r="I130" s="205" t="s">
        <v>3514</v>
      </c>
      <c r="J130" s="834" t="s">
        <v>140</v>
      </c>
      <c r="K130" s="208">
        <v>0.25</v>
      </c>
      <c r="L130" s="208">
        <v>0.2</v>
      </c>
      <c r="M130" s="209">
        <v>43</v>
      </c>
      <c r="N130" s="209">
        <v>7500</v>
      </c>
      <c r="O130" s="209">
        <v>2</v>
      </c>
      <c r="P130" s="209">
        <f>N130/O130</f>
        <v>3750</v>
      </c>
      <c r="Q130" s="293">
        <v>0.8</v>
      </c>
      <c r="R130" s="209"/>
      <c r="S130" s="290">
        <f>P130-R130</f>
        <v>3750</v>
      </c>
      <c r="T130" s="294">
        <f>((3600/M130)*O130)*24*Q130</f>
        <v>3214.8837209302328</v>
      </c>
      <c r="U130" s="289">
        <f>(P130-R130)*M130/3600/Q130</f>
        <v>55.989583333333329</v>
      </c>
      <c r="V130" s="289">
        <f>U130/24</f>
        <v>2.3328993055555554</v>
      </c>
      <c r="W130" s="289">
        <v>0</v>
      </c>
      <c r="X130" s="212">
        <f>A130+K130+V130+W130+L130</f>
        <v>46171.288802083327</v>
      </c>
    </row>
    <row r="131" spans="1:24" s="487" customFormat="1" x14ac:dyDescent="0.35">
      <c r="A131" s="384">
        <f t="shared" si="54"/>
        <v>46171.288802083327</v>
      </c>
      <c r="B131" s="384">
        <v>46167</v>
      </c>
      <c r="C131" s="286">
        <f t="shared" si="49"/>
        <v>-4.2888020833270275</v>
      </c>
      <c r="D131" s="384"/>
      <c r="E131" s="204" t="s">
        <v>3556</v>
      </c>
      <c r="F131" s="310" t="s">
        <v>4380</v>
      </c>
      <c r="G131" s="835" t="s">
        <v>411</v>
      </c>
      <c r="H131" s="836" t="s">
        <v>4447</v>
      </c>
      <c r="I131" s="384" t="s">
        <v>3502</v>
      </c>
      <c r="J131" s="310" t="s">
        <v>140</v>
      </c>
      <c r="K131" s="289">
        <v>0</v>
      </c>
      <c r="L131" s="208">
        <v>0</v>
      </c>
      <c r="M131" s="290">
        <v>24</v>
      </c>
      <c r="N131" s="291">
        <v>30000</v>
      </c>
      <c r="O131" s="290">
        <v>1</v>
      </c>
      <c r="P131" s="210">
        <f t="shared" si="53"/>
        <v>30000</v>
      </c>
      <c r="Q131" s="293">
        <v>0.8</v>
      </c>
      <c r="R131" s="209"/>
      <c r="S131" s="291">
        <f t="shared" si="47"/>
        <v>30000</v>
      </c>
      <c r="T131" s="294">
        <f t="shared" si="50"/>
        <v>2880</v>
      </c>
      <c r="U131" s="289">
        <f t="shared" si="51"/>
        <v>250</v>
      </c>
      <c r="V131" s="289">
        <f t="shared" si="52"/>
        <v>10.416666666666666</v>
      </c>
      <c r="W131" s="289">
        <v>0</v>
      </c>
      <c r="X131" s="388">
        <f>A131+K131+L131+V131+W131</f>
        <v>46181.705468749991</v>
      </c>
    </row>
    <row r="132" spans="1:24" s="487" customFormat="1" x14ac:dyDescent="0.35">
      <c r="A132" s="384"/>
      <c r="B132" s="384"/>
      <c r="C132" s="286"/>
      <c r="D132" s="384"/>
      <c r="E132" s="204"/>
      <c r="F132" s="310"/>
      <c r="G132" s="835"/>
      <c r="H132" s="836"/>
      <c r="I132" s="384"/>
      <c r="J132" s="310"/>
      <c r="K132" s="289"/>
      <c r="L132" s="208"/>
      <c r="M132" s="290"/>
      <c r="N132" s="291"/>
      <c r="O132" s="290"/>
      <c r="P132" s="210"/>
      <c r="Q132" s="293"/>
      <c r="R132" s="209"/>
      <c r="S132" s="291"/>
      <c r="T132" s="294"/>
      <c r="U132" s="289"/>
      <c r="V132" s="289"/>
      <c r="W132" s="289"/>
      <c r="X132" s="388"/>
    </row>
    <row r="133" spans="1:24" ht="45" x14ac:dyDescent="0.8">
      <c r="A133" s="35" t="s">
        <v>4442</v>
      </c>
      <c r="B133" s="35"/>
      <c r="C133" s="787"/>
      <c r="D133" s="35"/>
      <c r="E133" s="36"/>
      <c r="F133" s="213"/>
      <c r="G133" s="213"/>
      <c r="H133" s="311" t="s">
        <v>4269</v>
      </c>
      <c r="I133" s="214">
        <v>9</v>
      </c>
      <c r="J133" s="40"/>
      <c r="K133" s="41"/>
      <c r="L133" s="41"/>
      <c r="M133" s="42"/>
      <c r="N133" s="43"/>
      <c r="O133" s="44"/>
      <c r="P133" s="44"/>
      <c r="Q133" s="44"/>
      <c r="R133" s="43"/>
      <c r="S133" s="44"/>
      <c r="T133" s="44"/>
      <c r="U133" s="44"/>
      <c r="V133" s="44"/>
      <c r="W133" s="44"/>
      <c r="X133" s="45"/>
    </row>
    <row r="134" spans="1:24" s="487" customFormat="1" hidden="1" x14ac:dyDescent="0.35">
      <c r="A134" s="46">
        <f>S7</f>
        <v>46153</v>
      </c>
      <c r="B134" s="46"/>
      <c r="C134" s="260"/>
      <c r="D134" s="46"/>
      <c r="E134" s="47" t="s">
        <v>4442</v>
      </c>
      <c r="F134" s="82" t="s">
        <v>4448</v>
      </c>
      <c r="G134" s="82" t="s">
        <v>359</v>
      </c>
      <c r="H134" s="98" t="s">
        <v>4449</v>
      </c>
      <c r="I134" s="82" t="s">
        <v>4450</v>
      </c>
      <c r="J134" s="100" t="s">
        <v>140</v>
      </c>
      <c r="K134" s="91">
        <v>0</v>
      </c>
      <c r="L134" s="91">
        <v>0</v>
      </c>
      <c r="M134" s="92">
        <v>40</v>
      </c>
      <c r="N134" s="94">
        <v>10000</v>
      </c>
      <c r="O134" s="92">
        <v>3</v>
      </c>
      <c r="P134" s="94">
        <f t="shared" ref="P134:P145" si="55">N134/O134</f>
        <v>3333.3333333333335</v>
      </c>
      <c r="Q134" s="94"/>
      <c r="R134" s="102">
        <v>3333</v>
      </c>
      <c r="S134" s="92">
        <f t="shared" ref="S134:S145" si="56">P134-R134</f>
        <v>0.33333333333348492</v>
      </c>
      <c r="T134" s="102">
        <f t="shared" ref="T134:T140" si="57">((3600/M134)*O134)*24</f>
        <v>6480</v>
      </c>
      <c r="U134" s="101">
        <f t="shared" ref="U134:U140" si="58">(P134-R134)*M134/3600</f>
        <v>3.7037037037053878E-3</v>
      </c>
      <c r="V134" s="101">
        <f t="shared" ref="V134:V140" si="59">(P134-R134)*M134/3600/24</f>
        <v>1.5432098765439116E-4</v>
      </c>
      <c r="W134" s="101">
        <v>0</v>
      </c>
      <c r="X134" s="55">
        <f>A134+K134+V134+W134+L134</f>
        <v>46153.000154320987</v>
      </c>
    </row>
    <row r="135" spans="1:24" s="541" customFormat="1" hidden="1" x14ac:dyDescent="0.35">
      <c r="A135" s="193">
        <f>X134</f>
        <v>46153.000154320987</v>
      </c>
      <c r="B135" s="193"/>
      <c r="C135" s="194"/>
      <c r="D135" s="193"/>
      <c r="E135" s="195" t="s">
        <v>4376</v>
      </c>
      <c r="F135" s="112" t="s">
        <v>4451</v>
      </c>
      <c r="G135" s="671" t="s">
        <v>327</v>
      </c>
      <c r="H135" s="113" t="s">
        <v>4452</v>
      </c>
      <c r="I135" s="196" t="s">
        <v>4453</v>
      </c>
      <c r="J135" s="383" t="s">
        <v>140</v>
      </c>
      <c r="K135" s="482">
        <v>0</v>
      </c>
      <c r="L135" s="482">
        <v>0</v>
      </c>
      <c r="M135" s="199">
        <v>45</v>
      </c>
      <c r="N135" s="483">
        <v>8000</v>
      </c>
      <c r="O135" s="199">
        <v>1</v>
      </c>
      <c r="P135" s="483">
        <f t="shared" si="55"/>
        <v>8000</v>
      </c>
      <c r="Q135" s="483"/>
      <c r="R135" s="199">
        <v>8000</v>
      </c>
      <c r="S135" s="199">
        <f t="shared" si="56"/>
        <v>0</v>
      </c>
      <c r="T135" s="199">
        <f t="shared" si="57"/>
        <v>1920</v>
      </c>
      <c r="U135" s="482">
        <f t="shared" si="58"/>
        <v>0</v>
      </c>
      <c r="V135" s="482">
        <f t="shared" si="59"/>
        <v>0</v>
      </c>
      <c r="W135" s="482">
        <v>0</v>
      </c>
      <c r="X135" s="201">
        <f>A135+K135+L135+V135+W135</f>
        <v>46153.000154320987</v>
      </c>
    </row>
    <row r="136" spans="1:24" hidden="1" x14ac:dyDescent="0.35">
      <c r="A136" s="46">
        <f>X255</f>
        <v>46153.449943639287</v>
      </c>
      <c r="B136" s="46"/>
      <c r="C136" s="260"/>
      <c r="D136" s="46"/>
      <c r="E136" s="47" t="s">
        <v>4376</v>
      </c>
      <c r="F136" s="99" t="s">
        <v>4454</v>
      </c>
      <c r="G136" s="99"/>
      <c r="H136" s="107" t="s">
        <v>4455</v>
      </c>
      <c r="I136" s="697" t="s">
        <v>4387</v>
      </c>
      <c r="J136" s="100" t="s">
        <v>140</v>
      </c>
      <c r="K136" s="52">
        <v>0</v>
      </c>
      <c r="L136" s="52">
        <v>0</v>
      </c>
      <c r="M136" s="92">
        <v>45</v>
      </c>
      <c r="N136" s="94">
        <v>400</v>
      </c>
      <c r="O136" s="92">
        <v>1</v>
      </c>
      <c r="P136" s="94">
        <f t="shared" si="55"/>
        <v>400</v>
      </c>
      <c r="Q136" s="94"/>
      <c r="R136" s="92">
        <v>400</v>
      </c>
      <c r="S136" s="92">
        <f t="shared" si="56"/>
        <v>0</v>
      </c>
      <c r="T136" s="102">
        <f t="shared" si="57"/>
        <v>1920</v>
      </c>
      <c r="U136" s="101">
        <f t="shared" si="58"/>
        <v>0</v>
      </c>
      <c r="V136" s="101">
        <f t="shared" si="59"/>
        <v>0</v>
      </c>
      <c r="W136" s="101">
        <v>0</v>
      </c>
      <c r="X136" s="55">
        <f>A136+K136+L136+V136+W136</f>
        <v>46153.449943639287</v>
      </c>
    </row>
    <row r="137" spans="1:24" s="511" customFormat="1" hidden="1" x14ac:dyDescent="0.35">
      <c r="A137" s="71">
        <f t="shared" ref="A137:A145" si="60">X136</f>
        <v>46153.449943639287</v>
      </c>
      <c r="B137" s="71"/>
      <c r="C137" s="180"/>
      <c r="D137" s="71"/>
      <c r="E137" s="47" t="s">
        <v>4376</v>
      </c>
      <c r="F137" s="97" t="s">
        <v>4451</v>
      </c>
      <c r="G137" s="85" t="s">
        <v>839</v>
      </c>
      <c r="H137" s="98" t="s">
        <v>4456</v>
      </c>
      <c r="I137" s="82" t="s">
        <v>4453</v>
      </c>
      <c r="J137" s="51" t="s">
        <v>140</v>
      </c>
      <c r="K137" s="91">
        <v>0</v>
      </c>
      <c r="L137" s="91">
        <v>0</v>
      </c>
      <c r="M137" s="92">
        <v>45</v>
      </c>
      <c r="N137" s="94">
        <v>5000</v>
      </c>
      <c r="O137" s="92">
        <v>1</v>
      </c>
      <c r="P137" s="94">
        <f t="shared" si="55"/>
        <v>5000</v>
      </c>
      <c r="Q137" s="94"/>
      <c r="R137" s="92">
        <v>5000</v>
      </c>
      <c r="S137" s="92">
        <f t="shared" si="56"/>
        <v>0</v>
      </c>
      <c r="T137" s="92">
        <f t="shared" si="57"/>
        <v>1920</v>
      </c>
      <c r="U137" s="91">
        <f t="shared" si="58"/>
        <v>0</v>
      </c>
      <c r="V137" s="91">
        <f t="shared" si="59"/>
        <v>0</v>
      </c>
      <c r="W137" s="91">
        <v>0</v>
      </c>
      <c r="X137" s="55">
        <f>A137+K137+L137+V137+W137</f>
        <v>46153.449943639287</v>
      </c>
    </row>
    <row r="138" spans="1:24" s="186" customFormat="1" ht="39.5" hidden="1" x14ac:dyDescent="0.35">
      <c r="A138" s="123">
        <f t="shared" si="60"/>
        <v>46153.449943639287</v>
      </c>
      <c r="B138" s="123"/>
      <c r="C138" s="190"/>
      <c r="D138" s="123"/>
      <c r="E138" s="124" t="s">
        <v>4376</v>
      </c>
      <c r="F138" s="159" t="s">
        <v>2835</v>
      </c>
      <c r="G138" s="159" t="s">
        <v>839</v>
      </c>
      <c r="H138" s="126" t="s">
        <v>4457</v>
      </c>
      <c r="I138" s="161" t="s">
        <v>3466</v>
      </c>
      <c r="J138" s="175" t="s">
        <v>140</v>
      </c>
      <c r="K138" s="129">
        <v>0</v>
      </c>
      <c r="L138" s="129">
        <v>0</v>
      </c>
      <c r="M138" s="130">
        <v>45</v>
      </c>
      <c r="N138" s="131">
        <v>11200</v>
      </c>
      <c r="O138" s="189">
        <v>2</v>
      </c>
      <c r="P138" s="131">
        <f t="shared" si="55"/>
        <v>5600</v>
      </c>
      <c r="Q138" s="131"/>
      <c r="R138" s="130">
        <v>5600</v>
      </c>
      <c r="S138" s="130">
        <f t="shared" si="56"/>
        <v>0</v>
      </c>
      <c r="T138" s="168">
        <f t="shared" si="57"/>
        <v>3840</v>
      </c>
      <c r="U138" s="163">
        <f t="shared" si="58"/>
        <v>0</v>
      </c>
      <c r="V138" s="163">
        <f t="shared" si="59"/>
        <v>0</v>
      </c>
      <c r="W138" s="163">
        <v>0</v>
      </c>
      <c r="X138" s="702">
        <f>A138+K138+V138+W138+L138</f>
        <v>46153.449943639287</v>
      </c>
    </row>
    <row r="139" spans="1:24" s="511" customFormat="1" hidden="1" x14ac:dyDescent="0.35">
      <c r="A139" s="46">
        <f t="shared" si="60"/>
        <v>46153.449943639287</v>
      </c>
      <c r="B139" s="46"/>
      <c r="C139" s="260"/>
      <c r="D139" s="46"/>
      <c r="E139" s="47" t="s">
        <v>4376</v>
      </c>
      <c r="F139" s="99" t="s">
        <v>4458</v>
      </c>
      <c r="G139" s="99" t="s">
        <v>839</v>
      </c>
      <c r="H139" s="107" t="s">
        <v>4459</v>
      </c>
      <c r="I139" s="697" t="s">
        <v>4387</v>
      </c>
      <c r="J139" s="100" t="s">
        <v>140</v>
      </c>
      <c r="K139" s="52">
        <v>0</v>
      </c>
      <c r="L139" s="52">
        <v>0</v>
      </c>
      <c r="M139" s="92">
        <v>45</v>
      </c>
      <c r="N139" s="94">
        <v>1000</v>
      </c>
      <c r="O139" s="92">
        <v>1</v>
      </c>
      <c r="P139" s="94">
        <f t="shared" si="55"/>
        <v>1000</v>
      </c>
      <c r="Q139" s="94"/>
      <c r="R139" s="92">
        <v>1000</v>
      </c>
      <c r="S139" s="92">
        <f t="shared" si="56"/>
        <v>0</v>
      </c>
      <c r="T139" s="102">
        <f t="shared" si="57"/>
        <v>1920</v>
      </c>
      <c r="U139" s="101">
        <f t="shared" si="58"/>
        <v>0</v>
      </c>
      <c r="V139" s="101">
        <f t="shared" si="59"/>
        <v>0</v>
      </c>
      <c r="W139" s="101">
        <v>0</v>
      </c>
      <c r="X139" s="55">
        <f>A139+K139+L139+V139+W139</f>
        <v>46153.449943639287</v>
      </c>
    </row>
    <row r="140" spans="1:24" s="202" customFormat="1" hidden="1" x14ac:dyDescent="0.35">
      <c r="A140" s="46">
        <f t="shared" si="60"/>
        <v>46153.449943639287</v>
      </c>
      <c r="B140" s="46"/>
      <c r="C140" s="260"/>
      <c r="D140" s="46"/>
      <c r="E140" s="119" t="s">
        <v>4442</v>
      </c>
      <c r="F140" s="99" t="s">
        <v>4458</v>
      </c>
      <c r="G140" s="82" t="s">
        <v>839</v>
      </c>
      <c r="H140" s="98" t="s">
        <v>4460</v>
      </c>
      <c r="I140" s="104" t="s">
        <v>4461</v>
      </c>
      <c r="J140" s="491" t="s">
        <v>140</v>
      </c>
      <c r="K140" s="91">
        <v>0</v>
      </c>
      <c r="L140" s="91">
        <v>0</v>
      </c>
      <c r="M140" s="92">
        <v>60</v>
      </c>
      <c r="N140" s="94">
        <v>1000</v>
      </c>
      <c r="O140" s="92">
        <v>1</v>
      </c>
      <c r="P140" s="94">
        <f t="shared" si="55"/>
        <v>1000</v>
      </c>
      <c r="Q140" s="94"/>
      <c r="R140" s="92">
        <v>1000</v>
      </c>
      <c r="S140" s="92">
        <f t="shared" si="56"/>
        <v>0</v>
      </c>
      <c r="T140" s="102">
        <f t="shared" si="57"/>
        <v>1440</v>
      </c>
      <c r="U140" s="101">
        <f t="shared" si="58"/>
        <v>0</v>
      </c>
      <c r="V140" s="101">
        <f t="shared" si="59"/>
        <v>0</v>
      </c>
      <c r="W140" s="101">
        <v>0</v>
      </c>
      <c r="X140" s="55">
        <f>A140+K140+V140+W140+L140</f>
        <v>46153.449943639287</v>
      </c>
    </row>
    <row r="141" spans="1:24" s="121" customFormat="1" hidden="1" x14ac:dyDescent="0.35">
      <c r="A141" s="46">
        <f t="shared" si="60"/>
        <v>46153.449943639287</v>
      </c>
      <c r="B141" s="46">
        <v>46059</v>
      </c>
      <c r="C141" s="260">
        <f>B141-A141</f>
        <v>-94.449943639287085</v>
      </c>
      <c r="D141" s="260"/>
      <c r="E141" s="74" t="s">
        <v>4376</v>
      </c>
      <c r="F141" s="82" t="s">
        <v>1583</v>
      </c>
      <c r="G141" s="97" t="s">
        <v>386</v>
      </c>
      <c r="H141" s="108">
        <v>13587</v>
      </c>
      <c r="I141" s="82" t="s">
        <v>4385</v>
      </c>
      <c r="J141" s="100" t="s">
        <v>140</v>
      </c>
      <c r="K141" s="101">
        <v>0</v>
      </c>
      <c r="L141" s="91">
        <v>0</v>
      </c>
      <c r="M141" s="102">
        <v>35</v>
      </c>
      <c r="N141" s="103">
        <v>10000</v>
      </c>
      <c r="O141" s="102">
        <v>1</v>
      </c>
      <c r="P141" s="103">
        <f t="shared" si="55"/>
        <v>10000</v>
      </c>
      <c r="Q141" s="181">
        <v>0.8</v>
      </c>
      <c r="R141" s="103">
        <v>10000</v>
      </c>
      <c r="S141" s="103">
        <f t="shared" si="56"/>
        <v>0</v>
      </c>
      <c r="T141" s="173">
        <f>((3600/M141)*O141)*24*Q141</f>
        <v>1974.8571428571429</v>
      </c>
      <c r="U141" s="101">
        <f>(P141-R141)*M141/3600/Q141</f>
        <v>0</v>
      </c>
      <c r="V141" s="101">
        <f>U141/24</f>
        <v>0</v>
      </c>
      <c r="W141" s="101">
        <v>0</v>
      </c>
      <c r="X141" s="255">
        <f>A141+K141+L141+V141+W141</f>
        <v>46153.449943639287</v>
      </c>
    </row>
    <row r="142" spans="1:24" s="511" customFormat="1" ht="26.5" hidden="1" x14ac:dyDescent="0.35">
      <c r="A142" s="46">
        <f t="shared" si="60"/>
        <v>46153.449943639287</v>
      </c>
      <c r="B142" s="46">
        <v>46091</v>
      </c>
      <c r="C142" s="260">
        <f>B142-A142</f>
        <v>-62.449943639287085</v>
      </c>
      <c r="D142" s="46"/>
      <c r="E142" s="47" t="s">
        <v>4442</v>
      </c>
      <c r="F142" s="46" t="s">
        <v>4380</v>
      </c>
      <c r="G142" s="831" t="s">
        <v>398</v>
      </c>
      <c r="H142" s="699" t="s">
        <v>4462</v>
      </c>
      <c r="I142" s="82" t="s">
        <v>3470</v>
      </c>
      <c r="J142" s="100" t="s">
        <v>140</v>
      </c>
      <c r="K142" s="91">
        <v>0</v>
      </c>
      <c r="L142" s="91">
        <v>0</v>
      </c>
      <c r="M142" s="345">
        <v>50</v>
      </c>
      <c r="N142" s="94">
        <v>10000</v>
      </c>
      <c r="O142" s="92">
        <v>1</v>
      </c>
      <c r="P142" s="94">
        <f t="shared" si="55"/>
        <v>10000</v>
      </c>
      <c r="Q142" s="181">
        <v>0.8</v>
      </c>
      <c r="R142" s="92">
        <v>10000</v>
      </c>
      <c r="S142" s="103">
        <f t="shared" si="56"/>
        <v>0</v>
      </c>
      <c r="T142" s="173">
        <f>((3600/M142)*O142)*24*Q142</f>
        <v>1382.4</v>
      </c>
      <c r="U142" s="101">
        <f>(P142-R142)*M142/3600/Q142</f>
        <v>0</v>
      </c>
      <c r="V142" s="101">
        <f>U142/24</f>
        <v>0</v>
      </c>
      <c r="W142" s="101">
        <v>0</v>
      </c>
      <c r="X142" s="55">
        <f>A142+K142+L142+V142+W142</f>
        <v>46153.449943639287</v>
      </c>
    </row>
    <row r="143" spans="1:24" s="121" customFormat="1" hidden="1" x14ac:dyDescent="0.35">
      <c r="A143" s="431">
        <f t="shared" si="60"/>
        <v>46153.449943639287</v>
      </c>
      <c r="B143" s="431">
        <v>46104</v>
      </c>
      <c r="C143" s="837">
        <f>B143-A143</f>
        <v>-49.449943639287085</v>
      </c>
      <c r="D143" s="431"/>
      <c r="E143" s="432" t="s">
        <v>4442</v>
      </c>
      <c r="F143" s="838" t="s">
        <v>1583</v>
      </c>
      <c r="G143" s="838" t="s">
        <v>4463</v>
      </c>
      <c r="H143" s="434" t="s">
        <v>4464</v>
      </c>
      <c r="I143" s="838" t="s">
        <v>4465</v>
      </c>
      <c r="J143" s="839" t="s">
        <v>140</v>
      </c>
      <c r="K143" s="840">
        <v>0</v>
      </c>
      <c r="L143" s="437">
        <v>0</v>
      </c>
      <c r="M143" s="841">
        <v>40</v>
      </c>
      <c r="N143" s="841">
        <v>15000</v>
      </c>
      <c r="O143" s="841">
        <v>2</v>
      </c>
      <c r="P143" s="841">
        <f t="shared" si="55"/>
        <v>7500</v>
      </c>
      <c r="Q143" s="842">
        <v>0.8</v>
      </c>
      <c r="R143" s="438">
        <v>7500</v>
      </c>
      <c r="S143" s="843">
        <f t="shared" si="56"/>
        <v>0</v>
      </c>
      <c r="T143" s="844">
        <f>((3600/M143)*O143)*24*Q143</f>
        <v>3456</v>
      </c>
      <c r="U143" s="840">
        <f>(P143-R143)*M143/3600/Q143</f>
        <v>0</v>
      </c>
      <c r="V143" s="840">
        <f>U143/24</f>
        <v>0</v>
      </c>
      <c r="W143" s="840">
        <v>0</v>
      </c>
      <c r="X143" s="845">
        <f>A143+K143+L143+V143+W143</f>
        <v>46153.449943639287</v>
      </c>
    </row>
    <row r="144" spans="1:24" s="202" customFormat="1" ht="26.5" x14ac:dyDescent="0.35">
      <c r="A144" s="481">
        <f t="shared" si="60"/>
        <v>46153.449943639287</v>
      </c>
      <c r="B144" s="192">
        <v>46130</v>
      </c>
      <c r="C144" s="194">
        <f>B144-A144</f>
        <v>-23.449943639287085</v>
      </c>
      <c r="D144" s="194" t="s">
        <v>4466</v>
      </c>
      <c r="E144" s="195" t="s">
        <v>4467</v>
      </c>
      <c r="F144" s="196" t="s">
        <v>355</v>
      </c>
      <c r="G144" s="197" t="s">
        <v>411</v>
      </c>
      <c r="H144" s="524" t="s">
        <v>4468</v>
      </c>
      <c r="I144" s="268" t="s">
        <v>3525</v>
      </c>
      <c r="J144" s="383" t="s">
        <v>140</v>
      </c>
      <c r="K144" s="482">
        <v>0</v>
      </c>
      <c r="L144" s="482">
        <v>0</v>
      </c>
      <c r="M144" s="199">
        <v>32</v>
      </c>
      <c r="N144" s="483">
        <f>34000*2</f>
        <v>68000</v>
      </c>
      <c r="O144" s="846">
        <v>2</v>
      </c>
      <c r="P144" s="483">
        <f>N144/O144</f>
        <v>34000</v>
      </c>
      <c r="Q144" s="198">
        <v>0.8</v>
      </c>
      <c r="R144" s="199">
        <v>17064</v>
      </c>
      <c r="S144" s="116">
        <v>15555</v>
      </c>
      <c r="T144" s="200">
        <f>((3600/M144)*O144)*24*Q144</f>
        <v>4320</v>
      </c>
      <c r="U144" s="115">
        <f>(P144-R144)*M144/3600/Q144</f>
        <v>188.17777777777778</v>
      </c>
      <c r="V144" s="115">
        <f>U144/24</f>
        <v>7.840740740740741</v>
      </c>
      <c r="W144" s="115">
        <v>0</v>
      </c>
      <c r="X144" s="201">
        <f>A144+K144+V144+W144+L144</f>
        <v>46161.29068438003</v>
      </c>
    </row>
    <row r="145" spans="1:40" s="178" customFormat="1" ht="26.5" x14ac:dyDescent="0.35">
      <c r="A145" s="847">
        <f t="shared" si="60"/>
        <v>46161.29068438003</v>
      </c>
      <c r="B145" s="203">
        <v>46164</v>
      </c>
      <c r="C145" s="385">
        <f>B145-A145</f>
        <v>2.7093156199698569</v>
      </c>
      <c r="D145" s="385"/>
      <c r="E145" s="386" t="s">
        <v>4442</v>
      </c>
      <c r="F145" s="287" t="s">
        <v>4469</v>
      </c>
      <c r="G145" s="287" t="s">
        <v>411</v>
      </c>
      <c r="H145" s="485" t="s">
        <v>4470</v>
      </c>
      <c r="I145" s="205" t="s">
        <v>4471</v>
      </c>
      <c r="J145" s="310" t="s">
        <v>140</v>
      </c>
      <c r="K145" s="208">
        <v>0</v>
      </c>
      <c r="L145" s="208">
        <v>0</v>
      </c>
      <c r="M145" s="209">
        <v>14</v>
      </c>
      <c r="N145" s="210">
        <f>10*49500</f>
        <v>495000</v>
      </c>
      <c r="O145" s="210">
        <v>10</v>
      </c>
      <c r="P145" s="210">
        <f t="shared" si="55"/>
        <v>49500</v>
      </c>
      <c r="Q145" s="293">
        <v>0.8</v>
      </c>
      <c r="R145" s="209"/>
      <c r="S145" s="290">
        <f t="shared" si="56"/>
        <v>49500</v>
      </c>
      <c r="T145" s="294">
        <f>((3600/M145)*O145)*24*Q145</f>
        <v>49371.42857142858</v>
      </c>
      <c r="U145" s="289">
        <f>(P145-R145)*M145/3600/Q145</f>
        <v>240.625</v>
      </c>
      <c r="V145" s="289">
        <f>U145/24</f>
        <v>10.026041666666666</v>
      </c>
      <c r="W145" s="289">
        <v>0</v>
      </c>
      <c r="X145" s="212">
        <f>A145+K145+V145+W145+L145</f>
        <v>46171.316726046694</v>
      </c>
      <c r="Y145" s="487"/>
      <c r="Z145" s="487"/>
      <c r="AA145" s="487"/>
      <c r="AB145" s="487"/>
      <c r="AC145" s="487"/>
      <c r="AD145" s="487"/>
      <c r="AE145" s="487"/>
      <c r="AF145" s="487"/>
      <c r="AG145" s="487"/>
      <c r="AH145" s="487"/>
      <c r="AI145" s="487"/>
      <c r="AJ145" s="487"/>
      <c r="AK145" s="487"/>
      <c r="AL145" s="487"/>
      <c r="AM145" s="487"/>
      <c r="AN145" s="487"/>
    </row>
    <row r="146" spans="1:40" s="178" customFormat="1" ht="15" thickBot="1" x14ac:dyDescent="0.4">
      <c r="A146" s="203">
        <v>46135</v>
      </c>
      <c r="B146" s="203"/>
      <c r="C146" s="385"/>
      <c r="D146" s="385"/>
      <c r="E146" s="386"/>
      <c r="F146" s="287"/>
      <c r="G146" s="287"/>
      <c r="H146" s="485"/>
      <c r="I146" s="848"/>
      <c r="J146" s="310"/>
      <c r="K146" s="208"/>
      <c r="L146" s="208"/>
      <c r="M146" s="209"/>
      <c r="N146" s="210"/>
      <c r="O146" s="210"/>
      <c r="P146" s="210"/>
      <c r="Q146" s="293"/>
      <c r="R146" s="209"/>
      <c r="S146" s="290"/>
      <c r="T146" s="294"/>
      <c r="U146" s="289"/>
      <c r="V146" s="289"/>
      <c r="W146" s="289"/>
      <c r="X146" s="212"/>
      <c r="Y146" s="487"/>
      <c r="Z146" s="487"/>
      <c r="AA146" s="487"/>
      <c r="AB146" s="487"/>
      <c r="AC146" s="487"/>
      <c r="AD146" s="487"/>
      <c r="AE146" s="487"/>
      <c r="AF146" s="487"/>
      <c r="AG146" s="487"/>
      <c r="AH146" s="487"/>
      <c r="AI146" s="487"/>
      <c r="AJ146" s="487"/>
      <c r="AK146" s="487"/>
      <c r="AL146" s="487"/>
      <c r="AM146" s="487"/>
      <c r="AN146" s="487"/>
    </row>
    <row r="147" spans="1:40" ht="34.5" x14ac:dyDescent="0.8">
      <c r="A147" s="1215" t="s">
        <v>4472</v>
      </c>
      <c r="B147" s="1216"/>
      <c r="C147" s="1216"/>
      <c r="D147" s="1216"/>
      <c r="E147" s="1216"/>
      <c r="F147" s="1216"/>
      <c r="G147" s="1216"/>
      <c r="H147" s="1216"/>
      <c r="I147" s="1216"/>
      <c r="J147" s="1216"/>
      <c r="K147" s="1216"/>
      <c r="L147" s="1216"/>
      <c r="M147" s="1216"/>
      <c r="N147" s="1216"/>
      <c r="O147" s="1216"/>
      <c r="P147" s="1216"/>
      <c r="Q147" s="1216"/>
      <c r="R147" s="1216"/>
      <c r="S147" s="1216"/>
      <c r="T147" s="1216"/>
      <c r="U147" s="1216"/>
      <c r="V147" s="1216"/>
      <c r="W147" s="1216"/>
      <c r="X147" s="1216"/>
    </row>
    <row r="148" spans="1:40" ht="45" x14ac:dyDescent="0.8">
      <c r="A148" s="35" t="s">
        <v>4473</v>
      </c>
      <c r="B148" s="35"/>
      <c r="C148" s="787"/>
      <c r="D148" s="35"/>
      <c r="E148" s="36"/>
      <c r="F148" s="213"/>
      <c r="G148" s="213"/>
      <c r="H148" s="311" t="s">
        <v>4269</v>
      </c>
      <c r="I148" s="214"/>
      <c r="J148" s="40"/>
      <c r="K148" s="41"/>
      <c r="L148" s="41"/>
      <c r="M148" s="42"/>
      <c r="N148" s="43"/>
      <c r="O148" s="44"/>
      <c r="P148" s="44"/>
      <c r="Q148" s="44"/>
      <c r="R148" s="43"/>
      <c r="S148" s="44"/>
      <c r="T148" s="44"/>
      <c r="U148" s="44"/>
      <c r="V148" s="44"/>
      <c r="W148" s="44"/>
      <c r="X148" s="45"/>
    </row>
    <row r="149" spans="1:40" hidden="1" x14ac:dyDescent="0.35">
      <c r="A149" s="46">
        <f>S7</f>
        <v>46153</v>
      </c>
      <c r="B149" s="46"/>
      <c r="C149" s="260"/>
      <c r="D149" s="46"/>
      <c r="E149" s="47" t="s">
        <v>4321</v>
      </c>
      <c r="F149" s="57" t="s">
        <v>4474</v>
      </c>
      <c r="G149" s="57"/>
      <c r="H149" s="49">
        <v>7405</v>
      </c>
      <c r="I149" s="82" t="s">
        <v>4475</v>
      </c>
      <c r="J149" s="100"/>
      <c r="K149" s="52">
        <v>0</v>
      </c>
      <c r="L149" s="52">
        <v>0</v>
      </c>
      <c r="M149" s="53">
        <v>265</v>
      </c>
      <c r="N149" s="53">
        <v>5000</v>
      </c>
      <c r="O149" s="53">
        <v>1</v>
      </c>
      <c r="P149" s="53">
        <f>N149/O149</f>
        <v>5000</v>
      </c>
      <c r="Q149" s="53"/>
      <c r="R149" s="53">
        <v>5000</v>
      </c>
      <c r="S149" s="53">
        <f t="shared" ref="S149:S176" si="61">P149-R149</f>
        <v>0</v>
      </c>
      <c r="T149" s="83">
        <f t="shared" ref="T149:T176" si="62">((3600/M149)*O149)*24</f>
        <v>326.03773584905662</v>
      </c>
      <c r="U149" s="84">
        <f t="shared" ref="U149:U176" si="63">(P149-R149)*M149/3600</f>
        <v>0</v>
      </c>
      <c r="V149" s="84">
        <f t="shared" ref="V149:V176" si="64">(P149-R149)*M149/3600/24</f>
        <v>0</v>
      </c>
      <c r="W149" s="84">
        <v>0</v>
      </c>
      <c r="X149" s="55">
        <f t="shared" ref="X149:X212" si="65">A149+K149+V149+W149+L149</f>
        <v>46153</v>
      </c>
    </row>
    <row r="150" spans="1:40" hidden="1" x14ac:dyDescent="0.35">
      <c r="A150" s="46">
        <f t="shared" ref="A150:A213" si="66">X149</f>
        <v>46153</v>
      </c>
      <c r="B150" s="46"/>
      <c r="C150" s="260"/>
      <c r="D150" s="46"/>
      <c r="E150" s="47" t="s">
        <v>4321</v>
      </c>
      <c r="F150" s="57" t="s">
        <v>4476</v>
      </c>
      <c r="G150" s="57"/>
      <c r="H150" s="49">
        <v>7404</v>
      </c>
      <c r="I150" s="82" t="s">
        <v>4475</v>
      </c>
      <c r="J150" s="100"/>
      <c r="K150" s="52">
        <v>0</v>
      </c>
      <c r="L150" s="52">
        <v>0</v>
      </c>
      <c r="M150" s="53">
        <v>265</v>
      </c>
      <c r="N150" s="53">
        <v>1500</v>
      </c>
      <c r="O150" s="53">
        <v>1</v>
      </c>
      <c r="P150" s="53">
        <f>N150/O150</f>
        <v>1500</v>
      </c>
      <c r="Q150" s="53"/>
      <c r="R150" s="53">
        <v>1500</v>
      </c>
      <c r="S150" s="53">
        <f t="shared" si="61"/>
        <v>0</v>
      </c>
      <c r="T150" s="83">
        <f t="shared" si="62"/>
        <v>326.03773584905662</v>
      </c>
      <c r="U150" s="84">
        <f t="shared" si="63"/>
        <v>0</v>
      </c>
      <c r="V150" s="84">
        <f t="shared" si="64"/>
        <v>0</v>
      </c>
      <c r="W150" s="84">
        <v>0</v>
      </c>
      <c r="X150" s="55">
        <f t="shared" si="65"/>
        <v>46153</v>
      </c>
    </row>
    <row r="151" spans="1:40" hidden="1" x14ac:dyDescent="0.35">
      <c r="A151" s="46">
        <f t="shared" si="66"/>
        <v>46153</v>
      </c>
      <c r="B151" s="46"/>
      <c r="C151" s="260"/>
      <c r="D151" s="46"/>
      <c r="E151" s="47" t="s">
        <v>4321</v>
      </c>
      <c r="F151" s="57"/>
      <c r="G151" s="57"/>
      <c r="H151" s="49">
        <v>7404</v>
      </c>
      <c r="I151" s="82" t="s">
        <v>4475</v>
      </c>
      <c r="J151" s="100"/>
      <c r="K151" s="52">
        <v>0</v>
      </c>
      <c r="L151" s="52">
        <v>0</v>
      </c>
      <c r="M151" s="53">
        <v>250</v>
      </c>
      <c r="N151" s="53">
        <v>5000</v>
      </c>
      <c r="O151" s="53">
        <v>1</v>
      </c>
      <c r="P151" s="53">
        <v>5240</v>
      </c>
      <c r="Q151" s="53"/>
      <c r="R151" s="53">
        <f>5032+208</f>
        <v>5240</v>
      </c>
      <c r="S151" s="53">
        <f t="shared" si="61"/>
        <v>0</v>
      </c>
      <c r="T151" s="83">
        <f t="shared" si="62"/>
        <v>345.6</v>
      </c>
      <c r="U151" s="84">
        <f t="shared" si="63"/>
        <v>0</v>
      </c>
      <c r="V151" s="84">
        <f t="shared" si="64"/>
        <v>0</v>
      </c>
      <c r="W151" s="84">
        <v>0</v>
      </c>
      <c r="X151" s="55">
        <f t="shared" si="65"/>
        <v>46153</v>
      </c>
    </row>
    <row r="152" spans="1:40" hidden="1" x14ac:dyDescent="0.35">
      <c r="A152" s="46">
        <f t="shared" si="66"/>
        <v>46153</v>
      </c>
      <c r="B152" s="46"/>
      <c r="C152" s="260"/>
      <c r="D152" s="46"/>
      <c r="E152" s="47"/>
      <c r="F152" s="57" t="s">
        <v>2703</v>
      </c>
      <c r="G152" s="57"/>
      <c r="H152" s="49" t="s">
        <v>4477</v>
      </c>
      <c r="I152" s="82" t="s">
        <v>4478</v>
      </c>
      <c r="J152" s="100"/>
      <c r="K152" s="52">
        <v>0</v>
      </c>
      <c r="L152" s="52">
        <v>0</v>
      </c>
      <c r="M152" s="53">
        <v>60</v>
      </c>
      <c r="N152" s="53">
        <v>1500</v>
      </c>
      <c r="O152" s="53">
        <v>1</v>
      </c>
      <c r="P152" s="53">
        <f>N152/O152</f>
        <v>1500</v>
      </c>
      <c r="Q152" s="53"/>
      <c r="R152" s="83">
        <v>1500</v>
      </c>
      <c r="S152" s="53">
        <f t="shared" si="61"/>
        <v>0</v>
      </c>
      <c r="T152" s="83">
        <f t="shared" si="62"/>
        <v>1440</v>
      </c>
      <c r="U152" s="84">
        <f t="shared" si="63"/>
        <v>0</v>
      </c>
      <c r="V152" s="84">
        <f t="shared" si="64"/>
        <v>0</v>
      </c>
      <c r="W152" s="84">
        <v>0</v>
      </c>
      <c r="X152" s="55">
        <f t="shared" si="65"/>
        <v>46153</v>
      </c>
    </row>
    <row r="153" spans="1:40" hidden="1" x14ac:dyDescent="0.35">
      <c r="A153" s="46">
        <f t="shared" si="66"/>
        <v>46153</v>
      </c>
      <c r="B153" s="46"/>
      <c r="C153" s="260"/>
      <c r="D153" s="46"/>
      <c r="E153" s="47" t="s">
        <v>4321</v>
      </c>
      <c r="F153" s="56" t="s">
        <v>4479</v>
      </c>
      <c r="G153" s="56"/>
      <c r="H153" s="49" t="s">
        <v>4480</v>
      </c>
      <c r="I153" s="82" t="s">
        <v>4481</v>
      </c>
      <c r="J153" s="100"/>
      <c r="K153" s="52">
        <v>0</v>
      </c>
      <c r="L153" s="52">
        <v>0</v>
      </c>
      <c r="M153" s="53">
        <v>45</v>
      </c>
      <c r="N153" s="53">
        <v>900</v>
      </c>
      <c r="O153" s="53">
        <v>1</v>
      </c>
      <c r="P153" s="53">
        <f>N153/O153</f>
        <v>900</v>
      </c>
      <c r="Q153" s="53"/>
      <c r="R153" s="53">
        <v>900</v>
      </c>
      <c r="S153" s="53">
        <f t="shared" si="61"/>
        <v>0</v>
      </c>
      <c r="T153" s="83">
        <f t="shared" si="62"/>
        <v>1920</v>
      </c>
      <c r="U153" s="84">
        <f t="shared" si="63"/>
        <v>0</v>
      </c>
      <c r="V153" s="84">
        <f t="shared" si="64"/>
        <v>0</v>
      </c>
      <c r="W153" s="84">
        <v>0</v>
      </c>
      <c r="X153" s="55">
        <f t="shared" si="65"/>
        <v>46153</v>
      </c>
    </row>
    <row r="154" spans="1:40" hidden="1" x14ac:dyDescent="0.35">
      <c r="A154" s="46">
        <f t="shared" si="66"/>
        <v>46153</v>
      </c>
      <c r="B154" s="46"/>
      <c r="C154" s="260"/>
      <c r="D154" s="46"/>
      <c r="E154" s="47" t="s">
        <v>4321</v>
      </c>
      <c r="F154" s="48" t="s">
        <v>936</v>
      </c>
      <c r="G154" s="48"/>
      <c r="H154" s="49" t="s">
        <v>4480</v>
      </c>
      <c r="I154" s="82" t="s">
        <v>4481</v>
      </c>
      <c r="J154" s="100"/>
      <c r="K154" s="52">
        <v>0</v>
      </c>
      <c r="L154" s="52">
        <v>0</v>
      </c>
      <c r="M154" s="53">
        <v>45</v>
      </c>
      <c r="N154" s="53">
        <v>3000</v>
      </c>
      <c r="O154" s="53">
        <v>1</v>
      </c>
      <c r="P154" s="53">
        <v>947</v>
      </c>
      <c r="Q154" s="53"/>
      <c r="R154" s="53">
        <f>-900+1847</f>
        <v>947</v>
      </c>
      <c r="S154" s="53">
        <f t="shared" si="61"/>
        <v>0</v>
      </c>
      <c r="T154" s="83">
        <f t="shared" si="62"/>
        <v>1920</v>
      </c>
      <c r="U154" s="84">
        <f t="shared" si="63"/>
        <v>0</v>
      </c>
      <c r="V154" s="84">
        <f t="shared" si="64"/>
        <v>0</v>
      </c>
      <c r="W154" s="84">
        <v>0</v>
      </c>
      <c r="X154" s="55">
        <f t="shared" si="65"/>
        <v>46153</v>
      </c>
    </row>
    <row r="155" spans="1:40" hidden="1" x14ac:dyDescent="0.35">
      <c r="A155" s="46">
        <f t="shared" si="66"/>
        <v>46153</v>
      </c>
      <c r="B155" s="46"/>
      <c r="C155" s="260"/>
      <c r="D155" s="46"/>
      <c r="E155" s="47"/>
      <c r="F155" s="57" t="s">
        <v>4482</v>
      </c>
      <c r="G155" s="57"/>
      <c r="H155" s="49" t="s">
        <v>4483</v>
      </c>
      <c r="I155" s="85" t="s">
        <v>4484</v>
      </c>
      <c r="J155" s="100"/>
      <c r="K155" s="52">
        <v>0</v>
      </c>
      <c r="L155" s="52">
        <v>0</v>
      </c>
      <c r="M155" s="53">
        <v>90</v>
      </c>
      <c r="N155" s="53">
        <v>1000</v>
      </c>
      <c r="O155" s="53">
        <v>1</v>
      </c>
      <c r="P155" s="53">
        <v>1073</v>
      </c>
      <c r="Q155" s="53"/>
      <c r="R155" s="83">
        <f>212+219+642</f>
        <v>1073</v>
      </c>
      <c r="S155" s="53">
        <f t="shared" si="61"/>
        <v>0</v>
      </c>
      <c r="T155" s="83">
        <f t="shared" si="62"/>
        <v>960</v>
      </c>
      <c r="U155" s="84">
        <f t="shared" si="63"/>
        <v>0</v>
      </c>
      <c r="V155" s="84">
        <f t="shared" si="64"/>
        <v>0</v>
      </c>
      <c r="W155" s="84">
        <v>0</v>
      </c>
      <c r="X155" s="55">
        <f t="shared" si="65"/>
        <v>46153</v>
      </c>
    </row>
    <row r="156" spans="1:40" hidden="1" x14ac:dyDescent="0.35">
      <c r="A156" s="46">
        <f t="shared" si="66"/>
        <v>46153</v>
      </c>
      <c r="B156" s="46"/>
      <c r="C156" s="260"/>
      <c r="D156" s="46"/>
      <c r="E156" s="47"/>
      <c r="F156" s="57" t="s">
        <v>4482</v>
      </c>
      <c r="G156" s="57"/>
      <c r="H156" s="49" t="s">
        <v>4485</v>
      </c>
      <c r="I156" s="85" t="s">
        <v>4332</v>
      </c>
      <c r="J156" s="100"/>
      <c r="K156" s="52">
        <v>0</v>
      </c>
      <c r="L156" s="52">
        <v>0</v>
      </c>
      <c r="M156" s="53">
        <v>90</v>
      </c>
      <c r="N156" s="53">
        <v>500</v>
      </c>
      <c r="O156" s="53">
        <v>1</v>
      </c>
      <c r="P156" s="53">
        <v>631</v>
      </c>
      <c r="Q156" s="53"/>
      <c r="R156" s="83">
        <v>631</v>
      </c>
      <c r="S156" s="53">
        <f t="shared" si="61"/>
        <v>0</v>
      </c>
      <c r="T156" s="83">
        <f t="shared" si="62"/>
        <v>960</v>
      </c>
      <c r="U156" s="84">
        <f t="shared" si="63"/>
        <v>0</v>
      </c>
      <c r="V156" s="84">
        <f t="shared" si="64"/>
        <v>0</v>
      </c>
      <c r="W156" s="84">
        <v>0</v>
      </c>
      <c r="X156" s="55">
        <f t="shared" si="65"/>
        <v>46153</v>
      </c>
    </row>
    <row r="157" spans="1:40" hidden="1" x14ac:dyDescent="0.35">
      <c r="A157" s="46">
        <f t="shared" si="66"/>
        <v>46153</v>
      </c>
      <c r="B157" s="46"/>
      <c r="C157" s="260"/>
      <c r="D157" s="46"/>
      <c r="E157" s="47"/>
      <c r="F157" s="57" t="s">
        <v>4486</v>
      </c>
      <c r="G157" s="57"/>
      <c r="H157" s="49" t="s">
        <v>4487</v>
      </c>
      <c r="I157" s="85" t="s">
        <v>4488</v>
      </c>
      <c r="J157" s="100"/>
      <c r="K157" s="52">
        <v>0</v>
      </c>
      <c r="L157" s="52">
        <v>0</v>
      </c>
      <c r="M157" s="53">
        <v>55</v>
      </c>
      <c r="N157" s="53">
        <v>650</v>
      </c>
      <c r="O157" s="53">
        <v>1</v>
      </c>
      <c r="P157" s="53">
        <v>738</v>
      </c>
      <c r="Q157" s="53"/>
      <c r="R157" s="83">
        <v>738</v>
      </c>
      <c r="S157" s="53">
        <f t="shared" si="61"/>
        <v>0</v>
      </c>
      <c r="T157" s="83">
        <f t="shared" si="62"/>
        <v>1570.909090909091</v>
      </c>
      <c r="U157" s="84">
        <f t="shared" si="63"/>
        <v>0</v>
      </c>
      <c r="V157" s="84">
        <f t="shared" si="64"/>
        <v>0</v>
      </c>
      <c r="W157" s="84">
        <v>0</v>
      </c>
      <c r="X157" s="55">
        <f t="shared" si="65"/>
        <v>46153</v>
      </c>
    </row>
    <row r="158" spans="1:40" hidden="1" x14ac:dyDescent="0.35">
      <c r="A158" s="46">
        <f t="shared" si="66"/>
        <v>46153</v>
      </c>
      <c r="B158" s="46"/>
      <c r="C158" s="260"/>
      <c r="D158" s="46"/>
      <c r="E158" s="47"/>
      <c r="F158" s="57" t="s">
        <v>4486</v>
      </c>
      <c r="G158" s="57"/>
      <c r="H158" s="49" t="s">
        <v>4489</v>
      </c>
      <c r="I158" s="85" t="s">
        <v>4490</v>
      </c>
      <c r="J158" s="100"/>
      <c r="K158" s="52">
        <v>0</v>
      </c>
      <c r="L158" s="52">
        <v>0</v>
      </c>
      <c r="M158" s="53">
        <v>55</v>
      </c>
      <c r="N158" s="53">
        <v>500</v>
      </c>
      <c r="O158" s="53">
        <v>1</v>
      </c>
      <c r="P158" s="53">
        <v>538</v>
      </c>
      <c r="Q158" s="53"/>
      <c r="R158" s="83">
        <v>538</v>
      </c>
      <c r="S158" s="53">
        <f t="shared" si="61"/>
        <v>0</v>
      </c>
      <c r="T158" s="83">
        <f t="shared" si="62"/>
        <v>1570.909090909091</v>
      </c>
      <c r="U158" s="84">
        <f t="shared" si="63"/>
        <v>0</v>
      </c>
      <c r="V158" s="84">
        <f t="shared" si="64"/>
        <v>0</v>
      </c>
      <c r="W158" s="84">
        <v>0</v>
      </c>
      <c r="X158" s="55">
        <f t="shared" si="65"/>
        <v>46153</v>
      </c>
    </row>
    <row r="159" spans="1:40" ht="29" hidden="1" x14ac:dyDescent="0.35">
      <c r="A159" s="46">
        <f t="shared" si="66"/>
        <v>46153</v>
      </c>
      <c r="B159" s="46"/>
      <c r="C159" s="260"/>
      <c r="D159" s="46"/>
      <c r="E159" s="47"/>
      <c r="F159" s="57" t="s">
        <v>4491</v>
      </c>
      <c r="G159" s="57"/>
      <c r="H159" s="49" t="s">
        <v>4492</v>
      </c>
      <c r="I159" s="85" t="s">
        <v>4493</v>
      </c>
      <c r="J159" s="100"/>
      <c r="K159" s="52">
        <v>0</v>
      </c>
      <c r="L159" s="52">
        <v>0</v>
      </c>
      <c r="M159" s="53">
        <v>60</v>
      </c>
      <c r="N159" s="53">
        <v>3000</v>
      </c>
      <c r="O159" s="53">
        <v>1</v>
      </c>
      <c r="P159" s="53">
        <f>N159/O159</f>
        <v>3000</v>
      </c>
      <c r="Q159" s="53"/>
      <c r="R159" s="83">
        <v>3000</v>
      </c>
      <c r="S159" s="53">
        <f t="shared" si="61"/>
        <v>0</v>
      </c>
      <c r="T159" s="83">
        <f t="shared" si="62"/>
        <v>1440</v>
      </c>
      <c r="U159" s="84">
        <f t="shared" si="63"/>
        <v>0</v>
      </c>
      <c r="V159" s="84">
        <f t="shared" si="64"/>
        <v>0</v>
      </c>
      <c r="W159" s="84">
        <v>0</v>
      </c>
      <c r="X159" s="55">
        <f t="shared" si="65"/>
        <v>46153</v>
      </c>
    </row>
    <row r="160" spans="1:40" hidden="1" x14ac:dyDescent="0.35">
      <c r="A160" s="46">
        <f t="shared" si="66"/>
        <v>46153</v>
      </c>
      <c r="B160" s="46"/>
      <c r="C160" s="260"/>
      <c r="D160" s="46"/>
      <c r="E160" s="47" t="s">
        <v>4494</v>
      </c>
      <c r="F160" s="57" t="s">
        <v>55</v>
      </c>
      <c r="G160" s="57"/>
      <c r="H160" s="49" t="s">
        <v>4495</v>
      </c>
      <c r="I160" s="82" t="s">
        <v>4496</v>
      </c>
      <c r="J160" s="100"/>
      <c r="K160" s="52">
        <v>0</v>
      </c>
      <c r="L160" s="52">
        <v>0</v>
      </c>
      <c r="M160" s="53">
        <v>60</v>
      </c>
      <c r="N160" s="53">
        <v>3000</v>
      </c>
      <c r="O160" s="53">
        <v>1</v>
      </c>
      <c r="P160" s="53">
        <v>1563</v>
      </c>
      <c r="Q160" s="53"/>
      <c r="R160" s="53">
        <v>1563</v>
      </c>
      <c r="S160" s="53">
        <f t="shared" si="61"/>
        <v>0</v>
      </c>
      <c r="T160" s="83">
        <f t="shared" si="62"/>
        <v>1440</v>
      </c>
      <c r="U160" s="84">
        <f t="shared" si="63"/>
        <v>0</v>
      </c>
      <c r="V160" s="84">
        <f t="shared" si="64"/>
        <v>0</v>
      </c>
      <c r="W160" s="84">
        <v>0</v>
      </c>
      <c r="X160" s="55">
        <f t="shared" si="65"/>
        <v>46153</v>
      </c>
    </row>
    <row r="161" spans="1:24" hidden="1" x14ac:dyDescent="0.35">
      <c r="A161" s="46">
        <f t="shared" si="66"/>
        <v>46153</v>
      </c>
      <c r="B161" s="46"/>
      <c r="C161" s="260"/>
      <c r="D161" s="46"/>
      <c r="E161" s="47" t="s">
        <v>4321</v>
      </c>
      <c r="F161" s="48" t="s">
        <v>4497</v>
      </c>
      <c r="G161" s="48"/>
      <c r="H161" s="49" t="s">
        <v>4498</v>
      </c>
      <c r="I161" s="82" t="s">
        <v>4481</v>
      </c>
      <c r="J161" s="100"/>
      <c r="K161" s="52">
        <v>0</v>
      </c>
      <c r="L161" s="52">
        <v>0</v>
      </c>
      <c r="M161" s="53">
        <v>45</v>
      </c>
      <c r="N161" s="53">
        <v>3000</v>
      </c>
      <c r="O161" s="53">
        <v>1</v>
      </c>
      <c r="P161" s="53">
        <f>N161/O161</f>
        <v>3000</v>
      </c>
      <c r="Q161" s="53"/>
      <c r="R161" s="53">
        <v>3000</v>
      </c>
      <c r="S161" s="53">
        <f t="shared" si="61"/>
        <v>0</v>
      </c>
      <c r="T161" s="83">
        <f t="shared" si="62"/>
        <v>1920</v>
      </c>
      <c r="U161" s="84">
        <f t="shared" si="63"/>
        <v>0</v>
      </c>
      <c r="V161" s="84">
        <f t="shared" si="64"/>
        <v>0</v>
      </c>
      <c r="W161" s="84">
        <v>0</v>
      </c>
      <c r="X161" s="55">
        <f t="shared" si="65"/>
        <v>46153</v>
      </c>
    </row>
    <row r="162" spans="1:24" hidden="1" x14ac:dyDescent="0.35">
      <c r="A162" s="46">
        <f t="shared" si="66"/>
        <v>46153</v>
      </c>
      <c r="B162" s="46"/>
      <c r="C162" s="260"/>
      <c r="D162" s="46"/>
      <c r="E162" s="47" t="s">
        <v>4321</v>
      </c>
      <c r="F162" s="48" t="s">
        <v>101</v>
      </c>
      <c r="G162" s="48"/>
      <c r="H162" s="49" t="s">
        <v>4498</v>
      </c>
      <c r="I162" s="82" t="s">
        <v>4481</v>
      </c>
      <c r="J162" s="100"/>
      <c r="K162" s="52">
        <v>0</v>
      </c>
      <c r="L162" s="52">
        <v>0</v>
      </c>
      <c r="M162" s="53">
        <v>45</v>
      </c>
      <c r="N162" s="53">
        <v>3000</v>
      </c>
      <c r="O162" s="53">
        <v>1</v>
      </c>
      <c r="P162" s="53">
        <f>N162/O162</f>
        <v>3000</v>
      </c>
      <c r="Q162" s="53"/>
      <c r="R162" s="53">
        <v>3000</v>
      </c>
      <c r="S162" s="53">
        <f t="shared" si="61"/>
        <v>0</v>
      </c>
      <c r="T162" s="83">
        <f t="shared" si="62"/>
        <v>1920</v>
      </c>
      <c r="U162" s="84">
        <f t="shared" si="63"/>
        <v>0</v>
      </c>
      <c r="V162" s="84">
        <f t="shared" si="64"/>
        <v>0</v>
      </c>
      <c r="W162" s="84">
        <v>0</v>
      </c>
      <c r="X162" s="55">
        <f t="shared" si="65"/>
        <v>46153</v>
      </c>
    </row>
    <row r="163" spans="1:24" hidden="1" x14ac:dyDescent="0.35">
      <c r="A163" s="46">
        <f t="shared" si="66"/>
        <v>46153</v>
      </c>
      <c r="B163" s="46"/>
      <c r="C163" s="260"/>
      <c r="D163" s="46"/>
      <c r="E163" s="47" t="s">
        <v>4321</v>
      </c>
      <c r="F163" s="48" t="s">
        <v>104</v>
      </c>
      <c r="G163" s="48"/>
      <c r="H163" s="49" t="s">
        <v>4498</v>
      </c>
      <c r="I163" s="82" t="s">
        <v>4481</v>
      </c>
      <c r="J163" s="100"/>
      <c r="K163" s="52">
        <v>0</v>
      </c>
      <c r="L163" s="52">
        <v>0</v>
      </c>
      <c r="M163" s="53">
        <v>45</v>
      </c>
      <c r="N163" s="53">
        <v>4000</v>
      </c>
      <c r="O163" s="53">
        <v>1</v>
      </c>
      <c r="P163" s="53">
        <f>N163/O163</f>
        <v>4000</v>
      </c>
      <c r="Q163" s="53"/>
      <c r="R163" s="53">
        <f>-3000-3000+10000</f>
        <v>4000</v>
      </c>
      <c r="S163" s="53">
        <f t="shared" si="61"/>
        <v>0</v>
      </c>
      <c r="T163" s="83">
        <f t="shared" si="62"/>
        <v>1920</v>
      </c>
      <c r="U163" s="84">
        <f t="shared" si="63"/>
        <v>0</v>
      </c>
      <c r="V163" s="84">
        <f t="shared" si="64"/>
        <v>0</v>
      </c>
      <c r="W163" s="84">
        <v>0</v>
      </c>
      <c r="X163" s="55">
        <f t="shared" si="65"/>
        <v>46153</v>
      </c>
    </row>
    <row r="164" spans="1:24" hidden="1" x14ac:dyDescent="0.35">
      <c r="A164" s="46">
        <f t="shared" si="66"/>
        <v>46153</v>
      </c>
      <c r="B164" s="46"/>
      <c r="C164" s="260"/>
      <c r="D164" s="46"/>
      <c r="E164" s="47" t="s">
        <v>1896</v>
      </c>
      <c r="F164" s="48"/>
      <c r="G164" s="48"/>
      <c r="H164" s="49"/>
      <c r="I164" s="82" t="s">
        <v>4499</v>
      </c>
      <c r="J164" s="100"/>
      <c r="K164" s="52">
        <v>0</v>
      </c>
      <c r="L164" s="52">
        <v>0</v>
      </c>
      <c r="M164" s="53">
        <v>60</v>
      </c>
      <c r="N164" s="53">
        <v>5000</v>
      </c>
      <c r="O164" s="53">
        <v>1</v>
      </c>
      <c r="P164" s="53">
        <v>5450</v>
      </c>
      <c r="Q164" s="53"/>
      <c r="R164" s="53">
        <v>5450</v>
      </c>
      <c r="S164" s="53">
        <f t="shared" si="61"/>
        <v>0</v>
      </c>
      <c r="T164" s="83">
        <f t="shared" si="62"/>
        <v>1440</v>
      </c>
      <c r="U164" s="84">
        <f t="shared" si="63"/>
        <v>0</v>
      </c>
      <c r="V164" s="84">
        <f t="shared" si="64"/>
        <v>0</v>
      </c>
      <c r="W164" s="84">
        <v>0</v>
      </c>
      <c r="X164" s="55">
        <f t="shared" si="65"/>
        <v>46153</v>
      </c>
    </row>
    <row r="165" spans="1:24" hidden="1" x14ac:dyDescent="0.35">
      <c r="A165" s="46">
        <f t="shared" si="66"/>
        <v>46153</v>
      </c>
      <c r="B165" s="46"/>
      <c r="C165" s="260"/>
      <c r="D165" s="46"/>
      <c r="E165" s="47" t="s">
        <v>4321</v>
      </c>
      <c r="F165" s="56" t="s">
        <v>101</v>
      </c>
      <c r="G165" s="56"/>
      <c r="H165" s="49" t="s">
        <v>4500</v>
      </c>
      <c r="I165" s="82" t="s">
        <v>4501</v>
      </c>
      <c r="J165" s="491"/>
      <c r="K165" s="52">
        <v>0</v>
      </c>
      <c r="L165" s="52">
        <v>0</v>
      </c>
      <c r="M165" s="53">
        <v>65</v>
      </c>
      <c r="N165" s="53">
        <v>9000</v>
      </c>
      <c r="O165" s="53">
        <v>1</v>
      </c>
      <c r="P165" s="53">
        <v>9167</v>
      </c>
      <c r="Q165" s="53"/>
      <c r="R165" s="53">
        <v>9167</v>
      </c>
      <c r="S165" s="53">
        <f t="shared" si="61"/>
        <v>0</v>
      </c>
      <c r="T165" s="83">
        <f t="shared" si="62"/>
        <v>1329.2307692307693</v>
      </c>
      <c r="U165" s="84">
        <f t="shared" si="63"/>
        <v>0</v>
      </c>
      <c r="V165" s="84">
        <f t="shared" si="64"/>
        <v>0</v>
      </c>
      <c r="W165" s="84">
        <v>0</v>
      </c>
      <c r="X165" s="55">
        <f t="shared" si="65"/>
        <v>46153</v>
      </c>
    </row>
    <row r="166" spans="1:24" hidden="1" x14ac:dyDescent="0.35">
      <c r="A166" s="46">
        <f t="shared" si="66"/>
        <v>46153</v>
      </c>
      <c r="B166" s="46"/>
      <c r="C166" s="260"/>
      <c r="D166" s="46"/>
      <c r="E166" s="47" t="s">
        <v>4502</v>
      </c>
      <c r="F166" s="57" t="s">
        <v>104</v>
      </c>
      <c r="G166" s="57"/>
      <c r="H166" s="49" t="s">
        <v>4503</v>
      </c>
      <c r="I166" s="82" t="s">
        <v>4496</v>
      </c>
      <c r="J166" s="100"/>
      <c r="K166" s="52">
        <v>0</v>
      </c>
      <c r="L166" s="52">
        <v>0</v>
      </c>
      <c r="M166" s="53">
        <v>60</v>
      </c>
      <c r="N166" s="53">
        <v>7000</v>
      </c>
      <c r="O166" s="53">
        <v>1</v>
      </c>
      <c r="P166" s="53">
        <f t="shared" ref="P166:P176" si="67">N166/O166</f>
        <v>7000</v>
      </c>
      <c r="Q166" s="53"/>
      <c r="R166" s="53">
        <v>7000</v>
      </c>
      <c r="S166" s="53">
        <f t="shared" si="61"/>
        <v>0</v>
      </c>
      <c r="T166" s="83">
        <f t="shared" si="62"/>
        <v>1440</v>
      </c>
      <c r="U166" s="84">
        <f t="shared" si="63"/>
        <v>0</v>
      </c>
      <c r="V166" s="84">
        <f t="shared" si="64"/>
        <v>0</v>
      </c>
      <c r="W166" s="84">
        <v>0</v>
      </c>
      <c r="X166" s="55">
        <f t="shared" si="65"/>
        <v>46153</v>
      </c>
    </row>
    <row r="167" spans="1:24" hidden="1" x14ac:dyDescent="0.35">
      <c r="A167" s="46">
        <f t="shared" si="66"/>
        <v>46153</v>
      </c>
      <c r="B167" s="46"/>
      <c r="C167" s="260"/>
      <c r="D167" s="46"/>
      <c r="E167" s="47" t="s">
        <v>4502</v>
      </c>
      <c r="F167" s="48" t="s">
        <v>414</v>
      </c>
      <c r="G167" s="48"/>
      <c r="H167" s="49" t="s">
        <v>4504</v>
      </c>
      <c r="I167" s="82" t="s">
        <v>4505</v>
      </c>
      <c r="J167" s="100"/>
      <c r="K167" s="52">
        <v>0</v>
      </c>
      <c r="L167" s="52">
        <v>0</v>
      </c>
      <c r="M167" s="53">
        <v>60</v>
      </c>
      <c r="N167" s="53">
        <v>1500</v>
      </c>
      <c r="O167" s="53">
        <v>2</v>
      </c>
      <c r="P167" s="53">
        <f t="shared" si="67"/>
        <v>750</v>
      </c>
      <c r="Q167" s="53"/>
      <c r="R167" s="83">
        <v>750</v>
      </c>
      <c r="S167" s="53">
        <f t="shared" si="61"/>
        <v>0</v>
      </c>
      <c r="T167" s="83">
        <f t="shared" si="62"/>
        <v>2880</v>
      </c>
      <c r="U167" s="84">
        <f t="shared" si="63"/>
        <v>0</v>
      </c>
      <c r="V167" s="84">
        <f t="shared" si="64"/>
        <v>0</v>
      </c>
      <c r="W167" s="84">
        <v>0</v>
      </c>
      <c r="X167" s="55">
        <f t="shared" si="65"/>
        <v>46153</v>
      </c>
    </row>
    <row r="168" spans="1:24" hidden="1" x14ac:dyDescent="0.35">
      <c r="A168" s="46">
        <f t="shared" si="66"/>
        <v>46153</v>
      </c>
      <c r="B168" s="46"/>
      <c r="C168" s="260"/>
      <c r="D168" s="46"/>
      <c r="E168" s="47" t="s">
        <v>4321</v>
      </c>
      <c r="F168" s="48" t="s">
        <v>113</v>
      </c>
      <c r="G168" s="48"/>
      <c r="H168" s="49" t="s">
        <v>4506</v>
      </c>
      <c r="I168" s="82" t="s">
        <v>4481</v>
      </c>
      <c r="J168" s="100"/>
      <c r="K168" s="52">
        <v>0</v>
      </c>
      <c r="L168" s="52">
        <v>0</v>
      </c>
      <c r="M168" s="53">
        <v>45</v>
      </c>
      <c r="N168" s="53">
        <v>2500</v>
      </c>
      <c r="O168" s="53">
        <v>1</v>
      </c>
      <c r="P168" s="53">
        <f t="shared" si="67"/>
        <v>2500</v>
      </c>
      <c r="Q168" s="53"/>
      <c r="R168" s="53">
        <v>2500</v>
      </c>
      <c r="S168" s="53">
        <f t="shared" si="61"/>
        <v>0</v>
      </c>
      <c r="T168" s="83">
        <f t="shared" si="62"/>
        <v>1920</v>
      </c>
      <c r="U168" s="84">
        <f t="shared" si="63"/>
        <v>0</v>
      </c>
      <c r="V168" s="84">
        <f t="shared" si="64"/>
        <v>0</v>
      </c>
      <c r="W168" s="84">
        <v>0</v>
      </c>
      <c r="X168" s="55">
        <f t="shared" si="65"/>
        <v>46153</v>
      </c>
    </row>
    <row r="169" spans="1:24" hidden="1" x14ac:dyDescent="0.35">
      <c r="A169" s="46">
        <f t="shared" si="66"/>
        <v>46153</v>
      </c>
      <c r="B169" s="46"/>
      <c r="C169" s="260"/>
      <c r="D169" s="46"/>
      <c r="E169" s="47" t="s">
        <v>4321</v>
      </c>
      <c r="F169" s="48" t="s">
        <v>4507</v>
      </c>
      <c r="G169" s="48"/>
      <c r="H169" s="49" t="s">
        <v>4508</v>
      </c>
      <c r="I169" s="82" t="s">
        <v>4481</v>
      </c>
      <c r="J169" s="100"/>
      <c r="K169" s="52">
        <v>0</v>
      </c>
      <c r="L169" s="52">
        <v>0</v>
      </c>
      <c r="M169" s="53">
        <v>45</v>
      </c>
      <c r="N169" s="53">
        <v>4000</v>
      </c>
      <c r="O169" s="53">
        <v>1</v>
      </c>
      <c r="P169" s="53">
        <f t="shared" si="67"/>
        <v>4000</v>
      </c>
      <c r="Q169" s="53"/>
      <c r="R169" s="53">
        <v>4000</v>
      </c>
      <c r="S169" s="53">
        <f t="shared" si="61"/>
        <v>0</v>
      </c>
      <c r="T169" s="83">
        <f t="shared" si="62"/>
        <v>1920</v>
      </c>
      <c r="U169" s="84">
        <f t="shared" si="63"/>
        <v>0</v>
      </c>
      <c r="V169" s="84">
        <f t="shared" si="64"/>
        <v>0</v>
      </c>
      <c r="W169" s="84">
        <v>0</v>
      </c>
      <c r="X169" s="55">
        <f t="shared" si="65"/>
        <v>46153</v>
      </c>
    </row>
    <row r="170" spans="1:24" hidden="1" x14ac:dyDescent="0.35">
      <c r="A170" s="46">
        <f t="shared" si="66"/>
        <v>46153</v>
      </c>
      <c r="B170" s="46"/>
      <c r="C170" s="260"/>
      <c r="D170" s="46"/>
      <c r="E170" s="47" t="s">
        <v>4321</v>
      </c>
      <c r="F170" s="48" t="s">
        <v>4507</v>
      </c>
      <c r="G170" s="48"/>
      <c r="H170" s="216" t="s">
        <v>4509</v>
      </c>
      <c r="I170" s="82" t="s">
        <v>4481</v>
      </c>
      <c r="J170" s="100"/>
      <c r="K170" s="52">
        <v>0</v>
      </c>
      <c r="L170" s="52">
        <v>0</v>
      </c>
      <c r="M170" s="53">
        <v>45</v>
      </c>
      <c r="N170" s="53">
        <v>4000</v>
      </c>
      <c r="O170" s="53">
        <v>1</v>
      </c>
      <c r="P170" s="53">
        <f t="shared" si="67"/>
        <v>4000</v>
      </c>
      <c r="Q170" s="53"/>
      <c r="R170" s="53">
        <v>4000</v>
      </c>
      <c r="S170" s="53">
        <f t="shared" si="61"/>
        <v>0</v>
      </c>
      <c r="T170" s="83">
        <f t="shared" si="62"/>
        <v>1920</v>
      </c>
      <c r="U170" s="84">
        <f t="shared" si="63"/>
        <v>0</v>
      </c>
      <c r="V170" s="84">
        <f t="shared" si="64"/>
        <v>0</v>
      </c>
      <c r="W170" s="84">
        <v>0</v>
      </c>
      <c r="X170" s="55">
        <f t="shared" si="65"/>
        <v>46153</v>
      </c>
    </row>
    <row r="171" spans="1:24" hidden="1" x14ac:dyDescent="0.35">
      <c r="A171" s="46">
        <f t="shared" si="66"/>
        <v>46153</v>
      </c>
      <c r="B171" s="46"/>
      <c r="C171" s="260"/>
      <c r="D171" s="46"/>
      <c r="E171" s="47" t="s">
        <v>4321</v>
      </c>
      <c r="F171" s="57" t="s">
        <v>4510</v>
      </c>
      <c r="G171" s="57"/>
      <c r="H171" s="49" t="s">
        <v>4511</v>
      </c>
      <c r="I171" s="82" t="s">
        <v>4512</v>
      </c>
      <c r="J171" s="100"/>
      <c r="K171" s="52">
        <v>0</v>
      </c>
      <c r="L171" s="52">
        <v>0</v>
      </c>
      <c r="M171" s="53">
        <v>60</v>
      </c>
      <c r="N171" s="53">
        <v>5000</v>
      </c>
      <c r="O171" s="53">
        <v>1</v>
      </c>
      <c r="P171" s="53">
        <f t="shared" si="67"/>
        <v>5000</v>
      </c>
      <c r="Q171" s="53"/>
      <c r="R171" s="53">
        <v>5000</v>
      </c>
      <c r="S171" s="53">
        <f t="shared" si="61"/>
        <v>0</v>
      </c>
      <c r="T171" s="83">
        <f t="shared" si="62"/>
        <v>1440</v>
      </c>
      <c r="U171" s="84">
        <f t="shared" si="63"/>
        <v>0</v>
      </c>
      <c r="V171" s="84">
        <f t="shared" si="64"/>
        <v>0</v>
      </c>
      <c r="W171" s="84">
        <v>0</v>
      </c>
      <c r="X171" s="55">
        <f t="shared" si="65"/>
        <v>46153</v>
      </c>
    </row>
    <row r="172" spans="1:24" hidden="1" x14ac:dyDescent="0.35">
      <c r="A172" s="46">
        <f t="shared" si="66"/>
        <v>46153</v>
      </c>
      <c r="B172" s="46"/>
      <c r="C172" s="260"/>
      <c r="D172" s="46"/>
      <c r="E172" s="47" t="str">
        <f>A148</f>
        <v xml:space="preserve">N2302 </v>
      </c>
      <c r="F172" s="542" t="s">
        <v>4513</v>
      </c>
      <c r="G172" s="542"/>
      <c r="H172" s="49" t="s">
        <v>4514</v>
      </c>
      <c r="I172" s="82" t="s">
        <v>4515</v>
      </c>
      <c r="J172" s="100" t="s">
        <v>140</v>
      </c>
      <c r="K172" s="52">
        <v>0</v>
      </c>
      <c r="L172" s="52">
        <v>0</v>
      </c>
      <c r="M172" s="53">
        <v>95</v>
      </c>
      <c r="N172" s="53">
        <v>6686</v>
      </c>
      <c r="O172" s="53">
        <v>2</v>
      </c>
      <c r="P172" s="53">
        <f t="shared" si="67"/>
        <v>3343</v>
      </c>
      <c r="Q172" s="53"/>
      <c r="R172" s="53">
        <v>3343</v>
      </c>
      <c r="S172" s="53">
        <f t="shared" si="61"/>
        <v>0</v>
      </c>
      <c r="T172" s="83">
        <f t="shared" si="62"/>
        <v>1818.9473684210525</v>
      </c>
      <c r="U172" s="84">
        <f t="shared" si="63"/>
        <v>0</v>
      </c>
      <c r="V172" s="84">
        <f t="shared" si="64"/>
        <v>0</v>
      </c>
      <c r="W172" s="84">
        <v>0</v>
      </c>
      <c r="X172" s="55">
        <f t="shared" si="65"/>
        <v>46153</v>
      </c>
    </row>
    <row r="173" spans="1:24" hidden="1" x14ac:dyDescent="0.35">
      <c r="A173" s="46">
        <f t="shared" si="66"/>
        <v>46153</v>
      </c>
      <c r="B173" s="46"/>
      <c r="C173" s="260"/>
      <c r="D173" s="46"/>
      <c r="E173" s="47" t="s">
        <v>4321</v>
      </c>
      <c r="F173" s="57" t="s">
        <v>4516</v>
      </c>
      <c r="G173" s="57"/>
      <c r="H173" s="49" t="s">
        <v>4517</v>
      </c>
      <c r="I173" s="85" t="s">
        <v>4484</v>
      </c>
      <c r="J173" s="100" t="s">
        <v>140</v>
      </c>
      <c r="K173" s="52">
        <v>0</v>
      </c>
      <c r="L173" s="52">
        <v>0</v>
      </c>
      <c r="M173" s="53">
        <v>90</v>
      </c>
      <c r="N173" s="53">
        <v>1000</v>
      </c>
      <c r="O173" s="53">
        <v>1</v>
      </c>
      <c r="P173" s="53">
        <f t="shared" si="67"/>
        <v>1000</v>
      </c>
      <c r="Q173" s="53"/>
      <c r="R173" s="83">
        <v>1000</v>
      </c>
      <c r="S173" s="53">
        <f t="shared" si="61"/>
        <v>0</v>
      </c>
      <c r="T173" s="83">
        <f t="shared" si="62"/>
        <v>960</v>
      </c>
      <c r="U173" s="84">
        <f t="shared" si="63"/>
        <v>0</v>
      </c>
      <c r="V173" s="84">
        <f t="shared" si="64"/>
        <v>0</v>
      </c>
      <c r="W173" s="84">
        <v>0</v>
      </c>
      <c r="X173" s="55">
        <f t="shared" si="65"/>
        <v>46153</v>
      </c>
    </row>
    <row r="174" spans="1:24" ht="29" hidden="1" x14ac:dyDescent="0.35">
      <c r="A174" s="46">
        <f t="shared" si="66"/>
        <v>46153</v>
      </c>
      <c r="B174" s="46"/>
      <c r="C174" s="260"/>
      <c r="D174" s="46"/>
      <c r="E174" s="47" t="s">
        <v>4321</v>
      </c>
      <c r="F174" s="48" t="s">
        <v>4518</v>
      </c>
      <c r="G174" s="48"/>
      <c r="H174" s="216" t="s">
        <v>4519</v>
      </c>
      <c r="I174" s="82" t="s">
        <v>4520</v>
      </c>
      <c r="J174" s="100" t="s">
        <v>140</v>
      </c>
      <c r="K174" s="52">
        <v>0</v>
      </c>
      <c r="L174" s="52">
        <v>0</v>
      </c>
      <c r="M174" s="53">
        <v>45</v>
      </c>
      <c r="N174" s="53">
        <v>4000</v>
      </c>
      <c r="O174" s="53">
        <v>1</v>
      </c>
      <c r="P174" s="53">
        <f t="shared" si="67"/>
        <v>4000</v>
      </c>
      <c r="Q174" s="53"/>
      <c r="R174" s="53">
        <v>4000</v>
      </c>
      <c r="S174" s="53">
        <f t="shared" si="61"/>
        <v>0</v>
      </c>
      <c r="T174" s="83">
        <f t="shared" si="62"/>
        <v>1920</v>
      </c>
      <c r="U174" s="84">
        <f t="shared" si="63"/>
        <v>0</v>
      </c>
      <c r="V174" s="84">
        <f t="shared" si="64"/>
        <v>0</v>
      </c>
      <c r="W174" s="84">
        <v>0</v>
      </c>
      <c r="X174" s="55">
        <f t="shared" si="65"/>
        <v>46153</v>
      </c>
    </row>
    <row r="175" spans="1:24" hidden="1" x14ac:dyDescent="0.35">
      <c r="A175" s="46">
        <f t="shared" si="66"/>
        <v>46153</v>
      </c>
      <c r="B175" s="46"/>
      <c r="C175" s="260"/>
      <c r="D175" s="46"/>
      <c r="E175" s="47" t="s">
        <v>1896</v>
      </c>
      <c r="F175" s="48" t="s">
        <v>1362</v>
      </c>
      <c r="G175" s="48"/>
      <c r="H175" s="59" t="s">
        <v>1362</v>
      </c>
      <c r="I175" s="82" t="s">
        <v>4521</v>
      </c>
      <c r="J175" s="100" t="s">
        <v>140</v>
      </c>
      <c r="K175" s="52">
        <v>0</v>
      </c>
      <c r="L175" s="52">
        <v>0</v>
      </c>
      <c r="M175" s="53">
        <v>90</v>
      </c>
      <c r="N175" s="53">
        <v>50</v>
      </c>
      <c r="O175" s="53">
        <v>1</v>
      </c>
      <c r="P175" s="53">
        <f t="shared" si="67"/>
        <v>50</v>
      </c>
      <c r="Q175" s="53"/>
      <c r="R175" s="83">
        <v>50</v>
      </c>
      <c r="S175" s="53">
        <f t="shared" si="61"/>
        <v>0</v>
      </c>
      <c r="T175" s="83">
        <f t="shared" si="62"/>
        <v>960</v>
      </c>
      <c r="U175" s="84">
        <f t="shared" si="63"/>
        <v>0</v>
      </c>
      <c r="V175" s="84">
        <f t="shared" si="64"/>
        <v>0</v>
      </c>
      <c r="W175" s="84">
        <v>0</v>
      </c>
      <c r="X175" s="55">
        <f t="shared" si="65"/>
        <v>46153</v>
      </c>
    </row>
    <row r="176" spans="1:24" hidden="1" x14ac:dyDescent="0.35">
      <c r="A176" s="46">
        <f t="shared" si="66"/>
        <v>46153</v>
      </c>
      <c r="B176" s="46"/>
      <c r="C176" s="260"/>
      <c r="D176" s="46"/>
      <c r="E176" s="47" t="s">
        <v>4321</v>
      </c>
      <c r="F176" s="48" t="s">
        <v>1362</v>
      </c>
      <c r="G176" s="48"/>
      <c r="H176" s="59" t="s">
        <v>1362</v>
      </c>
      <c r="I176" s="82" t="s">
        <v>4522</v>
      </c>
      <c r="J176" s="100" t="s">
        <v>140</v>
      </c>
      <c r="K176" s="52">
        <v>0</v>
      </c>
      <c r="L176" s="52">
        <v>0</v>
      </c>
      <c r="M176" s="53">
        <v>90</v>
      </c>
      <c r="N176" s="53">
        <v>50</v>
      </c>
      <c r="O176" s="53">
        <v>1</v>
      </c>
      <c r="P176" s="53">
        <f t="shared" si="67"/>
        <v>50</v>
      </c>
      <c r="Q176" s="53"/>
      <c r="R176" s="83">
        <v>50</v>
      </c>
      <c r="S176" s="53">
        <f t="shared" si="61"/>
        <v>0</v>
      </c>
      <c r="T176" s="83">
        <f t="shared" si="62"/>
        <v>960</v>
      </c>
      <c r="U176" s="84">
        <f t="shared" si="63"/>
        <v>0</v>
      </c>
      <c r="V176" s="84">
        <f t="shared" si="64"/>
        <v>0</v>
      </c>
      <c r="W176" s="84">
        <v>0</v>
      </c>
      <c r="X176" s="55">
        <f t="shared" si="65"/>
        <v>46153</v>
      </c>
    </row>
    <row r="177" spans="1:24" hidden="1" x14ac:dyDescent="0.35">
      <c r="A177" s="46">
        <f t="shared" si="66"/>
        <v>46153</v>
      </c>
      <c r="B177" s="46"/>
      <c r="C177" s="260"/>
      <c r="D177" s="46"/>
      <c r="E177" s="47" t="s">
        <v>4321</v>
      </c>
      <c r="F177" s="57" t="s">
        <v>1362</v>
      </c>
      <c r="G177" s="57"/>
      <c r="H177" s="849"/>
      <c r="I177" s="119" t="s">
        <v>4523</v>
      </c>
      <c r="J177" s="100"/>
      <c r="K177" s="52">
        <v>0</v>
      </c>
      <c r="L177" s="52">
        <v>0</v>
      </c>
      <c r="M177" s="53"/>
      <c r="N177" s="53"/>
      <c r="O177" s="53"/>
      <c r="P177" s="53"/>
      <c r="Q177" s="53"/>
      <c r="R177" s="53"/>
      <c r="S177" s="53"/>
      <c r="T177" s="83"/>
      <c r="U177" s="84"/>
      <c r="V177" s="84"/>
      <c r="W177" s="84"/>
      <c r="X177" s="55">
        <f t="shared" si="65"/>
        <v>46153</v>
      </c>
    </row>
    <row r="178" spans="1:24" hidden="1" x14ac:dyDescent="0.35">
      <c r="A178" s="46">
        <f t="shared" si="66"/>
        <v>46153</v>
      </c>
      <c r="B178" s="46"/>
      <c r="C178" s="260"/>
      <c r="D178" s="46"/>
      <c r="E178" s="47" t="s">
        <v>4321</v>
      </c>
      <c r="F178" s="48" t="s">
        <v>1031</v>
      </c>
      <c r="G178" s="48"/>
      <c r="H178" s="59" t="s">
        <v>4524</v>
      </c>
      <c r="I178" s="82" t="s">
        <v>4335</v>
      </c>
      <c r="J178" s="100" t="s">
        <v>140</v>
      </c>
      <c r="K178" s="52">
        <v>0</v>
      </c>
      <c r="L178" s="52">
        <v>0</v>
      </c>
      <c r="M178" s="83">
        <v>45</v>
      </c>
      <c r="N178" s="83">
        <v>3000</v>
      </c>
      <c r="O178" s="83">
        <v>1</v>
      </c>
      <c r="P178" s="83">
        <f t="shared" ref="P178:P188" si="68">N178/O178</f>
        <v>3000</v>
      </c>
      <c r="Q178" s="83"/>
      <c r="R178" s="83">
        <v>3000</v>
      </c>
      <c r="S178" s="83">
        <f t="shared" ref="S178:S241" si="69">P178-R178</f>
        <v>0</v>
      </c>
      <c r="T178" s="83">
        <f t="shared" ref="T178:T241" si="70">((3600/M178)*O178)*24</f>
        <v>1920</v>
      </c>
      <c r="U178" s="84">
        <f t="shared" ref="U178:U241" si="71">(P178-R178)*M178/3600</f>
        <v>0</v>
      </c>
      <c r="V178" s="84">
        <f t="shared" ref="V178:V241" si="72">(P178-R178)*M178/3600/24</f>
        <v>0</v>
      </c>
      <c r="W178" s="84">
        <v>0</v>
      </c>
      <c r="X178" s="55">
        <f t="shared" si="65"/>
        <v>46153</v>
      </c>
    </row>
    <row r="179" spans="1:24" hidden="1" x14ac:dyDescent="0.35">
      <c r="A179" s="46">
        <f t="shared" si="66"/>
        <v>46153</v>
      </c>
      <c r="B179" s="46"/>
      <c r="C179" s="260"/>
      <c r="D179" s="46"/>
      <c r="E179" s="47" t="s">
        <v>4321</v>
      </c>
      <c r="F179" s="48" t="s">
        <v>1362</v>
      </c>
      <c r="G179" s="48"/>
      <c r="H179" s="66" t="s">
        <v>4525</v>
      </c>
      <c r="I179" s="82" t="s">
        <v>4526</v>
      </c>
      <c r="J179" s="100" t="s">
        <v>140</v>
      </c>
      <c r="K179" s="52">
        <v>0</v>
      </c>
      <c r="L179" s="52">
        <v>0</v>
      </c>
      <c r="M179" s="53">
        <v>50</v>
      </c>
      <c r="N179" s="53">
        <v>20</v>
      </c>
      <c r="O179" s="53">
        <v>1</v>
      </c>
      <c r="P179" s="53">
        <f t="shared" si="68"/>
        <v>20</v>
      </c>
      <c r="Q179" s="53"/>
      <c r="R179" s="53">
        <v>20</v>
      </c>
      <c r="S179" s="53">
        <f t="shared" si="69"/>
        <v>0</v>
      </c>
      <c r="T179" s="83">
        <f t="shared" si="70"/>
        <v>1728</v>
      </c>
      <c r="U179" s="84">
        <f t="shared" si="71"/>
        <v>0</v>
      </c>
      <c r="V179" s="84">
        <f t="shared" si="72"/>
        <v>0</v>
      </c>
      <c r="W179" s="84">
        <v>0</v>
      </c>
      <c r="X179" s="55">
        <f t="shared" si="65"/>
        <v>46153</v>
      </c>
    </row>
    <row r="180" spans="1:24" hidden="1" x14ac:dyDescent="0.35">
      <c r="A180" s="46">
        <f t="shared" si="66"/>
        <v>46153</v>
      </c>
      <c r="B180" s="46"/>
      <c r="C180" s="260"/>
      <c r="D180" s="46"/>
      <c r="E180" s="47" t="s">
        <v>4321</v>
      </c>
      <c r="F180" s="48" t="s">
        <v>1362</v>
      </c>
      <c r="G180" s="48"/>
      <c r="H180" s="66" t="s">
        <v>4525</v>
      </c>
      <c r="I180" s="82" t="s">
        <v>4527</v>
      </c>
      <c r="J180" s="100" t="s">
        <v>140</v>
      </c>
      <c r="K180" s="52">
        <v>0</v>
      </c>
      <c r="L180" s="52">
        <v>0</v>
      </c>
      <c r="M180" s="53">
        <v>50</v>
      </c>
      <c r="N180" s="53">
        <v>20</v>
      </c>
      <c r="O180" s="53">
        <v>1</v>
      </c>
      <c r="P180" s="53">
        <f t="shared" si="68"/>
        <v>20</v>
      </c>
      <c r="Q180" s="53"/>
      <c r="R180" s="53">
        <v>20</v>
      </c>
      <c r="S180" s="53">
        <f t="shared" si="69"/>
        <v>0</v>
      </c>
      <c r="T180" s="83">
        <f t="shared" si="70"/>
        <v>1728</v>
      </c>
      <c r="U180" s="84">
        <f t="shared" si="71"/>
        <v>0</v>
      </c>
      <c r="V180" s="84">
        <f t="shared" si="72"/>
        <v>0</v>
      </c>
      <c r="W180" s="84">
        <v>0</v>
      </c>
      <c r="X180" s="55">
        <f t="shared" si="65"/>
        <v>46153</v>
      </c>
    </row>
    <row r="181" spans="1:24" hidden="1" x14ac:dyDescent="0.35">
      <c r="A181" s="46">
        <f t="shared" si="66"/>
        <v>46153</v>
      </c>
      <c r="B181" s="46"/>
      <c r="C181" s="260"/>
      <c r="D181" s="46"/>
      <c r="E181" s="47" t="s">
        <v>4321</v>
      </c>
      <c r="F181" s="48" t="s">
        <v>14</v>
      </c>
      <c r="G181" s="48"/>
      <c r="H181" s="66" t="s">
        <v>4528</v>
      </c>
      <c r="I181" s="82" t="s">
        <v>4529</v>
      </c>
      <c r="J181" s="100" t="s">
        <v>140</v>
      </c>
      <c r="K181" s="52">
        <v>0.25</v>
      </c>
      <c r="L181" s="52">
        <v>0.2</v>
      </c>
      <c r="M181" s="53">
        <v>50</v>
      </c>
      <c r="N181" s="53">
        <v>20</v>
      </c>
      <c r="O181" s="53">
        <v>1</v>
      </c>
      <c r="P181" s="53">
        <f t="shared" si="68"/>
        <v>20</v>
      </c>
      <c r="Q181" s="53"/>
      <c r="R181" s="53">
        <v>20</v>
      </c>
      <c r="S181" s="53">
        <f t="shared" si="69"/>
        <v>0</v>
      </c>
      <c r="T181" s="83">
        <f t="shared" si="70"/>
        <v>1728</v>
      </c>
      <c r="U181" s="84">
        <f t="shared" si="71"/>
        <v>0</v>
      </c>
      <c r="V181" s="84">
        <f t="shared" si="72"/>
        <v>0</v>
      </c>
      <c r="W181" s="84">
        <v>0</v>
      </c>
      <c r="X181" s="55">
        <f t="shared" si="65"/>
        <v>46153.45</v>
      </c>
    </row>
    <row r="182" spans="1:24" hidden="1" x14ac:dyDescent="0.35">
      <c r="A182" s="46">
        <f t="shared" si="66"/>
        <v>46153.45</v>
      </c>
      <c r="B182" s="46"/>
      <c r="C182" s="260"/>
      <c r="D182" s="46"/>
      <c r="E182" s="47" t="s">
        <v>4530</v>
      </c>
      <c r="F182" s="56" t="s">
        <v>4531</v>
      </c>
      <c r="G182" s="56"/>
      <c r="H182" s="49" t="s">
        <v>4532</v>
      </c>
      <c r="I182" s="99" t="s">
        <v>4533</v>
      </c>
      <c r="J182" s="100" t="s">
        <v>140</v>
      </c>
      <c r="K182" s="52">
        <v>0</v>
      </c>
      <c r="L182" s="52">
        <v>0</v>
      </c>
      <c r="M182" s="53">
        <v>60</v>
      </c>
      <c r="N182" s="53">
        <v>1000</v>
      </c>
      <c r="O182" s="53">
        <v>1</v>
      </c>
      <c r="P182" s="53">
        <f t="shared" si="68"/>
        <v>1000</v>
      </c>
      <c r="Q182" s="53"/>
      <c r="R182" s="53">
        <v>1000</v>
      </c>
      <c r="S182" s="53">
        <f t="shared" si="69"/>
        <v>0</v>
      </c>
      <c r="T182" s="83">
        <f t="shared" si="70"/>
        <v>1440</v>
      </c>
      <c r="U182" s="84">
        <f t="shared" si="71"/>
        <v>0</v>
      </c>
      <c r="V182" s="84">
        <f t="shared" si="72"/>
        <v>0</v>
      </c>
      <c r="W182" s="84">
        <v>0</v>
      </c>
      <c r="X182" s="55">
        <f t="shared" si="65"/>
        <v>46153.45</v>
      </c>
    </row>
    <row r="183" spans="1:24" ht="29" hidden="1" x14ac:dyDescent="0.35">
      <c r="A183" s="46">
        <f t="shared" si="66"/>
        <v>46153.45</v>
      </c>
      <c r="B183" s="46"/>
      <c r="C183" s="260"/>
      <c r="D183" s="46"/>
      <c r="E183" s="47" t="s">
        <v>4321</v>
      </c>
      <c r="F183" s="48" t="s">
        <v>1031</v>
      </c>
      <c r="G183" s="48"/>
      <c r="H183" s="59" t="s">
        <v>4534</v>
      </c>
      <c r="I183" s="85" t="s">
        <v>4535</v>
      </c>
      <c r="J183" s="100" t="s">
        <v>140</v>
      </c>
      <c r="K183" s="52">
        <v>0</v>
      </c>
      <c r="L183" s="52">
        <v>0</v>
      </c>
      <c r="M183" s="53">
        <v>60</v>
      </c>
      <c r="N183" s="53">
        <v>2000</v>
      </c>
      <c r="O183" s="53">
        <v>1</v>
      </c>
      <c r="P183" s="53">
        <f t="shared" si="68"/>
        <v>2000</v>
      </c>
      <c r="Q183" s="53"/>
      <c r="R183" s="83">
        <v>2000</v>
      </c>
      <c r="S183" s="53">
        <f t="shared" si="69"/>
        <v>0</v>
      </c>
      <c r="T183" s="83">
        <f t="shared" si="70"/>
        <v>1440</v>
      </c>
      <c r="U183" s="84">
        <f t="shared" si="71"/>
        <v>0</v>
      </c>
      <c r="V183" s="84">
        <f t="shared" si="72"/>
        <v>0</v>
      </c>
      <c r="W183" s="84">
        <v>0</v>
      </c>
      <c r="X183" s="55">
        <f t="shared" si="65"/>
        <v>46153.45</v>
      </c>
    </row>
    <row r="184" spans="1:24" ht="29" hidden="1" x14ac:dyDescent="0.35">
      <c r="A184" s="46">
        <f t="shared" si="66"/>
        <v>46153.45</v>
      </c>
      <c r="B184" s="46"/>
      <c r="C184" s="260"/>
      <c r="D184" s="46"/>
      <c r="E184" s="47" t="s">
        <v>4321</v>
      </c>
      <c r="F184" s="48" t="s">
        <v>511</v>
      </c>
      <c r="G184" s="48"/>
      <c r="H184" s="59" t="s">
        <v>4536</v>
      </c>
      <c r="I184" s="85" t="s">
        <v>4535</v>
      </c>
      <c r="J184" s="100" t="s">
        <v>140</v>
      </c>
      <c r="K184" s="52">
        <v>0</v>
      </c>
      <c r="L184" s="52">
        <v>0</v>
      </c>
      <c r="M184" s="53">
        <v>60</v>
      </c>
      <c r="N184" s="53">
        <v>4500</v>
      </c>
      <c r="O184" s="53">
        <v>1</v>
      </c>
      <c r="P184" s="53">
        <f t="shared" si="68"/>
        <v>4500</v>
      </c>
      <c r="Q184" s="53"/>
      <c r="R184" s="83">
        <v>4500</v>
      </c>
      <c r="S184" s="53">
        <f t="shared" si="69"/>
        <v>0</v>
      </c>
      <c r="T184" s="83">
        <f t="shared" si="70"/>
        <v>1440</v>
      </c>
      <c r="U184" s="84">
        <f t="shared" si="71"/>
        <v>0</v>
      </c>
      <c r="V184" s="84">
        <f t="shared" si="72"/>
        <v>0</v>
      </c>
      <c r="W184" s="84">
        <v>0</v>
      </c>
      <c r="X184" s="55">
        <f t="shared" si="65"/>
        <v>46153.45</v>
      </c>
    </row>
    <row r="185" spans="1:24" hidden="1" x14ac:dyDescent="0.35">
      <c r="A185" s="46">
        <f t="shared" si="66"/>
        <v>46153.45</v>
      </c>
      <c r="B185" s="46"/>
      <c r="C185" s="260"/>
      <c r="D185" s="46"/>
      <c r="E185" s="47" t="s">
        <v>4321</v>
      </c>
      <c r="F185" s="48" t="s">
        <v>511</v>
      </c>
      <c r="G185" s="48"/>
      <c r="H185" s="59" t="s">
        <v>4537</v>
      </c>
      <c r="I185" s="82" t="s">
        <v>4335</v>
      </c>
      <c r="J185" s="100" t="s">
        <v>140</v>
      </c>
      <c r="K185" s="52">
        <v>0</v>
      </c>
      <c r="L185" s="52">
        <v>0</v>
      </c>
      <c r="M185" s="83">
        <v>45</v>
      </c>
      <c r="N185" s="83">
        <v>2020</v>
      </c>
      <c r="O185" s="83">
        <v>1</v>
      </c>
      <c r="P185" s="83">
        <f t="shared" si="68"/>
        <v>2020</v>
      </c>
      <c r="Q185" s="83"/>
      <c r="R185" s="83">
        <v>2020</v>
      </c>
      <c r="S185" s="83">
        <f t="shared" si="69"/>
        <v>0</v>
      </c>
      <c r="T185" s="83">
        <f t="shared" si="70"/>
        <v>1920</v>
      </c>
      <c r="U185" s="84">
        <f t="shared" si="71"/>
        <v>0</v>
      </c>
      <c r="V185" s="84">
        <f t="shared" si="72"/>
        <v>0</v>
      </c>
      <c r="W185" s="84">
        <v>0</v>
      </c>
      <c r="X185" s="55">
        <f t="shared" si="65"/>
        <v>46153.45</v>
      </c>
    </row>
    <row r="186" spans="1:24" hidden="1" x14ac:dyDescent="0.35">
      <c r="A186" s="46">
        <f t="shared" si="66"/>
        <v>46153.45</v>
      </c>
      <c r="B186" s="46"/>
      <c r="C186" s="260"/>
      <c r="D186" s="46"/>
      <c r="E186" s="47" t="s">
        <v>4321</v>
      </c>
      <c r="F186" s="48" t="s">
        <v>534</v>
      </c>
      <c r="G186" s="48"/>
      <c r="H186" s="59" t="s">
        <v>4538</v>
      </c>
      <c r="I186" s="82" t="s">
        <v>4335</v>
      </c>
      <c r="J186" s="100" t="s">
        <v>140</v>
      </c>
      <c r="K186" s="52">
        <v>0</v>
      </c>
      <c r="L186" s="52">
        <v>0</v>
      </c>
      <c r="M186" s="83">
        <v>45</v>
      </c>
      <c r="N186" s="83">
        <v>1000</v>
      </c>
      <c r="O186" s="83">
        <v>1</v>
      </c>
      <c r="P186" s="83">
        <f t="shared" si="68"/>
        <v>1000</v>
      </c>
      <c r="Q186" s="83"/>
      <c r="R186" s="83">
        <v>1000</v>
      </c>
      <c r="S186" s="83">
        <f t="shared" si="69"/>
        <v>0</v>
      </c>
      <c r="T186" s="83">
        <f t="shared" si="70"/>
        <v>1920</v>
      </c>
      <c r="U186" s="84">
        <f t="shared" si="71"/>
        <v>0</v>
      </c>
      <c r="V186" s="84">
        <f t="shared" si="72"/>
        <v>0</v>
      </c>
      <c r="W186" s="84">
        <v>0</v>
      </c>
      <c r="X186" s="55">
        <f t="shared" si="65"/>
        <v>46153.45</v>
      </c>
    </row>
    <row r="187" spans="1:24" ht="26.5" hidden="1" x14ac:dyDescent="0.35">
      <c r="A187" s="46">
        <f t="shared" si="66"/>
        <v>46153.45</v>
      </c>
      <c r="B187" s="46"/>
      <c r="C187" s="260"/>
      <c r="D187" s="46"/>
      <c r="E187" s="47" t="s">
        <v>4321</v>
      </c>
      <c r="F187" s="48" t="s">
        <v>534</v>
      </c>
      <c r="G187" s="48"/>
      <c r="H187" s="59" t="s">
        <v>4539</v>
      </c>
      <c r="I187" s="85" t="s">
        <v>4535</v>
      </c>
      <c r="J187" s="100" t="s">
        <v>140</v>
      </c>
      <c r="K187" s="52">
        <v>0</v>
      </c>
      <c r="L187" s="52">
        <v>0</v>
      </c>
      <c r="M187" s="53">
        <v>60</v>
      </c>
      <c r="N187" s="53">
        <v>2000</v>
      </c>
      <c r="O187" s="53">
        <v>1</v>
      </c>
      <c r="P187" s="53">
        <f t="shared" si="68"/>
        <v>2000</v>
      </c>
      <c r="Q187" s="53"/>
      <c r="R187" s="83">
        <v>2000</v>
      </c>
      <c r="S187" s="53">
        <f t="shared" si="69"/>
        <v>0</v>
      </c>
      <c r="T187" s="83">
        <f t="shared" si="70"/>
        <v>1440</v>
      </c>
      <c r="U187" s="84">
        <f t="shared" si="71"/>
        <v>0</v>
      </c>
      <c r="V187" s="84">
        <f t="shared" si="72"/>
        <v>0</v>
      </c>
      <c r="W187" s="84">
        <v>0</v>
      </c>
      <c r="X187" s="55">
        <f t="shared" si="65"/>
        <v>46153.45</v>
      </c>
    </row>
    <row r="188" spans="1:24" ht="29" hidden="1" x14ac:dyDescent="0.35">
      <c r="A188" s="46">
        <f t="shared" si="66"/>
        <v>46153.45</v>
      </c>
      <c r="B188" s="46"/>
      <c r="C188" s="260"/>
      <c r="D188" s="46"/>
      <c r="E188" s="47" t="s">
        <v>4540</v>
      </c>
      <c r="F188" s="57" t="s">
        <v>4541</v>
      </c>
      <c r="G188" s="57"/>
      <c r="H188" s="49" t="s">
        <v>4542</v>
      </c>
      <c r="I188" s="82" t="s">
        <v>4515</v>
      </c>
      <c r="J188" s="100" t="s">
        <v>140</v>
      </c>
      <c r="K188" s="52">
        <v>0</v>
      </c>
      <c r="L188" s="52">
        <v>0</v>
      </c>
      <c r="M188" s="53">
        <v>95</v>
      </c>
      <c r="N188" s="53">
        <v>14000</v>
      </c>
      <c r="O188" s="53">
        <v>2</v>
      </c>
      <c r="P188" s="53">
        <f t="shared" si="68"/>
        <v>7000</v>
      </c>
      <c r="Q188" s="53"/>
      <c r="R188" s="53">
        <v>7000</v>
      </c>
      <c r="S188" s="53">
        <f t="shared" si="69"/>
        <v>0</v>
      </c>
      <c r="T188" s="83">
        <f t="shared" si="70"/>
        <v>1818.9473684210525</v>
      </c>
      <c r="U188" s="84">
        <f t="shared" si="71"/>
        <v>0</v>
      </c>
      <c r="V188" s="84">
        <f t="shared" si="72"/>
        <v>0</v>
      </c>
      <c r="W188" s="84">
        <v>0</v>
      </c>
      <c r="X188" s="55">
        <f t="shared" si="65"/>
        <v>46153.45</v>
      </c>
    </row>
    <row r="189" spans="1:24" hidden="1" x14ac:dyDescent="0.35">
      <c r="A189" s="46">
        <f t="shared" si="66"/>
        <v>46153.45</v>
      </c>
      <c r="B189" s="46"/>
      <c r="C189" s="260"/>
      <c r="D189" s="46"/>
      <c r="E189" s="296" t="s">
        <v>4321</v>
      </c>
      <c r="F189" s="397" t="s">
        <v>1362</v>
      </c>
      <c r="G189" s="397"/>
      <c r="H189" s="850" t="s">
        <v>14</v>
      </c>
      <c r="I189" s="683"/>
      <c r="J189" s="300" t="s">
        <v>140</v>
      </c>
      <c r="K189" s="399">
        <v>0</v>
      </c>
      <c r="L189" s="399">
        <v>0</v>
      </c>
      <c r="M189" s="400">
        <v>120</v>
      </c>
      <c r="N189" s="400">
        <v>50</v>
      </c>
      <c r="O189" s="400">
        <v>1</v>
      </c>
      <c r="P189" s="400">
        <v>50</v>
      </c>
      <c r="Q189" s="400"/>
      <c r="R189" s="400">
        <v>50</v>
      </c>
      <c r="S189" s="400">
        <f t="shared" si="69"/>
        <v>0</v>
      </c>
      <c r="T189" s="579">
        <f t="shared" si="70"/>
        <v>720</v>
      </c>
      <c r="U189" s="583">
        <f t="shared" si="71"/>
        <v>0</v>
      </c>
      <c r="V189" s="583">
        <f t="shared" si="72"/>
        <v>0</v>
      </c>
      <c r="W189" s="583">
        <v>0</v>
      </c>
      <c r="X189" s="55">
        <f t="shared" si="65"/>
        <v>46153.45</v>
      </c>
    </row>
    <row r="190" spans="1:24" hidden="1" x14ac:dyDescent="0.35">
      <c r="A190" s="46">
        <f t="shared" si="66"/>
        <v>46153.45</v>
      </c>
      <c r="B190" s="46"/>
      <c r="C190" s="260"/>
      <c r="D190" s="46"/>
      <c r="E190" s="47" t="s">
        <v>4321</v>
      </c>
      <c r="F190" s="57" t="s">
        <v>4543</v>
      </c>
      <c r="G190" s="57"/>
      <c r="H190" s="49" t="s">
        <v>4544</v>
      </c>
      <c r="I190" s="85" t="s">
        <v>4332</v>
      </c>
      <c r="J190" s="100" t="s">
        <v>140</v>
      </c>
      <c r="K190" s="52">
        <v>0</v>
      </c>
      <c r="L190" s="52">
        <v>0</v>
      </c>
      <c r="M190" s="53">
        <v>90</v>
      </c>
      <c r="N190" s="53">
        <v>1000</v>
      </c>
      <c r="O190" s="53">
        <v>1</v>
      </c>
      <c r="P190" s="53">
        <f t="shared" ref="P190:P253" si="73">N190/O190</f>
        <v>1000</v>
      </c>
      <c r="Q190" s="53"/>
      <c r="R190" s="83">
        <v>1000</v>
      </c>
      <c r="S190" s="53">
        <f t="shared" si="69"/>
        <v>0</v>
      </c>
      <c r="T190" s="83">
        <f t="shared" si="70"/>
        <v>960</v>
      </c>
      <c r="U190" s="84">
        <f t="shared" si="71"/>
        <v>0</v>
      </c>
      <c r="V190" s="84">
        <f t="shared" si="72"/>
        <v>0</v>
      </c>
      <c r="W190" s="84">
        <v>0</v>
      </c>
      <c r="X190" s="55">
        <f t="shared" si="65"/>
        <v>46153.45</v>
      </c>
    </row>
    <row r="191" spans="1:24" hidden="1" x14ac:dyDescent="0.35">
      <c r="A191" s="46">
        <f t="shared" si="66"/>
        <v>46153.45</v>
      </c>
      <c r="B191" s="46"/>
      <c r="C191" s="260"/>
      <c r="D191" s="46"/>
      <c r="E191" s="47" t="s">
        <v>4321</v>
      </c>
      <c r="F191" s="57" t="s">
        <v>4543</v>
      </c>
      <c r="G191" s="57"/>
      <c r="H191" s="49" t="s">
        <v>4545</v>
      </c>
      <c r="I191" s="85" t="s">
        <v>4484</v>
      </c>
      <c r="J191" s="100" t="s">
        <v>140</v>
      </c>
      <c r="K191" s="52">
        <v>0</v>
      </c>
      <c r="L191" s="52">
        <v>0</v>
      </c>
      <c r="M191" s="53">
        <v>90</v>
      </c>
      <c r="N191" s="53">
        <v>500</v>
      </c>
      <c r="O191" s="53">
        <v>1</v>
      </c>
      <c r="P191" s="53">
        <f t="shared" si="73"/>
        <v>500</v>
      </c>
      <c r="Q191" s="53"/>
      <c r="R191" s="83">
        <v>500</v>
      </c>
      <c r="S191" s="53">
        <f t="shared" si="69"/>
        <v>0</v>
      </c>
      <c r="T191" s="83">
        <f t="shared" si="70"/>
        <v>960</v>
      </c>
      <c r="U191" s="84">
        <f t="shared" si="71"/>
        <v>0</v>
      </c>
      <c r="V191" s="84">
        <f t="shared" si="72"/>
        <v>0</v>
      </c>
      <c r="W191" s="84">
        <v>0</v>
      </c>
      <c r="X191" s="55">
        <f t="shared" si="65"/>
        <v>46153.45</v>
      </c>
    </row>
    <row r="192" spans="1:24" ht="29" hidden="1" x14ac:dyDescent="0.35">
      <c r="A192" s="46">
        <f t="shared" si="66"/>
        <v>46153.45</v>
      </c>
      <c r="B192" s="46"/>
      <c r="C192" s="260"/>
      <c r="D192" s="46"/>
      <c r="E192" s="47" t="s">
        <v>4540</v>
      </c>
      <c r="F192" s="57" t="s">
        <v>1084</v>
      </c>
      <c r="G192" s="57"/>
      <c r="H192" s="49" t="s">
        <v>4546</v>
      </c>
      <c r="I192" s="82" t="s">
        <v>4515</v>
      </c>
      <c r="J192" s="100" t="s">
        <v>140</v>
      </c>
      <c r="K192" s="52">
        <v>0</v>
      </c>
      <c r="L192" s="52">
        <v>0</v>
      </c>
      <c r="M192" s="53">
        <v>95</v>
      </c>
      <c r="N192" s="53">
        <v>4060</v>
      </c>
      <c r="O192" s="53">
        <v>2</v>
      </c>
      <c r="P192" s="53">
        <f t="shared" si="73"/>
        <v>2030</v>
      </c>
      <c r="Q192" s="53"/>
      <c r="R192" s="53">
        <v>2030</v>
      </c>
      <c r="S192" s="53">
        <f t="shared" si="69"/>
        <v>0</v>
      </c>
      <c r="T192" s="83">
        <f t="shared" si="70"/>
        <v>1818.9473684210525</v>
      </c>
      <c r="U192" s="84">
        <f t="shared" si="71"/>
        <v>0</v>
      </c>
      <c r="V192" s="84">
        <f t="shared" si="72"/>
        <v>0</v>
      </c>
      <c r="W192" s="84">
        <v>0</v>
      </c>
      <c r="X192" s="55">
        <f t="shared" si="65"/>
        <v>46153.45</v>
      </c>
    </row>
    <row r="193" spans="1:24" hidden="1" x14ac:dyDescent="0.35">
      <c r="A193" s="46">
        <f t="shared" si="66"/>
        <v>46153.45</v>
      </c>
      <c r="B193" s="46"/>
      <c r="C193" s="260"/>
      <c r="D193" s="46"/>
      <c r="E193" s="47" t="s">
        <v>4540</v>
      </c>
      <c r="F193" s="48" t="s">
        <v>4547</v>
      </c>
      <c r="G193" s="48"/>
      <c r="H193" s="49" t="s">
        <v>4548</v>
      </c>
      <c r="I193" s="82" t="s">
        <v>4515</v>
      </c>
      <c r="J193" s="100" t="s">
        <v>140</v>
      </c>
      <c r="K193" s="52">
        <v>0</v>
      </c>
      <c r="L193" s="52">
        <v>0</v>
      </c>
      <c r="M193" s="53">
        <v>95</v>
      </c>
      <c r="N193" s="53">
        <v>8000</v>
      </c>
      <c r="O193" s="53">
        <v>2</v>
      </c>
      <c r="P193" s="53">
        <f t="shared" si="73"/>
        <v>4000</v>
      </c>
      <c r="Q193" s="53"/>
      <c r="R193" s="53">
        <v>4000</v>
      </c>
      <c r="S193" s="53">
        <f t="shared" si="69"/>
        <v>0</v>
      </c>
      <c r="T193" s="83">
        <f t="shared" si="70"/>
        <v>1818.9473684210525</v>
      </c>
      <c r="U193" s="84">
        <f t="shared" si="71"/>
        <v>0</v>
      </c>
      <c r="V193" s="84">
        <f t="shared" si="72"/>
        <v>0</v>
      </c>
      <c r="W193" s="84">
        <v>0</v>
      </c>
      <c r="X193" s="55">
        <f t="shared" si="65"/>
        <v>46153.45</v>
      </c>
    </row>
    <row r="194" spans="1:24" ht="15" hidden="1" customHeight="1" x14ac:dyDescent="0.35">
      <c r="A194" s="46">
        <f t="shared" si="66"/>
        <v>46153.45</v>
      </c>
      <c r="B194" s="46"/>
      <c r="C194" s="260"/>
      <c r="D194" s="46"/>
      <c r="E194" s="47" t="s">
        <v>4321</v>
      </c>
      <c r="F194" s="48" t="s">
        <v>557</v>
      </c>
      <c r="G194" s="48"/>
      <c r="H194" s="59" t="s">
        <v>4549</v>
      </c>
      <c r="I194" s="82" t="s">
        <v>4335</v>
      </c>
      <c r="J194" s="100" t="s">
        <v>140</v>
      </c>
      <c r="K194" s="52">
        <v>0</v>
      </c>
      <c r="L194" s="52">
        <v>0</v>
      </c>
      <c r="M194" s="83">
        <v>45</v>
      </c>
      <c r="N194" s="83">
        <v>3000</v>
      </c>
      <c r="O194" s="83">
        <v>1</v>
      </c>
      <c r="P194" s="83">
        <f t="shared" si="73"/>
        <v>3000</v>
      </c>
      <c r="Q194" s="83"/>
      <c r="R194" s="83">
        <v>3000</v>
      </c>
      <c r="S194" s="83">
        <f t="shared" si="69"/>
        <v>0</v>
      </c>
      <c r="T194" s="83">
        <f t="shared" si="70"/>
        <v>1920</v>
      </c>
      <c r="U194" s="84">
        <f t="shared" si="71"/>
        <v>0</v>
      </c>
      <c r="V194" s="84">
        <f t="shared" si="72"/>
        <v>0</v>
      </c>
      <c r="W194" s="84">
        <v>0</v>
      </c>
      <c r="X194" s="55">
        <f t="shared" si="65"/>
        <v>46153.45</v>
      </c>
    </row>
    <row r="195" spans="1:24" s="221" customFormat="1" ht="25" hidden="1" customHeight="1" x14ac:dyDescent="0.35">
      <c r="A195" s="46">
        <f t="shared" si="66"/>
        <v>46153.45</v>
      </c>
      <c r="B195" s="46"/>
      <c r="C195" s="260"/>
      <c r="D195" s="46"/>
      <c r="E195" s="47" t="s">
        <v>4395</v>
      </c>
      <c r="F195" s="56" t="s">
        <v>1738</v>
      </c>
      <c r="G195" s="56"/>
      <c r="H195" s="107" t="s">
        <v>4550</v>
      </c>
      <c r="I195" s="82" t="s">
        <v>4335</v>
      </c>
      <c r="J195" s="100" t="s">
        <v>140</v>
      </c>
      <c r="K195" s="91">
        <v>0</v>
      </c>
      <c r="L195" s="91">
        <v>0</v>
      </c>
      <c r="M195" s="92">
        <v>45</v>
      </c>
      <c r="N195" s="92">
        <v>600</v>
      </c>
      <c r="O195" s="92">
        <v>1</v>
      </c>
      <c r="P195" s="102">
        <f t="shared" si="73"/>
        <v>600</v>
      </c>
      <c r="Q195" s="102"/>
      <c r="R195" s="92">
        <v>600</v>
      </c>
      <c r="S195" s="92">
        <f t="shared" si="69"/>
        <v>0</v>
      </c>
      <c r="T195" s="102">
        <f t="shared" si="70"/>
        <v>1920</v>
      </c>
      <c r="U195" s="101">
        <f t="shared" si="71"/>
        <v>0</v>
      </c>
      <c r="V195" s="101">
        <f t="shared" si="72"/>
        <v>0</v>
      </c>
      <c r="W195" s="101">
        <v>0</v>
      </c>
      <c r="X195" s="55">
        <f t="shared" si="65"/>
        <v>46153.45</v>
      </c>
    </row>
    <row r="196" spans="1:24" s="221" customFormat="1" ht="25" hidden="1" customHeight="1" x14ac:dyDescent="0.35">
      <c r="A196" s="46">
        <f t="shared" si="66"/>
        <v>46153.45</v>
      </c>
      <c r="B196" s="46"/>
      <c r="C196" s="260"/>
      <c r="D196" s="46"/>
      <c r="E196" s="47" t="s">
        <v>4395</v>
      </c>
      <c r="F196" s="56" t="s">
        <v>4551</v>
      </c>
      <c r="G196" s="56"/>
      <c r="H196" s="107" t="s">
        <v>4552</v>
      </c>
      <c r="I196" s="82" t="s">
        <v>4335</v>
      </c>
      <c r="J196" s="100" t="s">
        <v>140</v>
      </c>
      <c r="K196" s="91">
        <v>0</v>
      </c>
      <c r="L196" s="91">
        <v>0</v>
      </c>
      <c r="M196" s="92">
        <v>45</v>
      </c>
      <c r="N196" s="92">
        <v>1400</v>
      </c>
      <c r="O196" s="92">
        <v>1</v>
      </c>
      <c r="P196" s="102">
        <f t="shared" si="73"/>
        <v>1400</v>
      </c>
      <c r="Q196" s="102"/>
      <c r="R196" s="92">
        <v>1400</v>
      </c>
      <c r="S196" s="92">
        <f t="shared" si="69"/>
        <v>0</v>
      </c>
      <c r="T196" s="102">
        <f t="shared" si="70"/>
        <v>1920</v>
      </c>
      <c r="U196" s="101">
        <f t="shared" si="71"/>
        <v>0</v>
      </c>
      <c r="V196" s="101">
        <f t="shared" si="72"/>
        <v>0</v>
      </c>
      <c r="W196" s="101">
        <v>0</v>
      </c>
      <c r="X196" s="55">
        <f t="shared" si="65"/>
        <v>46153.45</v>
      </c>
    </row>
    <row r="197" spans="1:24" hidden="1" x14ac:dyDescent="0.35">
      <c r="A197" s="46">
        <f t="shared" si="66"/>
        <v>46153.45</v>
      </c>
      <c r="B197" s="46"/>
      <c r="C197" s="260"/>
      <c r="D197" s="46"/>
      <c r="E197" s="47" t="s">
        <v>4321</v>
      </c>
      <c r="F197" s="97" t="s">
        <v>4553</v>
      </c>
      <c r="G197" s="97"/>
      <c r="H197" s="98" t="s">
        <v>4554</v>
      </c>
      <c r="I197" s="82" t="s">
        <v>4555</v>
      </c>
      <c r="J197" s="69" t="s">
        <v>140</v>
      </c>
      <c r="K197" s="91">
        <v>0</v>
      </c>
      <c r="L197" s="91">
        <v>0</v>
      </c>
      <c r="M197" s="92">
        <v>40</v>
      </c>
      <c r="N197" s="92">
        <v>3000</v>
      </c>
      <c r="O197" s="92">
        <v>1</v>
      </c>
      <c r="P197" s="92">
        <f t="shared" si="73"/>
        <v>3000</v>
      </c>
      <c r="Q197" s="92"/>
      <c r="R197" s="92">
        <v>3000</v>
      </c>
      <c r="S197" s="92">
        <f t="shared" si="69"/>
        <v>0</v>
      </c>
      <c r="T197" s="102">
        <f t="shared" si="70"/>
        <v>2160</v>
      </c>
      <c r="U197" s="101">
        <f t="shared" si="71"/>
        <v>0</v>
      </c>
      <c r="V197" s="101">
        <f t="shared" si="72"/>
        <v>0</v>
      </c>
      <c r="W197" s="101">
        <v>0</v>
      </c>
      <c r="X197" s="55">
        <f t="shared" si="65"/>
        <v>46153.45</v>
      </c>
    </row>
    <row r="198" spans="1:24" s="221" customFormat="1" hidden="1" x14ac:dyDescent="0.35">
      <c r="A198" s="46">
        <f t="shared" si="66"/>
        <v>46153.45</v>
      </c>
      <c r="B198" s="46"/>
      <c r="C198" s="260"/>
      <c r="D198" s="46"/>
      <c r="E198" s="47" t="s">
        <v>1896</v>
      </c>
      <c r="F198" s="82" t="s">
        <v>1372</v>
      </c>
      <c r="G198" s="82"/>
      <c r="H198" s="107" t="s">
        <v>4556</v>
      </c>
      <c r="I198" s="82" t="s">
        <v>4557</v>
      </c>
      <c r="J198" s="100" t="s">
        <v>140</v>
      </c>
      <c r="K198" s="91">
        <v>0</v>
      </c>
      <c r="L198" s="91">
        <v>0</v>
      </c>
      <c r="M198" s="92">
        <v>40</v>
      </c>
      <c r="N198" s="92">
        <v>8884</v>
      </c>
      <c r="O198" s="92">
        <v>1</v>
      </c>
      <c r="P198" s="92">
        <f t="shared" si="73"/>
        <v>8884</v>
      </c>
      <c r="Q198" s="92"/>
      <c r="R198" s="92">
        <v>8884</v>
      </c>
      <c r="S198" s="92">
        <f t="shared" si="69"/>
        <v>0</v>
      </c>
      <c r="T198" s="102">
        <f t="shared" si="70"/>
        <v>2160</v>
      </c>
      <c r="U198" s="101">
        <f t="shared" si="71"/>
        <v>0</v>
      </c>
      <c r="V198" s="101">
        <f t="shared" si="72"/>
        <v>0</v>
      </c>
      <c r="W198" s="101">
        <v>0</v>
      </c>
      <c r="X198" s="55">
        <f t="shared" si="65"/>
        <v>46153.45</v>
      </c>
    </row>
    <row r="199" spans="1:24" hidden="1" x14ac:dyDescent="0.35">
      <c r="A199" s="46">
        <f t="shared" si="66"/>
        <v>46153.45</v>
      </c>
      <c r="B199" s="46"/>
      <c r="C199" s="260"/>
      <c r="D199" s="46"/>
      <c r="E199" s="47" t="s">
        <v>4530</v>
      </c>
      <c r="F199" s="56" t="s">
        <v>4558</v>
      </c>
      <c r="G199" s="56"/>
      <c r="H199" s="49" t="s">
        <v>4559</v>
      </c>
      <c r="I199" s="99" t="s">
        <v>4533</v>
      </c>
      <c r="J199" s="100" t="s">
        <v>140</v>
      </c>
      <c r="K199" s="52">
        <v>0</v>
      </c>
      <c r="L199" s="52">
        <v>0</v>
      </c>
      <c r="M199" s="53">
        <v>60</v>
      </c>
      <c r="N199" s="53">
        <v>1000</v>
      </c>
      <c r="O199" s="53">
        <v>1</v>
      </c>
      <c r="P199" s="53">
        <f t="shared" si="73"/>
        <v>1000</v>
      </c>
      <c r="Q199" s="53"/>
      <c r="R199" s="53">
        <v>1000</v>
      </c>
      <c r="S199" s="53">
        <f t="shared" si="69"/>
        <v>0</v>
      </c>
      <c r="T199" s="83">
        <f t="shared" si="70"/>
        <v>1440</v>
      </c>
      <c r="U199" s="84">
        <f t="shared" si="71"/>
        <v>0</v>
      </c>
      <c r="V199" s="84">
        <f t="shared" si="72"/>
        <v>0</v>
      </c>
      <c r="W199" s="84">
        <v>0</v>
      </c>
      <c r="X199" s="55">
        <f t="shared" si="65"/>
        <v>46153.45</v>
      </c>
    </row>
    <row r="200" spans="1:24" hidden="1" x14ac:dyDescent="0.35">
      <c r="A200" s="46">
        <f t="shared" si="66"/>
        <v>46153.45</v>
      </c>
      <c r="B200" s="46"/>
      <c r="C200" s="260"/>
      <c r="D200" s="46"/>
      <c r="E200" s="47" t="s">
        <v>4530</v>
      </c>
      <c r="F200" s="56" t="s">
        <v>4558</v>
      </c>
      <c r="G200" s="56"/>
      <c r="H200" s="49" t="s">
        <v>4560</v>
      </c>
      <c r="I200" s="99" t="s">
        <v>4561</v>
      </c>
      <c r="J200" s="100" t="s">
        <v>140</v>
      </c>
      <c r="K200" s="52">
        <v>0</v>
      </c>
      <c r="L200" s="52">
        <v>0</v>
      </c>
      <c r="M200" s="53">
        <v>60</v>
      </c>
      <c r="N200" s="53">
        <v>1000</v>
      </c>
      <c r="O200" s="53">
        <v>1</v>
      </c>
      <c r="P200" s="53">
        <f t="shared" si="73"/>
        <v>1000</v>
      </c>
      <c r="Q200" s="53"/>
      <c r="R200" s="53">
        <v>1000</v>
      </c>
      <c r="S200" s="53">
        <f t="shared" si="69"/>
        <v>0</v>
      </c>
      <c r="T200" s="83">
        <f t="shared" si="70"/>
        <v>1440</v>
      </c>
      <c r="U200" s="84">
        <f t="shared" si="71"/>
        <v>0</v>
      </c>
      <c r="V200" s="84">
        <f t="shared" si="72"/>
        <v>0</v>
      </c>
      <c r="W200" s="84">
        <v>0</v>
      </c>
      <c r="X200" s="55">
        <f t="shared" si="65"/>
        <v>46153.45</v>
      </c>
    </row>
    <row r="201" spans="1:24" hidden="1" x14ac:dyDescent="0.35">
      <c r="A201" s="46">
        <f t="shared" si="66"/>
        <v>46153.45</v>
      </c>
      <c r="B201" s="46"/>
      <c r="C201" s="260"/>
      <c r="D201" s="46"/>
      <c r="E201" s="47" t="s">
        <v>1896</v>
      </c>
      <c r="F201" s="56" t="s">
        <v>1749</v>
      </c>
      <c r="G201" s="56"/>
      <c r="H201" s="107" t="s">
        <v>4562</v>
      </c>
      <c r="I201" s="82" t="s">
        <v>4335</v>
      </c>
      <c r="J201" s="100" t="s">
        <v>140</v>
      </c>
      <c r="K201" s="91">
        <v>0</v>
      </c>
      <c r="L201" s="91">
        <v>0</v>
      </c>
      <c r="M201" s="92">
        <v>45</v>
      </c>
      <c r="N201" s="92">
        <v>1200</v>
      </c>
      <c r="O201" s="92">
        <v>1</v>
      </c>
      <c r="P201" s="102">
        <f t="shared" si="73"/>
        <v>1200</v>
      </c>
      <c r="Q201" s="102"/>
      <c r="R201" s="92">
        <v>1200</v>
      </c>
      <c r="S201" s="92">
        <f t="shared" si="69"/>
        <v>0</v>
      </c>
      <c r="T201" s="102">
        <f t="shared" si="70"/>
        <v>1920</v>
      </c>
      <c r="U201" s="101">
        <f t="shared" si="71"/>
        <v>0</v>
      </c>
      <c r="V201" s="101">
        <f t="shared" si="72"/>
        <v>0</v>
      </c>
      <c r="W201" s="101">
        <v>0</v>
      </c>
      <c r="X201" s="55">
        <f t="shared" si="65"/>
        <v>46153.45</v>
      </c>
    </row>
    <row r="202" spans="1:24" hidden="1" x14ac:dyDescent="0.35">
      <c r="A202" s="46">
        <f t="shared" si="66"/>
        <v>46153.45</v>
      </c>
      <c r="B202" s="46"/>
      <c r="C202" s="260"/>
      <c r="D202" s="46"/>
      <c r="E202" s="47" t="s">
        <v>1896</v>
      </c>
      <c r="F202" s="56" t="s">
        <v>4563</v>
      </c>
      <c r="G202" s="56"/>
      <c r="H202" s="107" t="s">
        <v>4564</v>
      </c>
      <c r="I202" s="82" t="s">
        <v>4335</v>
      </c>
      <c r="J202" s="100" t="s">
        <v>140</v>
      </c>
      <c r="K202" s="91">
        <v>0</v>
      </c>
      <c r="L202" s="91">
        <v>0</v>
      </c>
      <c r="M202" s="92">
        <v>45</v>
      </c>
      <c r="N202" s="92">
        <v>1800</v>
      </c>
      <c r="O202" s="92">
        <v>1</v>
      </c>
      <c r="P202" s="102">
        <f t="shared" si="73"/>
        <v>1800</v>
      </c>
      <c r="Q202" s="102"/>
      <c r="R202" s="92">
        <v>1800</v>
      </c>
      <c r="S202" s="92">
        <f t="shared" si="69"/>
        <v>0</v>
      </c>
      <c r="T202" s="102">
        <f t="shared" si="70"/>
        <v>1920</v>
      </c>
      <c r="U202" s="101">
        <f t="shared" si="71"/>
        <v>0</v>
      </c>
      <c r="V202" s="101">
        <f t="shared" si="72"/>
        <v>0</v>
      </c>
      <c r="W202" s="101">
        <v>0</v>
      </c>
      <c r="X202" s="55">
        <f t="shared" si="65"/>
        <v>46153.45</v>
      </c>
    </row>
    <row r="203" spans="1:24" hidden="1" x14ac:dyDescent="0.35">
      <c r="A203" s="46">
        <f t="shared" si="66"/>
        <v>46153.45</v>
      </c>
      <c r="B203" s="46"/>
      <c r="C203" s="260"/>
      <c r="D203" s="46"/>
      <c r="E203" s="47" t="s">
        <v>1896</v>
      </c>
      <c r="F203" s="56" t="s">
        <v>610</v>
      </c>
      <c r="G203" s="56"/>
      <c r="H203" s="107" t="s">
        <v>4565</v>
      </c>
      <c r="I203" s="82" t="s">
        <v>4335</v>
      </c>
      <c r="J203" s="100" t="s">
        <v>140</v>
      </c>
      <c r="K203" s="91">
        <v>0</v>
      </c>
      <c r="L203" s="91">
        <v>0</v>
      </c>
      <c r="M203" s="92">
        <v>45</v>
      </c>
      <c r="N203" s="92">
        <v>1800</v>
      </c>
      <c r="O203" s="92">
        <v>1</v>
      </c>
      <c r="P203" s="102">
        <f t="shared" si="73"/>
        <v>1800</v>
      </c>
      <c r="Q203" s="102"/>
      <c r="R203" s="92">
        <v>1800</v>
      </c>
      <c r="S203" s="92">
        <f t="shared" si="69"/>
        <v>0</v>
      </c>
      <c r="T203" s="102">
        <f t="shared" si="70"/>
        <v>1920</v>
      </c>
      <c r="U203" s="101">
        <f t="shared" si="71"/>
        <v>0</v>
      </c>
      <c r="V203" s="101">
        <f t="shared" si="72"/>
        <v>0</v>
      </c>
      <c r="W203" s="101">
        <v>0</v>
      </c>
      <c r="X203" s="55">
        <f t="shared" si="65"/>
        <v>46153.45</v>
      </c>
    </row>
    <row r="204" spans="1:24" hidden="1" x14ac:dyDescent="0.35">
      <c r="A204" s="46">
        <f t="shared" si="66"/>
        <v>46153.45</v>
      </c>
      <c r="B204" s="46"/>
      <c r="C204" s="260"/>
      <c r="D204" s="46"/>
      <c r="E204" s="47" t="s">
        <v>1896</v>
      </c>
      <c r="F204" s="56" t="s">
        <v>612</v>
      </c>
      <c r="G204" s="56"/>
      <c r="H204" s="107" t="s">
        <v>4566</v>
      </c>
      <c r="I204" s="82" t="s">
        <v>4335</v>
      </c>
      <c r="J204" s="100" t="s">
        <v>140</v>
      </c>
      <c r="K204" s="91">
        <v>0</v>
      </c>
      <c r="L204" s="91">
        <v>0</v>
      </c>
      <c r="M204" s="92">
        <v>45</v>
      </c>
      <c r="N204" s="92">
        <v>500</v>
      </c>
      <c r="O204" s="92">
        <v>1</v>
      </c>
      <c r="P204" s="102">
        <f t="shared" si="73"/>
        <v>500</v>
      </c>
      <c r="Q204" s="102"/>
      <c r="R204" s="92">
        <v>500</v>
      </c>
      <c r="S204" s="92">
        <f t="shared" si="69"/>
        <v>0</v>
      </c>
      <c r="T204" s="102">
        <f t="shared" si="70"/>
        <v>1920</v>
      </c>
      <c r="U204" s="101">
        <f t="shared" si="71"/>
        <v>0</v>
      </c>
      <c r="V204" s="101">
        <f t="shared" si="72"/>
        <v>0</v>
      </c>
      <c r="W204" s="101">
        <v>0</v>
      </c>
      <c r="X204" s="55">
        <f t="shared" si="65"/>
        <v>46153.45</v>
      </c>
    </row>
    <row r="205" spans="1:24" hidden="1" x14ac:dyDescent="0.35">
      <c r="A205" s="46">
        <f t="shared" si="66"/>
        <v>46153.45</v>
      </c>
      <c r="B205" s="46"/>
      <c r="C205" s="260"/>
      <c r="D205" s="46"/>
      <c r="E205" s="47" t="s">
        <v>1896</v>
      </c>
      <c r="F205" s="99" t="s">
        <v>1166</v>
      </c>
      <c r="G205" s="99"/>
      <c r="H205" s="107" t="s">
        <v>4567</v>
      </c>
      <c r="I205" s="82" t="s">
        <v>4335</v>
      </c>
      <c r="J205" s="100" t="s">
        <v>140</v>
      </c>
      <c r="K205" s="91">
        <v>0</v>
      </c>
      <c r="L205" s="91">
        <v>0</v>
      </c>
      <c r="M205" s="92">
        <v>45</v>
      </c>
      <c r="N205" s="92">
        <v>1200</v>
      </c>
      <c r="O205" s="92">
        <v>1</v>
      </c>
      <c r="P205" s="102">
        <f t="shared" si="73"/>
        <v>1200</v>
      </c>
      <c r="Q205" s="102"/>
      <c r="R205" s="92">
        <v>1200</v>
      </c>
      <c r="S205" s="92">
        <f t="shared" si="69"/>
        <v>0</v>
      </c>
      <c r="T205" s="102">
        <f t="shared" si="70"/>
        <v>1920</v>
      </c>
      <c r="U205" s="101">
        <f t="shared" si="71"/>
        <v>0</v>
      </c>
      <c r="V205" s="101">
        <f t="shared" si="72"/>
        <v>0</v>
      </c>
      <c r="W205" s="101">
        <v>0</v>
      </c>
      <c r="X205" s="55">
        <f t="shared" si="65"/>
        <v>46153.45</v>
      </c>
    </row>
    <row r="206" spans="1:24" s="221" customFormat="1" hidden="1" x14ac:dyDescent="0.35">
      <c r="A206" s="46">
        <f t="shared" si="66"/>
        <v>46153.45</v>
      </c>
      <c r="B206" s="46"/>
      <c r="C206" s="260"/>
      <c r="D206" s="46"/>
      <c r="E206" s="47" t="s">
        <v>1896</v>
      </c>
      <c r="F206" s="82" t="s">
        <v>4568</v>
      </c>
      <c r="G206" s="82"/>
      <c r="H206" s="107" t="s">
        <v>4569</v>
      </c>
      <c r="I206" s="82" t="s">
        <v>4570</v>
      </c>
      <c r="J206" s="100" t="s">
        <v>140</v>
      </c>
      <c r="K206" s="91">
        <v>0</v>
      </c>
      <c r="L206" s="91">
        <v>0</v>
      </c>
      <c r="M206" s="92">
        <v>90</v>
      </c>
      <c r="N206" s="92">
        <v>1500</v>
      </c>
      <c r="O206" s="92">
        <v>1</v>
      </c>
      <c r="P206" s="92">
        <f t="shared" si="73"/>
        <v>1500</v>
      </c>
      <c r="Q206" s="92"/>
      <c r="R206" s="102">
        <v>1500</v>
      </c>
      <c r="S206" s="92">
        <f t="shared" si="69"/>
        <v>0</v>
      </c>
      <c r="T206" s="102">
        <f t="shared" si="70"/>
        <v>960</v>
      </c>
      <c r="U206" s="101">
        <f t="shared" si="71"/>
        <v>0</v>
      </c>
      <c r="V206" s="101">
        <f t="shared" si="72"/>
        <v>0</v>
      </c>
      <c r="W206" s="101">
        <v>0</v>
      </c>
      <c r="X206" s="55">
        <f t="shared" si="65"/>
        <v>46153.45</v>
      </c>
    </row>
    <row r="207" spans="1:24" hidden="1" x14ac:dyDescent="0.35">
      <c r="A207" s="46">
        <f t="shared" si="66"/>
        <v>46153.45</v>
      </c>
      <c r="B207" s="46"/>
      <c r="C207" s="260"/>
      <c r="D207" s="46"/>
      <c r="E207" s="47" t="s">
        <v>1896</v>
      </c>
      <c r="F207" s="48" t="s">
        <v>4571</v>
      </c>
      <c r="G207" s="48"/>
      <c r="H207" s="49" t="s">
        <v>4572</v>
      </c>
      <c r="I207" s="82" t="s">
        <v>4505</v>
      </c>
      <c r="J207" s="100" t="s">
        <v>140</v>
      </c>
      <c r="K207" s="52">
        <v>0</v>
      </c>
      <c r="L207" s="52">
        <v>0</v>
      </c>
      <c r="M207" s="53">
        <v>60</v>
      </c>
      <c r="N207" s="53">
        <v>1500</v>
      </c>
      <c r="O207" s="53">
        <v>2</v>
      </c>
      <c r="P207" s="53">
        <f t="shared" si="73"/>
        <v>750</v>
      </c>
      <c r="Q207" s="53"/>
      <c r="R207" s="83">
        <v>750</v>
      </c>
      <c r="S207" s="53">
        <f t="shared" si="69"/>
        <v>0</v>
      </c>
      <c r="T207" s="83">
        <f t="shared" si="70"/>
        <v>2880</v>
      </c>
      <c r="U207" s="84">
        <f t="shared" si="71"/>
        <v>0</v>
      </c>
      <c r="V207" s="84">
        <f t="shared" si="72"/>
        <v>0</v>
      </c>
      <c r="W207" s="84">
        <v>0</v>
      </c>
      <c r="X207" s="55">
        <f t="shared" si="65"/>
        <v>46153.45</v>
      </c>
    </row>
    <row r="208" spans="1:24" s="221" customFormat="1" ht="15.5" hidden="1" x14ac:dyDescent="0.35">
      <c r="A208" s="46">
        <f t="shared" si="66"/>
        <v>46153.45</v>
      </c>
      <c r="B208" s="46"/>
      <c r="C208" s="260"/>
      <c r="D208" s="46"/>
      <c r="E208" s="47" t="s">
        <v>1896</v>
      </c>
      <c r="F208" s="82" t="s">
        <v>4573</v>
      </c>
      <c r="G208" s="82"/>
      <c r="H208" s="107" t="s">
        <v>4574</v>
      </c>
      <c r="I208" s="82" t="s">
        <v>4575</v>
      </c>
      <c r="J208" s="100" t="s">
        <v>140</v>
      </c>
      <c r="K208" s="91">
        <v>0</v>
      </c>
      <c r="L208" s="91">
        <v>0</v>
      </c>
      <c r="M208" s="92">
        <v>50</v>
      </c>
      <c r="N208" s="92">
        <v>500</v>
      </c>
      <c r="O208" s="92">
        <v>2</v>
      </c>
      <c r="P208" s="92">
        <f t="shared" si="73"/>
        <v>250</v>
      </c>
      <c r="Q208" s="92"/>
      <c r="R208" s="102">
        <v>250</v>
      </c>
      <c r="S208" s="92">
        <f t="shared" si="69"/>
        <v>0</v>
      </c>
      <c r="T208" s="102">
        <f t="shared" si="70"/>
        <v>3456</v>
      </c>
      <c r="U208" s="101">
        <f t="shared" si="71"/>
        <v>0</v>
      </c>
      <c r="V208" s="101">
        <f t="shared" si="72"/>
        <v>0</v>
      </c>
      <c r="W208" s="101">
        <v>0</v>
      </c>
      <c r="X208" s="55">
        <f t="shared" si="65"/>
        <v>46153.45</v>
      </c>
    </row>
    <row r="209" spans="1:24" s="221" customFormat="1" hidden="1" x14ac:dyDescent="0.35">
      <c r="A209" s="46">
        <f t="shared" si="66"/>
        <v>46153.45</v>
      </c>
      <c r="B209" s="46"/>
      <c r="C209" s="260"/>
      <c r="D209" s="46"/>
      <c r="E209" s="47" t="s">
        <v>1896</v>
      </c>
      <c r="F209" s="99" t="s">
        <v>4328</v>
      </c>
      <c r="G209" s="99"/>
      <c r="H209" s="107" t="s">
        <v>4576</v>
      </c>
      <c r="I209" s="82" t="s">
        <v>4335</v>
      </c>
      <c r="J209" s="100" t="s">
        <v>140</v>
      </c>
      <c r="K209" s="91">
        <v>0</v>
      </c>
      <c r="L209" s="91">
        <v>0</v>
      </c>
      <c r="M209" s="92">
        <v>45</v>
      </c>
      <c r="N209" s="92">
        <v>1500</v>
      </c>
      <c r="O209" s="92">
        <v>1</v>
      </c>
      <c r="P209" s="102">
        <f t="shared" si="73"/>
        <v>1500</v>
      </c>
      <c r="Q209" s="102"/>
      <c r="R209" s="92">
        <v>1500</v>
      </c>
      <c r="S209" s="92">
        <f t="shared" si="69"/>
        <v>0</v>
      </c>
      <c r="T209" s="102">
        <f t="shared" si="70"/>
        <v>1920</v>
      </c>
      <c r="U209" s="101">
        <f t="shared" si="71"/>
        <v>0</v>
      </c>
      <c r="V209" s="101">
        <f t="shared" si="72"/>
        <v>0</v>
      </c>
      <c r="W209" s="101">
        <v>0</v>
      </c>
      <c r="X209" s="55">
        <f t="shared" si="65"/>
        <v>46153.45</v>
      </c>
    </row>
    <row r="210" spans="1:24" hidden="1" x14ac:dyDescent="0.35">
      <c r="A210" s="46">
        <f t="shared" si="66"/>
        <v>46153.45</v>
      </c>
      <c r="B210" s="46"/>
      <c r="C210" s="260"/>
      <c r="D210" s="46"/>
      <c r="E210" s="47" t="s">
        <v>1896</v>
      </c>
      <c r="F210" s="99" t="s">
        <v>1517</v>
      </c>
      <c r="G210" s="99"/>
      <c r="H210" s="107" t="s">
        <v>4577</v>
      </c>
      <c r="I210" s="82" t="s">
        <v>4335</v>
      </c>
      <c r="J210" s="100" t="s">
        <v>140</v>
      </c>
      <c r="K210" s="91">
        <v>0</v>
      </c>
      <c r="L210" s="91">
        <v>0</v>
      </c>
      <c r="M210" s="92">
        <v>45</v>
      </c>
      <c r="N210" s="92">
        <v>2500</v>
      </c>
      <c r="O210" s="92">
        <v>1</v>
      </c>
      <c r="P210" s="102">
        <f t="shared" si="73"/>
        <v>2500</v>
      </c>
      <c r="Q210" s="102"/>
      <c r="R210" s="92">
        <v>2500</v>
      </c>
      <c r="S210" s="92">
        <f t="shared" si="69"/>
        <v>0</v>
      </c>
      <c r="T210" s="102">
        <f t="shared" si="70"/>
        <v>1920</v>
      </c>
      <c r="U210" s="101">
        <f t="shared" si="71"/>
        <v>0</v>
      </c>
      <c r="V210" s="101">
        <f t="shared" si="72"/>
        <v>0</v>
      </c>
      <c r="W210" s="101">
        <v>0</v>
      </c>
      <c r="X210" s="55">
        <f t="shared" si="65"/>
        <v>46153.45</v>
      </c>
    </row>
    <row r="211" spans="1:24" hidden="1" x14ac:dyDescent="0.35">
      <c r="A211" s="46">
        <f t="shared" si="66"/>
        <v>46153.45</v>
      </c>
      <c r="B211" s="46"/>
      <c r="C211" s="260"/>
      <c r="D211" s="46"/>
      <c r="E211" s="47" t="s">
        <v>1896</v>
      </c>
      <c r="F211" s="97" t="s">
        <v>2115</v>
      </c>
      <c r="G211" s="97"/>
      <c r="H211" s="98" t="s">
        <v>4578</v>
      </c>
      <c r="I211" s="99" t="s">
        <v>4579</v>
      </c>
      <c r="J211" s="100" t="s">
        <v>140</v>
      </c>
      <c r="K211" s="101">
        <v>0</v>
      </c>
      <c r="L211" s="101">
        <v>0</v>
      </c>
      <c r="M211" s="102">
        <v>100</v>
      </c>
      <c r="N211" s="102">
        <v>21105</v>
      </c>
      <c r="O211" s="102">
        <v>1</v>
      </c>
      <c r="P211" s="102">
        <f t="shared" si="73"/>
        <v>21105</v>
      </c>
      <c r="Q211" s="102"/>
      <c r="R211" s="102">
        <v>21105</v>
      </c>
      <c r="S211" s="102">
        <f t="shared" si="69"/>
        <v>0</v>
      </c>
      <c r="T211" s="102">
        <f t="shared" si="70"/>
        <v>864</v>
      </c>
      <c r="U211" s="101">
        <f t="shared" si="71"/>
        <v>0</v>
      </c>
      <c r="V211" s="101">
        <f t="shared" si="72"/>
        <v>0</v>
      </c>
      <c r="W211" s="426">
        <v>0</v>
      </c>
      <c r="X211" s="55">
        <f t="shared" si="65"/>
        <v>46153.45</v>
      </c>
    </row>
    <row r="212" spans="1:24" hidden="1" x14ac:dyDescent="0.35">
      <c r="A212" s="46">
        <f t="shared" si="66"/>
        <v>46153.45</v>
      </c>
      <c r="B212" s="46"/>
      <c r="C212" s="260"/>
      <c r="D212" s="46"/>
      <c r="E212" s="47" t="s">
        <v>1896</v>
      </c>
      <c r="F212" s="851" t="s">
        <v>633</v>
      </c>
      <c r="G212" s="851"/>
      <c r="H212" s="107" t="s">
        <v>4580</v>
      </c>
      <c r="I212" s="100" t="s">
        <v>4363</v>
      </c>
      <c r="J212" s="100" t="s">
        <v>140</v>
      </c>
      <c r="K212" s="91">
        <v>0</v>
      </c>
      <c r="L212" s="91">
        <v>0</v>
      </c>
      <c r="M212" s="92">
        <v>15</v>
      </c>
      <c r="N212" s="92">
        <f>6000*19</f>
        <v>114000</v>
      </c>
      <c r="O212" s="92">
        <v>6</v>
      </c>
      <c r="P212" s="92">
        <f t="shared" si="73"/>
        <v>19000</v>
      </c>
      <c r="Q212" s="92"/>
      <c r="R212" s="92">
        <v>19000</v>
      </c>
      <c r="S212" s="92">
        <f t="shared" si="69"/>
        <v>0</v>
      </c>
      <c r="T212" s="102">
        <f t="shared" si="70"/>
        <v>34560</v>
      </c>
      <c r="U212" s="101">
        <f t="shared" si="71"/>
        <v>0</v>
      </c>
      <c r="V212" s="101">
        <f t="shared" si="72"/>
        <v>0</v>
      </c>
      <c r="W212" s="101">
        <v>0</v>
      </c>
      <c r="X212" s="55">
        <f t="shared" si="65"/>
        <v>46153.45</v>
      </c>
    </row>
    <row r="213" spans="1:24" hidden="1" x14ac:dyDescent="0.35">
      <c r="A213" s="46">
        <f t="shared" si="66"/>
        <v>46153.45</v>
      </c>
      <c r="B213" s="46"/>
      <c r="C213" s="260"/>
      <c r="D213" s="46"/>
      <c r="E213" s="47" t="s">
        <v>1896</v>
      </c>
      <c r="F213" s="851" t="s">
        <v>633</v>
      </c>
      <c r="G213" s="851"/>
      <c r="H213" s="107" t="s">
        <v>4581</v>
      </c>
      <c r="I213" s="100" t="s">
        <v>4363</v>
      </c>
      <c r="J213" s="100" t="s">
        <v>140</v>
      </c>
      <c r="K213" s="91">
        <v>0</v>
      </c>
      <c r="L213" s="91">
        <v>0</v>
      </c>
      <c r="M213" s="92">
        <v>34</v>
      </c>
      <c r="N213" s="92">
        <f>6000*20</f>
        <v>120000</v>
      </c>
      <c r="O213" s="92">
        <v>6</v>
      </c>
      <c r="P213" s="92">
        <f t="shared" si="73"/>
        <v>20000</v>
      </c>
      <c r="Q213" s="92"/>
      <c r="R213" s="92">
        <v>20000</v>
      </c>
      <c r="S213" s="92">
        <f t="shared" si="69"/>
        <v>0</v>
      </c>
      <c r="T213" s="102">
        <f t="shared" si="70"/>
        <v>15247.058823529411</v>
      </c>
      <c r="U213" s="101">
        <f t="shared" si="71"/>
        <v>0</v>
      </c>
      <c r="V213" s="101">
        <f t="shared" si="72"/>
        <v>0</v>
      </c>
      <c r="W213" s="101">
        <v>0</v>
      </c>
      <c r="X213" s="55">
        <f t="shared" ref="X213:X243" si="74">A213+K213+V213+W213+L213</f>
        <v>46153.45</v>
      </c>
    </row>
    <row r="214" spans="1:24" hidden="1" x14ac:dyDescent="0.35">
      <c r="A214" s="46">
        <f t="shared" ref="A214:A266" si="75">X213</f>
        <v>46153.45</v>
      </c>
      <c r="B214" s="46"/>
      <c r="C214" s="260"/>
      <c r="D214" s="46"/>
      <c r="E214" s="296" t="s">
        <v>1896</v>
      </c>
      <c r="F214" s="349" t="s">
        <v>1801</v>
      </c>
      <c r="G214" s="349"/>
      <c r="H214" s="349">
        <v>11590</v>
      </c>
      <c r="I214" s="297" t="s">
        <v>4582</v>
      </c>
      <c r="J214" s="351" t="s">
        <v>140</v>
      </c>
      <c r="K214" s="352">
        <v>0</v>
      </c>
      <c r="L214" s="352">
        <v>0</v>
      </c>
      <c r="M214" s="353">
        <v>50</v>
      </c>
      <c r="N214" s="353">
        <v>10080</v>
      </c>
      <c r="O214" s="353">
        <v>4</v>
      </c>
      <c r="P214" s="353">
        <f t="shared" si="73"/>
        <v>2520</v>
      </c>
      <c r="Q214" s="353"/>
      <c r="R214" s="353">
        <v>2520</v>
      </c>
      <c r="S214" s="353">
        <f t="shared" si="69"/>
        <v>0</v>
      </c>
      <c r="T214" s="353">
        <f t="shared" si="70"/>
        <v>6912</v>
      </c>
      <c r="U214" s="352">
        <f t="shared" si="71"/>
        <v>0</v>
      </c>
      <c r="V214" s="352">
        <f t="shared" si="72"/>
        <v>0</v>
      </c>
      <c r="W214" s="352">
        <v>0</v>
      </c>
      <c r="X214" s="55">
        <f t="shared" si="74"/>
        <v>46153.45</v>
      </c>
    </row>
    <row r="215" spans="1:24" hidden="1" x14ac:dyDescent="0.35">
      <c r="A215" s="46">
        <f t="shared" si="75"/>
        <v>46153.45</v>
      </c>
      <c r="B215" s="46"/>
      <c r="C215" s="260"/>
      <c r="D215" s="46"/>
      <c r="E215" s="47" t="s">
        <v>4321</v>
      </c>
      <c r="F215" s="533" t="s">
        <v>284</v>
      </c>
      <c r="G215" s="533"/>
      <c r="H215" s="107" t="s">
        <v>4583</v>
      </c>
      <c r="I215" s="100" t="s">
        <v>4363</v>
      </c>
      <c r="J215" s="100" t="s">
        <v>140</v>
      </c>
      <c r="K215" s="91">
        <v>0</v>
      </c>
      <c r="L215" s="91">
        <v>0</v>
      </c>
      <c r="M215" s="92">
        <v>34</v>
      </c>
      <c r="N215" s="92">
        <f>6000*15</f>
        <v>90000</v>
      </c>
      <c r="O215" s="92">
        <v>6</v>
      </c>
      <c r="P215" s="92">
        <f t="shared" si="73"/>
        <v>15000</v>
      </c>
      <c r="Q215" s="92"/>
      <c r="R215" s="92">
        <v>15000</v>
      </c>
      <c r="S215" s="92">
        <f t="shared" si="69"/>
        <v>0</v>
      </c>
      <c r="T215" s="102">
        <f t="shared" si="70"/>
        <v>15247.058823529411</v>
      </c>
      <c r="U215" s="101">
        <f t="shared" si="71"/>
        <v>0</v>
      </c>
      <c r="V215" s="101">
        <f t="shared" si="72"/>
        <v>0</v>
      </c>
      <c r="W215" s="101">
        <v>0</v>
      </c>
      <c r="X215" s="55">
        <f t="shared" si="74"/>
        <v>46153.45</v>
      </c>
    </row>
    <row r="216" spans="1:24" hidden="1" x14ac:dyDescent="0.35">
      <c r="A216" s="46">
        <f t="shared" si="75"/>
        <v>46153.45</v>
      </c>
      <c r="B216" s="46"/>
      <c r="C216" s="260"/>
      <c r="D216" s="46"/>
      <c r="E216" s="47" t="s">
        <v>4321</v>
      </c>
      <c r="F216" s="803" t="s">
        <v>4584</v>
      </c>
      <c r="G216" s="803"/>
      <c r="H216" s="804" t="s">
        <v>4585</v>
      </c>
      <c r="I216" s="805" t="s">
        <v>4363</v>
      </c>
      <c r="J216" s="805" t="s">
        <v>140</v>
      </c>
      <c r="K216" s="852">
        <v>0</v>
      </c>
      <c r="L216" s="852">
        <v>0</v>
      </c>
      <c r="M216" s="853">
        <v>34</v>
      </c>
      <c r="N216" s="853">
        <f>6000*35</f>
        <v>210000</v>
      </c>
      <c r="O216" s="853">
        <v>6</v>
      </c>
      <c r="P216" s="853">
        <f t="shared" si="73"/>
        <v>35000</v>
      </c>
      <c r="Q216" s="853"/>
      <c r="R216" s="853">
        <v>35000</v>
      </c>
      <c r="S216" s="853">
        <f t="shared" si="69"/>
        <v>0</v>
      </c>
      <c r="T216" s="807">
        <f t="shared" si="70"/>
        <v>15247.058823529411</v>
      </c>
      <c r="U216" s="854">
        <f t="shared" si="71"/>
        <v>0</v>
      </c>
      <c r="V216" s="854">
        <f t="shared" si="72"/>
        <v>0</v>
      </c>
      <c r="W216" s="854">
        <v>0</v>
      </c>
      <c r="X216" s="55">
        <f t="shared" si="74"/>
        <v>46153.45</v>
      </c>
    </row>
    <row r="217" spans="1:24" ht="26.5" hidden="1" x14ac:dyDescent="0.35">
      <c r="A217" s="46">
        <f t="shared" si="75"/>
        <v>46153.45</v>
      </c>
      <c r="B217" s="46"/>
      <c r="C217" s="260"/>
      <c r="D217" s="46"/>
      <c r="E217" s="47" t="s">
        <v>1896</v>
      </c>
      <c r="F217" s="99" t="s">
        <v>1211</v>
      </c>
      <c r="G217" s="99"/>
      <c r="H217" s="98" t="s">
        <v>4586</v>
      </c>
      <c r="I217" s="82" t="s">
        <v>4359</v>
      </c>
      <c r="J217" s="100" t="s">
        <v>140</v>
      </c>
      <c r="K217" s="101">
        <v>0</v>
      </c>
      <c r="L217" s="101">
        <v>0</v>
      </c>
      <c r="M217" s="102">
        <v>45</v>
      </c>
      <c r="N217" s="102">
        <v>1129</v>
      </c>
      <c r="O217" s="102">
        <v>1</v>
      </c>
      <c r="P217" s="102">
        <f t="shared" si="73"/>
        <v>1129</v>
      </c>
      <c r="Q217" s="102"/>
      <c r="R217" s="102">
        <v>1129</v>
      </c>
      <c r="S217" s="102">
        <f t="shared" si="69"/>
        <v>0</v>
      </c>
      <c r="T217" s="102">
        <f t="shared" si="70"/>
        <v>1920</v>
      </c>
      <c r="U217" s="101">
        <f t="shared" si="71"/>
        <v>0</v>
      </c>
      <c r="V217" s="101">
        <f t="shared" si="72"/>
        <v>0</v>
      </c>
      <c r="W217" s="101">
        <v>0</v>
      </c>
      <c r="X217" s="55">
        <f t="shared" si="74"/>
        <v>46153.45</v>
      </c>
    </row>
    <row r="218" spans="1:24" ht="26.5" hidden="1" x14ac:dyDescent="0.35">
      <c r="A218" s="46">
        <f t="shared" si="75"/>
        <v>46153.45</v>
      </c>
      <c r="B218" s="46"/>
      <c r="C218" s="260"/>
      <c r="D218" s="46"/>
      <c r="E218" s="47" t="s">
        <v>1896</v>
      </c>
      <c r="F218" s="99" t="s">
        <v>227</v>
      </c>
      <c r="G218" s="99"/>
      <c r="H218" s="98" t="s">
        <v>4587</v>
      </c>
      <c r="I218" s="82" t="s">
        <v>4359</v>
      </c>
      <c r="J218" s="100" t="s">
        <v>140</v>
      </c>
      <c r="K218" s="101">
        <v>0</v>
      </c>
      <c r="L218" s="101">
        <v>0</v>
      </c>
      <c r="M218" s="102">
        <v>45</v>
      </c>
      <c r="N218" s="102">
        <v>3000</v>
      </c>
      <c r="O218" s="102">
        <v>1</v>
      </c>
      <c r="P218" s="102">
        <f t="shared" si="73"/>
        <v>3000</v>
      </c>
      <c r="Q218" s="102"/>
      <c r="R218" s="102">
        <v>3000</v>
      </c>
      <c r="S218" s="102">
        <f t="shared" si="69"/>
        <v>0</v>
      </c>
      <c r="T218" s="102">
        <f t="shared" si="70"/>
        <v>1920</v>
      </c>
      <c r="U218" s="101">
        <f t="shared" si="71"/>
        <v>0</v>
      </c>
      <c r="V218" s="101">
        <f t="shared" si="72"/>
        <v>0</v>
      </c>
      <c r="W218" s="101">
        <v>0</v>
      </c>
      <c r="X218" s="55">
        <f t="shared" si="74"/>
        <v>46153.45</v>
      </c>
    </row>
    <row r="219" spans="1:24" ht="26.5" hidden="1" x14ac:dyDescent="0.35">
      <c r="A219" s="46">
        <f t="shared" si="75"/>
        <v>46153.45</v>
      </c>
      <c r="B219" s="46"/>
      <c r="C219" s="260"/>
      <c r="D219" s="46"/>
      <c r="E219" s="47" t="s">
        <v>1896</v>
      </c>
      <c r="F219" s="99" t="s">
        <v>714</v>
      </c>
      <c r="G219" s="99"/>
      <c r="H219" s="98" t="s">
        <v>4588</v>
      </c>
      <c r="I219" s="82" t="s">
        <v>4359</v>
      </c>
      <c r="J219" s="100" t="s">
        <v>140</v>
      </c>
      <c r="K219" s="101">
        <v>0</v>
      </c>
      <c r="L219" s="101">
        <v>0</v>
      </c>
      <c r="M219" s="102">
        <v>45</v>
      </c>
      <c r="N219" s="102">
        <v>3000</v>
      </c>
      <c r="O219" s="102">
        <v>1</v>
      </c>
      <c r="P219" s="102">
        <f t="shared" si="73"/>
        <v>3000</v>
      </c>
      <c r="Q219" s="102"/>
      <c r="R219" s="102">
        <v>3000</v>
      </c>
      <c r="S219" s="102">
        <f t="shared" si="69"/>
        <v>0</v>
      </c>
      <c r="T219" s="102">
        <f t="shared" si="70"/>
        <v>1920</v>
      </c>
      <c r="U219" s="101">
        <f t="shared" si="71"/>
        <v>0</v>
      </c>
      <c r="V219" s="101">
        <f t="shared" si="72"/>
        <v>0</v>
      </c>
      <c r="W219" s="101">
        <v>0</v>
      </c>
      <c r="X219" s="55">
        <f t="shared" si="74"/>
        <v>46153.45</v>
      </c>
    </row>
    <row r="220" spans="1:24" hidden="1" x14ac:dyDescent="0.35">
      <c r="A220" s="46">
        <f t="shared" si="75"/>
        <v>46153.45</v>
      </c>
      <c r="B220" s="46"/>
      <c r="C220" s="260"/>
      <c r="D220" s="46"/>
      <c r="E220" s="47" t="s">
        <v>4321</v>
      </c>
      <c r="F220" s="803" t="s">
        <v>4584</v>
      </c>
      <c r="G220" s="803"/>
      <c r="H220" s="804" t="s">
        <v>4589</v>
      </c>
      <c r="I220" s="805" t="s">
        <v>4363</v>
      </c>
      <c r="J220" s="805" t="s">
        <v>140</v>
      </c>
      <c r="K220" s="852">
        <v>0</v>
      </c>
      <c r="L220" s="852">
        <v>0</v>
      </c>
      <c r="M220" s="853">
        <v>34</v>
      </c>
      <c r="N220" s="853">
        <f>6000*30</f>
        <v>180000</v>
      </c>
      <c r="O220" s="853">
        <v>6</v>
      </c>
      <c r="P220" s="853">
        <f t="shared" si="73"/>
        <v>30000</v>
      </c>
      <c r="Q220" s="853"/>
      <c r="R220" s="853">
        <v>30000</v>
      </c>
      <c r="S220" s="853">
        <f t="shared" si="69"/>
        <v>0</v>
      </c>
      <c r="T220" s="807">
        <f t="shared" si="70"/>
        <v>15247.058823529411</v>
      </c>
      <c r="U220" s="854">
        <f t="shared" si="71"/>
        <v>0</v>
      </c>
      <c r="V220" s="854">
        <f t="shared" si="72"/>
        <v>0</v>
      </c>
      <c r="W220" s="854">
        <v>0</v>
      </c>
      <c r="X220" s="55">
        <f t="shared" si="74"/>
        <v>46153.45</v>
      </c>
    </row>
    <row r="221" spans="1:24" hidden="1" x14ac:dyDescent="0.35">
      <c r="A221" s="46">
        <f t="shared" si="75"/>
        <v>46153.45</v>
      </c>
      <c r="B221" s="46"/>
      <c r="C221" s="260"/>
      <c r="D221" s="46"/>
      <c r="E221" s="47" t="s">
        <v>4321</v>
      </c>
      <c r="F221" s="99" t="s">
        <v>4590</v>
      </c>
      <c r="G221" s="99"/>
      <c r="H221" s="98" t="s">
        <v>4591</v>
      </c>
      <c r="I221" s="82" t="s">
        <v>4592</v>
      </c>
      <c r="J221" s="100" t="s">
        <v>140</v>
      </c>
      <c r="K221" s="91">
        <v>0</v>
      </c>
      <c r="L221" s="91">
        <v>0</v>
      </c>
      <c r="M221" s="92">
        <v>60</v>
      </c>
      <c r="N221" s="92">
        <v>2000</v>
      </c>
      <c r="O221" s="92">
        <v>1</v>
      </c>
      <c r="P221" s="92">
        <f t="shared" si="73"/>
        <v>2000</v>
      </c>
      <c r="Q221" s="92"/>
      <c r="R221" s="92">
        <v>2000</v>
      </c>
      <c r="S221" s="102">
        <f t="shared" si="69"/>
        <v>0</v>
      </c>
      <c r="T221" s="102">
        <f t="shared" si="70"/>
        <v>1440</v>
      </c>
      <c r="U221" s="101">
        <f t="shared" si="71"/>
        <v>0</v>
      </c>
      <c r="V221" s="101">
        <f t="shared" si="72"/>
        <v>0</v>
      </c>
      <c r="W221" s="101">
        <v>0</v>
      </c>
      <c r="X221" s="55">
        <f t="shared" si="74"/>
        <v>46153.45</v>
      </c>
    </row>
    <row r="222" spans="1:24" hidden="1" x14ac:dyDescent="0.35">
      <c r="A222" s="46">
        <f t="shared" si="75"/>
        <v>46153.45</v>
      </c>
      <c r="B222" s="46"/>
      <c r="C222" s="260"/>
      <c r="D222" s="46"/>
      <c r="E222" s="47" t="s">
        <v>1896</v>
      </c>
      <c r="F222" s="452"/>
      <c r="G222" s="452"/>
      <c r="H222" s="452">
        <v>12061</v>
      </c>
      <c r="I222" s="82" t="s">
        <v>4582</v>
      </c>
      <c r="J222" s="51" t="s">
        <v>140</v>
      </c>
      <c r="K222" s="91">
        <v>0</v>
      </c>
      <c r="L222" s="91">
        <v>0</v>
      </c>
      <c r="M222" s="92">
        <v>50</v>
      </c>
      <c r="N222" s="92">
        <v>5000</v>
      </c>
      <c r="O222" s="92">
        <v>4</v>
      </c>
      <c r="P222" s="92">
        <f t="shared" si="73"/>
        <v>1250</v>
      </c>
      <c r="Q222" s="92"/>
      <c r="R222" s="92">
        <v>1250</v>
      </c>
      <c r="S222" s="92">
        <f t="shared" si="69"/>
        <v>0</v>
      </c>
      <c r="T222" s="92">
        <f t="shared" si="70"/>
        <v>6912</v>
      </c>
      <c r="U222" s="91">
        <f t="shared" si="71"/>
        <v>0</v>
      </c>
      <c r="V222" s="91">
        <f t="shared" si="72"/>
        <v>0</v>
      </c>
      <c r="W222" s="91">
        <v>0</v>
      </c>
      <c r="X222" s="55">
        <f t="shared" si="74"/>
        <v>46153.45</v>
      </c>
    </row>
    <row r="223" spans="1:24" hidden="1" x14ac:dyDescent="0.35">
      <c r="A223" s="46">
        <f t="shared" si="75"/>
        <v>46153.45</v>
      </c>
      <c r="B223" s="46"/>
      <c r="C223" s="260"/>
      <c r="D223" s="46"/>
      <c r="E223" s="296" t="s">
        <v>4321</v>
      </c>
      <c r="F223" s="366" t="s">
        <v>14</v>
      </c>
      <c r="G223" s="366"/>
      <c r="H223" s="298" t="s">
        <v>14</v>
      </c>
      <c r="I223" s="297" t="s">
        <v>4593</v>
      </c>
      <c r="J223" s="351" t="s">
        <v>140</v>
      </c>
      <c r="K223" s="352">
        <v>0</v>
      </c>
      <c r="L223" s="352">
        <v>0</v>
      </c>
      <c r="M223" s="353">
        <v>60</v>
      </c>
      <c r="N223" s="353">
        <v>50</v>
      </c>
      <c r="O223" s="353">
        <v>1</v>
      </c>
      <c r="P223" s="353">
        <f t="shared" si="73"/>
        <v>50</v>
      </c>
      <c r="Q223" s="353"/>
      <c r="R223" s="353">
        <v>50</v>
      </c>
      <c r="S223" s="353">
        <f t="shared" si="69"/>
        <v>0</v>
      </c>
      <c r="T223" s="353">
        <f t="shared" si="70"/>
        <v>1440</v>
      </c>
      <c r="U223" s="352">
        <f t="shared" si="71"/>
        <v>0</v>
      </c>
      <c r="V223" s="352">
        <f t="shared" si="72"/>
        <v>0</v>
      </c>
      <c r="W223" s="352">
        <v>0</v>
      </c>
      <c r="X223" s="55">
        <f t="shared" si="74"/>
        <v>46153.45</v>
      </c>
    </row>
    <row r="224" spans="1:24" hidden="1" x14ac:dyDescent="0.35">
      <c r="A224" s="46">
        <f t="shared" si="75"/>
        <v>46153.45</v>
      </c>
      <c r="B224" s="46"/>
      <c r="C224" s="260"/>
      <c r="D224" s="46"/>
      <c r="E224" s="590" t="s">
        <v>4321</v>
      </c>
      <c r="F224" s="97" t="s">
        <v>3479</v>
      </c>
      <c r="G224" s="97"/>
      <c r="H224" s="107" t="s">
        <v>4594</v>
      </c>
      <c r="I224" s="855" t="s">
        <v>4324</v>
      </c>
      <c r="J224" s="100" t="s">
        <v>140</v>
      </c>
      <c r="K224" s="91">
        <v>0</v>
      </c>
      <c r="L224" s="91">
        <v>0</v>
      </c>
      <c r="M224" s="92">
        <v>120</v>
      </c>
      <c r="N224" s="92">
        <v>5000</v>
      </c>
      <c r="O224" s="92">
        <v>1</v>
      </c>
      <c r="P224" s="92">
        <f t="shared" si="73"/>
        <v>5000</v>
      </c>
      <c r="Q224" s="92"/>
      <c r="R224" s="92">
        <v>5000</v>
      </c>
      <c r="S224" s="92">
        <f t="shared" si="69"/>
        <v>0</v>
      </c>
      <c r="T224" s="102">
        <f t="shared" si="70"/>
        <v>720</v>
      </c>
      <c r="U224" s="101">
        <f t="shared" si="71"/>
        <v>0</v>
      </c>
      <c r="V224" s="101">
        <f t="shared" si="72"/>
        <v>0</v>
      </c>
      <c r="W224" s="101">
        <v>0</v>
      </c>
      <c r="X224" s="55">
        <f t="shared" si="74"/>
        <v>46153.45</v>
      </c>
    </row>
    <row r="225" spans="1:24" hidden="1" x14ac:dyDescent="0.35">
      <c r="A225" s="46">
        <f t="shared" si="75"/>
        <v>46153.45</v>
      </c>
      <c r="B225" s="46"/>
      <c r="C225" s="260"/>
      <c r="D225" s="46"/>
      <c r="E225" s="47" t="s">
        <v>4540</v>
      </c>
      <c r="F225" s="97" t="s">
        <v>1583</v>
      </c>
      <c r="G225" s="97"/>
      <c r="H225" s="98" t="s">
        <v>4595</v>
      </c>
      <c r="I225" s="82" t="s">
        <v>4596</v>
      </c>
      <c r="J225" s="51" t="s">
        <v>140</v>
      </c>
      <c r="K225" s="91">
        <v>0</v>
      </c>
      <c r="L225" s="91">
        <v>0</v>
      </c>
      <c r="M225" s="92">
        <v>50</v>
      </c>
      <c r="N225" s="92">
        <v>20800</v>
      </c>
      <c r="O225" s="92">
        <v>4</v>
      </c>
      <c r="P225" s="92">
        <f t="shared" si="73"/>
        <v>5200</v>
      </c>
      <c r="Q225" s="92"/>
      <c r="R225" s="92">
        <v>5200</v>
      </c>
      <c r="S225" s="92">
        <f t="shared" si="69"/>
        <v>0</v>
      </c>
      <c r="T225" s="92">
        <f t="shared" si="70"/>
        <v>6912</v>
      </c>
      <c r="U225" s="91">
        <f t="shared" si="71"/>
        <v>0</v>
      </c>
      <c r="V225" s="91">
        <f t="shared" si="72"/>
        <v>0</v>
      </c>
      <c r="W225" s="91">
        <v>0</v>
      </c>
      <c r="X225" s="55">
        <f t="shared" si="74"/>
        <v>46153.45</v>
      </c>
    </row>
    <row r="226" spans="1:24" s="202" customFormat="1" hidden="1" x14ac:dyDescent="0.35">
      <c r="A226" s="46">
        <f t="shared" si="75"/>
        <v>46153.45</v>
      </c>
      <c r="B226" s="46"/>
      <c r="C226" s="260"/>
      <c r="D226" s="46"/>
      <c r="E226" s="47" t="s">
        <v>4540</v>
      </c>
      <c r="F226" s="97" t="s">
        <v>1814</v>
      </c>
      <c r="G226" s="97"/>
      <c r="H226" s="108">
        <v>12201</v>
      </c>
      <c r="I226" s="82" t="s">
        <v>1830</v>
      </c>
      <c r="J226" s="51" t="s">
        <v>140</v>
      </c>
      <c r="K226" s="91">
        <v>0</v>
      </c>
      <c r="L226" s="91">
        <v>0</v>
      </c>
      <c r="M226" s="92">
        <v>40</v>
      </c>
      <c r="N226" s="92">
        <v>1500</v>
      </c>
      <c r="O226" s="92">
        <v>1</v>
      </c>
      <c r="P226" s="92">
        <f t="shared" si="73"/>
        <v>1500</v>
      </c>
      <c r="Q226" s="92"/>
      <c r="R226" s="92">
        <v>1500</v>
      </c>
      <c r="S226" s="92">
        <f t="shared" si="69"/>
        <v>0</v>
      </c>
      <c r="T226" s="92">
        <f t="shared" si="70"/>
        <v>2160</v>
      </c>
      <c r="U226" s="91">
        <f t="shared" si="71"/>
        <v>0</v>
      </c>
      <c r="V226" s="91">
        <f t="shared" si="72"/>
        <v>0</v>
      </c>
      <c r="W226" s="91">
        <v>0</v>
      </c>
      <c r="X226" s="55">
        <f t="shared" si="74"/>
        <v>46153.45</v>
      </c>
    </row>
    <row r="227" spans="1:24" hidden="1" x14ac:dyDescent="0.35">
      <c r="A227" s="46">
        <f t="shared" si="75"/>
        <v>46153.45</v>
      </c>
      <c r="B227" s="46"/>
      <c r="C227" s="260"/>
      <c r="D227" s="46"/>
      <c r="E227" s="47" t="s">
        <v>4540</v>
      </c>
      <c r="F227" s="82" t="s">
        <v>4597</v>
      </c>
      <c r="G227" s="831"/>
      <c r="H227" s="699" t="s">
        <v>4598</v>
      </c>
      <c r="I227" s="104" t="s">
        <v>4599</v>
      </c>
      <c r="J227" s="100" t="s">
        <v>140</v>
      </c>
      <c r="K227" s="91">
        <v>0</v>
      </c>
      <c r="L227" s="91">
        <v>0</v>
      </c>
      <c r="M227" s="595">
        <v>68</v>
      </c>
      <c r="N227" s="92">
        <v>1900</v>
      </c>
      <c r="O227" s="92">
        <v>2</v>
      </c>
      <c r="P227" s="92">
        <f t="shared" si="73"/>
        <v>950</v>
      </c>
      <c r="Q227" s="92"/>
      <c r="R227" s="102">
        <v>950</v>
      </c>
      <c r="S227" s="92">
        <f t="shared" si="69"/>
        <v>0</v>
      </c>
      <c r="T227" s="102">
        <f t="shared" si="70"/>
        <v>2541.1764705882351</v>
      </c>
      <c r="U227" s="101">
        <f t="shared" si="71"/>
        <v>0</v>
      </c>
      <c r="V227" s="101">
        <f t="shared" si="72"/>
        <v>0</v>
      </c>
      <c r="W227" s="101">
        <v>0</v>
      </c>
      <c r="X227" s="55">
        <f t="shared" si="74"/>
        <v>46153.45</v>
      </c>
    </row>
    <row r="228" spans="1:24" hidden="1" x14ac:dyDescent="0.35">
      <c r="A228" s="46">
        <f t="shared" si="75"/>
        <v>46153.45</v>
      </c>
      <c r="B228" s="46"/>
      <c r="C228" s="260"/>
      <c r="D228" s="46"/>
      <c r="E228" s="47" t="s">
        <v>4600</v>
      </c>
      <c r="F228" s="82" t="s">
        <v>1603</v>
      </c>
      <c r="G228" s="82"/>
      <c r="H228" s="108">
        <v>12306</v>
      </c>
      <c r="I228" s="104" t="s">
        <v>4601</v>
      </c>
      <c r="J228" s="51" t="s">
        <v>140</v>
      </c>
      <c r="K228" s="91">
        <v>0</v>
      </c>
      <c r="L228" s="91">
        <v>0</v>
      </c>
      <c r="M228" s="92">
        <v>60</v>
      </c>
      <c r="N228" s="92">
        <v>2000</v>
      </c>
      <c r="O228" s="92">
        <v>1</v>
      </c>
      <c r="P228" s="92">
        <f t="shared" si="73"/>
        <v>2000</v>
      </c>
      <c r="Q228" s="92"/>
      <c r="R228" s="92">
        <v>2000</v>
      </c>
      <c r="S228" s="92">
        <f t="shared" si="69"/>
        <v>0</v>
      </c>
      <c r="T228" s="92">
        <f t="shared" si="70"/>
        <v>1440</v>
      </c>
      <c r="U228" s="91">
        <f t="shared" si="71"/>
        <v>0</v>
      </c>
      <c r="V228" s="91">
        <f t="shared" si="72"/>
        <v>0</v>
      </c>
      <c r="W228" s="91">
        <v>0</v>
      </c>
      <c r="X228" s="55">
        <f t="shared" si="74"/>
        <v>46153.45</v>
      </c>
    </row>
    <row r="229" spans="1:24" hidden="1" x14ac:dyDescent="0.35">
      <c r="A229" s="46">
        <f t="shared" si="75"/>
        <v>46153.45</v>
      </c>
      <c r="B229" s="46"/>
      <c r="C229" s="260"/>
      <c r="D229" s="46"/>
      <c r="E229" s="47" t="s">
        <v>4540</v>
      </c>
      <c r="F229" s="97" t="s">
        <v>4602</v>
      </c>
      <c r="G229" s="97"/>
      <c r="H229" s="108">
        <v>12212</v>
      </c>
      <c r="I229" s="82" t="s">
        <v>4603</v>
      </c>
      <c r="J229" s="51" t="s">
        <v>140</v>
      </c>
      <c r="K229" s="91">
        <v>0</v>
      </c>
      <c r="L229" s="91">
        <v>0</v>
      </c>
      <c r="M229" s="92">
        <v>40</v>
      </c>
      <c r="N229" s="92">
        <v>4338</v>
      </c>
      <c r="O229" s="92">
        <v>1</v>
      </c>
      <c r="P229" s="92">
        <f t="shared" si="73"/>
        <v>4338</v>
      </c>
      <c r="Q229" s="92"/>
      <c r="R229" s="92">
        <v>4338</v>
      </c>
      <c r="S229" s="92">
        <f t="shared" si="69"/>
        <v>0</v>
      </c>
      <c r="T229" s="92">
        <f t="shared" si="70"/>
        <v>2160</v>
      </c>
      <c r="U229" s="91">
        <f t="shared" si="71"/>
        <v>0</v>
      </c>
      <c r="V229" s="91">
        <f t="shared" si="72"/>
        <v>0</v>
      </c>
      <c r="W229" s="91">
        <v>0</v>
      </c>
      <c r="X229" s="55">
        <f t="shared" si="74"/>
        <v>46153.45</v>
      </c>
    </row>
    <row r="230" spans="1:24" ht="29" hidden="1" x14ac:dyDescent="0.35">
      <c r="A230" s="46">
        <f t="shared" si="75"/>
        <v>46153.45</v>
      </c>
      <c r="B230" s="46"/>
      <c r="C230" s="260"/>
      <c r="D230" s="46"/>
      <c r="E230" s="47" t="s">
        <v>4321</v>
      </c>
      <c r="F230" s="48" t="s">
        <v>4604</v>
      </c>
      <c r="G230" s="48"/>
      <c r="H230" s="49" t="s">
        <v>4605</v>
      </c>
      <c r="I230" s="71" t="s">
        <v>4606</v>
      </c>
      <c r="J230" s="491" t="s">
        <v>140</v>
      </c>
      <c r="K230" s="52">
        <v>0</v>
      </c>
      <c r="L230" s="52">
        <v>0</v>
      </c>
      <c r="M230" s="53">
        <v>45</v>
      </c>
      <c r="N230" s="53">
        <v>2000</v>
      </c>
      <c r="O230" s="53">
        <v>2</v>
      </c>
      <c r="P230" s="53">
        <f t="shared" si="73"/>
        <v>1000</v>
      </c>
      <c r="Q230" s="53"/>
      <c r="R230" s="53">
        <v>1000</v>
      </c>
      <c r="S230" s="53">
        <f t="shared" si="69"/>
        <v>0</v>
      </c>
      <c r="T230" s="83">
        <f t="shared" si="70"/>
        <v>3840</v>
      </c>
      <c r="U230" s="84">
        <f t="shared" si="71"/>
        <v>0</v>
      </c>
      <c r="V230" s="84">
        <f t="shared" si="72"/>
        <v>0</v>
      </c>
      <c r="W230" s="84">
        <v>0</v>
      </c>
      <c r="X230" s="55">
        <f t="shared" si="74"/>
        <v>46153.45</v>
      </c>
    </row>
    <row r="231" spans="1:24" s="109" customFormat="1" ht="13" hidden="1" x14ac:dyDescent="0.3">
      <c r="A231" s="46">
        <f t="shared" si="75"/>
        <v>46153.45</v>
      </c>
      <c r="B231" s="46"/>
      <c r="C231" s="260"/>
      <c r="D231" s="46"/>
      <c r="E231" s="47" t="s">
        <v>4321</v>
      </c>
      <c r="F231" s="82" t="s">
        <v>4607</v>
      </c>
      <c r="G231" s="82"/>
      <c r="H231" s="107" t="s">
        <v>4608</v>
      </c>
      <c r="I231" s="82" t="s">
        <v>4609</v>
      </c>
      <c r="J231" s="100" t="s">
        <v>140</v>
      </c>
      <c r="K231" s="91">
        <v>0</v>
      </c>
      <c r="L231" s="91">
        <v>0</v>
      </c>
      <c r="M231" s="92">
        <v>90</v>
      </c>
      <c r="N231" s="92">
        <v>1200</v>
      </c>
      <c r="O231" s="92">
        <v>1</v>
      </c>
      <c r="P231" s="92">
        <f t="shared" si="73"/>
        <v>1200</v>
      </c>
      <c r="Q231" s="92"/>
      <c r="R231" s="102">
        <v>1200</v>
      </c>
      <c r="S231" s="92">
        <f t="shared" si="69"/>
        <v>0</v>
      </c>
      <c r="T231" s="102">
        <f t="shared" si="70"/>
        <v>960</v>
      </c>
      <c r="U231" s="101">
        <f t="shared" si="71"/>
        <v>0</v>
      </c>
      <c r="V231" s="101">
        <f t="shared" si="72"/>
        <v>0</v>
      </c>
      <c r="W231" s="101">
        <v>0</v>
      </c>
      <c r="X231" s="55">
        <f t="shared" si="74"/>
        <v>46153.45</v>
      </c>
    </row>
    <row r="232" spans="1:24" hidden="1" x14ac:dyDescent="0.35">
      <c r="A232" s="46">
        <f t="shared" si="75"/>
        <v>46153.45</v>
      </c>
      <c r="B232" s="46"/>
      <c r="C232" s="260"/>
      <c r="D232" s="46"/>
      <c r="E232" s="47" t="s">
        <v>4321</v>
      </c>
      <c r="F232" s="97" t="s">
        <v>900</v>
      </c>
      <c r="G232" s="97"/>
      <c r="H232" s="108">
        <v>12392</v>
      </c>
      <c r="I232" s="82" t="s">
        <v>4582</v>
      </c>
      <c r="J232" s="51" t="s">
        <v>140</v>
      </c>
      <c r="K232" s="91">
        <v>0</v>
      </c>
      <c r="L232" s="91">
        <v>0</v>
      </c>
      <c r="M232" s="92">
        <v>50</v>
      </c>
      <c r="N232" s="92">
        <v>10000</v>
      </c>
      <c r="O232" s="92">
        <v>4</v>
      </c>
      <c r="P232" s="92">
        <f t="shared" si="73"/>
        <v>2500</v>
      </c>
      <c r="Q232" s="92"/>
      <c r="R232" s="92">
        <v>2500</v>
      </c>
      <c r="S232" s="92">
        <f t="shared" si="69"/>
        <v>0</v>
      </c>
      <c r="T232" s="92">
        <f t="shared" si="70"/>
        <v>6912</v>
      </c>
      <c r="U232" s="91">
        <f t="shared" si="71"/>
        <v>0</v>
      </c>
      <c r="V232" s="91">
        <f t="shared" si="72"/>
        <v>0</v>
      </c>
      <c r="W232" s="91">
        <v>0</v>
      </c>
      <c r="X232" s="55">
        <f t="shared" si="74"/>
        <v>46153.45</v>
      </c>
    </row>
    <row r="233" spans="1:24" s="109" customFormat="1" ht="13" hidden="1" x14ac:dyDescent="0.3">
      <c r="A233" s="46">
        <f t="shared" si="75"/>
        <v>46153.45</v>
      </c>
      <c r="B233" s="46"/>
      <c r="C233" s="260"/>
      <c r="D233" s="46"/>
      <c r="E233" s="47" t="s">
        <v>4321</v>
      </c>
      <c r="F233" s="82" t="s">
        <v>4610</v>
      </c>
      <c r="G233" s="82"/>
      <c r="H233" s="108">
        <v>12448</v>
      </c>
      <c r="I233" s="104" t="s">
        <v>4601</v>
      </c>
      <c r="J233" s="51" t="s">
        <v>140</v>
      </c>
      <c r="K233" s="91">
        <v>0</v>
      </c>
      <c r="L233" s="91">
        <v>0</v>
      </c>
      <c r="M233" s="92">
        <v>60</v>
      </c>
      <c r="N233" s="92">
        <v>1500</v>
      </c>
      <c r="O233" s="92">
        <v>1</v>
      </c>
      <c r="P233" s="92">
        <f t="shared" si="73"/>
        <v>1500</v>
      </c>
      <c r="Q233" s="92"/>
      <c r="R233" s="92">
        <v>1500</v>
      </c>
      <c r="S233" s="92">
        <f t="shared" si="69"/>
        <v>0</v>
      </c>
      <c r="T233" s="92">
        <f t="shared" si="70"/>
        <v>1440</v>
      </c>
      <c r="U233" s="91">
        <f t="shared" si="71"/>
        <v>0</v>
      </c>
      <c r="V233" s="91">
        <f t="shared" si="72"/>
        <v>0</v>
      </c>
      <c r="W233" s="91">
        <v>0</v>
      </c>
      <c r="X233" s="55">
        <f t="shared" si="74"/>
        <v>46153.45</v>
      </c>
    </row>
    <row r="234" spans="1:24" s="109" customFormat="1" ht="13" hidden="1" x14ac:dyDescent="0.3">
      <c r="A234" s="46">
        <f t="shared" si="75"/>
        <v>46153.45</v>
      </c>
      <c r="B234" s="46"/>
      <c r="C234" s="260"/>
      <c r="D234" s="46"/>
      <c r="E234" s="47" t="s">
        <v>4321</v>
      </c>
      <c r="F234" s="82" t="s">
        <v>4611</v>
      </c>
      <c r="G234" s="82"/>
      <c r="H234" s="108">
        <v>12449</v>
      </c>
      <c r="I234" s="104" t="s">
        <v>4601</v>
      </c>
      <c r="J234" s="51" t="s">
        <v>140</v>
      </c>
      <c r="K234" s="91">
        <v>0</v>
      </c>
      <c r="L234" s="91">
        <v>0</v>
      </c>
      <c r="M234" s="92">
        <v>60</v>
      </c>
      <c r="N234" s="92">
        <v>800</v>
      </c>
      <c r="O234" s="92">
        <v>1</v>
      </c>
      <c r="P234" s="92">
        <f t="shared" si="73"/>
        <v>800</v>
      </c>
      <c r="Q234" s="92"/>
      <c r="R234" s="92">
        <v>800</v>
      </c>
      <c r="S234" s="92">
        <f t="shared" si="69"/>
        <v>0</v>
      </c>
      <c r="T234" s="92">
        <f t="shared" si="70"/>
        <v>1440</v>
      </c>
      <c r="U234" s="91">
        <f t="shared" si="71"/>
        <v>0</v>
      </c>
      <c r="V234" s="91">
        <f t="shared" si="72"/>
        <v>0</v>
      </c>
      <c r="W234" s="91">
        <v>0</v>
      </c>
      <c r="X234" s="55">
        <f t="shared" si="74"/>
        <v>46153.45</v>
      </c>
    </row>
    <row r="235" spans="1:24" s="109" customFormat="1" ht="13" hidden="1" x14ac:dyDescent="0.3">
      <c r="A235" s="46">
        <f t="shared" si="75"/>
        <v>46153.45</v>
      </c>
      <c r="B235" s="46"/>
      <c r="C235" s="260"/>
      <c r="D235" s="46"/>
      <c r="E235" s="47" t="s">
        <v>4321</v>
      </c>
      <c r="F235" s="82" t="s">
        <v>4612</v>
      </c>
      <c r="G235" s="82"/>
      <c r="H235" s="108">
        <v>12450</v>
      </c>
      <c r="I235" s="104" t="s">
        <v>4601</v>
      </c>
      <c r="J235" s="51" t="s">
        <v>140</v>
      </c>
      <c r="K235" s="91">
        <v>0</v>
      </c>
      <c r="L235" s="91">
        <v>0</v>
      </c>
      <c r="M235" s="92">
        <v>60</v>
      </c>
      <c r="N235" s="92">
        <v>800</v>
      </c>
      <c r="O235" s="92">
        <v>1</v>
      </c>
      <c r="P235" s="92">
        <f t="shared" si="73"/>
        <v>800</v>
      </c>
      <c r="Q235" s="92"/>
      <c r="R235" s="92">
        <v>800</v>
      </c>
      <c r="S235" s="92">
        <f t="shared" si="69"/>
        <v>0</v>
      </c>
      <c r="T235" s="92">
        <f t="shared" si="70"/>
        <v>1440</v>
      </c>
      <c r="U235" s="91">
        <f t="shared" si="71"/>
        <v>0</v>
      </c>
      <c r="V235" s="91">
        <f t="shared" si="72"/>
        <v>0</v>
      </c>
      <c r="W235" s="91">
        <v>0</v>
      </c>
      <c r="X235" s="55">
        <f t="shared" si="74"/>
        <v>46153.45</v>
      </c>
    </row>
    <row r="236" spans="1:24" s="109" customFormat="1" ht="13" hidden="1" x14ac:dyDescent="0.3">
      <c r="A236" s="46">
        <f t="shared" si="75"/>
        <v>46153.45</v>
      </c>
      <c r="B236" s="46"/>
      <c r="C236" s="260"/>
      <c r="D236" s="46"/>
      <c r="E236" s="47" t="s">
        <v>4321</v>
      </c>
      <c r="F236" s="82" t="s">
        <v>4613</v>
      </c>
      <c r="G236" s="82"/>
      <c r="H236" s="108">
        <v>12475</v>
      </c>
      <c r="I236" s="82" t="s">
        <v>4350</v>
      </c>
      <c r="J236" s="51" t="s">
        <v>140</v>
      </c>
      <c r="K236" s="91">
        <v>0</v>
      </c>
      <c r="L236" s="91">
        <v>0</v>
      </c>
      <c r="M236" s="92">
        <v>60</v>
      </c>
      <c r="N236" s="92">
        <v>2000</v>
      </c>
      <c r="O236" s="92">
        <v>1</v>
      </c>
      <c r="P236" s="92">
        <f t="shared" si="73"/>
        <v>2000</v>
      </c>
      <c r="Q236" s="92"/>
      <c r="R236" s="92">
        <v>2000</v>
      </c>
      <c r="S236" s="92">
        <f t="shared" si="69"/>
        <v>0</v>
      </c>
      <c r="T236" s="92">
        <f t="shared" si="70"/>
        <v>1440</v>
      </c>
      <c r="U236" s="91">
        <f t="shared" si="71"/>
        <v>0</v>
      </c>
      <c r="V236" s="91">
        <f t="shared" si="72"/>
        <v>0</v>
      </c>
      <c r="W236" s="91">
        <v>0</v>
      </c>
      <c r="X236" s="55">
        <f t="shared" si="74"/>
        <v>46153.45</v>
      </c>
    </row>
    <row r="237" spans="1:24" s="588" customFormat="1" ht="26" hidden="1" x14ac:dyDescent="0.3">
      <c r="A237" s="46">
        <f t="shared" si="75"/>
        <v>46153.45</v>
      </c>
      <c r="B237" s="46"/>
      <c r="C237" s="260"/>
      <c r="D237" s="46"/>
      <c r="E237" s="47" t="s">
        <v>4321</v>
      </c>
      <c r="F237" s="97" t="s">
        <v>4614</v>
      </c>
      <c r="G237" s="97"/>
      <c r="H237" s="107" t="s">
        <v>4615</v>
      </c>
      <c r="I237" s="82" t="s">
        <v>4471</v>
      </c>
      <c r="J237" s="100" t="s">
        <v>140</v>
      </c>
      <c r="K237" s="91">
        <v>0</v>
      </c>
      <c r="L237" s="91">
        <v>0</v>
      </c>
      <c r="M237" s="92">
        <v>14</v>
      </c>
      <c r="N237" s="92">
        <f>11*49500</f>
        <v>544500</v>
      </c>
      <c r="O237" s="92">
        <v>23</v>
      </c>
      <c r="P237" s="92">
        <f t="shared" si="73"/>
        <v>23673.91304347826</v>
      </c>
      <c r="Q237" s="92"/>
      <c r="R237" s="92">
        <v>23674</v>
      </c>
      <c r="S237" s="92">
        <f t="shared" si="69"/>
        <v>-8.69565217399213E-2</v>
      </c>
      <c r="T237" s="102">
        <f t="shared" si="70"/>
        <v>141942.85714285716</v>
      </c>
      <c r="U237" s="101">
        <f t="shared" si="71"/>
        <v>-3.3816425121080504E-4</v>
      </c>
      <c r="V237" s="101">
        <f t="shared" si="72"/>
        <v>-1.4090177133783543E-5</v>
      </c>
      <c r="W237" s="101">
        <v>0</v>
      </c>
      <c r="X237" s="55">
        <f t="shared" si="74"/>
        <v>46153.449985909821</v>
      </c>
    </row>
    <row r="238" spans="1:24" s="588" customFormat="1" ht="13" hidden="1" x14ac:dyDescent="0.3">
      <c r="A238" s="46">
        <f t="shared" si="75"/>
        <v>46153.449985909821</v>
      </c>
      <c r="B238" s="46"/>
      <c r="C238" s="260"/>
      <c r="D238" s="46"/>
      <c r="E238" s="47" t="s">
        <v>4321</v>
      </c>
      <c r="F238" s="97" t="s">
        <v>4616</v>
      </c>
      <c r="G238" s="97"/>
      <c r="H238" s="107" t="s">
        <v>4617</v>
      </c>
      <c r="I238" s="82" t="s">
        <v>4618</v>
      </c>
      <c r="J238" s="100" t="s">
        <v>140</v>
      </c>
      <c r="K238" s="91">
        <v>0</v>
      </c>
      <c r="L238" s="91">
        <v>0</v>
      </c>
      <c r="M238" s="92">
        <v>14</v>
      </c>
      <c r="N238" s="92">
        <f>10*49500</f>
        <v>495000</v>
      </c>
      <c r="O238" s="92">
        <v>23</v>
      </c>
      <c r="P238" s="92">
        <f t="shared" si="73"/>
        <v>21521.739130434784</v>
      </c>
      <c r="Q238" s="92"/>
      <c r="R238" s="92">
        <v>21522</v>
      </c>
      <c r="S238" s="92">
        <f t="shared" si="69"/>
        <v>-0.26086956521612592</v>
      </c>
      <c r="T238" s="102">
        <f t="shared" si="70"/>
        <v>141942.85714285716</v>
      </c>
      <c r="U238" s="101">
        <f t="shared" si="71"/>
        <v>-1.0144927536182675E-3</v>
      </c>
      <c r="V238" s="101">
        <f t="shared" si="72"/>
        <v>-4.2270531400761143E-5</v>
      </c>
      <c r="W238" s="101">
        <v>0</v>
      </c>
      <c r="X238" s="55">
        <f t="shared" si="74"/>
        <v>46153.449943639287</v>
      </c>
    </row>
    <row r="239" spans="1:24" hidden="1" x14ac:dyDescent="0.35">
      <c r="A239" s="46">
        <f t="shared" si="75"/>
        <v>46153.449943639287</v>
      </c>
      <c r="B239" s="46"/>
      <c r="C239" s="260"/>
      <c r="D239" s="46"/>
      <c r="E239" s="47" t="s">
        <v>1896</v>
      </c>
      <c r="F239" s="82" t="s">
        <v>314</v>
      </c>
      <c r="G239" s="82"/>
      <c r="H239" s="98" t="s">
        <v>4619</v>
      </c>
      <c r="I239" s="104" t="s">
        <v>4375</v>
      </c>
      <c r="J239" s="491" t="s">
        <v>140</v>
      </c>
      <c r="K239" s="91">
        <v>0</v>
      </c>
      <c r="L239" s="91">
        <v>0</v>
      </c>
      <c r="M239" s="92">
        <v>60</v>
      </c>
      <c r="N239" s="92">
        <v>1248</v>
      </c>
      <c r="O239" s="92">
        <v>1</v>
      </c>
      <c r="P239" s="92">
        <f t="shared" si="73"/>
        <v>1248</v>
      </c>
      <c r="Q239" s="92"/>
      <c r="R239" s="92">
        <v>1248</v>
      </c>
      <c r="S239" s="92">
        <f t="shared" si="69"/>
        <v>0</v>
      </c>
      <c r="T239" s="102">
        <f t="shared" si="70"/>
        <v>1440</v>
      </c>
      <c r="U239" s="101">
        <f t="shared" si="71"/>
        <v>0</v>
      </c>
      <c r="V239" s="101">
        <f t="shared" si="72"/>
        <v>0</v>
      </c>
      <c r="W239" s="101">
        <v>0</v>
      </c>
      <c r="X239" s="55">
        <f t="shared" si="74"/>
        <v>46153.449943639287</v>
      </c>
    </row>
    <row r="240" spans="1:24" hidden="1" x14ac:dyDescent="0.35">
      <c r="A240" s="46">
        <f t="shared" si="75"/>
        <v>46153.449943639287</v>
      </c>
      <c r="B240" s="46"/>
      <c r="C240" s="260"/>
      <c r="D240" s="46"/>
      <c r="E240" s="47" t="s">
        <v>1896</v>
      </c>
      <c r="F240" s="56" t="s">
        <v>4620</v>
      </c>
      <c r="G240" s="56"/>
      <c r="H240" s="98" t="s">
        <v>4621</v>
      </c>
      <c r="I240" s="104" t="s">
        <v>4375</v>
      </c>
      <c r="J240" s="491" t="s">
        <v>140</v>
      </c>
      <c r="K240" s="91">
        <v>0</v>
      </c>
      <c r="L240" s="91">
        <v>0</v>
      </c>
      <c r="M240" s="92">
        <v>60</v>
      </c>
      <c r="N240" s="92">
        <v>2496</v>
      </c>
      <c r="O240" s="92">
        <v>1</v>
      </c>
      <c r="P240" s="92">
        <f t="shared" si="73"/>
        <v>2496</v>
      </c>
      <c r="Q240" s="92"/>
      <c r="R240" s="92">
        <v>2496</v>
      </c>
      <c r="S240" s="92">
        <f t="shared" si="69"/>
        <v>0</v>
      </c>
      <c r="T240" s="102">
        <f t="shared" si="70"/>
        <v>1440</v>
      </c>
      <c r="U240" s="101">
        <f t="shared" si="71"/>
        <v>0</v>
      </c>
      <c r="V240" s="101">
        <f t="shared" si="72"/>
        <v>0</v>
      </c>
      <c r="W240" s="101">
        <v>0</v>
      </c>
      <c r="X240" s="55">
        <f t="shared" si="74"/>
        <v>46153.449943639287</v>
      </c>
    </row>
    <row r="241" spans="1:24" hidden="1" x14ac:dyDescent="0.35">
      <c r="A241" s="46">
        <f t="shared" si="75"/>
        <v>46153.449943639287</v>
      </c>
      <c r="B241" s="46"/>
      <c r="C241" s="260"/>
      <c r="D241" s="46"/>
      <c r="E241" s="47" t="s">
        <v>1896</v>
      </c>
      <c r="F241" s="99" t="s">
        <v>4454</v>
      </c>
      <c r="G241" s="99"/>
      <c r="H241" s="98" t="s">
        <v>4622</v>
      </c>
      <c r="I241" s="104" t="s">
        <v>4375</v>
      </c>
      <c r="J241" s="491" t="s">
        <v>140</v>
      </c>
      <c r="K241" s="91">
        <v>0</v>
      </c>
      <c r="L241" s="91">
        <v>0</v>
      </c>
      <c r="M241" s="92">
        <v>60</v>
      </c>
      <c r="N241" s="92">
        <v>1248</v>
      </c>
      <c r="O241" s="92">
        <v>1</v>
      </c>
      <c r="P241" s="92">
        <f t="shared" si="73"/>
        <v>1248</v>
      </c>
      <c r="Q241" s="92"/>
      <c r="R241" s="92">
        <v>1248</v>
      </c>
      <c r="S241" s="92">
        <f t="shared" si="69"/>
        <v>0</v>
      </c>
      <c r="T241" s="102">
        <f t="shared" si="70"/>
        <v>1440</v>
      </c>
      <c r="U241" s="101">
        <f t="shared" si="71"/>
        <v>0</v>
      </c>
      <c r="V241" s="101">
        <f t="shared" si="72"/>
        <v>0</v>
      </c>
      <c r="W241" s="101">
        <v>0</v>
      </c>
      <c r="X241" s="55">
        <f t="shared" si="74"/>
        <v>46153.449943639287</v>
      </c>
    </row>
    <row r="242" spans="1:24" hidden="1" x14ac:dyDescent="0.35">
      <c r="A242" s="46">
        <f t="shared" si="75"/>
        <v>46153.449943639287</v>
      </c>
      <c r="B242" s="46"/>
      <c r="C242" s="260"/>
      <c r="D242" s="46"/>
      <c r="E242" s="47" t="s">
        <v>4321</v>
      </c>
      <c r="F242" s="82" t="s">
        <v>900</v>
      </c>
      <c r="G242" s="82" t="s">
        <v>315</v>
      </c>
      <c r="H242" s="98" t="s">
        <v>4623</v>
      </c>
      <c r="I242" s="82" t="s">
        <v>3491</v>
      </c>
      <c r="J242" s="100" t="s">
        <v>140</v>
      </c>
      <c r="K242" s="91">
        <v>0</v>
      </c>
      <c r="L242" s="91">
        <v>0</v>
      </c>
      <c r="M242" s="92">
        <v>110</v>
      </c>
      <c r="N242" s="92">
        <v>10000</v>
      </c>
      <c r="O242" s="92">
        <v>4</v>
      </c>
      <c r="P242" s="92">
        <f t="shared" si="73"/>
        <v>2500</v>
      </c>
      <c r="Q242" s="92"/>
      <c r="R242" s="92">
        <v>2500</v>
      </c>
      <c r="S242" s="92">
        <f t="shared" ref="S242:S266" si="76">P242-R242</f>
        <v>0</v>
      </c>
      <c r="T242" s="102">
        <f t="shared" ref="T242:T258" si="77">((3600/M242)*O242)*24</f>
        <v>3141.818181818182</v>
      </c>
      <c r="U242" s="101">
        <f t="shared" ref="U242:U258" si="78">(P242-R242)*M242/3600</f>
        <v>0</v>
      </c>
      <c r="V242" s="101">
        <f t="shared" ref="V242:V258" si="79">(P242-R242)*M242/3600/24</f>
        <v>0</v>
      </c>
      <c r="W242" s="101">
        <v>0</v>
      </c>
      <c r="X242" s="55">
        <f t="shared" si="74"/>
        <v>46153.449943639287</v>
      </c>
    </row>
    <row r="243" spans="1:24" ht="26.5" hidden="1" x14ac:dyDescent="0.35">
      <c r="A243" s="123">
        <f t="shared" si="75"/>
        <v>46153.449943639287</v>
      </c>
      <c r="B243" s="123"/>
      <c r="C243" s="190"/>
      <c r="D243" s="123"/>
      <c r="E243" s="124" t="s">
        <v>4321</v>
      </c>
      <c r="F243" s="187" t="s">
        <v>1856</v>
      </c>
      <c r="G243" s="187" t="s">
        <v>315</v>
      </c>
      <c r="H243" s="126" t="s">
        <v>4624</v>
      </c>
      <c r="I243" s="159" t="s">
        <v>4359</v>
      </c>
      <c r="J243" s="175" t="s">
        <v>140</v>
      </c>
      <c r="K243" s="163">
        <v>0</v>
      </c>
      <c r="L243" s="163">
        <v>0</v>
      </c>
      <c r="M243" s="164">
        <v>45</v>
      </c>
      <c r="N243" s="165">
        <v>3000</v>
      </c>
      <c r="O243" s="164">
        <v>1</v>
      </c>
      <c r="P243" s="165">
        <f t="shared" si="73"/>
        <v>3000</v>
      </c>
      <c r="Q243" s="165"/>
      <c r="R243" s="164">
        <v>3000</v>
      </c>
      <c r="S243" s="164">
        <f t="shared" si="76"/>
        <v>0</v>
      </c>
      <c r="T243" s="164">
        <f t="shared" si="77"/>
        <v>1920</v>
      </c>
      <c r="U243" s="163">
        <f t="shared" si="78"/>
        <v>0</v>
      </c>
      <c r="V243" s="163">
        <f t="shared" si="79"/>
        <v>0</v>
      </c>
      <c r="W243" s="163">
        <v>0</v>
      </c>
      <c r="X243" s="137">
        <f t="shared" si="74"/>
        <v>46153.449943639287</v>
      </c>
    </row>
    <row r="244" spans="1:24" s="109" customFormat="1" ht="26" hidden="1" x14ac:dyDescent="0.3">
      <c r="A244" s="46">
        <f t="shared" si="75"/>
        <v>46153.449943639287</v>
      </c>
      <c r="B244" s="46"/>
      <c r="C244" s="260"/>
      <c r="D244" s="46"/>
      <c r="E244" s="47" t="s">
        <v>4321</v>
      </c>
      <c r="F244" s="82" t="s">
        <v>4625</v>
      </c>
      <c r="G244" s="82" t="s">
        <v>780</v>
      </c>
      <c r="H244" s="98" t="s">
        <v>4626</v>
      </c>
      <c r="I244" s="99" t="s">
        <v>3473</v>
      </c>
      <c r="J244" s="100" t="s">
        <v>140</v>
      </c>
      <c r="K244" s="91">
        <v>0</v>
      </c>
      <c r="L244" s="91">
        <v>0</v>
      </c>
      <c r="M244" s="92">
        <v>40</v>
      </c>
      <c r="N244" s="829">
        <v>20000</v>
      </c>
      <c r="O244" s="92">
        <v>8</v>
      </c>
      <c r="P244" s="94">
        <f t="shared" si="73"/>
        <v>2500</v>
      </c>
      <c r="Q244" s="94"/>
      <c r="R244" s="102">
        <v>2500</v>
      </c>
      <c r="S244" s="92">
        <f t="shared" si="76"/>
        <v>0</v>
      </c>
      <c r="T244" s="102">
        <f t="shared" si="77"/>
        <v>17280</v>
      </c>
      <c r="U244" s="101">
        <f t="shared" si="78"/>
        <v>0</v>
      </c>
      <c r="V244" s="101">
        <f t="shared" si="79"/>
        <v>0</v>
      </c>
      <c r="W244" s="101">
        <v>0</v>
      </c>
      <c r="X244" s="55">
        <f>A244+K244+L244+V244+W244</f>
        <v>46153.449943639287</v>
      </c>
    </row>
    <row r="245" spans="1:24" s="588" customFormat="1" ht="13" hidden="1" x14ac:dyDescent="0.3">
      <c r="A245" s="46">
        <f t="shared" si="75"/>
        <v>46153.449943639287</v>
      </c>
      <c r="B245" s="46"/>
      <c r="C245" s="260"/>
      <c r="D245" s="46"/>
      <c r="E245" s="47" t="s">
        <v>4321</v>
      </c>
      <c r="F245" s="82" t="s">
        <v>1868</v>
      </c>
      <c r="G245" s="82" t="s">
        <v>3513</v>
      </c>
      <c r="H245" s="98" t="s">
        <v>4627</v>
      </c>
      <c r="I245" s="82" t="s">
        <v>4515</v>
      </c>
      <c r="J245" s="100" t="s">
        <v>140</v>
      </c>
      <c r="K245" s="91">
        <v>0</v>
      </c>
      <c r="L245" s="91">
        <v>0</v>
      </c>
      <c r="M245" s="92">
        <v>95</v>
      </c>
      <c r="N245" s="94">
        <f>35000-20842</f>
        <v>14158</v>
      </c>
      <c r="O245" s="92">
        <v>2</v>
      </c>
      <c r="P245" s="94">
        <f t="shared" si="73"/>
        <v>7079</v>
      </c>
      <c r="Q245" s="94"/>
      <c r="R245" s="92">
        <v>7079</v>
      </c>
      <c r="S245" s="92">
        <f t="shared" si="76"/>
        <v>0</v>
      </c>
      <c r="T245" s="102">
        <f t="shared" si="77"/>
        <v>1818.9473684210525</v>
      </c>
      <c r="U245" s="101">
        <f t="shared" si="78"/>
        <v>0</v>
      </c>
      <c r="V245" s="101">
        <f t="shared" si="79"/>
        <v>0</v>
      </c>
      <c r="W245" s="101">
        <v>0</v>
      </c>
      <c r="X245" s="55">
        <f>A245+K245+L245+V245+W245</f>
        <v>46153.449943639287</v>
      </c>
    </row>
    <row r="246" spans="1:24" hidden="1" x14ac:dyDescent="0.35">
      <c r="A246" s="46">
        <f t="shared" si="75"/>
        <v>46153.449943639287</v>
      </c>
      <c r="B246" s="46"/>
      <c r="C246" s="260"/>
      <c r="D246" s="46"/>
      <c r="E246" s="47" t="s">
        <v>4321</v>
      </c>
      <c r="F246" s="803" t="s">
        <v>4628</v>
      </c>
      <c r="G246" s="803" t="s">
        <v>327</v>
      </c>
      <c r="H246" s="804" t="s">
        <v>4629</v>
      </c>
      <c r="I246" s="805" t="s">
        <v>4363</v>
      </c>
      <c r="J246" s="805" t="s">
        <v>140</v>
      </c>
      <c r="K246" s="101">
        <v>0</v>
      </c>
      <c r="L246" s="101">
        <v>0</v>
      </c>
      <c r="M246" s="807">
        <v>34</v>
      </c>
      <c r="N246" s="806">
        <f>6000*15</f>
        <v>90000</v>
      </c>
      <c r="O246" s="807">
        <v>6</v>
      </c>
      <c r="P246" s="806">
        <f t="shared" si="73"/>
        <v>15000</v>
      </c>
      <c r="Q246" s="806"/>
      <c r="R246" s="806">
        <v>15000</v>
      </c>
      <c r="S246" s="806">
        <f t="shared" si="76"/>
        <v>0</v>
      </c>
      <c r="T246" s="807">
        <f t="shared" si="77"/>
        <v>15247.058823529411</v>
      </c>
      <c r="U246" s="854">
        <f t="shared" si="78"/>
        <v>0</v>
      </c>
      <c r="V246" s="101">
        <f t="shared" si="79"/>
        <v>0</v>
      </c>
      <c r="W246" s="101">
        <v>0</v>
      </c>
      <c r="X246" s="255">
        <f>A246+K246+L246+V246+W246</f>
        <v>46153.449943639287</v>
      </c>
    </row>
    <row r="247" spans="1:24" s="118" customFormat="1" hidden="1" x14ac:dyDescent="0.35">
      <c r="A247" s="46">
        <f t="shared" si="75"/>
        <v>46153.449943639287</v>
      </c>
      <c r="B247" s="46"/>
      <c r="C247" s="260"/>
      <c r="D247" s="46"/>
      <c r="E247" s="810" t="s">
        <v>4540</v>
      </c>
      <c r="F247" s="82" t="s">
        <v>900</v>
      </c>
      <c r="G247" s="82" t="s">
        <v>3513</v>
      </c>
      <c r="H247" s="98" t="s">
        <v>4630</v>
      </c>
      <c r="I247" s="82" t="s">
        <v>3491</v>
      </c>
      <c r="J247" s="100" t="s">
        <v>140</v>
      </c>
      <c r="K247" s="91">
        <v>0</v>
      </c>
      <c r="L247" s="91">
        <v>0</v>
      </c>
      <c r="M247" s="92">
        <v>110</v>
      </c>
      <c r="N247" s="94">
        <v>10000</v>
      </c>
      <c r="O247" s="253">
        <v>4</v>
      </c>
      <c r="P247" s="94">
        <f t="shared" si="73"/>
        <v>2500</v>
      </c>
      <c r="Q247" s="94"/>
      <c r="R247" s="92">
        <v>2500</v>
      </c>
      <c r="S247" s="92">
        <f t="shared" si="76"/>
        <v>0</v>
      </c>
      <c r="T247" s="173">
        <f t="shared" si="77"/>
        <v>3141.818181818182</v>
      </c>
      <c r="U247" s="101">
        <f t="shared" si="78"/>
        <v>0</v>
      </c>
      <c r="V247" s="101">
        <f t="shared" si="79"/>
        <v>0</v>
      </c>
      <c r="W247" s="101">
        <v>0</v>
      </c>
      <c r="X247" s="696">
        <f>A247+K247+V247+W247+L247</f>
        <v>46153.449943639287</v>
      </c>
    </row>
    <row r="248" spans="1:24" hidden="1" x14ac:dyDescent="0.35">
      <c r="A248" s="71">
        <f t="shared" si="75"/>
        <v>46153.449943639287</v>
      </c>
      <c r="B248" s="71"/>
      <c r="C248" s="180"/>
      <c r="D248" s="71"/>
      <c r="E248" s="119" t="s">
        <v>4321</v>
      </c>
      <c r="F248" s="97" t="s">
        <v>4328</v>
      </c>
      <c r="G248" s="97" t="s">
        <v>792</v>
      </c>
      <c r="H248" s="98" t="s">
        <v>4631</v>
      </c>
      <c r="I248" s="71" t="s">
        <v>4632</v>
      </c>
      <c r="J248" s="100" t="s">
        <v>140</v>
      </c>
      <c r="K248" s="101">
        <v>0</v>
      </c>
      <c r="L248" s="101">
        <v>0</v>
      </c>
      <c r="M248" s="102">
        <v>60</v>
      </c>
      <c r="N248" s="103">
        <v>7000</v>
      </c>
      <c r="O248" s="102">
        <v>4</v>
      </c>
      <c r="P248" s="103">
        <f t="shared" si="73"/>
        <v>1750</v>
      </c>
      <c r="Q248" s="103"/>
      <c r="R248" s="103">
        <v>1750</v>
      </c>
      <c r="S248" s="102">
        <f t="shared" si="76"/>
        <v>0</v>
      </c>
      <c r="T248" s="102">
        <f t="shared" si="77"/>
        <v>5760</v>
      </c>
      <c r="U248" s="101">
        <f t="shared" si="78"/>
        <v>0</v>
      </c>
      <c r="V248" s="101">
        <f t="shared" si="79"/>
        <v>0</v>
      </c>
      <c r="W248" s="101">
        <v>0</v>
      </c>
      <c r="X248" s="255">
        <f>A248+K248+V248+W248+L248</f>
        <v>46153.449943639287</v>
      </c>
    </row>
    <row r="249" spans="1:24" hidden="1" x14ac:dyDescent="0.35">
      <c r="A249" s="46">
        <f t="shared" si="75"/>
        <v>46153.449943639287</v>
      </c>
      <c r="B249" s="46"/>
      <c r="C249" s="260"/>
      <c r="D249" s="46"/>
      <c r="E249" s="590" t="s">
        <v>1896</v>
      </c>
      <c r="F249" s="97" t="s">
        <v>4633</v>
      </c>
      <c r="G249" s="97" t="s">
        <v>792</v>
      </c>
      <c r="H249" s="107" t="s">
        <v>4594</v>
      </c>
      <c r="I249" s="855" t="s">
        <v>4324</v>
      </c>
      <c r="J249" s="100" t="s">
        <v>140</v>
      </c>
      <c r="K249" s="91">
        <v>0</v>
      </c>
      <c r="L249" s="91">
        <v>0</v>
      </c>
      <c r="M249" s="345">
        <v>70</v>
      </c>
      <c r="N249" s="94">
        <v>7623</v>
      </c>
      <c r="O249" s="92">
        <v>1</v>
      </c>
      <c r="P249" s="94">
        <f t="shared" si="73"/>
        <v>7623</v>
      </c>
      <c r="Q249" s="94"/>
      <c r="R249" s="92">
        <v>7623</v>
      </c>
      <c r="S249" s="92">
        <f t="shared" si="76"/>
        <v>0</v>
      </c>
      <c r="T249" s="102">
        <f t="shared" si="77"/>
        <v>1234.2857142857142</v>
      </c>
      <c r="U249" s="101">
        <f t="shared" si="78"/>
        <v>0</v>
      </c>
      <c r="V249" s="101">
        <f t="shared" si="79"/>
        <v>0</v>
      </c>
      <c r="W249" s="101">
        <v>0</v>
      </c>
      <c r="X249" s="55">
        <f>A249+K249+L249+V249+W249</f>
        <v>46153.449943639287</v>
      </c>
    </row>
    <row r="250" spans="1:24" hidden="1" x14ac:dyDescent="0.35">
      <c r="A250" s="46">
        <f t="shared" si="75"/>
        <v>46153.449943639287</v>
      </c>
      <c r="B250" s="46"/>
      <c r="C250" s="260"/>
      <c r="D250" s="46"/>
      <c r="E250" s="47" t="s">
        <v>4321</v>
      </c>
      <c r="F250" s="97" t="s">
        <v>1264</v>
      </c>
      <c r="G250" s="82" t="s">
        <v>3510</v>
      </c>
      <c r="H250" s="98" t="s">
        <v>4634</v>
      </c>
      <c r="I250" s="82" t="s">
        <v>3512</v>
      </c>
      <c r="J250" s="51" t="s">
        <v>140</v>
      </c>
      <c r="K250" s="91">
        <v>0</v>
      </c>
      <c r="L250" s="91">
        <v>0</v>
      </c>
      <c r="M250" s="92">
        <v>75</v>
      </c>
      <c r="N250" s="94">
        <v>7000</v>
      </c>
      <c r="O250" s="92">
        <v>1</v>
      </c>
      <c r="P250" s="94">
        <f t="shared" si="73"/>
        <v>7000</v>
      </c>
      <c r="Q250" s="94"/>
      <c r="R250" s="92">
        <v>7000</v>
      </c>
      <c r="S250" s="92">
        <f t="shared" si="76"/>
        <v>0</v>
      </c>
      <c r="T250" s="92">
        <f t="shared" si="77"/>
        <v>1152</v>
      </c>
      <c r="U250" s="91">
        <f t="shared" si="78"/>
        <v>0</v>
      </c>
      <c r="V250" s="91">
        <f t="shared" si="79"/>
        <v>0</v>
      </c>
      <c r="W250" s="91">
        <v>0</v>
      </c>
      <c r="X250" s="55">
        <f>A250+K250+V250+W250+L250</f>
        <v>46153.449943639287</v>
      </c>
    </row>
    <row r="251" spans="1:24" hidden="1" x14ac:dyDescent="0.35">
      <c r="A251" s="46">
        <f t="shared" si="75"/>
        <v>46153.449943639287</v>
      </c>
      <c r="B251" s="46"/>
      <c r="C251" s="260"/>
      <c r="D251" s="46"/>
      <c r="E251" s="47" t="s">
        <v>4321</v>
      </c>
      <c r="F251" s="97" t="s">
        <v>900</v>
      </c>
      <c r="G251" s="97"/>
      <c r="H251" s="108">
        <v>13229</v>
      </c>
      <c r="I251" s="82" t="s">
        <v>4582</v>
      </c>
      <c r="J251" s="51" t="s">
        <v>140</v>
      </c>
      <c r="K251" s="91">
        <v>0</v>
      </c>
      <c r="L251" s="91">
        <v>0</v>
      </c>
      <c r="M251" s="92">
        <v>50</v>
      </c>
      <c r="N251" s="94">
        <v>10000</v>
      </c>
      <c r="O251" s="92">
        <v>4</v>
      </c>
      <c r="P251" s="94">
        <f t="shared" si="73"/>
        <v>2500</v>
      </c>
      <c r="Q251" s="94"/>
      <c r="R251" s="92">
        <v>2500</v>
      </c>
      <c r="S251" s="92">
        <f t="shared" si="76"/>
        <v>0</v>
      </c>
      <c r="T251" s="92">
        <f t="shared" si="77"/>
        <v>6912</v>
      </c>
      <c r="U251" s="91">
        <f t="shared" si="78"/>
        <v>0</v>
      </c>
      <c r="V251" s="91">
        <f t="shared" si="79"/>
        <v>0</v>
      </c>
      <c r="W251" s="91">
        <v>0</v>
      </c>
      <c r="X251" s="55">
        <f>A251+K251+V251+W251+L251</f>
        <v>46153.449943639287</v>
      </c>
    </row>
    <row r="252" spans="1:24" hidden="1" x14ac:dyDescent="0.35">
      <c r="A252" s="46">
        <f t="shared" si="75"/>
        <v>46153.449943639287</v>
      </c>
      <c r="B252" s="46"/>
      <c r="C252" s="260"/>
      <c r="D252" s="46"/>
      <c r="E252" s="47" t="s">
        <v>4321</v>
      </c>
      <c r="F252" s="82" t="s">
        <v>355</v>
      </c>
      <c r="G252" s="82" t="s">
        <v>359</v>
      </c>
      <c r="H252" s="98" t="s">
        <v>4635</v>
      </c>
      <c r="I252" s="71" t="s">
        <v>4636</v>
      </c>
      <c r="J252" s="100" t="s">
        <v>140</v>
      </c>
      <c r="K252" s="91">
        <v>0</v>
      </c>
      <c r="L252" s="91">
        <v>0</v>
      </c>
      <c r="M252" s="92">
        <v>42</v>
      </c>
      <c r="N252" s="94">
        <f>60000-24000</f>
        <v>36000</v>
      </c>
      <c r="O252" s="92">
        <v>4</v>
      </c>
      <c r="P252" s="94">
        <f t="shared" si="73"/>
        <v>9000</v>
      </c>
      <c r="Q252" s="94"/>
      <c r="R252" s="92">
        <v>9000</v>
      </c>
      <c r="S252" s="92">
        <f t="shared" si="76"/>
        <v>0</v>
      </c>
      <c r="T252" s="102">
        <f t="shared" si="77"/>
        <v>8228.5714285714275</v>
      </c>
      <c r="U252" s="101">
        <f t="shared" si="78"/>
        <v>0</v>
      </c>
      <c r="V252" s="101">
        <f t="shared" si="79"/>
        <v>0</v>
      </c>
      <c r="W252" s="101">
        <v>0</v>
      </c>
      <c r="X252" s="55">
        <f>A252+K252+L252+V252+W252</f>
        <v>46153.449943639287</v>
      </c>
    </row>
    <row r="253" spans="1:24" hidden="1" x14ac:dyDescent="0.35">
      <c r="A253" s="71">
        <f t="shared" si="75"/>
        <v>46153.449943639287</v>
      </c>
      <c r="B253" s="71"/>
      <c r="C253" s="180"/>
      <c r="D253" s="71"/>
      <c r="E253" s="119" t="s">
        <v>4321</v>
      </c>
      <c r="F253" s="97" t="s">
        <v>4328</v>
      </c>
      <c r="G253" s="97" t="s">
        <v>359</v>
      </c>
      <c r="H253" s="98" t="s">
        <v>4329</v>
      </c>
      <c r="I253" s="71" t="s">
        <v>4330</v>
      </c>
      <c r="J253" s="100" t="s">
        <v>140</v>
      </c>
      <c r="K253" s="101">
        <v>0</v>
      </c>
      <c r="L253" s="101">
        <v>0</v>
      </c>
      <c r="M253" s="102">
        <v>60</v>
      </c>
      <c r="N253" s="103">
        <v>6000</v>
      </c>
      <c r="O253" s="102">
        <v>2</v>
      </c>
      <c r="P253" s="103">
        <f t="shared" si="73"/>
        <v>3000</v>
      </c>
      <c r="Q253" s="103"/>
      <c r="R253" s="103">
        <v>3000</v>
      </c>
      <c r="S253" s="102">
        <f t="shared" si="76"/>
        <v>0</v>
      </c>
      <c r="T253" s="102">
        <f t="shared" si="77"/>
        <v>2880</v>
      </c>
      <c r="U253" s="101">
        <f t="shared" si="78"/>
        <v>0</v>
      </c>
      <c r="V253" s="101">
        <f t="shared" si="79"/>
        <v>0</v>
      </c>
      <c r="W253" s="101">
        <v>0</v>
      </c>
      <c r="X253" s="255">
        <f>A253+K253+V253+W253+L253</f>
        <v>46153.449943639287</v>
      </c>
    </row>
    <row r="254" spans="1:24" hidden="1" x14ac:dyDescent="0.35">
      <c r="A254" s="46">
        <f t="shared" si="75"/>
        <v>46153.449943639287</v>
      </c>
      <c r="B254" s="46"/>
      <c r="C254" s="260"/>
      <c r="D254" s="46"/>
      <c r="E254" s="47" t="s">
        <v>4321</v>
      </c>
      <c r="F254" s="82" t="s">
        <v>4322</v>
      </c>
      <c r="G254" s="82" t="s">
        <v>359</v>
      </c>
      <c r="H254" s="98" t="s">
        <v>4637</v>
      </c>
      <c r="I254" s="82" t="s">
        <v>4515</v>
      </c>
      <c r="J254" s="100" t="s">
        <v>140</v>
      </c>
      <c r="K254" s="91">
        <v>0</v>
      </c>
      <c r="L254" s="91">
        <v>0</v>
      </c>
      <c r="M254" s="92">
        <v>95</v>
      </c>
      <c r="N254" s="94">
        <v>9000</v>
      </c>
      <c r="O254" s="92">
        <v>2</v>
      </c>
      <c r="P254" s="94">
        <f t="shared" ref="P254:P266" si="80">N254/O254</f>
        <v>4500</v>
      </c>
      <c r="Q254" s="94"/>
      <c r="R254" s="92">
        <v>4500</v>
      </c>
      <c r="S254" s="92">
        <f t="shared" si="76"/>
        <v>0</v>
      </c>
      <c r="T254" s="102">
        <f t="shared" si="77"/>
        <v>1818.9473684210525</v>
      </c>
      <c r="U254" s="101">
        <f t="shared" si="78"/>
        <v>0</v>
      </c>
      <c r="V254" s="101">
        <f t="shared" si="79"/>
        <v>0</v>
      </c>
      <c r="W254" s="101">
        <v>0</v>
      </c>
      <c r="X254" s="55">
        <f>A254+K254+L254+V254+W254</f>
        <v>46153.449943639287</v>
      </c>
    </row>
    <row r="255" spans="1:24" hidden="1" x14ac:dyDescent="0.35">
      <c r="A255" s="46">
        <f t="shared" si="75"/>
        <v>46153.449943639287</v>
      </c>
      <c r="B255" s="46"/>
      <c r="C255" s="260"/>
      <c r="D255" s="46"/>
      <c r="E255" s="47" t="s">
        <v>4321</v>
      </c>
      <c r="F255" s="97" t="s">
        <v>4638</v>
      </c>
      <c r="G255" s="97" t="s">
        <v>830</v>
      </c>
      <c r="H255" s="108">
        <v>13356</v>
      </c>
      <c r="I255" s="82" t="s">
        <v>4639</v>
      </c>
      <c r="J255" s="51" t="s">
        <v>140</v>
      </c>
      <c r="K255" s="91">
        <v>0</v>
      </c>
      <c r="L255" s="91">
        <v>0</v>
      </c>
      <c r="M255" s="345">
        <v>34</v>
      </c>
      <c r="N255" s="94">
        <v>10000</v>
      </c>
      <c r="O255" s="92">
        <v>1</v>
      </c>
      <c r="P255" s="94">
        <f t="shared" si="80"/>
        <v>10000</v>
      </c>
      <c r="Q255" s="94"/>
      <c r="R255" s="92">
        <v>10000</v>
      </c>
      <c r="S255" s="92">
        <f t="shared" si="76"/>
        <v>0</v>
      </c>
      <c r="T255" s="92">
        <f t="shared" si="77"/>
        <v>2541.1764705882351</v>
      </c>
      <c r="U255" s="91">
        <f t="shared" si="78"/>
        <v>0</v>
      </c>
      <c r="V255" s="91">
        <f t="shared" si="79"/>
        <v>0</v>
      </c>
      <c r="W255" s="91">
        <v>0</v>
      </c>
      <c r="X255" s="55">
        <f>A255+K255+V255+W255+L255</f>
        <v>46153.449943639287</v>
      </c>
    </row>
    <row r="256" spans="1:24" s="511" customFormat="1" hidden="1" x14ac:dyDescent="0.35">
      <c r="A256" s="46">
        <f t="shared" si="75"/>
        <v>46153.449943639287</v>
      </c>
      <c r="B256" s="46"/>
      <c r="C256" s="260"/>
      <c r="D256" s="46"/>
      <c r="E256" s="47" t="s">
        <v>4321</v>
      </c>
      <c r="F256" s="97" t="s">
        <v>900</v>
      </c>
      <c r="G256" s="97"/>
      <c r="H256" s="108">
        <v>13028</v>
      </c>
      <c r="I256" s="82" t="s">
        <v>4582</v>
      </c>
      <c r="J256" s="51" t="s">
        <v>140</v>
      </c>
      <c r="K256" s="91">
        <v>0</v>
      </c>
      <c r="L256" s="91">
        <v>0</v>
      </c>
      <c r="M256" s="92">
        <v>50</v>
      </c>
      <c r="N256" s="94">
        <v>14000</v>
      </c>
      <c r="O256" s="92">
        <v>4</v>
      </c>
      <c r="P256" s="94">
        <f t="shared" si="80"/>
        <v>3500</v>
      </c>
      <c r="Q256" s="94"/>
      <c r="R256" s="92">
        <v>3500</v>
      </c>
      <c r="S256" s="92">
        <f t="shared" si="76"/>
        <v>0</v>
      </c>
      <c r="T256" s="92">
        <f t="shared" si="77"/>
        <v>6912</v>
      </c>
      <c r="U256" s="91">
        <f t="shared" si="78"/>
        <v>0</v>
      </c>
      <c r="V256" s="91">
        <f t="shared" si="79"/>
        <v>0</v>
      </c>
      <c r="W256" s="91">
        <v>0</v>
      </c>
      <c r="X256" s="55">
        <f>A256+K256+V256+W256+L256</f>
        <v>46153.449943639287</v>
      </c>
    </row>
    <row r="257" spans="1:24" s="511" customFormat="1" hidden="1" x14ac:dyDescent="0.35">
      <c r="A257" s="46">
        <f t="shared" si="75"/>
        <v>46153.449943639287</v>
      </c>
      <c r="B257" s="46"/>
      <c r="C257" s="260"/>
      <c r="D257" s="46"/>
      <c r="E257" s="47" t="s">
        <v>4321</v>
      </c>
      <c r="F257" s="97" t="s">
        <v>900</v>
      </c>
      <c r="G257" s="97" t="s">
        <v>839</v>
      </c>
      <c r="H257" s="108">
        <v>13416</v>
      </c>
      <c r="I257" s="82" t="s">
        <v>4582</v>
      </c>
      <c r="J257" s="51" t="s">
        <v>140</v>
      </c>
      <c r="K257" s="91">
        <v>0</v>
      </c>
      <c r="L257" s="91">
        <v>0</v>
      </c>
      <c r="M257" s="92">
        <v>50</v>
      </c>
      <c r="N257" s="94">
        <v>18804</v>
      </c>
      <c r="O257" s="92">
        <v>4</v>
      </c>
      <c r="P257" s="94">
        <f t="shared" si="80"/>
        <v>4701</v>
      </c>
      <c r="Q257" s="94"/>
      <c r="R257" s="92">
        <v>4701</v>
      </c>
      <c r="S257" s="92">
        <f t="shared" si="76"/>
        <v>0</v>
      </c>
      <c r="T257" s="92">
        <f t="shared" si="77"/>
        <v>6912</v>
      </c>
      <c r="U257" s="91">
        <f t="shared" si="78"/>
        <v>0</v>
      </c>
      <c r="V257" s="91">
        <f t="shared" si="79"/>
        <v>0</v>
      </c>
      <c r="W257" s="91">
        <v>0</v>
      </c>
      <c r="X257" s="55">
        <f>A257+K257+V257+W257+L257</f>
        <v>46153.449943639287</v>
      </c>
    </row>
    <row r="258" spans="1:24" s="511" customFormat="1" hidden="1" x14ac:dyDescent="0.35">
      <c r="A258" s="46">
        <f t="shared" si="75"/>
        <v>46153.449943639287</v>
      </c>
      <c r="B258" s="46"/>
      <c r="C258" s="260"/>
      <c r="D258" s="46"/>
      <c r="E258" s="47" t="s">
        <v>4321</v>
      </c>
      <c r="F258" s="97" t="s">
        <v>355</v>
      </c>
      <c r="G258" s="97" t="s">
        <v>839</v>
      </c>
      <c r="H258" s="98" t="s">
        <v>4640</v>
      </c>
      <c r="I258" s="82" t="s">
        <v>4515</v>
      </c>
      <c r="J258" s="100" t="s">
        <v>140</v>
      </c>
      <c r="K258" s="91">
        <v>0</v>
      </c>
      <c r="L258" s="91">
        <v>0</v>
      </c>
      <c r="M258" s="92">
        <v>95</v>
      </c>
      <c r="N258" s="94">
        <f>15000-7800</f>
        <v>7200</v>
      </c>
      <c r="O258" s="92">
        <v>2</v>
      </c>
      <c r="P258" s="94">
        <f t="shared" si="80"/>
        <v>3600</v>
      </c>
      <c r="Q258" s="94"/>
      <c r="R258" s="92">
        <v>3600</v>
      </c>
      <c r="S258" s="92">
        <f t="shared" si="76"/>
        <v>0</v>
      </c>
      <c r="T258" s="102">
        <f t="shared" si="77"/>
        <v>1818.9473684210525</v>
      </c>
      <c r="U258" s="101">
        <f t="shared" si="78"/>
        <v>0</v>
      </c>
      <c r="V258" s="101">
        <f t="shared" si="79"/>
        <v>0</v>
      </c>
      <c r="W258" s="101">
        <v>0</v>
      </c>
      <c r="X258" s="55">
        <f>A258+K258+L258+V258+W258</f>
        <v>46153.449943639287</v>
      </c>
    </row>
    <row r="259" spans="1:24" s="511" customFormat="1" hidden="1" x14ac:dyDescent="0.35">
      <c r="A259" s="46">
        <f t="shared" si="75"/>
        <v>46153.449943639287</v>
      </c>
      <c r="B259" s="46">
        <v>46059</v>
      </c>
      <c r="C259" s="260">
        <f t="shared" ref="C259:C266" si="81">B259-A259</f>
        <v>-94.449943639287085</v>
      </c>
      <c r="D259" s="260"/>
      <c r="E259" s="47" t="s">
        <v>4321</v>
      </c>
      <c r="F259" s="97" t="s">
        <v>900</v>
      </c>
      <c r="G259" s="97" t="s">
        <v>839</v>
      </c>
      <c r="H259" s="108">
        <v>13416</v>
      </c>
      <c r="I259" s="82" t="s">
        <v>4582</v>
      </c>
      <c r="J259" s="51" t="s">
        <v>140</v>
      </c>
      <c r="K259" s="91">
        <v>0</v>
      </c>
      <c r="L259" s="91">
        <v>0</v>
      </c>
      <c r="M259" s="92">
        <v>50</v>
      </c>
      <c r="N259" s="94">
        <v>13333</v>
      </c>
      <c r="O259" s="829">
        <v>3</v>
      </c>
      <c r="P259" s="94">
        <f t="shared" si="80"/>
        <v>4444.333333333333</v>
      </c>
      <c r="Q259" s="181">
        <v>0.8</v>
      </c>
      <c r="R259" s="92">
        <v>4444</v>
      </c>
      <c r="S259" s="103">
        <f t="shared" si="76"/>
        <v>0.33333333333303017</v>
      </c>
      <c r="T259" s="173">
        <f t="shared" ref="T259:T266" si="82">((3600/M259)*O259)*24*Q259</f>
        <v>4147.2</v>
      </c>
      <c r="U259" s="101">
        <f t="shared" ref="U259:U266" si="83">(P259-R259)*M259/3600/Q259</f>
        <v>5.7870370370317736E-3</v>
      </c>
      <c r="V259" s="101">
        <f t="shared" ref="V259:V266" si="84">U259/24</f>
        <v>2.4112654320965722E-4</v>
      </c>
      <c r="W259" s="101">
        <v>0</v>
      </c>
      <c r="X259" s="55">
        <f>A259+K259+V259+W259+L259</f>
        <v>46153.450184765832</v>
      </c>
    </row>
    <row r="260" spans="1:24" s="511" customFormat="1" ht="26.5" hidden="1" x14ac:dyDescent="0.35">
      <c r="A260" s="46">
        <f t="shared" si="75"/>
        <v>46153.450184765832</v>
      </c>
      <c r="B260" s="46">
        <v>46084</v>
      </c>
      <c r="C260" s="260">
        <f t="shared" si="81"/>
        <v>-69.450184765832091</v>
      </c>
      <c r="D260" s="260"/>
      <c r="E260" s="47" t="s">
        <v>4321</v>
      </c>
      <c r="F260" s="82" t="s">
        <v>1669</v>
      </c>
      <c r="G260" s="82" t="s">
        <v>398</v>
      </c>
      <c r="H260" s="98" t="s">
        <v>4641</v>
      </c>
      <c r="I260" s="82" t="s">
        <v>4359</v>
      </c>
      <c r="J260" s="100" t="s">
        <v>140</v>
      </c>
      <c r="K260" s="91">
        <v>0</v>
      </c>
      <c r="L260" s="91">
        <v>0</v>
      </c>
      <c r="M260" s="102">
        <v>50</v>
      </c>
      <c r="N260" s="103">
        <v>2000</v>
      </c>
      <c r="O260" s="102">
        <v>1</v>
      </c>
      <c r="P260" s="103">
        <f t="shared" si="80"/>
        <v>2000</v>
      </c>
      <c r="Q260" s="181">
        <v>0.8</v>
      </c>
      <c r="R260" s="102">
        <v>2000</v>
      </c>
      <c r="S260" s="102">
        <f t="shared" si="76"/>
        <v>0</v>
      </c>
      <c r="T260" s="173">
        <f t="shared" si="82"/>
        <v>1382.4</v>
      </c>
      <c r="U260" s="101">
        <f t="shared" si="83"/>
        <v>0</v>
      </c>
      <c r="V260" s="101">
        <f t="shared" si="84"/>
        <v>0</v>
      </c>
      <c r="W260" s="101">
        <v>0</v>
      </c>
      <c r="X260" s="55">
        <f>A260+K260+L260+V260+W260</f>
        <v>46153.450184765832</v>
      </c>
    </row>
    <row r="261" spans="1:24" s="511" customFormat="1" ht="26.5" hidden="1" x14ac:dyDescent="0.35">
      <c r="A261" s="46">
        <f t="shared" si="75"/>
        <v>46153.450184765832</v>
      </c>
      <c r="B261" s="46">
        <v>46085</v>
      </c>
      <c r="C261" s="260">
        <f t="shared" si="81"/>
        <v>-68.450184765832091</v>
      </c>
      <c r="D261" s="260"/>
      <c r="E261" s="47" t="s">
        <v>4321</v>
      </c>
      <c r="F261" s="82" t="s">
        <v>397</v>
      </c>
      <c r="G261" s="82" t="s">
        <v>398</v>
      </c>
      <c r="H261" s="98" t="s">
        <v>4642</v>
      </c>
      <c r="I261" s="82" t="s">
        <v>4359</v>
      </c>
      <c r="J261" s="100" t="s">
        <v>140</v>
      </c>
      <c r="K261" s="91">
        <v>0</v>
      </c>
      <c r="L261" s="91">
        <v>0</v>
      </c>
      <c r="M261" s="102">
        <v>45</v>
      </c>
      <c r="N261" s="103">
        <v>3200</v>
      </c>
      <c r="O261" s="102">
        <v>1</v>
      </c>
      <c r="P261" s="103">
        <f t="shared" si="80"/>
        <v>3200</v>
      </c>
      <c r="Q261" s="181">
        <v>0.8</v>
      </c>
      <c r="R261" s="102">
        <v>3200</v>
      </c>
      <c r="S261" s="102">
        <f t="shared" si="76"/>
        <v>0</v>
      </c>
      <c r="T261" s="173">
        <f t="shared" si="82"/>
        <v>1536</v>
      </c>
      <c r="U261" s="101">
        <f t="shared" si="83"/>
        <v>0</v>
      </c>
      <c r="V261" s="101">
        <f t="shared" si="84"/>
        <v>0</v>
      </c>
      <c r="W261" s="101">
        <v>0</v>
      </c>
      <c r="X261" s="55">
        <f>A261+K261+L261+V261+W261</f>
        <v>46153.450184765832</v>
      </c>
    </row>
    <row r="262" spans="1:24" s="511" customFormat="1" hidden="1" x14ac:dyDescent="0.35">
      <c r="A262" s="46">
        <f t="shared" si="75"/>
        <v>46153.450184765832</v>
      </c>
      <c r="B262" s="71">
        <v>46100.3</v>
      </c>
      <c r="C262" s="180">
        <f t="shared" si="81"/>
        <v>-53.150184765829181</v>
      </c>
      <c r="D262" s="260"/>
      <c r="E262" s="47" t="s">
        <v>4321</v>
      </c>
      <c r="F262" s="82" t="s">
        <v>4301</v>
      </c>
      <c r="G262" s="82" t="s">
        <v>386</v>
      </c>
      <c r="H262" s="107" t="s">
        <v>4303</v>
      </c>
      <c r="I262" s="417" t="s">
        <v>4299</v>
      </c>
      <c r="J262" s="100" t="s">
        <v>140</v>
      </c>
      <c r="K262" s="91">
        <v>0</v>
      </c>
      <c r="L262" s="91">
        <v>0</v>
      </c>
      <c r="M262" s="92">
        <v>55</v>
      </c>
      <c r="N262" s="94">
        <v>5625</v>
      </c>
      <c r="O262" s="92">
        <v>1</v>
      </c>
      <c r="P262" s="94">
        <f t="shared" si="80"/>
        <v>5625</v>
      </c>
      <c r="Q262" s="181">
        <v>0.8</v>
      </c>
      <c r="R262" s="92">
        <v>5625</v>
      </c>
      <c r="S262" s="102">
        <f t="shared" si="76"/>
        <v>0</v>
      </c>
      <c r="T262" s="173">
        <f t="shared" si="82"/>
        <v>1256.727272727273</v>
      </c>
      <c r="U262" s="101">
        <f t="shared" si="83"/>
        <v>0</v>
      </c>
      <c r="V262" s="101">
        <f t="shared" si="84"/>
        <v>0</v>
      </c>
      <c r="W262" s="101">
        <v>0</v>
      </c>
      <c r="X262" s="55">
        <f>A262+K262+V262+W262+L262</f>
        <v>46153.450184765832</v>
      </c>
    </row>
    <row r="263" spans="1:24" s="511" customFormat="1" hidden="1" x14ac:dyDescent="0.35">
      <c r="A263" s="46">
        <f t="shared" si="75"/>
        <v>46153.450184765832</v>
      </c>
      <c r="B263" s="71">
        <v>46103.3</v>
      </c>
      <c r="C263" s="180">
        <f t="shared" si="81"/>
        <v>-50.150184765829181</v>
      </c>
      <c r="D263" s="260"/>
      <c r="E263" s="47" t="s">
        <v>4321</v>
      </c>
      <c r="F263" s="82" t="s">
        <v>4301</v>
      </c>
      <c r="G263" s="82" t="s">
        <v>398</v>
      </c>
      <c r="H263" s="107" t="s">
        <v>4643</v>
      </c>
      <c r="I263" s="417" t="s">
        <v>4299</v>
      </c>
      <c r="J263" s="100" t="s">
        <v>140</v>
      </c>
      <c r="K263" s="91">
        <v>0</v>
      </c>
      <c r="L263" s="91">
        <v>0</v>
      </c>
      <c r="M263" s="92">
        <v>55</v>
      </c>
      <c r="N263" s="94">
        <v>10000</v>
      </c>
      <c r="O263" s="92">
        <v>1</v>
      </c>
      <c r="P263" s="94">
        <f t="shared" si="80"/>
        <v>10000</v>
      </c>
      <c r="Q263" s="181">
        <v>0.8</v>
      </c>
      <c r="R263" s="92">
        <v>10000</v>
      </c>
      <c r="S263" s="102">
        <f t="shared" si="76"/>
        <v>0</v>
      </c>
      <c r="T263" s="173">
        <f t="shared" si="82"/>
        <v>1256.727272727273</v>
      </c>
      <c r="U263" s="101">
        <f t="shared" si="83"/>
        <v>0</v>
      </c>
      <c r="V263" s="101">
        <f t="shared" si="84"/>
        <v>0</v>
      </c>
      <c r="W263" s="101">
        <v>0</v>
      </c>
      <c r="X263" s="55">
        <f>A263+K263+V263+W263+L263</f>
        <v>46153.450184765832</v>
      </c>
    </row>
    <row r="264" spans="1:24" s="511" customFormat="1" hidden="1" x14ac:dyDescent="0.35">
      <c r="A264" s="46">
        <f t="shared" si="75"/>
        <v>46153.450184765832</v>
      </c>
      <c r="B264" s="71">
        <v>46107</v>
      </c>
      <c r="C264" s="180">
        <f t="shared" si="81"/>
        <v>-46.450184765832091</v>
      </c>
      <c r="D264" s="260"/>
      <c r="E264" s="47" t="s">
        <v>4321</v>
      </c>
      <c r="F264" s="82" t="s">
        <v>4301</v>
      </c>
      <c r="G264" s="82" t="s">
        <v>398</v>
      </c>
      <c r="H264" s="107" t="s">
        <v>4643</v>
      </c>
      <c r="I264" s="417" t="s">
        <v>4299</v>
      </c>
      <c r="J264" s="100" t="s">
        <v>140</v>
      </c>
      <c r="K264" s="91">
        <v>0</v>
      </c>
      <c r="L264" s="91">
        <v>0</v>
      </c>
      <c r="M264" s="92">
        <v>47</v>
      </c>
      <c r="N264" s="94">
        <v>6000</v>
      </c>
      <c r="O264" s="92">
        <v>1</v>
      </c>
      <c r="P264" s="94">
        <f t="shared" si="80"/>
        <v>6000</v>
      </c>
      <c r="Q264" s="181">
        <v>0.8</v>
      </c>
      <c r="R264" s="92">
        <v>6000</v>
      </c>
      <c r="S264" s="102">
        <f t="shared" si="76"/>
        <v>0</v>
      </c>
      <c r="T264" s="173">
        <f t="shared" si="82"/>
        <v>1470.6382978723407</v>
      </c>
      <c r="U264" s="101">
        <f t="shared" si="83"/>
        <v>0</v>
      </c>
      <c r="V264" s="101">
        <f t="shared" si="84"/>
        <v>0</v>
      </c>
      <c r="W264" s="101">
        <v>0</v>
      </c>
      <c r="X264" s="55">
        <f>A264+K264+V264+W264+L264</f>
        <v>46153.450184765832</v>
      </c>
    </row>
    <row r="265" spans="1:24" s="121" customFormat="1" hidden="1" x14ac:dyDescent="0.35">
      <c r="A265" s="46">
        <f t="shared" si="75"/>
        <v>46153.450184765832</v>
      </c>
      <c r="B265" s="46">
        <v>46125</v>
      </c>
      <c r="C265" s="260">
        <f t="shared" si="81"/>
        <v>-28.450184765832091</v>
      </c>
      <c r="D265" s="46"/>
      <c r="E265" s="47" t="s">
        <v>4321</v>
      </c>
      <c r="F265" s="99" t="s">
        <v>4371</v>
      </c>
      <c r="G265" s="97" t="s">
        <v>411</v>
      </c>
      <c r="H265" s="98" t="s">
        <v>4644</v>
      </c>
      <c r="I265" s="85" t="s">
        <v>4645</v>
      </c>
      <c r="J265" s="491" t="s">
        <v>140</v>
      </c>
      <c r="K265" s="91">
        <v>0</v>
      </c>
      <c r="L265" s="91">
        <v>0</v>
      </c>
      <c r="M265" s="92">
        <v>70</v>
      </c>
      <c r="N265" s="94">
        <v>1500</v>
      </c>
      <c r="O265" s="92">
        <v>1</v>
      </c>
      <c r="P265" s="92">
        <f t="shared" si="80"/>
        <v>1500</v>
      </c>
      <c r="Q265" s="181">
        <v>0.8</v>
      </c>
      <c r="R265" s="92">
        <v>1500</v>
      </c>
      <c r="S265" s="103">
        <f t="shared" si="76"/>
        <v>0</v>
      </c>
      <c r="T265" s="173">
        <f t="shared" si="82"/>
        <v>987.42857142857144</v>
      </c>
      <c r="U265" s="101">
        <f t="shared" si="83"/>
        <v>0</v>
      </c>
      <c r="V265" s="101">
        <f t="shared" si="84"/>
        <v>0</v>
      </c>
      <c r="W265" s="101">
        <v>0</v>
      </c>
      <c r="X265" s="55">
        <f>A265+K265+L265+V265+W265</f>
        <v>46153.450184765832</v>
      </c>
    </row>
    <row r="266" spans="1:24" s="121" customFormat="1" hidden="1" x14ac:dyDescent="0.35">
      <c r="A266" s="46">
        <f t="shared" si="75"/>
        <v>46153.450184765832</v>
      </c>
      <c r="B266" s="46">
        <v>46129</v>
      </c>
      <c r="C266" s="260">
        <f t="shared" si="81"/>
        <v>-24.450184765832091</v>
      </c>
      <c r="D266" s="46"/>
      <c r="E266" s="47" t="s">
        <v>4321</v>
      </c>
      <c r="F266" s="99" t="s">
        <v>4371</v>
      </c>
      <c r="G266" s="97" t="s">
        <v>411</v>
      </c>
      <c r="H266" s="98" t="s">
        <v>4646</v>
      </c>
      <c r="I266" s="85" t="s">
        <v>4647</v>
      </c>
      <c r="J266" s="491" t="s">
        <v>140</v>
      </c>
      <c r="K266" s="91">
        <v>0</v>
      </c>
      <c r="L266" s="91">
        <v>0</v>
      </c>
      <c r="M266" s="92">
        <v>70</v>
      </c>
      <c r="N266" s="94">
        <v>2496</v>
      </c>
      <c r="O266" s="92">
        <v>1</v>
      </c>
      <c r="P266" s="92">
        <f t="shared" si="80"/>
        <v>2496</v>
      </c>
      <c r="Q266" s="181">
        <v>0.8</v>
      </c>
      <c r="R266" s="92">
        <v>2496</v>
      </c>
      <c r="S266" s="103">
        <f t="shared" si="76"/>
        <v>0</v>
      </c>
      <c r="T266" s="173">
        <f t="shared" si="82"/>
        <v>987.42857142857144</v>
      </c>
      <c r="U266" s="101">
        <f t="shared" si="83"/>
        <v>0</v>
      </c>
      <c r="V266" s="101">
        <f t="shared" si="84"/>
        <v>0</v>
      </c>
      <c r="W266" s="101">
        <v>0</v>
      </c>
      <c r="X266" s="55">
        <f>A266+K266+L266+V266+W266</f>
        <v>46153.450184765832</v>
      </c>
    </row>
    <row r="267" spans="1:24" s="243" customFormat="1" x14ac:dyDescent="0.35">
      <c r="A267" s="193">
        <f>X266</f>
        <v>46153.450184765832</v>
      </c>
      <c r="B267" s="193">
        <v>46129</v>
      </c>
      <c r="C267" s="194">
        <f>B267-A267</f>
        <v>-24.450184765832091</v>
      </c>
      <c r="D267" s="193"/>
      <c r="E267" s="195" t="s">
        <v>4321</v>
      </c>
      <c r="F267" s="197" t="s">
        <v>4373</v>
      </c>
      <c r="G267" s="112" t="s">
        <v>414</v>
      </c>
      <c r="H267" s="113" t="s">
        <v>4648</v>
      </c>
      <c r="I267" s="671" t="s">
        <v>4647</v>
      </c>
      <c r="J267" s="808" t="s">
        <v>140</v>
      </c>
      <c r="K267" s="482">
        <v>0</v>
      </c>
      <c r="L267" s="482">
        <v>0</v>
      </c>
      <c r="M267" s="199">
        <v>70</v>
      </c>
      <c r="N267" s="483">
        <v>11232</v>
      </c>
      <c r="O267" s="199">
        <v>1</v>
      </c>
      <c r="P267" s="199">
        <f>N267/O267</f>
        <v>11232</v>
      </c>
      <c r="Q267" s="198">
        <v>0.8</v>
      </c>
      <c r="R267" s="199">
        <v>2825</v>
      </c>
      <c r="S267" s="117">
        <f>P267-R267</f>
        <v>8407</v>
      </c>
      <c r="T267" s="200">
        <f>((3600/M267)*O267)*24*Q267</f>
        <v>987.42857142857144</v>
      </c>
      <c r="U267" s="115">
        <f>(P267-R267)*M267/3600/Q267</f>
        <v>204.33680555555554</v>
      </c>
      <c r="V267" s="115">
        <f>U267/24</f>
        <v>8.5140335648148149</v>
      </c>
      <c r="W267" s="115">
        <v>0</v>
      </c>
      <c r="X267" s="201">
        <f>A267+K267+L267+V267+W267</f>
        <v>46161.96421833065</v>
      </c>
    </row>
    <row r="268" spans="1:24" s="178" customFormat="1" x14ac:dyDescent="0.35">
      <c r="A268" s="203">
        <f>X267</f>
        <v>46161.96421833065</v>
      </c>
      <c r="B268" s="203">
        <v>46133</v>
      </c>
      <c r="C268" s="286">
        <f>B268-A268</f>
        <v>-28.964218330649601</v>
      </c>
      <c r="D268" s="203"/>
      <c r="E268" s="204" t="s">
        <v>4321</v>
      </c>
      <c r="F268" s="205" t="s">
        <v>1917</v>
      </c>
      <c r="G268" s="287" t="s">
        <v>411</v>
      </c>
      <c r="H268" s="618">
        <v>14032</v>
      </c>
      <c r="I268" s="205" t="s">
        <v>4582</v>
      </c>
      <c r="J268" s="207" t="s">
        <v>140</v>
      </c>
      <c r="K268" s="208">
        <v>0</v>
      </c>
      <c r="L268" s="208">
        <v>0</v>
      </c>
      <c r="M268" s="209">
        <v>50</v>
      </c>
      <c r="N268" s="210">
        <v>30000</v>
      </c>
      <c r="O268" s="209">
        <v>4</v>
      </c>
      <c r="P268" s="210">
        <f>N268/O268</f>
        <v>7500</v>
      </c>
      <c r="Q268" s="293">
        <v>0.8</v>
      </c>
      <c r="R268" s="209"/>
      <c r="S268" s="290">
        <f>P268-R268</f>
        <v>7500</v>
      </c>
      <c r="T268" s="294">
        <f>((3600/M268)*O268)*24*Q268</f>
        <v>5529.6</v>
      </c>
      <c r="U268" s="289">
        <f>(P268-R268)*M268/3600/Q268</f>
        <v>130.20833333333334</v>
      </c>
      <c r="V268" s="289">
        <f>U268/24</f>
        <v>5.4253472222222223</v>
      </c>
      <c r="W268" s="289">
        <v>0</v>
      </c>
      <c r="X268" s="212">
        <f>A268+K268+V268+W268+L268</f>
        <v>46167.389565552869</v>
      </c>
    </row>
    <row r="269" spans="1:24" x14ac:dyDescent="0.35">
      <c r="A269" s="548"/>
      <c r="B269" s="548"/>
      <c r="C269" s="576"/>
      <c r="D269" s="576"/>
      <c r="E269" s="273"/>
      <c r="F269" s="274"/>
      <c r="G269" s="274"/>
      <c r="H269" s="276"/>
      <c r="I269" s="274"/>
      <c r="J269" s="277"/>
      <c r="K269" s="563"/>
      <c r="L269" s="563"/>
      <c r="M269" s="279"/>
      <c r="N269" s="280"/>
      <c r="O269" s="279"/>
      <c r="P269" s="280"/>
      <c r="Q269" s="282"/>
      <c r="R269" s="279"/>
      <c r="S269" s="279"/>
      <c r="T269" s="284"/>
      <c r="U269" s="278"/>
      <c r="V269" s="278"/>
      <c r="W269" s="278"/>
      <c r="X269" s="285"/>
    </row>
    <row r="270" spans="1:24" ht="45" x14ac:dyDescent="0.8">
      <c r="A270" s="35" t="s">
        <v>1896</v>
      </c>
      <c r="B270" s="35"/>
      <c r="C270" s="787"/>
      <c r="D270" s="35"/>
      <c r="E270" s="36"/>
      <c r="F270" s="213"/>
      <c r="G270" s="213"/>
      <c r="H270" s="311" t="s">
        <v>4269</v>
      </c>
      <c r="I270" s="214"/>
      <c r="J270" s="40"/>
      <c r="K270" s="41"/>
      <c r="L270" s="41"/>
      <c r="M270" s="42"/>
      <c r="N270" s="43"/>
      <c r="O270" s="44"/>
      <c r="P270" s="44"/>
      <c r="Q270" s="44"/>
      <c r="R270" s="43"/>
      <c r="S270" s="44"/>
      <c r="T270" s="44"/>
      <c r="U270" s="44"/>
      <c r="V270" s="44"/>
      <c r="W270" s="44"/>
      <c r="X270" s="45"/>
    </row>
    <row r="271" spans="1:24" hidden="1" x14ac:dyDescent="0.35">
      <c r="A271" s="46">
        <f>S7</f>
        <v>46153</v>
      </c>
      <c r="B271" s="46"/>
      <c r="C271" s="260"/>
      <c r="D271" s="46"/>
      <c r="E271" s="47" t="s">
        <v>1896</v>
      </c>
      <c r="F271" s="57" t="s">
        <v>55</v>
      </c>
      <c r="G271" s="57"/>
      <c r="H271" s="49">
        <v>7505</v>
      </c>
      <c r="I271" s="82" t="s">
        <v>4649</v>
      </c>
      <c r="J271" s="100"/>
      <c r="K271" s="52">
        <v>0</v>
      </c>
      <c r="L271" s="52">
        <v>0</v>
      </c>
      <c r="M271" s="53">
        <v>60</v>
      </c>
      <c r="N271" s="53">
        <v>4450</v>
      </c>
      <c r="O271" s="53">
        <v>2</v>
      </c>
      <c r="P271" s="53">
        <v>2375</v>
      </c>
      <c r="Q271" s="53"/>
      <c r="R271" s="53">
        <v>2375</v>
      </c>
      <c r="S271" s="53">
        <f t="shared" ref="S271:S334" si="85">P271-R271</f>
        <v>0</v>
      </c>
      <c r="T271" s="83">
        <f t="shared" ref="T271:T334" si="86">((3600/M271)*O271)*24</f>
        <v>2880</v>
      </c>
      <c r="U271" s="84">
        <f t="shared" ref="U271:U334" si="87">(P271-R271)*M271/3600</f>
        <v>0</v>
      </c>
      <c r="V271" s="84">
        <f t="shared" ref="V271:V334" si="88">(P271-R271)*M271/3600/24</f>
        <v>0</v>
      </c>
      <c r="W271" s="84">
        <v>0</v>
      </c>
      <c r="X271" s="55">
        <f t="shared" ref="X271:X334" si="89">A271+K271+L271+V271+W271</f>
        <v>46153</v>
      </c>
    </row>
    <row r="272" spans="1:24" hidden="1" x14ac:dyDescent="0.35">
      <c r="A272" s="46">
        <f t="shared" ref="A272:A335" si="90">X271</f>
        <v>46153</v>
      </c>
      <c r="B272" s="46"/>
      <c r="C272" s="260"/>
      <c r="D272" s="46"/>
      <c r="E272" s="47" t="s">
        <v>1896</v>
      </c>
      <c r="F272" s="48" t="s">
        <v>55</v>
      </c>
      <c r="G272" s="48"/>
      <c r="H272" s="49">
        <v>7581</v>
      </c>
      <c r="I272" s="106" t="s">
        <v>4650</v>
      </c>
      <c r="J272" s="100"/>
      <c r="K272" s="52">
        <v>0</v>
      </c>
      <c r="L272" s="52">
        <v>0</v>
      </c>
      <c r="M272" s="53">
        <v>60</v>
      </c>
      <c r="N272" s="53">
        <v>2600</v>
      </c>
      <c r="O272" s="53">
        <v>2</v>
      </c>
      <c r="P272" s="53">
        <v>1335</v>
      </c>
      <c r="Q272" s="53"/>
      <c r="R272" s="53">
        <v>1335</v>
      </c>
      <c r="S272" s="53">
        <f t="shared" si="85"/>
        <v>0</v>
      </c>
      <c r="T272" s="83">
        <f t="shared" si="86"/>
        <v>2880</v>
      </c>
      <c r="U272" s="84">
        <f t="shared" si="87"/>
        <v>0</v>
      </c>
      <c r="V272" s="84">
        <f t="shared" si="88"/>
        <v>0</v>
      </c>
      <c r="W272" s="84">
        <v>0</v>
      </c>
      <c r="X272" s="55">
        <f t="shared" si="89"/>
        <v>46153</v>
      </c>
    </row>
    <row r="273" spans="1:24" hidden="1" x14ac:dyDescent="0.35">
      <c r="A273" s="46">
        <f t="shared" si="90"/>
        <v>46153</v>
      </c>
      <c r="B273" s="46"/>
      <c r="C273" s="260"/>
      <c r="D273" s="46"/>
      <c r="E273" s="47" t="s">
        <v>4651</v>
      </c>
      <c r="F273" s="57" t="s">
        <v>4652</v>
      </c>
      <c r="G273" s="57"/>
      <c r="H273" s="49">
        <v>7426</v>
      </c>
      <c r="I273" s="82" t="s">
        <v>4653</v>
      </c>
      <c r="J273" s="100"/>
      <c r="K273" s="52">
        <v>0</v>
      </c>
      <c r="L273" s="52">
        <v>0</v>
      </c>
      <c r="M273" s="53">
        <v>80</v>
      </c>
      <c r="N273" s="53">
        <v>5500</v>
      </c>
      <c r="O273" s="53">
        <v>1</v>
      </c>
      <c r="P273" s="53">
        <f>N273/O273</f>
        <v>5500</v>
      </c>
      <c r="Q273" s="53"/>
      <c r="R273" s="53">
        <v>5500</v>
      </c>
      <c r="S273" s="53">
        <f t="shared" si="85"/>
        <v>0</v>
      </c>
      <c r="T273" s="83">
        <f t="shared" si="86"/>
        <v>1080</v>
      </c>
      <c r="U273" s="84">
        <f t="shared" si="87"/>
        <v>0</v>
      </c>
      <c r="V273" s="84">
        <f t="shared" si="88"/>
        <v>0</v>
      </c>
      <c r="W273" s="84">
        <v>0</v>
      </c>
      <c r="X273" s="55">
        <f t="shared" si="89"/>
        <v>46153</v>
      </c>
    </row>
    <row r="274" spans="1:24" ht="29" hidden="1" x14ac:dyDescent="0.35">
      <c r="A274" s="46">
        <f t="shared" si="90"/>
        <v>46153</v>
      </c>
      <c r="B274" s="46"/>
      <c r="C274" s="260"/>
      <c r="D274" s="46"/>
      <c r="E274" s="47" t="s">
        <v>4651</v>
      </c>
      <c r="F274" s="57" t="s">
        <v>3436</v>
      </c>
      <c r="G274" s="57"/>
      <c r="H274" s="49"/>
      <c r="I274" s="82" t="s">
        <v>4653</v>
      </c>
      <c r="J274" s="100"/>
      <c r="K274" s="52">
        <v>0</v>
      </c>
      <c r="L274" s="52">
        <v>0</v>
      </c>
      <c r="M274" s="53">
        <v>80</v>
      </c>
      <c r="N274" s="53">
        <v>11100</v>
      </c>
      <c r="O274" s="53">
        <v>1</v>
      </c>
      <c r="P274" s="53">
        <v>400</v>
      </c>
      <c r="Q274" s="53"/>
      <c r="R274" s="53">
        <v>400</v>
      </c>
      <c r="S274" s="53">
        <f t="shared" si="85"/>
        <v>0</v>
      </c>
      <c r="T274" s="83">
        <f t="shared" si="86"/>
        <v>1080</v>
      </c>
      <c r="U274" s="84">
        <f t="shared" si="87"/>
        <v>0</v>
      </c>
      <c r="V274" s="84">
        <f t="shared" si="88"/>
        <v>0</v>
      </c>
      <c r="W274" s="84">
        <v>0</v>
      </c>
      <c r="X274" s="55">
        <f t="shared" si="89"/>
        <v>46153</v>
      </c>
    </row>
    <row r="275" spans="1:24" hidden="1" x14ac:dyDescent="0.35">
      <c r="A275" s="46">
        <f t="shared" si="90"/>
        <v>46153</v>
      </c>
      <c r="B275" s="46"/>
      <c r="C275" s="260"/>
      <c r="D275" s="46"/>
      <c r="E275" s="47" t="s">
        <v>1896</v>
      </c>
      <c r="F275" s="48" t="s">
        <v>55</v>
      </c>
      <c r="G275" s="48"/>
      <c r="H275" s="59" t="s">
        <v>4654</v>
      </c>
      <c r="I275" s="106" t="s">
        <v>4655</v>
      </c>
      <c r="J275" s="100"/>
      <c r="K275" s="52">
        <v>0</v>
      </c>
      <c r="L275" s="52">
        <v>0</v>
      </c>
      <c r="M275" s="53">
        <v>26</v>
      </c>
      <c r="N275" s="53">
        <v>840</v>
      </c>
      <c r="O275" s="53">
        <v>2</v>
      </c>
      <c r="P275" s="53">
        <v>586</v>
      </c>
      <c r="Q275" s="53"/>
      <c r="R275" s="53">
        <v>586</v>
      </c>
      <c r="S275" s="53">
        <f t="shared" si="85"/>
        <v>0</v>
      </c>
      <c r="T275" s="83">
        <f t="shared" si="86"/>
        <v>6646.1538461538457</v>
      </c>
      <c r="U275" s="84">
        <f t="shared" si="87"/>
        <v>0</v>
      </c>
      <c r="V275" s="84">
        <f t="shared" si="88"/>
        <v>0</v>
      </c>
      <c r="W275" s="84">
        <v>0</v>
      </c>
      <c r="X275" s="55">
        <f t="shared" si="89"/>
        <v>46153</v>
      </c>
    </row>
    <row r="276" spans="1:24" ht="29" hidden="1" x14ac:dyDescent="0.35">
      <c r="A276" s="46">
        <f t="shared" si="90"/>
        <v>46153</v>
      </c>
      <c r="B276" s="46"/>
      <c r="C276" s="260"/>
      <c r="D276" s="46"/>
      <c r="E276" s="47" t="s">
        <v>4651</v>
      </c>
      <c r="F276" s="57" t="s">
        <v>3436</v>
      </c>
      <c r="G276" s="57"/>
      <c r="H276" s="49">
        <v>7828</v>
      </c>
      <c r="I276" s="82" t="s">
        <v>4653</v>
      </c>
      <c r="J276" s="100"/>
      <c r="K276" s="52">
        <v>0</v>
      </c>
      <c r="L276" s="52">
        <v>0</v>
      </c>
      <c r="M276" s="53">
        <v>80</v>
      </c>
      <c r="N276" s="53">
        <v>1112</v>
      </c>
      <c r="O276" s="53">
        <v>1</v>
      </c>
      <c r="P276" s="53">
        <f>N276/O276</f>
        <v>1112</v>
      </c>
      <c r="Q276" s="53"/>
      <c r="R276" s="53">
        <v>1112</v>
      </c>
      <c r="S276" s="53">
        <f t="shared" si="85"/>
        <v>0</v>
      </c>
      <c r="T276" s="83">
        <f t="shared" si="86"/>
        <v>1080</v>
      </c>
      <c r="U276" s="84">
        <f t="shared" si="87"/>
        <v>0</v>
      </c>
      <c r="V276" s="84">
        <f t="shared" si="88"/>
        <v>0</v>
      </c>
      <c r="W276" s="84">
        <v>0</v>
      </c>
      <c r="X276" s="55">
        <f t="shared" si="89"/>
        <v>46153</v>
      </c>
    </row>
    <row r="277" spans="1:24" hidden="1" x14ac:dyDescent="0.35">
      <c r="A277" s="46">
        <f t="shared" si="90"/>
        <v>46153</v>
      </c>
      <c r="B277" s="46"/>
      <c r="C277" s="260"/>
      <c r="D277" s="46"/>
      <c r="E277" s="47" t="s">
        <v>4656</v>
      </c>
      <c r="F277" s="48" t="s">
        <v>1931</v>
      </c>
      <c r="G277" s="48"/>
      <c r="H277" s="49">
        <v>7647</v>
      </c>
      <c r="I277" s="82" t="s">
        <v>4657</v>
      </c>
      <c r="J277" s="100"/>
      <c r="K277" s="52">
        <v>0</v>
      </c>
      <c r="L277" s="52">
        <v>0</v>
      </c>
      <c r="M277" s="53">
        <v>45</v>
      </c>
      <c r="N277" s="53">
        <v>1000</v>
      </c>
      <c r="O277" s="53">
        <v>1</v>
      </c>
      <c r="P277" s="53">
        <v>1205</v>
      </c>
      <c r="Q277" s="53"/>
      <c r="R277" s="53">
        <v>1205</v>
      </c>
      <c r="S277" s="53">
        <f t="shared" si="85"/>
        <v>0</v>
      </c>
      <c r="T277" s="83">
        <f t="shared" si="86"/>
        <v>1920</v>
      </c>
      <c r="U277" s="84">
        <f t="shared" si="87"/>
        <v>0</v>
      </c>
      <c r="V277" s="84">
        <f t="shared" si="88"/>
        <v>0</v>
      </c>
      <c r="W277" s="84">
        <v>0</v>
      </c>
      <c r="X277" s="55">
        <f t="shared" si="89"/>
        <v>46153</v>
      </c>
    </row>
    <row r="278" spans="1:24" ht="29" hidden="1" x14ac:dyDescent="0.35">
      <c r="A278" s="46">
        <f t="shared" si="90"/>
        <v>46153</v>
      </c>
      <c r="B278" s="46"/>
      <c r="C278" s="260"/>
      <c r="D278" s="46"/>
      <c r="E278" s="47" t="s">
        <v>4651</v>
      </c>
      <c r="F278" s="57" t="s">
        <v>3436</v>
      </c>
      <c r="G278" s="57"/>
      <c r="H278" s="49">
        <v>7862</v>
      </c>
      <c r="I278" s="82" t="s">
        <v>4653</v>
      </c>
      <c r="J278" s="100"/>
      <c r="K278" s="52">
        <v>0</v>
      </c>
      <c r="L278" s="52">
        <v>0</v>
      </c>
      <c r="M278" s="53">
        <v>80</v>
      </c>
      <c r="N278" s="53">
        <v>10000</v>
      </c>
      <c r="O278" s="53">
        <v>1</v>
      </c>
      <c r="P278" s="53">
        <f>N278/O278</f>
        <v>10000</v>
      </c>
      <c r="Q278" s="53"/>
      <c r="R278" s="53">
        <v>10000</v>
      </c>
      <c r="S278" s="53">
        <f t="shared" si="85"/>
        <v>0</v>
      </c>
      <c r="T278" s="83">
        <f t="shared" si="86"/>
        <v>1080</v>
      </c>
      <c r="U278" s="84">
        <f t="shared" si="87"/>
        <v>0</v>
      </c>
      <c r="V278" s="84">
        <f t="shared" si="88"/>
        <v>0</v>
      </c>
      <c r="W278" s="84">
        <v>0</v>
      </c>
      <c r="X278" s="55">
        <f t="shared" si="89"/>
        <v>46153</v>
      </c>
    </row>
    <row r="279" spans="1:24" hidden="1" x14ac:dyDescent="0.35">
      <c r="A279" s="46">
        <f t="shared" si="90"/>
        <v>46153</v>
      </c>
      <c r="B279" s="46"/>
      <c r="C279" s="260"/>
      <c r="D279" s="46"/>
      <c r="E279" s="47" t="s">
        <v>1896</v>
      </c>
      <c r="F279" s="57" t="s">
        <v>3440</v>
      </c>
      <c r="G279" s="57"/>
      <c r="H279" s="49">
        <v>7862</v>
      </c>
      <c r="I279" s="82" t="s">
        <v>4653</v>
      </c>
      <c r="J279" s="100"/>
      <c r="K279" s="52">
        <v>0</v>
      </c>
      <c r="L279" s="52">
        <v>0</v>
      </c>
      <c r="M279" s="53">
        <v>80</v>
      </c>
      <c r="N279" s="53">
        <v>5000</v>
      </c>
      <c r="O279" s="53">
        <v>1</v>
      </c>
      <c r="P279" s="53">
        <f>N279/O279</f>
        <v>5000</v>
      </c>
      <c r="Q279" s="53"/>
      <c r="R279" s="53">
        <f>-10000+15000</f>
        <v>5000</v>
      </c>
      <c r="S279" s="53">
        <f t="shared" si="85"/>
        <v>0</v>
      </c>
      <c r="T279" s="83">
        <f t="shared" si="86"/>
        <v>1080</v>
      </c>
      <c r="U279" s="84">
        <f t="shared" si="87"/>
        <v>0</v>
      </c>
      <c r="V279" s="84">
        <f t="shared" si="88"/>
        <v>0</v>
      </c>
      <c r="W279" s="84">
        <v>0</v>
      </c>
      <c r="X279" s="55">
        <f t="shared" si="89"/>
        <v>46153</v>
      </c>
    </row>
    <row r="280" spans="1:24" hidden="1" x14ac:dyDescent="0.35">
      <c r="A280" s="46">
        <f t="shared" si="90"/>
        <v>46153</v>
      </c>
      <c r="B280" s="46"/>
      <c r="C280" s="260"/>
      <c r="D280" s="46"/>
      <c r="E280" s="47" t="s">
        <v>1896</v>
      </c>
      <c r="F280" s="57" t="s">
        <v>55</v>
      </c>
      <c r="G280" s="57"/>
      <c r="H280" s="49">
        <v>7862</v>
      </c>
      <c r="I280" s="82" t="s">
        <v>4653</v>
      </c>
      <c r="J280" s="100"/>
      <c r="K280" s="52">
        <v>0</v>
      </c>
      <c r="L280" s="52">
        <v>0</v>
      </c>
      <c r="M280" s="53">
        <v>80</v>
      </c>
      <c r="N280" s="53">
        <v>6000</v>
      </c>
      <c r="O280" s="53">
        <v>1</v>
      </c>
      <c r="P280" s="53">
        <v>5670</v>
      </c>
      <c r="Q280" s="53"/>
      <c r="R280" s="53">
        <v>5670</v>
      </c>
      <c r="S280" s="53">
        <f t="shared" si="85"/>
        <v>0</v>
      </c>
      <c r="T280" s="83">
        <f t="shared" si="86"/>
        <v>1080</v>
      </c>
      <c r="U280" s="84">
        <f t="shared" si="87"/>
        <v>0</v>
      </c>
      <c r="V280" s="84">
        <f t="shared" si="88"/>
        <v>0</v>
      </c>
      <c r="W280" s="84">
        <v>0</v>
      </c>
      <c r="X280" s="55">
        <f t="shared" si="89"/>
        <v>46153</v>
      </c>
    </row>
    <row r="281" spans="1:24" hidden="1" x14ac:dyDescent="0.35">
      <c r="A281" s="46">
        <f t="shared" si="90"/>
        <v>46153</v>
      </c>
      <c r="B281" s="46"/>
      <c r="C281" s="260"/>
      <c r="D281" s="46"/>
      <c r="E281" s="47" t="s">
        <v>1896</v>
      </c>
      <c r="F281" s="57" t="s">
        <v>1321</v>
      </c>
      <c r="G281" s="57"/>
      <c r="H281" s="49" t="s">
        <v>1321</v>
      </c>
      <c r="I281" s="85" t="s">
        <v>4658</v>
      </c>
      <c r="J281" s="100"/>
      <c r="K281" s="52">
        <v>0</v>
      </c>
      <c r="L281" s="52">
        <v>0</v>
      </c>
      <c r="M281" s="53">
        <v>60</v>
      </c>
      <c r="N281" s="53">
        <v>20</v>
      </c>
      <c r="O281" s="53">
        <v>1</v>
      </c>
      <c r="P281" s="53">
        <f>N281/O281</f>
        <v>20</v>
      </c>
      <c r="Q281" s="53"/>
      <c r="R281" s="83">
        <v>20</v>
      </c>
      <c r="S281" s="53">
        <f t="shared" si="85"/>
        <v>0</v>
      </c>
      <c r="T281" s="83">
        <f t="shared" si="86"/>
        <v>1440</v>
      </c>
      <c r="U281" s="84">
        <f t="shared" si="87"/>
        <v>0</v>
      </c>
      <c r="V281" s="84">
        <f t="shared" si="88"/>
        <v>0</v>
      </c>
      <c r="W281" s="84">
        <v>0</v>
      </c>
      <c r="X281" s="55">
        <f t="shared" si="89"/>
        <v>46153</v>
      </c>
    </row>
    <row r="282" spans="1:24" hidden="1" x14ac:dyDescent="0.35">
      <c r="A282" s="46">
        <f t="shared" si="90"/>
        <v>46153</v>
      </c>
      <c r="B282" s="46"/>
      <c r="C282" s="260"/>
      <c r="D282" s="46"/>
      <c r="E282" s="47" t="s">
        <v>1896</v>
      </c>
      <c r="F282" s="57"/>
      <c r="G282" s="57"/>
      <c r="H282" s="49" t="s">
        <v>4659</v>
      </c>
      <c r="I282" s="85" t="s">
        <v>4658</v>
      </c>
      <c r="J282" s="100"/>
      <c r="K282" s="52">
        <v>0</v>
      </c>
      <c r="L282" s="52">
        <v>0</v>
      </c>
      <c r="M282" s="53">
        <v>60</v>
      </c>
      <c r="N282" s="53">
        <v>3050</v>
      </c>
      <c r="O282" s="53">
        <v>8</v>
      </c>
      <c r="P282" s="53">
        <v>783</v>
      </c>
      <c r="Q282" s="53"/>
      <c r="R282" s="83">
        <v>783</v>
      </c>
      <c r="S282" s="53">
        <f t="shared" si="85"/>
        <v>0</v>
      </c>
      <c r="T282" s="83">
        <f t="shared" si="86"/>
        <v>11520</v>
      </c>
      <c r="U282" s="84">
        <f t="shared" si="87"/>
        <v>0</v>
      </c>
      <c r="V282" s="84">
        <f t="shared" si="88"/>
        <v>0</v>
      </c>
      <c r="W282" s="84">
        <v>0</v>
      </c>
      <c r="X282" s="55">
        <f t="shared" si="89"/>
        <v>46153</v>
      </c>
    </row>
    <row r="283" spans="1:24" hidden="1" x14ac:dyDescent="0.35">
      <c r="A283" s="46">
        <f t="shared" si="90"/>
        <v>46153</v>
      </c>
      <c r="B283" s="46"/>
      <c r="C283" s="260"/>
      <c r="D283" s="46"/>
      <c r="E283" s="47" t="s">
        <v>1896</v>
      </c>
      <c r="F283" s="48" t="s">
        <v>4660</v>
      </c>
      <c r="G283" s="48"/>
      <c r="H283" s="49" t="s">
        <v>4661</v>
      </c>
      <c r="I283" s="82" t="s">
        <v>4499</v>
      </c>
      <c r="J283" s="100"/>
      <c r="K283" s="52">
        <v>0</v>
      </c>
      <c r="L283" s="52">
        <v>0</v>
      </c>
      <c r="M283" s="53">
        <v>60</v>
      </c>
      <c r="N283" s="53">
        <v>5000</v>
      </c>
      <c r="O283" s="53">
        <v>1</v>
      </c>
      <c r="P283" s="53">
        <v>5216</v>
      </c>
      <c r="Q283" s="53"/>
      <c r="R283" s="53">
        <v>5216</v>
      </c>
      <c r="S283" s="53">
        <f t="shared" si="85"/>
        <v>0</v>
      </c>
      <c r="T283" s="83">
        <f t="shared" si="86"/>
        <v>1440</v>
      </c>
      <c r="U283" s="84">
        <f t="shared" si="87"/>
        <v>0</v>
      </c>
      <c r="V283" s="84">
        <f t="shared" si="88"/>
        <v>0</v>
      </c>
      <c r="W283" s="84">
        <v>0</v>
      </c>
      <c r="X283" s="55">
        <f t="shared" si="89"/>
        <v>46153</v>
      </c>
    </row>
    <row r="284" spans="1:24" hidden="1" x14ac:dyDescent="0.35">
      <c r="A284" s="46">
        <f t="shared" si="90"/>
        <v>46153</v>
      </c>
      <c r="B284" s="46"/>
      <c r="C284" s="260"/>
      <c r="D284" s="46"/>
      <c r="E284" s="47" t="s">
        <v>4530</v>
      </c>
      <c r="F284" s="48"/>
      <c r="G284" s="48"/>
      <c r="H284" s="49" t="s">
        <v>4662</v>
      </c>
      <c r="I284" s="82" t="s">
        <v>4649</v>
      </c>
      <c r="J284" s="100"/>
      <c r="K284" s="52">
        <v>0</v>
      </c>
      <c r="L284" s="52">
        <v>0</v>
      </c>
      <c r="M284" s="53">
        <v>65</v>
      </c>
      <c r="N284" s="53">
        <v>6000</v>
      </c>
      <c r="O284" s="53">
        <v>2</v>
      </c>
      <c r="P284" s="53">
        <f>N284/O284</f>
        <v>3000</v>
      </c>
      <c r="Q284" s="53"/>
      <c r="R284" s="53">
        <v>3000</v>
      </c>
      <c r="S284" s="53">
        <f t="shared" si="85"/>
        <v>0</v>
      </c>
      <c r="T284" s="83">
        <f t="shared" si="86"/>
        <v>2658.4615384615386</v>
      </c>
      <c r="U284" s="84">
        <f t="shared" si="87"/>
        <v>0</v>
      </c>
      <c r="V284" s="84">
        <f t="shared" si="88"/>
        <v>0</v>
      </c>
      <c r="W284" s="84">
        <v>0</v>
      </c>
      <c r="X284" s="55">
        <f t="shared" si="89"/>
        <v>46153</v>
      </c>
    </row>
    <row r="285" spans="1:24" hidden="1" x14ac:dyDescent="0.35">
      <c r="A285" s="46">
        <f t="shared" si="90"/>
        <v>46153</v>
      </c>
      <c r="B285" s="46"/>
      <c r="C285" s="260"/>
      <c r="D285" s="46"/>
      <c r="E285" s="47" t="s">
        <v>4530</v>
      </c>
      <c r="F285" s="56" t="s">
        <v>101</v>
      </c>
      <c r="G285" s="56"/>
      <c r="H285" s="49" t="s">
        <v>4663</v>
      </c>
      <c r="I285" s="85" t="s">
        <v>4664</v>
      </c>
      <c r="J285" s="491"/>
      <c r="K285" s="52">
        <v>0</v>
      </c>
      <c r="L285" s="52">
        <v>0</v>
      </c>
      <c r="M285" s="53">
        <v>70</v>
      </c>
      <c r="N285" s="53">
        <v>9000</v>
      </c>
      <c r="O285" s="53">
        <v>1</v>
      </c>
      <c r="P285" s="53">
        <v>9620</v>
      </c>
      <c r="Q285" s="53"/>
      <c r="R285" s="53">
        <v>9620</v>
      </c>
      <c r="S285" s="53">
        <f t="shared" si="85"/>
        <v>0</v>
      </c>
      <c r="T285" s="83">
        <f t="shared" si="86"/>
        <v>1234.2857142857142</v>
      </c>
      <c r="U285" s="84">
        <f t="shared" si="87"/>
        <v>0</v>
      </c>
      <c r="V285" s="84">
        <f t="shared" si="88"/>
        <v>0</v>
      </c>
      <c r="W285" s="84">
        <v>0</v>
      </c>
      <c r="X285" s="55">
        <f t="shared" si="89"/>
        <v>46153</v>
      </c>
    </row>
    <row r="286" spans="1:24" hidden="1" x14ac:dyDescent="0.35">
      <c r="A286" s="46">
        <f t="shared" si="90"/>
        <v>46153</v>
      </c>
      <c r="B286" s="46"/>
      <c r="C286" s="260"/>
      <c r="D286" s="46"/>
      <c r="E286" s="47"/>
      <c r="F286" s="48" t="s">
        <v>1321</v>
      </c>
      <c r="G286" s="48"/>
      <c r="H286" s="59" t="s">
        <v>1321</v>
      </c>
      <c r="I286" s="85"/>
      <c r="J286" s="100"/>
      <c r="K286" s="52">
        <v>0</v>
      </c>
      <c r="L286" s="52">
        <v>0</v>
      </c>
      <c r="M286" s="53">
        <v>25</v>
      </c>
      <c r="N286" s="53">
        <v>120</v>
      </c>
      <c r="O286" s="53">
        <v>1</v>
      </c>
      <c r="P286" s="53">
        <f>N286/O286</f>
        <v>120</v>
      </c>
      <c r="Q286" s="53"/>
      <c r="R286" s="53">
        <v>120</v>
      </c>
      <c r="S286" s="53">
        <f t="shared" si="85"/>
        <v>0</v>
      </c>
      <c r="T286" s="83">
        <f t="shared" si="86"/>
        <v>3456</v>
      </c>
      <c r="U286" s="84">
        <f t="shared" si="87"/>
        <v>0</v>
      </c>
      <c r="V286" s="84">
        <f t="shared" si="88"/>
        <v>0</v>
      </c>
      <c r="W286" s="84">
        <v>0</v>
      </c>
      <c r="X286" s="55">
        <f t="shared" si="89"/>
        <v>46153</v>
      </c>
    </row>
    <row r="287" spans="1:24" hidden="1" x14ac:dyDescent="0.35">
      <c r="A287" s="46">
        <f t="shared" si="90"/>
        <v>46153</v>
      </c>
      <c r="B287" s="46"/>
      <c r="C287" s="260"/>
      <c r="D287" s="46"/>
      <c r="E287" s="47"/>
      <c r="F287" s="57" t="s">
        <v>1336</v>
      </c>
      <c r="G287" s="57"/>
      <c r="H287" s="49" t="s">
        <v>4665</v>
      </c>
      <c r="I287" s="82" t="s">
        <v>4478</v>
      </c>
      <c r="J287" s="100"/>
      <c r="K287" s="52">
        <v>0</v>
      </c>
      <c r="L287" s="52">
        <v>0</v>
      </c>
      <c r="M287" s="53">
        <v>60</v>
      </c>
      <c r="N287" s="53">
        <v>1500</v>
      </c>
      <c r="O287" s="53">
        <v>1</v>
      </c>
      <c r="P287" s="53">
        <v>1653</v>
      </c>
      <c r="Q287" s="53"/>
      <c r="R287" s="83">
        <v>1653</v>
      </c>
      <c r="S287" s="53">
        <f t="shared" si="85"/>
        <v>0</v>
      </c>
      <c r="T287" s="83">
        <f t="shared" si="86"/>
        <v>1440</v>
      </c>
      <c r="U287" s="84">
        <f t="shared" si="87"/>
        <v>0</v>
      </c>
      <c r="V287" s="84">
        <f t="shared" si="88"/>
        <v>0</v>
      </c>
      <c r="W287" s="84">
        <v>0</v>
      </c>
      <c r="X287" s="55">
        <f t="shared" si="89"/>
        <v>46153</v>
      </c>
    </row>
    <row r="288" spans="1:24" hidden="1" x14ac:dyDescent="0.35">
      <c r="A288" s="46">
        <f t="shared" si="90"/>
        <v>46153</v>
      </c>
      <c r="B288" s="46"/>
      <c r="C288" s="260"/>
      <c r="D288" s="46"/>
      <c r="E288" s="47" t="s">
        <v>1896</v>
      </c>
      <c r="F288" s="57" t="s">
        <v>104</v>
      </c>
      <c r="G288" s="57"/>
      <c r="H288" s="49" t="s">
        <v>4666</v>
      </c>
      <c r="I288" s="82" t="s">
        <v>4653</v>
      </c>
      <c r="J288" s="100"/>
      <c r="K288" s="52">
        <v>0</v>
      </c>
      <c r="L288" s="52">
        <v>0</v>
      </c>
      <c r="M288" s="53">
        <v>80</v>
      </c>
      <c r="N288" s="53">
        <v>7000</v>
      </c>
      <c r="O288" s="53">
        <v>1</v>
      </c>
      <c r="P288" s="53">
        <f t="shared" ref="P288:P351" si="91">N288/O288</f>
        <v>7000</v>
      </c>
      <c r="Q288" s="53"/>
      <c r="R288" s="53">
        <v>7000</v>
      </c>
      <c r="S288" s="53">
        <f t="shared" si="85"/>
        <v>0</v>
      </c>
      <c r="T288" s="83">
        <f t="shared" si="86"/>
        <v>1080</v>
      </c>
      <c r="U288" s="84">
        <f t="shared" si="87"/>
        <v>0</v>
      </c>
      <c r="V288" s="84">
        <f t="shared" si="88"/>
        <v>0</v>
      </c>
      <c r="W288" s="84">
        <v>0</v>
      </c>
      <c r="X288" s="55">
        <f t="shared" si="89"/>
        <v>46153</v>
      </c>
    </row>
    <row r="289" spans="1:24" hidden="1" x14ac:dyDescent="0.35">
      <c r="A289" s="46">
        <f t="shared" si="90"/>
        <v>46153</v>
      </c>
      <c r="B289" s="46"/>
      <c r="C289" s="260"/>
      <c r="D289" s="46"/>
      <c r="E289" s="47" t="s">
        <v>1896</v>
      </c>
      <c r="F289" s="62" t="s">
        <v>55</v>
      </c>
      <c r="G289" s="62"/>
      <c r="H289" s="49">
        <v>7505</v>
      </c>
      <c r="I289" s="82" t="s">
        <v>4649</v>
      </c>
      <c r="J289" s="100"/>
      <c r="K289" s="52">
        <v>0</v>
      </c>
      <c r="L289" s="52">
        <v>0</v>
      </c>
      <c r="M289" s="53">
        <v>60</v>
      </c>
      <c r="N289" s="53">
        <v>4000</v>
      </c>
      <c r="O289" s="53">
        <v>2</v>
      </c>
      <c r="P289" s="53">
        <f t="shared" si="91"/>
        <v>2000</v>
      </c>
      <c r="Q289" s="53"/>
      <c r="R289" s="53">
        <v>2000</v>
      </c>
      <c r="S289" s="53">
        <f t="shared" si="85"/>
        <v>0</v>
      </c>
      <c r="T289" s="83">
        <f t="shared" si="86"/>
        <v>2880</v>
      </c>
      <c r="U289" s="84">
        <f t="shared" si="87"/>
        <v>0</v>
      </c>
      <c r="V289" s="84">
        <f t="shared" si="88"/>
        <v>0</v>
      </c>
      <c r="W289" s="84">
        <v>0</v>
      </c>
      <c r="X289" s="55">
        <f t="shared" si="89"/>
        <v>46153</v>
      </c>
    </row>
    <row r="290" spans="1:24" hidden="1" x14ac:dyDescent="0.35">
      <c r="A290" s="46">
        <f t="shared" si="90"/>
        <v>46153</v>
      </c>
      <c r="B290" s="46"/>
      <c r="C290" s="260"/>
      <c r="D290" s="46"/>
      <c r="E290" s="47" t="s">
        <v>1896</v>
      </c>
      <c r="F290" s="62" t="s">
        <v>1321</v>
      </c>
      <c r="G290" s="62"/>
      <c r="H290" s="59" t="s">
        <v>4667</v>
      </c>
      <c r="I290" s="82" t="s">
        <v>4668</v>
      </c>
      <c r="J290" s="100"/>
      <c r="K290" s="52">
        <v>0</v>
      </c>
      <c r="L290" s="52">
        <v>0</v>
      </c>
      <c r="M290" s="53">
        <v>15</v>
      </c>
      <c r="N290" s="53">
        <v>120</v>
      </c>
      <c r="O290" s="53">
        <v>6</v>
      </c>
      <c r="P290" s="53">
        <f t="shared" si="91"/>
        <v>20</v>
      </c>
      <c r="Q290" s="53"/>
      <c r="R290" s="53">
        <v>20</v>
      </c>
      <c r="S290" s="53">
        <f t="shared" si="85"/>
        <v>0</v>
      </c>
      <c r="T290" s="83">
        <f t="shared" si="86"/>
        <v>34560</v>
      </c>
      <c r="U290" s="84">
        <f t="shared" si="87"/>
        <v>0</v>
      </c>
      <c r="V290" s="84">
        <f t="shared" si="88"/>
        <v>0</v>
      </c>
      <c r="W290" s="84">
        <v>0</v>
      </c>
      <c r="X290" s="55">
        <f t="shared" si="89"/>
        <v>46153</v>
      </c>
    </row>
    <row r="291" spans="1:24" hidden="1" x14ac:dyDescent="0.35">
      <c r="A291" s="46">
        <f t="shared" si="90"/>
        <v>46153</v>
      </c>
      <c r="B291" s="46"/>
      <c r="C291" s="260"/>
      <c r="D291" s="46"/>
      <c r="E291" s="47" t="s">
        <v>4530</v>
      </c>
      <c r="F291" s="48" t="s">
        <v>4669</v>
      </c>
      <c r="G291" s="48"/>
      <c r="H291" s="59" t="s">
        <v>4670</v>
      </c>
      <c r="I291" s="390" t="s">
        <v>4671</v>
      </c>
      <c r="J291" s="100" t="s">
        <v>140</v>
      </c>
      <c r="K291" s="52">
        <v>0</v>
      </c>
      <c r="L291" s="52">
        <v>0</v>
      </c>
      <c r="M291" s="53">
        <v>70</v>
      </c>
      <c r="N291" s="53">
        <v>1000</v>
      </c>
      <c r="O291" s="53">
        <v>1</v>
      </c>
      <c r="P291" s="53">
        <f t="shared" si="91"/>
        <v>1000</v>
      </c>
      <c r="Q291" s="53"/>
      <c r="R291" s="53">
        <v>1000</v>
      </c>
      <c r="S291" s="53">
        <f t="shared" si="85"/>
        <v>0</v>
      </c>
      <c r="T291" s="83">
        <f t="shared" si="86"/>
        <v>1234.2857142857142</v>
      </c>
      <c r="U291" s="84">
        <f t="shared" si="87"/>
        <v>0</v>
      </c>
      <c r="V291" s="84">
        <f t="shared" si="88"/>
        <v>0</v>
      </c>
      <c r="W291" s="84">
        <v>0</v>
      </c>
      <c r="X291" s="55">
        <f t="shared" si="89"/>
        <v>46153</v>
      </c>
    </row>
    <row r="292" spans="1:24" hidden="1" x14ac:dyDescent="0.35">
      <c r="A292" s="46">
        <f t="shared" si="90"/>
        <v>46153</v>
      </c>
      <c r="B292" s="46"/>
      <c r="C292" s="260"/>
      <c r="D292" s="46"/>
      <c r="E292" s="47" t="s">
        <v>4530</v>
      </c>
      <c r="F292" s="62" t="s">
        <v>4672</v>
      </c>
      <c r="G292" s="62"/>
      <c r="H292" s="59" t="s">
        <v>4673</v>
      </c>
      <c r="I292" s="82" t="s">
        <v>4674</v>
      </c>
      <c r="J292" s="100" t="s">
        <v>140</v>
      </c>
      <c r="K292" s="52">
        <v>0</v>
      </c>
      <c r="L292" s="52">
        <v>0</v>
      </c>
      <c r="M292" s="53">
        <v>55</v>
      </c>
      <c r="N292" s="53">
        <v>2000</v>
      </c>
      <c r="O292" s="53">
        <v>1</v>
      </c>
      <c r="P292" s="53">
        <f t="shared" si="91"/>
        <v>2000</v>
      </c>
      <c r="Q292" s="53"/>
      <c r="R292" s="53">
        <v>2000</v>
      </c>
      <c r="S292" s="53">
        <f t="shared" si="85"/>
        <v>0</v>
      </c>
      <c r="T292" s="83">
        <f t="shared" si="86"/>
        <v>1570.909090909091</v>
      </c>
      <c r="U292" s="84">
        <f t="shared" si="87"/>
        <v>0</v>
      </c>
      <c r="V292" s="84">
        <f t="shared" si="88"/>
        <v>0</v>
      </c>
      <c r="W292" s="84">
        <v>0</v>
      </c>
      <c r="X292" s="55">
        <f t="shared" si="89"/>
        <v>46153</v>
      </c>
    </row>
    <row r="293" spans="1:24" hidden="1" x14ac:dyDescent="0.35">
      <c r="A293" s="46">
        <f t="shared" si="90"/>
        <v>46153</v>
      </c>
      <c r="B293" s="46"/>
      <c r="C293" s="260"/>
      <c r="D293" s="46"/>
      <c r="E293" s="47" t="s">
        <v>1896</v>
      </c>
      <c r="F293" s="48" t="s">
        <v>1362</v>
      </c>
      <c r="G293" s="48"/>
      <c r="H293" s="59" t="s">
        <v>1362</v>
      </c>
      <c r="I293" s="82" t="s">
        <v>4675</v>
      </c>
      <c r="J293" s="100" t="s">
        <v>140</v>
      </c>
      <c r="K293" s="52">
        <v>0</v>
      </c>
      <c r="L293" s="52">
        <v>0</v>
      </c>
      <c r="M293" s="53">
        <v>90</v>
      </c>
      <c r="N293" s="53">
        <v>50</v>
      </c>
      <c r="O293" s="53">
        <v>1</v>
      </c>
      <c r="P293" s="53">
        <f t="shared" si="91"/>
        <v>50</v>
      </c>
      <c r="Q293" s="53"/>
      <c r="R293" s="83">
        <v>50</v>
      </c>
      <c r="S293" s="53">
        <f t="shared" si="85"/>
        <v>0</v>
      </c>
      <c r="T293" s="83">
        <f t="shared" si="86"/>
        <v>960</v>
      </c>
      <c r="U293" s="84">
        <f t="shared" si="87"/>
        <v>0</v>
      </c>
      <c r="V293" s="84">
        <f t="shared" si="88"/>
        <v>0</v>
      </c>
      <c r="W293" s="84">
        <v>0</v>
      </c>
      <c r="X293" s="55">
        <f t="shared" si="89"/>
        <v>46153</v>
      </c>
    </row>
    <row r="294" spans="1:24" hidden="1" x14ac:dyDescent="0.35">
      <c r="A294" s="46">
        <f t="shared" si="90"/>
        <v>46153</v>
      </c>
      <c r="B294" s="46"/>
      <c r="C294" s="260"/>
      <c r="D294" s="46"/>
      <c r="E294" s="47" t="s">
        <v>4321</v>
      </c>
      <c r="F294" s="48" t="s">
        <v>1362</v>
      </c>
      <c r="G294" s="48"/>
      <c r="H294" s="59" t="s">
        <v>1362</v>
      </c>
      <c r="I294" s="82" t="s">
        <v>4676</v>
      </c>
      <c r="J294" s="100" t="s">
        <v>140</v>
      </c>
      <c r="K294" s="52">
        <v>0</v>
      </c>
      <c r="L294" s="52">
        <v>0</v>
      </c>
      <c r="M294" s="53">
        <v>90</v>
      </c>
      <c r="N294" s="53">
        <v>50</v>
      </c>
      <c r="O294" s="53">
        <v>1</v>
      </c>
      <c r="P294" s="53">
        <f t="shared" si="91"/>
        <v>50</v>
      </c>
      <c r="Q294" s="53"/>
      <c r="R294" s="83">
        <v>50</v>
      </c>
      <c r="S294" s="53">
        <f t="shared" si="85"/>
        <v>0</v>
      </c>
      <c r="T294" s="83">
        <f t="shared" si="86"/>
        <v>960</v>
      </c>
      <c r="U294" s="84">
        <f t="shared" si="87"/>
        <v>0</v>
      </c>
      <c r="V294" s="84">
        <f t="shared" si="88"/>
        <v>0</v>
      </c>
      <c r="W294" s="84">
        <v>0</v>
      </c>
      <c r="X294" s="55">
        <f t="shared" si="89"/>
        <v>46153</v>
      </c>
    </row>
    <row r="295" spans="1:24" hidden="1" x14ac:dyDescent="0.35">
      <c r="A295" s="46">
        <f t="shared" si="90"/>
        <v>46153</v>
      </c>
      <c r="B295" s="46"/>
      <c r="C295" s="260"/>
      <c r="D295" s="46"/>
      <c r="E295" s="47" t="s">
        <v>1896</v>
      </c>
      <c r="F295" s="48" t="s">
        <v>1362</v>
      </c>
      <c r="G295" s="48"/>
      <c r="H295" s="59" t="s">
        <v>1362</v>
      </c>
      <c r="I295" s="82" t="s">
        <v>4677</v>
      </c>
      <c r="J295" s="100" t="s">
        <v>140</v>
      </c>
      <c r="K295" s="52">
        <v>0</v>
      </c>
      <c r="L295" s="52">
        <v>0</v>
      </c>
      <c r="M295" s="53">
        <v>90</v>
      </c>
      <c r="N295" s="53">
        <v>50</v>
      </c>
      <c r="O295" s="53">
        <v>1</v>
      </c>
      <c r="P295" s="53">
        <f t="shared" si="91"/>
        <v>50</v>
      </c>
      <c r="Q295" s="53"/>
      <c r="R295" s="83">
        <v>50</v>
      </c>
      <c r="S295" s="53">
        <f t="shared" si="85"/>
        <v>0</v>
      </c>
      <c r="T295" s="83">
        <f t="shared" si="86"/>
        <v>960</v>
      </c>
      <c r="U295" s="84">
        <f t="shared" si="87"/>
        <v>0</v>
      </c>
      <c r="V295" s="84">
        <f t="shared" si="88"/>
        <v>0</v>
      </c>
      <c r="W295" s="84">
        <v>0</v>
      </c>
      <c r="X295" s="55">
        <f t="shared" si="89"/>
        <v>46153</v>
      </c>
    </row>
    <row r="296" spans="1:24" hidden="1" x14ac:dyDescent="0.35">
      <c r="A296" s="46">
        <f t="shared" si="90"/>
        <v>46153</v>
      </c>
      <c r="B296" s="46"/>
      <c r="C296" s="260"/>
      <c r="D296" s="46"/>
      <c r="E296" s="47" t="s">
        <v>4530</v>
      </c>
      <c r="F296" s="56" t="s">
        <v>4531</v>
      </c>
      <c r="G296" s="56"/>
      <c r="H296" s="49" t="s">
        <v>4678</v>
      </c>
      <c r="I296" s="99" t="s">
        <v>4561</v>
      </c>
      <c r="J296" s="100" t="s">
        <v>140</v>
      </c>
      <c r="K296" s="52">
        <v>0</v>
      </c>
      <c r="L296" s="52">
        <v>0</v>
      </c>
      <c r="M296" s="53">
        <v>60</v>
      </c>
      <c r="N296" s="53">
        <v>1000</v>
      </c>
      <c r="O296" s="53">
        <v>1</v>
      </c>
      <c r="P296" s="53">
        <f t="shared" si="91"/>
        <v>1000</v>
      </c>
      <c r="Q296" s="53"/>
      <c r="R296" s="53">
        <v>1000</v>
      </c>
      <c r="S296" s="53">
        <f t="shared" si="85"/>
        <v>0</v>
      </c>
      <c r="T296" s="83">
        <f t="shared" si="86"/>
        <v>1440</v>
      </c>
      <c r="U296" s="84">
        <f t="shared" si="87"/>
        <v>0</v>
      </c>
      <c r="V296" s="84">
        <f t="shared" si="88"/>
        <v>0</v>
      </c>
      <c r="W296" s="84">
        <v>0</v>
      </c>
      <c r="X296" s="55">
        <f t="shared" si="89"/>
        <v>46153</v>
      </c>
    </row>
    <row r="297" spans="1:24" ht="26.5" hidden="1" x14ac:dyDescent="0.35">
      <c r="A297" s="46">
        <f t="shared" si="90"/>
        <v>46153</v>
      </c>
      <c r="B297" s="46"/>
      <c r="C297" s="260"/>
      <c r="D297" s="46"/>
      <c r="E297" s="47" t="s">
        <v>1896</v>
      </c>
      <c r="F297" s="48" t="s">
        <v>1031</v>
      </c>
      <c r="G297" s="48"/>
      <c r="H297" s="216" t="s">
        <v>4679</v>
      </c>
      <c r="I297" s="82" t="s">
        <v>4359</v>
      </c>
      <c r="J297" s="100" t="s">
        <v>140</v>
      </c>
      <c r="K297" s="52">
        <v>0</v>
      </c>
      <c r="L297" s="52">
        <v>0</v>
      </c>
      <c r="M297" s="83">
        <v>45</v>
      </c>
      <c r="N297" s="83">
        <v>7000</v>
      </c>
      <c r="O297" s="83">
        <v>1</v>
      </c>
      <c r="P297" s="83">
        <f t="shared" si="91"/>
        <v>7000</v>
      </c>
      <c r="Q297" s="83"/>
      <c r="R297" s="83">
        <v>7000</v>
      </c>
      <c r="S297" s="83">
        <f t="shared" si="85"/>
        <v>0</v>
      </c>
      <c r="T297" s="83">
        <f t="shared" si="86"/>
        <v>1920</v>
      </c>
      <c r="U297" s="84">
        <f t="shared" si="87"/>
        <v>0</v>
      </c>
      <c r="V297" s="84">
        <f t="shared" si="88"/>
        <v>0</v>
      </c>
      <c r="W297" s="84">
        <v>0</v>
      </c>
      <c r="X297" s="55">
        <f t="shared" si="89"/>
        <v>46153</v>
      </c>
    </row>
    <row r="298" spans="1:24" hidden="1" x14ac:dyDescent="0.35">
      <c r="A298" s="46">
        <f t="shared" si="90"/>
        <v>46153</v>
      </c>
      <c r="B298" s="46"/>
      <c r="C298" s="260"/>
      <c r="D298" s="46"/>
      <c r="E298" s="296" t="s">
        <v>1896</v>
      </c>
      <c r="F298" s="577" t="s">
        <v>1321</v>
      </c>
      <c r="G298" s="577"/>
      <c r="H298" s="578" t="s">
        <v>1321</v>
      </c>
      <c r="I298" s="856" t="s">
        <v>4680</v>
      </c>
      <c r="J298" s="300" t="s">
        <v>140</v>
      </c>
      <c r="K298" s="52">
        <v>0</v>
      </c>
      <c r="L298" s="52">
        <v>0</v>
      </c>
      <c r="M298" s="400">
        <v>26</v>
      </c>
      <c r="N298" s="400">
        <v>20</v>
      </c>
      <c r="O298" s="400">
        <v>2</v>
      </c>
      <c r="P298" s="400">
        <f t="shared" si="91"/>
        <v>10</v>
      </c>
      <c r="Q298" s="400"/>
      <c r="R298" s="400">
        <v>10</v>
      </c>
      <c r="S298" s="400">
        <f t="shared" si="85"/>
        <v>0</v>
      </c>
      <c r="T298" s="579">
        <f t="shared" si="86"/>
        <v>6646.1538461538457</v>
      </c>
      <c r="U298" s="583">
        <f t="shared" si="87"/>
        <v>0</v>
      </c>
      <c r="V298" s="583">
        <f t="shared" si="88"/>
        <v>0</v>
      </c>
      <c r="W298" s="583">
        <v>0</v>
      </c>
      <c r="X298" s="55">
        <f t="shared" si="89"/>
        <v>46153</v>
      </c>
    </row>
    <row r="299" spans="1:24" ht="26.5" hidden="1" x14ac:dyDescent="0.35">
      <c r="A299" s="46">
        <f t="shared" si="90"/>
        <v>46153</v>
      </c>
      <c r="B299" s="46"/>
      <c r="C299" s="260"/>
      <c r="D299" s="46"/>
      <c r="E299" s="47" t="s">
        <v>1896</v>
      </c>
      <c r="F299" s="48" t="s">
        <v>511</v>
      </c>
      <c r="G299" s="48"/>
      <c r="H299" s="216" t="s">
        <v>4681</v>
      </c>
      <c r="I299" s="82" t="s">
        <v>4359</v>
      </c>
      <c r="J299" s="100" t="s">
        <v>140</v>
      </c>
      <c r="K299" s="52">
        <v>0</v>
      </c>
      <c r="L299" s="52">
        <v>0</v>
      </c>
      <c r="M299" s="83">
        <v>45</v>
      </c>
      <c r="N299" s="83">
        <v>4000</v>
      </c>
      <c r="O299" s="83">
        <v>1</v>
      </c>
      <c r="P299" s="83">
        <f t="shared" si="91"/>
        <v>4000</v>
      </c>
      <c r="Q299" s="83"/>
      <c r="R299" s="83">
        <v>4000</v>
      </c>
      <c r="S299" s="83">
        <f t="shared" si="85"/>
        <v>0</v>
      </c>
      <c r="T299" s="83">
        <f t="shared" si="86"/>
        <v>1920</v>
      </c>
      <c r="U299" s="84">
        <f t="shared" si="87"/>
        <v>0</v>
      </c>
      <c r="V299" s="84">
        <f t="shared" si="88"/>
        <v>0</v>
      </c>
      <c r="W299" s="84">
        <v>0</v>
      </c>
      <c r="X299" s="55">
        <f t="shared" si="89"/>
        <v>46153</v>
      </c>
    </row>
    <row r="300" spans="1:24" ht="29" hidden="1" x14ac:dyDescent="0.35">
      <c r="A300" s="46">
        <f t="shared" si="90"/>
        <v>46153</v>
      </c>
      <c r="B300" s="46"/>
      <c r="C300" s="260"/>
      <c r="D300" s="46"/>
      <c r="E300" s="47" t="s">
        <v>1896</v>
      </c>
      <c r="F300" s="48" t="s">
        <v>1404</v>
      </c>
      <c r="G300" s="48"/>
      <c r="H300" s="59" t="s">
        <v>4682</v>
      </c>
      <c r="I300" s="82" t="s">
        <v>4557</v>
      </c>
      <c r="J300" s="100" t="s">
        <v>140</v>
      </c>
      <c r="K300" s="52">
        <v>0</v>
      </c>
      <c r="L300" s="52">
        <v>0</v>
      </c>
      <c r="M300" s="53">
        <v>40</v>
      </c>
      <c r="N300" s="53">
        <v>8780</v>
      </c>
      <c r="O300" s="53">
        <v>1</v>
      </c>
      <c r="P300" s="53">
        <f t="shared" si="91"/>
        <v>8780</v>
      </c>
      <c r="Q300" s="53"/>
      <c r="R300" s="53">
        <v>8780</v>
      </c>
      <c r="S300" s="53">
        <f t="shared" si="85"/>
        <v>0</v>
      </c>
      <c r="T300" s="83">
        <f t="shared" si="86"/>
        <v>2160</v>
      </c>
      <c r="U300" s="84">
        <f t="shared" si="87"/>
        <v>0</v>
      </c>
      <c r="V300" s="84">
        <f t="shared" si="88"/>
        <v>0</v>
      </c>
      <c r="W300" s="84">
        <v>0</v>
      </c>
      <c r="X300" s="55">
        <f t="shared" si="89"/>
        <v>46153</v>
      </c>
    </row>
    <row r="301" spans="1:24" ht="26.5" hidden="1" x14ac:dyDescent="0.35">
      <c r="A301" s="46">
        <f t="shared" si="90"/>
        <v>46153</v>
      </c>
      <c r="B301" s="46"/>
      <c r="C301" s="260"/>
      <c r="D301" s="46"/>
      <c r="E301" s="47" t="s">
        <v>1896</v>
      </c>
      <c r="F301" s="48" t="s">
        <v>534</v>
      </c>
      <c r="G301" s="48"/>
      <c r="H301" s="216" t="s">
        <v>4683</v>
      </c>
      <c r="I301" s="82" t="s">
        <v>4359</v>
      </c>
      <c r="J301" s="100" t="s">
        <v>140</v>
      </c>
      <c r="K301" s="52">
        <v>0</v>
      </c>
      <c r="L301" s="52">
        <v>0</v>
      </c>
      <c r="M301" s="83">
        <v>45</v>
      </c>
      <c r="N301" s="83">
        <v>3000</v>
      </c>
      <c r="O301" s="83">
        <v>1</v>
      </c>
      <c r="P301" s="83">
        <f t="shared" si="91"/>
        <v>3000</v>
      </c>
      <c r="Q301" s="83"/>
      <c r="R301" s="83">
        <v>3000</v>
      </c>
      <c r="S301" s="83">
        <f t="shared" si="85"/>
        <v>0</v>
      </c>
      <c r="T301" s="83">
        <f t="shared" si="86"/>
        <v>1920</v>
      </c>
      <c r="U301" s="84">
        <f t="shared" si="87"/>
        <v>0</v>
      </c>
      <c r="V301" s="84">
        <f t="shared" si="88"/>
        <v>0</v>
      </c>
      <c r="W301" s="84">
        <v>0</v>
      </c>
      <c r="X301" s="55">
        <f t="shared" si="89"/>
        <v>46153</v>
      </c>
    </row>
    <row r="302" spans="1:24" hidden="1" x14ac:dyDescent="0.35">
      <c r="A302" s="46">
        <f t="shared" si="90"/>
        <v>46153</v>
      </c>
      <c r="B302" s="46"/>
      <c r="C302" s="260"/>
      <c r="D302" s="46"/>
      <c r="E302" s="47" t="s">
        <v>4530</v>
      </c>
      <c r="F302" s="82" t="s">
        <v>4684</v>
      </c>
      <c r="G302" s="82"/>
      <c r="H302" s="107" t="s">
        <v>4685</v>
      </c>
      <c r="I302" s="82" t="s">
        <v>4335</v>
      </c>
      <c r="J302" s="100" t="s">
        <v>140</v>
      </c>
      <c r="K302" s="52">
        <v>0</v>
      </c>
      <c r="L302" s="52">
        <v>0</v>
      </c>
      <c r="M302" s="92">
        <v>45</v>
      </c>
      <c r="N302" s="92">
        <v>1000</v>
      </c>
      <c r="O302" s="92">
        <v>1</v>
      </c>
      <c r="P302" s="102">
        <f t="shared" si="91"/>
        <v>1000</v>
      </c>
      <c r="Q302" s="102"/>
      <c r="R302" s="92">
        <v>1000</v>
      </c>
      <c r="S302" s="92">
        <f t="shared" si="85"/>
        <v>0</v>
      </c>
      <c r="T302" s="102">
        <f t="shared" si="86"/>
        <v>1920</v>
      </c>
      <c r="U302" s="101">
        <f t="shared" si="87"/>
        <v>0</v>
      </c>
      <c r="V302" s="101">
        <f t="shared" si="88"/>
        <v>0</v>
      </c>
      <c r="W302" s="101">
        <v>0</v>
      </c>
      <c r="X302" s="55">
        <f t="shared" si="89"/>
        <v>46153</v>
      </c>
    </row>
    <row r="303" spans="1:24" hidden="1" x14ac:dyDescent="0.35">
      <c r="A303" s="46">
        <f t="shared" si="90"/>
        <v>46153</v>
      </c>
      <c r="B303" s="46"/>
      <c r="C303" s="260"/>
      <c r="D303" s="46"/>
      <c r="E303" s="47" t="s">
        <v>4530</v>
      </c>
      <c r="F303" s="82" t="s">
        <v>4686</v>
      </c>
      <c r="G303" s="82"/>
      <c r="H303" s="107" t="s">
        <v>4687</v>
      </c>
      <c r="I303" s="390" t="s">
        <v>4671</v>
      </c>
      <c r="J303" s="100" t="s">
        <v>140</v>
      </c>
      <c r="K303" s="52">
        <v>0</v>
      </c>
      <c r="L303" s="52">
        <v>0</v>
      </c>
      <c r="M303" s="92">
        <v>70</v>
      </c>
      <c r="N303" s="92">
        <v>3000</v>
      </c>
      <c r="O303" s="92">
        <v>1</v>
      </c>
      <c r="P303" s="92">
        <f t="shared" si="91"/>
        <v>3000</v>
      </c>
      <c r="Q303" s="92"/>
      <c r="R303" s="92">
        <v>3000</v>
      </c>
      <c r="S303" s="92">
        <f t="shared" si="85"/>
        <v>0</v>
      </c>
      <c r="T303" s="102">
        <f t="shared" si="86"/>
        <v>1234.2857142857142</v>
      </c>
      <c r="U303" s="101">
        <f t="shared" si="87"/>
        <v>0</v>
      </c>
      <c r="V303" s="101">
        <f t="shared" si="88"/>
        <v>0</v>
      </c>
      <c r="W303" s="101">
        <v>0</v>
      </c>
      <c r="X303" s="55">
        <f t="shared" si="89"/>
        <v>46153</v>
      </c>
    </row>
    <row r="304" spans="1:24" hidden="1" x14ac:dyDescent="0.35">
      <c r="A304" s="46">
        <f t="shared" si="90"/>
        <v>46153</v>
      </c>
      <c r="B304" s="46"/>
      <c r="C304" s="260"/>
      <c r="D304" s="46"/>
      <c r="E304" s="47" t="s">
        <v>4530</v>
      </c>
      <c r="F304" s="62" t="s">
        <v>1726</v>
      </c>
      <c r="G304" s="62"/>
      <c r="H304" s="59" t="s">
        <v>4688</v>
      </c>
      <c r="I304" s="82" t="s">
        <v>4674</v>
      </c>
      <c r="J304" s="100" t="s">
        <v>140</v>
      </c>
      <c r="K304" s="52">
        <v>0</v>
      </c>
      <c r="L304" s="52">
        <v>0</v>
      </c>
      <c r="M304" s="53">
        <v>55</v>
      </c>
      <c r="N304" s="53">
        <v>1000</v>
      </c>
      <c r="O304" s="53">
        <v>1</v>
      </c>
      <c r="P304" s="53">
        <f t="shared" si="91"/>
        <v>1000</v>
      </c>
      <c r="Q304" s="53"/>
      <c r="R304" s="53">
        <v>1000</v>
      </c>
      <c r="S304" s="53">
        <f t="shared" si="85"/>
        <v>0</v>
      </c>
      <c r="T304" s="83">
        <f t="shared" si="86"/>
        <v>1570.909090909091</v>
      </c>
      <c r="U304" s="84">
        <f t="shared" si="87"/>
        <v>0</v>
      </c>
      <c r="V304" s="84">
        <f t="shared" si="88"/>
        <v>0</v>
      </c>
      <c r="W304" s="84">
        <v>0</v>
      </c>
      <c r="X304" s="55">
        <f t="shared" si="89"/>
        <v>46153</v>
      </c>
    </row>
    <row r="305" spans="1:24" ht="26.5" hidden="1" x14ac:dyDescent="0.35">
      <c r="A305" s="46">
        <f t="shared" si="90"/>
        <v>46153</v>
      </c>
      <c r="B305" s="46"/>
      <c r="C305" s="260"/>
      <c r="D305" s="46"/>
      <c r="E305" s="47" t="s">
        <v>1896</v>
      </c>
      <c r="F305" s="48" t="s">
        <v>557</v>
      </c>
      <c r="G305" s="48"/>
      <c r="H305" s="216" t="s">
        <v>4689</v>
      </c>
      <c r="I305" s="82" t="s">
        <v>4359</v>
      </c>
      <c r="J305" s="100" t="s">
        <v>140</v>
      </c>
      <c r="K305" s="52">
        <v>0</v>
      </c>
      <c r="L305" s="52">
        <v>0</v>
      </c>
      <c r="M305" s="83">
        <v>45</v>
      </c>
      <c r="N305" s="83">
        <v>2000</v>
      </c>
      <c r="O305" s="83">
        <v>1</v>
      </c>
      <c r="P305" s="83">
        <f t="shared" si="91"/>
        <v>2000</v>
      </c>
      <c r="Q305" s="83"/>
      <c r="R305" s="83">
        <v>2000</v>
      </c>
      <c r="S305" s="83">
        <f t="shared" si="85"/>
        <v>0</v>
      </c>
      <c r="T305" s="83">
        <f t="shared" si="86"/>
        <v>1920</v>
      </c>
      <c r="U305" s="84">
        <f t="shared" si="87"/>
        <v>0</v>
      </c>
      <c r="V305" s="84">
        <f t="shared" si="88"/>
        <v>0</v>
      </c>
      <c r="W305" s="84">
        <v>0</v>
      </c>
      <c r="X305" s="55">
        <f t="shared" si="89"/>
        <v>46153</v>
      </c>
    </row>
    <row r="306" spans="1:24" s="202" customFormat="1" hidden="1" x14ac:dyDescent="0.35">
      <c r="A306" s="46">
        <f t="shared" si="90"/>
        <v>46153</v>
      </c>
      <c r="B306" s="46"/>
      <c r="C306" s="260"/>
      <c r="D306" s="46"/>
      <c r="E306" s="47" t="s">
        <v>1896</v>
      </c>
      <c r="F306" s="57" t="s">
        <v>1674</v>
      </c>
      <c r="G306" s="57"/>
      <c r="H306" s="49" t="s">
        <v>4690</v>
      </c>
      <c r="I306" s="85" t="s">
        <v>4691</v>
      </c>
      <c r="J306" s="100" t="s">
        <v>140</v>
      </c>
      <c r="K306" s="52">
        <v>0</v>
      </c>
      <c r="L306" s="52">
        <v>0</v>
      </c>
      <c r="M306" s="53">
        <v>60</v>
      </c>
      <c r="N306" s="53">
        <v>2500</v>
      </c>
      <c r="O306" s="53">
        <v>8</v>
      </c>
      <c r="P306" s="53">
        <f t="shared" si="91"/>
        <v>312.5</v>
      </c>
      <c r="Q306" s="53"/>
      <c r="R306" s="83">
        <v>312</v>
      </c>
      <c r="S306" s="53">
        <f t="shared" si="85"/>
        <v>0.5</v>
      </c>
      <c r="T306" s="83">
        <f t="shared" si="86"/>
        <v>11520</v>
      </c>
      <c r="U306" s="84">
        <f t="shared" si="87"/>
        <v>8.3333333333333332E-3</v>
      </c>
      <c r="V306" s="84">
        <f t="shared" si="88"/>
        <v>3.4722222222222224E-4</v>
      </c>
      <c r="W306" s="84">
        <v>0</v>
      </c>
      <c r="X306" s="55">
        <f t="shared" si="89"/>
        <v>46153.000347222223</v>
      </c>
    </row>
    <row r="307" spans="1:24" s="221" customFormat="1" ht="26.5" hidden="1" x14ac:dyDescent="0.35">
      <c r="A307" s="46">
        <f t="shared" si="90"/>
        <v>46153.000347222223</v>
      </c>
      <c r="B307" s="46"/>
      <c r="C307" s="260"/>
      <c r="D307" s="46"/>
      <c r="E307" s="47" t="s">
        <v>4321</v>
      </c>
      <c r="F307" s="48" t="s">
        <v>2410</v>
      </c>
      <c r="G307" s="48"/>
      <c r="H307" s="49" t="s">
        <v>4692</v>
      </c>
      <c r="I307" s="82" t="s">
        <v>4520</v>
      </c>
      <c r="J307" s="100" t="s">
        <v>140</v>
      </c>
      <c r="K307" s="52">
        <v>0</v>
      </c>
      <c r="L307" s="52">
        <v>0</v>
      </c>
      <c r="M307" s="53">
        <v>45</v>
      </c>
      <c r="N307" s="53">
        <v>3800</v>
      </c>
      <c r="O307" s="53">
        <v>1</v>
      </c>
      <c r="P307" s="53">
        <f t="shared" si="91"/>
        <v>3800</v>
      </c>
      <c r="Q307" s="53"/>
      <c r="R307" s="53">
        <v>3800</v>
      </c>
      <c r="S307" s="53">
        <f t="shared" si="85"/>
        <v>0</v>
      </c>
      <c r="T307" s="83">
        <f t="shared" si="86"/>
        <v>1920</v>
      </c>
      <c r="U307" s="84">
        <f t="shared" si="87"/>
        <v>0</v>
      </c>
      <c r="V307" s="84">
        <f t="shared" si="88"/>
        <v>0</v>
      </c>
      <c r="W307" s="84">
        <v>0</v>
      </c>
      <c r="X307" s="55">
        <f t="shared" si="89"/>
        <v>46153.000347222223</v>
      </c>
    </row>
    <row r="308" spans="1:24" s="221" customFormat="1" ht="26.5" hidden="1" x14ac:dyDescent="0.35">
      <c r="A308" s="46">
        <f t="shared" si="90"/>
        <v>46153.000347222223</v>
      </c>
      <c r="B308" s="46"/>
      <c r="C308" s="260"/>
      <c r="D308" s="46"/>
      <c r="E308" s="47" t="s">
        <v>1896</v>
      </c>
      <c r="F308" s="48" t="s">
        <v>1452</v>
      </c>
      <c r="G308" s="48"/>
      <c r="H308" s="49" t="s">
        <v>4693</v>
      </c>
      <c r="I308" s="82" t="s">
        <v>4359</v>
      </c>
      <c r="J308" s="100" t="s">
        <v>140</v>
      </c>
      <c r="K308" s="52">
        <v>0</v>
      </c>
      <c r="L308" s="52">
        <v>0</v>
      </c>
      <c r="M308" s="83">
        <v>45</v>
      </c>
      <c r="N308" s="83">
        <v>1500</v>
      </c>
      <c r="O308" s="83">
        <v>1</v>
      </c>
      <c r="P308" s="83">
        <f t="shared" si="91"/>
        <v>1500</v>
      </c>
      <c r="Q308" s="83"/>
      <c r="R308" s="83">
        <v>1500</v>
      </c>
      <c r="S308" s="83">
        <f t="shared" si="85"/>
        <v>0</v>
      </c>
      <c r="T308" s="83">
        <f t="shared" si="86"/>
        <v>1920</v>
      </c>
      <c r="U308" s="84">
        <f t="shared" si="87"/>
        <v>0</v>
      </c>
      <c r="V308" s="84">
        <f t="shared" si="88"/>
        <v>0</v>
      </c>
      <c r="W308" s="84">
        <v>0</v>
      </c>
      <c r="X308" s="55">
        <f t="shared" si="89"/>
        <v>46153.000347222223</v>
      </c>
    </row>
    <row r="309" spans="1:24" s="221" customFormat="1" ht="26.5" hidden="1" x14ac:dyDescent="0.35">
      <c r="A309" s="46">
        <f t="shared" si="90"/>
        <v>46153.000347222223</v>
      </c>
      <c r="B309" s="46"/>
      <c r="C309" s="260"/>
      <c r="D309" s="46"/>
      <c r="E309" s="47" t="s">
        <v>1896</v>
      </c>
      <c r="F309" s="48" t="s">
        <v>271</v>
      </c>
      <c r="G309" s="48"/>
      <c r="H309" s="49" t="s">
        <v>4694</v>
      </c>
      <c r="I309" s="82" t="s">
        <v>4359</v>
      </c>
      <c r="J309" s="100" t="s">
        <v>140</v>
      </c>
      <c r="K309" s="52">
        <v>0</v>
      </c>
      <c r="L309" s="52">
        <v>0</v>
      </c>
      <c r="M309" s="83">
        <v>45</v>
      </c>
      <c r="N309" s="83">
        <v>3200</v>
      </c>
      <c r="O309" s="83">
        <v>1</v>
      </c>
      <c r="P309" s="83">
        <f t="shared" si="91"/>
        <v>3200</v>
      </c>
      <c r="Q309" s="83"/>
      <c r="R309" s="83">
        <v>3200</v>
      </c>
      <c r="S309" s="83">
        <f t="shared" si="85"/>
        <v>0</v>
      </c>
      <c r="T309" s="83">
        <f t="shared" si="86"/>
        <v>1920</v>
      </c>
      <c r="U309" s="84">
        <f t="shared" si="87"/>
        <v>0</v>
      </c>
      <c r="V309" s="84">
        <f t="shared" si="88"/>
        <v>0</v>
      </c>
      <c r="W309" s="84">
        <v>0</v>
      </c>
      <c r="X309" s="55">
        <f t="shared" si="89"/>
        <v>46153.000347222223</v>
      </c>
    </row>
    <row r="310" spans="1:24" s="221" customFormat="1" ht="26.5" hidden="1" x14ac:dyDescent="0.35">
      <c r="A310" s="46">
        <f t="shared" si="90"/>
        <v>46153.000347222223</v>
      </c>
      <c r="B310" s="46"/>
      <c r="C310" s="260"/>
      <c r="D310" s="46"/>
      <c r="E310" s="47" t="s">
        <v>1896</v>
      </c>
      <c r="F310" s="82" t="s">
        <v>1745</v>
      </c>
      <c r="G310" s="82"/>
      <c r="H310" s="98" t="s">
        <v>4695</v>
      </c>
      <c r="I310" s="82" t="s">
        <v>4359</v>
      </c>
      <c r="J310" s="100" t="s">
        <v>140</v>
      </c>
      <c r="K310" s="52">
        <v>0</v>
      </c>
      <c r="L310" s="52">
        <v>0</v>
      </c>
      <c r="M310" s="102">
        <v>45</v>
      </c>
      <c r="N310" s="102">
        <v>4800</v>
      </c>
      <c r="O310" s="102">
        <v>1</v>
      </c>
      <c r="P310" s="102">
        <f t="shared" si="91"/>
        <v>4800</v>
      </c>
      <c r="Q310" s="102"/>
      <c r="R310" s="102">
        <v>4800</v>
      </c>
      <c r="S310" s="102">
        <f t="shared" si="85"/>
        <v>0</v>
      </c>
      <c r="T310" s="102">
        <f t="shared" si="86"/>
        <v>1920</v>
      </c>
      <c r="U310" s="101">
        <f t="shared" si="87"/>
        <v>0</v>
      </c>
      <c r="V310" s="101">
        <f t="shared" si="88"/>
        <v>0</v>
      </c>
      <c r="W310" s="101">
        <v>0</v>
      </c>
      <c r="X310" s="55">
        <f t="shared" si="89"/>
        <v>46153.000347222223</v>
      </c>
    </row>
    <row r="311" spans="1:24" s="109" customFormat="1" hidden="1" x14ac:dyDescent="0.35">
      <c r="A311" s="46">
        <f t="shared" si="90"/>
        <v>46153.000347222223</v>
      </c>
      <c r="B311" s="46"/>
      <c r="C311" s="260"/>
      <c r="D311" s="46"/>
      <c r="E311" s="47" t="s">
        <v>1896</v>
      </c>
      <c r="F311" s="97" t="s">
        <v>4696</v>
      </c>
      <c r="G311" s="97"/>
      <c r="H311" s="98" t="s">
        <v>4697</v>
      </c>
      <c r="I311" s="82" t="s">
        <v>4698</v>
      </c>
      <c r="J311" s="100" t="s">
        <v>140</v>
      </c>
      <c r="K311" s="52">
        <v>0</v>
      </c>
      <c r="L311" s="52">
        <v>0</v>
      </c>
      <c r="M311" s="92">
        <v>40</v>
      </c>
      <c r="N311" s="92">
        <v>15000</v>
      </c>
      <c r="O311" s="92">
        <v>1</v>
      </c>
      <c r="P311" s="92">
        <f t="shared" si="91"/>
        <v>15000</v>
      </c>
      <c r="Q311" s="92"/>
      <c r="R311" s="92">
        <v>15000</v>
      </c>
      <c r="S311" s="92">
        <f t="shared" si="85"/>
        <v>0</v>
      </c>
      <c r="T311" s="102">
        <f t="shared" si="86"/>
        <v>2160</v>
      </c>
      <c r="U311" s="101">
        <f t="shared" si="87"/>
        <v>0</v>
      </c>
      <c r="V311" s="101">
        <f t="shared" si="88"/>
        <v>0</v>
      </c>
      <c r="W311" s="101">
        <v>0</v>
      </c>
      <c r="X311" s="55">
        <f t="shared" si="89"/>
        <v>46153.000347222223</v>
      </c>
    </row>
    <row r="312" spans="1:24" s="221" customFormat="1" ht="26.5" hidden="1" x14ac:dyDescent="0.35">
      <c r="A312" s="46">
        <f t="shared" si="90"/>
        <v>46153.000347222223</v>
      </c>
      <c r="B312" s="46"/>
      <c r="C312" s="260"/>
      <c r="D312" s="46"/>
      <c r="E312" s="47" t="s">
        <v>1896</v>
      </c>
      <c r="F312" s="82" t="s">
        <v>1749</v>
      </c>
      <c r="G312" s="82"/>
      <c r="H312" s="98" t="s">
        <v>4699</v>
      </c>
      <c r="I312" s="82" t="s">
        <v>4359</v>
      </c>
      <c r="J312" s="100" t="s">
        <v>140</v>
      </c>
      <c r="K312" s="52">
        <v>0</v>
      </c>
      <c r="L312" s="52">
        <v>0</v>
      </c>
      <c r="M312" s="102">
        <v>45</v>
      </c>
      <c r="N312" s="102">
        <v>4000</v>
      </c>
      <c r="O312" s="102">
        <v>1</v>
      </c>
      <c r="P312" s="102">
        <f t="shared" si="91"/>
        <v>4000</v>
      </c>
      <c r="Q312" s="102"/>
      <c r="R312" s="102">
        <v>4000</v>
      </c>
      <c r="S312" s="102">
        <f t="shared" si="85"/>
        <v>0</v>
      </c>
      <c r="T312" s="102">
        <f t="shared" si="86"/>
        <v>1920</v>
      </c>
      <c r="U312" s="101">
        <f t="shared" si="87"/>
        <v>0</v>
      </c>
      <c r="V312" s="101">
        <f t="shared" si="88"/>
        <v>0</v>
      </c>
      <c r="W312" s="101">
        <v>0</v>
      </c>
      <c r="X312" s="55">
        <f t="shared" si="89"/>
        <v>46153.000347222223</v>
      </c>
    </row>
    <row r="313" spans="1:24" s="221" customFormat="1" ht="26.5" hidden="1" x14ac:dyDescent="0.35">
      <c r="A313" s="46">
        <f t="shared" si="90"/>
        <v>46153.000347222223</v>
      </c>
      <c r="B313" s="46"/>
      <c r="C313" s="260"/>
      <c r="D313" s="46"/>
      <c r="E313" s="47" t="s">
        <v>1896</v>
      </c>
      <c r="F313" s="82" t="s">
        <v>612</v>
      </c>
      <c r="G313" s="82"/>
      <c r="H313" s="98" t="s">
        <v>4700</v>
      </c>
      <c r="I313" s="82" t="s">
        <v>4359</v>
      </c>
      <c r="J313" s="100" t="s">
        <v>140</v>
      </c>
      <c r="K313" s="52">
        <v>0</v>
      </c>
      <c r="L313" s="52">
        <v>0</v>
      </c>
      <c r="M313" s="102">
        <v>45</v>
      </c>
      <c r="N313" s="102">
        <v>2500</v>
      </c>
      <c r="O313" s="102">
        <v>1</v>
      </c>
      <c r="P313" s="102">
        <f t="shared" si="91"/>
        <v>2500</v>
      </c>
      <c r="Q313" s="102"/>
      <c r="R313" s="102">
        <v>2500</v>
      </c>
      <c r="S313" s="102">
        <f t="shared" si="85"/>
        <v>0</v>
      </c>
      <c r="T313" s="102">
        <f t="shared" si="86"/>
        <v>1920</v>
      </c>
      <c r="U313" s="101">
        <f t="shared" si="87"/>
        <v>0</v>
      </c>
      <c r="V313" s="101">
        <f t="shared" si="88"/>
        <v>0</v>
      </c>
      <c r="W313" s="101">
        <v>0</v>
      </c>
      <c r="X313" s="55">
        <f t="shared" si="89"/>
        <v>46153.000347222223</v>
      </c>
    </row>
    <row r="314" spans="1:24" s="221" customFormat="1" ht="26.5" hidden="1" x14ac:dyDescent="0.35">
      <c r="A314" s="46">
        <f t="shared" si="90"/>
        <v>46153.000347222223</v>
      </c>
      <c r="B314" s="46"/>
      <c r="C314" s="260"/>
      <c r="D314" s="46"/>
      <c r="E314" s="47" t="s">
        <v>1896</v>
      </c>
      <c r="F314" s="82" t="s">
        <v>1166</v>
      </c>
      <c r="G314" s="82"/>
      <c r="H314" s="98" t="s">
        <v>4701</v>
      </c>
      <c r="I314" s="82" t="s">
        <v>4359</v>
      </c>
      <c r="J314" s="100" t="s">
        <v>140</v>
      </c>
      <c r="K314" s="52">
        <v>0</v>
      </c>
      <c r="L314" s="52">
        <v>0</v>
      </c>
      <c r="M314" s="102">
        <v>45</v>
      </c>
      <c r="N314" s="102">
        <v>2000</v>
      </c>
      <c r="O314" s="102">
        <v>1</v>
      </c>
      <c r="P314" s="102">
        <f t="shared" si="91"/>
        <v>2000</v>
      </c>
      <c r="Q314" s="102"/>
      <c r="R314" s="102">
        <v>2000</v>
      </c>
      <c r="S314" s="102">
        <f t="shared" si="85"/>
        <v>0</v>
      </c>
      <c r="T314" s="102">
        <f t="shared" si="86"/>
        <v>1920</v>
      </c>
      <c r="U314" s="101">
        <f t="shared" si="87"/>
        <v>0</v>
      </c>
      <c r="V314" s="101">
        <f t="shared" si="88"/>
        <v>0</v>
      </c>
      <c r="W314" s="101">
        <v>0</v>
      </c>
      <c r="X314" s="55">
        <f t="shared" si="89"/>
        <v>46153.000347222223</v>
      </c>
    </row>
    <row r="315" spans="1:24" s="221" customFormat="1" hidden="1" x14ac:dyDescent="0.35">
      <c r="A315" s="46">
        <f t="shared" si="90"/>
        <v>46153.000347222223</v>
      </c>
      <c r="B315" s="46"/>
      <c r="C315" s="260"/>
      <c r="D315" s="46"/>
      <c r="E315" s="47" t="s">
        <v>4530</v>
      </c>
      <c r="F315" s="82" t="s">
        <v>4702</v>
      </c>
      <c r="G315" s="82"/>
      <c r="H315" s="107" t="s">
        <v>4703</v>
      </c>
      <c r="I315" s="390" t="s">
        <v>4671</v>
      </c>
      <c r="J315" s="100" t="s">
        <v>140</v>
      </c>
      <c r="K315" s="52">
        <v>0</v>
      </c>
      <c r="L315" s="52">
        <v>0</v>
      </c>
      <c r="M315" s="92">
        <v>70</v>
      </c>
      <c r="N315" s="92">
        <v>3000</v>
      </c>
      <c r="O315" s="92">
        <v>1</v>
      </c>
      <c r="P315" s="92">
        <f t="shared" si="91"/>
        <v>3000</v>
      </c>
      <c r="Q315" s="92"/>
      <c r="R315" s="92">
        <v>3000</v>
      </c>
      <c r="S315" s="92">
        <f t="shared" si="85"/>
        <v>0</v>
      </c>
      <c r="T315" s="102">
        <f t="shared" si="86"/>
        <v>1234.2857142857142</v>
      </c>
      <c r="U315" s="101">
        <f t="shared" si="87"/>
        <v>0</v>
      </c>
      <c r="V315" s="101">
        <f t="shared" si="88"/>
        <v>0</v>
      </c>
      <c r="W315" s="101">
        <v>0</v>
      </c>
      <c r="X315" s="55">
        <f t="shared" si="89"/>
        <v>46153.000347222223</v>
      </c>
    </row>
    <row r="316" spans="1:24" ht="26.5" hidden="1" x14ac:dyDescent="0.35">
      <c r="A316" s="46">
        <f t="shared" si="90"/>
        <v>46153.000347222223</v>
      </c>
      <c r="B316" s="46"/>
      <c r="C316" s="260"/>
      <c r="D316" s="46"/>
      <c r="E316" s="47" t="s">
        <v>1896</v>
      </c>
      <c r="F316" s="82" t="s">
        <v>633</v>
      </c>
      <c r="G316" s="82"/>
      <c r="H316" s="334" t="s">
        <v>4704</v>
      </c>
      <c r="I316" s="697" t="s">
        <v>3464</v>
      </c>
      <c r="J316" s="100" t="s">
        <v>140</v>
      </c>
      <c r="K316" s="52">
        <v>0</v>
      </c>
      <c r="L316" s="52">
        <v>0</v>
      </c>
      <c r="M316" s="92">
        <v>35</v>
      </c>
      <c r="N316" s="92">
        <v>5000</v>
      </c>
      <c r="O316" s="92">
        <v>1</v>
      </c>
      <c r="P316" s="92">
        <f t="shared" si="91"/>
        <v>5000</v>
      </c>
      <c r="Q316" s="92"/>
      <c r="R316" s="92">
        <v>5000</v>
      </c>
      <c r="S316" s="102">
        <f t="shared" si="85"/>
        <v>0</v>
      </c>
      <c r="T316" s="102">
        <f t="shared" si="86"/>
        <v>2468.5714285714284</v>
      </c>
      <c r="U316" s="101">
        <f t="shared" si="87"/>
        <v>0</v>
      </c>
      <c r="V316" s="101">
        <f t="shared" si="88"/>
        <v>0</v>
      </c>
      <c r="W316" s="101">
        <v>0</v>
      </c>
      <c r="X316" s="55">
        <f t="shared" si="89"/>
        <v>46153.000347222223</v>
      </c>
    </row>
    <row r="317" spans="1:24" ht="26.5" hidden="1" x14ac:dyDescent="0.35">
      <c r="A317" s="46">
        <f t="shared" si="90"/>
        <v>46153.000347222223</v>
      </c>
      <c r="B317" s="46"/>
      <c r="C317" s="260"/>
      <c r="D317" s="46"/>
      <c r="E317" s="47" t="s">
        <v>1896</v>
      </c>
      <c r="F317" s="82" t="s">
        <v>220</v>
      </c>
      <c r="G317" s="82"/>
      <c r="H317" s="334" t="s">
        <v>4705</v>
      </c>
      <c r="I317" s="697" t="s">
        <v>3464</v>
      </c>
      <c r="J317" s="100" t="s">
        <v>140</v>
      </c>
      <c r="K317" s="52">
        <v>0</v>
      </c>
      <c r="L317" s="52">
        <v>0</v>
      </c>
      <c r="M317" s="92">
        <v>35</v>
      </c>
      <c r="N317" s="92">
        <v>5000</v>
      </c>
      <c r="O317" s="92">
        <v>1</v>
      </c>
      <c r="P317" s="92">
        <f t="shared" si="91"/>
        <v>5000</v>
      </c>
      <c r="Q317" s="92"/>
      <c r="R317" s="92">
        <v>5000</v>
      </c>
      <c r="S317" s="102">
        <f t="shared" si="85"/>
        <v>0</v>
      </c>
      <c r="T317" s="102">
        <f t="shared" si="86"/>
        <v>2468.5714285714284</v>
      </c>
      <c r="U317" s="101">
        <f t="shared" si="87"/>
        <v>0</v>
      </c>
      <c r="V317" s="101">
        <f t="shared" si="88"/>
        <v>0</v>
      </c>
      <c r="W317" s="101">
        <v>0</v>
      </c>
      <c r="X317" s="55">
        <f t="shared" si="89"/>
        <v>46153.000347222223</v>
      </c>
    </row>
    <row r="318" spans="1:24" hidden="1" x14ac:dyDescent="0.35">
      <c r="A318" s="46">
        <f t="shared" si="90"/>
        <v>46153.000347222223</v>
      </c>
      <c r="B318" s="46"/>
      <c r="C318" s="260"/>
      <c r="D318" s="46"/>
      <c r="E318" s="47" t="s">
        <v>1896</v>
      </c>
      <c r="F318" s="82" t="s">
        <v>4706</v>
      </c>
      <c r="G318" s="82"/>
      <c r="H318" s="334" t="s">
        <v>4707</v>
      </c>
      <c r="I318" s="697" t="s">
        <v>4708</v>
      </c>
      <c r="J318" s="100" t="s">
        <v>140</v>
      </c>
      <c r="K318" s="52">
        <v>0</v>
      </c>
      <c r="L318" s="52">
        <v>0</v>
      </c>
      <c r="M318" s="92">
        <v>35</v>
      </c>
      <c r="N318" s="92">
        <v>2500</v>
      </c>
      <c r="O318" s="92">
        <v>1</v>
      </c>
      <c r="P318" s="92">
        <f t="shared" si="91"/>
        <v>2500</v>
      </c>
      <c r="Q318" s="92"/>
      <c r="R318" s="92">
        <v>2500</v>
      </c>
      <c r="S318" s="102">
        <f t="shared" si="85"/>
        <v>0</v>
      </c>
      <c r="T318" s="102">
        <f t="shared" si="86"/>
        <v>2468.5714285714284</v>
      </c>
      <c r="U318" s="101">
        <f t="shared" si="87"/>
        <v>0</v>
      </c>
      <c r="V318" s="101">
        <f t="shared" si="88"/>
        <v>0</v>
      </c>
      <c r="W318" s="101">
        <v>0</v>
      </c>
      <c r="X318" s="55">
        <f t="shared" si="89"/>
        <v>46153.000347222223</v>
      </c>
    </row>
    <row r="319" spans="1:24" s="221" customFormat="1" ht="26.5" hidden="1" x14ac:dyDescent="0.35">
      <c r="A319" s="46">
        <f t="shared" si="90"/>
        <v>46153.000347222223</v>
      </c>
      <c r="B319" s="46"/>
      <c r="C319" s="260"/>
      <c r="D319" s="46"/>
      <c r="E319" s="47" t="s">
        <v>1896</v>
      </c>
      <c r="F319" s="82" t="s">
        <v>1517</v>
      </c>
      <c r="G319" s="82"/>
      <c r="H319" s="98" t="s">
        <v>4709</v>
      </c>
      <c r="I319" s="82" t="s">
        <v>4359</v>
      </c>
      <c r="J319" s="100" t="s">
        <v>140</v>
      </c>
      <c r="K319" s="52">
        <v>0</v>
      </c>
      <c r="L319" s="52">
        <v>0</v>
      </c>
      <c r="M319" s="102">
        <v>45</v>
      </c>
      <c r="N319" s="102">
        <v>7500</v>
      </c>
      <c r="O319" s="102">
        <v>1</v>
      </c>
      <c r="P319" s="102">
        <f t="shared" si="91"/>
        <v>7500</v>
      </c>
      <c r="Q319" s="102"/>
      <c r="R319" s="102">
        <v>7500</v>
      </c>
      <c r="S319" s="102">
        <f t="shared" si="85"/>
        <v>0</v>
      </c>
      <c r="T319" s="102">
        <f t="shared" si="86"/>
        <v>1920</v>
      </c>
      <c r="U319" s="101">
        <f t="shared" si="87"/>
        <v>0</v>
      </c>
      <c r="V319" s="101">
        <f t="shared" si="88"/>
        <v>0</v>
      </c>
      <c r="W319" s="101">
        <v>0</v>
      </c>
      <c r="X319" s="55">
        <f t="shared" si="89"/>
        <v>46153.000347222223</v>
      </c>
    </row>
    <row r="320" spans="1:24" s="221" customFormat="1" hidden="1" x14ac:dyDescent="0.35">
      <c r="A320" s="46">
        <f t="shared" si="90"/>
        <v>46153.000347222223</v>
      </c>
      <c r="B320" s="46"/>
      <c r="C320" s="260"/>
      <c r="D320" s="46"/>
      <c r="E320" s="47" t="s">
        <v>1896</v>
      </c>
      <c r="F320" s="97" t="s">
        <v>4710</v>
      </c>
      <c r="G320" s="97"/>
      <c r="H320" s="98" t="s">
        <v>4711</v>
      </c>
      <c r="I320" s="82" t="s">
        <v>4698</v>
      </c>
      <c r="J320" s="100" t="s">
        <v>140</v>
      </c>
      <c r="K320" s="52">
        <v>0</v>
      </c>
      <c r="L320" s="52">
        <v>0</v>
      </c>
      <c r="M320" s="92">
        <v>40</v>
      </c>
      <c r="N320" s="92">
        <v>20000</v>
      </c>
      <c r="O320" s="92">
        <v>1</v>
      </c>
      <c r="P320" s="92">
        <f t="shared" si="91"/>
        <v>20000</v>
      </c>
      <c r="Q320" s="92"/>
      <c r="R320" s="92">
        <v>20000</v>
      </c>
      <c r="S320" s="92">
        <f t="shared" si="85"/>
        <v>0</v>
      </c>
      <c r="T320" s="102">
        <f t="shared" si="86"/>
        <v>2160</v>
      </c>
      <c r="U320" s="101">
        <f t="shared" si="87"/>
        <v>0</v>
      </c>
      <c r="V320" s="101">
        <f t="shared" si="88"/>
        <v>0</v>
      </c>
      <c r="W320" s="101">
        <v>0</v>
      </c>
      <c r="X320" s="55">
        <f t="shared" si="89"/>
        <v>46153.000347222223</v>
      </c>
    </row>
    <row r="321" spans="1:24" s="221" customFormat="1" hidden="1" x14ac:dyDescent="0.35">
      <c r="A321" s="46">
        <f t="shared" si="90"/>
        <v>46153.000347222223</v>
      </c>
      <c r="B321" s="46"/>
      <c r="C321" s="260"/>
      <c r="D321" s="46"/>
      <c r="E321" s="47" t="s">
        <v>1896</v>
      </c>
      <c r="F321" s="48" t="s">
        <v>220</v>
      </c>
      <c r="G321" s="48"/>
      <c r="H321" s="59" t="s">
        <v>4712</v>
      </c>
      <c r="I321" s="106" t="s">
        <v>4352</v>
      </c>
      <c r="J321" s="100" t="s">
        <v>140</v>
      </c>
      <c r="K321" s="52">
        <v>0</v>
      </c>
      <c r="L321" s="52">
        <v>0</v>
      </c>
      <c r="M321" s="53">
        <v>26</v>
      </c>
      <c r="N321" s="53">
        <v>5000</v>
      </c>
      <c r="O321" s="53">
        <v>2</v>
      </c>
      <c r="P321" s="92">
        <f t="shared" si="91"/>
        <v>2500</v>
      </c>
      <c r="Q321" s="92"/>
      <c r="R321" s="53">
        <v>2500</v>
      </c>
      <c r="S321" s="53">
        <f t="shared" si="85"/>
        <v>0</v>
      </c>
      <c r="T321" s="83">
        <f t="shared" si="86"/>
        <v>6646.1538461538457</v>
      </c>
      <c r="U321" s="84">
        <f t="shared" si="87"/>
        <v>0</v>
      </c>
      <c r="V321" s="84">
        <f t="shared" si="88"/>
        <v>0</v>
      </c>
      <c r="W321" s="84">
        <v>0</v>
      </c>
      <c r="X321" s="55">
        <f t="shared" si="89"/>
        <v>46153.000347222223</v>
      </c>
    </row>
    <row r="322" spans="1:24" s="221" customFormat="1" hidden="1" x14ac:dyDescent="0.35">
      <c r="A322" s="46">
        <f t="shared" si="90"/>
        <v>46153.000347222223</v>
      </c>
      <c r="B322" s="46"/>
      <c r="C322" s="260"/>
      <c r="D322" s="46"/>
      <c r="E322" s="47" t="s">
        <v>1896</v>
      </c>
      <c r="F322" s="57" t="s">
        <v>4713</v>
      </c>
      <c r="G322" s="57"/>
      <c r="H322" s="49" t="s">
        <v>4714</v>
      </c>
      <c r="I322" s="85" t="s">
        <v>4715</v>
      </c>
      <c r="J322" s="100" t="s">
        <v>140</v>
      </c>
      <c r="K322" s="52">
        <v>0</v>
      </c>
      <c r="L322" s="52">
        <v>0</v>
      </c>
      <c r="M322" s="53">
        <v>55</v>
      </c>
      <c r="N322" s="53">
        <v>660</v>
      </c>
      <c r="O322" s="53">
        <v>1</v>
      </c>
      <c r="P322" s="92">
        <f t="shared" si="91"/>
        <v>660</v>
      </c>
      <c r="Q322" s="92"/>
      <c r="R322" s="83">
        <v>660</v>
      </c>
      <c r="S322" s="53">
        <f t="shared" si="85"/>
        <v>0</v>
      </c>
      <c r="T322" s="83">
        <f t="shared" si="86"/>
        <v>1570.909090909091</v>
      </c>
      <c r="U322" s="84">
        <f t="shared" si="87"/>
        <v>0</v>
      </c>
      <c r="V322" s="84">
        <f t="shared" si="88"/>
        <v>0</v>
      </c>
      <c r="W322" s="84">
        <v>0</v>
      </c>
      <c r="X322" s="55">
        <f t="shared" si="89"/>
        <v>46153.000347222223</v>
      </c>
    </row>
    <row r="323" spans="1:24" s="221" customFormat="1" ht="26.5" hidden="1" x14ac:dyDescent="0.35">
      <c r="A323" s="46">
        <f t="shared" si="90"/>
        <v>46153.000347222223</v>
      </c>
      <c r="B323" s="46"/>
      <c r="C323" s="260"/>
      <c r="D323" s="46"/>
      <c r="E323" s="47" t="s">
        <v>1896</v>
      </c>
      <c r="F323" s="99" t="s">
        <v>1549</v>
      </c>
      <c r="G323" s="99"/>
      <c r="H323" s="98" t="s">
        <v>4716</v>
      </c>
      <c r="I323" s="82" t="s">
        <v>4359</v>
      </c>
      <c r="J323" s="100" t="s">
        <v>140</v>
      </c>
      <c r="K323" s="52">
        <v>0</v>
      </c>
      <c r="L323" s="52">
        <v>0</v>
      </c>
      <c r="M323" s="102">
        <v>45</v>
      </c>
      <c r="N323" s="102">
        <v>1500</v>
      </c>
      <c r="O323" s="102">
        <v>1</v>
      </c>
      <c r="P323" s="102">
        <f t="shared" si="91"/>
        <v>1500</v>
      </c>
      <c r="Q323" s="102"/>
      <c r="R323" s="102">
        <v>1500</v>
      </c>
      <c r="S323" s="102">
        <f t="shared" si="85"/>
        <v>0</v>
      </c>
      <c r="T323" s="102">
        <f t="shared" si="86"/>
        <v>1920</v>
      </c>
      <c r="U323" s="101">
        <f t="shared" si="87"/>
        <v>0</v>
      </c>
      <c r="V323" s="101">
        <f t="shared" si="88"/>
        <v>0</v>
      </c>
      <c r="W323" s="101">
        <v>0</v>
      </c>
      <c r="X323" s="55">
        <f t="shared" si="89"/>
        <v>46153.000347222223</v>
      </c>
    </row>
    <row r="324" spans="1:24" ht="26.5" hidden="1" x14ac:dyDescent="0.35">
      <c r="A324" s="46">
        <f t="shared" si="90"/>
        <v>46153.000347222223</v>
      </c>
      <c r="B324" s="46"/>
      <c r="C324" s="260"/>
      <c r="D324" s="46"/>
      <c r="E324" s="47" t="s">
        <v>1896</v>
      </c>
      <c r="F324" s="99" t="s">
        <v>1211</v>
      </c>
      <c r="G324" s="99"/>
      <c r="H324" s="98" t="s">
        <v>4586</v>
      </c>
      <c r="I324" s="82" t="s">
        <v>4359</v>
      </c>
      <c r="J324" s="100" t="s">
        <v>140</v>
      </c>
      <c r="K324" s="52">
        <v>0</v>
      </c>
      <c r="L324" s="52">
        <v>0</v>
      </c>
      <c r="M324" s="102">
        <v>45</v>
      </c>
      <c r="N324" s="102">
        <v>1200</v>
      </c>
      <c r="O324" s="102">
        <v>1</v>
      </c>
      <c r="P324" s="102">
        <f t="shared" si="91"/>
        <v>1200</v>
      </c>
      <c r="Q324" s="102"/>
      <c r="R324" s="102">
        <v>1200</v>
      </c>
      <c r="S324" s="102">
        <f t="shared" si="85"/>
        <v>0</v>
      </c>
      <c r="T324" s="102">
        <f t="shared" si="86"/>
        <v>1920</v>
      </c>
      <c r="U324" s="101">
        <f t="shared" si="87"/>
        <v>0</v>
      </c>
      <c r="V324" s="101">
        <f t="shared" si="88"/>
        <v>0</v>
      </c>
      <c r="W324" s="101">
        <v>0</v>
      </c>
      <c r="X324" s="55">
        <f t="shared" si="89"/>
        <v>46153.000347222223</v>
      </c>
    </row>
    <row r="325" spans="1:24" ht="26.5" hidden="1" x14ac:dyDescent="0.35">
      <c r="A325" s="46">
        <f t="shared" si="90"/>
        <v>46153.000347222223</v>
      </c>
      <c r="B325" s="46"/>
      <c r="C325" s="260"/>
      <c r="D325" s="46"/>
      <c r="E325" s="47" t="s">
        <v>1896</v>
      </c>
      <c r="F325" s="82" t="s">
        <v>220</v>
      </c>
      <c r="G325" s="82"/>
      <c r="H325" s="334" t="s">
        <v>3463</v>
      </c>
      <c r="I325" s="697" t="s">
        <v>3464</v>
      </c>
      <c r="J325" s="100" t="s">
        <v>140</v>
      </c>
      <c r="K325" s="52">
        <v>0</v>
      </c>
      <c r="L325" s="52">
        <v>0</v>
      </c>
      <c r="M325" s="92">
        <v>35</v>
      </c>
      <c r="N325" s="92">
        <v>5000</v>
      </c>
      <c r="O325" s="92">
        <v>1</v>
      </c>
      <c r="P325" s="92">
        <f t="shared" si="91"/>
        <v>5000</v>
      </c>
      <c r="Q325" s="92"/>
      <c r="R325" s="92">
        <v>5000</v>
      </c>
      <c r="S325" s="102">
        <f t="shared" si="85"/>
        <v>0</v>
      </c>
      <c r="T325" s="102">
        <f t="shared" si="86"/>
        <v>2468.5714285714284</v>
      </c>
      <c r="U325" s="101">
        <f t="shared" si="87"/>
        <v>0</v>
      </c>
      <c r="V325" s="101">
        <f t="shared" si="88"/>
        <v>0</v>
      </c>
      <c r="W325" s="101">
        <v>0</v>
      </c>
      <c r="X325" s="55">
        <f t="shared" si="89"/>
        <v>46153.000347222223</v>
      </c>
    </row>
    <row r="326" spans="1:24" hidden="1" x14ac:dyDescent="0.35">
      <c r="A326" s="46">
        <f t="shared" si="90"/>
        <v>46153.000347222223</v>
      </c>
      <c r="B326" s="46"/>
      <c r="C326" s="260"/>
      <c r="D326" s="46"/>
      <c r="E326" s="47" t="s">
        <v>4321</v>
      </c>
      <c r="F326" s="97" t="s">
        <v>4717</v>
      </c>
      <c r="G326" s="97"/>
      <c r="H326" s="98" t="s">
        <v>4718</v>
      </c>
      <c r="I326" s="82" t="s">
        <v>4555</v>
      </c>
      <c r="J326" s="69" t="s">
        <v>140</v>
      </c>
      <c r="K326" s="52">
        <v>0</v>
      </c>
      <c r="L326" s="52">
        <v>0</v>
      </c>
      <c r="M326" s="92">
        <v>40</v>
      </c>
      <c r="N326" s="92">
        <v>3000</v>
      </c>
      <c r="O326" s="92">
        <v>1</v>
      </c>
      <c r="P326" s="92">
        <f t="shared" si="91"/>
        <v>3000</v>
      </c>
      <c r="Q326" s="92"/>
      <c r="R326" s="92">
        <v>3000</v>
      </c>
      <c r="S326" s="92">
        <f t="shared" si="85"/>
        <v>0</v>
      </c>
      <c r="T326" s="102">
        <f t="shared" si="86"/>
        <v>2160</v>
      </c>
      <c r="U326" s="101">
        <f t="shared" si="87"/>
        <v>0</v>
      </c>
      <c r="V326" s="101">
        <f t="shared" si="88"/>
        <v>0</v>
      </c>
      <c r="W326" s="101">
        <v>0</v>
      </c>
      <c r="X326" s="55">
        <f t="shared" si="89"/>
        <v>46153.000347222223</v>
      </c>
    </row>
    <row r="327" spans="1:24" hidden="1" x14ac:dyDescent="0.35">
      <c r="A327" s="46">
        <f t="shared" si="90"/>
        <v>46153.000347222223</v>
      </c>
      <c r="B327" s="46"/>
      <c r="C327" s="260"/>
      <c r="D327" s="46"/>
      <c r="E327" s="47" t="s">
        <v>1896</v>
      </c>
      <c r="F327" s="99" t="s">
        <v>1549</v>
      </c>
      <c r="G327" s="99"/>
      <c r="H327" s="107" t="s">
        <v>4719</v>
      </c>
      <c r="I327" s="82" t="s">
        <v>4335</v>
      </c>
      <c r="J327" s="100" t="s">
        <v>140</v>
      </c>
      <c r="K327" s="52">
        <v>0</v>
      </c>
      <c r="L327" s="52">
        <v>0</v>
      </c>
      <c r="M327" s="92">
        <v>45</v>
      </c>
      <c r="N327" s="92">
        <v>1500</v>
      </c>
      <c r="O327" s="92">
        <v>1</v>
      </c>
      <c r="P327" s="102">
        <f t="shared" si="91"/>
        <v>1500</v>
      </c>
      <c r="Q327" s="102"/>
      <c r="R327" s="92">
        <v>1500</v>
      </c>
      <c r="S327" s="92">
        <f t="shared" si="85"/>
        <v>0</v>
      </c>
      <c r="T327" s="102">
        <f t="shared" si="86"/>
        <v>1920</v>
      </c>
      <c r="U327" s="101">
        <f t="shared" si="87"/>
        <v>0</v>
      </c>
      <c r="V327" s="101">
        <f t="shared" si="88"/>
        <v>0</v>
      </c>
      <c r="W327" s="101">
        <v>0</v>
      </c>
      <c r="X327" s="55">
        <f t="shared" si="89"/>
        <v>46153.000347222223</v>
      </c>
    </row>
    <row r="328" spans="1:24" hidden="1" x14ac:dyDescent="0.35">
      <c r="A328" s="46">
        <f t="shared" si="90"/>
        <v>46153.000347222223</v>
      </c>
      <c r="B328" s="46"/>
      <c r="C328" s="260"/>
      <c r="D328" s="46"/>
      <c r="E328" s="47" t="s">
        <v>1896</v>
      </c>
      <c r="F328" s="99" t="s">
        <v>1211</v>
      </c>
      <c r="G328" s="99"/>
      <c r="H328" s="107" t="s">
        <v>4720</v>
      </c>
      <c r="I328" s="82" t="s">
        <v>4335</v>
      </c>
      <c r="J328" s="100" t="s">
        <v>140</v>
      </c>
      <c r="K328" s="52">
        <v>0</v>
      </c>
      <c r="L328" s="52">
        <v>0</v>
      </c>
      <c r="M328" s="92">
        <v>45</v>
      </c>
      <c r="N328" s="92">
        <v>1000</v>
      </c>
      <c r="O328" s="92">
        <v>1</v>
      </c>
      <c r="P328" s="102">
        <f t="shared" si="91"/>
        <v>1000</v>
      </c>
      <c r="Q328" s="102"/>
      <c r="R328" s="92">
        <v>1000</v>
      </c>
      <c r="S328" s="92">
        <f t="shared" si="85"/>
        <v>0</v>
      </c>
      <c r="T328" s="102">
        <f t="shared" si="86"/>
        <v>1920</v>
      </c>
      <c r="U328" s="101">
        <f t="shared" si="87"/>
        <v>0</v>
      </c>
      <c r="V328" s="101">
        <f t="shared" si="88"/>
        <v>0</v>
      </c>
      <c r="W328" s="101">
        <v>0</v>
      </c>
      <c r="X328" s="55">
        <f t="shared" si="89"/>
        <v>46153.000347222223</v>
      </c>
    </row>
    <row r="329" spans="1:24" hidden="1" x14ac:dyDescent="0.35">
      <c r="A329" s="46">
        <f t="shared" si="90"/>
        <v>46153.000347222223</v>
      </c>
      <c r="B329" s="46"/>
      <c r="C329" s="260"/>
      <c r="D329" s="46"/>
      <c r="E329" s="47" t="s">
        <v>4321</v>
      </c>
      <c r="F329" s="97" t="s">
        <v>1574</v>
      </c>
      <c r="G329" s="97"/>
      <c r="H329" s="98" t="s">
        <v>4721</v>
      </c>
      <c r="I329" s="85" t="s">
        <v>4484</v>
      </c>
      <c r="J329" s="100" t="s">
        <v>140</v>
      </c>
      <c r="K329" s="52">
        <v>0</v>
      </c>
      <c r="L329" s="52">
        <v>0</v>
      </c>
      <c r="M329" s="92">
        <v>90</v>
      </c>
      <c r="N329" s="92">
        <v>500</v>
      </c>
      <c r="O329" s="92">
        <v>1</v>
      </c>
      <c r="P329" s="92">
        <f t="shared" si="91"/>
        <v>500</v>
      </c>
      <c r="Q329" s="92"/>
      <c r="R329" s="102">
        <v>500</v>
      </c>
      <c r="S329" s="92">
        <f t="shared" si="85"/>
        <v>0</v>
      </c>
      <c r="T329" s="102">
        <f t="shared" si="86"/>
        <v>960</v>
      </c>
      <c r="U329" s="101">
        <f t="shared" si="87"/>
        <v>0</v>
      </c>
      <c r="V329" s="101">
        <f t="shared" si="88"/>
        <v>0</v>
      </c>
      <c r="W329" s="101">
        <v>0</v>
      </c>
      <c r="X329" s="55">
        <f t="shared" si="89"/>
        <v>46153.000347222223</v>
      </c>
    </row>
    <row r="330" spans="1:24" hidden="1" x14ac:dyDescent="0.35">
      <c r="A330" s="46">
        <f t="shared" si="90"/>
        <v>46153.000347222223</v>
      </c>
      <c r="B330" s="46"/>
      <c r="C330" s="260"/>
      <c r="D330" s="46"/>
      <c r="E330" s="47" t="s">
        <v>4321</v>
      </c>
      <c r="F330" s="97" t="s">
        <v>1574</v>
      </c>
      <c r="G330" s="97"/>
      <c r="H330" s="98" t="s">
        <v>4722</v>
      </c>
      <c r="I330" s="85" t="s">
        <v>4332</v>
      </c>
      <c r="J330" s="100" t="s">
        <v>140</v>
      </c>
      <c r="K330" s="52">
        <v>0</v>
      </c>
      <c r="L330" s="52">
        <v>0</v>
      </c>
      <c r="M330" s="92">
        <v>90</v>
      </c>
      <c r="N330" s="92">
        <v>500</v>
      </c>
      <c r="O330" s="92">
        <v>1</v>
      </c>
      <c r="P330" s="92">
        <f t="shared" si="91"/>
        <v>500</v>
      </c>
      <c r="Q330" s="92"/>
      <c r="R330" s="102">
        <v>500</v>
      </c>
      <c r="S330" s="92">
        <f t="shared" si="85"/>
        <v>0</v>
      </c>
      <c r="T330" s="102">
        <f t="shared" si="86"/>
        <v>960</v>
      </c>
      <c r="U330" s="101">
        <f t="shared" si="87"/>
        <v>0</v>
      </c>
      <c r="V330" s="101">
        <f t="shared" si="88"/>
        <v>0</v>
      </c>
      <c r="W330" s="101">
        <v>0</v>
      </c>
      <c r="X330" s="55">
        <f t="shared" si="89"/>
        <v>46153.000347222223</v>
      </c>
    </row>
    <row r="331" spans="1:24" hidden="1" x14ac:dyDescent="0.35">
      <c r="A331" s="46">
        <f t="shared" si="90"/>
        <v>46153.000347222223</v>
      </c>
      <c r="B331" s="46"/>
      <c r="C331" s="260"/>
      <c r="D331" s="46"/>
      <c r="E331" s="47" t="s">
        <v>4321</v>
      </c>
      <c r="F331" s="97" t="s">
        <v>1574</v>
      </c>
      <c r="G331" s="97"/>
      <c r="H331" s="98" t="s">
        <v>4723</v>
      </c>
      <c r="I331" s="85" t="s">
        <v>4484</v>
      </c>
      <c r="J331" s="100" t="s">
        <v>140</v>
      </c>
      <c r="K331" s="52">
        <v>0</v>
      </c>
      <c r="L331" s="52">
        <v>0</v>
      </c>
      <c r="M331" s="92">
        <v>90</v>
      </c>
      <c r="N331" s="92">
        <v>500</v>
      </c>
      <c r="O331" s="92">
        <v>1</v>
      </c>
      <c r="P331" s="92">
        <f t="shared" si="91"/>
        <v>500</v>
      </c>
      <c r="Q331" s="92"/>
      <c r="R331" s="102">
        <v>500</v>
      </c>
      <c r="S331" s="92">
        <f t="shared" si="85"/>
        <v>0</v>
      </c>
      <c r="T331" s="102">
        <f t="shared" si="86"/>
        <v>960</v>
      </c>
      <c r="U331" s="101">
        <f t="shared" si="87"/>
        <v>0</v>
      </c>
      <c r="V331" s="101">
        <f t="shared" si="88"/>
        <v>0</v>
      </c>
      <c r="W331" s="101">
        <v>0</v>
      </c>
      <c r="X331" s="55">
        <f t="shared" si="89"/>
        <v>46153.000347222223</v>
      </c>
    </row>
    <row r="332" spans="1:24" hidden="1" x14ac:dyDescent="0.35">
      <c r="A332" s="46">
        <f t="shared" si="90"/>
        <v>46153.000347222223</v>
      </c>
      <c r="B332" s="46"/>
      <c r="C332" s="260"/>
      <c r="D332" s="46"/>
      <c r="E332" s="47" t="s">
        <v>1896</v>
      </c>
      <c r="F332" s="99" t="s">
        <v>227</v>
      </c>
      <c r="G332" s="99"/>
      <c r="H332" s="107" t="s">
        <v>4724</v>
      </c>
      <c r="I332" s="82" t="s">
        <v>4335</v>
      </c>
      <c r="J332" s="100" t="s">
        <v>140</v>
      </c>
      <c r="K332" s="52">
        <v>0</v>
      </c>
      <c r="L332" s="52">
        <v>0</v>
      </c>
      <c r="M332" s="92">
        <v>45</v>
      </c>
      <c r="N332" s="92">
        <v>2500</v>
      </c>
      <c r="O332" s="92">
        <v>1</v>
      </c>
      <c r="P332" s="102">
        <f t="shared" si="91"/>
        <v>2500</v>
      </c>
      <c r="Q332" s="102"/>
      <c r="R332" s="92">
        <v>1500</v>
      </c>
      <c r="S332" s="92">
        <f t="shared" si="85"/>
        <v>1000</v>
      </c>
      <c r="T332" s="102">
        <f t="shared" si="86"/>
        <v>1920</v>
      </c>
      <c r="U332" s="101">
        <f t="shared" si="87"/>
        <v>12.5</v>
      </c>
      <c r="V332" s="101">
        <f t="shared" si="88"/>
        <v>0.52083333333333337</v>
      </c>
      <c r="W332" s="101">
        <v>0</v>
      </c>
      <c r="X332" s="55">
        <f t="shared" si="89"/>
        <v>46153.521180555559</v>
      </c>
    </row>
    <row r="333" spans="1:24" hidden="1" x14ac:dyDescent="0.35">
      <c r="A333" s="46">
        <f t="shared" si="90"/>
        <v>46153.521180555559</v>
      </c>
      <c r="B333" s="46"/>
      <c r="C333" s="260"/>
      <c r="D333" s="46"/>
      <c r="E333" s="47" t="s">
        <v>4530</v>
      </c>
      <c r="F333" s="82" t="s">
        <v>4725</v>
      </c>
      <c r="G333" s="82"/>
      <c r="H333" s="107" t="s">
        <v>4726</v>
      </c>
      <c r="I333" s="390" t="s">
        <v>4671</v>
      </c>
      <c r="J333" s="100" t="s">
        <v>140</v>
      </c>
      <c r="K333" s="52">
        <v>0</v>
      </c>
      <c r="L333" s="52">
        <v>0</v>
      </c>
      <c r="M333" s="92">
        <v>70</v>
      </c>
      <c r="N333" s="92">
        <v>3000</v>
      </c>
      <c r="O333" s="92">
        <v>1</v>
      </c>
      <c r="P333" s="92">
        <f t="shared" si="91"/>
        <v>3000</v>
      </c>
      <c r="Q333" s="92"/>
      <c r="R333" s="92">
        <v>3000</v>
      </c>
      <c r="S333" s="92">
        <f t="shared" si="85"/>
        <v>0</v>
      </c>
      <c r="T333" s="102">
        <f t="shared" si="86"/>
        <v>1234.2857142857142</v>
      </c>
      <c r="U333" s="101">
        <f t="shared" si="87"/>
        <v>0</v>
      </c>
      <c r="V333" s="101">
        <f t="shared" si="88"/>
        <v>0</v>
      </c>
      <c r="W333" s="101">
        <v>0</v>
      </c>
      <c r="X333" s="55">
        <f t="shared" si="89"/>
        <v>46153.521180555559</v>
      </c>
    </row>
    <row r="334" spans="1:24" hidden="1" x14ac:dyDescent="0.35">
      <c r="A334" s="46">
        <f t="shared" si="90"/>
        <v>46153.521180555559</v>
      </c>
      <c r="B334" s="46"/>
      <c r="C334" s="260"/>
      <c r="D334" s="46"/>
      <c r="E334" s="47" t="s">
        <v>4321</v>
      </c>
      <c r="F334" s="803" t="s">
        <v>4584</v>
      </c>
      <c r="G334" s="803"/>
      <c r="H334" s="804" t="s">
        <v>4727</v>
      </c>
      <c r="I334" s="805" t="s">
        <v>4363</v>
      </c>
      <c r="J334" s="805" t="s">
        <v>140</v>
      </c>
      <c r="K334" s="52">
        <v>0</v>
      </c>
      <c r="L334" s="52">
        <v>0</v>
      </c>
      <c r="M334" s="853">
        <v>34</v>
      </c>
      <c r="N334" s="853">
        <f>6000*20</f>
        <v>120000</v>
      </c>
      <c r="O334" s="853">
        <v>6</v>
      </c>
      <c r="P334" s="853">
        <f t="shared" si="91"/>
        <v>20000</v>
      </c>
      <c r="Q334" s="853"/>
      <c r="R334" s="853">
        <v>20000</v>
      </c>
      <c r="S334" s="853">
        <f t="shared" si="85"/>
        <v>0</v>
      </c>
      <c r="T334" s="807">
        <f t="shared" si="86"/>
        <v>15247.058823529411</v>
      </c>
      <c r="U334" s="854">
        <f t="shared" si="87"/>
        <v>0</v>
      </c>
      <c r="V334" s="854">
        <f t="shared" si="88"/>
        <v>0</v>
      </c>
      <c r="W334" s="854">
        <v>0</v>
      </c>
      <c r="X334" s="55">
        <f t="shared" si="89"/>
        <v>46153.521180555559</v>
      </c>
    </row>
    <row r="335" spans="1:24" hidden="1" x14ac:dyDescent="0.35">
      <c r="A335" s="46">
        <f t="shared" si="90"/>
        <v>46153.521180555559</v>
      </c>
      <c r="B335" s="46"/>
      <c r="C335" s="260"/>
      <c r="D335" s="46"/>
      <c r="E335" s="590" t="s">
        <v>4321</v>
      </c>
      <c r="F335" s="97" t="s">
        <v>1603</v>
      </c>
      <c r="G335" s="97"/>
      <c r="H335" s="107" t="s">
        <v>4728</v>
      </c>
      <c r="I335" s="855" t="s">
        <v>4324</v>
      </c>
      <c r="J335" s="100" t="s">
        <v>140</v>
      </c>
      <c r="K335" s="52">
        <v>0</v>
      </c>
      <c r="L335" s="52">
        <v>0</v>
      </c>
      <c r="M335" s="92">
        <v>120</v>
      </c>
      <c r="N335" s="92">
        <f>9100-952</f>
        <v>8148</v>
      </c>
      <c r="O335" s="92">
        <v>1</v>
      </c>
      <c r="P335" s="92">
        <f t="shared" si="91"/>
        <v>8148</v>
      </c>
      <c r="Q335" s="92"/>
      <c r="R335" s="92">
        <v>8148</v>
      </c>
      <c r="S335" s="92">
        <f t="shared" ref="S335:S375" si="92">P335-R335</f>
        <v>0</v>
      </c>
      <c r="T335" s="102">
        <f t="shared" ref="T335:T369" si="93">((3600/M335)*O335)*24</f>
        <v>720</v>
      </c>
      <c r="U335" s="101">
        <f t="shared" ref="U335:U369" si="94">(P335-R335)*M335/3600</f>
        <v>0</v>
      </c>
      <c r="V335" s="101">
        <f t="shared" ref="V335:V369" si="95">(P335-R335)*M335/3600/24</f>
        <v>0</v>
      </c>
      <c r="W335" s="101">
        <v>0</v>
      </c>
      <c r="X335" s="55">
        <f t="shared" ref="X335:X350" si="96">A335+K335+L335+V335+W335</f>
        <v>46153.521180555559</v>
      </c>
    </row>
    <row r="336" spans="1:24" hidden="1" x14ac:dyDescent="0.35">
      <c r="A336" s="46">
        <f t="shared" ref="A336:A359" si="97">X335</f>
        <v>46153.521180555559</v>
      </c>
      <c r="B336" s="46"/>
      <c r="C336" s="260"/>
      <c r="D336" s="46"/>
      <c r="E336" s="590" t="s">
        <v>4321</v>
      </c>
      <c r="F336" s="97" t="s">
        <v>2190</v>
      </c>
      <c r="G336" s="97"/>
      <c r="H336" s="107" t="s">
        <v>4729</v>
      </c>
      <c r="I336" s="855" t="s">
        <v>4324</v>
      </c>
      <c r="J336" s="100" t="s">
        <v>140</v>
      </c>
      <c r="K336" s="52">
        <v>0</v>
      </c>
      <c r="L336" s="52">
        <v>0</v>
      </c>
      <c r="M336" s="92">
        <v>120</v>
      </c>
      <c r="N336" s="92">
        <v>7000</v>
      </c>
      <c r="O336" s="92">
        <v>1</v>
      </c>
      <c r="P336" s="92">
        <f t="shared" si="91"/>
        <v>7000</v>
      </c>
      <c r="Q336" s="92"/>
      <c r="R336" s="92">
        <v>7000</v>
      </c>
      <c r="S336" s="92">
        <f t="shared" si="92"/>
        <v>0</v>
      </c>
      <c r="T336" s="102">
        <f t="shared" si="93"/>
        <v>720</v>
      </c>
      <c r="U336" s="101">
        <f t="shared" si="94"/>
        <v>0</v>
      </c>
      <c r="V336" s="101">
        <f t="shared" si="95"/>
        <v>0</v>
      </c>
      <c r="W336" s="101">
        <v>0</v>
      </c>
      <c r="X336" s="55">
        <f t="shared" si="96"/>
        <v>46153.521180555559</v>
      </c>
    </row>
    <row r="337" spans="1:24" hidden="1" x14ac:dyDescent="0.35">
      <c r="A337" s="46">
        <f t="shared" si="97"/>
        <v>46153.521180555559</v>
      </c>
      <c r="B337" s="46"/>
      <c r="C337" s="260"/>
      <c r="D337" s="46"/>
      <c r="E337" s="590" t="s">
        <v>4321</v>
      </c>
      <c r="F337" s="97" t="s">
        <v>2190</v>
      </c>
      <c r="G337" s="97"/>
      <c r="H337" s="107" t="s">
        <v>4730</v>
      </c>
      <c r="I337" s="855" t="s">
        <v>4324</v>
      </c>
      <c r="J337" s="100" t="s">
        <v>140</v>
      </c>
      <c r="K337" s="52">
        <v>0</v>
      </c>
      <c r="L337" s="52">
        <v>0</v>
      </c>
      <c r="M337" s="92">
        <v>120</v>
      </c>
      <c r="N337" s="92">
        <v>3000</v>
      </c>
      <c r="O337" s="92">
        <v>1</v>
      </c>
      <c r="P337" s="92">
        <f t="shared" si="91"/>
        <v>3000</v>
      </c>
      <c r="Q337" s="92"/>
      <c r="R337" s="92">
        <v>3000</v>
      </c>
      <c r="S337" s="92">
        <f t="shared" si="92"/>
        <v>0</v>
      </c>
      <c r="T337" s="102">
        <f t="shared" si="93"/>
        <v>720</v>
      </c>
      <c r="U337" s="101">
        <f t="shared" si="94"/>
        <v>0</v>
      </c>
      <c r="V337" s="101">
        <f t="shared" si="95"/>
        <v>0</v>
      </c>
      <c r="W337" s="101">
        <v>0</v>
      </c>
      <c r="X337" s="55">
        <f t="shared" si="96"/>
        <v>46153.521180555559</v>
      </c>
    </row>
    <row r="338" spans="1:24" hidden="1" x14ac:dyDescent="0.35">
      <c r="A338" s="46">
        <f t="shared" si="97"/>
        <v>46153.521180555559</v>
      </c>
      <c r="B338" s="46"/>
      <c r="C338" s="260"/>
      <c r="D338" s="46"/>
      <c r="E338" s="47" t="s">
        <v>4321</v>
      </c>
      <c r="F338" s="803" t="s">
        <v>4731</v>
      </c>
      <c r="G338" s="803"/>
      <c r="H338" s="804" t="s">
        <v>4732</v>
      </c>
      <c r="I338" s="805" t="s">
        <v>4363</v>
      </c>
      <c r="J338" s="805" t="s">
        <v>140</v>
      </c>
      <c r="K338" s="52">
        <v>0</v>
      </c>
      <c r="L338" s="52">
        <v>0</v>
      </c>
      <c r="M338" s="853">
        <v>34</v>
      </c>
      <c r="N338" s="853">
        <f>6000*15</f>
        <v>90000</v>
      </c>
      <c r="O338" s="853">
        <v>6</v>
      </c>
      <c r="P338" s="853">
        <f t="shared" si="91"/>
        <v>15000</v>
      </c>
      <c r="Q338" s="853"/>
      <c r="R338" s="853">
        <v>15000</v>
      </c>
      <c r="S338" s="853">
        <f t="shared" si="92"/>
        <v>0</v>
      </c>
      <c r="T338" s="807">
        <f t="shared" si="93"/>
        <v>15247.058823529411</v>
      </c>
      <c r="U338" s="854">
        <f t="shared" si="94"/>
        <v>0</v>
      </c>
      <c r="V338" s="854">
        <f t="shared" si="95"/>
        <v>0</v>
      </c>
      <c r="W338" s="854">
        <v>0</v>
      </c>
      <c r="X338" s="55">
        <f t="shared" si="96"/>
        <v>46153.521180555559</v>
      </c>
    </row>
    <row r="339" spans="1:24" hidden="1" x14ac:dyDescent="0.35">
      <c r="A339" s="46">
        <f t="shared" si="97"/>
        <v>46153.521180555559</v>
      </c>
      <c r="B339" s="46"/>
      <c r="C339" s="260"/>
      <c r="D339" s="46"/>
      <c r="E339" s="47" t="s">
        <v>4321</v>
      </c>
      <c r="F339" s="97" t="s">
        <v>4733</v>
      </c>
      <c r="G339" s="97"/>
      <c r="H339" s="98" t="s">
        <v>4734</v>
      </c>
      <c r="I339" s="99" t="s">
        <v>3545</v>
      </c>
      <c r="J339" s="100" t="s">
        <v>140</v>
      </c>
      <c r="K339" s="52">
        <v>0</v>
      </c>
      <c r="L339" s="52">
        <v>0</v>
      </c>
      <c r="M339" s="92">
        <v>80</v>
      </c>
      <c r="N339" s="92">
        <v>16000</v>
      </c>
      <c r="O339" s="92">
        <v>2</v>
      </c>
      <c r="P339" s="92">
        <f t="shared" si="91"/>
        <v>8000</v>
      </c>
      <c r="Q339" s="92"/>
      <c r="R339" s="92">
        <v>8000</v>
      </c>
      <c r="S339" s="92">
        <f t="shared" si="92"/>
        <v>0</v>
      </c>
      <c r="T339" s="102">
        <f t="shared" si="93"/>
        <v>2160</v>
      </c>
      <c r="U339" s="101">
        <f t="shared" si="94"/>
        <v>0</v>
      </c>
      <c r="V339" s="101">
        <f t="shared" si="95"/>
        <v>0</v>
      </c>
      <c r="W339" s="101">
        <v>0</v>
      </c>
      <c r="X339" s="55">
        <f t="shared" si="96"/>
        <v>46153.521180555559</v>
      </c>
    </row>
    <row r="340" spans="1:24" ht="26.5" hidden="1" x14ac:dyDescent="0.35">
      <c r="A340" s="46">
        <f t="shared" si="97"/>
        <v>46153.521180555559</v>
      </c>
      <c r="B340" s="46"/>
      <c r="C340" s="260"/>
      <c r="D340" s="46"/>
      <c r="E340" s="47" t="s">
        <v>4321</v>
      </c>
      <c r="F340" s="82" t="s">
        <v>4735</v>
      </c>
      <c r="G340" s="82"/>
      <c r="H340" s="108" t="s">
        <v>4736</v>
      </c>
      <c r="I340" s="82" t="s">
        <v>4737</v>
      </c>
      <c r="J340" s="51" t="s">
        <v>140</v>
      </c>
      <c r="K340" s="52">
        <v>0</v>
      </c>
      <c r="L340" s="52">
        <v>0</v>
      </c>
      <c r="M340" s="92">
        <v>90</v>
      </c>
      <c r="N340" s="92">
        <v>500</v>
      </c>
      <c r="O340" s="92">
        <v>1</v>
      </c>
      <c r="P340" s="92">
        <f t="shared" si="91"/>
        <v>500</v>
      </c>
      <c r="Q340" s="92"/>
      <c r="R340" s="92">
        <v>500</v>
      </c>
      <c r="S340" s="92">
        <f t="shared" si="92"/>
        <v>0</v>
      </c>
      <c r="T340" s="92">
        <f t="shared" si="93"/>
        <v>960</v>
      </c>
      <c r="U340" s="91">
        <f t="shared" si="94"/>
        <v>0</v>
      </c>
      <c r="V340" s="91">
        <f t="shared" si="95"/>
        <v>0</v>
      </c>
      <c r="W340" s="91">
        <v>0</v>
      </c>
      <c r="X340" s="55">
        <f t="shared" si="96"/>
        <v>46153.521180555559</v>
      </c>
    </row>
    <row r="341" spans="1:24" ht="26.5" hidden="1" x14ac:dyDescent="0.35">
      <c r="A341" s="46">
        <f t="shared" si="97"/>
        <v>46153.521180555559</v>
      </c>
      <c r="B341" s="46"/>
      <c r="C341" s="260"/>
      <c r="D341" s="46"/>
      <c r="E341" s="47" t="s">
        <v>1896</v>
      </c>
      <c r="F341" s="97" t="s">
        <v>4614</v>
      </c>
      <c r="G341" s="97"/>
      <c r="H341" s="107" t="s">
        <v>4615</v>
      </c>
      <c r="I341" s="82" t="s">
        <v>4471</v>
      </c>
      <c r="J341" s="100" t="s">
        <v>140</v>
      </c>
      <c r="K341" s="52">
        <v>0</v>
      </c>
      <c r="L341" s="52">
        <v>0</v>
      </c>
      <c r="M341" s="92">
        <v>10</v>
      </c>
      <c r="N341" s="92">
        <f>3*49500</f>
        <v>148500</v>
      </c>
      <c r="O341" s="92">
        <v>10</v>
      </c>
      <c r="P341" s="92">
        <f t="shared" si="91"/>
        <v>14850</v>
      </c>
      <c r="Q341" s="92"/>
      <c r="R341" s="92">
        <v>14850</v>
      </c>
      <c r="S341" s="92">
        <f t="shared" si="92"/>
        <v>0</v>
      </c>
      <c r="T341" s="102">
        <f t="shared" si="93"/>
        <v>86400</v>
      </c>
      <c r="U341" s="101">
        <f t="shared" si="94"/>
        <v>0</v>
      </c>
      <c r="V341" s="101">
        <f t="shared" si="95"/>
        <v>0</v>
      </c>
      <c r="W341" s="101">
        <v>0</v>
      </c>
      <c r="X341" s="55">
        <f t="shared" si="96"/>
        <v>46153.521180555559</v>
      </c>
    </row>
    <row r="342" spans="1:24" hidden="1" x14ac:dyDescent="0.35">
      <c r="A342" s="46">
        <f t="shared" si="97"/>
        <v>46153.521180555559</v>
      </c>
      <c r="B342" s="46"/>
      <c r="C342" s="260"/>
      <c r="D342" s="46"/>
      <c r="E342" s="47" t="s">
        <v>1896</v>
      </c>
      <c r="F342" s="97" t="s">
        <v>4616</v>
      </c>
      <c r="G342" s="97"/>
      <c r="H342" s="107" t="s">
        <v>4617</v>
      </c>
      <c r="I342" s="82" t="s">
        <v>4618</v>
      </c>
      <c r="J342" s="100" t="s">
        <v>140</v>
      </c>
      <c r="K342" s="52">
        <v>0</v>
      </c>
      <c r="L342" s="52">
        <v>0</v>
      </c>
      <c r="M342" s="92">
        <v>10</v>
      </c>
      <c r="N342" s="92">
        <f>10*49500</f>
        <v>495000</v>
      </c>
      <c r="O342" s="92">
        <v>10</v>
      </c>
      <c r="P342" s="92">
        <f t="shared" si="91"/>
        <v>49500</v>
      </c>
      <c r="Q342" s="92"/>
      <c r="R342" s="92">
        <v>49500</v>
      </c>
      <c r="S342" s="92">
        <f t="shared" si="92"/>
        <v>0</v>
      </c>
      <c r="T342" s="102">
        <f t="shared" si="93"/>
        <v>86400</v>
      </c>
      <c r="U342" s="101">
        <f t="shared" si="94"/>
        <v>0</v>
      </c>
      <c r="V342" s="101">
        <f t="shared" si="95"/>
        <v>0</v>
      </c>
      <c r="W342" s="101">
        <v>0</v>
      </c>
      <c r="X342" s="55">
        <f t="shared" si="96"/>
        <v>46153.521180555559</v>
      </c>
    </row>
    <row r="343" spans="1:24" hidden="1" x14ac:dyDescent="0.35">
      <c r="A343" s="46">
        <f t="shared" si="97"/>
        <v>46153.521180555559</v>
      </c>
      <c r="B343" s="46"/>
      <c r="C343" s="260"/>
      <c r="D343" s="46"/>
      <c r="E343" s="590" t="s">
        <v>1896</v>
      </c>
      <c r="F343" s="82" t="s">
        <v>314</v>
      </c>
      <c r="G343" s="82"/>
      <c r="H343" s="107" t="s">
        <v>4738</v>
      </c>
      <c r="I343" s="697" t="s">
        <v>4387</v>
      </c>
      <c r="J343" s="100" t="s">
        <v>140</v>
      </c>
      <c r="K343" s="52">
        <v>0</v>
      </c>
      <c r="L343" s="52">
        <v>0</v>
      </c>
      <c r="M343" s="92">
        <v>45</v>
      </c>
      <c r="N343" s="92">
        <v>1248</v>
      </c>
      <c r="O343" s="92">
        <v>1</v>
      </c>
      <c r="P343" s="92">
        <f t="shared" si="91"/>
        <v>1248</v>
      </c>
      <c r="Q343" s="92"/>
      <c r="R343" s="92">
        <v>1248</v>
      </c>
      <c r="S343" s="92">
        <f t="shared" si="92"/>
        <v>0</v>
      </c>
      <c r="T343" s="102">
        <f t="shared" si="93"/>
        <v>1920</v>
      </c>
      <c r="U343" s="101">
        <f t="shared" si="94"/>
        <v>0</v>
      </c>
      <c r="V343" s="101">
        <f t="shared" si="95"/>
        <v>0</v>
      </c>
      <c r="W343" s="101">
        <v>0</v>
      </c>
      <c r="X343" s="55">
        <f t="shared" si="96"/>
        <v>46153.521180555559</v>
      </c>
    </row>
    <row r="344" spans="1:24" hidden="1" x14ac:dyDescent="0.35">
      <c r="A344" s="46">
        <f t="shared" si="97"/>
        <v>46153.521180555559</v>
      </c>
      <c r="B344" s="46"/>
      <c r="C344" s="260"/>
      <c r="D344" s="46"/>
      <c r="E344" s="590" t="s">
        <v>1896</v>
      </c>
      <c r="F344" s="99" t="s">
        <v>4620</v>
      </c>
      <c r="G344" s="99"/>
      <c r="H344" s="107" t="s">
        <v>4739</v>
      </c>
      <c r="I344" s="697" t="s">
        <v>4387</v>
      </c>
      <c r="J344" s="100" t="s">
        <v>140</v>
      </c>
      <c r="K344" s="52">
        <v>0</v>
      </c>
      <c r="L344" s="52">
        <v>0</v>
      </c>
      <c r="M344" s="92">
        <v>45</v>
      </c>
      <c r="N344" s="92">
        <v>2496</v>
      </c>
      <c r="O344" s="92">
        <v>1</v>
      </c>
      <c r="P344" s="92">
        <f t="shared" si="91"/>
        <v>2496</v>
      </c>
      <c r="Q344" s="92"/>
      <c r="R344" s="92">
        <v>2496</v>
      </c>
      <c r="S344" s="92">
        <f t="shared" si="92"/>
        <v>0</v>
      </c>
      <c r="T344" s="102">
        <f t="shared" si="93"/>
        <v>1920</v>
      </c>
      <c r="U344" s="101">
        <f t="shared" si="94"/>
        <v>0</v>
      </c>
      <c r="V344" s="101">
        <f t="shared" si="95"/>
        <v>0</v>
      </c>
      <c r="W344" s="101">
        <v>0</v>
      </c>
      <c r="X344" s="55">
        <f t="shared" si="96"/>
        <v>46153.521180555559</v>
      </c>
    </row>
    <row r="345" spans="1:24" hidden="1" x14ac:dyDescent="0.35">
      <c r="A345" s="46">
        <f t="shared" si="97"/>
        <v>46153.521180555559</v>
      </c>
      <c r="B345" s="46"/>
      <c r="C345" s="260"/>
      <c r="D345" s="46"/>
      <c r="E345" s="590" t="s">
        <v>1896</v>
      </c>
      <c r="F345" s="99" t="s">
        <v>4454</v>
      </c>
      <c r="G345" s="99"/>
      <c r="H345" s="107" t="s">
        <v>4740</v>
      </c>
      <c r="I345" s="697" t="s">
        <v>4387</v>
      </c>
      <c r="J345" s="100" t="s">
        <v>140</v>
      </c>
      <c r="K345" s="52">
        <v>0</v>
      </c>
      <c r="L345" s="52">
        <v>0</v>
      </c>
      <c r="M345" s="92">
        <v>45</v>
      </c>
      <c r="N345" s="92">
        <v>1248</v>
      </c>
      <c r="O345" s="92">
        <v>1</v>
      </c>
      <c r="P345" s="92">
        <f t="shared" si="91"/>
        <v>1248</v>
      </c>
      <c r="Q345" s="92"/>
      <c r="R345" s="92">
        <v>1248</v>
      </c>
      <c r="S345" s="92">
        <f t="shared" si="92"/>
        <v>0</v>
      </c>
      <c r="T345" s="102">
        <f t="shared" si="93"/>
        <v>1920</v>
      </c>
      <c r="U345" s="101">
        <f t="shared" si="94"/>
        <v>0</v>
      </c>
      <c r="V345" s="101">
        <f t="shared" si="95"/>
        <v>0</v>
      </c>
      <c r="W345" s="101">
        <v>0</v>
      </c>
      <c r="X345" s="55">
        <f t="shared" si="96"/>
        <v>46153.521180555559</v>
      </c>
    </row>
    <row r="346" spans="1:24" hidden="1" x14ac:dyDescent="0.35">
      <c r="A346" s="46">
        <f t="shared" si="97"/>
        <v>46153.521180555559</v>
      </c>
      <c r="B346" s="46"/>
      <c r="C346" s="260"/>
      <c r="D346" s="46"/>
      <c r="E346" s="590" t="s">
        <v>1896</v>
      </c>
      <c r="F346" s="56" t="s">
        <v>314</v>
      </c>
      <c r="G346" s="56" t="s">
        <v>315</v>
      </c>
      <c r="H346" s="49" t="s">
        <v>4741</v>
      </c>
      <c r="I346" s="85" t="s">
        <v>4647</v>
      </c>
      <c r="J346" s="491" t="s">
        <v>140</v>
      </c>
      <c r="K346" s="52">
        <v>0</v>
      </c>
      <c r="L346" s="52">
        <v>0</v>
      </c>
      <c r="M346" s="53">
        <v>70</v>
      </c>
      <c r="N346" s="53">
        <v>1248</v>
      </c>
      <c r="O346" s="53">
        <v>1</v>
      </c>
      <c r="P346" s="92">
        <f t="shared" si="91"/>
        <v>1248</v>
      </c>
      <c r="Q346" s="92"/>
      <c r="R346" s="53">
        <v>1248</v>
      </c>
      <c r="S346" s="53">
        <f t="shared" si="92"/>
        <v>0</v>
      </c>
      <c r="T346" s="83">
        <f t="shared" si="93"/>
        <v>1234.2857142857142</v>
      </c>
      <c r="U346" s="84">
        <f t="shared" si="94"/>
        <v>0</v>
      </c>
      <c r="V346" s="84">
        <f t="shared" si="95"/>
        <v>0</v>
      </c>
      <c r="W346" s="84">
        <v>0</v>
      </c>
      <c r="X346" s="55">
        <f t="shared" si="96"/>
        <v>46153.521180555559</v>
      </c>
    </row>
    <row r="347" spans="1:24" hidden="1" x14ac:dyDescent="0.35">
      <c r="A347" s="46">
        <f t="shared" si="97"/>
        <v>46153.521180555559</v>
      </c>
      <c r="B347" s="46"/>
      <c r="C347" s="260"/>
      <c r="D347" s="46"/>
      <c r="E347" s="590" t="s">
        <v>1896</v>
      </c>
      <c r="F347" s="56" t="s">
        <v>4620</v>
      </c>
      <c r="G347" s="56" t="s">
        <v>315</v>
      </c>
      <c r="H347" s="49" t="s">
        <v>4742</v>
      </c>
      <c r="I347" s="85" t="s">
        <v>4647</v>
      </c>
      <c r="J347" s="491" t="s">
        <v>140</v>
      </c>
      <c r="K347" s="52">
        <v>0</v>
      </c>
      <c r="L347" s="52">
        <v>0</v>
      </c>
      <c r="M347" s="53">
        <v>70</v>
      </c>
      <c r="N347" s="53">
        <v>2496</v>
      </c>
      <c r="O347" s="53">
        <v>1</v>
      </c>
      <c r="P347" s="92">
        <f t="shared" si="91"/>
        <v>2496</v>
      </c>
      <c r="Q347" s="92"/>
      <c r="R347" s="53">
        <v>2496</v>
      </c>
      <c r="S347" s="53">
        <f t="shared" si="92"/>
        <v>0</v>
      </c>
      <c r="T347" s="83">
        <f t="shared" si="93"/>
        <v>1234.2857142857142</v>
      </c>
      <c r="U347" s="84">
        <f t="shared" si="94"/>
        <v>0</v>
      </c>
      <c r="V347" s="84">
        <f t="shared" si="95"/>
        <v>0</v>
      </c>
      <c r="W347" s="84">
        <v>0</v>
      </c>
      <c r="X347" s="55">
        <f t="shared" si="96"/>
        <v>46153.521180555559</v>
      </c>
    </row>
    <row r="348" spans="1:24" hidden="1" x14ac:dyDescent="0.35">
      <c r="A348" s="46">
        <f t="shared" si="97"/>
        <v>46153.521180555559</v>
      </c>
      <c r="B348" s="46"/>
      <c r="C348" s="260"/>
      <c r="D348" s="46"/>
      <c r="E348" s="590" t="s">
        <v>1896</v>
      </c>
      <c r="F348" s="99" t="s">
        <v>4454</v>
      </c>
      <c r="G348" s="56" t="s">
        <v>315</v>
      </c>
      <c r="H348" s="49" t="s">
        <v>4743</v>
      </c>
      <c r="I348" s="85" t="s">
        <v>4647</v>
      </c>
      <c r="J348" s="491" t="s">
        <v>140</v>
      </c>
      <c r="K348" s="52">
        <v>0</v>
      </c>
      <c r="L348" s="52">
        <v>0</v>
      </c>
      <c r="M348" s="53">
        <v>70</v>
      </c>
      <c r="N348" s="53">
        <v>1248</v>
      </c>
      <c r="O348" s="53">
        <v>1</v>
      </c>
      <c r="P348" s="92">
        <f t="shared" si="91"/>
        <v>1248</v>
      </c>
      <c r="Q348" s="92"/>
      <c r="R348" s="53">
        <v>1248</v>
      </c>
      <c r="S348" s="53">
        <f t="shared" si="92"/>
        <v>0</v>
      </c>
      <c r="T348" s="83">
        <f t="shared" si="93"/>
        <v>1234.2857142857142</v>
      </c>
      <c r="U348" s="84">
        <f t="shared" si="94"/>
        <v>0</v>
      </c>
      <c r="V348" s="84">
        <f t="shared" si="95"/>
        <v>0</v>
      </c>
      <c r="W348" s="84">
        <v>0</v>
      </c>
      <c r="X348" s="55">
        <f t="shared" si="96"/>
        <v>46153.521180555559</v>
      </c>
    </row>
    <row r="349" spans="1:24" hidden="1" x14ac:dyDescent="0.35">
      <c r="A349" s="46">
        <f t="shared" si="97"/>
        <v>46153.521180555559</v>
      </c>
      <c r="B349" s="46"/>
      <c r="C349" s="260"/>
      <c r="D349" s="46"/>
      <c r="E349" s="857" t="s">
        <v>1896</v>
      </c>
      <c r="F349" s="82" t="s">
        <v>4744</v>
      </c>
      <c r="G349" s="82" t="s">
        <v>315</v>
      </c>
      <c r="H349" s="98" t="s">
        <v>4745</v>
      </c>
      <c r="I349" s="71" t="s">
        <v>4636</v>
      </c>
      <c r="J349" s="100"/>
      <c r="K349" s="52">
        <v>0</v>
      </c>
      <c r="L349" s="52">
        <v>0</v>
      </c>
      <c r="M349" s="92">
        <v>42</v>
      </c>
      <c r="N349" s="92">
        <v>40000</v>
      </c>
      <c r="O349" s="92">
        <v>4</v>
      </c>
      <c r="P349" s="92">
        <f t="shared" si="91"/>
        <v>10000</v>
      </c>
      <c r="Q349" s="92"/>
      <c r="R349" s="92">
        <v>10000</v>
      </c>
      <c r="S349" s="92">
        <f t="shared" si="92"/>
        <v>0</v>
      </c>
      <c r="T349" s="102">
        <f t="shared" si="93"/>
        <v>8228.5714285714275</v>
      </c>
      <c r="U349" s="101">
        <f t="shared" si="94"/>
        <v>0</v>
      </c>
      <c r="V349" s="101">
        <f t="shared" si="95"/>
        <v>0</v>
      </c>
      <c r="W349" s="101">
        <v>0</v>
      </c>
      <c r="X349" s="55">
        <f t="shared" si="96"/>
        <v>46153.521180555559</v>
      </c>
    </row>
    <row r="350" spans="1:24" hidden="1" x14ac:dyDescent="0.35">
      <c r="A350" s="46">
        <f t="shared" si="97"/>
        <v>46153.521180555559</v>
      </c>
      <c r="B350" s="46"/>
      <c r="C350" s="260"/>
      <c r="D350" s="46"/>
      <c r="E350" s="857" t="s">
        <v>1896</v>
      </c>
      <c r="F350" s="82" t="s">
        <v>4744</v>
      </c>
      <c r="G350" s="82" t="s">
        <v>315</v>
      </c>
      <c r="H350" s="98" t="s">
        <v>4745</v>
      </c>
      <c r="I350" s="71" t="s">
        <v>4636</v>
      </c>
      <c r="J350" s="100" t="s">
        <v>140</v>
      </c>
      <c r="K350" s="91">
        <v>0</v>
      </c>
      <c r="L350" s="91">
        <v>0</v>
      </c>
      <c r="M350" s="92">
        <v>42</v>
      </c>
      <c r="N350" s="94">
        <v>20000</v>
      </c>
      <c r="O350" s="92">
        <v>4</v>
      </c>
      <c r="P350" s="94">
        <f t="shared" si="91"/>
        <v>5000</v>
      </c>
      <c r="Q350" s="94"/>
      <c r="R350" s="92">
        <v>5000</v>
      </c>
      <c r="S350" s="92">
        <f t="shared" si="92"/>
        <v>0</v>
      </c>
      <c r="T350" s="102">
        <f t="shared" si="93"/>
        <v>8228.5714285714275</v>
      </c>
      <c r="U350" s="101">
        <f t="shared" si="94"/>
        <v>0</v>
      </c>
      <c r="V350" s="101">
        <f t="shared" si="95"/>
        <v>0</v>
      </c>
      <c r="W350" s="101">
        <v>0</v>
      </c>
      <c r="X350" s="55">
        <f t="shared" si="96"/>
        <v>46153.521180555559</v>
      </c>
    </row>
    <row r="351" spans="1:24" hidden="1" x14ac:dyDescent="0.35">
      <c r="A351" s="46">
        <f t="shared" si="97"/>
        <v>46153.521180555559</v>
      </c>
      <c r="B351" s="46"/>
      <c r="C351" s="260"/>
      <c r="D351" s="46"/>
      <c r="E351" s="47" t="s">
        <v>4384</v>
      </c>
      <c r="F351" s="97" t="s">
        <v>3523</v>
      </c>
      <c r="G351" s="97" t="s">
        <v>327</v>
      </c>
      <c r="H351" s="98" t="s">
        <v>4746</v>
      </c>
      <c r="I351" s="82" t="s">
        <v>4596</v>
      </c>
      <c r="J351" s="51" t="s">
        <v>140</v>
      </c>
      <c r="K351" s="91">
        <v>0</v>
      </c>
      <c r="L351" s="91">
        <v>0</v>
      </c>
      <c r="M351" s="92">
        <v>50</v>
      </c>
      <c r="N351" s="94">
        <v>10000</v>
      </c>
      <c r="O351" s="94">
        <v>2</v>
      </c>
      <c r="P351" s="92">
        <f t="shared" si="91"/>
        <v>5000</v>
      </c>
      <c r="Q351" s="92"/>
      <c r="R351" s="92">
        <v>5000</v>
      </c>
      <c r="S351" s="92">
        <f t="shared" si="92"/>
        <v>0</v>
      </c>
      <c r="T351" s="92">
        <f t="shared" si="93"/>
        <v>3456</v>
      </c>
      <c r="U351" s="91">
        <f t="shared" si="94"/>
        <v>0</v>
      </c>
      <c r="V351" s="91">
        <f t="shared" si="95"/>
        <v>0</v>
      </c>
      <c r="W351" s="91">
        <v>0</v>
      </c>
      <c r="X351" s="55">
        <f>A351+K351+V351+W351+L351</f>
        <v>46153.521180555559</v>
      </c>
    </row>
    <row r="352" spans="1:24" ht="26.5" hidden="1" x14ac:dyDescent="0.35">
      <c r="A352" s="46">
        <f t="shared" si="97"/>
        <v>46153.521180555559</v>
      </c>
      <c r="B352" s="46"/>
      <c r="C352" s="260"/>
      <c r="D352" s="46"/>
      <c r="E352" s="47" t="s">
        <v>4384</v>
      </c>
      <c r="F352" s="82" t="s">
        <v>4451</v>
      </c>
      <c r="G352" s="82" t="s">
        <v>327</v>
      </c>
      <c r="H352" s="334" t="s">
        <v>4747</v>
      </c>
      <c r="I352" s="697" t="s">
        <v>3464</v>
      </c>
      <c r="J352" s="100" t="s">
        <v>140</v>
      </c>
      <c r="K352" s="91">
        <v>0</v>
      </c>
      <c r="L352" s="91">
        <v>0</v>
      </c>
      <c r="M352" s="92">
        <v>40</v>
      </c>
      <c r="N352" s="94">
        <v>5000</v>
      </c>
      <c r="O352" s="92">
        <v>1</v>
      </c>
      <c r="P352" s="94">
        <f t="shared" ref="P352:P375" si="98">N352/O352</f>
        <v>5000</v>
      </c>
      <c r="Q352" s="94"/>
      <c r="R352" s="92">
        <v>5000</v>
      </c>
      <c r="S352" s="102">
        <f t="shared" si="92"/>
        <v>0</v>
      </c>
      <c r="T352" s="102">
        <f t="shared" si="93"/>
        <v>2160</v>
      </c>
      <c r="U352" s="101">
        <f t="shared" si="94"/>
        <v>0</v>
      </c>
      <c r="V352" s="101">
        <f t="shared" si="95"/>
        <v>0</v>
      </c>
      <c r="W352" s="101">
        <v>0</v>
      </c>
      <c r="X352" s="55">
        <f>A352+K352+L352+V352+W352</f>
        <v>46153.521180555559</v>
      </c>
    </row>
    <row r="353" spans="1:24" hidden="1" x14ac:dyDescent="0.35">
      <c r="A353" s="46">
        <f t="shared" si="97"/>
        <v>46153.521180555559</v>
      </c>
      <c r="B353" s="46"/>
      <c r="C353" s="260"/>
      <c r="D353" s="46"/>
      <c r="E353" s="47" t="s">
        <v>1896</v>
      </c>
      <c r="F353" s="97" t="s">
        <v>4748</v>
      </c>
      <c r="G353" s="97" t="s">
        <v>780</v>
      </c>
      <c r="H353" s="108">
        <v>12764</v>
      </c>
      <c r="I353" s="82" t="s">
        <v>4603</v>
      </c>
      <c r="J353" s="51" t="s">
        <v>140</v>
      </c>
      <c r="K353" s="91">
        <v>0</v>
      </c>
      <c r="L353" s="91">
        <v>0</v>
      </c>
      <c r="M353" s="92">
        <v>40</v>
      </c>
      <c r="N353" s="94">
        <v>1055</v>
      </c>
      <c r="O353" s="92">
        <v>1</v>
      </c>
      <c r="P353" s="94">
        <f t="shared" si="98"/>
        <v>1055</v>
      </c>
      <c r="Q353" s="94"/>
      <c r="R353" s="92">
        <v>1055</v>
      </c>
      <c r="S353" s="92">
        <f t="shared" si="92"/>
        <v>0</v>
      </c>
      <c r="T353" s="92">
        <f t="shared" si="93"/>
        <v>2160</v>
      </c>
      <c r="U353" s="91">
        <f t="shared" si="94"/>
        <v>0</v>
      </c>
      <c r="V353" s="91">
        <f t="shared" si="95"/>
        <v>0</v>
      </c>
      <c r="W353" s="91">
        <v>0</v>
      </c>
      <c r="X353" s="55">
        <f>A353+K353+V353+W353+L353</f>
        <v>46153.521180555559</v>
      </c>
    </row>
    <row r="354" spans="1:24" hidden="1" x14ac:dyDescent="0.35">
      <c r="A354" s="46">
        <f t="shared" si="97"/>
        <v>46153.521180555559</v>
      </c>
      <c r="B354" s="46"/>
      <c r="C354" s="260"/>
      <c r="D354" s="46"/>
      <c r="E354" s="47" t="s">
        <v>1896</v>
      </c>
      <c r="F354" s="97" t="s">
        <v>4749</v>
      </c>
      <c r="G354" s="97" t="s">
        <v>780</v>
      </c>
      <c r="H354" s="108">
        <v>12840</v>
      </c>
      <c r="I354" s="82" t="s">
        <v>4639</v>
      </c>
      <c r="J354" s="51" t="s">
        <v>140</v>
      </c>
      <c r="K354" s="91">
        <v>0.25</v>
      </c>
      <c r="L354" s="91">
        <v>0.2</v>
      </c>
      <c r="M354" s="92">
        <v>40</v>
      </c>
      <c r="N354" s="94">
        <v>100</v>
      </c>
      <c r="O354" s="92">
        <v>1</v>
      </c>
      <c r="P354" s="94">
        <f t="shared" si="98"/>
        <v>100</v>
      </c>
      <c r="Q354" s="94"/>
      <c r="R354" s="92">
        <v>100</v>
      </c>
      <c r="S354" s="92">
        <f t="shared" si="92"/>
        <v>0</v>
      </c>
      <c r="T354" s="92">
        <f t="shared" si="93"/>
        <v>2160</v>
      </c>
      <c r="U354" s="91">
        <f t="shared" si="94"/>
        <v>0</v>
      </c>
      <c r="V354" s="91">
        <f t="shared" si="95"/>
        <v>0</v>
      </c>
      <c r="W354" s="91">
        <v>0</v>
      </c>
      <c r="X354" s="55">
        <f>A354+K354+V354+W354+L354</f>
        <v>46153.971180555556</v>
      </c>
    </row>
    <row r="355" spans="1:24" hidden="1" x14ac:dyDescent="0.35">
      <c r="A355" s="46">
        <f t="shared" si="97"/>
        <v>46153.971180555556</v>
      </c>
      <c r="B355" s="46"/>
      <c r="C355" s="260"/>
      <c r="D355" s="46"/>
      <c r="E355" s="47" t="s">
        <v>1896</v>
      </c>
      <c r="F355" s="82" t="s">
        <v>4750</v>
      </c>
      <c r="G355" s="82" t="s">
        <v>780</v>
      </c>
      <c r="H355" s="107" t="s">
        <v>4751</v>
      </c>
      <c r="I355" s="82" t="s">
        <v>4752</v>
      </c>
      <c r="J355" s="100" t="s">
        <v>140</v>
      </c>
      <c r="K355" s="91">
        <v>0</v>
      </c>
      <c r="L355" s="91">
        <v>0</v>
      </c>
      <c r="M355" s="92">
        <v>50</v>
      </c>
      <c r="N355" s="94">
        <v>1000</v>
      </c>
      <c r="O355" s="92">
        <v>2</v>
      </c>
      <c r="P355" s="94">
        <f t="shared" si="98"/>
        <v>500</v>
      </c>
      <c r="Q355" s="94"/>
      <c r="R355" s="102">
        <v>500</v>
      </c>
      <c r="S355" s="92">
        <f t="shared" si="92"/>
        <v>0</v>
      </c>
      <c r="T355" s="102">
        <f t="shared" si="93"/>
        <v>3456</v>
      </c>
      <c r="U355" s="101">
        <f t="shared" si="94"/>
        <v>0</v>
      </c>
      <c r="V355" s="101">
        <f t="shared" si="95"/>
        <v>0</v>
      </c>
      <c r="W355" s="101">
        <v>0</v>
      </c>
      <c r="X355" s="55">
        <f>A355+K355+L355+V355+W355</f>
        <v>46153.971180555556</v>
      </c>
    </row>
    <row r="356" spans="1:24" hidden="1" x14ac:dyDescent="0.35">
      <c r="A356" s="46">
        <f t="shared" si="97"/>
        <v>46153.971180555556</v>
      </c>
      <c r="B356" s="46"/>
      <c r="C356" s="260"/>
      <c r="D356" s="46"/>
      <c r="E356" s="47" t="s">
        <v>1896</v>
      </c>
      <c r="F356" s="97" t="s">
        <v>3523</v>
      </c>
      <c r="G356" s="97" t="s">
        <v>327</v>
      </c>
      <c r="H356" s="98" t="s">
        <v>4753</v>
      </c>
      <c r="I356" s="82" t="s">
        <v>4596</v>
      </c>
      <c r="J356" s="51" t="s">
        <v>140</v>
      </c>
      <c r="K356" s="91">
        <v>0</v>
      </c>
      <c r="L356" s="91">
        <v>0</v>
      </c>
      <c r="M356" s="92">
        <v>50</v>
      </c>
      <c r="N356" s="94">
        <v>20000</v>
      </c>
      <c r="O356" s="94">
        <v>2</v>
      </c>
      <c r="P356" s="94">
        <f t="shared" si="98"/>
        <v>10000</v>
      </c>
      <c r="Q356" s="94"/>
      <c r="R356" s="92">
        <v>10000</v>
      </c>
      <c r="S356" s="92">
        <f t="shared" si="92"/>
        <v>0</v>
      </c>
      <c r="T356" s="92">
        <f t="shared" si="93"/>
        <v>3456</v>
      </c>
      <c r="U356" s="91">
        <f t="shared" si="94"/>
        <v>0</v>
      </c>
      <c r="V356" s="91">
        <f t="shared" si="95"/>
        <v>0</v>
      </c>
      <c r="W356" s="91">
        <v>0</v>
      </c>
      <c r="X356" s="55">
        <f>A356+K356+V356+W356+L356</f>
        <v>46153.971180555556</v>
      </c>
    </row>
    <row r="357" spans="1:24" hidden="1" x14ac:dyDescent="0.35">
      <c r="A357" s="123">
        <f t="shared" si="97"/>
        <v>46153.971180555556</v>
      </c>
      <c r="B357" s="123"/>
      <c r="C357" s="190"/>
      <c r="D357" s="123"/>
      <c r="E357" s="158" t="s">
        <v>1684</v>
      </c>
      <c r="F357" s="159" t="s">
        <v>1640</v>
      </c>
      <c r="G357" s="159" t="s">
        <v>792</v>
      </c>
      <c r="H357" s="467">
        <v>13029</v>
      </c>
      <c r="I357" s="159" t="s">
        <v>1649</v>
      </c>
      <c r="J357" s="128" t="s">
        <v>140</v>
      </c>
      <c r="K357" s="129">
        <v>0</v>
      </c>
      <c r="L357" s="129">
        <v>0</v>
      </c>
      <c r="M357" s="130">
        <v>60</v>
      </c>
      <c r="N357" s="252">
        <f>3500-2079</f>
        <v>1421</v>
      </c>
      <c r="O357" s="130">
        <v>1</v>
      </c>
      <c r="P357" s="131">
        <f t="shared" si="98"/>
        <v>1421</v>
      </c>
      <c r="Q357" s="131"/>
      <c r="R357" s="130">
        <v>1421</v>
      </c>
      <c r="S357" s="130">
        <f t="shared" si="92"/>
        <v>0</v>
      </c>
      <c r="T357" s="130">
        <f t="shared" si="93"/>
        <v>1440</v>
      </c>
      <c r="U357" s="129">
        <f t="shared" si="94"/>
        <v>0</v>
      </c>
      <c r="V357" s="129">
        <f t="shared" si="95"/>
        <v>0</v>
      </c>
      <c r="W357" s="129">
        <v>0</v>
      </c>
      <c r="X357" s="137">
        <f>A357+K357+V357+W357+L357</f>
        <v>46153.971180555556</v>
      </c>
    </row>
    <row r="358" spans="1:24" ht="26.5" hidden="1" x14ac:dyDescent="0.35">
      <c r="A358" s="46">
        <f t="shared" si="97"/>
        <v>46153.971180555556</v>
      </c>
      <c r="B358" s="46"/>
      <c r="C358" s="260"/>
      <c r="D358" s="46"/>
      <c r="E358" s="47" t="s">
        <v>1896</v>
      </c>
      <c r="F358" s="82" t="s">
        <v>796</v>
      </c>
      <c r="G358" s="82" t="s">
        <v>792</v>
      </c>
      <c r="H358" s="98" t="s">
        <v>4754</v>
      </c>
      <c r="I358" s="82" t="s">
        <v>4359</v>
      </c>
      <c r="J358" s="100" t="s">
        <v>140</v>
      </c>
      <c r="K358" s="91">
        <v>0</v>
      </c>
      <c r="L358" s="91">
        <v>0</v>
      </c>
      <c r="M358" s="102">
        <v>45</v>
      </c>
      <c r="N358" s="103">
        <v>4800</v>
      </c>
      <c r="O358" s="102">
        <v>1</v>
      </c>
      <c r="P358" s="103">
        <f t="shared" si="98"/>
        <v>4800</v>
      </c>
      <c r="Q358" s="103"/>
      <c r="R358" s="102">
        <v>4800</v>
      </c>
      <c r="S358" s="102">
        <f t="shared" si="92"/>
        <v>0</v>
      </c>
      <c r="T358" s="102">
        <f t="shared" si="93"/>
        <v>1920</v>
      </c>
      <c r="U358" s="101">
        <f t="shared" si="94"/>
        <v>0</v>
      </c>
      <c r="V358" s="101">
        <f t="shared" si="95"/>
        <v>0</v>
      </c>
      <c r="W358" s="101">
        <v>0</v>
      </c>
      <c r="X358" s="55">
        <f>A358+K358+L358+V358+W358</f>
        <v>46153.971180555556</v>
      </c>
    </row>
    <row r="359" spans="1:24" hidden="1" x14ac:dyDescent="0.35">
      <c r="A359" s="46">
        <f t="shared" si="97"/>
        <v>46153.971180555556</v>
      </c>
      <c r="B359" s="46"/>
      <c r="C359" s="260"/>
      <c r="D359" s="46"/>
      <c r="E359" s="47" t="s">
        <v>3503</v>
      </c>
      <c r="F359" s="97" t="s">
        <v>2199</v>
      </c>
      <c r="G359" s="97" t="s">
        <v>327</v>
      </c>
      <c r="H359" s="98" t="s">
        <v>4755</v>
      </c>
      <c r="I359" s="99" t="s">
        <v>3548</v>
      </c>
      <c r="J359" s="100" t="s">
        <v>140</v>
      </c>
      <c r="K359" s="91">
        <v>0</v>
      </c>
      <c r="L359" s="91">
        <v>0</v>
      </c>
      <c r="M359" s="92">
        <v>60</v>
      </c>
      <c r="N359" s="94">
        <v>13200</v>
      </c>
      <c r="O359" s="92">
        <v>4</v>
      </c>
      <c r="P359" s="94">
        <f t="shared" si="98"/>
        <v>3300</v>
      </c>
      <c r="Q359" s="94"/>
      <c r="R359" s="92">
        <v>3300</v>
      </c>
      <c r="S359" s="92">
        <f t="shared" si="92"/>
        <v>0</v>
      </c>
      <c r="T359" s="102">
        <f t="shared" si="93"/>
        <v>5760</v>
      </c>
      <c r="U359" s="101">
        <f t="shared" si="94"/>
        <v>0</v>
      </c>
      <c r="V359" s="101">
        <f t="shared" si="95"/>
        <v>0</v>
      </c>
      <c r="W359" s="101">
        <v>0</v>
      </c>
      <c r="X359" s="55">
        <f>A359+K359+V359+W359+L359</f>
        <v>46153.971180555556</v>
      </c>
    </row>
    <row r="360" spans="1:24" hidden="1" x14ac:dyDescent="0.35">
      <c r="A360" s="46">
        <f>X469</f>
        <v>46153.014043209878</v>
      </c>
      <c r="B360" s="46"/>
      <c r="C360" s="260"/>
      <c r="D360" s="46"/>
      <c r="E360" s="47" t="s">
        <v>4321</v>
      </c>
      <c r="F360" s="533" t="s">
        <v>4756</v>
      </c>
      <c r="G360" s="858" t="s">
        <v>792</v>
      </c>
      <c r="H360" s="107" t="s">
        <v>4757</v>
      </c>
      <c r="I360" s="100" t="s">
        <v>4363</v>
      </c>
      <c r="J360" s="100" t="s">
        <v>140</v>
      </c>
      <c r="K360" s="91">
        <v>0</v>
      </c>
      <c r="L360" s="91">
        <v>0</v>
      </c>
      <c r="M360" s="92">
        <v>34</v>
      </c>
      <c r="N360" s="94">
        <f>6000*20</f>
        <v>120000</v>
      </c>
      <c r="O360" s="92">
        <v>6</v>
      </c>
      <c r="P360" s="92">
        <f t="shared" si="98"/>
        <v>20000</v>
      </c>
      <c r="Q360" s="92"/>
      <c r="R360" s="92">
        <v>20000</v>
      </c>
      <c r="S360" s="92">
        <f t="shared" si="92"/>
        <v>0</v>
      </c>
      <c r="T360" s="102">
        <f t="shared" si="93"/>
        <v>15247.058823529411</v>
      </c>
      <c r="U360" s="101">
        <f t="shared" si="94"/>
        <v>0</v>
      </c>
      <c r="V360" s="101">
        <f t="shared" si="95"/>
        <v>0</v>
      </c>
      <c r="W360" s="101">
        <v>0</v>
      </c>
      <c r="X360" s="55">
        <f>A360+K360+L360+V360+W360</f>
        <v>46153.014043209878</v>
      </c>
    </row>
    <row r="361" spans="1:24" hidden="1" x14ac:dyDescent="0.35">
      <c r="A361" s="46">
        <f>X360</f>
        <v>46153.014043209878</v>
      </c>
      <c r="B361" s="46"/>
      <c r="C361" s="260"/>
      <c r="D361" s="46"/>
      <c r="E361" s="47" t="s">
        <v>4321</v>
      </c>
      <c r="F361" s="82" t="s">
        <v>1868</v>
      </c>
      <c r="G361" s="82" t="s">
        <v>3513</v>
      </c>
      <c r="H361" s="98" t="s">
        <v>4627</v>
      </c>
      <c r="I361" s="82" t="s">
        <v>4515</v>
      </c>
      <c r="J361" s="100" t="s">
        <v>140</v>
      </c>
      <c r="K361" s="91">
        <v>0</v>
      </c>
      <c r="L361" s="91">
        <v>0</v>
      </c>
      <c r="M361" s="92">
        <v>95</v>
      </c>
      <c r="N361" s="94">
        <f>20842</f>
        <v>20842</v>
      </c>
      <c r="O361" s="92">
        <v>2</v>
      </c>
      <c r="P361" s="94">
        <f t="shared" si="98"/>
        <v>10421</v>
      </c>
      <c r="Q361" s="94"/>
      <c r="R361" s="92">
        <v>10421</v>
      </c>
      <c r="S361" s="92">
        <f t="shared" si="92"/>
        <v>0</v>
      </c>
      <c r="T361" s="102">
        <f t="shared" si="93"/>
        <v>1818.9473684210525</v>
      </c>
      <c r="U361" s="101">
        <f t="shared" si="94"/>
        <v>0</v>
      </c>
      <c r="V361" s="101">
        <f t="shared" si="95"/>
        <v>0</v>
      </c>
      <c r="W361" s="101">
        <v>0</v>
      </c>
      <c r="X361" s="55">
        <f>A361+K361+L361+V361+W361</f>
        <v>46153.014043209878</v>
      </c>
    </row>
    <row r="362" spans="1:24" s="118" customFormat="1" hidden="1" x14ac:dyDescent="0.35">
      <c r="A362" s="46">
        <f>X488</f>
        <v>46153.04297839506</v>
      </c>
      <c r="B362" s="46"/>
      <c r="C362" s="260"/>
      <c r="D362" s="46"/>
      <c r="E362" s="119" t="s">
        <v>4758</v>
      </c>
      <c r="F362" s="99" t="s">
        <v>4759</v>
      </c>
      <c r="G362" s="82" t="s">
        <v>792</v>
      </c>
      <c r="H362" s="98" t="s">
        <v>4760</v>
      </c>
      <c r="I362" s="104" t="s">
        <v>4375</v>
      </c>
      <c r="J362" s="491" t="s">
        <v>140</v>
      </c>
      <c r="K362" s="91">
        <v>0</v>
      </c>
      <c r="L362" s="91">
        <v>0</v>
      </c>
      <c r="M362" s="92">
        <v>60</v>
      </c>
      <c r="N362" s="94">
        <v>8000</v>
      </c>
      <c r="O362" s="92">
        <v>1</v>
      </c>
      <c r="P362" s="94">
        <f t="shared" si="98"/>
        <v>8000</v>
      </c>
      <c r="Q362" s="94"/>
      <c r="R362" s="92">
        <v>8000</v>
      </c>
      <c r="S362" s="92">
        <f t="shared" si="92"/>
        <v>0</v>
      </c>
      <c r="T362" s="102">
        <f t="shared" si="93"/>
        <v>1440</v>
      </c>
      <c r="U362" s="101">
        <f t="shared" si="94"/>
        <v>0</v>
      </c>
      <c r="V362" s="101">
        <f t="shared" si="95"/>
        <v>0</v>
      </c>
      <c r="W362" s="101">
        <v>0</v>
      </c>
      <c r="X362" s="55">
        <f>A362+K362+V362+W362+L362</f>
        <v>46153.04297839506</v>
      </c>
    </row>
    <row r="363" spans="1:24" hidden="1" x14ac:dyDescent="0.35">
      <c r="A363" s="46">
        <f t="shared" ref="A363:A373" si="99">X362</f>
        <v>46153.04297839506</v>
      </c>
      <c r="B363" s="46"/>
      <c r="C363" s="260"/>
      <c r="D363" s="46"/>
      <c r="E363" s="47" t="s">
        <v>4321</v>
      </c>
      <c r="F363" s="97" t="s">
        <v>4761</v>
      </c>
      <c r="G363" s="97" t="s">
        <v>792</v>
      </c>
      <c r="H363" s="108">
        <v>13128</v>
      </c>
      <c r="I363" s="82" t="s">
        <v>4603</v>
      </c>
      <c r="J363" s="51" t="s">
        <v>140</v>
      </c>
      <c r="K363" s="91">
        <v>0</v>
      </c>
      <c r="L363" s="91">
        <v>0</v>
      </c>
      <c r="M363" s="92">
        <v>40</v>
      </c>
      <c r="N363" s="94">
        <v>1085</v>
      </c>
      <c r="O363" s="92">
        <v>1</v>
      </c>
      <c r="P363" s="94">
        <f t="shared" si="98"/>
        <v>1085</v>
      </c>
      <c r="Q363" s="94"/>
      <c r="R363" s="92">
        <v>1085</v>
      </c>
      <c r="S363" s="92">
        <f t="shared" si="92"/>
        <v>0</v>
      </c>
      <c r="T363" s="92">
        <f t="shared" si="93"/>
        <v>2160</v>
      </c>
      <c r="U363" s="91">
        <f t="shared" si="94"/>
        <v>0</v>
      </c>
      <c r="V363" s="91">
        <f t="shared" si="95"/>
        <v>0</v>
      </c>
      <c r="W363" s="91">
        <v>0</v>
      </c>
      <c r="X363" s="55">
        <f>A363+K363+V363+W363+L363</f>
        <v>46153.04297839506</v>
      </c>
    </row>
    <row r="364" spans="1:24" hidden="1" x14ac:dyDescent="0.35">
      <c r="A364" s="46">
        <f t="shared" si="99"/>
        <v>46153.04297839506</v>
      </c>
      <c r="B364" s="46"/>
      <c r="C364" s="260"/>
      <c r="D364" s="46"/>
      <c r="E364" s="47" t="s">
        <v>4321</v>
      </c>
      <c r="F364" s="82" t="s">
        <v>4322</v>
      </c>
      <c r="G364" s="82" t="s">
        <v>359</v>
      </c>
      <c r="H364" s="98" t="s">
        <v>4637</v>
      </c>
      <c r="I364" s="82" t="s">
        <v>4515</v>
      </c>
      <c r="J364" s="100" t="s">
        <v>140</v>
      </c>
      <c r="K364" s="91">
        <v>0</v>
      </c>
      <c r="L364" s="91">
        <v>0</v>
      </c>
      <c r="M364" s="92">
        <v>95</v>
      </c>
      <c r="N364" s="94">
        <f>3673*2</f>
        <v>7346</v>
      </c>
      <c r="O364" s="92">
        <v>2</v>
      </c>
      <c r="P364" s="94">
        <f t="shared" si="98"/>
        <v>3673</v>
      </c>
      <c r="Q364" s="94"/>
      <c r="R364" s="92">
        <v>3673</v>
      </c>
      <c r="S364" s="92">
        <f t="shared" si="92"/>
        <v>0</v>
      </c>
      <c r="T364" s="102">
        <f t="shared" si="93"/>
        <v>1818.9473684210525</v>
      </c>
      <c r="U364" s="101">
        <f t="shared" si="94"/>
        <v>0</v>
      </c>
      <c r="V364" s="101">
        <f t="shared" si="95"/>
        <v>0</v>
      </c>
      <c r="W364" s="101">
        <v>0</v>
      </c>
      <c r="X364" s="55">
        <f t="shared" ref="X364:X375" si="100">A364+K364+L364+V364+W364</f>
        <v>46153.04297839506</v>
      </c>
    </row>
    <row r="365" spans="1:24" ht="26.5" hidden="1" x14ac:dyDescent="0.35">
      <c r="A365" s="46">
        <f t="shared" si="99"/>
        <v>46153.04297839506</v>
      </c>
      <c r="B365" s="46"/>
      <c r="C365" s="260"/>
      <c r="D365" s="46"/>
      <c r="E365" s="47" t="s">
        <v>4321</v>
      </c>
      <c r="F365" s="82" t="s">
        <v>4762</v>
      </c>
      <c r="G365" s="82" t="s">
        <v>359</v>
      </c>
      <c r="H365" s="334" t="s">
        <v>4763</v>
      </c>
      <c r="I365" s="697" t="s">
        <v>3464</v>
      </c>
      <c r="J365" s="100" t="s">
        <v>140</v>
      </c>
      <c r="K365" s="91">
        <v>0</v>
      </c>
      <c r="L365" s="91">
        <v>0</v>
      </c>
      <c r="M365" s="92">
        <v>40</v>
      </c>
      <c r="N365" s="94">
        <v>522</v>
      </c>
      <c r="O365" s="92">
        <v>1</v>
      </c>
      <c r="P365" s="94">
        <f t="shared" si="98"/>
        <v>522</v>
      </c>
      <c r="Q365" s="94"/>
      <c r="R365" s="92">
        <v>522</v>
      </c>
      <c r="S365" s="102">
        <f t="shared" si="92"/>
        <v>0</v>
      </c>
      <c r="T365" s="102">
        <f t="shared" si="93"/>
        <v>2160</v>
      </c>
      <c r="U365" s="101">
        <f t="shared" si="94"/>
        <v>0</v>
      </c>
      <c r="V365" s="101">
        <f t="shared" si="95"/>
        <v>0</v>
      </c>
      <c r="W365" s="101">
        <v>0</v>
      </c>
      <c r="X365" s="55">
        <f t="shared" si="100"/>
        <v>46153.04297839506</v>
      </c>
    </row>
    <row r="366" spans="1:24" ht="26.5" hidden="1" x14ac:dyDescent="0.35">
      <c r="A366" s="46">
        <f t="shared" si="99"/>
        <v>46153.04297839506</v>
      </c>
      <c r="B366" s="46"/>
      <c r="C366" s="260"/>
      <c r="D366" s="46"/>
      <c r="E366" s="74" t="s">
        <v>4321</v>
      </c>
      <c r="F366" s="82" t="s">
        <v>1291</v>
      </c>
      <c r="G366" s="82" t="s">
        <v>359</v>
      </c>
      <c r="H366" s="334" t="s">
        <v>4764</v>
      </c>
      <c r="I366" s="697" t="s">
        <v>3464</v>
      </c>
      <c r="J366" s="100" t="s">
        <v>140</v>
      </c>
      <c r="K366" s="91">
        <v>0</v>
      </c>
      <c r="L366" s="91">
        <v>0</v>
      </c>
      <c r="M366" s="92">
        <v>40</v>
      </c>
      <c r="N366" s="94">
        <v>4662</v>
      </c>
      <c r="O366" s="92">
        <v>1</v>
      </c>
      <c r="P366" s="94">
        <f t="shared" si="98"/>
        <v>4662</v>
      </c>
      <c r="Q366" s="94"/>
      <c r="R366" s="92">
        <v>4662</v>
      </c>
      <c r="S366" s="102">
        <f t="shared" si="92"/>
        <v>0</v>
      </c>
      <c r="T366" s="102">
        <f t="shared" si="93"/>
        <v>2160</v>
      </c>
      <c r="U366" s="101">
        <f t="shared" si="94"/>
        <v>0</v>
      </c>
      <c r="V366" s="101">
        <f t="shared" si="95"/>
        <v>0</v>
      </c>
      <c r="W366" s="101">
        <v>0</v>
      </c>
      <c r="X366" s="55">
        <f t="shared" si="100"/>
        <v>46153.04297839506</v>
      </c>
    </row>
    <row r="367" spans="1:24" ht="26.5" hidden="1" x14ac:dyDescent="0.35">
      <c r="A367" s="46">
        <f t="shared" si="99"/>
        <v>46153.04297839506</v>
      </c>
      <c r="B367" s="46"/>
      <c r="C367" s="260"/>
      <c r="D367" s="46"/>
      <c r="E367" s="74" t="s">
        <v>4321</v>
      </c>
      <c r="F367" s="82" t="s">
        <v>2835</v>
      </c>
      <c r="G367" s="82" t="s">
        <v>839</v>
      </c>
      <c r="H367" s="334" t="s">
        <v>4765</v>
      </c>
      <c r="I367" s="697" t="s">
        <v>3464</v>
      </c>
      <c r="J367" s="100" t="s">
        <v>140</v>
      </c>
      <c r="K367" s="91">
        <v>0</v>
      </c>
      <c r="L367" s="91">
        <v>0</v>
      </c>
      <c r="M367" s="92">
        <v>40</v>
      </c>
      <c r="N367" s="94">
        <v>8316</v>
      </c>
      <c r="O367" s="92">
        <v>1</v>
      </c>
      <c r="P367" s="94">
        <f t="shared" si="98"/>
        <v>8316</v>
      </c>
      <c r="Q367" s="94"/>
      <c r="R367" s="92">
        <v>8316</v>
      </c>
      <c r="S367" s="102">
        <f t="shared" si="92"/>
        <v>0</v>
      </c>
      <c r="T367" s="102">
        <f t="shared" si="93"/>
        <v>2160</v>
      </c>
      <c r="U367" s="101">
        <f t="shared" si="94"/>
        <v>0</v>
      </c>
      <c r="V367" s="101">
        <f t="shared" si="95"/>
        <v>0</v>
      </c>
      <c r="W367" s="101">
        <v>0</v>
      </c>
      <c r="X367" s="55">
        <f t="shared" si="100"/>
        <v>46153.04297839506</v>
      </c>
    </row>
    <row r="368" spans="1:24" s="511" customFormat="1" hidden="1" x14ac:dyDescent="0.35">
      <c r="A368" s="46">
        <f t="shared" si="99"/>
        <v>46153.04297839506</v>
      </c>
      <c r="B368" s="46"/>
      <c r="C368" s="260"/>
      <c r="D368" s="46"/>
      <c r="E368" s="47" t="s">
        <v>4321</v>
      </c>
      <c r="F368" s="82" t="s">
        <v>355</v>
      </c>
      <c r="G368" s="82" t="s">
        <v>359</v>
      </c>
      <c r="H368" s="98" t="s">
        <v>4635</v>
      </c>
      <c r="I368" s="71" t="s">
        <v>4636</v>
      </c>
      <c r="J368" s="100" t="s">
        <v>140</v>
      </c>
      <c r="K368" s="91">
        <v>0</v>
      </c>
      <c r="L368" s="91">
        <v>0</v>
      </c>
      <c r="M368" s="92">
        <v>42</v>
      </c>
      <c r="N368" s="94">
        <v>45000</v>
      </c>
      <c r="O368" s="92">
        <v>4</v>
      </c>
      <c r="P368" s="94">
        <f t="shared" si="98"/>
        <v>11250</v>
      </c>
      <c r="Q368" s="94"/>
      <c r="R368" s="92">
        <v>11250</v>
      </c>
      <c r="S368" s="92">
        <f t="shared" si="92"/>
        <v>0</v>
      </c>
      <c r="T368" s="102">
        <f t="shared" si="93"/>
        <v>8228.5714285714275</v>
      </c>
      <c r="U368" s="101">
        <f t="shared" si="94"/>
        <v>0</v>
      </c>
      <c r="V368" s="101">
        <f t="shared" si="95"/>
        <v>0</v>
      </c>
      <c r="W368" s="101">
        <v>0</v>
      </c>
      <c r="X368" s="55">
        <f t="shared" si="100"/>
        <v>46153.04297839506</v>
      </c>
    </row>
    <row r="369" spans="1:24" s="500" customFormat="1" ht="13" hidden="1" x14ac:dyDescent="0.3">
      <c r="A369" s="193">
        <f t="shared" si="99"/>
        <v>46153.04297839506</v>
      </c>
      <c r="B369" s="193"/>
      <c r="C369" s="194"/>
      <c r="D369" s="193"/>
      <c r="E369" s="111" t="s">
        <v>1896</v>
      </c>
      <c r="F369" s="859"/>
      <c r="G369" s="859" t="s">
        <v>839</v>
      </c>
      <c r="H369" s="860" t="s">
        <v>4766</v>
      </c>
      <c r="I369" s="861" t="s">
        <v>4363</v>
      </c>
      <c r="J369" s="861" t="s">
        <v>140</v>
      </c>
      <c r="K369" s="115">
        <v>0</v>
      </c>
      <c r="L369" s="115">
        <v>0</v>
      </c>
      <c r="M369" s="862">
        <v>15</v>
      </c>
      <c r="N369" s="863">
        <f>6000*40</f>
        <v>240000</v>
      </c>
      <c r="O369" s="864">
        <v>6</v>
      </c>
      <c r="P369" s="863">
        <f t="shared" si="98"/>
        <v>40000</v>
      </c>
      <c r="Q369" s="863"/>
      <c r="R369" s="863">
        <v>40000</v>
      </c>
      <c r="S369" s="863">
        <f t="shared" si="92"/>
        <v>0</v>
      </c>
      <c r="T369" s="864">
        <f t="shared" si="93"/>
        <v>34560</v>
      </c>
      <c r="U369" s="865">
        <f t="shared" si="94"/>
        <v>0</v>
      </c>
      <c r="V369" s="115">
        <f t="shared" si="95"/>
        <v>0</v>
      </c>
      <c r="W369" s="115">
        <v>0</v>
      </c>
      <c r="X369" s="591">
        <f t="shared" si="100"/>
        <v>46153.04297839506</v>
      </c>
    </row>
    <row r="370" spans="1:24" s="500" customFormat="1" hidden="1" x14ac:dyDescent="0.35">
      <c r="A370" s="295">
        <f t="shared" si="99"/>
        <v>46153.04297839506</v>
      </c>
      <c r="B370" s="295">
        <v>46059</v>
      </c>
      <c r="C370" s="576">
        <f t="shared" ref="C370:C375" si="101">B370-A370</f>
        <v>-94.042978395060345</v>
      </c>
      <c r="D370" s="576"/>
      <c r="E370" s="296" t="s">
        <v>1896</v>
      </c>
      <c r="F370" s="351" t="s">
        <v>14</v>
      </c>
      <c r="G370" s="366" t="s">
        <v>14</v>
      </c>
      <c r="H370" s="367" t="s">
        <v>14</v>
      </c>
      <c r="I370" s="866" t="s">
        <v>4767</v>
      </c>
      <c r="J370" s="351" t="s">
        <v>140</v>
      </c>
      <c r="K370" s="352">
        <v>0</v>
      </c>
      <c r="L370" s="352">
        <v>0</v>
      </c>
      <c r="M370" s="353">
        <v>20</v>
      </c>
      <c r="N370" s="354">
        <v>200</v>
      </c>
      <c r="O370" s="353">
        <v>15</v>
      </c>
      <c r="P370" s="354">
        <f t="shared" si="98"/>
        <v>13.333333333333334</v>
      </c>
      <c r="Q370" s="305">
        <v>0.8</v>
      </c>
      <c r="R370" s="302">
        <v>13</v>
      </c>
      <c r="S370" s="302">
        <f t="shared" si="92"/>
        <v>0.33333333333333393</v>
      </c>
      <c r="T370" s="307">
        <f t="shared" ref="T370:T375" si="102">((3600/M370)*O370)*24*Q370</f>
        <v>51840</v>
      </c>
      <c r="U370" s="301">
        <f t="shared" ref="U370:U375" si="103">(P370-R370)*M370/3600/Q370</f>
        <v>2.314814814814819E-3</v>
      </c>
      <c r="V370" s="301">
        <f t="shared" ref="V370:V375" si="104">U370/24</f>
        <v>9.6450617283950788E-5</v>
      </c>
      <c r="W370" s="301">
        <v>0</v>
      </c>
      <c r="X370" s="308">
        <f t="shared" si="100"/>
        <v>46153.043074845678</v>
      </c>
    </row>
    <row r="371" spans="1:24" s="511" customFormat="1" hidden="1" x14ac:dyDescent="0.35">
      <c r="A371" s="46">
        <f t="shared" si="99"/>
        <v>46153.043074845678</v>
      </c>
      <c r="B371" s="46">
        <v>46059</v>
      </c>
      <c r="C371" s="260">
        <f t="shared" si="101"/>
        <v>-94.043074845678348</v>
      </c>
      <c r="D371" s="260"/>
      <c r="E371" s="47" t="s">
        <v>4768</v>
      </c>
      <c r="F371" s="97" t="s">
        <v>355</v>
      </c>
      <c r="G371" s="97" t="s">
        <v>839</v>
      </c>
      <c r="H371" s="98" t="s">
        <v>4640</v>
      </c>
      <c r="I371" s="82" t="s">
        <v>4515</v>
      </c>
      <c r="J371" s="100" t="s">
        <v>140</v>
      </c>
      <c r="K371" s="91">
        <v>0</v>
      </c>
      <c r="L371" s="91">
        <v>0</v>
      </c>
      <c r="M371" s="92">
        <v>95</v>
      </c>
      <c r="N371" s="94">
        <f>5648*2</f>
        <v>11296</v>
      </c>
      <c r="O371" s="92">
        <v>2</v>
      </c>
      <c r="P371" s="94">
        <f t="shared" si="98"/>
        <v>5648</v>
      </c>
      <c r="Q371" s="181">
        <v>0.8</v>
      </c>
      <c r="R371" s="92">
        <v>5648</v>
      </c>
      <c r="S371" s="103">
        <f t="shared" si="92"/>
        <v>0</v>
      </c>
      <c r="T371" s="173">
        <f t="shared" si="102"/>
        <v>1455.1578947368421</v>
      </c>
      <c r="U371" s="101">
        <f t="shared" si="103"/>
        <v>0</v>
      </c>
      <c r="V371" s="101">
        <f t="shared" si="104"/>
        <v>0</v>
      </c>
      <c r="W371" s="101">
        <v>0</v>
      </c>
      <c r="X371" s="55">
        <f t="shared" si="100"/>
        <v>46153.043074845678</v>
      </c>
    </row>
    <row r="372" spans="1:24" s="511" customFormat="1" hidden="1" x14ac:dyDescent="0.35">
      <c r="A372" s="71">
        <f t="shared" si="99"/>
        <v>46153.043074845678</v>
      </c>
      <c r="B372" s="71">
        <v>46082.03</v>
      </c>
      <c r="C372" s="260">
        <f t="shared" si="101"/>
        <v>-71.013074845679512</v>
      </c>
      <c r="D372" s="260" t="s">
        <v>4769</v>
      </c>
      <c r="E372" s="47" t="s">
        <v>4768</v>
      </c>
      <c r="F372" s="82" t="s">
        <v>4322</v>
      </c>
      <c r="G372" s="97" t="s">
        <v>386</v>
      </c>
      <c r="H372" s="107" t="s">
        <v>4770</v>
      </c>
      <c r="I372" s="791" t="s">
        <v>4324</v>
      </c>
      <c r="J372" s="100" t="s">
        <v>140</v>
      </c>
      <c r="K372" s="91">
        <v>0</v>
      </c>
      <c r="L372" s="91">
        <v>0</v>
      </c>
      <c r="M372" s="345">
        <v>70</v>
      </c>
      <c r="N372" s="94">
        <v>15000</v>
      </c>
      <c r="O372" s="92">
        <v>1</v>
      </c>
      <c r="P372" s="94">
        <f t="shared" si="98"/>
        <v>15000</v>
      </c>
      <c r="Q372" s="181">
        <v>0.8</v>
      </c>
      <c r="R372" s="92">
        <v>15000</v>
      </c>
      <c r="S372" s="102">
        <f t="shared" si="92"/>
        <v>0</v>
      </c>
      <c r="T372" s="173">
        <f t="shared" si="102"/>
        <v>987.42857142857144</v>
      </c>
      <c r="U372" s="101">
        <f t="shared" si="103"/>
        <v>0</v>
      </c>
      <c r="V372" s="101">
        <f t="shared" si="104"/>
        <v>0</v>
      </c>
      <c r="W372" s="101">
        <v>0</v>
      </c>
      <c r="X372" s="55">
        <f t="shared" si="100"/>
        <v>46153.043074845678</v>
      </c>
    </row>
    <row r="373" spans="1:24" s="121" customFormat="1" hidden="1" x14ac:dyDescent="0.35">
      <c r="A373" s="71">
        <f t="shared" si="99"/>
        <v>46153.043074845678</v>
      </c>
      <c r="B373" s="71">
        <v>46096</v>
      </c>
      <c r="C373" s="260">
        <f t="shared" si="101"/>
        <v>-57.043074845678348</v>
      </c>
      <c r="D373" s="260"/>
      <c r="E373" s="47" t="s">
        <v>4768</v>
      </c>
      <c r="F373" s="82" t="s">
        <v>4390</v>
      </c>
      <c r="G373" s="97" t="s">
        <v>398</v>
      </c>
      <c r="H373" s="107" t="s">
        <v>4771</v>
      </c>
      <c r="I373" s="791" t="s">
        <v>4324</v>
      </c>
      <c r="J373" s="100" t="s">
        <v>140</v>
      </c>
      <c r="K373" s="91">
        <v>0</v>
      </c>
      <c r="L373" s="91">
        <v>0</v>
      </c>
      <c r="M373" s="345">
        <v>70</v>
      </c>
      <c r="N373" s="94">
        <f>35000-23000</f>
        <v>12000</v>
      </c>
      <c r="O373" s="92">
        <v>1</v>
      </c>
      <c r="P373" s="94">
        <f t="shared" si="98"/>
        <v>12000</v>
      </c>
      <c r="Q373" s="181">
        <v>0.8</v>
      </c>
      <c r="R373" s="92">
        <v>12000</v>
      </c>
      <c r="S373" s="102">
        <f t="shared" si="92"/>
        <v>0</v>
      </c>
      <c r="T373" s="173">
        <f t="shared" si="102"/>
        <v>987.42857142857144</v>
      </c>
      <c r="U373" s="101">
        <f t="shared" si="103"/>
        <v>0</v>
      </c>
      <c r="V373" s="101">
        <f t="shared" si="104"/>
        <v>0</v>
      </c>
      <c r="W373" s="101">
        <v>0</v>
      </c>
      <c r="X373" s="55">
        <f t="shared" si="100"/>
        <v>46153.043074845678</v>
      </c>
    </row>
    <row r="374" spans="1:24" s="511" customFormat="1" hidden="1" x14ac:dyDescent="0.35">
      <c r="A374" s="46">
        <f>X261</f>
        <v>46153.450184765832</v>
      </c>
      <c r="B374" s="46">
        <v>46087</v>
      </c>
      <c r="C374" s="260">
        <f t="shared" si="101"/>
        <v>-66.450184765832091</v>
      </c>
      <c r="D374" s="260" t="s">
        <v>4772</v>
      </c>
      <c r="E374" s="47" t="s">
        <v>4321</v>
      </c>
      <c r="F374" s="97" t="s">
        <v>4380</v>
      </c>
      <c r="G374" s="97" t="s">
        <v>398</v>
      </c>
      <c r="H374" s="98" t="s">
        <v>4773</v>
      </c>
      <c r="I374" s="82" t="s">
        <v>4774</v>
      </c>
      <c r="J374" s="100" t="s">
        <v>140</v>
      </c>
      <c r="K374" s="91">
        <v>0</v>
      </c>
      <c r="L374" s="91">
        <v>0</v>
      </c>
      <c r="M374" s="92">
        <v>90</v>
      </c>
      <c r="N374" s="94">
        <v>25000</v>
      </c>
      <c r="O374" s="92">
        <v>2</v>
      </c>
      <c r="P374" s="94">
        <f t="shared" si="98"/>
        <v>12500</v>
      </c>
      <c r="Q374" s="181">
        <v>0.8</v>
      </c>
      <c r="R374" s="92">
        <v>12500</v>
      </c>
      <c r="S374" s="103">
        <f t="shared" si="92"/>
        <v>0</v>
      </c>
      <c r="T374" s="173">
        <f t="shared" si="102"/>
        <v>1536</v>
      </c>
      <c r="U374" s="101">
        <f t="shared" si="103"/>
        <v>0</v>
      </c>
      <c r="V374" s="101">
        <f t="shared" si="104"/>
        <v>0</v>
      </c>
      <c r="W374" s="101">
        <v>0</v>
      </c>
      <c r="X374" s="55">
        <f t="shared" si="100"/>
        <v>46153.450184765832</v>
      </c>
    </row>
    <row r="375" spans="1:24" s="121" customFormat="1" hidden="1" x14ac:dyDescent="0.35">
      <c r="A375" s="46">
        <f>X374</f>
        <v>46153.450184765832</v>
      </c>
      <c r="B375" s="46">
        <v>46122</v>
      </c>
      <c r="C375" s="260">
        <f t="shared" si="101"/>
        <v>-31.450184765832091</v>
      </c>
      <c r="D375" s="260"/>
      <c r="E375" s="47" t="s">
        <v>4321</v>
      </c>
      <c r="F375" s="97" t="s">
        <v>4349</v>
      </c>
      <c r="G375" s="97" t="s">
        <v>411</v>
      </c>
      <c r="H375" s="98" t="s">
        <v>4775</v>
      </c>
      <c r="I375" s="82" t="s">
        <v>4774</v>
      </c>
      <c r="J375" s="100" t="s">
        <v>140</v>
      </c>
      <c r="K375" s="91">
        <v>0</v>
      </c>
      <c r="L375" s="91">
        <v>0</v>
      </c>
      <c r="M375" s="92">
        <v>90</v>
      </c>
      <c r="N375" s="94">
        <v>25000</v>
      </c>
      <c r="O375" s="92">
        <v>2</v>
      </c>
      <c r="P375" s="94">
        <f t="shared" si="98"/>
        <v>12500</v>
      </c>
      <c r="Q375" s="181">
        <v>0.8</v>
      </c>
      <c r="R375" s="92">
        <v>12500</v>
      </c>
      <c r="S375" s="103">
        <f t="shared" si="92"/>
        <v>0</v>
      </c>
      <c r="T375" s="173">
        <f t="shared" si="102"/>
        <v>1536</v>
      </c>
      <c r="U375" s="101">
        <f t="shared" si="103"/>
        <v>0</v>
      </c>
      <c r="V375" s="101">
        <f t="shared" si="104"/>
        <v>0</v>
      </c>
      <c r="W375" s="101">
        <v>0</v>
      </c>
      <c r="X375" s="55">
        <f t="shared" si="100"/>
        <v>46153.450184765832</v>
      </c>
    </row>
    <row r="376" spans="1:24" s="118" customFormat="1" hidden="1" x14ac:dyDescent="0.35">
      <c r="A376" s="295">
        <f>X375</f>
        <v>46153.450184765832</v>
      </c>
      <c r="B376" s="295">
        <v>46142</v>
      </c>
      <c r="C376" s="514">
        <f>B376-A376</f>
        <v>-11.450184765832091</v>
      </c>
      <c r="D376" s="514"/>
      <c r="E376" s="296" t="s">
        <v>4321</v>
      </c>
      <c r="F376" s="366"/>
      <c r="G376" s="366"/>
      <c r="H376" s="298"/>
      <c r="I376" s="652" t="s">
        <v>4776</v>
      </c>
      <c r="J376" s="351" t="s">
        <v>283</v>
      </c>
      <c r="K376" s="352">
        <v>0</v>
      </c>
      <c r="L376" s="352">
        <v>0</v>
      </c>
      <c r="M376" s="353">
        <v>80</v>
      </c>
      <c r="N376" s="354">
        <v>50</v>
      </c>
      <c r="O376" s="355">
        <v>1</v>
      </c>
      <c r="P376" s="354">
        <f>N376/O376</f>
        <v>50</v>
      </c>
      <c r="Q376" s="305">
        <v>0.8</v>
      </c>
      <c r="R376" s="306">
        <v>50</v>
      </c>
      <c r="S376" s="302">
        <f>P376-R376</f>
        <v>0</v>
      </c>
      <c r="T376" s="307">
        <f>((3600/M376)*O376)*24*Q376</f>
        <v>864</v>
      </c>
      <c r="U376" s="301">
        <f>(P376-R376)*M376/3600/Q376</f>
        <v>0</v>
      </c>
      <c r="V376" s="301">
        <f>U376/24</f>
        <v>0</v>
      </c>
      <c r="W376" s="301">
        <v>0</v>
      </c>
      <c r="X376" s="308">
        <f>A376+K376+L376+V376+W376</f>
        <v>46153.450184765832</v>
      </c>
    </row>
    <row r="377" spans="1:24" x14ac:dyDescent="0.35">
      <c r="A377" s="295">
        <f>X376</f>
        <v>46153.450184765832</v>
      </c>
      <c r="B377" s="295">
        <v>46142</v>
      </c>
      <c r="C377" s="514">
        <f>B377-A377</f>
        <v>-11.450184765832091</v>
      </c>
      <c r="D377" s="514"/>
      <c r="E377" s="296" t="s">
        <v>4321</v>
      </c>
      <c r="F377" s="366"/>
      <c r="G377" s="366"/>
      <c r="H377" s="298"/>
      <c r="I377" s="652" t="s">
        <v>4777</v>
      </c>
      <c r="J377" s="351" t="s">
        <v>283</v>
      </c>
      <c r="K377" s="352">
        <v>0</v>
      </c>
      <c r="L377" s="352">
        <v>0</v>
      </c>
      <c r="M377" s="353">
        <v>80</v>
      </c>
      <c r="N377" s="354">
        <v>50</v>
      </c>
      <c r="O377" s="355">
        <v>1</v>
      </c>
      <c r="P377" s="354">
        <f>N377/O377</f>
        <v>50</v>
      </c>
      <c r="Q377" s="305">
        <v>0.8</v>
      </c>
      <c r="R377" s="306"/>
      <c r="S377" s="302">
        <f>P377-R377</f>
        <v>50</v>
      </c>
      <c r="T377" s="307">
        <f>((3600/M377)*O377)*24*Q377</f>
        <v>864</v>
      </c>
      <c r="U377" s="301">
        <f>(P377-R377)*M377/3600/Q377</f>
        <v>1.3888888888888888</v>
      </c>
      <c r="V377" s="301">
        <f>U377/24</f>
        <v>5.7870370370370371E-2</v>
      </c>
      <c r="W377" s="301">
        <v>0</v>
      </c>
      <c r="X377" s="308">
        <f>A377+K377+L377+V377+W377</f>
        <v>46153.508055136204</v>
      </c>
    </row>
    <row r="378" spans="1:24" s="178" customFormat="1" x14ac:dyDescent="0.35">
      <c r="A378" s="203"/>
      <c r="B378" s="203"/>
      <c r="C378" s="286"/>
      <c r="D378" s="203"/>
      <c r="E378" s="204"/>
      <c r="F378" s="488"/>
      <c r="G378" s="287"/>
      <c r="H378" s="206"/>
      <c r="I378" s="617"/>
      <c r="J378" s="867"/>
      <c r="K378" s="208"/>
      <c r="L378" s="208"/>
      <c r="M378" s="209"/>
      <c r="N378" s="210"/>
      <c r="O378" s="209"/>
      <c r="P378" s="209"/>
      <c r="Q378" s="293"/>
      <c r="R378" s="209"/>
      <c r="S378" s="291"/>
      <c r="T378" s="290"/>
      <c r="U378" s="289"/>
      <c r="V378" s="289"/>
      <c r="W378" s="289"/>
      <c r="X378" s="212"/>
    </row>
    <row r="379" spans="1:24" ht="45" x14ac:dyDescent="0.8">
      <c r="A379" s="35" t="s">
        <v>4758</v>
      </c>
      <c r="B379" s="35"/>
      <c r="C379" s="787"/>
      <c r="D379" s="35"/>
      <c r="E379" s="36"/>
      <c r="F379" s="37"/>
      <c r="G379" s="37"/>
      <c r="H379" s="311" t="s">
        <v>4269</v>
      </c>
      <c r="I379" s="214"/>
      <c r="J379" s="40"/>
      <c r="K379" s="868"/>
      <c r="L379" s="868"/>
      <c r="M379" s="869"/>
      <c r="N379" s="45"/>
      <c r="O379" s="36"/>
      <c r="P379" s="36"/>
      <c r="Q379" s="36"/>
      <c r="R379" s="45"/>
      <c r="S379" s="36"/>
      <c r="T379" s="36"/>
      <c r="U379" s="36"/>
      <c r="V379" s="36"/>
      <c r="W379" s="36"/>
      <c r="X379" s="45"/>
    </row>
    <row r="380" spans="1:24" ht="29" hidden="1" x14ac:dyDescent="0.35">
      <c r="A380" s="46">
        <f>S7</f>
        <v>46153</v>
      </c>
      <c r="B380" s="46"/>
      <c r="C380" s="260"/>
      <c r="D380" s="46"/>
      <c r="E380" s="47"/>
      <c r="F380" s="57" t="s">
        <v>4778</v>
      </c>
      <c r="G380" s="57"/>
      <c r="H380" s="49" t="s">
        <v>4779</v>
      </c>
      <c r="I380" s="85" t="s">
        <v>4780</v>
      </c>
      <c r="J380" s="100"/>
      <c r="K380" s="91">
        <v>0</v>
      </c>
      <c r="L380" s="91">
        <v>0</v>
      </c>
      <c r="M380" s="92">
        <v>65</v>
      </c>
      <c r="N380" s="92">
        <v>20</v>
      </c>
      <c r="O380" s="92">
        <v>1</v>
      </c>
      <c r="P380" s="92">
        <f>N380/O380</f>
        <v>20</v>
      </c>
      <c r="Q380" s="92"/>
      <c r="R380" s="102">
        <v>20</v>
      </c>
      <c r="S380" s="92">
        <f t="shared" ref="S380:S395" si="105">P380-R380</f>
        <v>0</v>
      </c>
      <c r="T380" s="102">
        <f t="shared" ref="T380:T443" si="106">((3600/M380)*O380)*24</f>
        <v>1329.2307692307693</v>
      </c>
      <c r="U380" s="101">
        <f t="shared" ref="U380:U443" si="107">(P380-R380)*M380/3600</f>
        <v>0</v>
      </c>
      <c r="V380" s="101">
        <f t="shared" ref="V380:V443" si="108">(P380-R380)*M380/3600/24</f>
        <v>0</v>
      </c>
      <c r="W380" s="101">
        <v>0</v>
      </c>
      <c r="X380" s="55">
        <f t="shared" ref="X380:X443" si="109">A380+K380+V380+W380+L380</f>
        <v>46153</v>
      </c>
    </row>
    <row r="381" spans="1:24" ht="29" hidden="1" x14ac:dyDescent="0.35">
      <c r="A381" s="46">
        <f t="shared" ref="A381:A444" si="110">X380</f>
        <v>46153</v>
      </c>
      <c r="B381" s="46"/>
      <c r="C381" s="260"/>
      <c r="D381" s="46"/>
      <c r="E381" s="47" t="s">
        <v>4781</v>
      </c>
      <c r="F381" s="57" t="s">
        <v>4782</v>
      </c>
      <c r="G381" s="57"/>
      <c r="H381" s="49" t="s">
        <v>4783</v>
      </c>
      <c r="I381" s="82" t="s">
        <v>4784</v>
      </c>
      <c r="J381" s="100"/>
      <c r="K381" s="91">
        <v>0</v>
      </c>
      <c r="L381" s="91">
        <v>0</v>
      </c>
      <c r="M381" s="92">
        <v>50</v>
      </c>
      <c r="N381" s="92">
        <v>1500</v>
      </c>
      <c r="O381" s="92">
        <v>1</v>
      </c>
      <c r="P381" s="92">
        <v>2105</v>
      </c>
      <c r="Q381" s="92"/>
      <c r="R381" s="92">
        <f>1500+605</f>
        <v>2105</v>
      </c>
      <c r="S381" s="92">
        <f t="shared" si="105"/>
        <v>0</v>
      </c>
      <c r="T381" s="102">
        <f t="shared" si="106"/>
        <v>1728</v>
      </c>
      <c r="U381" s="101">
        <f t="shared" si="107"/>
        <v>0</v>
      </c>
      <c r="V381" s="101">
        <f t="shared" si="108"/>
        <v>0</v>
      </c>
      <c r="W381" s="101">
        <v>0</v>
      </c>
      <c r="X381" s="55">
        <f t="shared" si="109"/>
        <v>46153</v>
      </c>
    </row>
    <row r="382" spans="1:24" hidden="1" x14ac:dyDescent="0.35">
      <c r="A382" s="46">
        <f t="shared" si="110"/>
        <v>46153</v>
      </c>
      <c r="B382" s="46"/>
      <c r="C382" s="260"/>
      <c r="D382" s="46"/>
      <c r="E382" s="47"/>
      <c r="F382" s="57" t="s">
        <v>4785</v>
      </c>
      <c r="G382" s="57"/>
      <c r="H382" s="49" t="s">
        <v>4786</v>
      </c>
      <c r="I382" s="82" t="s">
        <v>4787</v>
      </c>
      <c r="J382" s="100"/>
      <c r="K382" s="91">
        <v>0</v>
      </c>
      <c r="L382" s="91">
        <v>0</v>
      </c>
      <c r="M382" s="92">
        <v>60</v>
      </c>
      <c r="N382" s="92">
        <v>20000</v>
      </c>
      <c r="O382" s="92">
        <v>6</v>
      </c>
      <c r="P382" s="92">
        <v>3693</v>
      </c>
      <c r="Q382" s="92"/>
      <c r="R382" s="92">
        <v>3693</v>
      </c>
      <c r="S382" s="92">
        <f t="shared" si="105"/>
        <v>0</v>
      </c>
      <c r="T382" s="102">
        <f t="shared" si="106"/>
        <v>8640</v>
      </c>
      <c r="U382" s="101">
        <f t="shared" si="107"/>
        <v>0</v>
      </c>
      <c r="V382" s="101">
        <f t="shared" si="108"/>
        <v>0</v>
      </c>
      <c r="W382" s="101">
        <v>0</v>
      </c>
      <c r="X382" s="55">
        <f t="shared" si="109"/>
        <v>46153</v>
      </c>
    </row>
    <row r="383" spans="1:24" hidden="1" x14ac:dyDescent="0.35">
      <c r="A383" s="46">
        <f t="shared" si="110"/>
        <v>46153</v>
      </c>
      <c r="B383" s="46"/>
      <c r="C383" s="260"/>
      <c r="D383" s="46"/>
      <c r="E383" s="47"/>
      <c r="F383" s="57"/>
      <c r="G383" s="57"/>
      <c r="H383" s="49" t="s">
        <v>4788</v>
      </c>
      <c r="I383" s="82" t="s">
        <v>4789</v>
      </c>
      <c r="J383" s="100"/>
      <c r="K383" s="91">
        <v>0</v>
      </c>
      <c r="L383" s="91">
        <v>0</v>
      </c>
      <c r="M383" s="92">
        <v>50</v>
      </c>
      <c r="N383" s="92">
        <v>7000</v>
      </c>
      <c r="O383" s="92">
        <v>1</v>
      </c>
      <c r="P383" s="92">
        <v>8822</v>
      </c>
      <c r="Q383" s="92"/>
      <c r="R383" s="92">
        <v>8822</v>
      </c>
      <c r="S383" s="92">
        <f t="shared" si="105"/>
        <v>0</v>
      </c>
      <c r="T383" s="102">
        <f t="shared" si="106"/>
        <v>1728</v>
      </c>
      <c r="U383" s="101">
        <f t="shared" si="107"/>
        <v>0</v>
      </c>
      <c r="V383" s="101">
        <f t="shared" si="108"/>
        <v>0</v>
      </c>
      <c r="W383" s="101">
        <v>0</v>
      </c>
      <c r="X383" s="55">
        <f t="shared" si="109"/>
        <v>46153</v>
      </c>
    </row>
    <row r="384" spans="1:24" ht="29" hidden="1" x14ac:dyDescent="0.35">
      <c r="A384" s="46">
        <f t="shared" si="110"/>
        <v>46153</v>
      </c>
      <c r="B384" s="46"/>
      <c r="C384" s="260"/>
      <c r="D384" s="46"/>
      <c r="E384" s="47" t="s">
        <v>4790</v>
      </c>
      <c r="F384" s="57" t="s">
        <v>4791</v>
      </c>
      <c r="G384" s="57"/>
      <c r="H384" s="49" t="s">
        <v>4792</v>
      </c>
      <c r="I384" s="870" t="s">
        <v>4793</v>
      </c>
      <c r="J384" s="82"/>
      <c r="K384" s="91">
        <v>0</v>
      </c>
      <c r="L384" s="91">
        <v>0</v>
      </c>
      <c r="M384" s="92">
        <v>65</v>
      </c>
      <c r="N384" s="92">
        <v>6000</v>
      </c>
      <c r="O384" s="92">
        <v>1</v>
      </c>
      <c r="P384" s="92">
        <v>5296</v>
      </c>
      <c r="Q384" s="92"/>
      <c r="R384" s="92">
        <v>5296</v>
      </c>
      <c r="S384" s="92">
        <f t="shared" si="105"/>
        <v>0</v>
      </c>
      <c r="T384" s="102">
        <f t="shared" si="106"/>
        <v>1329.2307692307693</v>
      </c>
      <c r="U384" s="101">
        <f t="shared" si="107"/>
        <v>0</v>
      </c>
      <c r="V384" s="101">
        <f t="shared" si="108"/>
        <v>0</v>
      </c>
      <c r="W384" s="101">
        <v>0</v>
      </c>
      <c r="X384" s="55">
        <f t="shared" si="109"/>
        <v>46153</v>
      </c>
    </row>
    <row r="385" spans="1:24" hidden="1" x14ac:dyDescent="0.35">
      <c r="A385" s="46">
        <f t="shared" si="110"/>
        <v>46153</v>
      </c>
      <c r="B385" s="46"/>
      <c r="C385" s="260"/>
      <c r="D385" s="46"/>
      <c r="E385" s="47" t="s">
        <v>4790</v>
      </c>
      <c r="F385" s="57" t="s">
        <v>4794</v>
      </c>
      <c r="G385" s="57"/>
      <c r="H385" s="49" t="s">
        <v>4779</v>
      </c>
      <c r="I385" s="85" t="s">
        <v>4795</v>
      </c>
      <c r="J385" s="100"/>
      <c r="K385" s="91">
        <v>0</v>
      </c>
      <c r="L385" s="91">
        <v>0</v>
      </c>
      <c r="M385" s="92">
        <v>32</v>
      </c>
      <c r="N385" s="92">
        <v>20</v>
      </c>
      <c r="O385" s="92">
        <v>1</v>
      </c>
      <c r="P385" s="92">
        <f t="shared" ref="P385:P391" si="111">N385/O385</f>
        <v>20</v>
      </c>
      <c r="Q385" s="92"/>
      <c r="R385" s="102">
        <v>20</v>
      </c>
      <c r="S385" s="92">
        <f t="shared" si="105"/>
        <v>0</v>
      </c>
      <c r="T385" s="102">
        <f t="shared" si="106"/>
        <v>2700</v>
      </c>
      <c r="U385" s="101">
        <f t="shared" si="107"/>
        <v>0</v>
      </c>
      <c r="V385" s="101">
        <f t="shared" si="108"/>
        <v>0</v>
      </c>
      <c r="W385" s="101">
        <v>0</v>
      </c>
      <c r="X385" s="55">
        <f t="shared" si="109"/>
        <v>46153</v>
      </c>
    </row>
    <row r="386" spans="1:24" ht="29" hidden="1" x14ac:dyDescent="0.35">
      <c r="A386" s="46">
        <f t="shared" si="110"/>
        <v>46153</v>
      </c>
      <c r="B386" s="46"/>
      <c r="C386" s="260"/>
      <c r="D386" s="46"/>
      <c r="E386" s="47" t="s">
        <v>4790</v>
      </c>
      <c r="F386" s="57" t="s">
        <v>4796</v>
      </c>
      <c r="G386" s="57"/>
      <c r="H386" s="49" t="s">
        <v>4779</v>
      </c>
      <c r="I386" s="85" t="s">
        <v>4797</v>
      </c>
      <c r="J386" s="100"/>
      <c r="K386" s="91">
        <v>0</v>
      </c>
      <c r="L386" s="91">
        <v>0</v>
      </c>
      <c r="M386" s="92">
        <v>32</v>
      </c>
      <c r="N386" s="92">
        <v>20</v>
      </c>
      <c r="O386" s="92">
        <v>1</v>
      </c>
      <c r="P386" s="92">
        <f t="shared" si="111"/>
        <v>20</v>
      </c>
      <c r="Q386" s="92"/>
      <c r="R386" s="102">
        <v>20</v>
      </c>
      <c r="S386" s="92">
        <f t="shared" si="105"/>
        <v>0</v>
      </c>
      <c r="T386" s="102">
        <f t="shared" si="106"/>
        <v>2700</v>
      </c>
      <c r="U386" s="101">
        <f t="shared" si="107"/>
        <v>0</v>
      </c>
      <c r="V386" s="101">
        <f t="shared" si="108"/>
        <v>0</v>
      </c>
      <c r="W386" s="101">
        <v>0</v>
      </c>
      <c r="X386" s="55">
        <f t="shared" si="109"/>
        <v>46153</v>
      </c>
    </row>
    <row r="387" spans="1:24" hidden="1" x14ac:dyDescent="0.35">
      <c r="A387" s="46">
        <f t="shared" si="110"/>
        <v>46153</v>
      </c>
      <c r="B387" s="46"/>
      <c r="C387" s="260"/>
      <c r="D387" s="46"/>
      <c r="E387" s="47" t="s">
        <v>4798</v>
      </c>
      <c r="F387" s="57" t="s">
        <v>4799</v>
      </c>
      <c r="G387" s="57"/>
      <c r="H387" s="49" t="s">
        <v>1321</v>
      </c>
      <c r="I387" s="97" t="s">
        <v>4800</v>
      </c>
      <c r="J387" s="100"/>
      <c r="K387" s="91">
        <v>0</v>
      </c>
      <c r="L387" s="91">
        <v>0</v>
      </c>
      <c r="M387" s="92">
        <v>50</v>
      </c>
      <c r="N387" s="92">
        <v>20</v>
      </c>
      <c r="O387" s="92">
        <v>1</v>
      </c>
      <c r="P387" s="92">
        <f t="shared" si="111"/>
        <v>20</v>
      </c>
      <c r="Q387" s="92"/>
      <c r="R387" s="102">
        <v>20</v>
      </c>
      <c r="S387" s="92">
        <f t="shared" si="105"/>
        <v>0</v>
      </c>
      <c r="T387" s="102">
        <f t="shared" si="106"/>
        <v>1728</v>
      </c>
      <c r="U387" s="101">
        <f t="shared" si="107"/>
        <v>0</v>
      </c>
      <c r="V387" s="101">
        <f t="shared" si="108"/>
        <v>0</v>
      </c>
      <c r="W387" s="101">
        <v>0</v>
      </c>
      <c r="X387" s="55">
        <f t="shared" si="109"/>
        <v>46153</v>
      </c>
    </row>
    <row r="388" spans="1:24" ht="29" hidden="1" x14ac:dyDescent="0.35">
      <c r="A388" s="46">
        <f t="shared" si="110"/>
        <v>46153</v>
      </c>
      <c r="B388" s="46"/>
      <c r="C388" s="260"/>
      <c r="D388" s="46"/>
      <c r="E388" s="47" t="s">
        <v>4801</v>
      </c>
      <c r="F388" s="57" t="s">
        <v>4802</v>
      </c>
      <c r="G388" s="57"/>
      <c r="H388" s="49" t="s">
        <v>4779</v>
      </c>
      <c r="I388" s="85" t="s">
        <v>4803</v>
      </c>
      <c r="J388" s="100"/>
      <c r="K388" s="91">
        <v>0</v>
      </c>
      <c r="L388" s="91">
        <v>0</v>
      </c>
      <c r="M388" s="92">
        <v>32</v>
      </c>
      <c r="N388" s="92">
        <v>20</v>
      </c>
      <c r="O388" s="92">
        <v>1</v>
      </c>
      <c r="P388" s="92">
        <f t="shared" si="111"/>
        <v>20</v>
      </c>
      <c r="Q388" s="92"/>
      <c r="R388" s="102">
        <v>20</v>
      </c>
      <c r="S388" s="92">
        <f t="shared" si="105"/>
        <v>0</v>
      </c>
      <c r="T388" s="102">
        <f t="shared" si="106"/>
        <v>2700</v>
      </c>
      <c r="U388" s="101">
        <f t="shared" si="107"/>
        <v>0</v>
      </c>
      <c r="V388" s="101">
        <f t="shared" si="108"/>
        <v>0</v>
      </c>
      <c r="W388" s="101">
        <v>0</v>
      </c>
      <c r="X388" s="55">
        <f t="shared" si="109"/>
        <v>46153</v>
      </c>
    </row>
    <row r="389" spans="1:24" ht="29" hidden="1" x14ac:dyDescent="0.35">
      <c r="A389" s="46">
        <f t="shared" si="110"/>
        <v>46153</v>
      </c>
      <c r="B389" s="46"/>
      <c r="C389" s="260"/>
      <c r="D389" s="46"/>
      <c r="E389" s="47" t="s">
        <v>4790</v>
      </c>
      <c r="F389" s="57" t="s">
        <v>4804</v>
      </c>
      <c r="G389" s="57"/>
      <c r="H389" s="49" t="s">
        <v>4779</v>
      </c>
      <c r="I389" s="85" t="s">
        <v>4805</v>
      </c>
      <c r="J389" s="100"/>
      <c r="K389" s="91">
        <v>0</v>
      </c>
      <c r="L389" s="91">
        <v>0</v>
      </c>
      <c r="M389" s="92">
        <v>40</v>
      </c>
      <c r="N389" s="92">
        <v>20</v>
      </c>
      <c r="O389" s="92">
        <v>1</v>
      </c>
      <c r="P389" s="92">
        <f t="shared" si="111"/>
        <v>20</v>
      </c>
      <c r="Q389" s="92"/>
      <c r="R389" s="102">
        <v>20</v>
      </c>
      <c r="S389" s="92">
        <f t="shared" si="105"/>
        <v>0</v>
      </c>
      <c r="T389" s="102">
        <f t="shared" si="106"/>
        <v>2160</v>
      </c>
      <c r="U389" s="101">
        <f t="shared" si="107"/>
        <v>0</v>
      </c>
      <c r="V389" s="101">
        <f t="shared" si="108"/>
        <v>0</v>
      </c>
      <c r="W389" s="101">
        <v>0</v>
      </c>
      <c r="X389" s="55">
        <f t="shared" si="109"/>
        <v>46153</v>
      </c>
    </row>
    <row r="390" spans="1:24" ht="29" hidden="1" x14ac:dyDescent="0.35">
      <c r="A390" s="46">
        <f t="shared" si="110"/>
        <v>46153</v>
      </c>
      <c r="B390" s="46"/>
      <c r="C390" s="260"/>
      <c r="D390" s="46"/>
      <c r="E390" s="47" t="s">
        <v>4790</v>
      </c>
      <c r="F390" s="57" t="s">
        <v>4778</v>
      </c>
      <c r="G390" s="57"/>
      <c r="H390" s="49" t="s">
        <v>4779</v>
      </c>
      <c r="I390" s="85" t="s">
        <v>4780</v>
      </c>
      <c r="J390" s="100"/>
      <c r="K390" s="91">
        <v>0</v>
      </c>
      <c r="L390" s="91">
        <v>0</v>
      </c>
      <c r="M390" s="92">
        <v>65</v>
      </c>
      <c r="N390" s="92">
        <v>20</v>
      </c>
      <c r="O390" s="92">
        <v>1</v>
      </c>
      <c r="P390" s="92">
        <f t="shared" si="111"/>
        <v>20</v>
      </c>
      <c r="Q390" s="92"/>
      <c r="R390" s="102">
        <v>20</v>
      </c>
      <c r="S390" s="92">
        <f t="shared" si="105"/>
        <v>0</v>
      </c>
      <c r="T390" s="102">
        <f t="shared" si="106"/>
        <v>1329.2307692307693</v>
      </c>
      <c r="U390" s="101">
        <f t="shared" si="107"/>
        <v>0</v>
      </c>
      <c r="V390" s="101">
        <f t="shared" si="108"/>
        <v>0</v>
      </c>
      <c r="W390" s="101">
        <v>0</v>
      </c>
      <c r="X390" s="55">
        <f t="shared" si="109"/>
        <v>46153</v>
      </c>
    </row>
    <row r="391" spans="1:24" hidden="1" x14ac:dyDescent="0.35">
      <c r="A391" s="46">
        <f t="shared" si="110"/>
        <v>46153</v>
      </c>
      <c r="B391" s="46"/>
      <c r="C391" s="260"/>
      <c r="D391" s="46"/>
      <c r="E391" s="47" t="s">
        <v>4790</v>
      </c>
      <c r="F391" s="57" t="s">
        <v>1362</v>
      </c>
      <c r="G391" s="57"/>
      <c r="H391" s="49" t="s">
        <v>1321</v>
      </c>
      <c r="I391" s="85" t="s">
        <v>4806</v>
      </c>
      <c r="J391" s="100"/>
      <c r="K391" s="91">
        <v>0</v>
      </c>
      <c r="L391" s="91">
        <v>0</v>
      </c>
      <c r="M391" s="92">
        <v>50</v>
      </c>
      <c r="N391" s="92">
        <v>20</v>
      </c>
      <c r="O391" s="92">
        <v>1</v>
      </c>
      <c r="P391" s="92">
        <f t="shared" si="111"/>
        <v>20</v>
      </c>
      <c r="Q391" s="92"/>
      <c r="R391" s="102">
        <v>20</v>
      </c>
      <c r="S391" s="92">
        <f t="shared" si="105"/>
        <v>0</v>
      </c>
      <c r="T391" s="102">
        <f t="shared" si="106"/>
        <v>1728</v>
      </c>
      <c r="U391" s="101">
        <f t="shared" si="107"/>
        <v>0</v>
      </c>
      <c r="V391" s="101">
        <f t="shared" si="108"/>
        <v>0</v>
      </c>
      <c r="W391" s="101">
        <v>0</v>
      </c>
      <c r="X391" s="55">
        <f t="shared" si="109"/>
        <v>46153</v>
      </c>
    </row>
    <row r="392" spans="1:24" hidden="1" x14ac:dyDescent="0.35">
      <c r="A392" s="46">
        <f t="shared" si="110"/>
        <v>46153</v>
      </c>
      <c r="B392" s="46"/>
      <c r="C392" s="260"/>
      <c r="D392" s="46"/>
      <c r="E392" s="47" t="s">
        <v>4790</v>
      </c>
      <c r="F392" s="48" t="s">
        <v>101</v>
      </c>
      <c r="G392" s="48"/>
      <c r="H392" s="49" t="s">
        <v>4807</v>
      </c>
      <c r="I392" s="82" t="s">
        <v>4808</v>
      </c>
      <c r="J392" s="100"/>
      <c r="K392" s="91">
        <v>0</v>
      </c>
      <c r="L392" s="91">
        <v>0</v>
      </c>
      <c r="M392" s="92">
        <v>40</v>
      </c>
      <c r="N392" s="92">
        <v>7200</v>
      </c>
      <c r="O392" s="92">
        <v>1</v>
      </c>
      <c r="P392" s="92">
        <v>7301</v>
      </c>
      <c r="Q392" s="92"/>
      <c r="R392" s="92">
        <v>7301</v>
      </c>
      <c r="S392" s="92">
        <f t="shared" si="105"/>
        <v>0</v>
      </c>
      <c r="T392" s="102">
        <f t="shared" si="106"/>
        <v>2160</v>
      </c>
      <c r="U392" s="101">
        <f t="shared" si="107"/>
        <v>0</v>
      </c>
      <c r="V392" s="101">
        <f t="shared" si="108"/>
        <v>0</v>
      </c>
      <c r="W392" s="101">
        <v>0</v>
      </c>
      <c r="X392" s="55">
        <f t="shared" si="109"/>
        <v>46153</v>
      </c>
    </row>
    <row r="393" spans="1:24" hidden="1" x14ac:dyDescent="0.35">
      <c r="A393" s="46">
        <f t="shared" si="110"/>
        <v>46153</v>
      </c>
      <c r="B393" s="46"/>
      <c r="C393" s="260"/>
      <c r="D393" s="46"/>
      <c r="E393" s="47" t="s">
        <v>4790</v>
      </c>
      <c r="F393" s="48" t="s">
        <v>3287</v>
      </c>
      <c r="G393" s="48"/>
      <c r="H393" s="49" t="s">
        <v>4809</v>
      </c>
      <c r="I393" s="82" t="s">
        <v>4810</v>
      </c>
      <c r="J393" s="100"/>
      <c r="K393" s="91">
        <v>0</v>
      </c>
      <c r="L393" s="91">
        <v>0</v>
      </c>
      <c r="M393" s="92">
        <v>40</v>
      </c>
      <c r="N393" s="92">
        <v>10000</v>
      </c>
      <c r="O393" s="92">
        <v>1</v>
      </c>
      <c r="P393" s="92">
        <v>10031</v>
      </c>
      <c r="Q393" s="92"/>
      <c r="R393" s="92">
        <v>10031</v>
      </c>
      <c r="S393" s="92">
        <f t="shared" si="105"/>
        <v>0</v>
      </c>
      <c r="T393" s="102">
        <f t="shared" si="106"/>
        <v>2160</v>
      </c>
      <c r="U393" s="101">
        <f t="shared" si="107"/>
        <v>0</v>
      </c>
      <c r="V393" s="101">
        <f t="shared" si="108"/>
        <v>0</v>
      </c>
      <c r="W393" s="101">
        <v>0</v>
      </c>
      <c r="X393" s="55">
        <f t="shared" si="109"/>
        <v>46153</v>
      </c>
    </row>
    <row r="394" spans="1:24" hidden="1" x14ac:dyDescent="0.35">
      <c r="A394" s="46">
        <f t="shared" si="110"/>
        <v>46153</v>
      </c>
      <c r="B394" s="46"/>
      <c r="C394" s="260"/>
      <c r="D394" s="46"/>
      <c r="E394" s="47" t="s">
        <v>4790</v>
      </c>
      <c r="F394" s="48"/>
      <c r="G394" s="48"/>
      <c r="H394" s="49" t="s">
        <v>4811</v>
      </c>
      <c r="I394" s="82" t="s">
        <v>4812</v>
      </c>
      <c r="J394" s="100"/>
      <c r="K394" s="91">
        <v>0</v>
      </c>
      <c r="L394" s="91">
        <v>0</v>
      </c>
      <c r="M394" s="92">
        <v>60</v>
      </c>
      <c r="N394" s="92">
        <v>500</v>
      </c>
      <c r="O394" s="92">
        <v>1</v>
      </c>
      <c r="P394" s="92">
        <f t="shared" ref="P394:P399" si="112">N394/O394</f>
        <v>500</v>
      </c>
      <c r="Q394" s="92"/>
      <c r="R394" s="92">
        <v>500</v>
      </c>
      <c r="S394" s="92">
        <f t="shared" si="105"/>
        <v>0</v>
      </c>
      <c r="T394" s="102">
        <f t="shared" si="106"/>
        <v>1440</v>
      </c>
      <c r="U394" s="101">
        <f t="shared" si="107"/>
        <v>0</v>
      </c>
      <c r="V394" s="101">
        <f t="shared" si="108"/>
        <v>0</v>
      </c>
      <c r="W394" s="101">
        <v>0</v>
      </c>
      <c r="X394" s="55">
        <f t="shared" si="109"/>
        <v>46153</v>
      </c>
    </row>
    <row r="395" spans="1:24" hidden="1" x14ac:dyDescent="0.35">
      <c r="A395" s="46">
        <f t="shared" si="110"/>
        <v>46153</v>
      </c>
      <c r="B395" s="46"/>
      <c r="C395" s="260"/>
      <c r="D395" s="46"/>
      <c r="E395" s="47" t="s">
        <v>4790</v>
      </c>
      <c r="F395" s="57" t="s">
        <v>414</v>
      </c>
      <c r="G395" s="57"/>
      <c r="H395" s="49" t="s">
        <v>4813</v>
      </c>
      <c r="I395" s="82" t="s">
        <v>4814</v>
      </c>
      <c r="J395" s="100"/>
      <c r="K395" s="91">
        <v>0</v>
      </c>
      <c r="L395" s="91">
        <v>0</v>
      </c>
      <c r="M395" s="92">
        <v>60</v>
      </c>
      <c r="N395" s="92">
        <v>1200</v>
      </c>
      <c r="O395" s="92">
        <v>1</v>
      </c>
      <c r="P395" s="92">
        <f t="shared" si="112"/>
        <v>1200</v>
      </c>
      <c r="Q395" s="92"/>
      <c r="R395" s="92">
        <v>1200</v>
      </c>
      <c r="S395" s="92">
        <f t="shared" si="105"/>
        <v>0</v>
      </c>
      <c r="T395" s="102">
        <f t="shared" si="106"/>
        <v>1440</v>
      </c>
      <c r="U395" s="101">
        <f t="shared" si="107"/>
        <v>0</v>
      </c>
      <c r="V395" s="101">
        <f t="shared" si="108"/>
        <v>0</v>
      </c>
      <c r="W395" s="101">
        <v>0</v>
      </c>
      <c r="X395" s="55">
        <f t="shared" si="109"/>
        <v>46153</v>
      </c>
    </row>
    <row r="396" spans="1:24" ht="29" hidden="1" x14ac:dyDescent="0.35">
      <c r="A396" s="46">
        <f t="shared" si="110"/>
        <v>46153</v>
      </c>
      <c r="B396" s="46"/>
      <c r="C396" s="260"/>
      <c r="D396" s="46"/>
      <c r="E396" s="47" t="s">
        <v>4790</v>
      </c>
      <c r="F396" s="56" t="s">
        <v>4815</v>
      </c>
      <c r="G396" s="56"/>
      <c r="H396" s="49" t="s">
        <v>4816</v>
      </c>
      <c r="I396" s="82" t="s">
        <v>4394</v>
      </c>
      <c r="J396" s="491"/>
      <c r="K396" s="91">
        <v>0</v>
      </c>
      <c r="L396" s="91">
        <v>0</v>
      </c>
      <c r="M396" s="92">
        <v>70</v>
      </c>
      <c r="N396" s="92">
        <v>6000</v>
      </c>
      <c r="O396" s="92">
        <v>2</v>
      </c>
      <c r="P396" s="92">
        <f t="shared" si="112"/>
        <v>3000</v>
      </c>
      <c r="Q396" s="92"/>
      <c r="R396" s="92">
        <v>3000</v>
      </c>
      <c r="S396" s="92">
        <v>3000</v>
      </c>
      <c r="T396" s="102">
        <f t="shared" si="106"/>
        <v>2468.5714285714284</v>
      </c>
      <c r="U396" s="101">
        <f t="shared" si="107"/>
        <v>0</v>
      </c>
      <c r="V396" s="101">
        <f t="shared" si="108"/>
        <v>0</v>
      </c>
      <c r="W396" s="101">
        <v>0</v>
      </c>
      <c r="X396" s="55">
        <f t="shared" si="109"/>
        <v>46153</v>
      </c>
    </row>
    <row r="397" spans="1:24" hidden="1" x14ac:dyDescent="0.35">
      <c r="A397" s="46">
        <f t="shared" si="110"/>
        <v>46153</v>
      </c>
      <c r="B397" s="46"/>
      <c r="C397" s="260"/>
      <c r="D397" s="46"/>
      <c r="E397" s="47" t="s">
        <v>4790</v>
      </c>
      <c r="F397" s="57" t="s">
        <v>355</v>
      </c>
      <c r="G397" s="57"/>
      <c r="H397" s="49" t="s">
        <v>4817</v>
      </c>
      <c r="I397" s="82" t="s">
        <v>4784</v>
      </c>
      <c r="J397" s="100"/>
      <c r="K397" s="91">
        <v>0</v>
      </c>
      <c r="L397" s="91">
        <v>0</v>
      </c>
      <c r="M397" s="92">
        <v>50</v>
      </c>
      <c r="N397" s="92">
        <v>1500</v>
      </c>
      <c r="O397" s="92">
        <v>1</v>
      </c>
      <c r="P397" s="92">
        <f t="shared" si="112"/>
        <v>1500</v>
      </c>
      <c r="Q397" s="92"/>
      <c r="R397" s="92">
        <v>1500</v>
      </c>
      <c r="S397" s="92">
        <v>1500</v>
      </c>
      <c r="T397" s="102">
        <f t="shared" si="106"/>
        <v>1728</v>
      </c>
      <c r="U397" s="101">
        <f t="shared" si="107"/>
        <v>0</v>
      </c>
      <c r="V397" s="101">
        <f t="shared" si="108"/>
        <v>0</v>
      </c>
      <c r="W397" s="101">
        <v>0</v>
      </c>
      <c r="X397" s="55">
        <f t="shared" si="109"/>
        <v>46153</v>
      </c>
    </row>
    <row r="398" spans="1:24" hidden="1" x14ac:dyDescent="0.35">
      <c r="A398" s="46">
        <f t="shared" si="110"/>
        <v>46153</v>
      </c>
      <c r="B398" s="46"/>
      <c r="C398" s="260"/>
      <c r="D398" s="46"/>
      <c r="E398" s="47" t="s">
        <v>4790</v>
      </c>
      <c r="F398" s="57" t="s">
        <v>414</v>
      </c>
      <c r="G398" s="57"/>
      <c r="H398" s="49" t="s">
        <v>4818</v>
      </c>
      <c r="I398" s="97" t="s">
        <v>4800</v>
      </c>
      <c r="J398" s="100"/>
      <c r="K398" s="91">
        <v>0</v>
      </c>
      <c r="L398" s="91">
        <v>0</v>
      </c>
      <c r="M398" s="92">
        <v>50</v>
      </c>
      <c r="N398" s="92">
        <v>500</v>
      </c>
      <c r="O398" s="92">
        <v>1</v>
      </c>
      <c r="P398" s="92">
        <f t="shared" si="112"/>
        <v>500</v>
      </c>
      <c r="Q398" s="92"/>
      <c r="R398" s="102">
        <v>500</v>
      </c>
      <c r="S398" s="92">
        <f t="shared" ref="S398:S461" si="113">P398-R398</f>
        <v>0</v>
      </c>
      <c r="T398" s="102">
        <f t="shared" si="106"/>
        <v>1728</v>
      </c>
      <c r="U398" s="101">
        <f t="shared" si="107"/>
        <v>0</v>
      </c>
      <c r="V398" s="101">
        <f t="shared" si="108"/>
        <v>0</v>
      </c>
      <c r="W398" s="101">
        <v>0</v>
      </c>
      <c r="X398" s="55">
        <f t="shared" si="109"/>
        <v>46153</v>
      </c>
    </row>
    <row r="399" spans="1:24" hidden="1" x14ac:dyDescent="0.35">
      <c r="A399" s="46">
        <f t="shared" si="110"/>
        <v>46153</v>
      </c>
      <c r="B399" s="46"/>
      <c r="C399" s="260"/>
      <c r="D399" s="46"/>
      <c r="E399" s="47" t="s">
        <v>4790</v>
      </c>
      <c r="F399" s="57" t="s">
        <v>414</v>
      </c>
      <c r="G399" s="57"/>
      <c r="H399" s="49" t="s">
        <v>4819</v>
      </c>
      <c r="I399" s="82" t="s">
        <v>4810</v>
      </c>
      <c r="J399" s="100"/>
      <c r="K399" s="91">
        <v>0</v>
      </c>
      <c r="L399" s="91">
        <v>0</v>
      </c>
      <c r="M399" s="92">
        <v>40</v>
      </c>
      <c r="N399" s="92">
        <v>10000</v>
      </c>
      <c r="O399" s="92">
        <v>1</v>
      </c>
      <c r="P399" s="92">
        <f t="shared" si="112"/>
        <v>10000</v>
      </c>
      <c r="Q399" s="92"/>
      <c r="R399" s="92">
        <v>10000</v>
      </c>
      <c r="S399" s="92">
        <f t="shared" si="113"/>
        <v>0</v>
      </c>
      <c r="T399" s="102">
        <f t="shared" si="106"/>
        <v>2160</v>
      </c>
      <c r="U399" s="101">
        <f t="shared" si="107"/>
        <v>0</v>
      </c>
      <c r="V399" s="101">
        <f t="shared" si="108"/>
        <v>0</v>
      </c>
      <c r="W399" s="101">
        <v>0</v>
      </c>
      <c r="X399" s="55">
        <f t="shared" si="109"/>
        <v>46153</v>
      </c>
    </row>
    <row r="400" spans="1:24" hidden="1" x14ac:dyDescent="0.35">
      <c r="A400" s="46">
        <f t="shared" si="110"/>
        <v>46153</v>
      </c>
      <c r="B400" s="46"/>
      <c r="C400" s="260"/>
      <c r="D400" s="46"/>
      <c r="E400" s="47"/>
      <c r="F400" s="48"/>
      <c r="G400" s="48"/>
      <c r="H400" s="49"/>
      <c r="I400" s="390" t="s">
        <v>4820</v>
      </c>
      <c r="J400" s="100"/>
      <c r="K400" s="91">
        <v>0</v>
      </c>
      <c r="L400" s="91">
        <v>0</v>
      </c>
      <c r="M400" s="92">
        <v>100</v>
      </c>
      <c r="N400" s="92">
        <v>1500</v>
      </c>
      <c r="O400" s="92">
        <v>1</v>
      </c>
      <c r="P400" s="92">
        <v>190</v>
      </c>
      <c r="Q400" s="92"/>
      <c r="R400" s="92">
        <v>190</v>
      </c>
      <c r="S400" s="92">
        <f t="shared" si="113"/>
        <v>0</v>
      </c>
      <c r="T400" s="102">
        <f t="shared" si="106"/>
        <v>864</v>
      </c>
      <c r="U400" s="101">
        <f t="shared" si="107"/>
        <v>0</v>
      </c>
      <c r="V400" s="101">
        <f t="shared" si="108"/>
        <v>0</v>
      </c>
      <c r="W400" s="101">
        <v>0</v>
      </c>
      <c r="X400" s="55">
        <f t="shared" si="109"/>
        <v>46153</v>
      </c>
    </row>
    <row r="401" spans="1:24" hidden="1" x14ac:dyDescent="0.35">
      <c r="A401" s="46">
        <f t="shared" si="110"/>
        <v>46153</v>
      </c>
      <c r="B401" s="46"/>
      <c r="C401" s="260"/>
      <c r="D401" s="46"/>
      <c r="E401" s="47" t="s">
        <v>4790</v>
      </c>
      <c r="F401" s="56" t="s">
        <v>4821</v>
      </c>
      <c r="G401" s="56"/>
      <c r="H401" s="49" t="s">
        <v>4822</v>
      </c>
      <c r="I401" s="82" t="s">
        <v>4394</v>
      </c>
      <c r="J401" s="491"/>
      <c r="K401" s="91">
        <v>0</v>
      </c>
      <c r="L401" s="91">
        <v>0</v>
      </c>
      <c r="M401" s="92">
        <v>70</v>
      </c>
      <c r="N401" s="92">
        <v>3000</v>
      </c>
      <c r="O401" s="92">
        <v>2</v>
      </c>
      <c r="P401" s="92">
        <f t="shared" ref="P401:P409" si="114">N401/O401</f>
        <v>1500</v>
      </c>
      <c r="Q401" s="92"/>
      <c r="R401" s="92">
        <v>1500</v>
      </c>
      <c r="S401" s="92">
        <f t="shared" si="113"/>
        <v>0</v>
      </c>
      <c r="T401" s="102">
        <f t="shared" si="106"/>
        <v>2468.5714285714284</v>
      </c>
      <c r="U401" s="101">
        <f t="shared" si="107"/>
        <v>0</v>
      </c>
      <c r="V401" s="101">
        <f t="shared" si="108"/>
        <v>0</v>
      </c>
      <c r="W401" s="101">
        <v>0</v>
      </c>
      <c r="X401" s="55">
        <f t="shared" si="109"/>
        <v>46153</v>
      </c>
    </row>
    <row r="402" spans="1:24" hidden="1" x14ac:dyDescent="0.35">
      <c r="A402" s="46">
        <f t="shared" si="110"/>
        <v>46153</v>
      </c>
      <c r="B402" s="46"/>
      <c r="C402" s="260"/>
      <c r="D402" s="46"/>
      <c r="E402" s="47" t="s">
        <v>4790</v>
      </c>
      <c r="F402" s="62" t="s">
        <v>4823</v>
      </c>
      <c r="G402" s="62"/>
      <c r="H402" s="49"/>
      <c r="I402" s="69" t="s">
        <v>4812</v>
      </c>
      <c r="J402" s="100"/>
      <c r="K402" s="91">
        <v>0</v>
      </c>
      <c r="L402" s="91">
        <v>0</v>
      </c>
      <c r="M402" s="92">
        <v>50</v>
      </c>
      <c r="N402" s="92">
        <v>500</v>
      </c>
      <c r="O402" s="92">
        <v>1</v>
      </c>
      <c r="P402" s="92">
        <f t="shared" si="114"/>
        <v>500</v>
      </c>
      <c r="Q402" s="92"/>
      <c r="R402" s="102">
        <v>500</v>
      </c>
      <c r="S402" s="92">
        <f t="shared" si="113"/>
        <v>0</v>
      </c>
      <c r="T402" s="102">
        <f t="shared" si="106"/>
        <v>1728</v>
      </c>
      <c r="U402" s="101">
        <f t="shared" si="107"/>
        <v>0</v>
      </c>
      <c r="V402" s="101">
        <f t="shared" si="108"/>
        <v>0</v>
      </c>
      <c r="W402" s="101">
        <v>0</v>
      </c>
      <c r="X402" s="55">
        <f t="shared" si="109"/>
        <v>46153</v>
      </c>
    </row>
    <row r="403" spans="1:24" ht="39.5" hidden="1" x14ac:dyDescent="0.35">
      <c r="A403" s="46">
        <f t="shared" si="110"/>
        <v>46153</v>
      </c>
      <c r="B403" s="46"/>
      <c r="C403" s="260"/>
      <c r="D403" s="46"/>
      <c r="E403" s="74" t="s">
        <v>4824</v>
      </c>
      <c r="F403" s="62" t="s">
        <v>4825</v>
      </c>
      <c r="G403" s="62"/>
      <c r="H403" s="216" t="s">
        <v>4826</v>
      </c>
      <c r="I403" s="77" t="s">
        <v>4827</v>
      </c>
      <c r="J403" s="491"/>
      <c r="K403" s="110">
        <v>0</v>
      </c>
      <c r="L403" s="110">
        <v>0</v>
      </c>
      <c r="M403" s="427">
        <v>60</v>
      </c>
      <c r="N403" s="427">
        <v>7453</v>
      </c>
      <c r="O403" s="427">
        <v>1</v>
      </c>
      <c r="P403" s="427">
        <f t="shared" si="114"/>
        <v>7453</v>
      </c>
      <c r="Q403" s="427"/>
      <c r="R403" s="427">
        <v>7453</v>
      </c>
      <c r="S403" s="427">
        <f t="shared" si="113"/>
        <v>0</v>
      </c>
      <c r="T403" s="677">
        <f t="shared" si="106"/>
        <v>1440</v>
      </c>
      <c r="U403" s="601">
        <f t="shared" si="107"/>
        <v>0</v>
      </c>
      <c r="V403" s="601">
        <f t="shared" si="108"/>
        <v>0</v>
      </c>
      <c r="W403" s="601">
        <v>0</v>
      </c>
      <c r="X403" s="55">
        <f t="shared" si="109"/>
        <v>46153</v>
      </c>
    </row>
    <row r="404" spans="1:24" hidden="1" x14ac:dyDescent="0.35">
      <c r="A404" s="46">
        <f t="shared" si="110"/>
        <v>46153</v>
      </c>
      <c r="B404" s="46"/>
      <c r="C404" s="260"/>
      <c r="D404" s="46"/>
      <c r="E404" s="47" t="s">
        <v>3503</v>
      </c>
      <c r="F404" s="48" t="s">
        <v>1359</v>
      </c>
      <c r="G404" s="48"/>
      <c r="H404" s="216" t="s">
        <v>4828</v>
      </c>
      <c r="I404" s="82" t="s">
        <v>4829</v>
      </c>
      <c r="J404" s="100"/>
      <c r="K404" s="91">
        <v>0</v>
      </c>
      <c r="L404" s="91">
        <v>0</v>
      </c>
      <c r="M404" s="92">
        <v>31</v>
      </c>
      <c r="N404" s="92">
        <v>1000</v>
      </c>
      <c r="O404" s="92">
        <v>2</v>
      </c>
      <c r="P404" s="92">
        <f t="shared" si="114"/>
        <v>500</v>
      </c>
      <c r="Q404" s="92"/>
      <c r="R404" s="92">
        <v>500</v>
      </c>
      <c r="S404" s="92">
        <f t="shared" si="113"/>
        <v>0</v>
      </c>
      <c r="T404" s="102">
        <f t="shared" si="106"/>
        <v>5574.1935483870966</v>
      </c>
      <c r="U404" s="101">
        <f t="shared" si="107"/>
        <v>0</v>
      </c>
      <c r="V404" s="101">
        <f t="shared" si="108"/>
        <v>0</v>
      </c>
      <c r="W404" s="101">
        <v>0</v>
      </c>
      <c r="X404" s="55">
        <f t="shared" si="109"/>
        <v>46153</v>
      </c>
    </row>
    <row r="405" spans="1:24" hidden="1" x14ac:dyDescent="0.35">
      <c r="A405" s="46">
        <f t="shared" si="110"/>
        <v>46153</v>
      </c>
      <c r="B405" s="46"/>
      <c r="C405" s="260"/>
      <c r="D405" s="46"/>
      <c r="E405" s="47" t="s">
        <v>3503</v>
      </c>
      <c r="F405" s="48" t="s">
        <v>1362</v>
      </c>
      <c r="G405" s="48"/>
      <c r="H405" s="216" t="s">
        <v>1362</v>
      </c>
      <c r="I405" s="82" t="s">
        <v>4830</v>
      </c>
      <c r="J405" s="100"/>
      <c r="K405" s="91">
        <v>0</v>
      </c>
      <c r="L405" s="91">
        <v>0</v>
      </c>
      <c r="M405" s="92">
        <v>31</v>
      </c>
      <c r="N405" s="92">
        <v>20</v>
      </c>
      <c r="O405" s="92">
        <v>2</v>
      </c>
      <c r="P405" s="92">
        <f t="shared" si="114"/>
        <v>10</v>
      </c>
      <c r="Q405" s="92"/>
      <c r="R405" s="92">
        <v>10</v>
      </c>
      <c r="S405" s="92">
        <f t="shared" si="113"/>
        <v>0</v>
      </c>
      <c r="T405" s="102">
        <f t="shared" si="106"/>
        <v>5574.1935483870966</v>
      </c>
      <c r="U405" s="101">
        <f t="shared" si="107"/>
        <v>0</v>
      </c>
      <c r="V405" s="101">
        <f t="shared" si="108"/>
        <v>0</v>
      </c>
      <c r="W405" s="101">
        <v>0</v>
      </c>
      <c r="X405" s="55">
        <f t="shared" si="109"/>
        <v>46153</v>
      </c>
    </row>
    <row r="406" spans="1:24" hidden="1" x14ac:dyDescent="0.35">
      <c r="A406" s="46">
        <f t="shared" si="110"/>
        <v>46153</v>
      </c>
      <c r="B406" s="46"/>
      <c r="C406" s="260"/>
      <c r="D406" s="46"/>
      <c r="E406" s="47" t="s">
        <v>3503</v>
      </c>
      <c r="F406" s="48" t="s">
        <v>1359</v>
      </c>
      <c r="G406" s="48"/>
      <c r="H406" s="216" t="s">
        <v>4831</v>
      </c>
      <c r="I406" s="82" t="s">
        <v>4830</v>
      </c>
      <c r="J406" s="100"/>
      <c r="K406" s="91">
        <v>0</v>
      </c>
      <c r="L406" s="91">
        <v>0</v>
      </c>
      <c r="M406" s="92">
        <v>31</v>
      </c>
      <c r="N406" s="92">
        <v>900</v>
      </c>
      <c r="O406" s="92">
        <v>2</v>
      </c>
      <c r="P406" s="92">
        <f t="shared" si="114"/>
        <v>450</v>
      </c>
      <c r="Q406" s="92"/>
      <c r="R406" s="92">
        <v>450</v>
      </c>
      <c r="S406" s="92">
        <f t="shared" si="113"/>
        <v>0</v>
      </c>
      <c r="T406" s="102">
        <f t="shared" si="106"/>
        <v>5574.1935483870966</v>
      </c>
      <c r="U406" s="101">
        <f t="shared" si="107"/>
        <v>0</v>
      </c>
      <c r="V406" s="101">
        <f t="shared" si="108"/>
        <v>0</v>
      </c>
      <c r="W406" s="101">
        <v>0</v>
      </c>
      <c r="X406" s="55">
        <f t="shared" si="109"/>
        <v>46153</v>
      </c>
    </row>
    <row r="407" spans="1:24" hidden="1" x14ac:dyDescent="0.35">
      <c r="A407" s="46">
        <f t="shared" si="110"/>
        <v>46153</v>
      </c>
      <c r="B407" s="46"/>
      <c r="C407" s="260"/>
      <c r="D407" s="46"/>
      <c r="E407" s="47" t="s">
        <v>3503</v>
      </c>
      <c r="F407" s="48" t="s">
        <v>1362</v>
      </c>
      <c r="G407" s="48"/>
      <c r="H407" s="216" t="s">
        <v>1362</v>
      </c>
      <c r="I407" s="82" t="s">
        <v>4832</v>
      </c>
      <c r="J407" s="100"/>
      <c r="K407" s="91">
        <v>0</v>
      </c>
      <c r="L407" s="91">
        <v>0</v>
      </c>
      <c r="M407" s="92">
        <v>31</v>
      </c>
      <c r="N407" s="92">
        <v>20</v>
      </c>
      <c r="O407" s="92">
        <v>2</v>
      </c>
      <c r="P407" s="92">
        <f t="shared" si="114"/>
        <v>10</v>
      </c>
      <c r="Q407" s="92"/>
      <c r="R407" s="92">
        <v>10</v>
      </c>
      <c r="S407" s="92">
        <f t="shared" si="113"/>
        <v>0</v>
      </c>
      <c r="T407" s="102">
        <f t="shared" si="106"/>
        <v>5574.1935483870966</v>
      </c>
      <c r="U407" s="101">
        <f t="shared" si="107"/>
        <v>0</v>
      </c>
      <c r="V407" s="101">
        <f t="shared" si="108"/>
        <v>0</v>
      </c>
      <c r="W407" s="101">
        <v>0</v>
      </c>
      <c r="X407" s="55">
        <f t="shared" si="109"/>
        <v>46153</v>
      </c>
    </row>
    <row r="408" spans="1:24" hidden="1" x14ac:dyDescent="0.35">
      <c r="A408" s="46">
        <f t="shared" si="110"/>
        <v>46153</v>
      </c>
      <c r="B408" s="46"/>
      <c r="C408" s="260"/>
      <c r="D408" s="46"/>
      <c r="E408" s="47" t="s">
        <v>3503</v>
      </c>
      <c r="F408" s="48" t="s">
        <v>1359</v>
      </c>
      <c r="G408" s="48"/>
      <c r="H408" s="216" t="s">
        <v>4833</v>
      </c>
      <c r="I408" s="82" t="s">
        <v>4832</v>
      </c>
      <c r="J408" s="100"/>
      <c r="K408" s="91">
        <v>0</v>
      </c>
      <c r="L408" s="91">
        <v>0</v>
      </c>
      <c r="M408" s="92">
        <v>31</v>
      </c>
      <c r="N408" s="92">
        <v>100</v>
      </c>
      <c r="O408" s="92">
        <v>2</v>
      </c>
      <c r="P408" s="92">
        <f t="shared" si="114"/>
        <v>50</v>
      </c>
      <c r="Q408" s="92"/>
      <c r="R408" s="92">
        <v>50</v>
      </c>
      <c r="S408" s="92">
        <f t="shared" si="113"/>
        <v>0</v>
      </c>
      <c r="T408" s="102">
        <f t="shared" si="106"/>
        <v>5574.1935483870966</v>
      </c>
      <c r="U408" s="101">
        <f t="shared" si="107"/>
        <v>0</v>
      </c>
      <c r="V408" s="101">
        <f t="shared" si="108"/>
        <v>0</v>
      </c>
      <c r="W408" s="101">
        <v>0</v>
      </c>
      <c r="X408" s="55">
        <f t="shared" si="109"/>
        <v>46153</v>
      </c>
    </row>
    <row r="409" spans="1:24" ht="29" hidden="1" x14ac:dyDescent="0.35">
      <c r="A409" s="46">
        <f t="shared" si="110"/>
        <v>46153</v>
      </c>
      <c r="B409" s="46"/>
      <c r="C409" s="260"/>
      <c r="D409" s="46"/>
      <c r="E409" s="47" t="s">
        <v>4790</v>
      </c>
      <c r="F409" s="48" t="s">
        <v>4834</v>
      </c>
      <c r="G409" s="48"/>
      <c r="H409" s="59" t="s">
        <v>4835</v>
      </c>
      <c r="I409" s="390" t="s">
        <v>4820</v>
      </c>
      <c r="J409" s="100"/>
      <c r="K409" s="91">
        <v>0</v>
      </c>
      <c r="L409" s="91">
        <v>0</v>
      </c>
      <c r="M409" s="92">
        <v>100</v>
      </c>
      <c r="N409" s="92">
        <v>20</v>
      </c>
      <c r="O409" s="92">
        <v>1</v>
      </c>
      <c r="P409" s="92">
        <f t="shared" si="114"/>
        <v>20</v>
      </c>
      <c r="Q409" s="92"/>
      <c r="R409" s="92">
        <v>20</v>
      </c>
      <c r="S409" s="92">
        <f t="shared" si="113"/>
        <v>0</v>
      </c>
      <c r="T409" s="102">
        <f t="shared" si="106"/>
        <v>864</v>
      </c>
      <c r="U409" s="101">
        <f t="shared" si="107"/>
        <v>0</v>
      </c>
      <c r="V409" s="101">
        <f t="shared" si="108"/>
        <v>0</v>
      </c>
      <c r="W409" s="101">
        <v>0</v>
      </c>
      <c r="X409" s="55">
        <f t="shared" si="109"/>
        <v>46153</v>
      </c>
    </row>
    <row r="410" spans="1:24" ht="26.5" hidden="1" x14ac:dyDescent="0.35">
      <c r="A410" s="46">
        <f t="shared" si="110"/>
        <v>46153</v>
      </c>
      <c r="B410" s="46"/>
      <c r="C410" s="260"/>
      <c r="D410" s="46"/>
      <c r="E410" s="47" t="s">
        <v>4790</v>
      </c>
      <c r="F410" s="62" t="s">
        <v>4836</v>
      </c>
      <c r="G410" s="62"/>
      <c r="H410" s="49" t="s">
        <v>4837</v>
      </c>
      <c r="I410" s="69" t="s">
        <v>4838</v>
      </c>
      <c r="J410" s="100"/>
      <c r="K410" s="91">
        <v>0</v>
      </c>
      <c r="L410" s="91">
        <v>0</v>
      </c>
      <c r="M410" s="92">
        <v>35</v>
      </c>
      <c r="N410" s="92">
        <v>2500</v>
      </c>
      <c r="O410" s="92">
        <v>2</v>
      </c>
      <c r="P410" s="92">
        <v>1268</v>
      </c>
      <c r="Q410" s="92"/>
      <c r="R410" s="92">
        <v>1268</v>
      </c>
      <c r="S410" s="92">
        <f t="shared" si="113"/>
        <v>0</v>
      </c>
      <c r="T410" s="102">
        <f t="shared" si="106"/>
        <v>4937.1428571428569</v>
      </c>
      <c r="U410" s="101">
        <f t="shared" si="107"/>
        <v>0</v>
      </c>
      <c r="V410" s="101">
        <f t="shared" si="108"/>
        <v>0</v>
      </c>
      <c r="W410" s="101">
        <v>0</v>
      </c>
      <c r="X410" s="55">
        <f t="shared" si="109"/>
        <v>46153</v>
      </c>
    </row>
    <row r="411" spans="1:24" ht="26.5" hidden="1" x14ac:dyDescent="0.35">
      <c r="A411" s="46">
        <f t="shared" si="110"/>
        <v>46153</v>
      </c>
      <c r="B411" s="46"/>
      <c r="C411" s="260"/>
      <c r="D411" s="46"/>
      <c r="E411" s="47" t="s">
        <v>4790</v>
      </c>
      <c r="F411" s="48" t="s">
        <v>4839</v>
      </c>
      <c r="G411" s="48"/>
      <c r="H411" s="59" t="s">
        <v>4840</v>
      </c>
      <c r="I411" s="390" t="s">
        <v>4841</v>
      </c>
      <c r="J411" s="100" t="s">
        <v>140</v>
      </c>
      <c r="K411" s="91">
        <v>0</v>
      </c>
      <c r="L411" s="91">
        <v>0</v>
      </c>
      <c r="M411" s="92">
        <v>100</v>
      </c>
      <c r="N411" s="92">
        <v>3000</v>
      </c>
      <c r="O411" s="92">
        <v>1</v>
      </c>
      <c r="P411" s="92">
        <f t="shared" ref="P411:P474" si="115">N411/O411</f>
        <v>3000</v>
      </c>
      <c r="Q411" s="92"/>
      <c r="R411" s="92">
        <v>3000</v>
      </c>
      <c r="S411" s="92">
        <f t="shared" si="113"/>
        <v>0</v>
      </c>
      <c r="T411" s="102">
        <f t="shared" si="106"/>
        <v>864</v>
      </c>
      <c r="U411" s="101">
        <f t="shared" si="107"/>
        <v>0</v>
      </c>
      <c r="V411" s="101">
        <f t="shared" si="108"/>
        <v>0</v>
      </c>
      <c r="W411" s="101">
        <v>0</v>
      </c>
      <c r="X411" s="55">
        <f t="shared" si="109"/>
        <v>46153</v>
      </c>
    </row>
    <row r="412" spans="1:24" hidden="1" x14ac:dyDescent="0.35">
      <c r="A412" s="46">
        <f t="shared" si="110"/>
        <v>46153</v>
      </c>
      <c r="B412" s="46"/>
      <c r="C412" s="260"/>
      <c r="D412" s="46"/>
      <c r="E412" s="47" t="s">
        <v>3503</v>
      </c>
      <c r="F412" s="57" t="s">
        <v>4842</v>
      </c>
      <c r="G412" s="57"/>
      <c r="H412" s="49" t="s">
        <v>4843</v>
      </c>
      <c r="I412" s="69" t="s">
        <v>4844</v>
      </c>
      <c r="J412" s="100" t="s">
        <v>140</v>
      </c>
      <c r="K412" s="91">
        <v>0</v>
      </c>
      <c r="L412" s="91">
        <v>0</v>
      </c>
      <c r="M412" s="92">
        <v>25</v>
      </c>
      <c r="N412" s="92">
        <v>3000</v>
      </c>
      <c r="O412" s="92">
        <v>1</v>
      </c>
      <c r="P412" s="92">
        <f t="shared" si="115"/>
        <v>3000</v>
      </c>
      <c r="Q412" s="92"/>
      <c r="R412" s="102">
        <v>3000</v>
      </c>
      <c r="S412" s="92">
        <f t="shared" si="113"/>
        <v>0</v>
      </c>
      <c r="T412" s="102">
        <f t="shared" si="106"/>
        <v>3456</v>
      </c>
      <c r="U412" s="101">
        <f t="shared" si="107"/>
        <v>0</v>
      </c>
      <c r="V412" s="101">
        <f t="shared" si="108"/>
        <v>0</v>
      </c>
      <c r="W412" s="101">
        <v>0</v>
      </c>
      <c r="X412" s="55">
        <f t="shared" si="109"/>
        <v>46153</v>
      </c>
    </row>
    <row r="413" spans="1:24" hidden="1" x14ac:dyDescent="0.35">
      <c r="A413" s="46">
        <f t="shared" si="110"/>
        <v>46153</v>
      </c>
      <c r="B413" s="46"/>
      <c r="C413" s="260"/>
      <c r="D413" s="46"/>
      <c r="E413" s="47" t="s">
        <v>4395</v>
      </c>
      <c r="F413" s="57" t="s">
        <v>4842</v>
      </c>
      <c r="G413" s="57"/>
      <c r="H413" s="49" t="s">
        <v>4843</v>
      </c>
      <c r="I413" s="69" t="s">
        <v>4844</v>
      </c>
      <c r="J413" s="100" t="s">
        <v>140</v>
      </c>
      <c r="K413" s="91">
        <v>0</v>
      </c>
      <c r="L413" s="91">
        <v>0</v>
      </c>
      <c r="M413" s="92">
        <v>25</v>
      </c>
      <c r="N413" s="92">
        <v>7000</v>
      </c>
      <c r="O413" s="92">
        <v>1</v>
      </c>
      <c r="P413" s="92">
        <f t="shared" si="115"/>
        <v>7000</v>
      </c>
      <c r="Q413" s="92"/>
      <c r="R413" s="102">
        <v>7000</v>
      </c>
      <c r="S413" s="92">
        <f t="shared" si="113"/>
        <v>0</v>
      </c>
      <c r="T413" s="102">
        <f t="shared" si="106"/>
        <v>3456</v>
      </c>
      <c r="U413" s="101">
        <f t="shared" si="107"/>
        <v>0</v>
      </c>
      <c r="V413" s="101">
        <f t="shared" si="108"/>
        <v>0</v>
      </c>
      <c r="W413" s="101">
        <v>0</v>
      </c>
      <c r="X413" s="55">
        <f t="shared" si="109"/>
        <v>46153</v>
      </c>
    </row>
    <row r="414" spans="1:24" hidden="1" x14ac:dyDescent="0.35">
      <c r="A414" s="46">
        <f t="shared" si="110"/>
        <v>46153</v>
      </c>
      <c r="B414" s="46"/>
      <c r="C414" s="260"/>
      <c r="D414" s="46"/>
      <c r="E414" s="47" t="s">
        <v>4845</v>
      </c>
      <c r="F414" s="62" t="s">
        <v>4842</v>
      </c>
      <c r="G414" s="62"/>
      <c r="H414" s="49" t="s">
        <v>4846</v>
      </c>
      <c r="I414" s="316" t="s">
        <v>4407</v>
      </c>
      <c r="J414" s="100" t="s">
        <v>140</v>
      </c>
      <c r="K414" s="91">
        <v>0</v>
      </c>
      <c r="L414" s="91">
        <v>0</v>
      </c>
      <c r="M414" s="92">
        <v>45</v>
      </c>
      <c r="N414" s="92">
        <v>7000</v>
      </c>
      <c r="O414" s="92">
        <v>1</v>
      </c>
      <c r="P414" s="92">
        <f t="shared" si="115"/>
        <v>7000</v>
      </c>
      <c r="Q414" s="92"/>
      <c r="R414" s="92">
        <v>7000</v>
      </c>
      <c r="S414" s="92">
        <f t="shared" si="113"/>
        <v>0</v>
      </c>
      <c r="T414" s="102">
        <f t="shared" si="106"/>
        <v>1920</v>
      </c>
      <c r="U414" s="101">
        <f t="shared" si="107"/>
        <v>0</v>
      </c>
      <c r="V414" s="101">
        <f t="shared" si="108"/>
        <v>0</v>
      </c>
      <c r="W414" s="101">
        <v>0</v>
      </c>
      <c r="X414" s="55">
        <f t="shared" si="109"/>
        <v>46153</v>
      </c>
    </row>
    <row r="415" spans="1:24" hidden="1" x14ac:dyDescent="0.35">
      <c r="A415" s="46">
        <f t="shared" si="110"/>
        <v>46153</v>
      </c>
      <c r="B415" s="46"/>
      <c r="C415" s="260"/>
      <c r="D415" s="46"/>
      <c r="E415" s="47" t="s">
        <v>3503</v>
      </c>
      <c r="F415" s="48" t="s">
        <v>4847</v>
      </c>
      <c r="G415" s="48"/>
      <c r="H415" s="49" t="s">
        <v>4848</v>
      </c>
      <c r="I415" s="82" t="s">
        <v>4450</v>
      </c>
      <c r="J415" s="100" t="s">
        <v>140</v>
      </c>
      <c r="K415" s="91">
        <v>0</v>
      </c>
      <c r="L415" s="91">
        <v>0</v>
      </c>
      <c r="M415" s="92">
        <v>40</v>
      </c>
      <c r="N415" s="92">
        <v>10000</v>
      </c>
      <c r="O415" s="92">
        <v>3</v>
      </c>
      <c r="P415" s="92">
        <f t="shared" si="115"/>
        <v>3333.3333333333335</v>
      </c>
      <c r="Q415" s="92"/>
      <c r="R415" s="102">
        <v>3333</v>
      </c>
      <c r="S415" s="92">
        <f t="shared" si="113"/>
        <v>0.33333333333348492</v>
      </c>
      <c r="T415" s="102">
        <f t="shared" si="106"/>
        <v>6480</v>
      </c>
      <c r="U415" s="101">
        <f t="shared" si="107"/>
        <v>3.7037037037053878E-3</v>
      </c>
      <c r="V415" s="101">
        <f t="shared" si="108"/>
        <v>1.5432098765439116E-4</v>
      </c>
      <c r="W415" s="101">
        <v>0</v>
      </c>
      <c r="X415" s="55">
        <f t="shared" si="109"/>
        <v>46153.000154320987</v>
      </c>
    </row>
    <row r="416" spans="1:24" ht="29" hidden="1" x14ac:dyDescent="0.35">
      <c r="A416" s="46">
        <f t="shared" si="110"/>
        <v>46153.000154320987</v>
      </c>
      <c r="B416" s="46"/>
      <c r="C416" s="260"/>
      <c r="D416" s="46"/>
      <c r="E416" s="47" t="s">
        <v>3503</v>
      </c>
      <c r="F416" s="48" t="s">
        <v>4849</v>
      </c>
      <c r="G416" s="48"/>
      <c r="H416" s="59" t="s">
        <v>4850</v>
      </c>
      <c r="I416" s="390" t="s">
        <v>4851</v>
      </c>
      <c r="J416" s="100" t="s">
        <v>140</v>
      </c>
      <c r="K416" s="91">
        <v>0</v>
      </c>
      <c r="L416" s="91">
        <v>0</v>
      </c>
      <c r="M416" s="92">
        <v>100</v>
      </c>
      <c r="N416" s="92">
        <v>2000</v>
      </c>
      <c r="O416" s="92">
        <v>1</v>
      </c>
      <c r="P416" s="92">
        <f t="shared" si="115"/>
        <v>2000</v>
      </c>
      <c r="Q416" s="92"/>
      <c r="R416" s="92">
        <v>2000</v>
      </c>
      <c r="S416" s="92">
        <f t="shared" si="113"/>
        <v>0</v>
      </c>
      <c r="T416" s="102">
        <f t="shared" si="106"/>
        <v>864</v>
      </c>
      <c r="U416" s="101">
        <f t="shared" si="107"/>
        <v>0</v>
      </c>
      <c r="V416" s="101">
        <f t="shared" si="108"/>
        <v>0</v>
      </c>
      <c r="W416" s="101">
        <v>0</v>
      </c>
      <c r="X416" s="55">
        <f t="shared" si="109"/>
        <v>46153.000154320987</v>
      </c>
    </row>
    <row r="417" spans="1:24" ht="87" hidden="1" x14ac:dyDescent="0.35">
      <c r="A417" s="46">
        <f t="shared" si="110"/>
        <v>46153.000154320987</v>
      </c>
      <c r="B417" s="46"/>
      <c r="C417" s="260"/>
      <c r="D417" s="46"/>
      <c r="E417" s="419" t="s">
        <v>3503</v>
      </c>
      <c r="F417" s="325" t="s">
        <v>4852</v>
      </c>
      <c r="G417" s="325"/>
      <c r="H417" s="871" t="s">
        <v>4853</v>
      </c>
      <c r="I417" s="872" t="s">
        <v>4851</v>
      </c>
      <c r="J417" s="170" t="s">
        <v>140</v>
      </c>
      <c r="K417" s="91">
        <v>0</v>
      </c>
      <c r="L417" s="91">
        <v>0</v>
      </c>
      <c r="M417" s="873">
        <v>100</v>
      </c>
      <c r="N417" s="873">
        <v>3000</v>
      </c>
      <c r="O417" s="873">
        <v>1</v>
      </c>
      <c r="P417" s="873">
        <f t="shared" si="115"/>
        <v>3000</v>
      </c>
      <c r="Q417" s="873"/>
      <c r="R417" s="873">
        <v>3000</v>
      </c>
      <c r="S417" s="873">
        <f t="shared" si="113"/>
        <v>0</v>
      </c>
      <c r="T417" s="337">
        <f t="shared" si="106"/>
        <v>864</v>
      </c>
      <c r="U417" s="339">
        <f t="shared" si="107"/>
        <v>0</v>
      </c>
      <c r="V417" s="339">
        <f t="shared" si="108"/>
        <v>0</v>
      </c>
      <c r="W417" s="339">
        <v>0</v>
      </c>
      <c r="X417" s="55">
        <f t="shared" si="109"/>
        <v>46153.000154320987</v>
      </c>
    </row>
    <row r="418" spans="1:24" ht="29" hidden="1" x14ac:dyDescent="0.35">
      <c r="A418" s="46">
        <f t="shared" si="110"/>
        <v>46153.000154320987</v>
      </c>
      <c r="B418" s="46"/>
      <c r="C418" s="260"/>
      <c r="D418" s="46"/>
      <c r="E418" s="419" t="s">
        <v>3503</v>
      </c>
      <c r="F418" s="48" t="s">
        <v>652</v>
      </c>
      <c r="G418" s="48"/>
      <c r="H418" s="49" t="s">
        <v>4854</v>
      </c>
      <c r="I418" s="69" t="s">
        <v>4838</v>
      </c>
      <c r="J418" s="100" t="s">
        <v>140</v>
      </c>
      <c r="K418" s="91">
        <v>0</v>
      </c>
      <c r="L418" s="91">
        <v>0</v>
      </c>
      <c r="M418" s="92">
        <v>35</v>
      </c>
      <c r="N418" s="92">
        <v>1000</v>
      </c>
      <c r="O418" s="92">
        <v>2</v>
      </c>
      <c r="P418" s="92">
        <f t="shared" si="115"/>
        <v>500</v>
      </c>
      <c r="Q418" s="92"/>
      <c r="R418" s="92">
        <v>500</v>
      </c>
      <c r="S418" s="92">
        <f t="shared" si="113"/>
        <v>0</v>
      </c>
      <c r="T418" s="102">
        <f t="shared" si="106"/>
        <v>4937.1428571428569</v>
      </c>
      <c r="U418" s="101">
        <f t="shared" si="107"/>
        <v>0</v>
      </c>
      <c r="V418" s="101">
        <f t="shared" si="108"/>
        <v>0</v>
      </c>
      <c r="W418" s="101">
        <v>0</v>
      </c>
      <c r="X418" s="55">
        <f t="shared" si="109"/>
        <v>46153.000154320987</v>
      </c>
    </row>
    <row r="419" spans="1:24" ht="29" hidden="1" x14ac:dyDescent="0.35">
      <c r="A419" s="46">
        <f t="shared" si="110"/>
        <v>46153.000154320987</v>
      </c>
      <c r="B419" s="46"/>
      <c r="C419" s="260"/>
      <c r="D419" s="46"/>
      <c r="E419" s="419" t="s">
        <v>3503</v>
      </c>
      <c r="F419" s="48" t="s">
        <v>652</v>
      </c>
      <c r="G419" s="48"/>
      <c r="H419" s="49" t="s">
        <v>4855</v>
      </c>
      <c r="I419" s="69" t="s">
        <v>4784</v>
      </c>
      <c r="J419" s="100" t="s">
        <v>140</v>
      </c>
      <c r="K419" s="91">
        <v>0</v>
      </c>
      <c r="L419" s="91">
        <v>0</v>
      </c>
      <c r="M419" s="92">
        <v>50</v>
      </c>
      <c r="N419" s="92">
        <v>2000</v>
      </c>
      <c r="O419" s="92">
        <v>1</v>
      </c>
      <c r="P419" s="92">
        <f t="shared" si="115"/>
        <v>2000</v>
      </c>
      <c r="Q419" s="92"/>
      <c r="R419" s="92">
        <v>2000</v>
      </c>
      <c r="S419" s="92">
        <f t="shared" si="113"/>
        <v>0</v>
      </c>
      <c r="T419" s="102">
        <f t="shared" si="106"/>
        <v>1728</v>
      </c>
      <c r="U419" s="101">
        <f t="shared" si="107"/>
        <v>0</v>
      </c>
      <c r="V419" s="101">
        <f t="shared" si="108"/>
        <v>0</v>
      </c>
      <c r="W419" s="101">
        <v>0</v>
      </c>
      <c r="X419" s="55">
        <f t="shared" si="109"/>
        <v>46153.000154320987</v>
      </c>
    </row>
    <row r="420" spans="1:24" ht="29" hidden="1" x14ac:dyDescent="0.35">
      <c r="A420" s="46">
        <f t="shared" si="110"/>
        <v>46153.000154320987</v>
      </c>
      <c r="B420" s="46"/>
      <c r="C420" s="260"/>
      <c r="D420" s="46"/>
      <c r="E420" s="419" t="s">
        <v>3503</v>
      </c>
      <c r="F420" s="48" t="s">
        <v>1058</v>
      </c>
      <c r="G420" s="48"/>
      <c r="H420" s="49" t="s">
        <v>4856</v>
      </c>
      <c r="I420" s="82" t="s">
        <v>4808</v>
      </c>
      <c r="J420" s="100" t="s">
        <v>140</v>
      </c>
      <c r="K420" s="91">
        <v>0</v>
      </c>
      <c r="L420" s="91">
        <v>0</v>
      </c>
      <c r="M420" s="92">
        <v>40</v>
      </c>
      <c r="N420" s="92">
        <v>1090</v>
      </c>
      <c r="O420" s="92">
        <v>1</v>
      </c>
      <c r="P420" s="92">
        <f t="shared" si="115"/>
        <v>1090</v>
      </c>
      <c r="Q420" s="92"/>
      <c r="R420" s="92">
        <v>1090</v>
      </c>
      <c r="S420" s="92">
        <f t="shared" si="113"/>
        <v>0</v>
      </c>
      <c r="T420" s="102">
        <f t="shared" si="106"/>
        <v>2160</v>
      </c>
      <c r="U420" s="101">
        <f t="shared" si="107"/>
        <v>0</v>
      </c>
      <c r="V420" s="101">
        <f t="shared" si="108"/>
        <v>0</v>
      </c>
      <c r="W420" s="101">
        <v>0</v>
      </c>
      <c r="X420" s="55">
        <f t="shared" si="109"/>
        <v>46153.000154320987</v>
      </c>
    </row>
    <row r="421" spans="1:24" hidden="1" x14ac:dyDescent="0.35">
      <c r="A421" s="46">
        <f t="shared" si="110"/>
        <v>46153.000154320987</v>
      </c>
      <c r="B421" s="46"/>
      <c r="C421" s="260"/>
      <c r="D421" s="46"/>
      <c r="E421" s="419" t="s">
        <v>3503</v>
      </c>
      <c r="F421" s="82" t="s">
        <v>4857</v>
      </c>
      <c r="G421" s="82"/>
      <c r="H421" s="49" t="s">
        <v>4858</v>
      </c>
      <c r="I421" s="82" t="s">
        <v>4698</v>
      </c>
      <c r="J421" s="100" t="s">
        <v>140</v>
      </c>
      <c r="K421" s="91">
        <v>0</v>
      </c>
      <c r="L421" s="91">
        <v>0</v>
      </c>
      <c r="M421" s="92">
        <v>40</v>
      </c>
      <c r="N421" s="92">
        <v>15000</v>
      </c>
      <c r="O421" s="92">
        <v>1</v>
      </c>
      <c r="P421" s="92">
        <f t="shared" si="115"/>
        <v>15000</v>
      </c>
      <c r="Q421" s="92"/>
      <c r="R421" s="92">
        <v>15000</v>
      </c>
      <c r="S421" s="92">
        <f t="shared" si="113"/>
        <v>0</v>
      </c>
      <c r="T421" s="102">
        <f t="shared" si="106"/>
        <v>2160</v>
      </c>
      <c r="U421" s="101">
        <f t="shared" si="107"/>
        <v>0</v>
      </c>
      <c r="V421" s="101">
        <f t="shared" si="108"/>
        <v>0</v>
      </c>
      <c r="W421" s="101">
        <v>0</v>
      </c>
      <c r="X421" s="55">
        <f t="shared" si="109"/>
        <v>46153.000154320987</v>
      </c>
    </row>
    <row r="422" spans="1:24" ht="26.5" hidden="1" x14ac:dyDescent="0.35">
      <c r="A422" s="46">
        <f t="shared" si="110"/>
        <v>46153.000154320987</v>
      </c>
      <c r="B422" s="46"/>
      <c r="C422" s="260"/>
      <c r="D422" s="46"/>
      <c r="E422" s="47" t="s">
        <v>4384</v>
      </c>
      <c r="F422" s="97" t="s">
        <v>1084</v>
      </c>
      <c r="G422" s="97"/>
      <c r="H422" s="49" t="s">
        <v>4859</v>
      </c>
      <c r="I422" s="82" t="s">
        <v>4394</v>
      </c>
      <c r="J422" s="491"/>
      <c r="K422" s="91">
        <v>0</v>
      </c>
      <c r="L422" s="91">
        <v>0</v>
      </c>
      <c r="M422" s="92">
        <v>70</v>
      </c>
      <c r="N422" s="92">
        <v>8700</v>
      </c>
      <c r="O422" s="92">
        <v>2</v>
      </c>
      <c r="P422" s="92">
        <f t="shared" si="115"/>
        <v>4350</v>
      </c>
      <c r="Q422" s="92"/>
      <c r="R422" s="92">
        <v>4350</v>
      </c>
      <c r="S422" s="92">
        <f t="shared" si="113"/>
        <v>0</v>
      </c>
      <c r="T422" s="102">
        <f t="shared" si="106"/>
        <v>2468.5714285714284</v>
      </c>
      <c r="U422" s="101">
        <f t="shared" si="107"/>
        <v>0</v>
      </c>
      <c r="V422" s="101">
        <f t="shared" si="108"/>
        <v>0</v>
      </c>
      <c r="W422" s="101">
        <v>0</v>
      </c>
      <c r="X422" s="55">
        <f t="shared" si="109"/>
        <v>46153.000154320987</v>
      </c>
    </row>
    <row r="423" spans="1:24" ht="26.5" hidden="1" x14ac:dyDescent="0.35">
      <c r="A423" s="46">
        <f t="shared" si="110"/>
        <v>46153.000154320987</v>
      </c>
      <c r="B423" s="46"/>
      <c r="C423" s="260"/>
      <c r="D423" s="46"/>
      <c r="E423" s="47" t="s">
        <v>4384</v>
      </c>
      <c r="F423" s="97" t="s">
        <v>1084</v>
      </c>
      <c r="G423" s="97"/>
      <c r="H423" s="59" t="s">
        <v>4860</v>
      </c>
      <c r="I423" s="82" t="s">
        <v>3528</v>
      </c>
      <c r="J423" s="100" t="s">
        <v>140</v>
      </c>
      <c r="K423" s="91">
        <v>0</v>
      </c>
      <c r="L423" s="91">
        <v>0</v>
      </c>
      <c r="M423" s="92">
        <v>45</v>
      </c>
      <c r="N423" s="92">
        <v>5000</v>
      </c>
      <c r="O423" s="92">
        <v>1</v>
      </c>
      <c r="P423" s="92">
        <f t="shared" si="115"/>
        <v>5000</v>
      </c>
      <c r="Q423" s="92"/>
      <c r="R423" s="92">
        <v>5000</v>
      </c>
      <c r="S423" s="92">
        <f t="shared" si="113"/>
        <v>0</v>
      </c>
      <c r="T423" s="102">
        <f t="shared" si="106"/>
        <v>1920</v>
      </c>
      <c r="U423" s="101">
        <f t="shared" si="107"/>
        <v>0</v>
      </c>
      <c r="V423" s="101">
        <f t="shared" si="108"/>
        <v>0</v>
      </c>
      <c r="W423" s="101">
        <v>0</v>
      </c>
      <c r="X423" s="55">
        <f t="shared" si="109"/>
        <v>46153.000154320987</v>
      </c>
    </row>
    <row r="424" spans="1:24" ht="26.5" hidden="1" x14ac:dyDescent="0.35">
      <c r="A424" s="46">
        <f t="shared" si="110"/>
        <v>46153.000154320987</v>
      </c>
      <c r="B424" s="46"/>
      <c r="C424" s="260"/>
      <c r="D424" s="46"/>
      <c r="E424" s="47" t="s">
        <v>4384</v>
      </c>
      <c r="F424" s="97" t="s">
        <v>1084</v>
      </c>
      <c r="G424" s="97"/>
      <c r="H424" s="59" t="s">
        <v>4861</v>
      </c>
      <c r="I424" s="82" t="s">
        <v>3528</v>
      </c>
      <c r="J424" s="100" t="s">
        <v>140</v>
      </c>
      <c r="K424" s="91">
        <v>0</v>
      </c>
      <c r="L424" s="91">
        <v>0</v>
      </c>
      <c r="M424" s="92">
        <v>45</v>
      </c>
      <c r="N424" s="92">
        <v>8000</v>
      </c>
      <c r="O424" s="92">
        <v>1</v>
      </c>
      <c r="P424" s="92">
        <f t="shared" si="115"/>
        <v>8000</v>
      </c>
      <c r="Q424" s="92"/>
      <c r="R424" s="92">
        <v>8000</v>
      </c>
      <c r="S424" s="92">
        <f t="shared" si="113"/>
        <v>0</v>
      </c>
      <c r="T424" s="102">
        <f t="shared" si="106"/>
        <v>1920</v>
      </c>
      <c r="U424" s="101">
        <f t="shared" si="107"/>
        <v>0</v>
      </c>
      <c r="V424" s="101">
        <f t="shared" si="108"/>
        <v>0</v>
      </c>
      <c r="W424" s="101">
        <v>0</v>
      </c>
      <c r="X424" s="55">
        <f t="shared" si="109"/>
        <v>46153.000154320987</v>
      </c>
    </row>
    <row r="425" spans="1:24" ht="29" hidden="1" x14ac:dyDescent="0.35">
      <c r="A425" s="46">
        <f t="shared" si="110"/>
        <v>46153.000154320987</v>
      </c>
      <c r="B425" s="46"/>
      <c r="C425" s="260"/>
      <c r="D425" s="46"/>
      <c r="E425" s="47" t="s">
        <v>4790</v>
      </c>
      <c r="F425" s="57" t="s">
        <v>189</v>
      </c>
      <c r="G425" s="57"/>
      <c r="H425" s="49" t="s">
        <v>4862</v>
      </c>
      <c r="I425" s="71" t="s">
        <v>4863</v>
      </c>
      <c r="J425" s="100" t="s">
        <v>140</v>
      </c>
      <c r="K425" s="91">
        <v>0</v>
      </c>
      <c r="L425" s="91">
        <v>0</v>
      </c>
      <c r="M425" s="92">
        <v>40</v>
      </c>
      <c r="N425" s="92">
        <v>400</v>
      </c>
      <c r="O425" s="92">
        <v>1</v>
      </c>
      <c r="P425" s="92">
        <f t="shared" si="115"/>
        <v>400</v>
      </c>
      <c r="Q425" s="92"/>
      <c r="R425" s="102">
        <v>400</v>
      </c>
      <c r="S425" s="92">
        <f t="shared" si="113"/>
        <v>0</v>
      </c>
      <c r="T425" s="102">
        <f t="shared" si="106"/>
        <v>2160</v>
      </c>
      <c r="U425" s="101">
        <f t="shared" si="107"/>
        <v>0</v>
      </c>
      <c r="V425" s="101">
        <f t="shared" si="108"/>
        <v>0</v>
      </c>
      <c r="W425" s="101">
        <v>0</v>
      </c>
      <c r="X425" s="55">
        <f t="shared" si="109"/>
        <v>46153.000154320987</v>
      </c>
    </row>
    <row r="426" spans="1:24" hidden="1" x14ac:dyDescent="0.35">
      <c r="A426" s="46">
        <f t="shared" si="110"/>
        <v>46153.000154320987</v>
      </c>
      <c r="B426" s="46"/>
      <c r="C426" s="260"/>
      <c r="D426" s="46"/>
      <c r="E426" s="296" t="s">
        <v>4790</v>
      </c>
      <c r="F426" s="577" t="s">
        <v>14</v>
      </c>
      <c r="G426" s="577"/>
      <c r="H426" s="398" t="s">
        <v>14</v>
      </c>
      <c r="I426" s="683" t="s">
        <v>4864</v>
      </c>
      <c r="J426" s="300" t="s">
        <v>140</v>
      </c>
      <c r="K426" s="352">
        <v>0</v>
      </c>
      <c r="L426" s="352">
        <v>0</v>
      </c>
      <c r="M426" s="353">
        <v>30</v>
      </c>
      <c r="N426" s="353">
        <v>20</v>
      </c>
      <c r="O426" s="353">
        <v>1</v>
      </c>
      <c r="P426" s="353">
        <f t="shared" si="115"/>
        <v>20</v>
      </c>
      <c r="Q426" s="353"/>
      <c r="R426" s="302"/>
      <c r="S426" s="353">
        <f t="shared" si="113"/>
        <v>20</v>
      </c>
      <c r="T426" s="302">
        <f t="shared" si="106"/>
        <v>2880</v>
      </c>
      <c r="U426" s="301">
        <f t="shared" si="107"/>
        <v>0.16666666666666666</v>
      </c>
      <c r="V426" s="301">
        <f t="shared" si="108"/>
        <v>6.9444444444444441E-3</v>
      </c>
      <c r="W426" s="301">
        <v>0</v>
      </c>
      <c r="X426" s="55">
        <f t="shared" si="109"/>
        <v>46153.007098765433</v>
      </c>
    </row>
    <row r="427" spans="1:24" hidden="1" x14ac:dyDescent="0.35">
      <c r="A427" s="46">
        <f t="shared" si="110"/>
        <v>46153.007098765433</v>
      </c>
      <c r="B427" s="46"/>
      <c r="C427" s="260"/>
      <c r="D427" s="46"/>
      <c r="E427" s="47" t="s">
        <v>4758</v>
      </c>
      <c r="F427" s="57" t="s">
        <v>4865</v>
      </c>
      <c r="G427" s="57"/>
      <c r="H427" s="49" t="s">
        <v>4866</v>
      </c>
      <c r="I427" s="97" t="s">
        <v>4867</v>
      </c>
      <c r="J427" s="100" t="s">
        <v>140</v>
      </c>
      <c r="K427" s="91">
        <v>0</v>
      </c>
      <c r="L427" s="91">
        <v>0</v>
      </c>
      <c r="M427" s="92">
        <v>50</v>
      </c>
      <c r="N427" s="92">
        <v>2500</v>
      </c>
      <c r="O427" s="92">
        <v>1</v>
      </c>
      <c r="P427" s="92">
        <f t="shared" si="115"/>
        <v>2500</v>
      </c>
      <c r="Q427" s="92"/>
      <c r="R427" s="102">
        <v>2500</v>
      </c>
      <c r="S427" s="92">
        <f t="shared" si="113"/>
        <v>0</v>
      </c>
      <c r="T427" s="102">
        <f t="shared" si="106"/>
        <v>1728</v>
      </c>
      <c r="U427" s="101">
        <f t="shared" si="107"/>
        <v>0</v>
      </c>
      <c r="V427" s="101">
        <f t="shared" si="108"/>
        <v>0</v>
      </c>
      <c r="W427" s="101">
        <v>0</v>
      </c>
      <c r="X427" s="55">
        <f t="shared" si="109"/>
        <v>46153.007098765433</v>
      </c>
    </row>
    <row r="428" spans="1:24" hidden="1" x14ac:dyDescent="0.35">
      <c r="A428" s="46">
        <f t="shared" si="110"/>
        <v>46153.007098765433</v>
      </c>
      <c r="B428" s="46"/>
      <c r="C428" s="260"/>
      <c r="D428" s="46"/>
      <c r="E428" s="296" t="s">
        <v>4384</v>
      </c>
      <c r="F428" s="577" t="s">
        <v>14</v>
      </c>
      <c r="G428" s="577"/>
      <c r="H428" s="398"/>
      <c r="I428" s="297" t="s">
        <v>4868</v>
      </c>
      <c r="J428" s="300" t="s">
        <v>140</v>
      </c>
      <c r="K428" s="352">
        <v>0</v>
      </c>
      <c r="L428" s="352">
        <v>0</v>
      </c>
      <c r="M428" s="353">
        <v>30</v>
      </c>
      <c r="N428" s="353">
        <v>20</v>
      </c>
      <c r="O428" s="353">
        <v>1</v>
      </c>
      <c r="P428" s="199">
        <f t="shared" si="115"/>
        <v>20</v>
      </c>
      <c r="Q428" s="199"/>
      <c r="R428" s="302"/>
      <c r="S428" s="353">
        <f t="shared" si="113"/>
        <v>20</v>
      </c>
      <c r="T428" s="302">
        <f t="shared" si="106"/>
        <v>2880</v>
      </c>
      <c r="U428" s="301">
        <f t="shared" si="107"/>
        <v>0.16666666666666666</v>
      </c>
      <c r="V428" s="301">
        <f t="shared" si="108"/>
        <v>6.9444444444444441E-3</v>
      </c>
      <c r="W428" s="301">
        <v>0</v>
      </c>
      <c r="X428" s="55">
        <f t="shared" si="109"/>
        <v>46153.014043209878</v>
      </c>
    </row>
    <row r="429" spans="1:24" ht="29" hidden="1" x14ac:dyDescent="0.35">
      <c r="A429" s="46">
        <f t="shared" si="110"/>
        <v>46153.014043209878</v>
      </c>
      <c r="B429" s="46"/>
      <c r="C429" s="260"/>
      <c r="D429" s="46"/>
      <c r="E429" s="47" t="s">
        <v>3503</v>
      </c>
      <c r="F429" s="48" t="s">
        <v>898</v>
      </c>
      <c r="G429" s="48"/>
      <c r="H429" s="49" t="s">
        <v>4869</v>
      </c>
      <c r="I429" s="82" t="s">
        <v>3491</v>
      </c>
      <c r="J429" s="100"/>
      <c r="K429" s="91">
        <v>0</v>
      </c>
      <c r="L429" s="91">
        <v>0</v>
      </c>
      <c r="M429" s="92">
        <v>110</v>
      </c>
      <c r="N429" s="92">
        <v>20000</v>
      </c>
      <c r="O429" s="92">
        <v>4</v>
      </c>
      <c r="P429" s="92">
        <f t="shared" si="115"/>
        <v>5000</v>
      </c>
      <c r="Q429" s="92"/>
      <c r="R429" s="92">
        <v>5000</v>
      </c>
      <c r="S429" s="92">
        <f t="shared" si="113"/>
        <v>0</v>
      </c>
      <c r="T429" s="102">
        <f t="shared" si="106"/>
        <v>3141.818181818182</v>
      </c>
      <c r="U429" s="101">
        <f t="shared" si="107"/>
        <v>0</v>
      </c>
      <c r="V429" s="101">
        <f t="shared" si="108"/>
        <v>0</v>
      </c>
      <c r="W429" s="101">
        <v>0</v>
      </c>
      <c r="X429" s="55">
        <f t="shared" si="109"/>
        <v>46153.014043209878</v>
      </c>
    </row>
    <row r="430" spans="1:24" hidden="1" x14ac:dyDescent="0.35">
      <c r="A430" s="46">
        <f t="shared" si="110"/>
        <v>46153.014043209878</v>
      </c>
      <c r="B430" s="46"/>
      <c r="C430" s="260"/>
      <c r="D430" s="46"/>
      <c r="E430" s="47" t="s">
        <v>3503</v>
      </c>
      <c r="F430" s="48" t="s">
        <v>4870</v>
      </c>
      <c r="G430" s="48"/>
      <c r="H430" s="66">
        <v>10152</v>
      </c>
      <c r="I430" s="82" t="s">
        <v>4871</v>
      </c>
      <c r="J430" s="100" t="s">
        <v>140</v>
      </c>
      <c r="K430" s="91">
        <v>0</v>
      </c>
      <c r="L430" s="91">
        <v>0</v>
      </c>
      <c r="M430" s="595">
        <v>43</v>
      </c>
      <c r="N430" s="92">
        <v>1000</v>
      </c>
      <c r="O430" s="92">
        <v>1</v>
      </c>
      <c r="P430" s="92">
        <f t="shared" si="115"/>
        <v>1000</v>
      </c>
      <c r="Q430" s="92"/>
      <c r="R430" s="102">
        <v>1000</v>
      </c>
      <c r="S430" s="92">
        <f t="shared" si="113"/>
        <v>0</v>
      </c>
      <c r="T430" s="102">
        <f t="shared" si="106"/>
        <v>2009.3023255813955</v>
      </c>
      <c r="U430" s="101">
        <f t="shared" si="107"/>
        <v>0</v>
      </c>
      <c r="V430" s="101">
        <f t="shared" si="108"/>
        <v>0</v>
      </c>
      <c r="W430" s="101">
        <v>0</v>
      </c>
      <c r="X430" s="55">
        <f t="shared" si="109"/>
        <v>46153.014043209878</v>
      </c>
    </row>
    <row r="431" spans="1:24" hidden="1" x14ac:dyDescent="0.35">
      <c r="A431" s="46">
        <f t="shared" si="110"/>
        <v>46153.014043209878</v>
      </c>
      <c r="B431" s="46"/>
      <c r="C431" s="260"/>
      <c r="D431" s="46"/>
      <c r="E431" s="47" t="s">
        <v>3503</v>
      </c>
      <c r="F431" s="48" t="s">
        <v>4870</v>
      </c>
      <c r="G431" s="48"/>
      <c r="H431" s="66">
        <v>10153</v>
      </c>
      <c r="I431" s="82" t="s">
        <v>4872</v>
      </c>
      <c r="J431" s="100" t="s">
        <v>140</v>
      </c>
      <c r="K431" s="91">
        <v>0</v>
      </c>
      <c r="L431" s="91">
        <v>0</v>
      </c>
      <c r="M431" s="595">
        <v>43</v>
      </c>
      <c r="N431" s="92">
        <v>1000</v>
      </c>
      <c r="O431" s="92">
        <v>1</v>
      </c>
      <c r="P431" s="92">
        <f t="shared" si="115"/>
        <v>1000</v>
      </c>
      <c r="Q431" s="92"/>
      <c r="R431" s="102">
        <v>1000</v>
      </c>
      <c r="S431" s="92">
        <f t="shared" si="113"/>
        <v>0</v>
      </c>
      <c r="T431" s="102">
        <f t="shared" si="106"/>
        <v>2009.3023255813955</v>
      </c>
      <c r="U431" s="101">
        <f t="shared" si="107"/>
        <v>0</v>
      </c>
      <c r="V431" s="101">
        <f t="shared" si="108"/>
        <v>0</v>
      </c>
      <c r="W431" s="101">
        <v>0</v>
      </c>
      <c r="X431" s="55">
        <f t="shared" si="109"/>
        <v>46153.014043209878</v>
      </c>
    </row>
    <row r="432" spans="1:24" ht="39.5" hidden="1" x14ac:dyDescent="0.35">
      <c r="A432" s="46">
        <f t="shared" si="110"/>
        <v>46153.014043209878</v>
      </c>
      <c r="B432" s="46"/>
      <c r="C432" s="260"/>
      <c r="D432" s="46"/>
      <c r="E432" s="47" t="s">
        <v>3503</v>
      </c>
      <c r="F432" s="57" t="s">
        <v>202</v>
      </c>
      <c r="G432" s="57"/>
      <c r="H432" s="49" t="s">
        <v>4873</v>
      </c>
      <c r="I432" s="85" t="s">
        <v>4874</v>
      </c>
      <c r="J432" s="100" t="s">
        <v>140</v>
      </c>
      <c r="K432" s="91">
        <v>0</v>
      </c>
      <c r="L432" s="91">
        <v>0</v>
      </c>
      <c r="M432" s="92">
        <v>65</v>
      </c>
      <c r="N432" s="92">
        <v>1000</v>
      </c>
      <c r="O432" s="92">
        <v>1</v>
      </c>
      <c r="P432" s="92">
        <f t="shared" si="115"/>
        <v>1000</v>
      </c>
      <c r="Q432" s="92"/>
      <c r="R432" s="102">
        <v>1000</v>
      </c>
      <c r="S432" s="92">
        <f t="shared" si="113"/>
        <v>0</v>
      </c>
      <c r="T432" s="102">
        <f t="shared" si="106"/>
        <v>1329.2307692307693</v>
      </c>
      <c r="U432" s="101">
        <f t="shared" si="107"/>
        <v>0</v>
      </c>
      <c r="V432" s="101">
        <f t="shared" si="108"/>
        <v>0</v>
      </c>
      <c r="W432" s="101">
        <v>0</v>
      </c>
      <c r="X432" s="55">
        <f t="shared" si="109"/>
        <v>46153.014043209878</v>
      </c>
    </row>
    <row r="433" spans="1:24" ht="29" hidden="1" x14ac:dyDescent="0.35">
      <c r="A433" s="46">
        <f t="shared" si="110"/>
        <v>46153.014043209878</v>
      </c>
      <c r="B433" s="46"/>
      <c r="C433" s="260"/>
      <c r="D433" s="46"/>
      <c r="E433" s="47" t="s">
        <v>3503</v>
      </c>
      <c r="F433" s="48" t="s">
        <v>202</v>
      </c>
      <c r="G433" s="48"/>
      <c r="H433" s="49" t="s">
        <v>4875</v>
      </c>
      <c r="I433" s="82" t="s">
        <v>3491</v>
      </c>
      <c r="J433" s="100" t="s">
        <v>140</v>
      </c>
      <c r="K433" s="91">
        <v>0</v>
      </c>
      <c r="L433" s="91">
        <v>0</v>
      </c>
      <c r="M433" s="92">
        <v>110</v>
      </c>
      <c r="N433" s="92">
        <v>20000</v>
      </c>
      <c r="O433" s="92">
        <v>4</v>
      </c>
      <c r="P433" s="92">
        <f t="shared" si="115"/>
        <v>5000</v>
      </c>
      <c r="Q433" s="92"/>
      <c r="R433" s="92">
        <v>5000</v>
      </c>
      <c r="S433" s="92">
        <f t="shared" si="113"/>
        <v>0</v>
      </c>
      <c r="T433" s="102">
        <f t="shared" si="106"/>
        <v>3141.818181818182</v>
      </c>
      <c r="U433" s="101">
        <f t="shared" si="107"/>
        <v>0</v>
      </c>
      <c r="V433" s="101">
        <f t="shared" si="108"/>
        <v>0</v>
      </c>
      <c r="W433" s="101">
        <v>0</v>
      </c>
      <c r="X433" s="55">
        <f t="shared" si="109"/>
        <v>46153.014043209878</v>
      </c>
    </row>
    <row r="434" spans="1:24" s="221" customFormat="1" hidden="1" x14ac:dyDescent="0.35">
      <c r="A434" s="46">
        <f t="shared" si="110"/>
        <v>46153.014043209878</v>
      </c>
      <c r="B434" s="46"/>
      <c r="C434" s="260"/>
      <c r="D434" s="46"/>
      <c r="E434" s="47" t="s">
        <v>3503</v>
      </c>
      <c r="F434" s="48" t="s">
        <v>271</v>
      </c>
      <c r="G434" s="48"/>
      <c r="H434" s="49" t="s">
        <v>4876</v>
      </c>
      <c r="I434" s="82" t="s">
        <v>4877</v>
      </c>
      <c r="J434" s="100" t="s">
        <v>140</v>
      </c>
      <c r="K434" s="91">
        <v>0</v>
      </c>
      <c r="L434" s="91">
        <v>0</v>
      </c>
      <c r="M434" s="92">
        <v>70</v>
      </c>
      <c r="N434" s="92">
        <v>5000</v>
      </c>
      <c r="O434" s="92">
        <v>1</v>
      </c>
      <c r="P434" s="92">
        <f t="shared" si="115"/>
        <v>5000</v>
      </c>
      <c r="Q434" s="92"/>
      <c r="R434" s="92">
        <v>5000</v>
      </c>
      <c r="S434" s="92">
        <f t="shared" si="113"/>
        <v>0</v>
      </c>
      <c r="T434" s="102">
        <f t="shared" si="106"/>
        <v>1234.2857142857142</v>
      </c>
      <c r="U434" s="101">
        <f t="shared" si="107"/>
        <v>0</v>
      </c>
      <c r="V434" s="101">
        <f t="shared" si="108"/>
        <v>0</v>
      </c>
      <c r="W434" s="101">
        <v>0</v>
      </c>
      <c r="X434" s="55">
        <f t="shared" si="109"/>
        <v>46153.014043209878</v>
      </c>
    </row>
    <row r="435" spans="1:24" ht="39.5" hidden="1" x14ac:dyDescent="0.35">
      <c r="A435" s="46">
        <f t="shared" si="110"/>
        <v>46153.014043209878</v>
      </c>
      <c r="B435" s="46"/>
      <c r="C435" s="260"/>
      <c r="D435" s="46"/>
      <c r="E435" s="47" t="s">
        <v>3503</v>
      </c>
      <c r="F435" s="57" t="s">
        <v>4878</v>
      </c>
      <c r="G435" s="57"/>
      <c r="H435" s="49" t="s">
        <v>4879</v>
      </c>
      <c r="I435" s="85" t="s">
        <v>4874</v>
      </c>
      <c r="J435" s="100" t="s">
        <v>140</v>
      </c>
      <c r="K435" s="91">
        <v>0</v>
      </c>
      <c r="L435" s="91">
        <v>0</v>
      </c>
      <c r="M435" s="92">
        <v>65</v>
      </c>
      <c r="N435" s="92">
        <v>3000</v>
      </c>
      <c r="O435" s="92">
        <v>1</v>
      </c>
      <c r="P435" s="92">
        <f t="shared" si="115"/>
        <v>3000</v>
      </c>
      <c r="Q435" s="92"/>
      <c r="R435" s="102">
        <v>3000</v>
      </c>
      <c r="S435" s="92">
        <f t="shared" si="113"/>
        <v>0</v>
      </c>
      <c r="T435" s="102">
        <f t="shared" si="106"/>
        <v>1329.2307692307693</v>
      </c>
      <c r="U435" s="101">
        <f t="shared" si="107"/>
        <v>0</v>
      </c>
      <c r="V435" s="101">
        <f t="shared" si="108"/>
        <v>0</v>
      </c>
      <c r="W435" s="101">
        <v>0</v>
      </c>
      <c r="X435" s="55">
        <f t="shared" si="109"/>
        <v>46153.014043209878</v>
      </c>
    </row>
    <row r="436" spans="1:24" ht="39.5" hidden="1" x14ac:dyDescent="0.35">
      <c r="A436" s="46">
        <f t="shared" si="110"/>
        <v>46153.014043209878</v>
      </c>
      <c r="B436" s="46"/>
      <c r="C436" s="260"/>
      <c r="D436" s="46"/>
      <c r="E436" s="47" t="s">
        <v>3503</v>
      </c>
      <c r="F436" s="62" t="s">
        <v>1251</v>
      </c>
      <c r="G436" s="62"/>
      <c r="H436" s="49" t="s">
        <v>4880</v>
      </c>
      <c r="I436" s="69" t="s">
        <v>4881</v>
      </c>
      <c r="J436" s="100" t="s">
        <v>140</v>
      </c>
      <c r="K436" s="91">
        <v>0</v>
      </c>
      <c r="L436" s="91">
        <v>0</v>
      </c>
      <c r="M436" s="92">
        <v>35</v>
      </c>
      <c r="N436" s="92">
        <v>2000</v>
      </c>
      <c r="O436" s="92">
        <v>1</v>
      </c>
      <c r="P436" s="92">
        <f t="shared" si="115"/>
        <v>2000</v>
      </c>
      <c r="Q436" s="92"/>
      <c r="R436" s="92">
        <v>2000</v>
      </c>
      <c r="S436" s="92">
        <f t="shared" si="113"/>
        <v>0</v>
      </c>
      <c r="T436" s="102">
        <f t="shared" si="106"/>
        <v>2468.5714285714284</v>
      </c>
      <c r="U436" s="101">
        <f t="shared" si="107"/>
        <v>0</v>
      </c>
      <c r="V436" s="101">
        <f t="shared" si="108"/>
        <v>0</v>
      </c>
      <c r="W436" s="101">
        <v>0</v>
      </c>
      <c r="X436" s="55">
        <f t="shared" si="109"/>
        <v>46153.014043209878</v>
      </c>
    </row>
    <row r="437" spans="1:24" s="221" customFormat="1" ht="26.5" hidden="1" x14ac:dyDescent="0.35">
      <c r="A437" s="46">
        <f t="shared" si="110"/>
        <v>46153.014043209878</v>
      </c>
      <c r="B437" s="46"/>
      <c r="C437" s="260"/>
      <c r="D437" s="46"/>
      <c r="E437" s="47" t="s">
        <v>3503</v>
      </c>
      <c r="F437" s="82" t="s">
        <v>4882</v>
      </c>
      <c r="G437" s="82"/>
      <c r="H437" s="107" t="s">
        <v>4883</v>
      </c>
      <c r="I437" s="390" t="s">
        <v>4841</v>
      </c>
      <c r="J437" s="100" t="s">
        <v>140</v>
      </c>
      <c r="K437" s="91">
        <v>0</v>
      </c>
      <c r="L437" s="91">
        <v>0</v>
      </c>
      <c r="M437" s="92">
        <v>100</v>
      </c>
      <c r="N437" s="92">
        <v>3000</v>
      </c>
      <c r="O437" s="92">
        <v>1</v>
      </c>
      <c r="P437" s="92">
        <f t="shared" si="115"/>
        <v>3000</v>
      </c>
      <c r="Q437" s="92"/>
      <c r="R437" s="92">
        <v>3000</v>
      </c>
      <c r="S437" s="92">
        <f t="shared" si="113"/>
        <v>0</v>
      </c>
      <c r="T437" s="102">
        <f t="shared" si="106"/>
        <v>864</v>
      </c>
      <c r="U437" s="101">
        <f t="shared" si="107"/>
        <v>0</v>
      </c>
      <c r="V437" s="101">
        <f t="shared" si="108"/>
        <v>0</v>
      </c>
      <c r="W437" s="101">
        <v>0</v>
      </c>
      <c r="X437" s="55">
        <f t="shared" si="109"/>
        <v>46153.014043209878</v>
      </c>
    </row>
    <row r="438" spans="1:24" hidden="1" x14ac:dyDescent="0.35">
      <c r="A438" s="46">
        <f t="shared" si="110"/>
        <v>46153.014043209878</v>
      </c>
      <c r="B438" s="46"/>
      <c r="C438" s="260"/>
      <c r="D438" s="46"/>
      <c r="E438" s="296" t="s">
        <v>3503</v>
      </c>
      <c r="F438" s="366" t="s">
        <v>14</v>
      </c>
      <c r="G438" s="366"/>
      <c r="H438" s="366" t="s">
        <v>14</v>
      </c>
      <c r="I438" s="874" t="s">
        <v>4884</v>
      </c>
      <c r="J438" s="300" t="s">
        <v>140</v>
      </c>
      <c r="K438" s="352">
        <v>0</v>
      </c>
      <c r="L438" s="352">
        <v>0</v>
      </c>
      <c r="M438" s="353">
        <v>120</v>
      </c>
      <c r="N438" s="353">
        <v>50</v>
      </c>
      <c r="O438" s="353">
        <v>1</v>
      </c>
      <c r="P438" s="353">
        <f t="shared" si="115"/>
        <v>50</v>
      </c>
      <c r="Q438" s="353"/>
      <c r="R438" s="353">
        <v>50</v>
      </c>
      <c r="S438" s="353">
        <f t="shared" si="113"/>
        <v>0</v>
      </c>
      <c r="T438" s="302">
        <f t="shared" si="106"/>
        <v>720</v>
      </c>
      <c r="U438" s="301">
        <f t="shared" si="107"/>
        <v>0</v>
      </c>
      <c r="V438" s="301">
        <f t="shared" si="108"/>
        <v>0</v>
      </c>
      <c r="W438" s="301">
        <v>0</v>
      </c>
      <c r="X438" s="55">
        <f t="shared" si="109"/>
        <v>46153.014043209878</v>
      </c>
    </row>
    <row r="439" spans="1:24" ht="29" hidden="1" x14ac:dyDescent="0.35">
      <c r="A439" s="46">
        <f t="shared" si="110"/>
        <v>46153.014043209878</v>
      </c>
      <c r="B439" s="46"/>
      <c r="C439" s="260"/>
      <c r="D439" s="46"/>
      <c r="E439" s="47" t="s">
        <v>3503</v>
      </c>
      <c r="F439" s="57" t="s">
        <v>165</v>
      </c>
      <c r="G439" s="57"/>
      <c r="H439" s="108">
        <v>10738</v>
      </c>
      <c r="I439" s="855" t="s">
        <v>4884</v>
      </c>
      <c r="J439" s="100" t="s">
        <v>140</v>
      </c>
      <c r="K439" s="91">
        <v>0</v>
      </c>
      <c r="L439" s="91">
        <v>0</v>
      </c>
      <c r="M439" s="92">
        <v>120</v>
      </c>
      <c r="N439" s="92">
        <v>8000</v>
      </c>
      <c r="O439" s="92">
        <v>1</v>
      </c>
      <c r="P439" s="92">
        <f t="shared" si="115"/>
        <v>8000</v>
      </c>
      <c r="Q439" s="92"/>
      <c r="R439" s="92">
        <v>8000</v>
      </c>
      <c r="S439" s="92">
        <f t="shared" si="113"/>
        <v>0</v>
      </c>
      <c r="T439" s="102">
        <f t="shared" si="106"/>
        <v>720</v>
      </c>
      <c r="U439" s="101">
        <f t="shared" si="107"/>
        <v>0</v>
      </c>
      <c r="V439" s="101">
        <f t="shared" si="108"/>
        <v>0</v>
      </c>
      <c r="W439" s="101">
        <v>0</v>
      </c>
      <c r="X439" s="55">
        <f t="shared" si="109"/>
        <v>46153.014043209878</v>
      </c>
    </row>
    <row r="440" spans="1:24" ht="26.5" hidden="1" x14ac:dyDescent="0.35">
      <c r="A440" s="46">
        <f t="shared" si="110"/>
        <v>46153.014043209878</v>
      </c>
      <c r="B440" s="46"/>
      <c r="C440" s="260"/>
      <c r="D440" s="46"/>
      <c r="E440" s="419" t="s">
        <v>3503</v>
      </c>
      <c r="F440" s="82" t="s">
        <v>1552</v>
      </c>
      <c r="G440" s="82"/>
      <c r="H440" s="98" t="s">
        <v>4885</v>
      </c>
      <c r="I440" s="69" t="s">
        <v>4784</v>
      </c>
      <c r="J440" s="100" t="s">
        <v>140</v>
      </c>
      <c r="K440" s="91">
        <v>0</v>
      </c>
      <c r="L440" s="91">
        <v>0</v>
      </c>
      <c r="M440" s="92">
        <v>50</v>
      </c>
      <c r="N440" s="92">
        <v>3000</v>
      </c>
      <c r="O440" s="92">
        <v>1</v>
      </c>
      <c r="P440" s="92">
        <f t="shared" si="115"/>
        <v>3000</v>
      </c>
      <c r="Q440" s="92"/>
      <c r="R440" s="92">
        <v>3000</v>
      </c>
      <c r="S440" s="92">
        <f t="shared" si="113"/>
        <v>0</v>
      </c>
      <c r="T440" s="102">
        <f t="shared" si="106"/>
        <v>1728</v>
      </c>
      <c r="U440" s="101">
        <f t="shared" si="107"/>
        <v>0</v>
      </c>
      <c r="V440" s="101">
        <f t="shared" si="108"/>
        <v>0</v>
      </c>
      <c r="W440" s="101">
        <v>0</v>
      </c>
      <c r="X440" s="55">
        <f t="shared" si="109"/>
        <v>46153.014043209878</v>
      </c>
    </row>
    <row r="441" spans="1:24" ht="29" hidden="1" x14ac:dyDescent="0.35">
      <c r="A441" s="46">
        <f t="shared" si="110"/>
        <v>46153.014043209878</v>
      </c>
      <c r="B441" s="46"/>
      <c r="C441" s="260"/>
      <c r="D441" s="46"/>
      <c r="E441" s="47" t="s">
        <v>3503</v>
      </c>
      <c r="F441" s="48" t="s">
        <v>4886</v>
      </c>
      <c r="G441" s="48"/>
      <c r="H441" s="59" t="s">
        <v>4887</v>
      </c>
      <c r="I441" s="106" t="s">
        <v>3559</v>
      </c>
      <c r="J441" s="100" t="s">
        <v>140</v>
      </c>
      <c r="K441" s="91">
        <v>0</v>
      </c>
      <c r="L441" s="91">
        <v>0</v>
      </c>
      <c r="M441" s="92">
        <v>45</v>
      </c>
      <c r="N441" s="92">
        <v>2240</v>
      </c>
      <c r="O441" s="92">
        <v>1</v>
      </c>
      <c r="P441" s="92">
        <f t="shared" si="115"/>
        <v>2240</v>
      </c>
      <c r="Q441" s="92"/>
      <c r="R441" s="92">
        <v>2240</v>
      </c>
      <c r="S441" s="92">
        <f t="shared" si="113"/>
        <v>0</v>
      </c>
      <c r="T441" s="102">
        <f t="shared" si="106"/>
        <v>1920</v>
      </c>
      <c r="U441" s="101">
        <f t="shared" si="107"/>
        <v>0</v>
      </c>
      <c r="V441" s="101">
        <f t="shared" si="108"/>
        <v>0</v>
      </c>
      <c r="W441" s="101">
        <v>0</v>
      </c>
      <c r="X441" s="55">
        <f t="shared" si="109"/>
        <v>46153.014043209878</v>
      </c>
    </row>
    <row r="442" spans="1:24" ht="26" hidden="1" x14ac:dyDescent="0.35">
      <c r="A442" s="46">
        <f t="shared" si="110"/>
        <v>46153.014043209878</v>
      </c>
      <c r="B442" s="46"/>
      <c r="C442" s="260"/>
      <c r="D442" s="46"/>
      <c r="E442" s="419" t="s">
        <v>3503</v>
      </c>
      <c r="F442" s="220" t="s">
        <v>4888</v>
      </c>
      <c r="G442" s="220"/>
      <c r="H442" s="224" t="s">
        <v>4889</v>
      </c>
      <c r="I442" s="872" t="s">
        <v>4851</v>
      </c>
      <c r="J442" s="170" t="s">
        <v>140</v>
      </c>
      <c r="K442" s="875">
        <v>0</v>
      </c>
      <c r="L442" s="875">
        <v>0</v>
      </c>
      <c r="M442" s="873">
        <v>100</v>
      </c>
      <c r="N442" s="873">
        <v>900</v>
      </c>
      <c r="O442" s="873">
        <v>1</v>
      </c>
      <c r="P442" s="873">
        <f t="shared" si="115"/>
        <v>900</v>
      </c>
      <c r="Q442" s="873"/>
      <c r="R442" s="873">
        <v>900</v>
      </c>
      <c r="S442" s="873">
        <f t="shared" si="113"/>
        <v>0</v>
      </c>
      <c r="T442" s="337">
        <f t="shared" si="106"/>
        <v>864</v>
      </c>
      <c r="U442" s="339">
        <f t="shared" si="107"/>
        <v>0</v>
      </c>
      <c r="V442" s="339">
        <f t="shared" si="108"/>
        <v>0</v>
      </c>
      <c r="W442" s="339">
        <v>0</v>
      </c>
      <c r="X442" s="55">
        <f t="shared" si="109"/>
        <v>46153.014043209878</v>
      </c>
    </row>
    <row r="443" spans="1:24" ht="26" hidden="1" x14ac:dyDescent="0.35">
      <c r="A443" s="46">
        <f t="shared" si="110"/>
        <v>46153.014043209878</v>
      </c>
      <c r="B443" s="46"/>
      <c r="C443" s="260"/>
      <c r="D443" s="46"/>
      <c r="E443" s="419" t="s">
        <v>3503</v>
      </c>
      <c r="F443" s="220" t="s">
        <v>4717</v>
      </c>
      <c r="G443" s="220"/>
      <c r="H443" s="224" t="s">
        <v>4890</v>
      </c>
      <c r="I443" s="872" t="s">
        <v>4851</v>
      </c>
      <c r="J443" s="170" t="s">
        <v>140</v>
      </c>
      <c r="K443" s="875">
        <v>0</v>
      </c>
      <c r="L443" s="875">
        <v>0</v>
      </c>
      <c r="M443" s="873">
        <v>100</v>
      </c>
      <c r="N443" s="873">
        <v>3000</v>
      </c>
      <c r="O443" s="873">
        <v>1</v>
      </c>
      <c r="P443" s="873">
        <f t="shared" si="115"/>
        <v>3000</v>
      </c>
      <c r="Q443" s="873"/>
      <c r="R443" s="873">
        <v>3000</v>
      </c>
      <c r="S443" s="873">
        <f t="shared" si="113"/>
        <v>0</v>
      </c>
      <c r="T443" s="337">
        <f t="shared" si="106"/>
        <v>864</v>
      </c>
      <c r="U443" s="339">
        <f t="shared" si="107"/>
        <v>0</v>
      </c>
      <c r="V443" s="339">
        <f t="shared" si="108"/>
        <v>0</v>
      </c>
      <c r="W443" s="339">
        <v>0</v>
      </c>
      <c r="X443" s="55">
        <f t="shared" si="109"/>
        <v>46153.014043209878</v>
      </c>
    </row>
    <row r="444" spans="1:24" hidden="1" x14ac:dyDescent="0.35">
      <c r="A444" s="46">
        <f t="shared" si="110"/>
        <v>46153.014043209878</v>
      </c>
      <c r="B444" s="46"/>
      <c r="C444" s="260"/>
      <c r="D444" s="46"/>
      <c r="E444" s="47" t="s">
        <v>4384</v>
      </c>
      <c r="F444" s="57" t="s">
        <v>4891</v>
      </c>
      <c r="G444" s="57"/>
      <c r="H444" s="49" t="s">
        <v>4892</v>
      </c>
      <c r="I444" s="99" t="s">
        <v>3545</v>
      </c>
      <c r="J444" s="100" t="s">
        <v>140</v>
      </c>
      <c r="K444" s="91">
        <v>0</v>
      </c>
      <c r="L444" s="91">
        <v>0</v>
      </c>
      <c r="M444" s="92">
        <v>80</v>
      </c>
      <c r="N444" s="92">
        <v>17000</v>
      </c>
      <c r="O444" s="92">
        <v>2</v>
      </c>
      <c r="P444" s="92">
        <f t="shared" si="115"/>
        <v>8500</v>
      </c>
      <c r="Q444" s="92"/>
      <c r="R444" s="92">
        <v>8500</v>
      </c>
      <c r="S444" s="92">
        <f t="shared" si="113"/>
        <v>0</v>
      </c>
      <c r="T444" s="102">
        <f t="shared" ref="T444:T489" si="116">((3600/M444)*O444)*24</f>
        <v>2160</v>
      </c>
      <c r="U444" s="101">
        <f t="shared" ref="U444:U489" si="117">(P444-R444)*M444/3600</f>
        <v>0</v>
      </c>
      <c r="V444" s="101">
        <f t="shared" ref="V444:V489" si="118">(P444-R444)*M444/3600/24</f>
        <v>0</v>
      </c>
      <c r="W444" s="101">
        <v>0</v>
      </c>
      <c r="X444" s="55">
        <f t="shared" ref="X444:X481" si="119">A444+K444+V444+W444+L444</f>
        <v>46153.014043209878</v>
      </c>
    </row>
    <row r="445" spans="1:24" hidden="1" x14ac:dyDescent="0.35">
      <c r="A445" s="46">
        <f t="shared" ref="A445:A490" si="120">X444</f>
        <v>46153.014043209878</v>
      </c>
      <c r="B445" s="46"/>
      <c r="C445" s="260"/>
      <c r="D445" s="46"/>
      <c r="E445" s="47" t="s">
        <v>4384</v>
      </c>
      <c r="F445" s="97" t="s">
        <v>4893</v>
      </c>
      <c r="G445" s="97"/>
      <c r="H445" s="98" t="s">
        <v>4894</v>
      </c>
      <c r="I445" s="99" t="s">
        <v>3545</v>
      </c>
      <c r="J445" s="100" t="s">
        <v>140</v>
      </c>
      <c r="K445" s="91">
        <v>0</v>
      </c>
      <c r="L445" s="91">
        <v>0</v>
      </c>
      <c r="M445" s="92">
        <v>80</v>
      </c>
      <c r="N445" s="92">
        <v>17000</v>
      </c>
      <c r="O445" s="92">
        <v>2</v>
      </c>
      <c r="P445" s="92">
        <f t="shared" si="115"/>
        <v>8500</v>
      </c>
      <c r="Q445" s="92"/>
      <c r="R445" s="92">
        <v>8500</v>
      </c>
      <c r="S445" s="92">
        <f t="shared" si="113"/>
        <v>0</v>
      </c>
      <c r="T445" s="102">
        <f t="shared" si="116"/>
        <v>2160</v>
      </c>
      <c r="U445" s="101">
        <f t="shared" si="117"/>
        <v>0</v>
      </c>
      <c r="V445" s="101">
        <f t="shared" si="118"/>
        <v>0</v>
      </c>
      <c r="W445" s="101">
        <v>0</v>
      </c>
      <c r="X445" s="55">
        <f t="shared" si="119"/>
        <v>46153.014043209878</v>
      </c>
    </row>
    <row r="446" spans="1:24" hidden="1" x14ac:dyDescent="0.35">
      <c r="A446" s="46">
        <f t="shared" si="120"/>
        <v>46153.014043209878</v>
      </c>
      <c r="B446" s="46"/>
      <c r="C446" s="260"/>
      <c r="D446" s="46"/>
      <c r="E446" s="47" t="s">
        <v>4384</v>
      </c>
      <c r="F446" s="82" t="s">
        <v>4895</v>
      </c>
      <c r="G446" s="82"/>
      <c r="H446" s="98" t="s">
        <v>4896</v>
      </c>
      <c r="I446" s="82" t="s">
        <v>4698</v>
      </c>
      <c r="J446" s="100" t="s">
        <v>140</v>
      </c>
      <c r="K446" s="91">
        <v>0</v>
      </c>
      <c r="L446" s="91">
        <v>0</v>
      </c>
      <c r="M446" s="92">
        <v>40</v>
      </c>
      <c r="N446" s="92">
        <v>15000</v>
      </c>
      <c r="O446" s="92">
        <v>1</v>
      </c>
      <c r="P446" s="92">
        <f t="shared" si="115"/>
        <v>15000</v>
      </c>
      <c r="Q446" s="92"/>
      <c r="R446" s="92">
        <v>15000</v>
      </c>
      <c r="S446" s="92">
        <f t="shared" si="113"/>
        <v>0</v>
      </c>
      <c r="T446" s="102">
        <f t="shared" si="116"/>
        <v>2160</v>
      </c>
      <c r="U446" s="101">
        <f t="shared" si="117"/>
        <v>0</v>
      </c>
      <c r="V446" s="101">
        <f t="shared" si="118"/>
        <v>0</v>
      </c>
      <c r="W446" s="101">
        <v>0</v>
      </c>
      <c r="X446" s="55">
        <f t="shared" si="119"/>
        <v>46153.014043209878</v>
      </c>
    </row>
    <row r="447" spans="1:24" hidden="1" x14ac:dyDescent="0.35">
      <c r="A447" s="46">
        <f t="shared" si="120"/>
        <v>46153.014043209878</v>
      </c>
      <c r="B447" s="46"/>
      <c r="C447" s="260"/>
      <c r="D447" s="46"/>
      <c r="E447" s="195" t="s">
        <v>4897</v>
      </c>
      <c r="F447" s="112" t="s">
        <v>4898</v>
      </c>
      <c r="G447" s="112"/>
      <c r="H447" s="113" t="s">
        <v>4899</v>
      </c>
      <c r="I447" s="268" t="s">
        <v>4900</v>
      </c>
      <c r="J447" s="383" t="s">
        <v>140</v>
      </c>
      <c r="K447" s="482">
        <v>0</v>
      </c>
      <c r="L447" s="482">
        <v>0</v>
      </c>
      <c r="M447" s="199">
        <v>25</v>
      </c>
      <c r="N447" s="199">
        <v>2000</v>
      </c>
      <c r="O447" s="199">
        <v>1</v>
      </c>
      <c r="P447" s="199">
        <f t="shared" si="115"/>
        <v>2000</v>
      </c>
      <c r="Q447" s="199"/>
      <c r="R447" s="199">
        <v>2000</v>
      </c>
      <c r="S447" s="199">
        <f t="shared" si="113"/>
        <v>0</v>
      </c>
      <c r="T447" s="199">
        <f t="shared" si="116"/>
        <v>3456</v>
      </c>
      <c r="U447" s="482">
        <f t="shared" si="117"/>
        <v>0</v>
      </c>
      <c r="V447" s="482">
        <f t="shared" si="118"/>
        <v>0</v>
      </c>
      <c r="W447" s="482">
        <v>0</v>
      </c>
      <c r="X447" s="55">
        <f t="shared" si="119"/>
        <v>46153.014043209878</v>
      </c>
    </row>
    <row r="448" spans="1:24" hidden="1" x14ac:dyDescent="0.35">
      <c r="A448" s="46">
        <f t="shared" si="120"/>
        <v>46153.014043209878</v>
      </c>
      <c r="B448" s="46"/>
      <c r="C448" s="260"/>
      <c r="D448" s="46"/>
      <c r="E448" s="47" t="s">
        <v>4467</v>
      </c>
      <c r="F448" s="97" t="s">
        <v>4898</v>
      </c>
      <c r="G448" s="97"/>
      <c r="H448" s="98" t="s">
        <v>4901</v>
      </c>
      <c r="I448" s="82" t="s">
        <v>4902</v>
      </c>
      <c r="J448" s="100" t="s">
        <v>140</v>
      </c>
      <c r="K448" s="91">
        <v>0</v>
      </c>
      <c r="L448" s="91">
        <v>0</v>
      </c>
      <c r="M448" s="92">
        <v>30</v>
      </c>
      <c r="N448" s="92">
        <v>10000</v>
      </c>
      <c r="O448" s="92">
        <v>4</v>
      </c>
      <c r="P448" s="92">
        <f t="shared" si="115"/>
        <v>2500</v>
      </c>
      <c r="Q448" s="92"/>
      <c r="R448" s="102">
        <v>2500</v>
      </c>
      <c r="S448" s="92">
        <f t="shared" si="113"/>
        <v>0</v>
      </c>
      <c r="T448" s="102">
        <f t="shared" si="116"/>
        <v>11520</v>
      </c>
      <c r="U448" s="101">
        <f t="shared" si="117"/>
        <v>0</v>
      </c>
      <c r="V448" s="101">
        <f t="shared" si="118"/>
        <v>0</v>
      </c>
      <c r="W448" s="101">
        <v>0</v>
      </c>
      <c r="X448" s="55">
        <f t="shared" si="119"/>
        <v>46153.014043209878</v>
      </c>
    </row>
    <row r="449" spans="1:24" hidden="1" x14ac:dyDescent="0.35">
      <c r="A449" s="46">
        <f t="shared" si="120"/>
        <v>46153.014043209878</v>
      </c>
      <c r="B449" s="46"/>
      <c r="C449" s="260"/>
      <c r="D449" s="46"/>
      <c r="E449" s="296" t="s">
        <v>4384</v>
      </c>
      <c r="F449" s="366" t="s">
        <v>14</v>
      </c>
      <c r="G449" s="366"/>
      <c r="H449" s="298" t="s">
        <v>14</v>
      </c>
      <c r="I449" s="297" t="s">
        <v>4596</v>
      </c>
      <c r="J449" s="351" t="s">
        <v>140</v>
      </c>
      <c r="K449" s="352">
        <v>0</v>
      </c>
      <c r="L449" s="352">
        <v>0</v>
      </c>
      <c r="M449" s="353">
        <v>50</v>
      </c>
      <c r="N449" s="353">
        <v>20800</v>
      </c>
      <c r="O449" s="353">
        <v>4</v>
      </c>
      <c r="P449" s="353">
        <f t="shared" si="115"/>
        <v>5200</v>
      </c>
      <c r="Q449" s="353"/>
      <c r="R449" s="353">
        <v>5200</v>
      </c>
      <c r="S449" s="353">
        <f t="shared" si="113"/>
        <v>0</v>
      </c>
      <c r="T449" s="353">
        <f t="shared" si="116"/>
        <v>6912</v>
      </c>
      <c r="U449" s="352">
        <f t="shared" si="117"/>
        <v>0</v>
      </c>
      <c r="V449" s="352">
        <f t="shared" si="118"/>
        <v>0</v>
      </c>
      <c r="W449" s="352">
        <v>0</v>
      </c>
      <c r="X449" s="55">
        <f t="shared" si="119"/>
        <v>46153.014043209878</v>
      </c>
    </row>
    <row r="450" spans="1:24" s="221" customFormat="1" hidden="1" x14ac:dyDescent="0.35">
      <c r="A450" s="46">
        <f t="shared" si="120"/>
        <v>46153.014043209878</v>
      </c>
      <c r="B450" s="46"/>
      <c r="C450" s="260"/>
      <c r="D450" s="46"/>
      <c r="E450" s="47" t="s">
        <v>4384</v>
      </c>
      <c r="F450" s="82" t="s">
        <v>4903</v>
      </c>
      <c r="G450" s="82"/>
      <c r="H450" s="98" t="s">
        <v>4904</v>
      </c>
      <c r="I450" s="106" t="s">
        <v>4877</v>
      </c>
      <c r="J450" s="100" t="s">
        <v>140</v>
      </c>
      <c r="K450" s="91">
        <v>0</v>
      </c>
      <c r="L450" s="91">
        <v>0</v>
      </c>
      <c r="M450" s="92">
        <v>77</v>
      </c>
      <c r="N450" s="92">
        <v>5000</v>
      </c>
      <c r="O450" s="92">
        <v>1</v>
      </c>
      <c r="P450" s="92">
        <f t="shared" si="115"/>
        <v>5000</v>
      </c>
      <c r="Q450" s="92"/>
      <c r="R450" s="92">
        <v>5000</v>
      </c>
      <c r="S450" s="92">
        <f t="shared" si="113"/>
        <v>0</v>
      </c>
      <c r="T450" s="102">
        <f t="shared" si="116"/>
        <v>1122.0779220779223</v>
      </c>
      <c r="U450" s="101">
        <f t="shared" si="117"/>
        <v>0</v>
      </c>
      <c r="V450" s="101">
        <f t="shared" si="118"/>
        <v>0</v>
      </c>
      <c r="W450" s="101">
        <v>0</v>
      </c>
      <c r="X450" s="55">
        <f t="shared" si="119"/>
        <v>46153.014043209878</v>
      </c>
    </row>
    <row r="451" spans="1:24" hidden="1" x14ac:dyDescent="0.35">
      <c r="A451" s="46">
        <f t="shared" si="120"/>
        <v>46153.014043209878</v>
      </c>
      <c r="B451" s="46"/>
      <c r="C451" s="260"/>
      <c r="D451" s="46"/>
      <c r="E451" s="47" t="s">
        <v>4384</v>
      </c>
      <c r="F451" s="97"/>
      <c r="G451" s="97"/>
      <c r="H451" s="98"/>
      <c r="I451" s="82" t="s">
        <v>4596</v>
      </c>
      <c r="J451" s="51" t="s">
        <v>140</v>
      </c>
      <c r="K451" s="91">
        <v>0</v>
      </c>
      <c r="L451" s="91">
        <v>0</v>
      </c>
      <c r="M451" s="92">
        <v>50</v>
      </c>
      <c r="N451" s="92">
        <v>20800</v>
      </c>
      <c r="O451" s="92">
        <v>4</v>
      </c>
      <c r="P451" s="92">
        <f t="shared" si="115"/>
        <v>5200</v>
      </c>
      <c r="Q451" s="92"/>
      <c r="R451" s="92">
        <v>5200</v>
      </c>
      <c r="S451" s="92">
        <f t="shared" si="113"/>
        <v>0</v>
      </c>
      <c r="T451" s="92">
        <f t="shared" si="116"/>
        <v>6912</v>
      </c>
      <c r="U451" s="91">
        <f t="shared" si="117"/>
        <v>0</v>
      </c>
      <c r="V451" s="91">
        <f t="shared" si="118"/>
        <v>0</v>
      </c>
      <c r="W451" s="91">
        <v>0</v>
      </c>
      <c r="X451" s="55">
        <f t="shared" si="119"/>
        <v>46153.014043209878</v>
      </c>
    </row>
    <row r="452" spans="1:24" hidden="1" x14ac:dyDescent="0.35">
      <c r="A452" s="46">
        <f t="shared" si="120"/>
        <v>46153.014043209878</v>
      </c>
      <c r="B452" s="46"/>
      <c r="C452" s="260"/>
      <c r="D452" s="46"/>
      <c r="E452" s="47" t="s">
        <v>4384</v>
      </c>
      <c r="F452" s="82" t="s">
        <v>4905</v>
      </c>
      <c r="G452" s="82"/>
      <c r="H452" s="107" t="s">
        <v>4906</v>
      </c>
      <c r="I452" s="82" t="s">
        <v>4907</v>
      </c>
      <c r="J452" s="100" t="s">
        <v>140</v>
      </c>
      <c r="K452" s="91">
        <v>0</v>
      </c>
      <c r="L452" s="91">
        <v>0</v>
      </c>
      <c r="M452" s="92">
        <v>45</v>
      </c>
      <c r="N452" s="92">
        <v>10000</v>
      </c>
      <c r="O452" s="92">
        <v>1</v>
      </c>
      <c r="P452" s="92">
        <f t="shared" si="115"/>
        <v>10000</v>
      </c>
      <c r="Q452" s="92"/>
      <c r="R452" s="92">
        <v>10000</v>
      </c>
      <c r="S452" s="92">
        <f t="shared" si="113"/>
        <v>0</v>
      </c>
      <c r="T452" s="102">
        <f t="shared" si="116"/>
        <v>1920</v>
      </c>
      <c r="U452" s="101">
        <f t="shared" si="117"/>
        <v>0</v>
      </c>
      <c r="V452" s="101">
        <f t="shared" si="118"/>
        <v>0</v>
      </c>
      <c r="W452" s="101">
        <v>0</v>
      </c>
      <c r="X452" s="55">
        <f t="shared" si="119"/>
        <v>46153.014043209878</v>
      </c>
    </row>
    <row r="453" spans="1:24" hidden="1" x14ac:dyDescent="0.35">
      <c r="A453" s="46">
        <f t="shared" si="120"/>
        <v>46153.014043209878</v>
      </c>
      <c r="B453" s="46"/>
      <c r="C453" s="260"/>
      <c r="D453" s="46"/>
      <c r="E453" s="47" t="s">
        <v>4384</v>
      </c>
      <c r="F453" s="82" t="s">
        <v>1814</v>
      </c>
      <c r="G453" s="82"/>
      <c r="H453" s="452" t="s">
        <v>4908</v>
      </c>
      <c r="I453" s="82" t="s">
        <v>4909</v>
      </c>
      <c r="J453" s="51" t="s">
        <v>140</v>
      </c>
      <c r="K453" s="91">
        <v>0</v>
      </c>
      <c r="L453" s="91">
        <v>0</v>
      </c>
      <c r="M453" s="92">
        <v>30</v>
      </c>
      <c r="N453" s="92">
        <v>2430</v>
      </c>
      <c r="O453" s="92">
        <v>1</v>
      </c>
      <c r="P453" s="92">
        <f t="shared" si="115"/>
        <v>2430</v>
      </c>
      <c r="Q453" s="92"/>
      <c r="R453" s="92">
        <v>2430</v>
      </c>
      <c r="S453" s="92">
        <f t="shared" si="113"/>
        <v>0</v>
      </c>
      <c r="T453" s="92">
        <f t="shared" si="116"/>
        <v>2880</v>
      </c>
      <c r="U453" s="91">
        <f t="shared" si="117"/>
        <v>0</v>
      </c>
      <c r="V453" s="91">
        <f t="shared" si="118"/>
        <v>0</v>
      </c>
      <c r="W453" s="91">
        <v>0</v>
      </c>
      <c r="X453" s="55">
        <f t="shared" si="119"/>
        <v>46153.014043209878</v>
      </c>
    </row>
    <row r="454" spans="1:24" s="588" customFormat="1" ht="13" hidden="1" x14ac:dyDescent="0.3">
      <c r="A454" s="46">
        <f t="shared" si="120"/>
        <v>46153.014043209878</v>
      </c>
      <c r="B454" s="46"/>
      <c r="C454" s="260"/>
      <c r="D454" s="46"/>
      <c r="E454" s="47" t="s">
        <v>4384</v>
      </c>
      <c r="F454" s="97" t="s">
        <v>1814</v>
      </c>
      <c r="G454" s="97"/>
      <c r="H454" s="452">
        <v>12004</v>
      </c>
      <c r="I454" s="82" t="s">
        <v>3515</v>
      </c>
      <c r="J454" s="51" t="s">
        <v>140</v>
      </c>
      <c r="K454" s="91">
        <v>0</v>
      </c>
      <c r="L454" s="91">
        <v>0</v>
      </c>
      <c r="M454" s="92">
        <v>25</v>
      </c>
      <c r="N454" s="92">
        <v>2500</v>
      </c>
      <c r="O454" s="92">
        <v>2</v>
      </c>
      <c r="P454" s="92">
        <f t="shared" si="115"/>
        <v>1250</v>
      </c>
      <c r="Q454" s="92"/>
      <c r="R454" s="92">
        <v>1250</v>
      </c>
      <c r="S454" s="92">
        <f t="shared" si="113"/>
        <v>0</v>
      </c>
      <c r="T454" s="92">
        <f t="shared" si="116"/>
        <v>6912</v>
      </c>
      <c r="U454" s="91">
        <f t="shared" si="117"/>
        <v>0</v>
      </c>
      <c r="V454" s="91">
        <f t="shared" si="118"/>
        <v>0</v>
      </c>
      <c r="W454" s="91">
        <v>0</v>
      </c>
      <c r="X454" s="55">
        <f t="shared" si="119"/>
        <v>46153.014043209878</v>
      </c>
    </row>
    <row r="455" spans="1:24" hidden="1" x14ac:dyDescent="0.35">
      <c r="A455" s="46">
        <f t="shared" si="120"/>
        <v>46153.014043209878</v>
      </c>
      <c r="B455" s="46"/>
      <c r="C455" s="260"/>
      <c r="D455" s="46"/>
      <c r="E455" s="47" t="s">
        <v>3503</v>
      </c>
      <c r="F455" s="97" t="s">
        <v>1814</v>
      </c>
      <c r="G455" s="97"/>
      <c r="H455" s="108">
        <v>11994</v>
      </c>
      <c r="I455" s="82" t="s">
        <v>4385</v>
      </c>
      <c r="J455" s="51" t="s">
        <v>140</v>
      </c>
      <c r="K455" s="91">
        <v>0</v>
      </c>
      <c r="L455" s="91">
        <v>0</v>
      </c>
      <c r="M455" s="92">
        <v>35</v>
      </c>
      <c r="N455" s="92">
        <f>2426-700</f>
        <v>1726</v>
      </c>
      <c r="O455" s="92">
        <v>1</v>
      </c>
      <c r="P455" s="92">
        <f t="shared" si="115"/>
        <v>1726</v>
      </c>
      <c r="Q455" s="92"/>
      <c r="R455" s="92">
        <v>1726</v>
      </c>
      <c r="S455" s="92">
        <f t="shared" si="113"/>
        <v>0</v>
      </c>
      <c r="T455" s="92">
        <f t="shared" si="116"/>
        <v>2468.5714285714284</v>
      </c>
      <c r="U455" s="91">
        <f t="shared" si="117"/>
        <v>0</v>
      </c>
      <c r="V455" s="91">
        <f t="shared" si="118"/>
        <v>0</v>
      </c>
      <c r="W455" s="91">
        <v>0</v>
      </c>
      <c r="X455" s="55">
        <f t="shared" si="119"/>
        <v>46153.014043209878</v>
      </c>
    </row>
    <row r="456" spans="1:24" hidden="1" x14ac:dyDescent="0.35">
      <c r="A456" s="46">
        <f t="shared" si="120"/>
        <v>46153.014043209878</v>
      </c>
      <c r="B456" s="46"/>
      <c r="C456" s="260"/>
      <c r="D456" s="46"/>
      <c r="E456" s="47" t="s">
        <v>4384</v>
      </c>
      <c r="F456" s="82" t="s">
        <v>4910</v>
      </c>
      <c r="G456" s="82"/>
      <c r="H456" s="108" t="s">
        <v>4911</v>
      </c>
      <c r="I456" s="82" t="s">
        <v>4912</v>
      </c>
      <c r="J456" s="51" t="s">
        <v>140</v>
      </c>
      <c r="K456" s="91">
        <v>0</v>
      </c>
      <c r="L456" s="91">
        <v>0</v>
      </c>
      <c r="M456" s="92">
        <v>90</v>
      </c>
      <c r="N456" s="92">
        <v>500</v>
      </c>
      <c r="O456" s="92">
        <v>1</v>
      </c>
      <c r="P456" s="92">
        <f t="shared" si="115"/>
        <v>500</v>
      </c>
      <c r="Q456" s="92"/>
      <c r="R456" s="92">
        <v>500</v>
      </c>
      <c r="S456" s="92">
        <f t="shared" si="113"/>
        <v>0</v>
      </c>
      <c r="T456" s="92">
        <f t="shared" si="116"/>
        <v>960</v>
      </c>
      <c r="U456" s="91">
        <f t="shared" si="117"/>
        <v>0</v>
      </c>
      <c r="V456" s="91">
        <f t="shared" si="118"/>
        <v>0</v>
      </c>
      <c r="W456" s="91">
        <v>0</v>
      </c>
      <c r="X456" s="55">
        <f t="shared" si="119"/>
        <v>46153.014043209878</v>
      </c>
    </row>
    <row r="457" spans="1:24" s="221" customFormat="1" hidden="1" x14ac:dyDescent="0.35">
      <c r="A457" s="46">
        <f t="shared" si="120"/>
        <v>46153.014043209878</v>
      </c>
      <c r="B457" s="46"/>
      <c r="C457" s="260"/>
      <c r="D457" s="46"/>
      <c r="E457" s="47" t="s">
        <v>4384</v>
      </c>
      <c r="F457" s="82" t="s">
        <v>4903</v>
      </c>
      <c r="G457" s="82"/>
      <c r="H457" s="98" t="s">
        <v>4904</v>
      </c>
      <c r="I457" s="106" t="s">
        <v>4877</v>
      </c>
      <c r="J457" s="100" t="s">
        <v>140</v>
      </c>
      <c r="K457" s="91">
        <v>0</v>
      </c>
      <c r="L457" s="91">
        <v>0</v>
      </c>
      <c r="M457" s="92">
        <v>77</v>
      </c>
      <c r="N457" s="92">
        <v>5000</v>
      </c>
      <c r="O457" s="92">
        <v>2</v>
      </c>
      <c r="P457" s="92">
        <f t="shared" si="115"/>
        <v>2500</v>
      </c>
      <c r="Q457" s="92"/>
      <c r="R457" s="92">
        <v>2500</v>
      </c>
      <c r="S457" s="92">
        <f t="shared" si="113"/>
        <v>0</v>
      </c>
      <c r="T457" s="102">
        <f t="shared" si="116"/>
        <v>2244.1558441558445</v>
      </c>
      <c r="U457" s="101">
        <f t="shared" si="117"/>
        <v>0</v>
      </c>
      <c r="V457" s="101">
        <f t="shared" si="118"/>
        <v>0</v>
      </c>
      <c r="W457" s="101">
        <v>0</v>
      </c>
      <c r="X457" s="55">
        <f t="shared" si="119"/>
        <v>46153.014043209878</v>
      </c>
    </row>
    <row r="458" spans="1:24" s="109" customFormat="1" ht="13" hidden="1" x14ac:dyDescent="0.3">
      <c r="A458" s="46">
        <f t="shared" si="120"/>
        <v>46153.014043209878</v>
      </c>
      <c r="B458" s="46"/>
      <c r="C458" s="260"/>
      <c r="D458" s="46"/>
      <c r="E458" s="47" t="s">
        <v>4384</v>
      </c>
      <c r="F458" s="97" t="s">
        <v>14</v>
      </c>
      <c r="G458" s="97"/>
      <c r="H458" s="98" t="s">
        <v>4913</v>
      </c>
      <c r="I458" s="82" t="s">
        <v>3512</v>
      </c>
      <c r="J458" s="51" t="s">
        <v>140</v>
      </c>
      <c r="K458" s="91">
        <v>0</v>
      </c>
      <c r="L458" s="91">
        <v>0</v>
      </c>
      <c r="M458" s="92">
        <v>75</v>
      </c>
      <c r="N458" s="92">
        <v>2500</v>
      </c>
      <c r="O458" s="92">
        <v>1</v>
      </c>
      <c r="P458" s="92">
        <f t="shared" si="115"/>
        <v>2500</v>
      </c>
      <c r="Q458" s="92"/>
      <c r="R458" s="92">
        <v>2500</v>
      </c>
      <c r="S458" s="92">
        <f t="shared" si="113"/>
        <v>0</v>
      </c>
      <c r="T458" s="92">
        <f t="shared" si="116"/>
        <v>1152</v>
      </c>
      <c r="U458" s="91">
        <f t="shared" si="117"/>
        <v>0</v>
      </c>
      <c r="V458" s="91">
        <f t="shared" si="118"/>
        <v>0</v>
      </c>
      <c r="W458" s="91">
        <v>0</v>
      </c>
      <c r="X458" s="55">
        <f t="shared" si="119"/>
        <v>46153.014043209878</v>
      </c>
    </row>
    <row r="459" spans="1:24" s="109" customFormat="1" ht="13" hidden="1" x14ac:dyDescent="0.3">
      <c r="A459" s="46">
        <f t="shared" si="120"/>
        <v>46153.014043209878</v>
      </c>
      <c r="B459" s="46"/>
      <c r="C459" s="260"/>
      <c r="D459" s="46"/>
      <c r="E459" s="47" t="s">
        <v>4384</v>
      </c>
      <c r="F459" s="97" t="s">
        <v>900</v>
      </c>
      <c r="G459" s="97"/>
      <c r="H459" s="98" t="s">
        <v>4914</v>
      </c>
      <c r="I459" s="82" t="s">
        <v>3512</v>
      </c>
      <c r="J459" s="51" t="s">
        <v>140</v>
      </c>
      <c r="K459" s="91">
        <v>0</v>
      </c>
      <c r="L459" s="91">
        <v>0</v>
      </c>
      <c r="M459" s="92">
        <v>75</v>
      </c>
      <c r="N459" s="92">
        <v>2500</v>
      </c>
      <c r="O459" s="92">
        <v>1</v>
      </c>
      <c r="P459" s="92">
        <f t="shared" si="115"/>
        <v>2500</v>
      </c>
      <c r="Q459" s="92"/>
      <c r="R459" s="92">
        <v>2500</v>
      </c>
      <c r="S459" s="92">
        <f t="shared" si="113"/>
        <v>0</v>
      </c>
      <c r="T459" s="92">
        <f t="shared" si="116"/>
        <v>1152</v>
      </c>
      <c r="U459" s="91">
        <f t="shared" si="117"/>
        <v>0</v>
      </c>
      <c r="V459" s="91">
        <f t="shared" si="118"/>
        <v>0</v>
      </c>
      <c r="W459" s="91">
        <v>0</v>
      </c>
      <c r="X459" s="55">
        <f t="shared" si="119"/>
        <v>46153.014043209878</v>
      </c>
    </row>
    <row r="460" spans="1:24" hidden="1" x14ac:dyDescent="0.35">
      <c r="A460" s="46">
        <f t="shared" si="120"/>
        <v>46153.014043209878</v>
      </c>
      <c r="B460" s="46"/>
      <c r="C460" s="260"/>
      <c r="D460" s="46"/>
      <c r="E460" s="296" t="s">
        <v>4384</v>
      </c>
      <c r="F460" s="366" t="s">
        <v>14</v>
      </c>
      <c r="G460" s="366"/>
      <c r="H460" s="298" t="s">
        <v>4915</v>
      </c>
      <c r="I460" s="297" t="s">
        <v>4916</v>
      </c>
      <c r="J460" s="351" t="s">
        <v>140</v>
      </c>
      <c r="K460" s="352">
        <v>0</v>
      </c>
      <c r="L460" s="352">
        <v>0</v>
      </c>
      <c r="M460" s="353">
        <v>45</v>
      </c>
      <c r="N460" s="353">
        <v>2500</v>
      </c>
      <c r="O460" s="353">
        <v>1</v>
      </c>
      <c r="P460" s="353">
        <f t="shared" si="115"/>
        <v>2500</v>
      </c>
      <c r="Q460" s="353"/>
      <c r="R460" s="353">
        <v>2500</v>
      </c>
      <c r="S460" s="353">
        <f t="shared" si="113"/>
        <v>0</v>
      </c>
      <c r="T460" s="353">
        <f t="shared" si="116"/>
        <v>1920</v>
      </c>
      <c r="U460" s="352">
        <f t="shared" si="117"/>
        <v>0</v>
      </c>
      <c r="V460" s="352">
        <f t="shared" si="118"/>
        <v>0</v>
      </c>
      <c r="W460" s="352">
        <v>0</v>
      </c>
      <c r="X460" s="55">
        <f t="shared" si="119"/>
        <v>46153.014043209878</v>
      </c>
    </row>
    <row r="461" spans="1:24" hidden="1" x14ac:dyDescent="0.35">
      <c r="A461" s="46">
        <f t="shared" si="120"/>
        <v>46153.014043209878</v>
      </c>
      <c r="B461" s="46"/>
      <c r="C461" s="260"/>
      <c r="D461" s="46"/>
      <c r="E461" s="47" t="s">
        <v>4384</v>
      </c>
      <c r="F461" s="97" t="s">
        <v>900</v>
      </c>
      <c r="G461" s="97"/>
      <c r="H461" s="98" t="s">
        <v>4917</v>
      </c>
      <c r="I461" s="82" t="s">
        <v>4916</v>
      </c>
      <c r="J461" s="51" t="s">
        <v>140</v>
      </c>
      <c r="K461" s="91">
        <v>0</v>
      </c>
      <c r="L461" s="91">
        <v>0</v>
      </c>
      <c r="M461" s="92">
        <v>45</v>
      </c>
      <c r="N461" s="92">
        <v>2500</v>
      </c>
      <c r="O461" s="92">
        <v>1</v>
      </c>
      <c r="P461" s="92">
        <f t="shared" si="115"/>
        <v>2500</v>
      </c>
      <c r="Q461" s="92"/>
      <c r="R461" s="92">
        <v>2500</v>
      </c>
      <c r="S461" s="92">
        <f t="shared" si="113"/>
        <v>0</v>
      </c>
      <c r="T461" s="92">
        <f t="shared" si="116"/>
        <v>1920</v>
      </c>
      <c r="U461" s="91">
        <f t="shared" si="117"/>
        <v>0</v>
      </c>
      <c r="V461" s="91">
        <f t="shared" si="118"/>
        <v>0</v>
      </c>
      <c r="W461" s="91">
        <v>0</v>
      </c>
      <c r="X461" s="55">
        <f t="shared" si="119"/>
        <v>46153.014043209878</v>
      </c>
    </row>
    <row r="462" spans="1:24" hidden="1" x14ac:dyDescent="0.35">
      <c r="A462" s="46">
        <f t="shared" si="120"/>
        <v>46153.014043209878</v>
      </c>
      <c r="B462" s="46"/>
      <c r="C462" s="260"/>
      <c r="D462" s="46"/>
      <c r="E462" s="47" t="s">
        <v>4384</v>
      </c>
      <c r="F462" s="97" t="s">
        <v>1814</v>
      </c>
      <c r="G462" s="97"/>
      <c r="H462" s="108">
        <v>12204</v>
      </c>
      <c r="I462" s="82" t="s">
        <v>4385</v>
      </c>
      <c r="J462" s="51" t="s">
        <v>140</v>
      </c>
      <c r="K462" s="91">
        <v>0</v>
      </c>
      <c r="L462" s="91">
        <v>0</v>
      </c>
      <c r="M462" s="92">
        <v>35</v>
      </c>
      <c r="N462" s="92">
        <v>1000</v>
      </c>
      <c r="O462" s="92">
        <v>1</v>
      </c>
      <c r="P462" s="92">
        <f t="shared" si="115"/>
        <v>1000</v>
      </c>
      <c r="Q462" s="92"/>
      <c r="R462" s="92">
        <v>1000</v>
      </c>
      <c r="S462" s="92">
        <f t="shared" ref="S462:S492" si="121">P462-R462</f>
        <v>0</v>
      </c>
      <c r="T462" s="92">
        <f t="shared" si="116"/>
        <v>2468.5714285714284</v>
      </c>
      <c r="U462" s="91">
        <f t="shared" si="117"/>
        <v>0</v>
      </c>
      <c r="V462" s="91">
        <f t="shared" si="118"/>
        <v>0</v>
      </c>
      <c r="W462" s="91">
        <v>0</v>
      </c>
      <c r="X462" s="55">
        <f t="shared" si="119"/>
        <v>46153.014043209878</v>
      </c>
    </row>
    <row r="463" spans="1:24" ht="26" hidden="1" x14ac:dyDescent="0.35">
      <c r="A463" s="46">
        <f t="shared" si="120"/>
        <v>46153.014043209878</v>
      </c>
      <c r="B463" s="46"/>
      <c r="C463" s="260"/>
      <c r="D463" s="46"/>
      <c r="E463" s="47" t="s">
        <v>4384</v>
      </c>
      <c r="F463" s="82" t="s">
        <v>4725</v>
      </c>
      <c r="G463" s="82"/>
      <c r="H463" s="107" t="s">
        <v>4918</v>
      </c>
      <c r="I463" s="872" t="s">
        <v>4851</v>
      </c>
      <c r="J463" s="170" t="s">
        <v>140</v>
      </c>
      <c r="K463" s="875">
        <v>0</v>
      </c>
      <c r="L463" s="875">
        <v>0</v>
      </c>
      <c r="M463" s="873">
        <v>100</v>
      </c>
      <c r="N463" s="873">
        <v>3240</v>
      </c>
      <c r="O463" s="873">
        <v>1</v>
      </c>
      <c r="P463" s="873">
        <f t="shared" si="115"/>
        <v>3240</v>
      </c>
      <c r="Q463" s="873"/>
      <c r="R463" s="873">
        <v>3240</v>
      </c>
      <c r="S463" s="873">
        <f t="shared" si="121"/>
        <v>0</v>
      </c>
      <c r="T463" s="337">
        <f t="shared" si="116"/>
        <v>864</v>
      </c>
      <c r="U463" s="339">
        <f t="shared" si="117"/>
        <v>0</v>
      </c>
      <c r="V463" s="339">
        <f t="shared" si="118"/>
        <v>0</v>
      </c>
      <c r="W463" s="339">
        <v>0</v>
      </c>
      <c r="X463" s="55">
        <f t="shared" si="119"/>
        <v>46153.014043209878</v>
      </c>
    </row>
    <row r="464" spans="1:24" ht="26.5" hidden="1" x14ac:dyDescent="0.35">
      <c r="A464" s="46">
        <f t="shared" si="120"/>
        <v>46153.014043209878</v>
      </c>
      <c r="B464" s="46"/>
      <c r="C464" s="260"/>
      <c r="D464" s="46"/>
      <c r="E464" s="47" t="s">
        <v>3503</v>
      </c>
      <c r="F464" s="82" t="s">
        <v>215</v>
      </c>
      <c r="G464" s="82"/>
      <c r="H464" s="98" t="s">
        <v>4919</v>
      </c>
      <c r="I464" s="106" t="s">
        <v>4920</v>
      </c>
      <c r="J464" s="100" t="s">
        <v>140</v>
      </c>
      <c r="K464" s="91">
        <v>0</v>
      </c>
      <c r="L464" s="91">
        <v>0</v>
      </c>
      <c r="M464" s="92">
        <v>30</v>
      </c>
      <c r="N464" s="92">
        <v>3000</v>
      </c>
      <c r="O464" s="92">
        <v>1</v>
      </c>
      <c r="P464" s="92">
        <f t="shared" si="115"/>
        <v>3000</v>
      </c>
      <c r="Q464" s="92"/>
      <c r="R464" s="92">
        <v>3000</v>
      </c>
      <c r="S464" s="92">
        <f t="shared" si="121"/>
        <v>0</v>
      </c>
      <c r="T464" s="102">
        <f t="shared" si="116"/>
        <v>2880</v>
      </c>
      <c r="U464" s="101">
        <f t="shared" si="117"/>
        <v>0</v>
      </c>
      <c r="V464" s="101">
        <f t="shared" si="118"/>
        <v>0</v>
      </c>
      <c r="W464" s="101">
        <v>0</v>
      </c>
      <c r="X464" s="55">
        <f t="shared" si="119"/>
        <v>46153.014043209878</v>
      </c>
    </row>
    <row r="465" spans="1:24" ht="26.5" hidden="1" x14ac:dyDescent="0.35">
      <c r="A465" s="46">
        <f t="shared" si="120"/>
        <v>46153.014043209878</v>
      </c>
      <c r="B465" s="46"/>
      <c r="C465" s="260"/>
      <c r="D465" s="46"/>
      <c r="E465" s="47" t="s">
        <v>3503</v>
      </c>
      <c r="F465" s="82" t="s">
        <v>4921</v>
      </c>
      <c r="G465" s="82"/>
      <c r="H465" s="107" t="s">
        <v>4922</v>
      </c>
      <c r="I465" s="106" t="s">
        <v>3559</v>
      </c>
      <c r="J465" s="100" t="s">
        <v>140</v>
      </c>
      <c r="K465" s="91">
        <v>0</v>
      </c>
      <c r="L465" s="91">
        <v>0</v>
      </c>
      <c r="M465" s="92">
        <v>45</v>
      </c>
      <c r="N465" s="92">
        <v>1120</v>
      </c>
      <c r="O465" s="92">
        <v>1</v>
      </c>
      <c r="P465" s="92">
        <f t="shared" si="115"/>
        <v>1120</v>
      </c>
      <c r="Q465" s="92"/>
      <c r="R465" s="92">
        <v>1120</v>
      </c>
      <c r="S465" s="92">
        <f t="shared" si="121"/>
        <v>0</v>
      </c>
      <c r="T465" s="102">
        <f t="shared" si="116"/>
        <v>1920</v>
      </c>
      <c r="U465" s="101">
        <f t="shared" si="117"/>
        <v>0</v>
      </c>
      <c r="V465" s="101">
        <f t="shared" si="118"/>
        <v>0</v>
      </c>
      <c r="W465" s="101">
        <v>0</v>
      </c>
      <c r="X465" s="55">
        <f t="shared" si="119"/>
        <v>46153.014043209878</v>
      </c>
    </row>
    <row r="466" spans="1:24" hidden="1" x14ac:dyDescent="0.35">
      <c r="A466" s="46">
        <f t="shared" si="120"/>
        <v>46153.014043209878</v>
      </c>
      <c r="B466" s="46"/>
      <c r="C466" s="260"/>
      <c r="D466" s="46"/>
      <c r="E466" s="47" t="s">
        <v>3503</v>
      </c>
      <c r="F466" s="97" t="s">
        <v>1603</v>
      </c>
      <c r="G466" s="97"/>
      <c r="H466" s="108">
        <v>12335</v>
      </c>
      <c r="I466" s="82" t="s">
        <v>4385</v>
      </c>
      <c r="J466" s="51" t="s">
        <v>140</v>
      </c>
      <c r="K466" s="91">
        <v>0</v>
      </c>
      <c r="L466" s="91">
        <v>0</v>
      </c>
      <c r="M466" s="92">
        <v>35</v>
      </c>
      <c r="N466" s="92">
        <v>4000</v>
      </c>
      <c r="O466" s="92">
        <v>1</v>
      </c>
      <c r="P466" s="92">
        <f t="shared" si="115"/>
        <v>4000</v>
      </c>
      <c r="Q466" s="92"/>
      <c r="R466" s="92">
        <v>4000</v>
      </c>
      <c r="S466" s="92">
        <f t="shared" si="121"/>
        <v>0</v>
      </c>
      <c r="T466" s="92">
        <f t="shared" si="116"/>
        <v>2468.5714285714284</v>
      </c>
      <c r="U466" s="91">
        <f t="shared" si="117"/>
        <v>0</v>
      </c>
      <c r="V466" s="91">
        <f t="shared" si="118"/>
        <v>0</v>
      </c>
      <c r="W466" s="91">
        <v>0</v>
      </c>
      <c r="X466" s="55">
        <f t="shared" si="119"/>
        <v>46153.014043209878</v>
      </c>
    </row>
    <row r="467" spans="1:24" hidden="1" x14ac:dyDescent="0.35">
      <c r="A467" s="46">
        <f t="shared" si="120"/>
        <v>46153.014043209878</v>
      </c>
      <c r="B467" s="46"/>
      <c r="C467" s="260"/>
      <c r="D467" s="46"/>
      <c r="E467" s="47" t="s">
        <v>3503</v>
      </c>
      <c r="F467" s="82" t="s">
        <v>4607</v>
      </c>
      <c r="G467" s="82"/>
      <c r="H467" s="340" t="s">
        <v>4923</v>
      </c>
      <c r="I467" s="82" t="s">
        <v>4924</v>
      </c>
      <c r="J467" s="100" t="s">
        <v>140</v>
      </c>
      <c r="K467" s="91">
        <v>0</v>
      </c>
      <c r="L467" s="91">
        <v>0</v>
      </c>
      <c r="M467" s="92">
        <v>25</v>
      </c>
      <c r="N467" s="92">
        <v>1200</v>
      </c>
      <c r="O467" s="92">
        <v>1</v>
      </c>
      <c r="P467" s="92">
        <f t="shared" si="115"/>
        <v>1200</v>
      </c>
      <c r="Q467" s="92"/>
      <c r="R467" s="92">
        <v>1200</v>
      </c>
      <c r="S467" s="92">
        <f t="shared" si="121"/>
        <v>0</v>
      </c>
      <c r="T467" s="102">
        <f t="shared" si="116"/>
        <v>3456</v>
      </c>
      <c r="U467" s="101">
        <f t="shared" si="117"/>
        <v>0</v>
      </c>
      <c r="V467" s="101">
        <f t="shared" si="118"/>
        <v>0</v>
      </c>
      <c r="W467" s="101">
        <v>0</v>
      </c>
      <c r="X467" s="55">
        <f t="shared" si="119"/>
        <v>46153.014043209878</v>
      </c>
    </row>
    <row r="468" spans="1:24" hidden="1" x14ac:dyDescent="0.35">
      <c r="A468" s="46">
        <f t="shared" si="120"/>
        <v>46153.014043209878</v>
      </c>
      <c r="B468" s="46"/>
      <c r="C468" s="260"/>
      <c r="D468" s="46"/>
      <c r="E468" s="47" t="s">
        <v>3503</v>
      </c>
      <c r="F468" s="97" t="s">
        <v>1603</v>
      </c>
      <c r="G468" s="97"/>
      <c r="H468" s="452" t="s">
        <v>4925</v>
      </c>
      <c r="I468" s="82" t="s">
        <v>4909</v>
      </c>
      <c r="J468" s="51" t="s">
        <v>140</v>
      </c>
      <c r="K468" s="91">
        <v>0</v>
      </c>
      <c r="L468" s="91">
        <v>0</v>
      </c>
      <c r="M468" s="92">
        <v>30</v>
      </c>
      <c r="N468" s="92">
        <v>4000</v>
      </c>
      <c r="O468" s="92">
        <v>1</v>
      </c>
      <c r="P468" s="92">
        <f t="shared" si="115"/>
        <v>4000</v>
      </c>
      <c r="Q468" s="92"/>
      <c r="R468" s="92">
        <v>4000</v>
      </c>
      <c r="S468" s="92">
        <f t="shared" si="121"/>
        <v>0</v>
      </c>
      <c r="T468" s="92">
        <f t="shared" si="116"/>
        <v>2880</v>
      </c>
      <c r="U468" s="91">
        <f t="shared" si="117"/>
        <v>0</v>
      </c>
      <c r="V468" s="91">
        <f t="shared" si="118"/>
        <v>0</v>
      </c>
      <c r="W468" s="91">
        <v>0</v>
      </c>
      <c r="X468" s="55">
        <f t="shared" si="119"/>
        <v>46153.014043209878</v>
      </c>
    </row>
    <row r="469" spans="1:24" hidden="1" x14ac:dyDescent="0.35">
      <c r="A469" s="46">
        <f t="shared" si="120"/>
        <v>46153.014043209878</v>
      </c>
      <c r="B469" s="46"/>
      <c r="C469" s="260"/>
      <c r="D469" s="46"/>
      <c r="E469" s="47" t="s">
        <v>4384</v>
      </c>
      <c r="F469" s="97" t="s">
        <v>4926</v>
      </c>
      <c r="G469" s="97"/>
      <c r="H469" s="98" t="s">
        <v>4927</v>
      </c>
      <c r="I469" s="99" t="s">
        <v>3548</v>
      </c>
      <c r="J469" s="100" t="s">
        <v>140</v>
      </c>
      <c r="K469" s="91">
        <v>0</v>
      </c>
      <c r="L469" s="91">
        <v>0</v>
      </c>
      <c r="M469" s="92">
        <v>60</v>
      </c>
      <c r="N469" s="92">
        <v>4100</v>
      </c>
      <c r="O469" s="92">
        <v>4</v>
      </c>
      <c r="P469" s="92">
        <f t="shared" si="115"/>
        <v>1025</v>
      </c>
      <c r="Q469" s="92"/>
      <c r="R469" s="92">
        <v>1025</v>
      </c>
      <c r="S469" s="92">
        <f t="shared" si="121"/>
        <v>0</v>
      </c>
      <c r="T469" s="102">
        <f t="shared" si="116"/>
        <v>5760</v>
      </c>
      <c r="U469" s="101">
        <f t="shared" si="117"/>
        <v>0</v>
      </c>
      <c r="V469" s="101">
        <f t="shared" si="118"/>
        <v>0</v>
      </c>
      <c r="W469" s="101">
        <v>0</v>
      </c>
      <c r="X469" s="55">
        <f t="shared" si="119"/>
        <v>46153.014043209878</v>
      </c>
    </row>
    <row r="470" spans="1:24" hidden="1" x14ac:dyDescent="0.35">
      <c r="A470" s="46">
        <f t="shared" si="120"/>
        <v>46153.014043209878</v>
      </c>
      <c r="B470" s="46"/>
      <c r="C470" s="260"/>
      <c r="D470" s="46"/>
      <c r="E470" s="296" t="s">
        <v>4384</v>
      </c>
      <c r="F470" s="366" t="s">
        <v>14</v>
      </c>
      <c r="G470" s="454"/>
      <c r="H470" s="455" t="s">
        <v>14</v>
      </c>
      <c r="I470" s="297" t="s">
        <v>4928</v>
      </c>
      <c r="J470" s="351" t="s">
        <v>140</v>
      </c>
      <c r="K470" s="91">
        <v>0</v>
      </c>
      <c r="L470" s="91">
        <v>0</v>
      </c>
      <c r="M470" s="353">
        <v>50</v>
      </c>
      <c r="N470" s="353">
        <v>50</v>
      </c>
      <c r="O470" s="353">
        <v>1</v>
      </c>
      <c r="P470" s="353">
        <f t="shared" si="115"/>
        <v>50</v>
      </c>
      <c r="Q470" s="353"/>
      <c r="R470" s="353"/>
      <c r="S470" s="353">
        <f t="shared" si="121"/>
        <v>50</v>
      </c>
      <c r="T470" s="353">
        <f t="shared" si="116"/>
        <v>1728</v>
      </c>
      <c r="U470" s="352">
        <f t="shared" si="117"/>
        <v>0.69444444444444442</v>
      </c>
      <c r="V470" s="352">
        <f t="shared" si="118"/>
        <v>2.8935185185185185E-2</v>
      </c>
      <c r="W470" s="352">
        <v>0</v>
      </c>
      <c r="X470" s="55">
        <f t="shared" si="119"/>
        <v>46153.04297839506</v>
      </c>
    </row>
    <row r="471" spans="1:24" hidden="1" x14ac:dyDescent="0.35">
      <c r="A471" s="46">
        <f t="shared" si="120"/>
        <v>46153.04297839506</v>
      </c>
      <c r="B471" s="46"/>
      <c r="C471" s="260"/>
      <c r="D471" s="46"/>
      <c r="E471" s="47" t="s">
        <v>4384</v>
      </c>
      <c r="F471" s="97" t="s">
        <v>900</v>
      </c>
      <c r="G471" s="97"/>
      <c r="H471" s="98" t="s">
        <v>4929</v>
      </c>
      <c r="I471" s="82" t="s">
        <v>4916</v>
      </c>
      <c r="J471" s="51" t="s">
        <v>140</v>
      </c>
      <c r="K471" s="91">
        <v>0</v>
      </c>
      <c r="L471" s="91">
        <v>0</v>
      </c>
      <c r="M471" s="92">
        <v>45</v>
      </c>
      <c r="N471" s="92">
        <v>5000</v>
      </c>
      <c r="O471" s="92">
        <v>1</v>
      </c>
      <c r="P471" s="92">
        <f t="shared" si="115"/>
        <v>5000</v>
      </c>
      <c r="Q471" s="92"/>
      <c r="R471" s="92">
        <v>5000</v>
      </c>
      <c r="S471" s="92">
        <f t="shared" si="121"/>
        <v>0</v>
      </c>
      <c r="T471" s="92">
        <f t="shared" si="116"/>
        <v>1920</v>
      </c>
      <c r="U471" s="91">
        <f t="shared" si="117"/>
        <v>0</v>
      </c>
      <c r="V471" s="91">
        <f t="shared" si="118"/>
        <v>0</v>
      </c>
      <c r="W471" s="91">
        <v>0</v>
      </c>
      <c r="X471" s="55">
        <f t="shared" si="119"/>
        <v>46153.04297839506</v>
      </c>
    </row>
    <row r="472" spans="1:24" hidden="1" x14ac:dyDescent="0.35">
      <c r="A472" s="46">
        <f t="shared" si="120"/>
        <v>46153.04297839506</v>
      </c>
      <c r="B472" s="46"/>
      <c r="C472" s="260"/>
      <c r="D472" s="46"/>
      <c r="E472" s="47" t="s">
        <v>4384</v>
      </c>
      <c r="F472" s="97" t="s">
        <v>900</v>
      </c>
      <c r="G472" s="97"/>
      <c r="H472" s="98" t="s">
        <v>4930</v>
      </c>
      <c r="I472" s="82" t="s">
        <v>3512</v>
      </c>
      <c r="J472" s="51" t="s">
        <v>140</v>
      </c>
      <c r="K472" s="91">
        <v>0</v>
      </c>
      <c r="L472" s="91">
        <v>0</v>
      </c>
      <c r="M472" s="92">
        <v>75</v>
      </c>
      <c r="N472" s="92">
        <v>5000</v>
      </c>
      <c r="O472" s="92">
        <v>1</v>
      </c>
      <c r="P472" s="92">
        <f t="shared" si="115"/>
        <v>5000</v>
      </c>
      <c r="Q472" s="92"/>
      <c r="R472" s="92">
        <v>5000</v>
      </c>
      <c r="S472" s="92">
        <f t="shared" si="121"/>
        <v>0</v>
      </c>
      <c r="T472" s="92">
        <f t="shared" si="116"/>
        <v>1152</v>
      </c>
      <c r="U472" s="91">
        <f t="shared" si="117"/>
        <v>0</v>
      </c>
      <c r="V472" s="91">
        <f t="shared" si="118"/>
        <v>0</v>
      </c>
      <c r="W472" s="91">
        <v>0</v>
      </c>
      <c r="X472" s="55">
        <f t="shared" si="119"/>
        <v>46153.04297839506</v>
      </c>
    </row>
    <row r="473" spans="1:24" ht="15" hidden="1" customHeight="1" x14ac:dyDescent="0.35">
      <c r="A473" s="46">
        <f t="shared" si="120"/>
        <v>46153.04297839506</v>
      </c>
      <c r="B473" s="46"/>
      <c r="C473" s="260"/>
      <c r="D473" s="46"/>
      <c r="E473" s="47" t="s">
        <v>4384</v>
      </c>
      <c r="F473" s="97" t="s">
        <v>1860</v>
      </c>
      <c r="G473" s="97"/>
      <c r="H473" s="98" t="s">
        <v>4931</v>
      </c>
      <c r="I473" s="82" t="s">
        <v>3512</v>
      </c>
      <c r="J473" s="51" t="s">
        <v>140</v>
      </c>
      <c r="K473" s="91">
        <v>0</v>
      </c>
      <c r="L473" s="91">
        <v>0</v>
      </c>
      <c r="M473" s="92">
        <v>75</v>
      </c>
      <c r="N473" s="92">
        <v>2500</v>
      </c>
      <c r="O473" s="92">
        <v>1</v>
      </c>
      <c r="P473" s="92">
        <f t="shared" si="115"/>
        <v>2500</v>
      </c>
      <c r="Q473" s="92"/>
      <c r="R473" s="92">
        <v>2500</v>
      </c>
      <c r="S473" s="92">
        <f t="shared" si="121"/>
        <v>0</v>
      </c>
      <c r="T473" s="92">
        <f t="shared" si="116"/>
        <v>1152</v>
      </c>
      <c r="U473" s="91">
        <f t="shared" si="117"/>
        <v>0</v>
      </c>
      <c r="V473" s="91">
        <f t="shared" si="118"/>
        <v>0</v>
      </c>
      <c r="W473" s="91">
        <v>0</v>
      </c>
      <c r="X473" s="55">
        <f t="shared" si="119"/>
        <v>46153.04297839506</v>
      </c>
    </row>
    <row r="474" spans="1:24" ht="27" hidden="1" customHeight="1" x14ac:dyDescent="0.35">
      <c r="A474" s="46">
        <f t="shared" si="120"/>
        <v>46153.04297839506</v>
      </c>
      <c r="B474" s="46"/>
      <c r="C474" s="260"/>
      <c r="D474" s="46"/>
      <c r="E474" s="47" t="s">
        <v>4384</v>
      </c>
      <c r="F474" s="97" t="s">
        <v>4614</v>
      </c>
      <c r="G474" s="97"/>
      <c r="H474" s="107" t="s">
        <v>4615</v>
      </c>
      <c r="I474" s="82" t="s">
        <v>4471</v>
      </c>
      <c r="J474" s="100" t="s">
        <v>140</v>
      </c>
      <c r="K474" s="91">
        <v>0</v>
      </c>
      <c r="L474" s="91">
        <v>0</v>
      </c>
      <c r="M474" s="92">
        <v>12</v>
      </c>
      <c r="N474" s="92">
        <f>4*49500</f>
        <v>198000</v>
      </c>
      <c r="O474" s="92">
        <v>12</v>
      </c>
      <c r="P474" s="92">
        <f t="shared" si="115"/>
        <v>16500</v>
      </c>
      <c r="Q474" s="92"/>
      <c r="R474" s="92">
        <v>16500</v>
      </c>
      <c r="S474" s="92">
        <f t="shared" si="121"/>
        <v>0</v>
      </c>
      <c r="T474" s="102">
        <f t="shared" si="116"/>
        <v>86400</v>
      </c>
      <c r="U474" s="101">
        <f t="shared" si="117"/>
        <v>0</v>
      </c>
      <c r="V474" s="101">
        <f t="shared" si="118"/>
        <v>0</v>
      </c>
      <c r="W474" s="101">
        <v>0</v>
      </c>
      <c r="X474" s="55">
        <f t="shared" si="119"/>
        <v>46153.04297839506</v>
      </c>
    </row>
    <row r="475" spans="1:24" ht="25" hidden="1" customHeight="1" x14ac:dyDescent="0.35">
      <c r="A475" s="46">
        <f t="shared" si="120"/>
        <v>46153.04297839506</v>
      </c>
      <c r="B475" s="46"/>
      <c r="C475" s="260"/>
      <c r="D475" s="46"/>
      <c r="E475" s="47" t="s">
        <v>3503</v>
      </c>
      <c r="F475" s="97" t="s">
        <v>4932</v>
      </c>
      <c r="G475" s="698"/>
      <c r="H475" s="699" t="s">
        <v>4933</v>
      </c>
      <c r="I475" s="82" t="s">
        <v>4934</v>
      </c>
      <c r="J475" s="51" t="s">
        <v>140</v>
      </c>
      <c r="K475" s="91">
        <v>0</v>
      </c>
      <c r="L475" s="91">
        <v>0</v>
      </c>
      <c r="M475" s="92">
        <v>50</v>
      </c>
      <c r="N475" s="92">
        <v>1000</v>
      </c>
      <c r="O475" s="92">
        <v>1</v>
      </c>
      <c r="P475" s="92">
        <f t="shared" ref="P475:P490" si="122">N475/O475</f>
        <v>1000</v>
      </c>
      <c r="Q475" s="92"/>
      <c r="R475" s="92">
        <v>1000</v>
      </c>
      <c r="S475" s="92">
        <f t="shared" si="121"/>
        <v>0</v>
      </c>
      <c r="T475" s="92">
        <f t="shared" si="116"/>
        <v>1728</v>
      </c>
      <c r="U475" s="91">
        <f t="shared" si="117"/>
        <v>0</v>
      </c>
      <c r="V475" s="91">
        <f t="shared" si="118"/>
        <v>0</v>
      </c>
      <c r="W475" s="91">
        <v>0</v>
      </c>
      <c r="X475" s="55">
        <f t="shared" si="119"/>
        <v>46153.04297839506</v>
      </c>
    </row>
    <row r="476" spans="1:24" ht="25" hidden="1" customHeight="1" x14ac:dyDescent="0.35">
      <c r="A476" s="46">
        <f t="shared" si="120"/>
        <v>46153.04297839506</v>
      </c>
      <c r="B476" s="46"/>
      <c r="C476" s="260"/>
      <c r="D476" s="46"/>
      <c r="E476" s="47" t="s">
        <v>3503</v>
      </c>
      <c r="F476" s="97" t="s">
        <v>4932</v>
      </c>
      <c r="G476" s="698"/>
      <c r="H476" s="699" t="s">
        <v>4935</v>
      </c>
      <c r="I476" s="82" t="s">
        <v>4936</v>
      </c>
      <c r="J476" s="51" t="s">
        <v>140</v>
      </c>
      <c r="K476" s="91">
        <v>0</v>
      </c>
      <c r="L476" s="91">
        <v>0</v>
      </c>
      <c r="M476" s="92">
        <v>50</v>
      </c>
      <c r="N476" s="92">
        <v>1000</v>
      </c>
      <c r="O476" s="92">
        <v>1</v>
      </c>
      <c r="P476" s="92">
        <f t="shared" si="122"/>
        <v>1000</v>
      </c>
      <c r="Q476" s="92"/>
      <c r="R476" s="92">
        <v>1000</v>
      </c>
      <c r="S476" s="92">
        <f t="shared" si="121"/>
        <v>0</v>
      </c>
      <c r="T476" s="92">
        <f t="shared" si="116"/>
        <v>1728</v>
      </c>
      <c r="U476" s="91">
        <f t="shared" si="117"/>
        <v>0</v>
      </c>
      <c r="V476" s="91">
        <f t="shared" si="118"/>
        <v>0</v>
      </c>
      <c r="W476" s="91">
        <v>0</v>
      </c>
      <c r="X476" s="55">
        <f t="shared" si="119"/>
        <v>46153.04297839506</v>
      </c>
    </row>
    <row r="477" spans="1:24" ht="25" hidden="1" customHeight="1" x14ac:dyDescent="0.35">
      <c r="A477" s="46">
        <f t="shared" si="120"/>
        <v>46153.04297839506</v>
      </c>
      <c r="B477" s="46"/>
      <c r="C477" s="260"/>
      <c r="D477" s="46"/>
      <c r="E477" s="47" t="s">
        <v>3503</v>
      </c>
      <c r="F477" s="97" t="s">
        <v>4937</v>
      </c>
      <c r="G477" s="97"/>
      <c r="H477" s="98" t="s">
        <v>4938</v>
      </c>
      <c r="I477" s="69" t="s">
        <v>4939</v>
      </c>
      <c r="J477" s="51" t="s">
        <v>140</v>
      </c>
      <c r="K477" s="91">
        <v>0</v>
      </c>
      <c r="L477" s="91">
        <v>0</v>
      </c>
      <c r="M477" s="92">
        <v>25</v>
      </c>
      <c r="N477" s="92">
        <v>1500</v>
      </c>
      <c r="O477" s="92">
        <v>1</v>
      </c>
      <c r="P477" s="92">
        <f t="shared" si="122"/>
        <v>1500</v>
      </c>
      <c r="Q477" s="92"/>
      <c r="R477" s="92">
        <v>1500</v>
      </c>
      <c r="S477" s="92">
        <f t="shared" si="121"/>
        <v>0</v>
      </c>
      <c r="T477" s="92">
        <f t="shared" si="116"/>
        <v>3456</v>
      </c>
      <c r="U477" s="91">
        <f t="shared" si="117"/>
        <v>0</v>
      </c>
      <c r="V477" s="91">
        <f t="shared" si="118"/>
        <v>0</v>
      </c>
      <c r="W477" s="91">
        <v>0</v>
      </c>
      <c r="X477" s="55">
        <f t="shared" si="119"/>
        <v>46153.04297839506</v>
      </c>
    </row>
    <row r="478" spans="1:24" ht="25" hidden="1" customHeight="1" x14ac:dyDescent="0.35">
      <c r="A478" s="46">
        <f t="shared" si="120"/>
        <v>46153.04297839506</v>
      </c>
      <c r="B478" s="46"/>
      <c r="C478" s="260"/>
      <c r="D478" s="46"/>
      <c r="E478" s="47" t="s">
        <v>3503</v>
      </c>
      <c r="F478" s="97" t="s">
        <v>4937</v>
      </c>
      <c r="G478" s="97"/>
      <c r="H478" s="98" t="s">
        <v>4940</v>
      </c>
      <c r="I478" s="82" t="s">
        <v>4941</v>
      </c>
      <c r="J478" s="100" t="s">
        <v>140</v>
      </c>
      <c r="K478" s="91">
        <v>0</v>
      </c>
      <c r="L478" s="91">
        <v>0</v>
      </c>
      <c r="M478" s="92">
        <v>45</v>
      </c>
      <c r="N478" s="92">
        <v>1500</v>
      </c>
      <c r="O478" s="92">
        <v>1</v>
      </c>
      <c r="P478" s="92">
        <f t="shared" si="122"/>
        <v>1500</v>
      </c>
      <c r="Q478" s="92"/>
      <c r="R478" s="102">
        <v>1500</v>
      </c>
      <c r="S478" s="92">
        <f t="shared" si="121"/>
        <v>0</v>
      </c>
      <c r="T478" s="102">
        <f t="shared" si="116"/>
        <v>1920</v>
      </c>
      <c r="U478" s="101">
        <f t="shared" si="117"/>
        <v>0</v>
      </c>
      <c r="V478" s="101">
        <f t="shared" si="118"/>
        <v>0</v>
      </c>
      <c r="W478" s="101">
        <v>0</v>
      </c>
      <c r="X478" s="55">
        <f t="shared" si="119"/>
        <v>46153.04297839506</v>
      </c>
    </row>
    <row r="479" spans="1:24" ht="25" hidden="1" customHeight="1" x14ac:dyDescent="0.35">
      <c r="A479" s="46">
        <f t="shared" si="120"/>
        <v>46153.04297839506</v>
      </c>
      <c r="B479" s="46"/>
      <c r="C479" s="260"/>
      <c r="D479" s="46"/>
      <c r="E479" s="47" t="s">
        <v>3503</v>
      </c>
      <c r="F479" s="97" t="s">
        <v>4942</v>
      </c>
      <c r="G479" s="97"/>
      <c r="H479" s="98" t="s">
        <v>4943</v>
      </c>
      <c r="I479" s="82" t="s">
        <v>4941</v>
      </c>
      <c r="J479" s="100" t="s">
        <v>140</v>
      </c>
      <c r="K479" s="91">
        <v>0</v>
      </c>
      <c r="L479" s="91">
        <v>0</v>
      </c>
      <c r="M479" s="92">
        <v>45</v>
      </c>
      <c r="N479" s="92">
        <v>7200</v>
      </c>
      <c r="O479" s="92">
        <v>1</v>
      </c>
      <c r="P479" s="92">
        <f t="shared" si="122"/>
        <v>7200</v>
      </c>
      <c r="Q479" s="92"/>
      <c r="R479" s="102">
        <v>7200</v>
      </c>
      <c r="S479" s="92">
        <f t="shared" si="121"/>
        <v>0</v>
      </c>
      <c r="T479" s="102">
        <f t="shared" si="116"/>
        <v>1920</v>
      </c>
      <c r="U479" s="101">
        <f t="shared" si="117"/>
        <v>0</v>
      </c>
      <c r="V479" s="101">
        <f t="shared" si="118"/>
        <v>0</v>
      </c>
      <c r="W479" s="101">
        <v>0</v>
      </c>
      <c r="X479" s="55">
        <f t="shared" si="119"/>
        <v>46153.04297839506</v>
      </c>
    </row>
    <row r="480" spans="1:24" ht="25" hidden="1" customHeight="1" x14ac:dyDescent="0.35">
      <c r="A480" s="46">
        <f t="shared" si="120"/>
        <v>46153.04297839506</v>
      </c>
      <c r="B480" s="46"/>
      <c r="C480" s="260"/>
      <c r="D480" s="46"/>
      <c r="E480" s="47" t="s">
        <v>3503</v>
      </c>
      <c r="F480" s="48" t="s">
        <v>4944</v>
      </c>
      <c r="G480" s="48" t="s">
        <v>315</v>
      </c>
      <c r="H480" s="49" t="s">
        <v>4945</v>
      </c>
      <c r="I480" s="82" t="s">
        <v>4808</v>
      </c>
      <c r="J480" s="100" t="s">
        <v>140</v>
      </c>
      <c r="K480" s="91">
        <v>0</v>
      </c>
      <c r="L480" s="91">
        <v>0</v>
      </c>
      <c r="M480" s="92">
        <v>40</v>
      </c>
      <c r="N480" s="92">
        <v>5000</v>
      </c>
      <c r="O480" s="92">
        <v>1</v>
      </c>
      <c r="P480" s="92">
        <f t="shared" si="122"/>
        <v>5000</v>
      </c>
      <c r="Q480" s="92"/>
      <c r="R480" s="92">
        <v>5000</v>
      </c>
      <c r="S480" s="92">
        <f t="shared" si="121"/>
        <v>0</v>
      </c>
      <c r="T480" s="102">
        <f t="shared" si="116"/>
        <v>2160</v>
      </c>
      <c r="U480" s="101">
        <f t="shared" si="117"/>
        <v>0</v>
      </c>
      <c r="V480" s="101">
        <f t="shared" si="118"/>
        <v>0</v>
      </c>
      <c r="W480" s="101">
        <v>0</v>
      </c>
      <c r="X480" s="55">
        <f t="shared" si="119"/>
        <v>46153.04297839506</v>
      </c>
    </row>
    <row r="481" spans="1:24" ht="25" hidden="1" customHeight="1" x14ac:dyDescent="0.35">
      <c r="A481" s="46">
        <f t="shared" si="120"/>
        <v>46153.04297839506</v>
      </c>
      <c r="B481" s="46"/>
      <c r="C481" s="260"/>
      <c r="D481" s="46"/>
      <c r="E481" s="47" t="s">
        <v>3503</v>
      </c>
      <c r="F481" s="82" t="s">
        <v>220</v>
      </c>
      <c r="G481" s="82" t="s">
        <v>4946</v>
      </c>
      <c r="H481" s="334" t="s">
        <v>4947</v>
      </c>
      <c r="I481" s="697" t="s">
        <v>3464</v>
      </c>
      <c r="J481" s="100" t="s">
        <v>140</v>
      </c>
      <c r="K481" s="91">
        <v>0</v>
      </c>
      <c r="L481" s="91">
        <v>0</v>
      </c>
      <c r="M481" s="92">
        <v>40</v>
      </c>
      <c r="N481" s="92">
        <v>15000</v>
      </c>
      <c r="O481" s="92">
        <v>1</v>
      </c>
      <c r="P481" s="92">
        <f t="shared" si="122"/>
        <v>15000</v>
      </c>
      <c r="Q481" s="92"/>
      <c r="R481" s="92">
        <v>15000</v>
      </c>
      <c r="S481" s="102">
        <f t="shared" si="121"/>
        <v>0</v>
      </c>
      <c r="T481" s="102">
        <f t="shared" si="116"/>
        <v>2160</v>
      </c>
      <c r="U481" s="101">
        <f t="shared" si="117"/>
        <v>0</v>
      </c>
      <c r="V481" s="101">
        <f t="shared" si="118"/>
        <v>0</v>
      </c>
      <c r="W481" s="101">
        <v>0</v>
      </c>
      <c r="X481" s="55">
        <f t="shared" si="119"/>
        <v>46153.04297839506</v>
      </c>
    </row>
    <row r="482" spans="1:24" ht="25" hidden="1" customHeight="1" x14ac:dyDescent="0.35">
      <c r="A482" s="46">
        <f t="shared" si="120"/>
        <v>46153.04297839506</v>
      </c>
      <c r="B482" s="46"/>
      <c r="C482" s="260"/>
      <c r="D482" s="46"/>
      <c r="E482" s="47" t="s">
        <v>3503</v>
      </c>
      <c r="F482" s="82" t="s">
        <v>4948</v>
      </c>
      <c r="G482" s="82" t="s">
        <v>327</v>
      </c>
      <c r="H482" s="334" t="s">
        <v>4949</v>
      </c>
      <c r="I482" s="697" t="s">
        <v>3464</v>
      </c>
      <c r="J482" s="100" t="s">
        <v>140</v>
      </c>
      <c r="K482" s="91">
        <v>0</v>
      </c>
      <c r="L482" s="91">
        <v>0</v>
      </c>
      <c r="M482" s="92">
        <v>40</v>
      </c>
      <c r="N482" s="92">
        <v>5000</v>
      </c>
      <c r="O482" s="92">
        <v>1</v>
      </c>
      <c r="P482" s="92">
        <f t="shared" si="122"/>
        <v>5000</v>
      </c>
      <c r="Q482" s="92"/>
      <c r="R482" s="92">
        <v>5000</v>
      </c>
      <c r="S482" s="102">
        <f t="shared" si="121"/>
        <v>0</v>
      </c>
      <c r="T482" s="102">
        <f t="shared" si="116"/>
        <v>2160</v>
      </c>
      <c r="U482" s="101">
        <f t="shared" si="117"/>
        <v>0</v>
      </c>
      <c r="V482" s="101">
        <f t="shared" si="118"/>
        <v>0</v>
      </c>
      <c r="W482" s="101">
        <v>0</v>
      </c>
      <c r="X482" s="55">
        <f t="shared" ref="X482:X492" si="123">A482+K482+L482+V482+W482</f>
        <v>46153.04297839506</v>
      </c>
    </row>
    <row r="483" spans="1:24" ht="26.5" hidden="1" x14ac:dyDescent="0.35">
      <c r="A483" s="46">
        <f t="shared" si="120"/>
        <v>46153.04297839506</v>
      </c>
      <c r="B483" s="46"/>
      <c r="C483" s="260"/>
      <c r="D483" s="46"/>
      <c r="E483" s="47" t="s">
        <v>4384</v>
      </c>
      <c r="F483" s="82" t="s">
        <v>4451</v>
      </c>
      <c r="G483" s="82" t="s">
        <v>327</v>
      </c>
      <c r="H483" s="334" t="s">
        <v>4747</v>
      </c>
      <c r="I483" s="697" t="s">
        <v>3464</v>
      </c>
      <c r="J483" s="100" t="s">
        <v>140</v>
      </c>
      <c r="K483" s="91">
        <v>0</v>
      </c>
      <c r="L483" s="91">
        <v>0</v>
      </c>
      <c r="M483" s="92">
        <v>40</v>
      </c>
      <c r="N483" s="92">
        <v>1584</v>
      </c>
      <c r="O483" s="92">
        <v>1</v>
      </c>
      <c r="P483" s="92">
        <f t="shared" si="122"/>
        <v>1584</v>
      </c>
      <c r="Q483" s="92"/>
      <c r="R483" s="92">
        <v>1584</v>
      </c>
      <c r="S483" s="102">
        <f t="shared" si="121"/>
        <v>0</v>
      </c>
      <c r="T483" s="102">
        <f t="shared" si="116"/>
        <v>2160</v>
      </c>
      <c r="U483" s="101">
        <f t="shared" si="117"/>
        <v>0</v>
      </c>
      <c r="V483" s="101">
        <f t="shared" si="118"/>
        <v>0</v>
      </c>
      <c r="W483" s="101">
        <v>0</v>
      </c>
      <c r="X483" s="55">
        <f t="shared" si="123"/>
        <v>46153.04297839506</v>
      </c>
    </row>
    <row r="484" spans="1:24" hidden="1" x14ac:dyDescent="0.35">
      <c r="A484" s="46">
        <f t="shared" si="120"/>
        <v>46153.04297839506</v>
      </c>
      <c r="B484" s="46"/>
      <c r="C484" s="260"/>
      <c r="D484" s="46"/>
      <c r="E484" s="47" t="s">
        <v>4758</v>
      </c>
      <c r="F484" s="97" t="s">
        <v>4451</v>
      </c>
      <c r="G484" s="85" t="s">
        <v>327</v>
      </c>
      <c r="H484" s="98" t="s">
        <v>4950</v>
      </c>
      <c r="I484" s="82" t="s">
        <v>4453</v>
      </c>
      <c r="J484" s="51" t="s">
        <v>140</v>
      </c>
      <c r="K484" s="91">
        <v>0</v>
      </c>
      <c r="L484" s="91">
        <v>0</v>
      </c>
      <c r="M484" s="92">
        <v>45</v>
      </c>
      <c r="N484" s="94">
        <v>5000</v>
      </c>
      <c r="O484" s="92">
        <v>1</v>
      </c>
      <c r="P484" s="94">
        <f t="shared" si="122"/>
        <v>5000</v>
      </c>
      <c r="Q484" s="94"/>
      <c r="R484" s="92">
        <v>5000</v>
      </c>
      <c r="S484" s="92">
        <f t="shared" si="121"/>
        <v>0</v>
      </c>
      <c r="T484" s="92">
        <f t="shared" si="116"/>
        <v>1920</v>
      </c>
      <c r="U484" s="91">
        <f t="shared" si="117"/>
        <v>0</v>
      </c>
      <c r="V484" s="91">
        <f t="shared" si="118"/>
        <v>0</v>
      </c>
      <c r="W484" s="91">
        <v>0</v>
      </c>
      <c r="X484" s="55">
        <f t="shared" si="123"/>
        <v>46153.04297839506</v>
      </c>
    </row>
    <row r="485" spans="1:24" hidden="1" x14ac:dyDescent="0.35">
      <c r="A485" s="46">
        <f t="shared" si="120"/>
        <v>46153.04297839506</v>
      </c>
      <c r="B485" s="46"/>
      <c r="C485" s="260"/>
      <c r="D485" s="46"/>
      <c r="E485" s="47" t="s">
        <v>4758</v>
      </c>
      <c r="F485" s="82" t="s">
        <v>314</v>
      </c>
      <c r="G485" s="82" t="s">
        <v>315</v>
      </c>
      <c r="H485" s="108">
        <v>12636</v>
      </c>
      <c r="I485" s="855" t="s">
        <v>4884</v>
      </c>
      <c r="J485" s="100" t="s">
        <v>140</v>
      </c>
      <c r="K485" s="91">
        <v>0</v>
      </c>
      <c r="L485" s="91">
        <v>0</v>
      </c>
      <c r="M485" s="92">
        <v>120</v>
      </c>
      <c r="N485" s="94">
        <v>10200</v>
      </c>
      <c r="O485" s="92">
        <v>1</v>
      </c>
      <c r="P485" s="94">
        <f t="shared" si="122"/>
        <v>10200</v>
      </c>
      <c r="Q485" s="94"/>
      <c r="R485" s="92">
        <v>10200</v>
      </c>
      <c r="S485" s="92">
        <f t="shared" si="121"/>
        <v>0</v>
      </c>
      <c r="T485" s="102">
        <f t="shared" si="116"/>
        <v>720</v>
      </c>
      <c r="U485" s="101">
        <f t="shared" si="117"/>
        <v>0</v>
      </c>
      <c r="V485" s="101">
        <f t="shared" si="118"/>
        <v>0</v>
      </c>
      <c r="W485" s="101">
        <v>0</v>
      </c>
      <c r="X485" s="55">
        <f t="shared" si="123"/>
        <v>46153.04297839506</v>
      </c>
    </row>
    <row r="486" spans="1:24" hidden="1" x14ac:dyDescent="0.35">
      <c r="A486" s="46">
        <f t="shared" si="120"/>
        <v>46153.04297839506</v>
      </c>
      <c r="B486" s="46"/>
      <c r="C486" s="260"/>
      <c r="D486" s="46"/>
      <c r="E486" s="47" t="s">
        <v>4758</v>
      </c>
      <c r="F486" s="82" t="s">
        <v>314</v>
      </c>
      <c r="G486" s="82" t="s">
        <v>315</v>
      </c>
      <c r="H486" s="108">
        <v>12636</v>
      </c>
      <c r="I486" s="855" t="s">
        <v>4884</v>
      </c>
      <c r="J486" s="100" t="s">
        <v>140</v>
      </c>
      <c r="K486" s="91">
        <v>0</v>
      </c>
      <c r="L486" s="91">
        <v>0</v>
      </c>
      <c r="M486" s="92">
        <v>120</v>
      </c>
      <c r="N486" s="94">
        <v>10200</v>
      </c>
      <c r="O486" s="92">
        <v>1</v>
      </c>
      <c r="P486" s="94">
        <f t="shared" si="122"/>
        <v>10200</v>
      </c>
      <c r="Q486" s="94"/>
      <c r="R486" s="92">
        <v>10200</v>
      </c>
      <c r="S486" s="92">
        <f t="shared" si="121"/>
        <v>0</v>
      </c>
      <c r="T486" s="102">
        <f t="shared" si="116"/>
        <v>720</v>
      </c>
      <c r="U486" s="101">
        <f t="shared" si="117"/>
        <v>0</v>
      </c>
      <c r="V486" s="101">
        <f t="shared" si="118"/>
        <v>0</v>
      </c>
      <c r="W486" s="101">
        <v>0</v>
      </c>
      <c r="X486" s="55">
        <f t="shared" si="123"/>
        <v>46153.04297839506</v>
      </c>
    </row>
    <row r="487" spans="1:24" hidden="1" x14ac:dyDescent="0.35">
      <c r="A487" s="46">
        <f t="shared" si="120"/>
        <v>46153.04297839506</v>
      </c>
      <c r="B487" s="46"/>
      <c r="C487" s="260"/>
      <c r="D487" s="46"/>
      <c r="E487" s="47" t="s">
        <v>4758</v>
      </c>
      <c r="F487" s="82" t="s">
        <v>355</v>
      </c>
      <c r="G487" s="82" t="s">
        <v>327</v>
      </c>
      <c r="H487" s="108">
        <v>12953</v>
      </c>
      <c r="I487" s="855" t="s">
        <v>4884</v>
      </c>
      <c r="J487" s="100" t="s">
        <v>140</v>
      </c>
      <c r="K487" s="91">
        <v>0</v>
      </c>
      <c r="L487" s="91">
        <v>0</v>
      </c>
      <c r="M487" s="92">
        <v>120</v>
      </c>
      <c r="N487" s="94">
        <f>20000-18685</f>
        <v>1315</v>
      </c>
      <c r="O487" s="92">
        <v>1</v>
      </c>
      <c r="P487" s="94">
        <f t="shared" si="122"/>
        <v>1315</v>
      </c>
      <c r="Q487" s="94"/>
      <c r="R487" s="92">
        <v>1315</v>
      </c>
      <c r="S487" s="92">
        <f t="shared" si="121"/>
        <v>0</v>
      </c>
      <c r="T487" s="102">
        <f t="shared" si="116"/>
        <v>720</v>
      </c>
      <c r="U487" s="101">
        <f t="shared" si="117"/>
        <v>0</v>
      </c>
      <c r="V487" s="101">
        <f t="shared" si="118"/>
        <v>0</v>
      </c>
      <c r="W487" s="101">
        <v>0</v>
      </c>
      <c r="X487" s="55">
        <f t="shared" si="123"/>
        <v>46153.04297839506</v>
      </c>
    </row>
    <row r="488" spans="1:24" ht="26.5" hidden="1" x14ac:dyDescent="0.35">
      <c r="A488" s="46">
        <f t="shared" si="120"/>
        <v>46153.04297839506</v>
      </c>
      <c r="B488" s="46"/>
      <c r="C488" s="260"/>
      <c r="D488" s="46"/>
      <c r="E488" s="119" t="s">
        <v>4758</v>
      </c>
      <c r="F488" s="82" t="s">
        <v>4951</v>
      </c>
      <c r="G488" s="82" t="s">
        <v>792</v>
      </c>
      <c r="H488" s="108" t="s">
        <v>4952</v>
      </c>
      <c r="I488" s="82" t="s">
        <v>4737</v>
      </c>
      <c r="J488" s="51" t="s">
        <v>140</v>
      </c>
      <c r="K488" s="91">
        <v>0</v>
      </c>
      <c r="L488" s="91">
        <v>0</v>
      </c>
      <c r="M488" s="92">
        <v>90</v>
      </c>
      <c r="N488" s="94">
        <v>1000</v>
      </c>
      <c r="O488" s="92">
        <v>1</v>
      </c>
      <c r="P488" s="94">
        <f t="shared" si="122"/>
        <v>1000</v>
      </c>
      <c r="Q488" s="94"/>
      <c r="R488" s="92">
        <v>1000</v>
      </c>
      <c r="S488" s="92">
        <f t="shared" si="121"/>
        <v>0</v>
      </c>
      <c r="T488" s="92">
        <f t="shared" si="116"/>
        <v>960</v>
      </c>
      <c r="U488" s="91">
        <f t="shared" si="117"/>
        <v>0</v>
      </c>
      <c r="V488" s="91">
        <f t="shared" si="118"/>
        <v>0</v>
      </c>
      <c r="W488" s="91">
        <v>0</v>
      </c>
      <c r="X488" s="55">
        <f t="shared" si="123"/>
        <v>46153.04297839506</v>
      </c>
    </row>
    <row r="489" spans="1:24" s="511" customFormat="1" hidden="1" x14ac:dyDescent="0.35">
      <c r="A489" s="46">
        <f t="shared" si="120"/>
        <v>46153.04297839506</v>
      </c>
      <c r="B489" s="46"/>
      <c r="C489" s="260"/>
      <c r="D489" s="46"/>
      <c r="E489" s="47" t="s">
        <v>4758</v>
      </c>
      <c r="F489" s="82" t="s">
        <v>355</v>
      </c>
      <c r="G489" s="82" t="s">
        <v>327</v>
      </c>
      <c r="H489" s="108">
        <v>12953</v>
      </c>
      <c r="I489" s="855" t="s">
        <v>4884</v>
      </c>
      <c r="J489" s="100" t="s">
        <v>140</v>
      </c>
      <c r="K489" s="91">
        <v>0</v>
      </c>
      <c r="L489" s="91">
        <v>0</v>
      </c>
      <c r="M489" s="92">
        <v>120</v>
      </c>
      <c r="N489" s="94">
        <v>17580</v>
      </c>
      <c r="O489" s="92">
        <v>1</v>
      </c>
      <c r="P489" s="94">
        <f t="shared" si="122"/>
        <v>17580</v>
      </c>
      <c r="Q489" s="94"/>
      <c r="R489" s="92">
        <v>17580</v>
      </c>
      <c r="S489" s="92">
        <f t="shared" si="121"/>
        <v>0</v>
      </c>
      <c r="T489" s="102">
        <f t="shared" si="116"/>
        <v>720</v>
      </c>
      <c r="U489" s="101">
        <f t="shared" si="117"/>
        <v>0</v>
      </c>
      <c r="V489" s="101">
        <f t="shared" si="118"/>
        <v>0</v>
      </c>
      <c r="W489" s="101">
        <v>0</v>
      </c>
      <c r="X489" s="55">
        <f t="shared" si="123"/>
        <v>46153.04297839506</v>
      </c>
    </row>
    <row r="490" spans="1:24" s="121" customFormat="1" hidden="1" x14ac:dyDescent="0.35">
      <c r="A490" s="46">
        <f t="shared" si="120"/>
        <v>46153.04297839506</v>
      </c>
      <c r="B490" s="46">
        <v>46084</v>
      </c>
      <c r="C490" s="260">
        <f>B490-A490</f>
        <v>-69.042978395060345</v>
      </c>
      <c r="D490" s="260"/>
      <c r="E490" s="47" t="s">
        <v>3503</v>
      </c>
      <c r="F490" s="82" t="s">
        <v>355</v>
      </c>
      <c r="G490" s="82" t="s">
        <v>839</v>
      </c>
      <c r="H490" s="98" t="s">
        <v>4953</v>
      </c>
      <c r="I490" s="71" t="s">
        <v>4636</v>
      </c>
      <c r="J490" s="100" t="s">
        <v>140</v>
      </c>
      <c r="K490" s="91">
        <v>0</v>
      </c>
      <c r="L490" s="91">
        <v>0</v>
      </c>
      <c r="M490" s="92">
        <v>45</v>
      </c>
      <c r="N490" s="94">
        <v>60000</v>
      </c>
      <c r="O490" s="92">
        <v>4</v>
      </c>
      <c r="P490" s="94">
        <f t="shared" si="122"/>
        <v>15000</v>
      </c>
      <c r="Q490" s="181">
        <v>0.8</v>
      </c>
      <c r="R490" s="92">
        <v>15000</v>
      </c>
      <c r="S490" s="103">
        <f t="shared" si="121"/>
        <v>0</v>
      </c>
      <c r="T490" s="173">
        <f>((3600/M490)*O490)*24*Q490</f>
        <v>6144</v>
      </c>
      <c r="U490" s="101">
        <f>(P490-R490)*M490/3600/Q490</f>
        <v>0</v>
      </c>
      <c r="V490" s="101">
        <f>U490/24</f>
        <v>0</v>
      </c>
      <c r="W490" s="101">
        <v>0</v>
      </c>
      <c r="X490" s="55">
        <f t="shared" si="123"/>
        <v>46153.04297839506</v>
      </c>
    </row>
    <row r="491" spans="1:24" s="121" customFormat="1" hidden="1" x14ac:dyDescent="0.35">
      <c r="A491" s="46">
        <f>X490</f>
        <v>46153.04297839506</v>
      </c>
      <c r="B491" s="46">
        <v>46084</v>
      </c>
      <c r="C491" s="260">
        <f>B491-A491</f>
        <v>-69.042978395060345</v>
      </c>
      <c r="D491" s="260"/>
      <c r="E491" s="47" t="s">
        <v>3503</v>
      </c>
      <c r="F491" s="82" t="s">
        <v>355</v>
      </c>
      <c r="G491" s="82" t="s">
        <v>398</v>
      </c>
      <c r="H491" s="98" t="s">
        <v>4954</v>
      </c>
      <c r="I491" s="71" t="s">
        <v>4636</v>
      </c>
      <c r="J491" s="100" t="s">
        <v>140</v>
      </c>
      <c r="K491" s="91">
        <v>0</v>
      </c>
      <c r="L491" s="91">
        <v>0</v>
      </c>
      <c r="M491" s="92">
        <v>40</v>
      </c>
      <c r="N491" s="94">
        <v>90000</v>
      </c>
      <c r="O491" s="92">
        <v>4</v>
      </c>
      <c r="P491" s="94">
        <f>N491/O491</f>
        <v>22500</v>
      </c>
      <c r="Q491" s="181">
        <v>0.8</v>
      </c>
      <c r="R491" s="92">
        <v>22500</v>
      </c>
      <c r="S491" s="103">
        <f t="shared" si="121"/>
        <v>0</v>
      </c>
      <c r="T491" s="173">
        <f>((3600/M491)*O491)*24*Q491</f>
        <v>6912</v>
      </c>
      <c r="U491" s="101">
        <f>(P491-R491)*M491/3600/Q491</f>
        <v>0</v>
      </c>
      <c r="V491" s="101">
        <f>U491/24</f>
        <v>0</v>
      </c>
      <c r="W491" s="101">
        <v>0</v>
      </c>
      <c r="X491" s="55">
        <f t="shared" si="123"/>
        <v>46153.04297839506</v>
      </c>
    </row>
    <row r="492" spans="1:24" s="202" customFormat="1" x14ac:dyDescent="0.35">
      <c r="A492" s="193">
        <f>X491</f>
        <v>46153.04297839506</v>
      </c>
      <c r="B492" s="193">
        <v>46111</v>
      </c>
      <c r="C492" s="194">
        <f>B492-A492</f>
        <v>-42.042978395060345</v>
      </c>
      <c r="D492" s="194"/>
      <c r="E492" s="195" t="s">
        <v>3503</v>
      </c>
      <c r="F492" s="112" t="s">
        <v>4349</v>
      </c>
      <c r="G492" s="196" t="s">
        <v>1675</v>
      </c>
      <c r="H492" s="113" t="s">
        <v>4955</v>
      </c>
      <c r="I492" s="192" t="s">
        <v>4636</v>
      </c>
      <c r="J492" s="114" t="s">
        <v>140</v>
      </c>
      <c r="K492" s="482">
        <v>0</v>
      </c>
      <c r="L492" s="482">
        <v>0</v>
      </c>
      <c r="M492" s="199">
        <v>40</v>
      </c>
      <c r="N492" s="483">
        <v>90000</v>
      </c>
      <c r="O492" s="199">
        <v>4</v>
      </c>
      <c r="P492" s="483">
        <f>N492/O492</f>
        <v>22500</v>
      </c>
      <c r="Q492" s="198">
        <v>0.8</v>
      </c>
      <c r="R492" s="199">
        <v>5182</v>
      </c>
      <c r="S492" s="117">
        <f t="shared" si="121"/>
        <v>17318</v>
      </c>
      <c r="T492" s="200">
        <f>((3600/M492)*O492)*24*Q492</f>
        <v>6912</v>
      </c>
      <c r="U492" s="115">
        <f>(P492-R492)*M492/3600/Q492</f>
        <v>240.52777777777777</v>
      </c>
      <c r="V492" s="115">
        <f>U492/24</f>
        <v>10.02199074074074</v>
      </c>
      <c r="W492" s="115">
        <v>0</v>
      </c>
      <c r="X492" s="201">
        <f t="shared" si="123"/>
        <v>46163.064969135798</v>
      </c>
    </row>
    <row r="493" spans="1:24" s="487" customFormat="1" x14ac:dyDescent="0.35">
      <c r="A493" s="203"/>
      <c r="B493" s="203"/>
      <c r="C493" s="286"/>
      <c r="D493" s="286"/>
      <c r="E493" s="204"/>
      <c r="F493" s="205"/>
      <c r="G493" s="876"/>
      <c r="H493" s="836"/>
      <c r="I493" s="384"/>
      <c r="J493" s="310"/>
      <c r="K493" s="208"/>
      <c r="L493" s="208"/>
      <c r="M493" s="209"/>
      <c r="N493" s="210"/>
      <c r="O493" s="209"/>
      <c r="P493" s="210"/>
      <c r="Q493" s="293"/>
      <c r="R493" s="209"/>
      <c r="S493" s="291"/>
      <c r="T493" s="294"/>
      <c r="U493" s="289"/>
      <c r="V493" s="289"/>
      <c r="W493" s="289"/>
      <c r="X493" s="212"/>
    </row>
    <row r="494" spans="1:24" ht="45" x14ac:dyDescent="0.8">
      <c r="A494" s="35" t="s">
        <v>4897</v>
      </c>
      <c r="B494" s="35"/>
      <c r="C494" s="787"/>
      <c r="D494" s="35"/>
      <c r="E494" s="36"/>
      <c r="F494" s="389"/>
      <c r="G494" s="877"/>
      <c r="H494" s="878" t="s">
        <v>4269</v>
      </c>
      <c r="I494" s="214"/>
      <c r="J494" s="40"/>
      <c r="K494" s="868"/>
      <c r="L494" s="868"/>
      <c r="M494" s="869"/>
      <c r="N494" s="45"/>
      <c r="O494" s="36"/>
      <c r="P494" s="36"/>
      <c r="Q494" s="36"/>
      <c r="R494" s="879"/>
      <c r="S494" s="36"/>
      <c r="T494" s="36"/>
      <c r="U494" s="36"/>
      <c r="V494" s="36"/>
      <c r="W494" s="36"/>
      <c r="X494" s="45"/>
    </row>
    <row r="495" spans="1:24" hidden="1" x14ac:dyDescent="0.35">
      <c r="A495" s="46">
        <f>S7</f>
        <v>46153</v>
      </c>
      <c r="B495" s="46"/>
      <c r="C495" s="260"/>
      <c r="D495" s="46"/>
      <c r="E495" s="47" t="s">
        <v>4956</v>
      </c>
      <c r="F495" s="48" t="s">
        <v>4957</v>
      </c>
      <c r="G495" s="880"/>
      <c r="H495" s="881" t="s">
        <v>4958</v>
      </c>
      <c r="I495" s="82" t="s">
        <v>4959</v>
      </c>
      <c r="J495" s="100"/>
      <c r="K495" s="91">
        <v>0</v>
      </c>
      <c r="L495" s="91">
        <v>0</v>
      </c>
      <c r="M495" s="92">
        <v>60</v>
      </c>
      <c r="N495" s="92">
        <v>1000</v>
      </c>
      <c r="O495" s="92">
        <v>1</v>
      </c>
      <c r="P495" s="92">
        <f>N495/O495</f>
        <v>1000</v>
      </c>
      <c r="Q495" s="92"/>
      <c r="R495" s="92">
        <v>0</v>
      </c>
      <c r="S495" s="92">
        <f t="shared" ref="S495:S507" si="124">P495-R495</f>
        <v>1000</v>
      </c>
      <c r="T495" s="102">
        <f t="shared" ref="T495:T522" si="125">((3600/M495)*O495)*24</f>
        <v>1440</v>
      </c>
      <c r="U495" s="101">
        <f t="shared" ref="U495:U507" si="126">(P495-R495)*M495/3600</f>
        <v>16.666666666666668</v>
      </c>
      <c r="V495" s="101">
        <v>0</v>
      </c>
      <c r="W495" s="101">
        <v>0</v>
      </c>
      <c r="X495" s="55">
        <f t="shared" ref="X495:X558" si="127">A495+K495+L495+V495+W495</f>
        <v>46153</v>
      </c>
    </row>
    <row r="496" spans="1:24" hidden="1" x14ac:dyDescent="0.35">
      <c r="A496" s="46">
        <f t="shared" ref="A496:A559" si="128">X495</f>
        <v>46153</v>
      </c>
      <c r="B496" s="46"/>
      <c r="C496" s="260"/>
      <c r="D496" s="46"/>
      <c r="E496" s="47" t="s">
        <v>4956</v>
      </c>
      <c r="F496" s="48" t="s">
        <v>2255</v>
      </c>
      <c r="G496" s="880"/>
      <c r="H496" s="881" t="s">
        <v>2255</v>
      </c>
      <c r="I496" s="82" t="s">
        <v>4960</v>
      </c>
      <c r="J496" s="100"/>
      <c r="K496" s="91">
        <v>0</v>
      </c>
      <c r="L496" s="91">
        <v>0</v>
      </c>
      <c r="M496" s="92">
        <v>50</v>
      </c>
      <c r="N496" s="92">
        <v>1000</v>
      </c>
      <c r="O496" s="92">
        <v>1</v>
      </c>
      <c r="P496" s="92">
        <f>N496/O496</f>
        <v>1000</v>
      </c>
      <c r="Q496" s="92"/>
      <c r="R496" s="92">
        <v>0</v>
      </c>
      <c r="S496" s="92">
        <f t="shared" si="124"/>
        <v>1000</v>
      </c>
      <c r="T496" s="102">
        <f t="shared" si="125"/>
        <v>1728</v>
      </c>
      <c r="U496" s="101">
        <f t="shared" si="126"/>
        <v>13.888888888888889</v>
      </c>
      <c r="V496" s="101">
        <v>0</v>
      </c>
      <c r="W496" s="101">
        <v>0</v>
      </c>
      <c r="X496" s="55">
        <f t="shared" si="127"/>
        <v>46153</v>
      </c>
    </row>
    <row r="497" spans="1:24" hidden="1" x14ac:dyDescent="0.35">
      <c r="A497" s="46">
        <f t="shared" si="128"/>
        <v>46153</v>
      </c>
      <c r="B497" s="46"/>
      <c r="C497" s="260"/>
      <c r="D497" s="46"/>
      <c r="E497" s="47" t="s">
        <v>4956</v>
      </c>
      <c r="F497" s="48" t="s">
        <v>55</v>
      </c>
      <c r="G497" s="880"/>
      <c r="H497" s="881">
        <v>7561</v>
      </c>
      <c r="I497" s="106" t="s">
        <v>4961</v>
      </c>
      <c r="J497" s="100"/>
      <c r="K497" s="91">
        <v>0</v>
      </c>
      <c r="L497" s="91">
        <v>0</v>
      </c>
      <c r="M497" s="92">
        <v>50</v>
      </c>
      <c r="N497" s="92">
        <v>6480</v>
      </c>
      <c r="O497" s="92">
        <v>2</v>
      </c>
      <c r="P497" s="92">
        <v>3597</v>
      </c>
      <c r="Q497" s="92"/>
      <c r="R497" s="92">
        <v>3597</v>
      </c>
      <c r="S497" s="92">
        <f t="shared" si="124"/>
        <v>0</v>
      </c>
      <c r="T497" s="102">
        <f t="shared" si="125"/>
        <v>3456</v>
      </c>
      <c r="U497" s="101">
        <f t="shared" si="126"/>
        <v>0</v>
      </c>
      <c r="V497" s="101">
        <f t="shared" ref="V497:V507" si="129">(P497-R497)*M497/3600/24</f>
        <v>0</v>
      </c>
      <c r="W497" s="101">
        <v>0</v>
      </c>
      <c r="X497" s="55">
        <f t="shared" si="127"/>
        <v>46153</v>
      </c>
    </row>
    <row r="498" spans="1:24" hidden="1" x14ac:dyDescent="0.35">
      <c r="A498" s="46">
        <f t="shared" si="128"/>
        <v>46153</v>
      </c>
      <c r="B498" s="46"/>
      <c r="C498" s="260"/>
      <c r="D498" s="46"/>
      <c r="E498" s="47" t="s">
        <v>4956</v>
      </c>
      <c r="F498" s="48" t="s">
        <v>55</v>
      </c>
      <c r="G498" s="880"/>
      <c r="H498" s="881">
        <v>7563</v>
      </c>
      <c r="I498" s="106" t="s">
        <v>4962</v>
      </c>
      <c r="J498" s="100"/>
      <c r="K498" s="91">
        <v>0</v>
      </c>
      <c r="L498" s="91">
        <v>0</v>
      </c>
      <c r="M498" s="92">
        <v>50</v>
      </c>
      <c r="N498" s="92">
        <v>6480</v>
      </c>
      <c r="O498" s="92">
        <v>2</v>
      </c>
      <c r="P498" s="92">
        <f>N498/O498</f>
        <v>3240</v>
      </c>
      <c r="Q498" s="92"/>
      <c r="R498" s="92">
        <v>3240</v>
      </c>
      <c r="S498" s="92">
        <f t="shared" si="124"/>
        <v>0</v>
      </c>
      <c r="T498" s="102">
        <f t="shared" si="125"/>
        <v>3456</v>
      </c>
      <c r="U498" s="101">
        <f t="shared" si="126"/>
        <v>0</v>
      </c>
      <c r="V498" s="101">
        <f t="shared" si="129"/>
        <v>0</v>
      </c>
      <c r="W498" s="101">
        <v>0</v>
      </c>
      <c r="X498" s="55">
        <f t="shared" si="127"/>
        <v>46153</v>
      </c>
    </row>
    <row r="499" spans="1:24" hidden="1" x14ac:dyDescent="0.35">
      <c r="A499" s="46">
        <f t="shared" si="128"/>
        <v>46153</v>
      </c>
      <c r="B499" s="46"/>
      <c r="C499" s="260"/>
      <c r="D499" s="46"/>
      <c r="E499" s="47" t="s">
        <v>4956</v>
      </c>
      <c r="F499" s="48" t="s">
        <v>4957</v>
      </c>
      <c r="G499" s="880"/>
      <c r="H499" s="881" t="s">
        <v>4958</v>
      </c>
      <c r="I499" s="82" t="s">
        <v>4959</v>
      </c>
      <c r="J499" s="100"/>
      <c r="K499" s="91">
        <v>0</v>
      </c>
      <c r="L499" s="91">
        <v>0</v>
      </c>
      <c r="M499" s="92">
        <v>60</v>
      </c>
      <c r="N499" s="92">
        <v>1000</v>
      </c>
      <c r="O499" s="92">
        <v>1</v>
      </c>
      <c r="P499" s="92">
        <v>1062</v>
      </c>
      <c r="Q499" s="92"/>
      <c r="R499" s="92">
        <v>1062</v>
      </c>
      <c r="S499" s="92">
        <f t="shared" si="124"/>
        <v>0</v>
      </c>
      <c r="T499" s="102">
        <f t="shared" si="125"/>
        <v>1440</v>
      </c>
      <c r="U499" s="101">
        <f t="shared" si="126"/>
        <v>0</v>
      </c>
      <c r="V499" s="101">
        <f t="shared" si="129"/>
        <v>0</v>
      </c>
      <c r="W499" s="101">
        <v>0</v>
      </c>
      <c r="X499" s="55">
        <f t="shared" si="127"/>
        <v>46153</v>
      </c>
    </row>
    <row r="500" spans="1:24" hidden="1" x14ac:dyDescent="0.35">
      <c r="A500" s="46">
        <f t="shared" si="128"/>
        <v>46153</v>
      </c>
      <c r="B500" s="46"/>
      <c r="C500" s="260"/>
      <c r="D500" s="46"/>
      <c r="E500" s="47" t="s">
        <v>4824</v>
      </c>
      <c r="F500" s="48" t="s">
        <v>55</v>
      </c>
      <c r="G500" s="880"/>
      <c r="H500" s="881">
        <v>7587</v>
      </c>
      <c r="I500" s="106" t="s">
        <v>4963</v>
      </c>
      <c r="J500" s="100"/>
      <c r="K500" s="91">
        <v>0</v>
      </c>
      <c r="L500" s="91">
        <v>0</v>
      </c>
      <c r="M500" s="92">
        <v>77</v>
      </c>
      <c r="N500" s="92">
        <v>4000</v>
      </c>
      <c r="O500" s="92">
        <v>2</v>
      </c>
      <c r="P500" s="92">
        <f>N500/O500</f>
        <v>2000</v>
      </c>
      <c r="Q500" s="92"/>
      <c r="R500" s="92">
        <v>2000</v>
      </c>
      <c r="S500" s="92">
        <f t="shared" si="124"/>
        <v>0</v>
      </c>
      <c r="T500" s="102">
        <f t="shared" si="125"/>
        <v>2244.1558441558445</v>
      </c>
      <c r="U500" s="101">
        <f t="shared" si="126"/>
        <v>0</v>
      </c>
      <c r="V500" s="101">
        <f t="shared" si="129"/>
        <v>0</v>
      </c>
      <c r="W500" s="101">
        <v>0</v>
      </c>
      <c r="X500" s="55">
        <f t="shared" si="127"/>
        <v>46153</v>
      </c>
    </row>
    <row r="501" spans="1:24" hidden="1" x14ac:dyDescent="0.35">
      <c r="A501" s="46">
        <f t="shared" si="128"/>
        <v>46153</v>
      </c>
      <c r="B501" s="46"/>
      <c r="C501" s="260"/>
      <c r="D501" s="46"/>
      <c r="E501" s="47" t="s">
        <v>4956</v>
      </c>
      <c r="F501" s="48" t="s">
        <v>4957</v>
      </c>
      <c r="G501" s="880"/>
      <c r="H501" s="881" t="s">
        <v>4964</v>
      </c>
      <c r="I501" s="82" t="s">
        <v>4959</v>
      </c>
      <c r="J501" s="100"/>
      <c r="K501" s="91">
        <v>0</v>
      </c>
      <c r="L501" s="91">
        <v>0</v>
      </c>
      <c r="M501" s="92">
        <v>60</v>
      </c>
      <c r="N501" s="92">
        <v>1000</v>
      </c>
      <c r="O501" s="92">
        <v>1</v>
      </c>
      <c r="P501" s="92">
        <v>1058</v>
      </c>
      <c r="Q501" s="92"/>
      <c r="R501" s="92">
        <v>1058</v>
      </c>
      <c r="S501" s="92">
        <f t="shared" si="124"/>
        <v>0</v>
      </c>
      <c r="T501" s="102">
        <f t="shared" si="125"/>
        <v>1440</v>
      </c>
      <c r="U501" s="101">
        <f t="shared" si="126"/>
        <v>0</v>
      </c>
      <c r="V501" s="101">
        <f t="shared" si="129"/>
        <v>0</v>
      </c>
      <c r="W501" s="101">
        <v>0</v>
      </c>
      <c r="X501" s="55">
        <f t="shared" si="127"/>
        <v>46153</v>
      </c>
    </row>
    <row r="502" spans="1:24" hidden="1" x14ac:dyDescent="0.35">
      <c r="A502" s="46">
        <f t="shared" si="128"/>
        <v>46153</v>
      </c>
      <c r="B502" s="46"/>
      <c r="C502" s="260"/>
      <c r="D502" s="46"/>
      <c r="E502" s="47" t="s">
        <v>4956</v>
      </c>
      <c r="F502" s="48" t="s">
        <v>4965</v>
      </c>
      <c r="G502" s="880"/>
      <c r="H502" s="881" t="s">
        <v>2255</v>
      </c>
      <c r="I502" s="82" t="s">
        <v>4966</v>
      </c>
      <c r="J502" s="100"/>
      <c r="K502" s="91">
        <v>0</v>
      </c>
      <c r="L502" s="91">
        <v>0</v>
      </c>
      <c r="M502" s="92">
        <v>40</v>
      </c>
      <c r="N502" s="92">
        <v>20</v>
      </c>
      <c r="O502" s="92">
        <v>1</v>
      </c>
      <c r="P502" s="92">
        <f>N502/O502</f>
        <v>20</v>
      </c>
      <c r="Q502" s="92"/>
      <c r="R502" s="92">
        <v>20</v>
      </c>
      <c r="S502" s="92">
        <f t="shared" si="124"/>
        <v>0</v>
      </c>
      <c r="T502" s="102">
        <f t="shared" si="125"/>
        <v>2160</v>
      </c>
      <c r="U502" s="101">
        <f t="shared" si="126"/>
        <v>0</v>
      </c>
      <c r="V502" s="101">
        <f t="shared" si="129"/>
        <v>0</v>
      </c>
      <c r="W502" s="101">
        <v>0</v>
      </c>
      <c r="X502" s="55">
        <f t="shared" si="127"/>
        <v>46153</v>
      </c>
    </row>
    <row r="503" spans="1:24" hidden="1" x14ac:dyDescent="0.35">
      <c r="A503" s="46">
        <f t="shared" si="128"/>
        <v>46153</v>
      </c>
      <c r="B503" s="46"/>
      <c r="C503" s="260"/>
      <c r="D503" s="46"/>
      <c r="E503" s="47" t="s">
        <v>4956</v>
      </c>
      <c r="F503" s="48" t="s">
        <v>2255</v>
      </c>
      <c r="G503" s="880"/>
      <c r="H503" s="881" t="s">
        <v>2255</v>
      </c>
      <c r="I503" s="82" t="s">
        <v>4967</v>
      </c>
      <c r="J503" s="100"/>
      <c r="K503" s="91">
        <v>0</v>
      </c>
      <c r="L503" s="91">
        <v>0</v>
      </c>
      <c r="M503" s="92">
        <v>40</v>
      </c>
      <c r="N503" s="92">
        <v>100</v>
      </c>
      <c r="O503" s="92">
        <v>8</v>
      </c>
      <c r="P503" s="92">
        <v>20</v>
      </c>
      <c r="Q503" s="92"/>
      <c r="R503" s="102">
        <v>20</v>
      </c>
      <c r="S503" s="92">
        <f t="shared" si="124"/>
        <v>0</v>
      </c>
      <c r="T503" s="102">
        <f t="shared" si="125"/>
        <v>17280</v>
      </c>
      <c r="U503" s="101">
        <f t="shared" si="126"/>
        <v>0</v>
      </c>
      <c r="V503" s="101">
        <f t="shared" si="129"/>
        <v>0</v>
      </c>
      <c r="W503" s="101">
        <v>0</v>
      </c>
      <c r="X503" s="55">
        <f t="shared" si="127"/>
        <v>46153</v>
      </c>
    </row>
    <row r="504" spans="1:24" hidden="1" x14ac:dyDescent="0.35">
      <c r="A504" s="46">
        <f t="shared" si="128"/>
        <v>46153</v>
      </c>
      <c r="B504" s="46"/>
      <c r="C504" s="260"/>
      <c r="D504" s="46"/>
      <c r="E504" s="47" t="s">
        <v>4956</v>
      </c>
      <c r="F504" s="48" t="s">
        <v>2255</v>
      </c>
      <c r="G504" s="880"/>
      <c r="H504" s="881" t="s">
        <v>2255</v>
      </c>
      <c r="I504" s="82" t="s">
        <v>4968</v>
      </c>
      <c r="J504" s="100"/>
      <c r="K504" s="91">
        <v>0</v>
      </c>
      <c r="L504" s="91">
        <v>0</v>
      </c>
      <c r="M504" s="92">
        <v>40</v>
      </c>
      <c r="N504" s="92">
        <v>100</v>
      </c>
      <c r="O504" s="92">
        <v>8</v>
      </c>
      <c r="P504" s="92">
        <v>20</v>
      </c>
      <c r="Q504" s="92"/>
      <c r="R504" s="102">
        <v>20</v>
      </c>
      <c r="S504" s="92">
        <f t="shared" si="124"/>
        <v>0</v>
      </c>
      <c r="T504" s="102">
        <f t="shared" si="125"/>
        <v>17280</v>
      </c>
      <c r="U504" s="101">
        <f t="shared" si="126"/>
        <v>0</v>
      </c>
      <c r="V504" s="101">
        <f t="shared" si="129"/>
        <v>0</v>
      </c>
      <c r="W504" s="101">
        <v>0</v>
      </c>
      <c r="X504" s="55">
        <f t="shared" si="127"/>
        <v>46153</v>
      </c>
    </row>
    <row r="505" spans="1:24" hidden="1" x14ac:dyDescent="0.35">
      <c r="A505" s="46">
        <f t="shared" si="128"/>
        <v>46153</v>
      </c>
      <c r="B505" s="46"/>
      <c r="C505" s="260"/>
      <c r="D505" s="46"/>
      <c r="E505" s="47" t="s">
        <v>4956</v>
      </c>
      <c r="F505" s="48" t="s">
        <v>2255</v>
      </c>
      <c r="G505" s="880"/>
      <c r="H505" s="881" t="s">
        <v>2255</v>
      </c>
      <c r="I505" s="82" t="s">
        <v>4969</v>
      </c>
      <c r="J505" s="100"/>
      <c r="K505" s="91">
        <v>0</v>
      </c>
      <c r="L505" s="91">
        <v>0</v>
      </c>
      <c r="M505" s="92">
        <v>50</v>
      </c>
      <c r="N505" s="92">
        <v>20</v>
      </c>
      <c r="O505" s="92">
        <v>1</v>
      </c>
      <c r="P505" s="92">
        <f>N505/O505</f>
        <v>20</v>
      </c>
      <c r="Q505" s="92"/>
      <c r="R505" s="92">
        <v>20</v>
      </c>
      <c r="S505" s="92">
        <f t="shared" si="124"/>
        <v>0</v>
      </c>
      <c r="T505" s="102">
        <f t="shared" si="125"/>
        <v>1728</v>
      </c>
      <c r="U505" s="101">
        <f t="shared" si="126"/>
        <v>0</v>
      </c>
      <c r="V505" s="101">
        <f t="shared" si="129"/>
        <v>0</v>
      </c>
      <c r="W505" s="101">
        <v>0</v>
      </c>
      <c r="X505" s="55">
        <f t="shared" si="127"/>
        <v>46153</v>
      </c>
    </row>
    <row r="506" spans="1:24" hidden="1" x14ac:dyDescent="0.35">
      <c r="A506" s="46">
        <f t="shared" si="128"/>
        <v>46153</v>
      </c>
      <c r="B506" s="46"/>
      <c r="C506" s="260"/>
      <c r="D506" s="46"/>
      <c r="E506" s="47" t="s">
        <v>4956</v>
      </c>
      <c r="F506" s="48" t="s">
        <v>2255</v>
      </c>
      <c r="G506" s="880"/>
      <c r="H506" s="881" t="s">
        <v>2255</v>
      </c>
      <c r="I506" s="82" t="s">
        <v>4960</v>
      </c>
      <c r="J506" s="100"/>
      <c r="K506" s="91">
        <v>0</v>
      </c>
      <c r="L506" s="91">
        <v>0</v>
      </c>
      <c r="M506" s="92">
        <v>50</v>
      </c>
      <c r="N506" s="92">
        <v>20</v>
      </c>
      <c r="O506" s="92">
        <v>1</v>
      </c>
      <c r="P506" s="92">
        <f>N506/O506</f>
        <v>20</v>
      </c>
      <c r="Q506" s="92"/>
      <c r="R506" s="92">
        <v>20</v>
      </c>
      <c r="S506" s="92">
        <f t="shared" si="124"/>
        <v>0</v>
      </c>
      <c r="T506" s="102">
        <f t="shared" si="125"/>
        <v>1728</v>
      </c>
      <c r="U506" s="101">
        <f t="shared" si="126"/>
        <v>0</v>
      </c>
      <c r="V506" s="101">
        <f t="shared" si="129"/>
        <v>0</v>
      </c>
      <c r="W506" s="101">
        <v>0</v>
      </c>
      <c r="X506" s="55">
        <f t="shared" si="127"/>
        <v>46153</v>
      </c>
    </row>
    <row r="507" spans="1:24" ht="43.5" hidden="1" x14ac:dyDescent="0.35">
      <c r="A507" s="46">
        <f t="shared" si="128"/>
        <v>46153</v>
      </c>
      <c r="B507" s="46"/>
      <c r="C507" s="260"/>
      <c r="D507" s="46"/>
      <c r="E507" s="47" t="s">
        <v>4956</v>
      </c>
      <c r="F507" s="57" t="s">
        <v>4970</v>
      </c>
      <c r="G507" s="882"/>
      <c r="H507" s="881">
        <v>7494</v>
      </c>
      <c r="I507" s="82" t="s">
        <v>4971</v>
      </c>
      <c r="J507" s="100"/>
      <c r="K507" s="91">
        <v>0</v>
      </c>
      <c r="L507" s="91">
        <v>0</v>
      </c>
      <c r="M507" s="92">
        <v>40</v>
      </c>
      <c r="N507" s="92">
        <v>34200</v>
      </c>
      <c r="O507" s="92">
        <v>4</v>
      </c>
      <c r="P507" s="92">
        <v>14135</v>
      </c>
      <c r="Q507" s="92"/>
      <c r="R507" s="92">
        <v>14135</v>
      </c>
      <c r="S507" s="92">
        <f t="shared" si="124"/>
        <v>0</v>
      </c>
      <c r="T507" s="102">
        <f t="shared" si="125"/>
        <v>8640</v>
      </c>
      <c r="U507" s="101">
        <f t="shared" si="126"/>
        <v>0</v>
      </c>
      <c r="V507" s="101">
        <f t="shared" si="129"/>
        <v>0</v>
      </c>
      <c r="W507" s="101">
        <v>0</v>
      </c>
      <c r="X507" s="55">
        <f t="shared" si="127"/>
        <v>46153</v>
      </c>
    </row>
    <row r="508" spans="1:24" hidden="1" x14ac:dyDescent="0.35">
      <c r="A508" s="46">
        <f t="shared" si="128"/>
        <v>46153</v>
      </c>
      <c r="B508" s="46"/>
      <c r="C508" s="260"/>
      <c r="D508" s="46"/>
      <c r="E508" s="47"/>
      <c r="F508" s="56" t="s">
        <v>1321</v>
      </c>
      <c r="G508" s="883"/>
      <c r="H508" s="881" t="s">
        <v>1321</v>
      </c>
      <c r="I508" s="85" t="s">
        <v>4972</v>
      </c>
      <c r="J508" s="100"/>
      <c r="K508" s="91">
        <v>0</v>
      </c>
      <c r="L508" s="91">
        <v>0</v>
      </c>
      <c r="M508" s="92">
        <v>40</v>
      </c>
      <c r="N508" s="92">
        <v>20</v>
      </c>
      <c r="O508" s="92">
        <v>2</v>
      </c>
      <c r="P508" s="92"/>
      <c r="Q508" s="92"/>
      <c r="R508" s="92"/>
      <c r="S508" s="92"/>
      <c r="T508" s="102">
        <f t="shared" si="125"/>
        <v>4320</v>
      </c>
      <c r="U508" s="101"/>
      <c r="V508" s="101"/>
      <c r="W508" s="101">
        <v>0</v>
      </c>
      <c r="X508" s="55">
        <f t="shared" si="127"/>
        <v>46153</v>
      </c>
    </row>
    <row r="509" spans="1:24" hidden="1" x14ac:dyDescent="0.35">
      <c r="A509" s="46">
        <f t="shared" si="128"/>
        <v>46153</v>
      </c>
      <c r="B509" s="46"/>
      <c r="C509" s="260"/>
      <c r="D509" s="46"/>
      <c r="E509" s="47" t="s">
        <v>4790</v>
      </c>
      <c r="F509" s="48" t="s">
        <v>4973</v>
      </c>
      <c r="G509" s="880"/>
      <c r="H509" s="884" t="s">
        <v>4974</v>
      </c>
      <c r="I509" s="82" t="s">
        <v>4975</v>
      </c>
      <c r="J509" s="100"/>
      <c r="K509" s="91">
        <v>0</v>
      </c>
      <c r="L509" s="91">
        <v>0</v>
      </c>
      <c r="M509" s="92">
        <v>45</v>
      </c>
      <c r="N509" s="92">
        <v>80000</v>
      </c>
      <c r="O509" s="92">
        <v>8</v>
      </c>
      <c r="P509" s="92">
        <v>10460</v>
      </c>
      <c r="Q509" s="92"/>
      <c r="R509" s="92">
        <v>10460</v>
      </c>
      <c r="S509" s="92">
        <f t="shared" ref="S509:S522" si="130">P509-R509</f>
        <v>0</v>
      </c>
      <c r="T509" s="102">
        <f t="shared" si="125"/>
        <v>15360</v>
      </c>
      <c r="U509" s="101">
        <f t="shared" ref="U509:U522" si="131">(P509-R509)*M509/3600</f>
        <v>0</v>
      </c>
      <c r="V509" s="101">
        <f t="shared" ref="V509:V522" si="132">(P509-R509)*M509/3600/24</f>
        <v>0</v>
      </c>
      <c r="W509" s="101">
        <v>0</v>
      </c>
      <c r="X509" s="55">
        <f t="shared" si="127"/>
        <v>46153</v>
      </c>
    </row>
    <row r="510" spans="1:24" hidden="1" x14ac:dyDescent="0.35">
      <c r="A510" s="46">
        <f t="shared" si="128"/>
        <v>46153</v>
      </c>
      <c r="B510" s="46"/>
      <c r="C510" s="260"/>
      <c r="D510" s="46"/>
      <c r="E510" s="47" t="s">
        <v>4956</v>
      </c>
      <c r="F510" s="48" t="s">
        <v>4957</v>
      </c>
      <c r="G510" s="880"/>
      <c r="H510" s="881" t="s">
        <v>4964</v>
      </c>
      <c r="I510" s="82" t="s">
        <v>4959</v>
      </c>
      <c r="J510" s="100"/>
      <c r="K510" s="91">
        <v>0</v>
      </c>
      <c r="L510" s="91">
        <v>0</v>
      </c>
      <c r="M510" s="92">
        <v>60</v>
      </c>
      <c r="N510" s="92">
        <v>1000</v>
      </c>
      <c r="O510" s="92">
        <v>1</v>
      </c>
      <c r="P510" s="92">
        <f>N510/O510</f>
        <v>1000</v>
      </c>
      <c r="Q510" s="92"/>
      <c r="R510" s="92">
        <v>1000</v>
      </c>
      <c r="S510" s="92">
        <f t="shared" si="130"/>
        <v>0</v>
      </c>
      <c r="T510" s="102">
        <f t="shared" si="125"/>
        <v>1440</v>
      </c>
      <c r="U510" s="101">
        <f t="shared" si="131"/>
        <v>0</v>
      </c>
      <c r="V510" s="101">
        <f t="shared" si="132"/>
        <v>0</v>
      </c>
      <c r="W510" s="101">
        <v>0</v>
      </c>
      <c r="X510" s="55">
        <f t="shared" si="127"/>
        <v>46153</v>
      </c>
    </row>
    <row r="511" spans="1:24" hidden="1" x14ac:dyDescent="0.35">
      <c r="A511" s="46">
        <f t="shared" si="128"/>
        <v>46153</v>
      </c>
      <c r="B511" s="46"/>
      <c r="C511" s="260"/>
      <c r="D511" s="46"/>
      <c r="E511" s="47" t="s">
        <v>4790</v>
      </c>
      <c r="F511" s="48" t="s">
        <v>4976</v>
      </c>
      <c r="G511" s="880"/>
      <c r="H511" s="884" t="s">
        <v>4977</v>
      </c>
      <c r="I511" s="82" t="s">
        <v>4978</v>
      </c>
      <c r="J511" s="100"/>
      <c r="K511" s="91">
        <v>0</v>
      </c>
      <c r="L511" s="91">
        <v>0</v>
      </c>
      <c r="M511" s="92">
        <v>105</v>
      </c>
      <c r="N511" s="92">
        <v>2500</v>
      </c>
      <c r="O511" s="92">
        <v>1</v>
      </c>
      <c r="P511" s="92">
        <f>N511/O511</f>
        <v>2500</v>
      </c>
      <c r="Q511" s="92"/>
      <c r="R511" s="92">
        <v>2500</v>
      </c>
      <c r="S511" s="92">
        <f t="shared" si="130"/>
        <v>0</v>
      </c>
      <c r="T511" s="102">
        <f t="shared" si="125"/>
        <v>822.85714285714289</v>
      </c>
      <c r="U511" s="101">
        <f t="shared" si="131"/>
        <v>0</v>
      </c>
      <c r="V511" s="101">
        <f t="shared" si="132"/>
        <v>0</v>
      </c>
      <c r="W511" s="101">
        <v>0</v>
      </c>
      <c r="X511" s="55">
        <f t="shared" si="127"/>
        <v>46153</v>
      </c>
    </row>
    <row r="512" spans="1:24" hidden="1" x14ac:dyDescent="0.35">
      <c r="A512" s="46">
        <f t="shared" si="128"/>
        <v>46153</v>
      </c>
      <c r="B512" s="46"/>
      <c r="C512" s="260"/>
      <c r="D512" s="46"/>
      <c r="E512" s="47" t="s">
        <v>4790</v>
      </c>
      <c r="F512" s="48" t="s">
        <v>55</v>
      </c>
      <c r="G512" s="880"/>
      <c r="H512" s="884" t="s">
        <v>4979</v>
      </c>
      <c r="I512" s="82" t="s">
        <v>4980</v>
      </c>
      <c r="J512" s="100"/>
      <c r="K512" s="91">
        <v>0</v>
      </c>
      <c r="L512" s="91">
        <v>0</v>
      </c>
      <c r="M512" s="92">
        <v>105</v>
      </c>
      <c r="N512" s="92">
        <v>4000</v>
      </c>
      <c r="O512" s="92">
        <v>1</v>
      </c>
      <c r="P512" s="92">
        <v>3000</v>
      </c>
      <c r="Q512" s="92"/>
      <c r="R512" s="92">
        <v>3000</v>
      </c>
      <c r="S512" s="92">
        <f t="shared" si="130"/>
        <v>0</v>
      </c>
      <c r="T512" s="102">
        <f t="shared" si="125"/>
        <v>822.85714285714289</v>
      </c>
      <c r="U512" s="101">
        <f t="shared" si="131"/>
        <v>0</v>
      </c>
      <c r="V512" s="101">
        <f t="shared" si="132"/>
        <v>0</v>
      </c>
      <c r="W512" s="101">
        <v>0</v>
      </c>
      <c r="X512" s="55">
        <f t="shared" si="127"/>
        <v>46153</v>
      </c>
    </row>
    <row r="513" spans="1:24" hidden="1" x14ac:dyDescent="0.35">
      <c r="A513" s="46">
        <f t="shared" si="128"/>
        <v>46153</v>
      </c>
      <c r="B513" s="46"/>
      <c r="C513" s="260"/>
      <c r="D513" s="46"/>
      <c r="E513" s="47" t="s">
        <v>4956</v>
      </c>
      <c r="F513" s="48" t="s">
        <v>55</v>
      </c>
      <c r="G513" s="880"/>
      <c r="H513" s="884" t="s">
        <v>4977</v>
      </c>
      <c r="I513" s="82" t="s">
        <v>4978</v>
      </c>
      <c r="J513" s="100"/>
      <c r="K513" s="91">
        <v>0</v>
      </c>
      <c r="L513" s="91">
        <v>0</v>
      </c>
      <c r="M513" s="92">
        <v>105</v>
      </c>
      <c r="N513" s="92">
        <v>11000</v>
      </c>
      <c r="O513" s="92">
        <v>1</v>
      </c>
      <c r="P513" s="92">
        <v>4594</v>
      </c>
      <c r="Q513" s="92"/>
      <c r="R513" s="92">
        <v>4594</v>
      </c>
      <c r="S513" s="92">
        <f t="shared" si="130"/>
        <v>0</v>
      </c>
      <c r="T513" s="102">
        <f t="shared" si="125"/>
        <v>822.85714285714289</v>
      </c>
      <c r="U513" s="101">
        <f t="shared" si="131"/>
        <v>0</v>
      </c>
      <c r="V513" s="101">
        <f t="shared" si="132"/>
        <v>0</v>
      </c>
      <c r="W513" s="101">
        <v>0</v>
      </c>
      <c r="X513" s="55">
        <f t="shared" si="127"/>
        <v>46153</v>
      </c>
    </row>
    <row r="514" spans="1:24" hidden="1" x14ac:dyDescent="0.35">
      <c r="A514" s="46">
        <f t="shared" si="128"/>
        <v>46153</v>
      </c>
      <c r="B514" s="46"/>
      <c r="C514" s="260"/>
      <c r="D514" s="46"/>
      <c r="E514" s="47" t="s">
        <v>4956</v>
      </c>
      <c r="F514" s="48"/>
      <c r="G514" s="880"/>
      <c r="H514" s="884" t="s">
        <v>4981</v>
      </c>
      <c r="I514" s="390" t="s">
        <v>4960</v>
      </c>
      <c r="J514" s="100"/>
      <c r="K514" s="91">
        <v>0</v>
      </c>
      <c r="L514" s="91">
        <v>0</v>
      </c>
      <c r="M514" s="92">
        <v>45</v>
      </c>
      <c r="N514" s="92">
        <v>2000</v>
      </c>
      <c r="O514" s="92">
        <v>4</v>
      </c>
      <c r="P514" s="92">
        <v>540</v>
      </c>
      <c r="Q514" s="92"/>
      <c r="R514" s="92">
        <v>540</v>
      </c>
      <c r="S514" s="92">
        <f t="shared" si="130"/>
        <v>0</v>
      </c>
      <c r="T514" s="102">
        <f t="shared" si="125"/>
        <v>7680</v>
      </c>
      <c r="U514" s="101">
        <f t="shared" si="131"/>
        <v>0</v>
      </c>
      <c r="V514" s="101">
        <f t="shared" si="132"/>
        <v>0</v>
      </c>
      <c r="W514" s="101">
        <v>0</v>
      </c>
      <c r="X514" s="55">
        <f t="shared" si="127"/>
        <v>46153</v>
      </c>
    </row>
    <row r="515" spans="1:24" hidden="1" x14ac:dyDescent="0.35">
      <c r="A515" s="46">
        <f t="shared" si="128"/>
        <v>46153</v>
      </c>
      <c r="B515" s="46"/>
      <c r="C515" s="260"/>
      <c r="D515" s="46"/>
      <c r="E515" s="47" t="s">
        <v>4956</v>
      </c>
      <c r="F515" s="48"/>
      <c r="G515" s="880"/>
      <c r="H515" s="884" t="s">
        <v>4982</v>
      </c>
      <c r="I515" s="390" t="s">
        <v>4969</v>
      </c>
      <c r="J515" s="100"/>
      <c r="K515" s="91">
        <v>0</v>
      </c>
      <c r="L515" s="91">
        <v>0</v>
      </c>
      <c r="M515" s="92">
        <v>50</v>
      </c>
      <c r="N515" s="92">
        <v>1000</v>
      </c>
      <c r="O515" s="92">
        <v>2</v>
      </c>
      <c r="P515" s="92">
        <v>844</v>
      </c>
      <c r="Q515" s="92"/>
      <c r="R515" s="92">
        <v>844</v>
      </c>
      <c r="S515" s="92">
        <f t="shared" si="130"/>
        <v>0</v>
      </c>
      <c r="T515" s="102">
        <f t="shared" si="125"/>
        <v>3456</v>
      </c>
      <c r="U515" s="101">
        <f t="shared" si="131"/>
        <v>0</v>
      </c>
      <c r="V515" s="101">
        <f t="shared" si="132"/>
        <v>0</v>
      </c>
      <c r="W515" s="101">
        <v>0</v>
      </c>
      <c r="X515" s="55">
        <f t="shared" si="127"/>
        <v>46153</v>
      </c>
    </row>
    <row r="516" spans="1:24" hidden="1" x14ac:dyDescent="0.35">
      <c r="A516" s="46">
        <f t="shared" si="128"/>
        <v>46153</v>
      </c>
      <c r="B516" s="46"/>
      <c r="C516" s="260"/>
      <c r="D516" s="46"/>
      <c r="E516" s="47" t="s">
        <v>4956</v>
      </c>
      <c r="F516" s="48" t="s">
        <v>1336</v>
      </c>
      <c r="G516" s="880"/>
      <c r="H516" s="884" t="s">
        <v>4977</v>
      </c>
      <c r="I516" s="82" t="s">
        <v>4978</v>
      </c>
      <c r="J516" s="100"/>
      <c r="K516" s="91">
        <v>0</v>
      </c>
      <c r="L516" s="91">
        <v>0</v>
      </c>
      <c r="M516" s="92">
        <v>105</v>
      </c>
      <c r="N516" s="92">
        <v>7500</v>
      </c>
      <c r="O516" s="92">
        <v>1</v>
      </c>
      <c r="P516" s="92">
        <f t="shared" ref="P516:P522" si="133">N516/O516</f>
        <v>7500</v>
      </c>
      <c r="Q516" s="92"/>
      <c r="R516" s="92">
        <v>7500</v>
      </c>
      <c r="S516" s="92">
        <f t="shared" si="130"/>
        <v>0</v>
      </c>
      <c r="T516" s="102">
        <f t="shared" si="125"/>
        <v>822.85714285714289</v>
      </c>
      <c r="U516" s="101">
        <f t="shared" si="131"/>
        <v>0</v>
      </c>
      <c r="V516" s="101">
        <f t="shared" si="132"/>
        <v>0</v>
      </c>
      <c r="W516" s="101">
        <v>0</v>
      </c>
      <c r="X516" s="55">
        <f t="shared" si="127"/>
        <v>46153</v>
      </c>
    </row>
    <row r="517" spans="1:24" hidden="1" x14ac:dyDescent="0.35">
      <c r="A517" s="46">
        <f t="shared" si="128"/>
        <v>46153</v>
      </c>
      <c r="B517" s="46"/>
      <c r="C517" s="260"/>
      <c r="D517" s="46"/>
      <c r="E517" s="47" t="s">
        <v>4956</v>
      </c>
      <c r="F517" s="48" t="s">
        <v>113</v>
      </c>
      <c r="G517" s="880"/>
      <c r="H517" s="881"/>
      <c r="I517" s="82" t="s">
        <v>4978</v>
      </c>
      <c r="J517" s="100"/>
      <c r="K517" s="91">
        <v>0</v>
      </c>
      <c r="L517" s="91">
        <v>0</v>
      </c>
      <c r="M517" s="92">
        <v>105</v>
      </c>
      <c r="N517" s="92">
        <v>5000</v>
      </c>
      <c r="O517" s="92">
        <v>1</v>
      </c>
      <c r="P517" s="92">
        <f t="shared" si="133"/>
        <v>5000</v>
      </c>
      <c r="Q517" s="92"/>
      <c r="R517" s="92">
        <v>5000</v>
      </c>
      <c r="S517" s="92">
        <f t="shared" si="130"/>
        <v>0</v>
      </c>
      <c r="T517" s="102">
        <f t="shared" si="125"/>
        <v>822.85714285714289</v>
      </c>
      <c r="U517" s="101">
        <f t="shared" si="131"/>
        <v>0</v>
      </c>
      <c r="V517" s="101">
        <f t="shared" si="132"/>
        <v>0</v>
      </c>
      <c r="W517" s="101">
        <v>0</v>
      </c>
      <c r="X517" s="55">
        <f t="shared" si="127"/>
        <v>46153</v>
      </c>
    </row>
    <row r="518" spans="1:24" ht="26.5" hidden="1" x14ac:dyDescent="0.35">
      <c r="A518" s="46">
        <f t="shared" si="128"/>
        <v>46153</v>
      </c>
      <c r="B518" s="46"/>
      <c r="C518" s="260"/>
      <c r="D518" s="46"/>
      <c r="E518" s="47" t="s">
        <v>4956</v>
      </c>
      <c r="F518" s="48" t="s">
        <v>113</v>
      </c>
      <c r="G518" s="880"/>
      <c r="H518" s="881" t="s">
        <v>4983</v>
      </c>
      <c r="I518" s="82" t="s">
        <v>4984</v>
      </c>
      <c r="J518" s="100"/>
      <c r="K518" s="91">
        <v>0</v>
      </c>
      <c r="L518" s="91">
        <v>0</v>
      </c>
      <c r="M518" s="92">
        <v>105</v>
      </c>
      <c r="N518" s="92">
        <v>7000</v>
      </c>
      <c r="O518" s="92">
        <v>1</v>
      </c>
      <c r="P518" s="92">
        <f t="shared" si="133"/>
        <v>7000</v>
      </c>
      <c r="Q518" s="92"/>
      <c r="R518" s="92">
        <v>7335</v>
      </c>
      <c r="S518" s="92">
        <f t="shared" si="130"/>
        <v>-335</v>
      </c>
      <c r="T518" s="102">
        <f t="shared" si="125"/>
        <v>822.85714285714289</v>
      </c>
      <c r="U518" s="101">
        <f t="shared" si="131"/>
        <v>-9.7708333333333339</v>
      </c>
      <c r="V518" s="101">
        <f t="shared" si="132"/>
        <v>-0.40711805555555558</v>
      </c>
      <c r="W518" s="101">
        <v>0</v>
      </c>
      <c r="X518" s="55">
        <f t="shared" si="127"/>
        <v>46152.592881944445</v>
      </c>
    </row>
    <row r="519" spans="1:24" hidden="1" x14ac:dyDescent="0.35">
      <c r="A519" s="46">
        <f t="shared" si="128"/>
        <v>46152.592881944445</v>
      </c>
      <c r="B519" s="46"/>
      <c r="C519" s="260"/>
      <c r="D519" s="46"/>
      <c r="E519" s="47" t="str">
        <f>A494</f>
        <v>H1201</v>
      </c>
      <c r="F519" s="48" t="s">
        <v>4513</v>
      </c>
      <c r="G519" s="880"/>
      <c r="H519" s="881" t="s">
        <v>4985</v>
      </c>
      <c r="I519" s="82" t="s">
        <v>4986</v>
      </c>
      <c r="J519" s="100" t="s">
        <v>140</v>
      </c>
      <c r="K519" s="91">
        <v>0</v>
      </c>
      <c r="L519" s="91">
        <v>0</v>
      </c>
      <c r="M519" s="92">
        <v>70</v>
      </c>
      <c r="N519" s="92">
        <v>7685</v>
      </c>
      <c r="O519" s="92">
        <v>1</v>
      </c>
      <c r="P519" s="92">
        <f t="shared" si="133"/>
        <v>7685</v>
      </c>
      <c r="Q519" s="92"/>
      <c r="R519" s="102">
        <v>7685</v>
      </c>
      <c r="S519" s="92">
        <f t="shared" si="130"/>
        <v>0</v>
      </c>
      <c r="T519" s="102">
        <f t="shared" si="125"/>
        <v>1234.2857142857142</v>
      </c>
      <c r="U519" s="101">
        <f t="shared" si="131"/>
        <v>0</v>
      </c>
      <c r="V519" s="101">
        <f t="shared" si="132"/>
        <v>0</v>
      </c>
      <c r="W519" s="101">
        <v>0</v>
      </c>
      <c r="X519" s="55">
        <f t="shared" si="127"/>
        <v>46152.592881944445</v>
      </c>
    </row>
    <row r="520" spans="1:24" hidden="1" x14ac:dyDescent="0.35">
      <c r="A520" s="46">
        <f t="shared" si="128"/>
        <v>46152.592881944445</v>
      </c>
      <c r="B520" s="46"/>
      <c r="C520" s="260"/>
      <c r="D520" s="46"/>
      <c r="E520" s="47" t="s">
        <v>4411</v>
      </c>
      <c r="F520" s="48" t="s">
        <v>4842</v>
      </c>
      <c r="G520" s="880"/>
      <c r="H520" s="881" t="s">
        <v>4987</v>
      </c>
      <c r="I520" s="82" t="s">
        <v>4902</v>
      </c>
      <c r="J520" s="100" t="s">
        <v>140</v>
      </c>
      <c r="K520" s="91">
        <v>0</v>
      </c>
      <c r="L520" s="91">
        <v>0</v>
      </c>
      <c r="M520" s="92">
        <v>30</v>
      </c>
      <c r="N520" s="92">
        <v>30000</v>
      </c>
      <c r="O520" s="92">
        <v>6</v>
      </c>
      <c r="P520" s="92">
        <f t="shared" si="133"/>
        <v>5000</v>
      </c>
      <c r="Q520" s="92"/>
      <c r="R520" s="102">
        <v>5000</v>
      </c>
      <c r="S520" s="92">
        <f t="shared" si="130"/>
        <v>0</v>
      </c>
      <c r="T520" s="102">
        <f t="shared" si="125"/>
        <v>17280</v>
      </c>
      <c r="U520" s="101">
        <f t="shared" si="131"/>
        <v>0</v>
      </c>
      <c r="V520" s="101">
        <f t="shared" si="132"/>
        <v>0</v>
      </c>
      <c r="W520" s="101">
        <v>0</v>
      </c>
      <c r="X520" s="55">
        <f t="shared" si="127"/>
        <v>46152.592881944445</v>
      </c>
    </row>
    <row r="521" spans="1:24" ht="29" hidden="1" x14ac:dyDescent="0.35">
      <c r="A521" s="46">
        <f t="shared" si="128"/>
        <v>46152.592881944445</v>
      </c>
      <c r="B521" s="46"/>
      <c r="C521" s="260"/>
      <c r="D521" s="46"/>
      <c r="E521" s="47" t="str">
        <f>A494</f>
        <v>H1201</v>
      </c>
      <c r="F521" s="48" t="s">
        <v>165</v>
      </c>
      <c r="G521" s="880"/>
      <c r="H521" s="881" t="s">
        <v>4985</v>
      </c>
      <c r="I521" s="82" t="s">
        <v>4986</v>
      </c>
      <c r="J521" s="100" t="s">
        <v>140</v>
      </c>
      <c r="K521" s="91">
        <v>0</v>
      </c>
      <c r="L521" s="91">
        <v>0</v>
      </c>
      <c r="M521" s="92">
        <v>70</v>
      </c>
      <c r="N521" s="92">
        <v>4603</v>
      </c>
      <c r="O521" s="92">
        <v>1</v>
      </c>
      <c r="P521" s="92">
        <f t="shared" si="133"/>
        <v>4603</v>
      </c>
      <c r="Q521" s="92"/>
      <c r="R521" s="102">
        <v>4603</v>
      </c>
      <c r="S521" s="92">
        <f t="shared" si="130"/>
        <v>0</v>
      </c>
      <c r="T521" s="102">
        <f t="shared" si="125"/>
        <v>1234.2857142857142</v>
      </c>
      <c r="U521" s="101">
        <f t="shared" si="131"/>
        <v>0</v>
      </c>
      <c r="V521" s="101">
        <f t="shared" si="132"/>
        <v>0</v>
      </c>
      <c r="W521" s="101">
        <v>0</v>
      </c>
      <c r="X521" s="55">
        <f t="shared" si="127"/>
        <v>46152.592881944445</v>
      </c>
    </row>
    <row r="522" spans="1:24" ht="29" hidden="1" x14ac:dyDescent="0.35">
      <c r="A522" s="46">
        <f t="shared" si="128"/>
        <v>46152.592881944445</v>
      </c>
      <c r="B522" s="46"/>
      <c r="C522" s="260"/>
      <c r="D522" s="46"/>
      <c r="E522" s="47" t="s">
        <v>4897</v>
      </c>
      <c r="F522" s="48" t="s">
        <v>177</v>
      </c>
      <c r="G522" s="880"/>
      <c r="H522" s="881" t="s">
        <v>4988</v>
      </c>
      <c r="I522" s="97" t="s">
        <v>4989</v>
      </c>
      <c r="J522" s="100" t="s">
        <v>140</v>
      </c>
      <c r="K522" s="91">
        <v>0</v>
      </c>
      <c r="L522" s="91">
        <v>0</v>
      </c>
      <c r="M522" s="92">
        <v>32</v>
      </c>
      <c r="N522" s="92">
        <v>40000</v>
      </c>
      <c r="O522" s="92">
        <v>6</v>
      </c>
      <c r="P522" s="92">
        <f t="shared" si="133"/>
        <v>6666.666666666667</v>
      </c>
      <c r="Q522" s="92"/>
      <c r="R522" s="102">
        <v>6667</v>
      </c>
      <c r="S522" s="92">
        <f t="shared" si="130"/>
        <v>-0.33333333333303017</v>
      </c>
      <c r="T522" s="102">
        <f t="shared" si="125"/>
        <v>16200</v>
      </c>
      <c r="U522" s="101">
        <f t="shared" si="131"/>
        <v>-2.9629629629602684E-3</v>
      </c>
      <c r="V522" s="101">
        <f t="shared" si="132"/>
        <v>-1.2345679012334452E-4</v>
      </c>
      <c r="W522" s="101">
        <v>0</v>
      </c>
      <c r="X522" s="55">
        <f t="shared" si="127"/>
        <v>46152.592758487655</v>
      </c>
    </row>
    <row r="523" spans="1:24" hidden="1" x14ac:dyDescent="0.35">
      <c r="A523" s="46">
        <f t="shared" si="128"/>
        <v>46152.592758487655</v>
      </c>
      <c r="B523" s="46"/>
      <c r="C523" s="260"/>
      <c r="D523" s="46"/>
      <c r="E523" s="47" t="s">
        <v>4897</v>
      </c>
      <c r="F523" s="48" t="s">
        <v>14</v>
      </c>
      <c r="G523" s="880"/>
      <c r="H523" s="881" t="s">
        <v>1362</v>
      </c>
      <c r="I523" s="97" t="s">
        <v>4990</v>
      </c>
      <c r="J523" s="100" t="s">
        <v>140</v>
      </c>
      <c r="K523" s="91">
        <v>0</v>
      </c>
      <c r="L523" s="91">
        <v>0</v>
      </c>
      <c r="M523" s="92"/>
      <c r="N523" s="92"/>
      <c r="O523" s="92"/>
      <c r="P523" s="92"/>
      <c r="Q523" s="92"/>
      <c r="R523" s="102"/>
      <c r="S523" s="92"/>
      <c r="T523" s="102"/>
      <c r="U523" s="101"/>
      <c r="V523" s="101"/>
      <c r="W523" s="101"/>
      <c r="X523" s="55">
        <f t="shared" si="127"/>
        <v>46152.592758487655</v>
      </c>
    </row>
    <row r="524" spans="1:24" hidden="1" x14ac:dyDescent="0.35">
      <c r="A524" s="46">
        <f t="shared" si="128"/>
        <v>46152.592758487655</v>
      </c>
      <c r="B524" s="46"/>
      <c r="C524" s="260"/>
      <c r="D524" s="46"/>
      <c r="E524" s="47" t="s">
        <v>4897</v>
      </c>
      <c r="F524" s="48" t="s">
        <v>1362</v>
      </c>
      <c r="G524" s="880"/>
      <c r="H524" s="885" t="s">
        <v>4991</v>
      </c>
      <c r="I524" s="82" t="s">
        <v>4992</v>
      </c>
      <c r="J524" s="100" t="s">
        <v>140</v>
      </c>
      <c r="K524" s="91">
        <v>0</v>
      </c>
      <c r="L524" s="91">
        <v>0</v>
      </c>
      <c r="M524" s="92">
        <v>50</v>
      </c>
      <c r="N524" s="92">
        <v>20</v>
      </c>
      <c r="O524" s="92">
        <v>1</v>
      </c>
      <c r="P524" s="92">
        <f t="shared" ref="P524:P587" si="134">N524/O524</f>
        <v>20</v>
      </c>
      <c r="Q524" s="92"/>
      <c r="R524" s="92">
        <v>20</v>
      </c>
      <c r="S524" s="92">
        <f t="shared" ref="S524:S587" si="135">P524-R524</f>
        <v>0</v>
      </c>
      <c r="T524" s="102">
        <f t="shared" ref="T524:T587" si="136">((3600/M524)*O524)*24</f>
        <v>1728</v>
      </c>
      <c r="U524" s="101">
        <f t="shared" ref="U524:U587" si="137">(P524-R524)*M524/3600</f>
        <v>0</v>
      </c>
      <c r="V524" s="101">
        <f t="shared" ref="V524:V587" si="138">(P524-R524)*M524/3600/24</f>
        <v>0</v>
      </c>
      <c r="W524" s="101">
        <v>0</v>
      </c>
      <c r="X524" s="55">
        <f t="shared" si="127"/>
        <v>46152.592758487655</v>
      </c>
    </row>
    <row r="525" spans="1:24" hidden="1" x14ac:dyDescent="0.35">
      <c r="A525" s="46">
        <f t="shared" si="128"/>
        <v>46152.592758487655</v>
      </c>
      <c r="B525" s="46"/>
      <c r="C525" s="260"/>
      <c r="D525" s="46"/>
      <c r="E525" s="47" t="s">
        <v>4897</v>
      </c>
      <c r="F525" s="48" t="s">
        <v>1362</v>
      </c>
      <c r="G525" s="880"/>
      <c r="H525" s="885" t="s">
        <v>4993</v>
      </c>
      <c r="I525" s="82" t="s">
        <v>4994</v>
      </c>
      <c r="J525" s="100" t="s">
        <v>140</v>
      </c>
      <c r="K525" s="91">
        <v>0</v>
      </c>
      <c r="L525" s="91">
        <v>0</v>
      </c>
      <c r="M525" s="92">
        <v>50</v>
      </c>
      <c r="N525" s="92">
        <v>20</v>
      </c>
      <c r="O525" s="92">
        <v>1</v>
      </c>
      <c r="P525" s="92">
        <f t="shared" si="134"/>
        <v>20</v>
      </c>
      <c r="Q525" s="92"/>
      <c r="R525" s="92">
        <v>20</v>
      </c>
      <c r="S525" s="92">
        <f t="shared" si="135"/>
        <v>0</v>
      </c>
      <c r="T525" s="102">
        <f t="shared" si="136"/>
        <v>1728</v>
      </c>
      <c r="U525" s="101">
        <f t="shared" si="137"/>
        <v>0</v>
      </c>
      <c r="V525" s="101">
        <f t="shared" si="138"/>
        <v>0</v>
      </c>
      <c r="W525" s="101">
        <v>0</v>
      </c>
      <c r="X525" s="55">
        <f t="shared" si="127"/>
        <v>46152.592758487655</v>
      </c>
    </row>
    <row r="526" spans="1:24" hidden="1" x14ac:dyDescent="0.35">
      <c r="A526" s="46">
        <f t="shared" si="128"/>
        <v>46152.592758487655</v>
      </c>
      <c r="B526" s="46"/>
      <c r="C526" s="260"/>
      <c r="D526" s="46"/>
      <c r="E526" s="47" t="s">
        <v>4897</v>
      </c>
      <c r="F526" s="48" t="s">
        <v>1362</v>
      </c>
      <c r="G526" s="880"/>
      <c r="H526" s="885" t="s">
        <v>4993</v>
      </c>
      <c r="I526" s="82" t="s">
        <v>4995</v>
      </c>
      <c r="J526" s="100" t="s">
        <v>140</v>
      </c>
      <c r="K526" s="91">
        <v>0</v>
      </c>
      <c r="L526" s="91">
        <v>0</v>
      </c>
      <c r="M526" s="92">
        <v>50</v>
      </c>
      <c r="N526" s="92">
        <v>20</v>
      </c>
      <c r="O526" s="92">
        <v>1</v>
      </c>
      <c r="P526" s="92">
        <f t="shared" si="134"/>
        <v>20</v>
      </c>
      <c r="Q526" s="92"/>
      <c r="R526" s="92">
        <v>20</v>
      </c>
      <c r="S526" s="92">
        <f t="shared" si="135"/>
        <v>0</v>
      </c>
      <c r="T526" s="102">
        <f t="shared" si="136"/>
        <v>1728</v>
      </c>
      <c r="U526" s="101">
        <f t="shared" si="137"/>
        <v>0</v>
      </c>
      <c r="V526" s="101">
        <f t="shared" si="138"/>
        <v>0</v>
      </c>
      <c r="W526" s="101">
        <v>0</v>
      </c>
      <c r="X526" s="55">
        <f t="shared" si="127"/>
        <v>46152.592758487655</v>
      </c>
    </row>
    <row r="527" spans="1:24" hidden="1" x14ac:dyDescent="0.35">
      <c r="A527" s="46">
        <f t="shared" si="128"/>
        <v>46152.592758487655</v>
      </c>
      <c r="B527" s="46"/>
      <c r="C527" s="260"/>
      <c r="D527" s="46"/>
      <c r="E527" s="47" t="s">
        <v>4781</v>
      </c>
      <c r="F527" s="48" t="s">
        <v>1362</v>
      </c>
      <c r="G527" s="880"/>
      <c r="H527" s="885" t="s">
        <v>4996</v>
      </c>
      <c r="I527" s="82" t="s">
        <v>4997</v>
      </c>
      <c r="J527" s="100" t="s">
        <v>140</v>
      </c>
      <c r="K527" s="91">
        <v>0</v>
      </c>
      <c r="L527" s="91">
        <v>0</v>
      </c>
      <c r="M527" s="92">
        <v>50</v>
      </c>
      <c r="N527" s="92">
        <v>20</v>
      </c>
      <c r="O527" s="92">
        <v>1</v>
      </c>
      <c r="P527" s="92">
        <f t="shared" si="134"/>
        <v>20</v>
      </c>
      <c r="Q527" s="92"/>
      <c r="R527" s="92">
        <v>20</v>
      </c>
      <c r="S527" s="92">
        <f t="shared" si="135"/>
        <v>0</v>
      </c>
      <c r="T527" s="102">
        <f t="shared" si="136"/>
        <v>1728</v>
      </c>
      <c r="U527" s="101">
        <f t="shared" si="137"/>
        <v>0</v>
      </c>
      <c r="V527" s="101">
        <f t="shared" si="138"/>
        <v>0</v>
      </c>
      <c r="W527" s="101">
        <v>0</v>
      </c>
      <c r="X527" s="55">
        <f t="shared" si="127"/>
        <v>46152.592758487655</v>
      </c>
    </row>
    <row r="528" spans="1:24" hidden="1" x14ac:dyDescent="0.35">
      <c r="A528" s="46">
        <f t="shared" si="128"/>
        <v>46152.592758487655</v>
      </c>
      <c r="B528" s="46"/>
      <c r="C528" s="260"/>
      <c r="D528" s="46"/>
      <c r="E528" s="47" t="s">
        <v>4781</v>
      </c>
      <c r="F528" s="48" t="s">
        <v>1362</v>
      </c>
      <c r="G528" s="880"/>
      <c r="H528" s="885" t="s">
        <v>4996</v>
      </c>
      <c r="I528" s="82" t="s">
        <v>4998</v>
      </c>
      <c r="J528" s="100" t="s">
        <v>140</v>
      </c>
      <c r="K528" s="91">
        <v>0</v>
      </c>
      <c r="L528" s="91">
        <v>0</v>
      </c>
      <c r="M528" s="92">
        <v>50</v>
      </c>
      <c r="N528" s="92">
        <v>20</v>
      </c>
      <c r="O528" s="92">
        <v>1</v>
      </c>
      <c r="P528" s="92">
        <f t="shared" si="134"/>
        <v>20</v>
      </c>
      <c r="Q528" s="92"/>
      <c r="R528" s="92">
        <v>20</v>
      </c>
      <c r="S528" s="92">
        <f t="shared" si="135"/>
        <v>0</v>
      </c>
      <c r="T528" s="102">
        <f t="shared" si="136"/>
        <v>1728</v>
      </c>
      <c r="U528" s="101">
        <f t="shared" si="137"/>
        <v>0</v>
      </c>
      <c r="V528" s="101">
        <f t="shared" si="138"/>
        <v>0</v>
      </c>
      <c r="W528" s="101">
        <v>1</v>
      </c>
      <c r="X528" s="55">
        <f t="shared" si="127"/>
        <v>46153.592758487655</v>
      </c>
    </row>
    <row r="529" spans="1:24" hidden="1" x14ac:dyDescent="0.35">
      <c r="A529" s="46">
        <f t="shared" si="128"/>
        <v>46153.592758487655</v>
      </c>
      <c r="B529" s="46"/>
      <c r="C529" s="260"/>
      <c r="D529" s="46"/>
      <c r="E529" s="47" t="s">
        <v>4999</v>
      </c>
      <c r="F529" s="48" t="s">
        <v>5000</v>
      </c>
      <c r="G529" s="880"/>
      <c r="H529" s="881" t="s">
        <v>5001</v>
      </c>
      <c r="I529" s="104" t="s">
        <v>4599</v>
      </c>
      <c r="J529" s="100" t="s">
        <v>140</v>
      </c>
      <c r="K529" s="91">
        <v>0</v>
      </c>
      <c r="L529" s="91">
        <v>0</v>
      </c>
      <c r="M529" s="595">
        <v>68</v>
      </c>
      <c r="N529" s="92">
        <v>1000</v>
      </c>
      <c r="O529" s="92">
        <v>2</v>
      </c>
      <c r="P529" s="92">
        <f t="shared" si="134"/>
        <v>500</v>
      </c>
      <c r="Q529" s="92"/>
      <c r="R529" s="102">
        <v>500</v>
      </c>
      <c r="S529" s="92">
        <f t="shared" si="135"/>
        <v>0</v>
      </c>
      <c r="T529" s="102">
        <f t="shared" si="136"/>
        <v>2541.1764705882351</v>
      </c>
      <c r="U529" s="101">
        <f t="shared" si="137"/>
        <v>0</v>
      </c>
      <c r="V529" s="101">
        <f t="shared" si="138"/>
        <v>0</v>
      </c>
      <c r="W529" s="101">
        <v>0</v>
      </c>
      <c r="X529" s="55">
        <f t="shared" si="127"/>
        <v>46153.592758487655</v>
      </c>
    </row>
    <row r="530" spans="1:24" hidden="1" x14ac:dyDescent="0.35">
      <c r="A530" s="46">
        <f t="shared" si="128"/>
        <v>46153.592758487655</v>
      </c>
      <c r="B530" s="46"/>
      <c r="C530" s="260"/>
      <c r="D530" s="46"/>
      <c r="E530" s="47" t="s">
        <v>4999</v>
      </c>
      <c r="F530" s="48" t="s">
        <v>5002</v>
      </c>
      <c r="G530" s="880"/>
      <c r="H530" s="885">
        <v>9450</v>
      </c>
      <c r="I530" s="82" t="s">
        <v>5003</v>
      </c>
      <c r="J530" s="100" t="s">
        <v>140</v>
      </c>
      <c r="K530" s="91">
        <v>0</v>
      </c>
      <c r="L530" s="91">
        <v>0</v>
      </c>
      <c r="M530" s="595">
        <v>43</v>
      </c>
      <c r="N530" s="92">
        <v>1000</v>
      </c>
      <c r="O530" s="92">
        <v>1</v>
      </c>
      <c r="P530" s="92">
        <f t="shared" si="134"/>
        <v>1000</v>
      </c>
      <c r="Q530" s="92"/>
      <c r="R530" s="102">
        <v>1000</v>
      </c>
      <c r="S530" s="92">
        <f t="shared" si="135"/>
        <v>0</v>
      </c>
      <c r="T530" s="102">
        <f t="shared" si="136"/>
        <v>2009.3023255813955</v>
      </c>
      <c r="U530" s="101">
        <f t="shared" si="137"/>
        <v>0</v>
      </c>
      <c r="V530" s="101">
        <f t="shared" si="138"/>
        <v>0</v>
      </c>
      <c r="W530" s="101">
        <v>0</v>
      </c>
      <c r="X530" s="55">
        <f t="shared" si="127"/>
        <v>46153.592758487655</v>
      </c>
    </row>
    <row r="531" spans="1:24" ht="26.5" hidden="1" x14ac:dyDescent="0.35">
      <c r="A531" s="46">
        <f t="shared" si="128"/>
        <v>46153.592758487655</v>
      </c>
      <c r="B531" s="46"/>
      <c r="C531" s="260"/>
      <c r="D531" s="46"/>
      <c r="E531" s="296" t="s">
        <v>4999</v>
      </c>
      <c r="F531" s="577" t="s">
        <v>1321</v>
      </c>
      <c r="G531" s="886"/>
      <c r="H531" s="887" t="s">
        <v>1321</v>
      </c>
      <c r="I531" s="297" t="s">
        <v>5004</v>
      </c>
      <c r="J531" s="300" t="s">
        <v>140</v>
      </c>
      <c r="K531" s="91">
        <v>0</v>
      </c>
      <c r="L531" s="91">
        <v>0</v>
      </c>
      <c r="M531" s="888">
        <v>43</v>
      </c>
      <c r="N531" s="353">
        <v>20</v>
      </c>
      <c r="O531" s="353">
        <v>1</v>
      </c>
      <c r="P531" s="353">
        <f t="shared" si="134"/>
        <v>20</v>
      </c>
      <c r="Q531" s="353"/>
      <c r="R531" s="302">
        <v>20</v>
      </c>
      <c r="S531" s="92">
        <f t="shared" si="135"/>
        <v>0</v>
      </c>
      <c r="T531" s="302">
        <f t="shared" si="136"/>
        <v>2009.3023255813955</v>
      </c>
      <c r="U531" s="301">
        <f t="shared" si="137"/>
        <v>0</v>
      </c>
      <c r="V531" s="301">
        <f t="shared" si="138"/>
        <v>0</v>
      </c>
      <c r="W531" s="301">
        <v>0</v>
      </c>
      <c r="X531" s="55">
        <f t="shared" si="127"/>
        <v>46153.592758487655</v>
      </c>
    </row>
    <row r="532" spans="1:24" ht="26.5" hidden="1" x14ac:dyDescent="0.35">
      <c r="A532" s="46">
        <f t="shared" si="128"/>
        <v>46153.592758487655</v>
      </c>
      <c r="B532" s="46"/>
      <c r="C532" s="260"/>
      <c r="D532" s="46"/>
      <c r="E532" s="296" t="s">
        <v>4999</v>
      </c>
      <c r="F532" s="577" t="s">
        <v>1321</v>
      </c>
      <c r="G532" s="886"/>
      <c r="H532" s="887" t="s">
        <v>1321</v>
      </c>
      <c r="I532" s="297" t="s">
        <v>5005</v>
      </c>
      <c r="J532" s="300" t="s">
        <v>140</v>
      </c>
      <c r="K532" s="91">
        <v>0</v>
      </c>
      <c r="L532" s="91">
        <v>0</v>
      </c>
      <c r="M532" s="888">
        <v>43</v>
      </c>
      <c r="N532" s="353">
        <v>20</v>
      </c>
      <c r="O532" s="353">
        <v>1</v>
      </c>
      <c r="P532" s="353">
        <f t="shared" si="134"/>
        <v>20</v>
      </c>
      <c r="Q532" s="353"/>
      <c r="R532" s="302">
        <v>20</v>
      </c>
      <c r="S532" s="92">
        <f t="shared" si="135"/>
        <v>0</v>
      </c>
      <c r="T532" s="302">
        <f t="shared" si="136"/>
        <v>2009.3023255813955</v>
      </c>
      <c r="U532" s="301">
        <f t="shared" si="137"/>
        <v>0</v>
      </c>
      <c r="V532" s="301">
        <f t="shared" si="138"/>
        <v>0</v>
      </c>
      <c r="W532" s="301">
        <v>0</v>
      </c>
      <c r="X532" s="55">
        <f t="shared" si="127"/>
        <v>46153.592758487655</v>
      </c>
    </row>
    <row r="533" spans="1:24" ht="29" hidden="1" x14ac:dyDescent="0.35">
      <c r="A533" s="46">
        <f t="shared" si="128"/>
        <v>46153.592758487655</v>
      </c>
      <c r="B533" s="46"/>
      <c r="C533" s="260"/>
      <c r="D533" s="46"/>
      <c r="E533" s="47" t="s">
        <v>4897</v>
      </c>
      <c r="F533" s="48" t="s">
        <v>652</v>
      </c>
      <c r="G533" s="880"/>
      <c r="H533" s="884" t="s">
        <v>5006</v>
      </c>
      <c r="I533" s="71" t="s">
        <v>5007</v>
      </c>
      <c r="J533" s="100" t="s">
        <v>140</v>
      </c>
      <c r="K533" s="91">
        <v>0</v>
      </c>
      <c r="L533" s="91">
        <v>0</v>
      </c>
      <c r="M533" s="92">
        <v>35</v>
      </c>
      <c r="N533" s="92">
        <v>2016</v>
      </c>
      <c r="O533" s="92">
        <v>1</v>
      </c>
      <c r="P533" s="92">
        <f t="shared" si="134"/>
        <v>2016</v>
      </c>
      <c r="Q533" s="92"/>
      <c r="R533" s="92">
        <v>2016</v>
      </c>
      <c r="S533" s="92">
        <f t="shared" si="135"/>
        <v>0</v>
      </c>
      <c r="T533" s="102">
        <f t="shared" si="136"/>
        <v>2468.5714285714284</v>
      </c>
      <c r="U533" s="101">
        <f t="shared" si="137"/>
        <v>0</v>
      </c>
      <c r="V533" s="101">
        <f t="shared" si="138"/>
        <v>0</v>
      </c>
      <c r="W533" s="101">
        <v>0</v>
      </c>
      <c r="X533" s="55">
        <f t="shared" si="127"/>
        <v>46153.592758487655</v>
      </c>
    </row>
    <row r="534" spans="1:24" ht="29" hidden="1" x14ac:dyDescent="0.35">
      <c r="A534" s="46">
        <f t="shared" si="128"/>
        <v>46153.592758487655</v>
      </c>
      <c r="B534" s="46"/>
      <c r="C534" s="260"/>
      <c r="D534" s="46"/>
      <c r="E534" s="47" t="s">
        <v>4897</v>
      </c>
      <c r="F534" s="57" t="s">
        <v>4541</v>
      </c>
      <c r="G534" s="882"/>
      <c r="H534" s="884" t="s">
        <v>5008</v>
      </c>
      <c r="I534" s="71" t="s">
        <v>5007</v>
      </c>
      <c r="J534" s="100" t="s">
        <v>140</v>
      </c>
      <c r="K534" s="91">
        <v>0</v>
      </c>
      <c r="L534" s="91">
        <v>0</v>
      </c>
      <c r="M534" s="92">
        <v>35</v>
      </c>
      <c r="N534" s="92">
        <f>14000-1186</f>
        <v>12814</v>
      </c>
      <c r="O534" s="92">
        <v>1</v>
      </c>
      <c r="P534" s="92">
        <f t="shared" si="134"/>
        <v>12814</v>
      </c>
      <c r="Q534" s="92"/>
      <c r="R534" s="92">
        <v>12814</v>
      </c>
      <c r="S534" s="92">
        <f t="shared" si="135"/>
        <v>0</v>
      </c>
      <c r="T534" s="102">
        <f t="shared" si="136"/>
        <v>2468.5714285714284</v>
      </c>
      <c r="U534" s="101">
        <f t="shared" si="137"/>
        <v>0</v>
      </c>
      <c r="V534" s="101">
        <f t="shared" si="138"/>
        <v>0</v>
      </c>
      <c r="W534" s="101">
        <v>0</v>
      </c>
      <c r="X534" s="55">
        <f t="shared" si="127"/>
        <v>46153.592758487655</v>
      </c>
    </row>
    <row r="535" spans="1:24" hidden="1" x14ac:dyDescent="0.35">
      <c r="A535" s="46">
        <f t="shared" si="128"/>
        <v>46153.592758487655</v>
      </c>
      <c r="B535" s="46"/>
      <c r="C535" s="260"/>
      <c r="D535" s="46"/>
      <c r="E535" s="296" t="s">
        <v>4897</v>
      </c>
      <c r="F535" s="577" t="s">
        <v>1321</v>
      </c>
      <c r="G535" s="886"/>
      <c r="H535" s="887" t="s">
        <v>1321</v>
      </c>
      <c r="I535" s="297" t="s">
        <v>5009</v>
      </c>
      <c r="J535" s="300" t="s">
        <v>140</v>
      </c>
      <c r="K535" s="91">
        <v>0</v>
      </c>
      <c r="L535" s="91">
        <v>0</v>
      </c>
      <c r="M535" s="888">
        <v>43</v>
      </c>
      <c r="N535" s="353">
        <v>20</v>
      </c>
      <c r="O535" s="353">
        <v>1</v>
      </c>
      <c r="P535" s="353">
        <f t="shared" si="134"/>
        <v>20</v>
      </c>
      <c r="Q535" s="353"/>
      <c r="R535" s="302">
        <v>20</v>
      </c>
      <c r="S535" s="92">
        <f t="shared" si="135"/>
        <v>0</v>
      </c>
      <c r="T535" s="302">
        <f t="shared" si="136"/>
        <v>2009.3023255813955</v>
      </c>
      <c r="U535" s="301">
        <f t="shared" si="137"/>
        <v>0</v>
      </c>
      <c r="V535" s="301">
        <f t="shared" si="138"/>
        <v>0</v>
      </c>
      <c r="W535" s="301">
        <v>0</v>
      </c>
      <c r="X535" s="55">
        <f t="shared" si="127"/>
        <v>46153.592758487655</v>
      </c>
    </row>
    <row r="536" spans="1:24" ht="29" hidden="1" x14ac:dyDescent="0.35">
      <c r="A536" s="46">
        <f t="shared" si="128"/>
        <v>46153.592758487655</v>
      </c>
      <c r="B536" s="46"/>
      <c r="C536" s="260"/>
      <c r="D536" s="46"/>
      <c r="E536" s="47" t="s">
        <v>4897</v>
      </c>
      <c r="F536" s="57" t="s">
        <v>4541</v>
      </c>
      <c r="G536" s="882"/>
      <c r="H536" s="884" t="s">
        <v>5008</v>
      </c>
      <c r="I536" s="71" t="s">
        <v>5007</v>
      </c>
      <c r="J536" s="100" t="s">
        <v>140</v>
      </c>
      <c r="K536" s="91">
        <v>0</v>
      </c>
      <c r="L536" s="91">
        <v>0</v>
      </c>
      <c r="M536" s="92">
        <v>35</v>
      </c>
      <c r="N536" s="92">
        <v>1186</v>
      </c>
      <c r="O536" s="92">
        <v>1</v>
      </c>
      <c r="P536" s="92">
        <f t="shared" si="134"/>
        <v>1186</v>
      </c>
      <c r="Q536" s="92"/>
      <c r="R536" s="92">
        <v>1186</v>
      </c>
      <c r="S536" s="92">
        <f t="shared" si="135"/>
        <v>0</v>
      </c>
      <c r="T536" s="102">
        <f t="shared" si="136"/>
        <v>2468.5714285714284</v>
      </c>
      <c r="U536" s="101">
        <f t="shared" si="137"/>
        <v>0</v>
      </c>
      <c r="V536" s="101">
        <f t="shared" si="138"/>
        <v>0</v>
      </c>
      <c r="W536" s="101">
        <v>0</v>
      </c>
      <c r="X536" s="55">
        <f t="shared" si="127"/>
        <v>46153.592758487655</v>
      </c>
    </row>
    <row r="537" spans="1:24" hidden="1" x14ac:dyDescent="0.35">
      <c r="A537" s="46">
        <f t="shared" si="128"/>
        <v>46153.592758487655</v>
      </c>
      <c r="B537" s="46"/>
      <c r="C537" s="260"/>
      <c r="D537" s="46"/>
      <c r="E537" s="47" t="s">
        <v>4897</v>
      </c>
      <c r="F537" s="48" t="s">
        <v>5010</v>
      </c>
      <c r="G537" s="880"/>
      <c r="H537" s="881" t="s">
        <v>5011</v>
      </c>
      <c r="I537" s="71" t="s">
        <v>5012</v>
      </c>
      <c r="J537" s="100" t="s">
        <v>140</v>
      </c>
      <c r="K537" s="91">
        <v>0</v>
      </c>
      <c r="L537" s="91">
        <v>0</v>
      </c>
      <c r="M537" s="92">
        <v>40</v>
      </c>
      <c r="N537" s="92">
        <f>10000-1000</f>
        <v>9000</v>
      </c>
      <c r="O537" s="92">
        <v>2</v>
      </c>
      <c r="P537" s="102">
        <f t="shared" si="134"/>
        <v>4500</v>
      </c>
      <c r="Q537" s="102"/>
      <c r="R537" s="102">
        <v>4500</v>
      </c>
      <c r="S537" s="92">
        <f t="shared" si="135"/>
        <v>0</v>
      </c>
      <c r="T537" s="102">
        <f t="shared" si="136"/>
        <v>4320</v>
      </c>
      <c r="U537" s="101">
        <f t="shared" si="137"/>
        <v>0</v>
      </c>
      <c r="V537" s="101">
        <f t="shared" si="138"/>
        <v>0</v>
      </c>
      <c r="W537" s="101">
        <v>0</v>
      </c>
      <c r="X537" s="55">
        <f t="shared" si="127"/>
        <v>46153.592758487655</v>
      </c>
    </row>
    <row r="538" spans="1:24" hidden="1" x14ac:dyDescent="0.35">
      <c r="A538" s="46">
        <f t="shared" si="128"/>
        <v>46153.592758487655</v>
      </c>
      <c r="B538" s="46"/>
      <c r="C538" s="260"/>
      <c r="D538" s="46"/>
      <c r="E538" s="296" t="s">
        <v>4897</v>
      </c>
      <c r="F538" s="577" t="s">
        <v>1321</v>
      </c>
      <c r="G538" s="886"/>
      <c r="H538" s="887" t="s">
        <v>1321</v>
      </c>
      <c r="I538" s="297" t="s">
        <v>5013</v>
      </c>
      <c r="J538" s="300" t="s">
        <v>140</v>
      </c>
      <c r="K538" s="91">
        <v>0</v>
      </c>
      <c r="L538" s="91">
        <v>0</v>
      </c>
      <c r="M538" s="888">
        <v>43</v>
      </c>
      <c r="N538" s="353">
        <v>20</v>
      </c>
      <c r="O538" s="353">
        <v>1</v>
      </c>
      <c r="P538" s="353">
        <f t="shared" si="134"/>
        <v>20</v>
      </c>
      <c r="Q538" s="353"/>
      <c r="R538" s="302">
        <v>20</v>
      </c>
      <c r="S538" s="353">
        <f t="shared" si="135"/>
        <v>0</v>
      </c>
      <c r="T538" s="302">
        <f t="shared" si="136"/>
        <v>2009.3023255813955</v>
      </c>
      <c r="U538" s="301">
        <f t="shared" si="137"/>
        <v>0</v>
      </c>
      <c r="V538" s="301">
        <f t="shared" si="138"/>
        <v>0</v>
      </c>
      <c r="W538" s="301">
        <v>0</v>
      </c>
      <c r="X538" s="55">
        <f t="shared" si="127"/>
        <v>46153.592758487655</v>
      </c>
    </row>
    <row r="539" spans="1:24" hidden="1" x14ac:dyDescent="0.35">
      <c r="A539" s="46">
        <f t="shared" si="128"/>
        <v>46153.592758487655</v>
      </c>
      <c r="B539" s="46"/>
      <c r="C539" s="260"/>
      <c r="D539" s="46"/>
      <c r="E539" s="296" t="s">
        <v>4897</v>
      </c>
      <c r="F539" s="577" t="s">
        <v>14</v>
      </c>
      <c r="G539" s="886"/>
      <c r="H539" s="889" t="s">
        <v>14</v>
      </c>
      <c r="I539" s="297" t="s">
        <v>4405</v>
      </c>
      <c r="J539" s="300"/>
      <c r="K539" s="91">
        <v>0</v>
      </c>
      <c r="L539" s="91">
        <v>0</v>
      </c>
      <c r="M539" s="353">
        <v>30</v>
      </c>
      <c r="N539" s="353">
        <v>50</v>
      </c>
      <c r="O539" s="353">
        <v>8</v>
      </c>
      <c r="P539" s="353">
        <f t="shared" si="134"/>
        <v>6.25</v>
      </c>
      <c r="Q539" s="353"/>
      <c r="R539" s="302">
        <v>6</v>
      </c>
      <c r="S539" s="353">
        <f t="shared" si="135"/>
        <v>0.25</v>
      </c>
      <c r="T539" s="302">
        <f t="shared" si="136"/>
        <v>23040</v>
      </c>
      <c r="U539" s="301">
        <f t="shared" si="137"/>
        <v>2.0833333333333333E-3</v>
      </c>
      <c r="V539" s="301">
        <f t="shared" si="138"/>
        <v>8.6805555555555559E-5</v>
      </c>
      <c r="W539" s="301">
        <v>0</v>
      </c>
      <c r="X539" s="55">
        <f t="shared" si="127"/>
        <v>46153.592845293213</v>
      </c>
    </row>
    <row r="540" spans="1:24" hidden="1" x14ac:dyDescent="0.35">
      <c r="A540" s="46">
        <f t="shared" si="128"/>
        <v>46153.592845293213</v>
      </c>
      <c r="B540" s="46"/>
      <c r="C540" s="260"/>
      <c r="D540" s="46"/>
      <c r="E540" s="296" t="s">
        <v>4897</v>
      </c>
      <c r="F540" s="404" t="s">
        <v>14</v>
      </c>
      <c r="G540" s="890"/>
      <c r="H540" s="891" t="s">
        <v>1362</v>
      </c>
      <c r="I540" s="297" t="s">
        <v>5014</v>
      </c>
      <c r="J540" s="300" t="s">
        <v>140</v>
      </c>
      <c r="K540" s="352">
        <v>0</v>
      </c>
      <c r="L540" s="352">
        <v>0</v>
      </c>
      <c r="M540" s="353">
        <v>30</v>
      </c>
      <c r="N540" s="353">
        <v>50</v>
      </c>
      <c r="O540" s="353">
        <v>1</v>
      </c>
      <c r="P540" s="353">
        <f t="shared" si="134"/>
        <v>50</v>
      </c>
      <c r="Q540" s="353"/>
      <c r="R540" s="353">
        <v>50</v>
      </c>
      <c r="S540" s="353">
        <f t="shared" si="135"/>
        <v>0</v>
      </c>
      <c r="T540" s="302">
        <f t="shared" si="136"/>
        <v>2880</v>
      </c>
      <c r="U540" s="301">
        <f t="shared" si="137"/>
        <v>0</v>
      </c>
      <c r="V540" s="301">
        <f t="shared" si="138"/>
        <v>0</v>
      </c>
      <c r="W540" s="301">
        <v>0</v>
      </c>
      <c r="X540" s="55">
        <f t="shared" si="127"/>
        <v>46153.592845293213</v>
      </c>
    </row>
    <row r="541" spans="1:24" ht="29" hidden="1" x14ac:dyDescent="0.35">
      <c r="A541" s="46">
        <f t="shared" si="128"/>
        <v>46153.592845293213</v>
      </c>
      <c r="B541" s="46"/>
      <c r="C541" s="260"/>
      <c r="D541" s="46"/>
      <c r="E541" s="47" t="s">
        <v>5015</v>
      </c>
      <c r="F541" s="48" t="s">
        <v>4903</v>
      </c>
      <c r="G541" s="880"/>
      <c r="H541" s="881" t="s">
        <v>5016</v>
      </c>
      <c r="I541" s="106" t="s">
        <v>4877</v>
      </c>
      <c r="J541" s="100" t="s">
        <v>140</v>
      </c>
      <c r="K541" s="91">
        <v>0</v>
      </c>
      <c r="L541" s="91">
        <v>0</v>
      </c>
      <c r="M541" s="92">
        <v>77</v>
      </c>
      <c r="N541" s="92">
        <v>7000</v>
      </c>
      <c r="O541" s="92">
        <v>1</v>
      </c>
      <c r="P541" s="92">
        <f t="shared" si="134"/>
        <v>7000</v>
      </c>
      <c r="Q541" s="92"/>
      <c r="R541" s="92">
        <v>7000</v>
      </c>
      <c r="S541" s="92">
        <f t="shared" si="135"/>
        <v>0</v>
      </c>
      <c r="T541" s="102">
        <f t="shared" si="136"/>
        <v>1122.0779220779223</v>
      </c>
      <c r="U541" s="101">
        <f t="shared" si="137"/>
        <v>0</v>
      </c>
      <c r="V541" s="101">
        <f t="shared" si="138"/>
        <v>0</v>
      </c>
      <c r="W541" s="101">
        <v>0</v>
      </c>
      <c r="X541" s="55">
        <f t="shared" si="127"/>
        <v>46153.592845293213</v>
      </c>
    </row>
    <row r="542" spans="1:24" hidden="1" x14ac:dyDescent="0.35">
      <c r="A542" s="46">
        <f t="shared" si="128"/>
        <v>46153.592845293213</v>
      </c>
      <c r="B542" s="46"/>
      <c r="C542" s="260"/>
      <c r="D542" s="46"/>
      <c r="E542" s="47" t="s">
        <v>4897</v>
      </c>
      <c r="F542" s="48" t="s">
        <v>5017</v>
      </c>
      <c r="G542" s="880"/>
      <c r="H542" s="881" t="s">
        <v>5018</v>
      </c>
      <c r="I542" s="82" t="s">
        <v>5019</v>
      </c>
      <c r="J542" s="100" t="s">
        <v>140</v>
      </c>
      <c r="K542" s="91">
        <v>0</v>
      </c>
      <c r="L542" s="91">
        <v>0</v>
      </c>
      <c r="M542" s="92">
        <v>70</v>
      </c>
      <c r="N542" s="92">
        <v>300</v>
      </c>
      <c r="O542" s="92">
        <v>2</v>
      </c>
      <c r="P542" s="92">
        <f t="shared" si="134"/>
        <v>150</v>
      </c>
      <c r="Q542" s="92"/>
      <c r="R542" s="92"/>
      <c r="S542" s="92">
        <f t="shared" si="135"/>
        <v>150</v>
      </c>
      <c r="T542" s="102">
        <f t="shared" si="136"/>
        <v>2468.5714285714284</v>
      </c>
      <c r="U542" s="101">
        <f t="shared" si="137"/>
        <v>2.9166666666666665</v>
      </c>
      <c r="V542" s="101">
        <f t="shared" si="138"/>
        <v>0.12152777777777778</v>
      </c>
      <c r="W542" s="101">
        <v>0</v>
      </c>
      <c r="X542" s="55">
        <f t="shared" si="127"/>
        <v>46153.714373070994</v>
      </c>
    </row>
    <row r="543" spans="1:24" ht="29" hidden="1" x14ac:dyDescent="0.35">
      <c r="A543" s="46">
        <f t="shared" si="128"/>
        <v>46153.714373070994</v>
      </c>
      <c r="B543" s="46"/>
      <c r="C543" s="260"/>
      <c r="D543" s="46"/>
      <c r="E543" s="47" t="s">
        <v>4897</v>
      </c>
      <c r="F543" s="48" t="s">
        <v>555</v>
      </c>
      <c r="G543" s="880"/>
      <c r="H543" s="881" t="s">
        <v>5020</v>
      </c>
      <c r="I543" s="82" t="s">
        <v>5019</v>
      </c>
      <c r="J543" s="100" t="s">
        <v>140</v>
      </c>
      <c r="K543" s="91">
        <v>0</v>
      </c>
      <c r="L543" s="91">
        <v>0</v>
      </c>
      <c r="M543" s="92">
        <v>70</v>
      </c>
      <c r="N543" s="92">
        <v>500</v>
      </c>
      <c r="O543" s="92">
        <v>2</v>
      </c>
      <c r="P543" s="92">
        <f t="shared" si="134"/>
        <v>250</v>
      </c>
      <c r="Q543" s="92"/>
      <c r="R543" s="92"/>
      <c r="S543" s="92">
        <f t="shared" si="135"/>
        <v>250</v>
      </c>
      <c r="T543" s="102">
        <f t="shared" si="136"/>
        <v>2468.5714285714284</v>
      </c>
      <c r="U543" s="101">
        <f t="shared" si="137"/>
        <v>4.8611111111111107</v>
      </c>
      <c r="V543" s="101">
        <f t="shared" si="138"/>
        <v>0.20254629629629628</v>
      </c>
      <c r="W543" s="101">
        <v>0</v>
      </c>
      <c r="X543" s="55">
        <f t="shared" si="127"/>
        <v>46153.916919367293</v>
      </c>
    </row>
    <row r="544" spans="1:24" hidden="1" x14ac:dyDescent="0.35">
      <c r="A544" s="46">
        <f t="shared" si="128"/>
        <v>46153.916919367293</v>
      </c>
      <c r="B544" s="46"/>
      <c r="C544" s="260"/>
      <c r="D544" s="46"/>
      <c r="E544" s="296" t="s">
        <v>4897</v>
      </c>
      <c r="F544" s="577" t="s">
        <v>1321</v>
      </c>
      <c r="G544" s="886"/>
      <c r="H544" s="889" t="s">
        <v>1321</v>
      </c>
      <c r="I544" s="297" t="s">
        <v>5021</v>
      </c>
      <c r="J544" s="300"/>
      <c r="K544" s="352">
        <v>0</v>
      </c>
      <c r="L544" s="352">
        <v>0</v>
      </c>
      <c r="M544" s="353">
        <v>35</v>
      </c>
      <c r="N544" s="353">
        <v>150</v>
      </c>
      <c r="O544" s="353">
        <v>4</v>
      </c>
      <c r="P544" s="353">
        <f t="shared" si="134"/>
        <v>37.5</v>
      </c>
      <c r="Q544" s="353"/>
      <c r="R544" s="353"/>
      <c r="S544" s="353">
        <f t="shared" si="135"/>
        <v>37.5</v>
      </c>
      <c r="T544" s="302">
        <f t="shared" si="136"/>
        <v>9874.2857142857138</v>
      </c>
      <c r="U544" s="301">
        <f t="shared" si="137"/>
        <v>0.36458333333333331</v>
      </c>
      <c r="V544" s="301">
        <f t="shared" si="138"/>
        <v>1.5190972222222222E-2</v>
      </c>
      <c r="W544" s="301">
        <v>0</v>
      </c>
      <c r="X544" s="55">
        <f t="shared" si="127"/>
        <v>46153.932110339512</v>
      </c>
    </row>
    <row r="545" spans="1:24" hidden="1" x14ac:dyDescent="0.35">
      <c r="A545" s="46">
        <f t="shared" si="128"/>
        <v>46153.932110339512</v>
      </c>
      <c r="B545" s="46"/>
      <c r="C545" s="260"/>
      <c r="D545" s="46"/>
      <c r="E545" s="47" t="s">
        <v>4897</v>
      </c>
      <c r="F545" s="48" t="s">
        <v>5022</v>
      </c>
      <c r="G545" s="880"/>
      <c r="H545" s="885">
        <v>10224</v>
      </c>
      <c r="I545" s="82" t="s">
        <v>5023</v>
      </c>
      <c r="J545" s="100" t="s">
        <v>140</v>
      </c>
      <c r="K545" s="91">
        <v>0</v>
      </c>
      <c r="L545" s="91">
        <v>0</v>
      </c>
      <c r="M545" s="595">
        <v>30</v>
      </c>
      <c r="N545" s="92">
        <v>128000</v>
      </c>
      <c r="O545" s="92">
        <v>8</v>
      </c>
      <c r="P545" s="92">
        <f t="shared" si="134"/>
        <v>16000</v>
      </c>
      <c r="Q545" s="92"/>
      <c r="R545" s="102">
        <v>16000</v>
      </c>
      <c r="S545" s="92">
        <f t="shared" si="135"/>
        <v>0</v>
      </c>
      <c r="T545" s="102">
        <f t="shared" si="136"/>
        <v>23040</v>
      </c>
      <c r="U545" s="101">
        <f t="shared" si="137"/>
        <v>0</v>
      </c>
      <c r="V545" s="101">
        <f t="shared" si="138"/>
        <v>0</v>
      </c>
      <c r="W545" s="101">
        <v>0</v>
      </c>
      <c r="X545" s="55">
        <f t="shared" si="127"/>
        <v>46153.932110339512</v>
      </c>
    </row>
    <row r="546" spans="1:24" s="221" customFormat="1" hidden="1" x14ac:dyDescent="0.35">
      <c r="A546" s="46">
        <f t="shared" si="128"/>
        <v>46153.932110339512</v>
      </c>
      <c r="B546" s="46"/>
      <c r="C546" s="260"/>
      <c r="D546" s="46"/>
      <c r="E546" s="47" t="s">
        <v>4897</v>
      </c>
      <c r="F546" s="48" t="s">
        <v>5024</v>
      </c>
      <c r="G546" s="880"/>
      <c r="H546" s="881" t="s">
        <v>5025</v>
      </c>
      <c r="I546" s="82" t="s">
        <v>5026</v>
      </c>
      <c r="J546" s="100" t="s">
        <v>140</v>
      </c>
      <c r="K546" s="91">
        <v>0</v>
      </c>
      <c r="L546" s="91">
        <v>0</v>
      </c>
      <c r="M546" s="92">
        <v>120</v>
      </c>
      <c r="N546" s="92">
        <v>3250</v>
      </c>
      <c r="O546" s="92">
        <v>1</v>
      </c>
      <c r="P546" s="92">
        <f t="shared" si="134"/>
        <v>3250</v>
      </c>
      <c r="Q546" s="92"/>
      <c r="R546" s="92">
        <v>3250</v>
      </c>
      <c r="S546" s="92">
        <f t="shared" si="135"/>
        <v>0</v>
      </c>
      <c r="T546" s="102">
        <f t="shared" si="136"/>
        <v>720</v>
      </c>
      <c r="U546" s="101">
        <f t="shared" si="137"/>
        <v>0</v>
      </c>
      <c r="V546" s="101">
        <f t="shared" si="138"/>
        <v>0</v>
      </c>
      <c r="W546" s="101">
        <v>0</v>
      </c>
      <c r="X546" s="55">
        <f t="shared" si="127"/>
        <v>46153.932110339512</v>
      </c>
    </row>
    <row r="547" spans="1:24" s="221" customFormat="1" hidden="1" x14ac:dyDescent="0.35">
      <c r="A547" s="46">
        <f t="shared" si="128"/>
        <v>46153.932110339512</v>
      </c>
      <c r="B547" s="46"/>
      <c r="C547" s="260"/>
      <c r="D547" s="46"/>
      <c r="E547" s="47" t="s">
        <v>4395</v>
      </c>
      <c r="F547" s="48" t="s">
        <v>5027</v>
      </c>
      <c r="G547" s="880"/>
      <c r="H547" s="892" t="s">
        <v>5028</v>
      </c>
      <c r="I547" s="82" t="s">
        <v>5029</v>
      </c>
      <c r="J547" s="100" t="s">
        <v>140</v>
      </c>
      <c r="K547" s="91">
        <v>0</v>
      </c>
      <c r="L547" s="91">
        <v>0</v>
      </c>
      <c r="M547" s="92">
        <v>40</v>
      </c>
      <c r="N547" s="92">
        <v>6000</v>
      </c>
      <c r="O547" s="92">
        <v>2</v>
      </c>
      <c r="P547" s="92">
        <f t="shared" si="134"/>
        <v>3000</v>
      </c>
      <c r="Q547" s="92"/>
      <c r="R547" s="92">
        <v>3000</v>
      </c>
      <c r="S547" s="92">
        <f t="shared" si="135"/>
        <v>0</v>
      </c>
      <c r="T547" s="102">
        <f t="shared" si="136"/>
        <v>4320</v>
      </c>
      <c r="U547" s="101">
        <f t="shared" si="137"/>
        <v>0</v>
      </c>
      <c r="V547" s="101">
        <f t="shared" si="138"/>
        <v>0</v>
      </c>
      <c r="W547" s="101">
        <v>0</v>
      </c>
      <c r="X547" s="55">
        <f t="shared" si="127"/>
        <v>46153.932110339512</v>
      </c>
    </row>
    <row r="548" spans="1:24" ht="26.5" hidden="1" x14ac:dyDescent="0.35">
      <c r="A548" s="46">
        <f t="shared" si="128"/>
        <v>46153.932110339512</v>
      </c>
      <c r="B548" s="46"/>
      <c r="C548" s="260"/>
      <c r="D548" s="46"/>
      <c r="E548" s="47" t="s">
        <v>4395</v>
      </c>
      <c r="F548" s="82" t="s">
        <v>513</v>
      </c>
      <c r="G548" s="831"/>
      <c r="H548" s="881" t="s">
        <v>5030</v>
      </c>
      <c r="I548" s="82" t="s">
        <v>5031</v>
      </c>
      <c r="J548" s="100" t="s">
        <v>140</v>
      </c>
      <c r="K548" s="91">
        <v>0</v>
      </c>
      <c r="L548" s="91">
        <v>0</v>
      </c>
      <c r="M548" s="92">
        <v>40</v>
      </c>
      <c r="N548" s="92">
        <v>5000</v>
      </c>
      <c r="O548" s="92">
        <v>4</v>
      </c>
      <c r="P548" s="92">
        <f t="shared" si="134"/>
        <v>1250</v>
      </c>
      <c r="Q548" s="92"/>
      <c r="R548" s="92">
        <v>1250</v>
      </c>
      <c r="S548" s="92">
        <f t="shared" si="135"/>
        <v>0</v>
      </c>
      <c r="T548" s="102">
        <f t="shared" si="136"/>
        <v>8640</v>
      </c>
      <c r="U548" s="101">
        <f t="shared" si="137"/>
        <v>0</v>
      </c>
      <c r="V548" s="101">
        <f t="shared" si="138"/>
        <v>0</v>
      </c>
      <c r="W548" s="101">
        <v>0</v>
      </c>
      <c r="X548" s="55">
        <f t="shared" si="127"/>
        <v>46153.932110339512</v>
      </c>
    </row>
    <row r="549" spans="1:24" hidden="1" x14ac:dyDescent="0.35">
      <c r="A549" s="46">
        <f t="shared" si="128"/>
        <v>46153.932110339512</v>
      </c>
      <c r="B549" s="46"/>
      <c r="C549" s="260"/>
      <c r="D549" s="46"/>
      <c r="E549" s="47" t="s">
        <v>4395</v>
      </c>
      <c r="F549" s="82" t="s">
        <v>4553</v>
      </c>
      <c r="G549" s="831"/>
      <c r="H549" s="881" t="s">
        <v>5032</v>
      </c>
      <c r="I549" s="82" t="s">
        <v>5033</v>
      </c>
      <c r="J549" s="100" t="s">
        <v>140</v>
      </c>
      <c r="K549" s="91">
        <v>0</v>
      </c>
      <c r="L549" s="91">
        <v>0</v>
      </c>
      <c r="M549" s="92">
        <v>30</v>
      </c>
      <c r="N549" s="92">
        <v>18000</v>
      </c>
      <c r="O549" s="92">
        <v>18</v>
      </c>
      <c r="P549" s="92">
        <f t="shared" si="134"/>
        <v>1000</v>
      </c>
      <c r="Q549" s="92"/>
      <c r="R549" s="92">
        <v>1000</v>
      </c>
      <c r="S549" s="92">
        <f t="shared" si="135"/>
        <v>0</v>
      </c>
      <c r="T549" s="102">
        <f t="shared" si="136"/>
        <v>51840</v>
      </c>
      <c r="U549" s="101">
        <f t="shared" si="137"/>
        <v>0</v>
      </c>
      <c r="V549" s="101">
        <f t="shared" si="138"/>
        <v>0</v>
      </c>
      <c r="W549" s="101">
        <v>0</v>
      </c>
      <c r="X549" s="55">
        <f t="shared" si="127"/>
        <v>46153.932110339512</v>
      </c>
    </row>
    <row r="550" spans="1:24" hidden="1" x14ac:dyDescent="0.35">
      <c r="A550" s="46">
        <f t="shared" si="128"/>
        <v>46153.932110339512</v>
      </c>
      <c r="B550" s="46"/>
      <c r="C550" s="260"/>
      <c r="D550" s="46"/>
      <c r="E550" s="47" t="s">
        <v>4897</v>
      </c>
      <c r="F550" s="82" t="s">
        <v>5034</v>
      </c>
      <c r="G550" s="831"/>
      <c r="H550" s="699" t="s">
        <v>5035</v>
      </c>
      <c r="I550" s="82" t="s">
        <v>4450</v>
      </c>
      <c r="J550" s="100" t="s">
        <v>140</v>
      </c>
      <c r="K550" s="91">
        <v>0</v>
      </c>
      <c r="L550" s="91">
        <v>0</v>
      </c>
      <c r="M550" s="92">
        <v>40</v>
      </c>
      <c r="N550" s="92">
        <v>5000</v>
      </c>
      <c r="O550" s="92">
        <v>3</v>
      </c>
      <c r="P550" s="92">
        <f t="shared" si="134"/>
        <v>1666.6666666666667</v>
      </c>
      <c r="Q550" s="92"/>
      <c r="R550" s="102">
        <v>1667</v>
      </c>
      <c r="S550" s="92">
        <f t="shared" si="135"/>
        <v>-0.33333333333325754</v>
      </c>
      <c r="T550" s="102">
        <f t="shared" si="136"/>
        <v>6480</v>
      </c>
      <c r="U550" s="101">
        <f t="shared" si="137"/>
        <v>-3.7037037037028616E-3</v>
      </c>
      <c r="V550" s="101">
        <f t="shared" si="138"/>
        <v>-1.5432098765428591E-4</v>
      </c>
      <c r="W550" s="101">
        <v>0</v>
      </c>
      <c r="X550" s="55">
        <f t="shared" si="127"/>
        <v>46153.931956018525</v>
      </c>
    </row>
    <row r="551" spans="1:24" ht="29" hidden="1" x14ac:dyDescent="0.35">
      <c r="A551" s="46">
        <f t="shared" si="128"/>
        <v>46153.931956018525</v>
      </c>
      <c r="B551" s="46"/>
      <c r="C551" s="260"/>
      <c r="D551" s="46"/>
      <c r="E551" s="47" t="s">
        <v>4395</v>
      </c>
      <c r="F551" s="48" t="s">
        <v>4518</v>
      </c>
      <c r="G551" s="880"/>
      <c r="H551" s="881" t="s">
        <v>5036</v>
      </c>
      <c r="I551" s="69" t="s">
        <v>5037</v>
      </c>
      <c r="J551" s="100" t="s">
        <v>140</v>
      </c>
      <c r="K551" s="91">
        <v>0</v>
      </c>
      <c r="L551" s="91">
        <v>0</v>
      </c>
      <c r="M551" s="92">
        <v>35</v>
      </c>
      <c r="N551" s="92">
        <v>8000</v>
      </c>
      <c r="O551" s="92">
        <v>1</v>
      </c>
      <c r="P551" s="92">
        <f t="shared" si="134"/>
        <v>8000</v>
      </c>
      <c r="Q551" s="92"/>
      <c r="R551" s="92">
        <v>8000</v>
      </c>
      <c r="S551" s="92">
        <f t="shared" si="135"/>
        <v>0</v>
      </c>
      <c r="T551" s="102">
        <f t="shared" si="136"/>
        <v>2468.5714285714284</v>
      </c>
      <c r="U551" s="101">
        <f t="shared" si="137"/>
        <v>0</v>
      </c>
      <c r="V551" s="101">
        <f t="shared" si="138"/>
        <v>0</v>
      </c>
      <c r="W551" s="101">
        <v>0</v>
      </c>
      <c r="X551" s="55">
        <f t="shared" si="127"/>
        <v>46153.931956018525</v>
      </c>
    </row>
    <row r="552" spans="1:24" hidden="1" x14ac:dyDescent="0.35">
      <c r="A552" s="46">
        <f t="shared" si="128"/>
        <v>46153.931956018525</v>
      </c>
      <c r="B552" s="46"/>
      <c r="C552" s="260"/>
      <c r="D552" s="46"/>
      <c r="E552" s="47" t="s">
        <v>4395</v>
      </c>
      <c r="F552" s="48" t="s">
        <v>5038</v>
      </c>
      <c r="G552" s="880"/>
      <c r="H552" s="885">
        <v>10859</v>
      </c>
      <c r="I552" s="82" t="s">
        <v>4871</v>
      </c>
      <c r="J552" s="100" t="s">
        <v>140</v>
      </c>
      <c r="K552" s="91">
        <v>0</v>
      </c>
      <c r="L552" s="91">
        <v>0</v>
      </c>
      <c r="M552" s="595">
        <v>43</v>
      </c>
      <c r="N552" s="92">
        <v>1400</v>
      </c>
      <c r="O552" s="92">
        <v>2</v>
      </c>
      <c r="P552" s="92">
        <f t="shared" si="134"/>
        <v>700</v>
      </c>
      <c r="Q552" s="92"/>
      <c r="R552" s="102">
        <v>700</v>
      </c>
      <c r="S552" s="92">
        <f t="shared" si="135"/>
        <v>0</v>
      </c>
      <c r="T552" s="102">
        <f t="shared" si="136"/>
        <v>4018.604651162791</v>
      </c>
      <c r="U552" s="101">
        <f t="shared" si="137"/>
        <v>0</v>
      </c>
      <c r="V552" s="101">
        <f t="shared" si="138"/>
        <v>0</v>
      </c>
      <c r="W552" s="101">
        <v>0</v>
      </c>
      <c r="X552" s="55">
        <f t="shared" si="127"/>
        <v>46153.931956018525</v>
      </c>
    </row>
    <row r="553" spans="1:24" hidden="1" x14ac:dyDescent="0.35">
      <c r="A553" s="46">
        <f t="shared" si="128"/>
        <v>46153.931956018525</v>
      </c>
      <c r="B553" s="46"/>
      <c r="C553" s="260"/>
      <c r="D553" s="46"/>
      <c r="E553" s="47" t="s">
        <v>4395</v>
      </c>
      <c r="F553" s="48" t="s">
        <v>5038</v>
      </c>
      <c r="G553" s="880"/>
      <c r="H553" s="885">
        <v>10858</v>
      </c>
      <c r="I553" s="82" t="s">
        <v>4872</v>
      </c>
      <c r="J553" s="100" t="s">
        <v>140</v>
      </c>
      <c r="K553" s="91">
        <v>0</v>
      </c>
      <c r="L553" s="91">
        <v>0</v>
      </c>
      <c r="M553" s="595">
        <v>43</v>
      </c>
      <c r="N553" s="92">
        <v>600</v>
      </c>
      <c r="O553" s="92">
        <v>2</v>
      </c>
      <c r="P553" s="92">
        <f t="shared" si="134"/>
        <v>300</v>
      </c>
      <c r="Q553" s="92"/>
      <c r="R553" s="102">
        <v>300</v>
      </c>
      <c r="S553" s="92">
        <f t="shared" si="135"/>
        <v>0</v>
      </c>
      <c r="T553" s="102">
        <f t="shared" si="136"/>
        <v>4018.604651162791</v>
      </c>
      <c r="U553" s="101">
        <f t="shared" si="137"/>
        <v>0</v>
      </c>
      <c r="V553" s="101">
        <f t="shared" si="138"/>
        <v>0</v>
      </c>
      <c r="W553" s="101">
        <v>0</v>
      </c>
      <c r="X553" s="55">
        <f t="shared" si="127"/>
        <v>46153.931956018525</v>
      </c>
    </row>
    <row r="554" spans="1:24" ht="26.5" hidden="1" x14ac:dyDescent="0.35">
      <c r="A554" s="46">
        <f t="shared" si="128"/>
        <v>46153.931956018525</v>
      </c>
      <c r="B554" s="46"/>
      <c r="C554" s="260"/>
      <c r="D554" s="46"/>
      <c r="E554" s="47" t="s">
        <v>4395</v>
      </c>
      <c r="F554" s="82" t="s">
        <v>4518</v>
      </c>
      <c r="G554" s="831"/>
      <c r="H554" s="892" t="s">
        <v>5039</v>
      </c>
      <c r="I554" s="69" t="s">
        <v>3525</v>
      </c>
      <c r="J554" s="51" t="s">
        <v>140</v>
      </c>
      <c r="K554" s="91">
        <v>0</v>
      </c>
      <c r="L554" s="91">
        <v>0</v>
      </c>
      <c r="M554" s="92">
        <v>45</v>
      </c>
      <c r="N554" s="92">
        <v>20000</v>
      </c>
      <c r="O554" s="92">
        <v>2</v>
      </c>
      <c r="P554" s="92">
        <f t="shared" si="134"/>
        <v>10000</v>
      </c>
      <c r="Q554" s="92"/>
      <c r="R554" s="92">
        <v>10000</v>
      </c>
      <c r="S554" s="92">
        <f t="shared" si="135"/>
        <v>0</v>
      </c>
      <c r="T554" s="92">
        <f t="shared" si="136"/>
        <v>3840</v>
      </c>
      <c r="U554" s="91">
        <f t="shared" si="137"/>
        <v>0</v>
      </c>
      <c r="V554" s="91">
        <f t="shared" si="138"/>
        <v>0</v>
      </c>
      <c r="W554" s="91">
        <v>0</v>
      </c>
      <c r="X554" s="55">
        <f t="shared" si="127"/>
        <v>46153.931956018525</v>
      </c>
    </row>
    <row r="555" spans="1:24" hidden="1" x14ac:dyDescent="0.35">
      <c r="A555" s="46">
        <f t="shared" si="128"/>
        <v>46153.931956018525</v>
      </c>
      <c r="B555" s="46"/>
      <c r="C555" s="260"/>
      <c r="D555" s="46"/>
      <c r="E555" s="47" t="s">
        <v>4897</v>
      </c>
      <c r="F555" s="48" t="s">
        <v>5040</v>
      </c>
      <c r="G555" s="880"/>
      <c r="H555" s="881" t="s">
        <v>5041</v>
      </c>
      <c r="I555" s="82" t="s">
        <v>5019</v>
      </c>
      <c r="J555" s="100" t="s">
        <v>140</v>
      </c>
      <c r="K555" s="91">
        <v>0</v>
      </c>
      <c r="L555" s="91">
        <v>0</v>
      </c>
      <c r="M555" s="92">
        <v>70</v>
      </c>
      <c r="N555" s="92">
        <v>500</v>
      </c>
      <c r="O555" s="92">
        <v>2</v>
      </c>
      <c r="P555" s="92">
        <f t="shared" si="134"/>
        <v>250</v>
      </c>
      <c r="Q555" s="92"/>
      <c r="R555" s="92">
        <v>250</v>
      </c>
      <c r="S555" s="92">
        <f t="shared" si="135"/>
        <v>0</v>
      </c>
      <c r="T555" s="102">
        <f t="shared" si="136"/>
        <v>2468.5714285714284</v>
      </c>
      <c r="U555" s="101">
        <f t="shared" si="137"/>
        <v>0</v>
      </c>
      <c r="V555" s="101">
        <f t="shared" si="138"/>
        <v>0</v>
      </c>
      <c r="W555" s="101">
        <v>0</v>
      </c>
      <c r="X555" s="55">
        <f t="shared" si="127"/>
        <v>46153.931956018525</v>
      </c>
    </row>
    <row r="556" spans="1:24" s="221" customFormat="1" ht="26.5" hidden="1" x14ac:dyDescent="0.35">
      <c r="A556" s="46">
        <f t="shared" si="128"/>
        <v>46153.931956018525</v>
      </c>
      <c r="B556" s="46"/>
      <c r="C556" s="260"/>
      <c r="D556" s="46"/>
      <c r="E556" s="296" t="s">
        <v>4395</v>
      </c>
      <c r="F556" s="366" t="s">
        <v>14</v>
      </c>
      <c r="G556" s="454"/>
      <c r="H556" s="454" t="s">
        <v>14</v>
      </c>
      <c r="I556" s="297" t="s">
        <v>5042</v>
      </c>
      <c r="J556" s="300" t="s">
        <v>140</v>
      </c>
      <c r="K556" s="352">
        <v>0</v>
      </c>
      <c r="L556" s="352">
        <v>0</v>
      </c>
      <c r="M556" s="353">
        <v>70</v>
      </c>
      <c r="N556" s="353">
        <v>50</v>
      </c>
      <c r="O556" s="353">
        <v>1</v>
      </c>
      <c r="P556" s="353">
        <f t="shared" si="134"/>
        <v>50</v>
      </c>
      <c r="Q556" s="353"/>
      <c r="R556" s="302">
        <v>50</v>
      </c>
      <c r="S556" s="353">
        <f t="shared" si="135"/>
        <v>0</v>
      </c>
      <c r="T556" s="302">
        <f t="shared" si="136"/>
        <v>1234.2857142857142</v>
      </c>
      <c r="U556" s="301">
        <f t="shared" si="137"/>
        <v>0</v>
      </c>
      <c r="V556" s="301">
        <f t="shared" si="138"/>
        <v>0</v>
      </c>
      <c r="W556" s="301">
        <v>0</v>
      </c>
      <c r="X556" s="55">
        <f t="shared" si="127"/>
        <v>46153.931956018525</v>
      </c>
    </row>
    <row r="557" spans="1:24" s="221" customFormat="1" hidden="1" x14ac:dyDescent="0.35">
      <c r="A557" s="46">
        <f t="shared" si="128"/>
        <v>46153.931956018525</v>
      </c>
      <c r="B557" s="46"/>
      <c r="C557" s="260"/>
      <c r="D557" s="46"/>
      <c r="E557" s="47" t="s">
        <v>4897</v>
      </c>
      <c r="F557" s="48" t="s">
        <v>5043</v>
      </c>
      <c r="G557" s="880"/>
      <c r="H557" s="881" t="s">
        <v>5044</v>
      </c>
      <c r="I557" s="82" t="s">
        <v>5019</v>
      </c>
      <c r="J557" s="100" t="s">
        <v>140</v>
      </c>
      <c r="K557" s="91">
        <v>0</v>
      </c>
      <c r="L557" s="91">
        <v>0</v>
      </c>
      <c r="M557" s="92">
        <v>70</v>
      </c>
      <c r="N557" s="92">
        <v>500</v>
      </c>
      <c r="O557" s="92">
        <v>2</v>
      </c>
      <c r="P557" s="92">
        <f t="shared" si="134"/>
        <v>250</v>
      </c>
      <c r="Q557" s="92"/>
      <c r="R557" s="92">
        <v>250</v>
      </c>
      <c r="S557" s="92">
        <f t="shared" si="135"/>
        <v>0</v>
      </c>
      <c r="T557" s="102">
        <f t="shared" si="136"/>
        <v>2468.5714285714284</v>
      </c>
      <c r="U557" s="101">
        <f t="shared" si="137"/>
        <v>0</v>
      </c>
      <c r="V557" s="101">
        <f t="shared" si="138"/>
        <v>0</v>
      </c>
      <c r="W557" s="101">
        <v>0</v>
      </c>
      <c r="X557" s="55">
        <f t="shared" si="127"/>
        <v>46153.931956018525</v>
      </c>
    </row>
    <row r="558" spans="1:24" s="221" customFormat="1" ht="26.5" hidden="1" x14ac:dyDescent="0.35">
      <c r="A558" s="46">
        <f t="shared" si="128"/>
        <v>46153.931956018525</v>
      </c>
      <c r="B558" s="46"/>
      <c r="C558" s="260"/>
      <c r="D558" s="46"/>
      <c r="E558" s="47" t="s">
        <v>4395</v>
      </c>
      <c r="F558" s="82" t="s">
        <v>1160</v>
      </c>
      <c r="G558" s="831"/>
      <c r="H558" s="892" t="s">
        <v>5045</v>
      </c>
      <c r="I558" s="69" t="s">
        <v>3525</v>
      </c>
      <c r="J558" s="51" t="s">
        <v>140</v>
      </c>
      <c r="K558" s="91">
        <v>0</v>
      </c>
      <c r="L558" s="91">
        <v>0</v>
      </c>
      <c r="M558" s="92">
        <v>45</v>
      </c>
      <c r="N558" s="92">
        <v>36000</v>
      </c>
      <c r="O558" s="92">
        <v>2</v>
      </c>
      <c r="P558" s="92">
        <f t="shared" si="134"/>
        <v>18000</v>
      </c>
      <c r="Q558" s="92"/>
      <c r="R558" s="92">
        <v>18000</v>
      </c>
      <c r="S558" s="92">
        <f t="shared" si="135"/>
        <v>0</v>
      </c>
      <c r="T558" s="92">
        <f t="shared" si="136"/>
        <v>3840</v>
      </c>
      <c r="U558" s="91">
        <f t="shared" si="137"/>
        <v>0</v>
      </c>
      <c r="V558" s="91">
        <f t="shared" si="138"/>
        <v>0</v>
      </c>
      <c r="W558" s="91">
        <v>0</v>
      </c>
      <c r="X558" s="55">
        <f t="shared" si="127"/>
        <v>46153.931956018525</v>
      </c>
    </row>
    <row r="559" spans="1:24" hidden="1" x14ac:dyDescent="0.35">
      <c r="A559" s="46">
        <f t="shared" si="128"/>
        <v>46153.931956018525</v>
      </c>
      <c r="B559" s="46"/>
      <c r="C559" s="260"/>
      <c r="D559" s="46"/>
      <c r="E559" s="74" t="s">
        <v>4758</v>
      </c>
      <c r="F559" s="82" t="s">
        <v>633</v>
      </c>
      <c r="G559" s="831"/>
      <c r="H559" s="699" t="s">
        <v>5046</v>
      </c>
      <c r="I559" s="71" t="s">
        <v>4636</v>
      </c>
      <c r="J559" s="100"/>
      <c r="K559" s="91">
        <v>0</v>
      </c>
      <c r="L559" s="91">
        <v>0</v>
      </c>
      <c r="M559" s="92">
        <v>42</v>
      </c>
      <c r="N559" s="92">
        <v>26000</v>
      </c>
      <c r="O559" s="92">
        <v>4</v>
      </c>
      <c r="P559" s="92">
        <f t="shared" si="134"/>
        <v>6500</v>
      </c>
      <c r="Q559" s="92"/>
      <c r="R559" s="92">
        <v>6500</v>
      </c>
      <c r="S559" s="92">
        <f t="shared" si="135"/>
        <v>0</v>
      </c>
      <c r="T559" s="102">
        <f t="shared" si="136"/>
        <v>8228.5714285714275</v>
      </c>
      <c r="U559" s="101">
        <f t="shared" si="137"/>
        <v>0</v>
      </c>
      <c r="V559" s="101">
        <f t="shared" si="138"/>
        <v>0</v>
      </c>
      <c r="W559" s="101">
        <v>0</v>
      </c>
      <c r="X559" s="55">
        <f t="shared" ref="X559:X594" si="139">A559+K559+L559+V559+W559</f>
        <v>46153.931956018525</v>
      </c>
    </row>
    <row r="560" spans="1:24" s="221" customFormat="1" ht="26.5" hidden="1" x14ac:dyDescent="0.35">
      <c r="A560" s="46">
        <f t="shared" ref="A560:A598" si="140">X559</f>
        <v>46153.931956018525</v>
      </c>
      <c r="B560" s="46"/>
      <c r="C560" s="260"/>
      <c r="D560" s="46"/>
      <c r="E560" s="47" t="s">
        <v>4395</v>
      </c>
      <c r="F560" s="99" t="s">
        <v>5047</v>
      </c>
      <c r="G560" s="893"/>
      <c r="H560" s="892" t="s">
        <v>5048</v>
      </c>
      <c r="I560" s="69" t="s">
        <v>3525</v>
      </c>
      <c r="J560" s="51" t="s">
        <v>140</v>
      </c>
      <c r="K560" s="91">
        <v>0</v>
      </c>
      <c r="L560" s="91">
        <v>0</v>
      </c>
      <c r="M560" s="92">
        <v>45</v>
      </c>
      <c r="N560" s="92">
        <v>24000</v>
      </c>
      <c r="O560" s="92">
        <v>2</v>
      </c>
      <c r="P560" s="92">
        <f t="shared" si="134"/>
        <v>12000</v>
      </c>
      <c r="Q560" s="92"/>
      <c r="R560" s="92">
        <v>12000</v>
      </c>
      <c r="S560" s="92">
        <f t="shared" si="135"/>
        <v>0</v>
      </c>
      <c r="T560" s="92">
        <f t="shared" si="136"/>
        <v>3840</v>
      </c>
      <c r="U560" s="91">
        <f t="shared" si="137"/>
        <v>0</v>
      </c>
      <c r="V560" s="91">
        <f t="shared" si="138"/>
        <v>0</v>
      </c>
      <c r="W560" s="91">
        <v>0</v>
      </c>
      <c r="X560" s="55">
        <f t="shared" si="139"/>
        <v>46153.931956018525</v>
      </c>
    </row>
    <row r="561" spans="1:24" s="221" customFormat="1" hidden="1" x14ac:dyDescent="0.35">
      <c r="A561" s="46">
        <f t="shared" si="140"/>
        <v>46153.931956018525</v>
      </c>
      <c r="B561" s="46"/>
      <c r="C561" s="260"/>
      <c r="D561" s="46"/>
      <c r="E561" s="47" t="s">
        <v>4395</v>
      </c>
      <c r="F561" s="99" t="s">
        <v>1549</v>
      </c>
      <c r="G561" s="893"/>
      <c r="H561" s="892" t="s">
        <v>5049</v>
      </c>
      <c r="I561" s="82" t="s">
        <v>5029</v>
      </c>
      <c r="J561" s="100" t="s">
        <v>140</v>
      </c>
      <c r="K561" s="91">
        <v>0</v>
      </c>
      <c r="L561" s="91">
        <v>0</v>
      </c>
      <c r="M561" s="92">
        <v>40</v>
      </c>
      <c r="N561" s="92">
        <v>6000</v>
      </c>
      <c r="O561" s="92">
        <v>2</v>
      </c>
      <c r="P561" s="92">
        <f t="shared" si="134"/>
        <v>3000</v>
      </c>
      <c r="Q561" s="92"/>
      <c r="R561" s="92">
        <v>3000</v>
      </c>
      <c r="S561" s="92">
        <f t="shared" si="135"/>
        <v>0</v>
      </c>
      <c r="T561" s="102">
        <f t="shared" si="136"/>
        <v>4320</v>
      </c>
      <c r="U561" s="101">
        <f t="shared" si="137"/>
        <v>0</v>
      </c>
      <c r="V561" s="101">
        <f t="shared" si="138"/>
        <v>0</v>
      </c>
      <c r="W561" s="101">
        <v>0</v>
      </c>
      <c r="X561" s="55">
        <f t="shared" si="139"/>
        <v>46153.931956018525</v>
      </c>
    </row>
    <row r="562" spans="1:24" s="221" customFormat="1" hidden="1" x14ac:dyDescent="0.35">
      <c r="A562" s="46">
        <f t="shared" si="140"/>
        <v>46153.931956018525</v>
      </c>
      <c r="B562" s="46"/>
      <c r="C562" s="260"/>
      <c r="D562" s="46"/>
      <c r="E562" s="47" t="s">
        <v>4897</v>
      </c>
      <c r="F562" s="97" t="s">
        <v>4898</v>
      </c>
      <c r="G562" s="698"/>
      <c r="H562" s="699" t="s">
        <v>5050</v>
      </c>
      <c r="I562" s="69" t="s">
        <v>4900</v>
      </c>
      <c r="J562" s="51" t="s">
        <v>140</v>
      </c>
      <c r="K562" s="91">
        <v>0</v>
      </c>
      <c r="L562" s="91">
        <v>0</v>
      </c>
      <c r="M562" s="92">
        <v>25</v>
      </c>
      <c r="N562" s="92">
        <v>24000</v>
      </c>
      <c r="O562" s="92">
        <v>1</v>
      </c>
      <c r="P562" s="92">
        <f t="shared" si="134"/>
        <v>24000</v>
      </c>
      <c r="Q562" s="92"/>
      <c r="R562" s="92">
        <v>24000</v>
      </c>
      <c r="S562" s="92">
        <f t="shared" si="135"/>
        <v>0</v>
      </c>
      <c r="T562" s="92">
        <f t="shared" si="136"/>
        <v>3456</v>
      </c>
      <c r="U562" s="91">
        <f t="shared" si="137"/>
        <v>0</v>
      </c>
      <c r="V562" s="91">
        <f t="shared" si="138"/>
        <v>0</v>
      </c>
      <c r="W562" s="91">
        <v>0</v>
      </c>
      <c r="X562" s="55">
        <f t="shared" si="139"/>
        <v>46153.931956018525</v>
      </c>
    </row>
    <row r="563" spans="1:24" hidden="1" x14ac:dyDescent="0.35">
      <c r="A563" s="46">
        <f t="shared" si="140"/>
        <v>46153.931956018525</v>
      </c>
      <c r="B563" s="46"/>
      <c r="C563" s="260"/>
      <c r="D563" s="46"/>
      <c r="E563" s="47" t="s">
        <v>4897</v>
      </c>
      <c r="F563" s="97" t="s">
        <v>5051</v>
      </c>
      <c r="G563" s="698"/>
      <c r="H563" s="699" t="s">
        <v>5052</v>
      </c>
      <c r="I563" s="82" t="s">
        <v>5019</v>
      </c>
      <c r="J563" s="100" t="s">
        <v>140</v>
      </c>
      <c r="K563" s="91">
        <v>0</v>
      </c>
      <c r="L563" s="91">
        <v>0</v>
      </c>
      <c r="M563" s="92">
        <v>70</v>
      </c>
      <c r="N563" s="92">
        <v>600</v>
      </c>
      <c r="O563" s="92">
        <v>1</v>
      </c>
      <c r="P563" s="92">
        <f t="shared" si="134"/>
        <v>600</v>
      </c>
      <c r="Q563" s="92"/>
      <c r="R563" s="92">
        <v>600</v>
      </c>
      <c r="S563" s="92">
        <f t="shared" si="135"/>
        <v>0</v>
      </c>
      <c r="T563" s="102">
        <f t="shared" si="136"/>
        <v>1234.2857142857142</v>
      </c>
      <c r="U563" s="101">
        <f t="shared" si="137"/>
        <v>0</v>
      </c>
      <c r="V563" s="101">
        <f t="shared" si="138"/>
        <v>0</v>
      </c>
      <c r="W563" s="101">
        <v>0</v>
      </c>
      <c r="X563" s="55">
        <f t="shared" si="139"/>
        <v>46153.931956018525</v>
      </c>
    </row>
    <row r="564" spans="1:24" hidden="1" x14ac:dyDescent="0.35">
      <c r="A564" s="46">
        <f t="shared" si="140"/>
        <v>46153.931956018525</v>
      </c>
      <c r="B564" s="46"/>
      <c r="C564" s="260"/>
      <c r="D564" s="46"/>
      <c r="E564" s="47" t="s">
        <v>4897</v>
      </c>
      <c r="F564" s="48" t="s">
        <v>5053</v>
      </c>
      <c r="G564" s="880"/>
      <c r="H564" s="894" t="s">
        <v>5054</v>
      </c>
      <c r="I564" s="82" t="s">
        <v>5055</v>
      </c>
      <c r="J564" s="100" t="s">
        <v>140</v>
      </c>
      <c r="K564" s="52">
        <v>0</v>
      </c>
      <c r="L564" s="52">
        <v>0</v>
      </c>
      <c r="M564" s="53">
        <v>45</v>
      </c>
      <c r="N564" s="53">
        <v>1000</v>
      </c>
      <c r="O564" s="53">
        <v>2</v>
      </c>
      <c r="P564" s="53">
        <f t="shared" si="134"/>
        <v>500</v>
      </c>
      <c r="Q564" s="53"/>
      <c r="R564" s="53">
        <v>500</v>
      </c>
      <c r="S564" s="53">
        <f t="shared" si="135"/>
        <v>0</v>
      </c>
      <c r="T564" s="83">
        <f t="shared" si="136"/>
        <v>3840</v>
      </c>
      <c r="U564" s="84">
        <f t="shared" si="137"/>
        <v>0</v>
      </c>
      <c r="V564" s="84">
        <f t="shared" si="138"/>
        <v>0</v>
      </c>
      <c r="W564" s="84">
        <v>0</v>
      </c>
      <c r="X564" s="55">
        <f t="shared" si="139"/>
        <v>46153.931956018525</v>
      </c>
    </row>
    <row r="565" spans="1:24" s="221" customFormat="1" hidden="1" x14ac:dyDescent="0.35">
      <c r="A565" s="46">
        <f t="shared" si="140"/>
        <v>46153.931956018525</v>
      </c>
      <c r="B565" s="46"/>
      <c r="C565" s="260"/>
      <c r="D565" s="46"/>
      <c r="E565" s="47" t="s">
        <v>4897</v>
      </c>
      <c r="F565" s="97" t="s">
        <v>3479</v>
      </c>
      <c r="G565" s="698"/>
      <c r="H565" s="699" t="s">
        <v>5056</v>
      </c>
      <c r="I565" s="71" t="s">
        <v>3502</v>
      </c>
      <c r="J565" s="100" t="s">
        <v>140</v>
      </c>
      <c r="K565" s="91">
        <v>0</v>
      </c>
      <c r="L565" s="91">
        <v>0</v>
      </c>
      <c r="M565" s="92">
        <v>40</v>
      </c>
      <c r="N565" s="92">
        <v>9000</v>
      </c>
      <c r="O565" s="92">
        <v>1</v>
      </c>
      <c r="P565" s="92">
        <f t="shared" si="134"/>
        <v>9000</v>
      </c>
      <c r="Q565" s="92"/>
      <c r="R565" s="102">
        <v>9000</v>
      </c>
      <c r="S565" s="92">
        <f t="shared" si="135"/>
        <v>0</v>
      </c>
      <c r="T565" s="102">
        <f t="shared" si="136"/>
        <v>2160</v>
      </c>
      <c r="U565" s="101">
        <f t="shared" si="137"/>
        <v>0</v>
      </c>
      <c r="V565" s="101">
        <f t="shared" si="138"/>
        <v>0</v>
      </c>
      <c r="W565" s="101">
        <v>0</v>
      </c>
      <c r="X565" s="55">
        <f t="shared" si="139"/>
        <v>46153.931956018525</v>
      </c>
    </row>
    <row r="566" spans="1:24" s="221" customFormat="1" hidden="1" x14ac:dyDescent="0.35">
      <c r="A566" s="46">
        <f t="shared" si="140"/>
        <v>46153.931956018525</v>
      </c>
      <c r="B566" s="46"/>
      <c r="C566" s="260"/>
      <c r="D566" s="46"/>
      <c r="E566" s="47" t="s">
        <v>4897</v>
      </c>
      <c r="F566" s="97" t="s">
        <v>3479</v>
      </c>
      <c r="G566" s="698"/>
      <c r="H566" s="699" t="s">
        <v>5057</v>
      </c>
      <c r="I566" s="71" t="s">
        <v>3502</v>
      </c>
      <c r="J566" s="100" t="s">
        <v>140</v>
      </c>
      <c r="K566" s="91">
        <v>0</v>
      </c>
      <c r="L566" s="91">
        <v>0</v>
      </c>
      <c r="M566" s="92">
        <v>40</v>
      </c>
      <c r="N566" s="92">
        <v>3500</v>
      </c>
      <c r="O566" s="92">
        <v>1</v>
      </c>
      <c r="P566" s="92">
        <f t="shared" si="134"/>
        <v>3500</v>
      </c>
      <c r="Q566" s="92"/>
      <c r="R566" s="102">
        <v>3500</v>
      </c>
      <c r="S566" s="92">
        <f t="shared" si="135"/>
        <v>0</v>
      </c>
      <c r="T566" s="102">
        <f t="shared" si="136"/>
        <v>2160</v>
      </c>
      <c r="U566" s="101">
        <f t="shared" si="137"/>
        <v>0</v>
      </c>
      <c r="V566" s="101">
        <f t="shared" si="138"/>
        <v>0</v>
      </c>
      <c r="W566" s="101">
        <v>0</v>
      </c>
      <c r="X566" s="55">
        <f t="shared" si="139"/>
        <v>46153.931956018525</v>
      </c>
    </row>
    <row r="567" spans="1:24" s="221" customFormat="1" hidden="1" x14ac:dyDescent="0.35">
      <c r="A567" s="46">
        <f t="shared" si="140"/>
        <v>46153.931956018525</v>
      </c>
      <c r="B567" s="46"/>
      <c r="C567" s="260"/>
      <c r="D567" s="46"/>
      <c r="E567" s="47" t="s">
        <v>4897</v>
      </c>
      <c r="F567" s="82" t="s">
        <v>4905</v>
      </c>
      <c r="G567" s="831"/>
      <c r="H567" s="699" t="s">
        <v>5058</v>
      </c>
      <c r="I567" s="82" t="s">
        <v>4986</v>
      </c>
      <c r="J567" s="100" t="s">
        <v>140</v>
      </c>
      <c r="K567" s="91">
        <v>0</v>
      </c>
      <c r="L567" s="91">
        <v>0</v>
      </c>
      <c r="M567" s="92">
        <v>70</v>
      </c>
      <c r="N567" s="92">
        <v>7500</v>
      </c>
      <c r="O567" s="92">
        <v>1</v>
      </c>
      <c r="P567" s="92">
        <f t="shared" si="134"/>
        <v>7500</v>
      </c>
      <c r="Q567" s="92"/>
      <c r="R567" s="102">
        <v>7500</v>
      </c>
      <c r="S567" s="92">
        <f t="shared" si="135"/>
        <v>0</v>
      </c>
      <c r="T567" s="102">
        <f t="shared" si="136"/>
        <v>1234.2857142857142</v>
      </c>
      <c r="U567" s="101">
        <f t="shared" si="137"/>
        <v>0</v>
      </c>
      <c r="V567" s="101">
        <f t="shared" si="138"/>
        <v>0</v>
      </c>
      <c r="W567" s="101">
        <v>0</v>
      </c>
      <c r="X567" s="55">
        <f t="shared" si="139"/>
        <v>46153.931956018525</v>
      </c>
    </row>
    <row r="568" spans="1:24" hidden="1" x14ac:dyDescent="0.35">
      <c r="A568" s="46">
        <f t="shared" si="140"/>
        <v>46153.931956018525</v>
      </c>
      <c r="B568" s="46"/>
      <c r="C568" s="260"/>
      <c r="D568" s="46"/>
      <c r="E568" s="47" t="s">
        <v>4384</v>
      </c>
      <c r="F568" s="82" t="s">
        <v>5059</v>
      </c>
      <c r="G568" s="831"/>
      <c r="H568" s="895">
        <v>12020</v>
      </c>
      <c r="I568" s="82" t="s">
        <v>4871</v>
      </c>
      <c r="J568" s="100" t="s">
        <v>140</v>
      </c>
      <c r="K568" s="91">
        <v>0</v>
      </c>
      <c r="L568" s="91">
        <v>0</v>
      </c>
      <c r="M568" s="595">
        <v>43</v>
      </c>
      <c r="N568" s="92">
        <v>1000</v>
      </c>
      <c r="O568" s="92">
        <v>1</v>
      </c>
      <c r="P568" s="92">
        <f t="shared" si="134"/>
        <v>1000</v>
      </c>
      <c r="Q568" s="92"/>
      <c r="R568" s="102">
        <v>1000</v>
      </c>
      <c r="S568" s="92">
        <f t="shared" si="135"/>
        <v>0</v>
      </c>
      <c r="T568" s="102">
        <f t="shared" si="136"/>
        <v>2009.3023255813955</v>
      </c>
      <c r="U568" s="101">
        <f t="shared" si="137"/>
        <v>0</v>
      </c>
      <c r="V568" s="101">
        <f t="shared" si="138"/>
        <v>0</v>
      </c>
      <c r="W568" s="101">
        <v>0</v>
      </c>
      <c r="X568" s="55">
        <f t="shared" si="139"/>
        <v>46153.931956018525</v>
      </c>
    </row>
    <row r="569" spans="1:24" hidden="1" x14ac:dyDescent="0.35">
      <c r="A569" s="46">
        <f t="shared" si="140"/>
        <v>46153.931956018525</v>
      </c>
      <c r="B569" s="46"/>
      <c r="C569" s="260"/>
      <c r="D569" s="46"/>
      <c r="E569" s="47" t="s">
        <v>4384</v>
      </c>
      <c r="F569" s="82" t="s">
        <v>5059</v>
      </c>
      <c r="G569" s="831"/>
      <c r="H569" s="895">
        <v>12021</v>
      </c>
      <c r="I569" s="82" t="s">
        <v>4872</v>
      </c>
      <c r="J569" s="100" t="s">
        <v>140</v>
      </c>
      <c r="K569" s="91">
        <v>0</v>
      </c>
      <c r="L569" s="91">
        <v>0</v>
      </c>
      <c r="M569" s="595">
        <v>43</v>
      </c>
      <c r="N569" s="92">
        <v>1000</v>
      </c>
      <c r="O569" s="92">
        <v>1</v>
      </c>
      <c r="P569" s="92">
        <f t="shared" si="134"/>
        <v>1000</v>
      </c>
      <c r="Q569" s="92"/>
      <c r="R569" s="102">
        <v>1000</v>
      </c>
      <c r="S569" s="92">
        <f t="shared" si="135"/>
        <v>0</v>
      </c>
      <c r="T569" s="102">
        <f t="shared" si="136"/>
        <v>2009.3023255813955</v>
      </c>
      <c r="U569" s="101">
        <f t="shared" si="137"/>
        <v>0</v>
      </c>
      <c r="V569" s="101">
        <f t="shared" si="138"/>
        <v>0</v>
      </c>
      <c r="W569" s="101">
        <v>0</v>
      </c>
      <c r="X569" s="55">
        <f t="shared" si="139"/>
        <v>46153.931956018525</v>
      </c>
    </row>
    <row r="570" spans="1:24" ht="26.5" hidden="1" x14ac:dyDescent="0.35">
      <c r="A570" s="46">
        <f t="shared" si="140"/>
        <v>46153.931956018525</v>
      </c>
      <c r="B570" s="46"/>
      <c r="C570" s="260"/>
      <c r="D570" s="46"/>
      <c r="E570" s="47" t="s">
        <v>4897</v>
      </c>
      <c r="F570" s="82" t="s">
        <v>1552</v>
      </c>
      <c r="G570" s="831"/>
      <c r="H570" s="699" t="s">
        <v>3469</v>
      </c>
      <c r="I570" s="82" t="s">
        <v>3470</v>
      </c>
      <c r="J570" s="100" t="s">
        <v>140</v>
      </c>
      <c r="K570" s="91">
        <v>0</v>
      </c>
      <c r="L570" s="91">
        <v>0</v>
      </c>
      <c r="M570" s="92">
        <v>50</v>
      </c>
      <c r="N570" s="92">
        <v>4000</v>
      </c>
      <c r="O570" s="92">
        <v>1</v>
      </c>
      <c r="P570" s="92">
        <f t="shared" si="134"/>
        <v>4000</v>
      </c>
      <c r="Q570" s="92"/>
      <c r="R570" s="92">
        <v>4000</v>
      </c>
      <c r="S570" s="92">
        <f t="shared" si="135"/>
        <v>0</v>
      </c>
      <c r="T570" s="102">
        <f t="shared" si="136"/>
        <v>1728</v>
      </c>
      <c r="U570" s="101">
        <f t="shared" si="137"/>
        <v>0</v>
      </c>
      <c r="V570" s="101">
        <f t="shared" si="138"/>
        <v>0</v>
      </c>
      <c r="W570" s="101">
        <v>0</v>
      </c>
      <c r="X570" s="55">
        <f t="shared" si="139"/>
        <v>46153.931956018525</v>
      </c>
    </row>
    <row r="571" spans="1:24" hidden="1" x14ac:dyDescent="0.35">
      <c r="A571" s="46">
        <f t="shared" si="140"/>
        <v>46153.931956018525</v>
      </c>
      <c r="B571" s="46"/>
      <c r="C571" s="260"/>
      <c r="D571" s="46"/>
      <c r="E571" s="47" t="s">
        <v>4395</v>
      </c>
      <c r="F571" s="82" t="s">
        <v>5060</v>
      </c>
      <c r="G571" s="831"/>
      <c r="H571" s="892" t="s">
        <v>5061</v>
      </c>
      <c r="I571" s="390" t="s">
        <v>5062</v>
      </c>
      <c r="J571" s="51" t="s">
        <v>140</v>
      </c>
      <c r="K571" s="91">
        <v>0</v>
      </c>
      <c r="L571" s="91">
        <v>0</v>
      </c>
      <c r="M571" s="92">
        <v>38</v>
      </c>
      <c r="N571" s="92">
        <v>1000</v>
      </c>
      <c r="O571" s="92">
        <v>4</v>
      </c>
      <c r="P571" s="92">
        <f t="shared" si="134"/>
        <v>250</v>
      </c>
      <c r="Q571" s="92"/>
      <c r="R571" s="92">
        <v>250</v>
      </c>
      <c r="S571" s="92">
        <f t="shared" si="135"/>
        <v>0</v>
      </c>
      <c r="T571" s="92">
        <f t="shared" si="136"/>
        <v>9094.7368421052633</v>
      </c>
      <c r="U571" s="91">
        <f t="shared" si="137"/>
        <v>0</v>
      </c>
      <c r="V571" s="91">
        <f t="shared" si="138"/>
        <v>0</v>
      </c>
      <c r="W571" s="91">
        <v>0</v>
      </c>
      <c r="X571" s="55">
        <f t="shared" si="139"/>
        <v>46153.931956018525</v>
      </c>
    </row>
    <row r="572" spans="1:24" hidden="1" x14ac:dyDescent="0.35">
      <c r="A572" s="46">
        <f t="shared" si="140"/>
        <v>46153.931956018525</v>
      </c>
      <c r="B572" s="46"/>
      <c r="C572" s="260"/>
      <c r="D572" s="46"/>
      <c r="E572" s="47" t="s">
        <v>4897</v>
      </c>
      <c r="F572" s="97" t="s">
        <v>14</v>
      </c>
      <c r="G572" s="698"/>
      <c r="H572" s="699" t="s">
        <v>5063</v>
      </c>
      <c r="I572" s="82" t="s">
        <v>3536</v>
      </c>
      <c r="J572" s="51" t="s">
        <v>140</v>
      </c>
      <c r="K572" s="91">
        <v>0</v>
      </c>
      <c r="L572" s="91">
        <v>0</v>
      </c>
      <c r="M572" s="92">
        <v>40</v>
      </c>
      <c r="N572" s="92">
        <v>2500</v>
      </c>
      <c r="O572" s="92">
        <v>2</v>
      </c>
      <c r="P572" s="92">
        <f t="shared" si="134"/>
        <v>1250</v>
      </c>
      <c r="Q572" s="92"/>
      <c r="R572" s="92">
        <v>1250</v>
      </c>
      <c r="S572" s="92">
        <f t="shared" si="135"/>
        <v>0</v>
      </c>
      <c r="T572" s="92">
        <f t="shared" si="136"/>
        <v>4320</v>
      </c>
      <c r="U572" s="91">
        <f t="shared" si="137"/>
        <v>0</v>
      </c>
      <c r="V572" s="91">
        <f t="shared" si="138"/>
        <v>0</v>
      </c>
      <c r="W572" s="91">
        <v>0</v>
      </c>
      <c r="X572" s="55">
        <f t="shared" si="139"/>
        <v>46153.931956018525</v>
      </c>
    </row>
    <row r="573" spans="1:24" hidden="1" x14ac:dyDescent="0.35">
      <c r="A573" s="46">
        <f t="shared" si="140"/>
        <v>46153.931956018525</v>
      </c>
      <c r="B573" s="46"/>
      <c r="C573" s="260"/>
      <c r="D573" s="46"/>
      <c r="E573" s="47" t="s">
        <v>4897</v>
      </c>
      <c r="F573" s="97" t="s">
        <v>900</v>
      </c>
      <c r="G573" s="698"/>
      <c r="H573" s="699" t="s">
        <v>5064</v>
      </c>
      <c r="I573" s="82" t="s">
        <v>3536</v>
      </c>
      <c r="J573" s="51" t="s">
        <v>140</v>
      </c>
      <c r="K573" s="91">
        <v>0</v>
      </c>
      <c r="L573" s="91">
        <v>0</v>
      </c>
      <c r="M573" s="92">
        <v>40</v>
      </c>
      <c r="N573" s="92">
        <v>2500</v>
      </c>
      <c r="O573" s="92">
        <v>2</v>
      </c>
      <c r="P573" s="92">
        <f t="shared" si="134"/>
        <v>1250</v>
      </c>
      <c r="Q573" s="92"/>
      <c r="R573" s="92">
        <v>1250</v>
      </c>
      <c r="S573" s="92">
        <f t="shared" si="135"/>
        <v>0</v>
      </c>
      <c r="T573" s="92">
        <f t="shared" si="136"/>
        <v>4320</v>
      </c>
      <c r="U573" s="91">
        <f t="shared" si="137"/>
        <v>0</v>
      </c>
      <c r="V573" s="91">
        <f t="shared" si="138"/>
        <v>0</v>
      </c>
      <c r="W573" s="91">
        <v>0</v>
      </c>
      <c r="X573" s="55">
        <f t="shared" si="139"/>
        <v>46153.931956018525</v>
      </c>
    </row>
    <row r="574" spans="1:24" s="221" customFormat="1" ht="26.5" hidden="1" x14ac:dyDescent="0.35">
      <c r="A574" s="46">
        <f t="shared" si="140"/>
        <v>46153.931956018525</v>
      </c>
      <c r="B574" s="46"/>
      <c r="C574" s="260"/>
      <c r="D574" s="46"/>
      <c r="E574" s="296" t="s">
        <v>4897</v>
      </c>
      <c r="F574" s="366" t="s">
        <v>1801</v>
      </c>
      <c r="G574" s="454"/>
      <c r="H574" s="455" t="s">
        <v>5065</v>
      </c>
      <c r="I574" s="896" t="s">
        <v>5066</v>
      </c>
      <c r="J574" s="351" t="s">
        <v>140</v>
      </c>
      <c r="K574" s="352">
        <v>0</v>
      </c>
      <c r="L574" s="352">
        <v>0</v>
      </c>
      <c r="M574" s="353">
        <v>50</v>
      </c>
      <c r="N574" s="353">
        <v>7000</v>
      </c>
      <c r="O574" s="353">
        <v>1</v>
      </c>
      <c r="P574" s="353">
        <f t="shared" si="134"/>
        <v>7000</v>
      </c>
      <c r="Q574" s="353"/>
      <c r="R574" s="353">
        <v>7000</v>
      </c>
      <c r="S574" s="353">
        <f t="shared" si="135"/>
        <v>0</v>
      </c>
      <c r="T574" s="353">
        <f t="shared" si="136"/>
        <v>1728</v>
      </c>
      <c r="U574" s="352">
        <f t="shared" si="137"/>
        <v>0</v>
      </c>
      <c r="V574" s="352">
        <f t="shared" si="138"/>
        <v>0</v>
      </c>
      <c r="W574" s="352">
        <v>0</v>
      </c>
      <c r="X574" s="55">
        <f t="shared" si="139"/>
        <v>46153.931956018525</v>
      </c>
    </row>
    <row r="575" spans="1:24" hidden="1" x14ac:dyDescent="0.35">
      <c r="A575" s="46">
        <f t="shared" si="140"/>
        <v>46153.931956018525</v>
      </c>
      <c r="B575" s="46"/>
      <c r="C575" s="260"/>
      <c r="D575" s="46"/>
      <c r="E575" s="296" t="s">
        <v>4897</v>
      </c>
      <c r="F575" s="366" t="s">
        <v>14</v>
      </c>
      <c r="G575" s="454"/>
      <c r="H575" s="455" t="s">
        <v>14</v>
      </c>
      <c r="I575" s="897" t="s">
        <v>5067</v>
      </c>
      <c r="J575" s="351" t="s">
        <v>140</v>
      </c>
      <c r="K575" s="352">
        <v>0</v>
      </c>
      <c r="L575" s="352">
        <v>0</v>
      </c>
      <c r="M575" s="353">
        <v>50</v>
      </c>
      <c r="N575" s="353">
        <v>50</v>
      </c>
      <c r="O575" s="353">
        <v>1</v>
      </c>
      <c r="P575" s="353">
        <f t="shared" si="134"/>
        <v>50</v>
      </c>
      <c r="Q575" s="353"/>
      <c r="R575" s="353">
        <v>50</v>
      </c>
      <c r="S575" s="353">
        <f t="shared" si="135"/>
        <v>0</v>
      </c>
      <c r="T575" s="353">
        <f t="shared" si="136"/>
        <v>1728</v>
      </c>
      <c r="U575" s="352">
        <f t="shared" si="137"/>
        <v>0</v>
      </c>
      <c r="V575" s="352">
        <f t="shared" si="138"/>
        <v>0</v>
      </c>
      <c r="W575" s="352">
        <v>0</v>
      </c>
      <c r="X575" s="55">
        <f t="shared" si="139"/>
        <v>46153.931956018525</v>
      </c>
    </row>
    <row r="576" spans="1:24" ht="26.5" hidden="1" x14ac:dyDescent="0.35">
      <c r="A576" s="46">
        <f t="shared" si="140"/>
        <v>46153.931956018525</v>
      </c>
      <c r="B576" s="46"/>
      <c r="C576" s="260"/>
      <c r="D576" s="46"/>
      <c r="E576" s="47" t="s">
        <v>4897</v>
      </c>
      <c r="F576" s="82" t="s">
        <v>5068</v>
      </c>
      <c r="G576" s="82"/>
      <c r="H576" s="98" t="s">
        <v>5069</v>
      </c>
      <c r="I576" s="82" t="s">
        <v>5070</v>
      </c>
      <c r="J576" s="100" t="s">
        <v>140</v>
      </c>
      <c r="K576" s="91">
        <v>0</v>
      </c>
      <c r="L576" s="91">
        <v>0</v>
      </c>
      <c r="M576" s="92">
        <v>60</v>
      </c>
      <c r="N576" s="92">
        <v>2000</v>
      </c>
      <c r="O576" s="92">
        <v>1</v>
      </c>
      <c r="P576" s="92">
        <f t="shared" si="134"/>
        <v>2000</v>
      </c>
      <c r="Q576" s="92"/>
      <c r="R576" s="92">
        <v>2000</v>
      </c>
      <c r="S576" s="92">
        <f t="shared" si="135"/>
        <v>0</v>
      </c>
      <c r="T576" s="102">
        <f t="shared" si="136"/>
        <v>1440</v>
      </c>
      <c r="U576" s="101">
        <f t="shared" si="137"/>
        <v>0</v>
      </c>
      <c r="V576" s="101">
        <f t="shared" si="138"/>
        <v>0</v>
      </c>
      <c r="W576" s="101">
        <v>0</v>
      </c>
      <c r="X576" s="55">
        <f t="shared" si="139"/>
        <v>46153.931956018525</v>
      </c>
    </row>
    <row r="577" spans="1:24" hidden="1" x14ac:dyDescent="0.35">
      <c r="A577" s="46">
        <f t="shared" si="140"/>
        <v>46153.931956018525</v>
      </c>
      <c r="B577" s="46"/>
      <c r="C577" s="260"/>
      <c r="D577" s="46"/>
      <c r="E577" s="47" t="s">
        <v>4897</v>
      </c>
      <c r="F577" s="97" t="s">
        <v>5071</v>
      </c>
      <c r="G577" s="698"/>
      <c r="H577" s="699" t="s">
        <v>5072</v>
      </c>
      <c r="I577" s="82" t="s">
        <v>5073</v>
      </c>
      <c r="J577" s="51" t="s">
        <v>140</v>
      </c>
      <c r="K577" s="91">
        <v>0</v>
      </c>
      <c r="L577" s="91">
        <v>0</v>
      </c>
      <c r="M577" s="92">
        <v>50</v>
      </c>
      <c r="N577" s="92">
        <v>20000</v>
      </c>
      <c r="O577" s="92">
        <v>4</v>
      </c>
      <c r="P577" s="92">
        <f t="shared" si="134"/>
        <v>5000</v>
      </c>
      <c r="Q577" s="92"/>
      <c r="R577" s="92">
        <v>5000</v>
      </c>
      <c r="S577" s="92">
        <f t="shared" si="135"/>
        <v>0</v>
      </c>
      <c r="T577" s="92">
        <f t="shared" si="136"/>
        <v>6912</v>
      </c>
      <c r="U577" s="91">
        <f t="shared" si="137"/>
        <v>0</v>
      </c>
      <c r="V577" s="91">
        <f t="shared" si="138"/>
        <v>0</v>
      </c>
      <c r="W577" s="91">
        <v>0</v>
      </c>
      <c r="X577" s="55">
        <f t="shared" si="139"/>
        <v>46153.931956018525</v>
      </c>
    </row>
    <row r="578" spans="1:24" hidden="1" x14ac:dyDescent="0.35">
      <c r="A578" s="46">
        <f t="shared" si="140"/>
        <v>46153.931956018525</v>
      </c>
      <c r="B578" s="46"/>
      <c r="C578" s="260"/>
      <c r="D578" s="46"/>
      <c r="E578" s="47" t="s">
        <v>4897</v>
      </c>
      <c r="F578" s="82" t="s">
        <v>5074</v>
      </c>
      <c r="G578" s="831"/>
      <c r="H578" s="699" t="s">
        <v>5075</v>
      </c>
      <c r="I578" s="82" t="s">
        <v>5019</v>
      </c>
      <c r="J578" s="100" t="s">
        <v>140</v>
      </c>
      <c r="K578" s="91">
        <v>0</v>
      </c>
      <c r="L578" s="91">
        <v>0</v>
      </c>
      <c r="M578" s="92">
        <v>70</v>
      </c>
      <c r="N578" s="92">
        <v>1000</v>
      </c>
      <c r="O578" s="92">
        <v>2</v>
      </c>
      <c r="P578" s="92">
        <f t="shared" si="134"/>
        <v>500</v>
      </c>
      <c r="Q578" s="92"/>
      <c r="R578" s="92">
        <v>500</v>
      </c>
      <c r="S578" s="92">
        <f t="shared" si="135"/>
        <v>0</v>
      </c>
      <c r="T578" s="102">
        <f t="shared" si="136"/>
        <v>2468.5714285714284</v>
      </c>
      <c r="U578" s="101">
        <f t="shared" si="137"/>
        <v>0</v>
      </c>
      <c r="V578" s="101">
        <f t="shared" si="138"/>
        <v>0</v>
      </c>
      <c r="W578" s="101">
        <v>0</v>
      </c>
      <c r="X578" s="55">
        <f t="shared" si="139"/>
        <v>46153.931956018525</v>
      </c>
    </row>
    <row r="579" spans="1:24" hidden="1" x14ac:dyDescent="0.35">
      <c r="A579" s="46">
        <f t="shared" si="140"/>
        <v>46153.931956018525</v>
      </c>
      <c r="B579" s="46"/>
      <c r="C579" s="260"/>
      <c r="D579" s="46"/>
      <c r="E579" s="296" t="s">
        <v>4897</v>
      </c>
      <c r="F579" s="366" t="s">
        <v>14</v>
      </c>
      <c r="G579" s="454"/>
      <c r="H579" s="455" t="s">
        <v>14</v>
      </c>
      <c r="I579" s="297" t="s">
        <v>4928</v>
      </c>
      <c r="J579" s="351" t="s">
        <v>140</v>
      </c>
      <c r="K579" s="352">
        <v>0</v>
      </c>
      <c r="L579" s="352">
        <v>0</v>
      </c>
      <c r="M579" s="353">
        <v>50</v>
      </c>
      <c r="N579" s="353">
        <v>50</v>
      </c>
      <c r="O579" s="353">
        <v>1</v>
      </c>
      <c r="P579" s="353">
        <f t="shared" si="134"/>
        <v>50</v>
      </c>
      <c r="Q579" s="353"/>
      <c r="R579" s="353">
        <v>50</v>
      </c>
      <c r="S579" s="353">
        <f t="shared" si="135"/>
        <v>0</v>
      </c>
      <c r="T579" s="353">
        <f t="shared" si="136"/>
        <v>1728</v>
      </c>
      <c r="U579" s="352">
        <f t="shared" si="137"/>
        <v>0</v>
      </c>
      <c r="V579" s="352">
        <f t="shared" si="138"/>
        <v>0</v>
      </c>
      <c r="W579" s="352">
        <v>0</v>
      </c>
      <c r="X579" s="55">
        <f t="shared" si="139"/>
        <v>46153.931956018525</v>
      </c>
    </row>
    <row r="580" spans="1:24" hidden="1" x14ac:dyDescent="0.35">
      <c r="A580" s="46">
        <f t="shared" si="140"/>
        <v>46153.931956018525</v>
      </c>
      <c r="B580" s="46"/>
      <c r="C580" s="260"/>
      <c r="D580" s="46"/>
      <c r="E580" s="47" t="s">
        <v>4897</v>
      </c>
      <c r="F580" s="97" t="s">
        <v>1603</v>
      </c>
      <c r="G580" s="698"/>
      <c r="H580" s="699" t="s">
        <v>5076</v>
      </c>
      <c r="I580" s="71" t="s">
        <v>3502</v>
      </c>
      <c r="J580" s="100" t="s">
        <v>140</v>
      </c>
      <c r="K580" s="91">
        <v>0</v>
      </c>
      <c r="L580" s="91">
        <v>0</v>
      </c>
      <c r="M580" s="92">
        <v>40</v>
      </c>
      <c r="N580" s="92">
        <f>9100-3500</f>
        <v>5600</v>
      </c>
      <c r="O580" s="92">
        <v>1</v>
      </c>
      <c r="P580" s="92">
        <f t="shared" si="134"/>
        <v>5600</v>
      </c>
      <c r="Q580" s="92"/>
      <c r="R580" s="102">
        <v>5600</v>
      </c>
      <c r="S580" s="92">
        <f t="shared" si="135"/>
        <v>0</v>
      </c>
      <c r="T580" s="102">
        <f t="shared" si="136"/>
        <v>2160</v>
      </c>
      <c r="U580" s="101">
        <f t="shared" si="137"/>
        <v>0</v>
      </c>
      <c r="V580" s="101">
        <f t="shared" si="138"/>
        <v>0</v>
      </c>
      <c r="W580" s="101">
        <v>0</v>
      </c>
      <c r="X580" s="55">
        <f t="shared" si="139"/>
        <v>46153.931956018525</v>
      </c>
    </row>
    <row r="581" spans="1:24" hidden="1" x14ac:dyDescent="0.35">
      <c r="A581" s="46">
        <f t="shared" si="140"/>
        <v>46153.931956018525</v>
      </c>
      <c r="B581" s="46"/>
      <c r="C581" s="260"/>
      <c r="D581" s="46"/>
      <c r="E581" s="296" t="s">
        <v>4897</v>
      </c>
      <c r="F581" s="366" t="s">
        <v>14</v>
      </c>
      <c r="G581" s="454"/>
      <c r="H581" s="455" t="s">
        <v>14</v>
      </c>
      <c r="I581" s="297" t="s">
        <v>4928</v>
      </c>
      <c r="J581" s="351" t="s">
        <v>140</v>
      </c>
      <c r="K581" s="352">
        <v>0</v>
      </c>
      <c r="L581" s="352">
        <v>0</v>
      </c>
      <c r="M581" s="353">
        <v>50</v>
      </c>
      <c r="N581" s="353">
        <v>50</v>
      </c>
      <c r="O581" s="353">
        <v>1</v>
      </c>
      <c r="P581" s="353">
        <f t="shared" si="134"/>
        <v>50</v>
      </c>
      <c r="Q581" s="353"/>
      <c r="R581" s="353">
        <v>50</v>
      </c>
      <c r="S581" s="353">
        <f t="shared" si="135"/>
        <v>0</v>
      </c>
      <c r="T581" s="353">
        <f t="shared" si="136"/>
        <v>1728</v>
      </c>
      <c r="U581" s="352">
        <f t="shared" si="137"/>
        <v>0</v>
      </c>
      <c r="V581" s="352">
        <f t="shared" si="138"/>
        <v>0</v>
      </c>
      <c r="W581" s="352">
        <v>0</v>
      </c>
      <c r="X581" s="55">
        <f t="shared" si="139"/>
        <v>46153.931956018525</v>
      </c>
    </row>
    <row r="582" spans="1:24" hidden="1" x14ac:dyDescent="0.35">
      <c r="A582" s="46">
        <f t="shared" si="140"/>
        <v>46153.931956018525</v>
      </c>
      <c r="B582" s="46"/>
      <c r="C582" s="260"/>
      <c r="D582" s="46"/>
      <c r="E582" s="47" t="s">
        <v>4897</v>
      </c>
      <c r="F582" s="97" t="s">
        <v>5077</v>
      </c>
      <c r="G582" s="698"/>
      <c r="H582" s="699" t="s">
        <v>5078</v>
      </c>
      <c r="I582" s="82" t="s">
        <v>5079</v>
      </c>
      <c r="J582" s="51" t="s">
        <v>140</v>
      </c>
      <c r="K582" s="91">
        <v>0</v>
      </c>
      <c r="L582" s="91">
        <v>0</v>
      </c>
      <c r="M582" s="92">
        <v>50</v>
      </c>
      <c r="N582" s="92">
        <v>30000</v>
      </c>
      <c r="O582" s="92">
        <v>4</v>
      </c>
      <c r="P582" s="92">
        <f t="shared" si="134"/>
        <v>7500</v>
      </c>
      <c r="Q582" s="92"/>
      <c r="R582" s="92">
        <v>7500</v>
      </c>
      <c r="S582" s="92">
        <f t="shared" si="135"/>
        <v>0</v>
      </c>
      <c r="T582" s="92">
        <f t="shared" si="136"/>
        <v>6912</v>
      </c>
      <c r="U582" s="91">
        <f t="shared" si="137"/>
        <v>0</v>
      </c>
      <c r="V582" s="91">
        <f t="shared" si="138"/>
        <v>0</v>
      </c>
      <c r="W582" s="91">
        <v>0</v>
      </c>
      <c r="X582" s="55">
        <f t="shared" si="139"/>
        <v>46153.931956018525</v>
      </c>
    </row>
    <row r="583" spans="1:24" hidden="1" x14ac:dyDescent="0.35">
      <c r="A583" s="46">
        <f t="shared" si="140"/>
        <v>46153.931956018525</v>
      </c>
      <c r="B583" s="46"/>
      <c r="C583" s="260"/>
      <c r="D583" s="46"/>
      <c r="E583" s="47" t="s">
        <v>4897</v>
      </c>
      <c r="F583" s="97" t="s">
        <v>5077</v>
      </c>
      <c r="G583" s="698"/>
      <c r="H583" s="699" t="s">
        <v>5080</v>
      </c>
      <c r="I583" s="82" t="s">
        <v>5081</v>
      </c>
      <c r="J583" s="51" t="s">
        <v>140</v>
      </c>
      <c r="K583" s="91">
        <v>0</v>
      </c>
      <c r="L583" s="91">
        <v>0</v>
      </c>
      <c r="M583" s="92">
        <v>50</v>
      </c>
      <c r="N583" s="92">
        <v>10000</v>
      </c>
      <c r="O583" s="92">
        <v>4</v>
      </c>
      <c r="P583" s="92">
        <f t="shared" si="134"/>
        <v>2500</v>
      </c>
      <c r="Q583" s="92"/>
      <c r="R583" s="92">
        <v>2500</v>
      </c>
      <c r="S583" s="92">
        <f t="shared" si="135"/>
        <v>0</v>
      </c>
      <c r="T583" s="92">
        <f t="shared" si="136"/>
        <v>6912</v>
      </c>
      <c r="U583" s="91">
        <f t="shared" si="137"/>
        <v>0</v>
      </c>
      <c r="V583" s="91">
        <f t="shared" si="138"/>
        <v>0</v>
      </c>
      <c r="W583" s="91">
        <v>0</v>
      </c>
      <c r="X583" s="55">
        <f t="shared" si="139"/>
        <v>46153.931956018525</v>
      </c>
    </row>
    <row r="584" spans="1:24" hidden="1" x14ac:dyDescent="0.35">
      <c r="A584" s="46">
        <f t="shared" si="140"/>
        <v>46153.931956018525</v>
      </c>
      <c r="B584" s="46"/>
      <c r="C584" s="260"/>
      <c r="D584" s="46"/>
      <c r="E584" s="47" t="s">
        <v>4897</v>
      </c>
      <c r="F584" s="97" t="s">
        <v>5082</v>
      </c>
      <c r="G584" s="698"/>
      <c r="H584" s="699" t="s">
        <v>5083</v>
      </c>
      <c r="I584" s="82" t="s">
        <v>5081</v>
      </c>
      <c r="J584" s="51" t="s">
        <v>140</v>
      </c>
      <c r="K584" s="91">
        <v>0</v>
      </c>
      <c r="L584" s="91">
        <v>0</v>
      </c>
      <c r="M584" s="92">
        <v>50</v>
      </c>
      <c r="N584" s="92">
        <v>10000</v>
      </c>
      <c r="O584" s="92">
        <v>4</v>
      </c>
      <c r="P584" s="92">
        <f t="shared" si="134"/>
        <v>2500</v>
      </c>
      <c r="Q584" s="92"/>
      <c r="R584" s="92">
        <v>2500</v>
      </c>
      <c r="S584" s="92">
        <f t="shared" si="135"/>
        <v>0</v>
      </c>
      <c r="T584" s="92">
        <f t="shared" si="136"/>
        <v>6912</v>
      </c>
      <c r="U584" s="91">
        <f t="shared" si="137"/>
        <v>0</v>
      </c>
      <c r="V584" s="91">
        <f t="shared" si="138"/>
        <v>0</v>
      </c>
      <c r="W584" s="91">
        <v>0</v>
      </c>
      <c r="X584" s="55">
        <f t="shared" si="139"/>
        <v>46153.931956018525</v>
      </c>
    </row>
    <row r="585" spans="1:24" hidden="1" x14ac:dyDescent="0.35">
      <c r="A585" s="46">
        <f t="shared" si="140"/>
        <v>46153.931956018525</v>
      </c>
      <c r="B585" s="46"/>
      <c r="C585" s="260"/>
      <c r="D585" s="46"/>
      <c r="E585" s="47" t="s">
        <v>4897</v>
      </c>
      <c r="F585" s="97" t="s">
        <v>5084</v>
      </c>
      <c r="G585" s="698"/>
      <c r="H585" s="699" t="s">
        <v>5085</v>
      </c>
      <c r="I585" s="82" t="s">
        <v>5086</v>
      </c>
      <c r="J585" s="51" t="s">
        <v>140</v>
      </c>
      <c r="K585" s="91">
        <v>0</v>
      </c>
      <c r="L585" s="91">
        <v>0</v>
      </c>
      <c r="M585" s="92">
        <v>50</v>
      </c>
      <c r="N585" s="92">
        <v>10000</v>
      </c>
      <c r="O585" s="92">
        <v>4</v>
      </c>
      <c r="P585" s="92">
        <f t="shared" si="134"/>
        <v>2500</v>
      </c>
      <c r="Q585" s="92"/>
      <c r="R585" s="92">
        <v>2500</v>
      </c>
      <c r="S585" s="92">
        <f t="shared" si="135"/>
        <v>0</v>
      </c>
      <c r="T585" s="92">
        <f t="shared" si="136"/>
        <v>6912</v>
      </c>
      <c r="U585" s="91">
        <f t="shared" si="137"/>
        <v>0</v>
      </c>
      <c r="V585" s="91">
        <f t="shared" si="138"/>
        <v>0</v>
      </c>
      <c r="W585" s="91">
        <v>0</v>
      </c>
      <c r="X585" s="55">
        <f t="shared" si="139"/>
        <v>46153.931956018525</v>
      </c>
    </row>
    <row r="586" spans="1:24" ht="26.5" hidden="1" x14ac:dyDescent="0.35">
      <c r="A586" s="46">
        <f t="shared" si="140"/>
        <v>46153.931956018525</v>
      </c>
      <c r="B586" s="46"/>
      <c r="C586" s="260"/>
      <c r="D586" s="46"/>
      <c r="E586" s="47" t="s">
        <v>4897</v>
      </c>
      <c r="F586" s="82" t="s">
        <v>220</v>
      </c>
      <c r="G586" s="82"/>
      <c r="H586" s="334" t="s">
        <v>5087</v>
      </c>
      <c r="I586" s="697" t="s">
        <v>3464</v>
      </c>
      <c r="J586" s="100" t="s">
        <v>140</v>
      </c>
      <c r="K586" s="91">
        <v>0</v>
      </c>
      <c r="L586" s="91">
        <v>0</v>
      </c>
      <c r="M586" s="92">
        <v>40</v>
      </c>
      <c r="N586" s="92">
        <v>6000</v>
      </c>
      <c r="O586" s="92">
        <v>1</v>
      </c>
      <c r="P586" s="92">
        <f t="shared" si="134"/>
        <v>6000</v>
      </c>
      <c r="Q586" s="92"/>
      <c r="R586" s="92">
        <v>6000</v>
      </c>
      <c r="S586" s="102">
        <f t="shared" si="135"/>
        <v>0</v>
      </c>
      <c r="T586" s="102">
        <f t="shared" si="136"/>
        <v>2160</v>
      </c>
      <c r="U586" s="101">
        <f t="shared" si="137"/>
        <v>0</v>
      </c>
      <c r="V586" s="101">
        <f t="shared" si="138"/>
        <v>0</v>
      </c>
      <c r="W586" s="101">
        <v>0</v>
      </c>
      <c r="X586" s="55">
        <f t="shared" si="139"/>
        <v>46153.931956018525</v>
      </c>
    </row>
    <row r="587" spans="1:24" hidden="1" x14ac:dyDescent="0.35">
      <c r="A587" s="46">
        <f t="shared" si="140"/>
        <v>46153.931956018525</v>
      </c>
      <c r="B587" s="46"/>
      <c r="C587" s="260"/>
      <c r="D587" s="46"/>
      <c r="E587" s="47" t="s">
        <v>4897</v>
      </c>
      <c r="F587" s="898" t="s">
        <v>5088</v>
      </c>
      <c r="G587" s="698"/>
      <c r="H587" s="699" t="s">
        <v>5089</v>
      </c>
      <c r="I587" s="82" t="s">
        <v>5086</v>
      </c>
      <c r="J587" s="51" t="s">
        <v>140</v>
      </c>
      <c r="K587" s="91">
        <v>0</v>
      </c>
      <c r="L587" s="91">
        <v>0</v>
      </c>
      <c r="M587" s="92">
        <v>50</v>
      </c>
      <c r="N587" s="92">
        <v>10000</v>
      </c>
      <c r="O587" s="92">
        <v>4</v>
      </c>
      <c r="P587" s="92">
        <f t="shared" si="134"/>
        <v>2500</v>
      </c>
      <c r="Q587" s="92"/>
      <c r="R587" s="92">
        <v>2500</v>
      </c>
      <c r="S587" s="92">
        <f t="shared" si="135"/>
        <v>0</v>
      </c>
      <c r="T587" s="92">
        <f t="shared" si="136"/>
        <v>6912</v>
      </c>
      <c r="U587" s="91">
        <f t="shared" si="137"/>
        <v>0</v>
      </c>
      <c r="V587" s="91">
        <f t="shared" si="138"/>
        <v>0</v>
      </c>
      <c r="W587" s="91">
        <v>0</v>
      </c>
      <c r="X587" s="55">
        <f t="shared" si="139"/>
        <v>46153.931956018525</v>
      </c>
    </row>
    <row r="588" spans="1:24" hidden="1" x14ac:dyDescent="0.35">
      <c r="A588" s="46">
        <f t="shared" si="140"/>
        <v>46153.931956018525</v>
      </c>
      <c r="B588" s="46"/>
      <c r="C588" s="260"/>
      <c r="D588" s="46"/>
      <c r="E588" s="47" t="s">
        <v>4897</v>
      </c>
      <c r="F588" s="97" t="s">
        <v>5090</v>
      </c>
      <c r="G588" s="698"/>
      <c r="H588" s="699" t="s">
        <v>5091</v>
      </c>
      <c r="I588" s="82" t="s">
        <v>5086</v>
      </c>
      <c r="J588" s="51" t="s">
        <v>140</v>
      </c>
      <c r="K588" s="91">
        <v>0</v>
      </c>
      <c r="L588" s="91">
        <v>0</v>
      </c>
      <c r="M588" s="92">
        <v>50</v>
      </c>
      <c r="N588" s="92">
        <v>20000</v>
      </c>
      <c r="O588" s="92">
        <v>4</v>
      </c>
      <c r="P588" s="92">
        <f t="shared" ref="P588:P633" si="141">N588/O588</f>
        <v>5000</v>
      </c>
      <c r="Q588" s="92"/>
      <c r="R588" s="92">
        <v>5000</v>
      </c>
      <c r="S588" s="92">
        <f t="shared" ref="S588:S633" si="142">P588-R588</f>
        <v>0</v>
      </c>
      <c r="T588" s="92">
        <f t="shared" ref="T588:T628" si="143">((3600/M588)*O588)*24</f>
        <v>6912</v>
      </c>
      <c r="U588" s="91">
        <f t="shared" ref="U588:U628" si="144">(P588-R588)*M588/3600</f>
        <v>0</v>
      </c>
      <c r="V588" s="91">
        <f t="shared" ref="V588:V628" si="145">(P588-R588)*M588/3600/24</f>
        <v>0</v>
      </c>
      <c r="W588" s="91">
        <v>0</v>
      </c>
      <c r="X588" s="55">
        <f t="shared" si="139"/>
        <v>46153.931956018525</v>
      </c>
    </row>
    <row r="589" spans="1:24" hidden="1" x14ac:dyDescent="0.35">
      <c r="A589" s="46">
        <f t="shared" si="140"/>
        <v>46153.931956018525</v>
      </c>
      <c r="B589" s="46"/>
      <c r="C589" s="260"/>
      <c r="D589" s="46"/>
      <c r="E589" s="47" t="s">
        <v>4897</v>
      </c>
      <c r="F589" s="97" t="s">
        <v>5090</v>
      </c>
      <c r="G589" s="698" t="s">
        <v>315</v>
      </c>
      <c r="H589" s="699" t="s">
        <v>5092</v>
      </c>
      <c r="I589" s="82" t="s">
        <v>5079</v>
      </c>
      <c r="J589" s="51" t="s">
        <v>140</v>
      </c>
      <c r="K589" s="91">
        <v>0</v>
      </c>
      <c r="L589" s="91">
        <v>0</v>
      </c>
      <c r="M589" s="92">
        <v>50</v>
      </c>
      <c r="N589" s="92">
        <v>20000</v>
      </c>
      <c r="O589" s="92">
        <v>4</v>
      </c>
      <c r="P589" s="92">
        <f t="shared" si="141"/>
        <v>5000</v>
      </c>
      <c r="Q589" s="92"/>
      <c r="R589" s="92">
        <v>5000</v>
      </c>
      <c r="S589" s="92">
        <f t="shared" si="142"/>
        <v>0</v>
      </c>
      <c r="T589" s="92">
        <f t="shared" si="143"/>
        <v>6912</v>
      </c>
      <c r="U589" s="91">
        <f t="shared" si="144"/>
        <v>0</v>
      </c>
      <c r="V589" s="91">
        <f t="shared" si="145"/>
        <v>0</v>
      </c>
      <c r="W589" s="91">
        <v>0</v>
      </c>
      <c r="X589" s="55">
        <f t="shared" si="139"/>
        <v>46153.931956018525</v>
      </c>
    </row>
    <row r="590" spans="1:24" hidden="1" x14ac:dyDescent="0.35">
      <c r="A590" s="46">
        <f t="shared" si="140"/>
        <v>46153.931956018525</v>
      </c>
      <c r="B590" s="46"/>
      <c r="C590" s="260"/>
      <c r="D590" s="46"/>
      <c r="E590" s="47" t="s">
        <v>4395</v>
      </c>
      <c r="F590" s="97" t="s">
        <v>5093</v>
      </c>
      <c r="G590" s="698" t="s">
        <v>315</v>
      </c>
      <c r="H590" s="699" t="s">
        <v>5094</v>
      </c>
      <c r="I590" s="82" t="s">
        <v>5073</v>
      </c>
      <c r="J590" s="51" t="s">
        <v>140</v>
      </c>
      <c r="K590" s="91">
        <v>0</v>
      </c>
      <c r="L590" s="91">
        <v>0</v>
      </c>
      <c r="M590" s="92">
        <v>50</v>
      </c>
      <c r="N590" s="92">
        <v>10000</v>
      </c>
      <c r="O590" s="92">
        <v>4</v>
      </c>
      <c r="P590" s="92">
        <f t="shared" si="141"/>
        <v>2500</v>
      </c>
      <c r="Q590" s="92"/>
      <c r="R590" s="92">
        <v>2500</v>
      </c>
      <c r="S590" s="92">
        <f t="shared" si="142"/>
        <v>0</v>
      </c>
      <c r="T590" s="92">
        <f t="shared" si="143"/>
        <v>6912</v>
      </c>
      <c r="U590" s="91">
        <f t="shared" si="144"/>
        <v>0</v>
      </c>
      <c r="V590" s="91">
        <f t="shared" si="145"/>
        <v>0</v>
      </c>
      <c r="W590" s="91">
        <v>0</v>
      </c>
      <c r="X590" s="55">
        <f t="shared" si="139"/>
        <v>46153.931956018525</v>
      </c>
    </row>
    <row r="591" spans="1:24" hidden="1" x14ac:dyDescent="0.35">
      <c r="A591" s="46">
        <f t="shared" si="140"/>
        <v>46153.931956018525</v>
      </c>
      <c r="B591" s="46"/>
      <c r="C591" s="260"/>
      <c r="D591" s="46"/>
      <c r="E591" s="47" t="s">
        <v>4897</v>
      </c>
      <c r="F591" s="898" t="s">
        <v>5088</v>
      </c>
      <c r="G591" s="698" t="s">
        <v>315</v>
      </c>
      <c r="H591" s="699" t="s">
        <v>5095</v>
      </c>
      <c r="I591" s="82" t="s">
        <v>5096</v>
      </c>
      <c r="J591" s="51" t="s">
        <v>140</v>
      </c>
      <c r="K591" s="91">
        <v>0</v>
      </c>
      <c r="L591" s="91">
        <v>0</v>
      </c>
      <c r="M591" s="92">
        <v>40</v>
      </c>
      <c r="N591" s="92">
        <v>10000</v>
      </c>
      <c r="O591" s="92">
        <v>4</v>
      </c>
      <c r="P591" s="92">
        <f t="shared" si="141"/>
        <v>2500</v>
      </c>
      <c r="Q591" s="92"/>
      <c r="R591" s="92">
        <v>2500</v>
      </c>
      <c r="S591" s="92">
        <f t="shared" si="142"/>
        <v>0</v>
      </c>
      <c r="T591" s="92">
        <f t="shared" si="143"/>
        <v>8640</v>
      </c>
      <c r="U591" s="91">
        <f t="shared" si="144"/>
        <v>0</v>
      </c>
      <c r="V591" s="91">
        <f t="shared" si="145"/>
        <v>0</v>
      </c>
      <c r="W591" s="91">
        <v>0</v>
      </c>
      <c r="X591" s="55">
        <f t="shared" si="139"/>
        <v>46153.931956018525</v>
      </c>
    </row>
    <row r="592" spans="1:24" hidden="1" x14ac:dyDescent="0.35">
      <c r="A592" s="46">
        <f t="shared" si="140"/>
        <v>46153.931956018525</v>
      </c>
      <c r="B592" s="46"/>
      <c r="C592" s="260"/>
      <c r="D592" s="46"/>
      <c r="E592" s="47" t="s">
        <v>4897</v>
      </c>
      <c r="F592" s="898" t="s">
        <v>5088</v>
      </c>
      <c r="G592" s="899" t="s">
        <v>315</v>
      </c>
      <c r="H592" s="900" t="s">
        <v>5097</v>
      </c>
      <c r="I592" s="901" t="s">
        <v>5098</v>
      </c>
      <c r="J592" s="902" t="s">
        <v>140</v>
      </c>
      <c r="K592" s="903">
        <v>0</v>
      </c>
      <c r="L592" s="903">
        <v>0</v>
      </c>
      <c r="M592" s="904">
        <v>50</v>
      </c>
      <c r="N592" s="905">
        <v>10000</v>
      </c>
      <c r="O592" s="904">
        <v>4</v>
      </c>
      <c r="P592" s="905">
        <f t="shared" si="141"/>
        <v>2500</v>
      </c>
      <c r="Q592" s="905"/>
      <c r="R592" s="92">
        <v>2500</v>
      </c>
      <c r="S592" s="92">
        <f t="shared" si="142"/>
        <v>0</v>
      </c>
      <c r="T592" s="92">
        <f t="shared" si="143"/>
        <v>6912</v>
      </c>
      <c r="U592" s="91">
        <f t="shared" si="144"/>
        <v>0</v>
      </c>
      <c r="V592" s="91">
        <f t="shared" si="145"/>
        <v>0</v>
      </c>
      <c r="W592" s="91">
        <v>0</v>
      </c>
      <c r="X592" s="55">
        <f t="shared" si="139"/>
        <v>46153.931956018525</v>
      </c>
    </row>
    <row r="593" spans="1:24" hidden="1" x14ac:dyDescent="0.35">
      <c r="A593" s="46">
        <f t="shared" si="140"/>
        <v>46153.931956018525</v>
      </c>
      <c r="B593" s="46"/>
      <c r="C593" s="260"/>
      <c r="D593" s="46"/>
      <c r="E593" s="47" t="s">
        <v>4897</v>
      </c>
      <c r="F593" s="97" t="s">
        <v>5099</v>
      </c>
      <c r="G593" s="698" t="s">
        <v>315</v>
      </c>
      <c r="H593" s="699" t="s">
        <v>5100</v>
      </c>
      <c r="I593" s="82" t="s">
        <v>5101</v>
      </c>
      <c r="J593" s="51" t="s">
        <v>140</v>
      </c>
      <c r="K593" s="91">
        <v>0</v>
      </c>
      <c r="L593" s="91">
        <v>0</v>
      </c>
      <c r="M593" s="92">
        <v>50</v>
      </c>
      <c r="N593" s="94">
        <v>10000</v>
      </c>
      <c r="O593" s="92">
        <v>4</v>
      </c>
      <c r="P593" s="94">
        <f t="shared" si="141"/>
        <v>2500</v>
      </c>
      <c r="Q593" s="94"/>
      <c r="R593" s="92">
        <v>2500</v>
      </c>
      <c r="S593" s="92">
        <f t="shared" si="142"/>
        <v>0</v>
      </c>
      <c r="T593" s="92">
        <f t="shared" si="143"/>
        <v>6912</v>
      </c>
      <c r="U593" s="91">
        <f t="shared" si="144"/>
        <v>0</v>
      </c>
      <c r="V593" s="91">
        <f t="shared" si="145"/>
        <v>0</v>
      </c>
      <c r="W593" s="91">
        <v>0</v>
      </c>
      <c r="X593" s="55">
        <f t="shared" si="139"/>
        <v>46153.931956018525</v>
      </c>
    </row>
    <row r="594" spans="1:24" hidden="1" x14ac:dyDescent="0.35">
      <c r="A594" s="46">
        <f t="shared" si="140"/>
        <v>46153.931956018525</v>
      </c>
      <c r="B594" s="46"/>
      <c r="C594" s="260"/>
      <c r="D594" s="46"/>
      <c r="E594" s="47" t="s">
        <v>4897</v>
      </c>
      <c r="F594" s="97" t="s">
        <v>5102</v>
      </c>
      <c r="G594" s="698" t="s">
        <v>327</v>
      </c>
      <c r="H594" s="699" t="s">
        <v>5103</v>
      </c>
      <c r="I594" s="82" t="s">
        <v>5104</v>
      </c>
      <c r="J594" s="51" t="s">
        <v>140</v>
      </c>
      <c r="K594" s="91">
        <v>0</v>
      </c>
      <c r="L594" s="91">
        <v>0</v>
      </c>
      <c r="M594" s="92">
        <v>50</v>
      </c>
      <c r="N594" s="94">
        <v>3000</v>
      </c>
      <c r="O594" s="92">
        <v>4</v>
      </c>
      <c r="P594" s="94">
        <f t="shared" si="141"/>
        <v>750</v>
      </c>
      <c r="Q594" s="94"/>
      <c r="R594" s="92">
        <v>750</v>
      </c>
      <c r="S594" s="92">
        <f t="shared" si="142"/>
        <v>0</v>
      </c>
      <c r="T594" s="92">
        <f t="shared" si="143"/>
        <v>6912</v>
      </c>
      <c r="U594" s="91">
        <f t="shared" si="144"/>
        <v>0</v>
      </c>
      <c r="V594" s="91">
        <f t="shared" si="145"/>
        <v>0</v>
      </c>
      <c r="W594" s="91">
        <v>0</v>
      </c>
      <c r="X594" s="55">
        <f t="shared" si="139"/>
        <v>46153.931956018525</v>
      </c>
    </row>
    <row r="595" spans="1:24" s="118" customFormat="1" hidden="1" x14ac:dyDescent="0.35">
      <c r="A595" s="46">
        <f t="shared" si="140"/>
        <v>46153.931956018525</v>
      </c>
      <c r="B595" s="46"/>
      <c r="C595" s="260"/>
      <c r="D595" s="46"/>
      <c r="E595" s="47" t="s">
        <v>4897</v>
      </c>
      <c r="F595" s="99" t="s">
        <v>5105</v>
      </c>
      <c r="G595" s="99" t="s">
        <v>792</v>
      </c>
      <c r="H595" s="98" t="s">
        <v>5106</v>
      </c>
      <c r="I595" s="82" t="s">
        <v>4394</v>
      </c>
      <c r="J595" s="51" t="s">
        <v>140</v>
      </c>
      <c r="K595" s="91">
        <v>0</v>
      </c>
      <c r="L595" s="91">
        <v>0</v>
      </c>
      <c r="M595" s="92">
        <v>70</v>
      </c>
      <c r="N595" s="94">
        <v>6000</v>
      </c>
      <c r="O595" s="92">
        <v>2</v>
      </c>
      <c r="P595" s="94">
        <f t="shared" si="141"/>
        <v>3000</v>
      </c>
      <c r="Q595" s="94"/>
      <c r="R595" s="92">
        <v>3000</v>
      </c>
      <c r="S595" s="92">
        <f t="shared" si="142"/>
        <v>0</v>
      </c>
      <c r="T595" s="102">
        <f t="shared" si="143"/>
        <v>2468.5714285714284</v>
      </c>
      <c r="U595" s="101">
        <f t="shared" si="144"/>
        <v>0</v>
      </c>
      <c r="V595" s="101">
        <f t="shared" si="145"/>
        <v>0</v>
      </c>
      <c r="W595" s="101">
        <v>0</v>
      </c>
      <c r="X595" s="55">
        <f>A595+K595+V595+W595+L595</f>
        <v>46153.931956018525</v>
      </c>
    </row>
    <row r="596" spans="1:24" s="202" customFormat="1" ht="26.5" hidden="1" x14ac:dyDescent="0.35">
      <c r="A596" s="46">
        <f t="shared" si="140"/>
        <v>46153.931956018525</v>
      </c>
      <c r="B596" s="46"/>
      <c r="C596" s="260"/>
      <c r="D596" s="46"/>
      <c r="E596" s="47" t="s">
        <v>4897</v>
      </c>
      <c r="F596" s="82" t="s">
        <v>5107</v>
      </c>
      <c r="G596" s="82" t="s">
        <v>792</v>
      </c>
      <c r="H596" s="334" t="s">
        <v>5108</v>
      </c>
      <c r="I596" s="697" t="s">
        <v>3464</v>
      </c>
      <c r="J596" s="100" t="s">
        <v>140</v>
      </c>
      <c r="K596" s="91">
        <v>0</v>
      </c>
      <c r="L596" s="91">
        <v>0</v>
      </c>
      <c r="M596" s="92">
        <v>40</v>
      </c>
      <c r="N596" s="94">
        <v>9000</v>
      </c>
      <c r="O596" s="92">
        <v>1</v>
      </c>
      <c r="P596" s="92">
        <f t="shared" si="141"/>
        <v>9000</v>
      </c>
      <c r="Q596" s="92"/>
      <c r="R596" s="92">
        <v>9000</v>
      </c>
      <c r="S596" s="102">
        <f t="shared" si="142"/>
        <v>0</v>
      </c>
      <c r="T596" s="102">
        <f t="shared" si="143"/>
        <v>2160</v>
      </c>
      <c r="U596" s="101">
        <f t="shared" si="144"/>
        <v>0</v>
      </c>
      <c r="V596" s="101">
        <f t="shared" si="145"/>
        <v>0</v>
      </c>
      <c r="W596" s="101">
        <v>0</v>
      </c>
      <c r="X596" s="55">
        <f>A596+K596+V596+W596+L596</f>
        <v>46153.931956018525</v>
      </c>
    </row>
    <row r="597" spans="1:24" hidden="1" x14ac:dyDescent="0.35">
      <c r="A597" s="46">
        <f t="shared" si="140"/>
        <v>46153.931956018525</v>
      </c>
      <c r="B597" s="46"/>
      <c r="C597" s="260"/>
      <c r="D597" s="46"/>
      <c r="E597" s="47" t="s">
        <v>4897</v>
      </c>
      <c r="F597" s="97" t="s">
        <v>5109</v>
      </c>
      <c r="G597" s="698" t="s">
        <v>792</v>
      </c>
      <c r="H597" s="699" t="s">
        <v>5110</v>
      </c>
      <c r="I597" s="82" t="s">
        <v>5111</v>
      </c>
      <c r="J597" s="51" t="s">
        <v>140</v>
      </c>
      <c r="K597" s="91">
        <v>0</v>
      </c>
      <c r="L597" s="91">
        <v>0</v>
      </c>
      <c r="M597" s="92">
        <v>40</v>
      </c>
      <c r="N597" s="94">
        <v>10200</v>
      </c>
      <c r="O597" s="92">
        <v>4</v>
      </c>
      <c r="P597" s="94">
        <f t="shared" si="141"/>
        <v>2550</v>
      </c>
      <c r="Q597" s="94"/>
      <c r="R597" s="92">
        <v>2550</v>
      </c>
      <c r="S597" s="92">
        <f t="shared" si="142"/>
        <v>0</v>
      </c>
      <c r="T597" s="92">
        <f t="shared" si="143"/>
        <v>8640</v>
      </c>
      <c r="U597" s="91">
        <f t="shared" si="144"/>
        <v>0</v>
      </c>
      <c r="V597" s="91">
        <f t="shared" si="145"/>
        <v>0</v>
      </c>
      <c r="W597" s="91">
        <v>0</v>
      </c>
      <c r="X597" s="55">
        <f t="shared" ref="X597:X603" si="146">A597+K597+L597+V597+W597</f>
        <v>46153.931956018525</v>
      </c>
    </row>
    <row r="598" spans="1:24" hidden="1" x14ac:dyDescent="0.35">
      <c r="A598" s="46">
        <f t="shared" si="140"/>
        <v>46153.931956018525</v>
      </c>
      <c r="B598" s="46"/>
      <c r="C598" s="260"/>
      <c r="D598" s="46"/>
      <c r="E598" s="47" t="s">
        <v>4897</v>
      </c>
      <c r="F598" s="97" t="s">
        <v>5112</v>
      </c>
      <c r="G598" s="698" t="s">
        <v>792</v>
      </c>
      <c r="H598" s="699" t="s">
        <v>5113</v>
      </c>
      <c r="I598" s="82" t="s">
        <v>5104</v>
      </c>
      <c r="J598" s="51" t="s">
        <v>140</v>
      </c>
      <c r="K598" s="91">
        <v>0</v>
      </c>
      <c r="L598" s="91">
        <v>0</v>
      </c>
      <c r="M598" s="92">
        <v>50</v>
      </c>
      <c r="N598" s="94">
        <v>10000</v>
      </c>
      <c r="O598" s="92">
        <v>4</v>
      </c>
      <c r="P598" s="94">
        <f t="shared" si="141"/>
        <v>2500</v>
      </c>
      <c r="Q598" s="94"/>
      <c r="R598" s="92">
        <v>2500</v>
      </c>
      <c r="S598" s="92">
        <f t="shared" si="142"/>
        <v>0</v>
      </c>
      <c r="T598" s="92">
        <f t="shared" si="143"/>
        <v>6912</v>
      </c>
      <c r="U598" s="91">
        <f t="shared" si="144"/>
        <v>0</v>
      </c>
      <c r="V598" s="91">
        <f t="shared" si="145"/>
        <v>0</v>
      </c>
      <c r="W598" s="91">
        <v>0</v>
      </c>
      <c r="X598" s="55">
        <f t="shared" si="146"/>
        <v>46153.931956018525</v>
      </c>
    </row>
    <row r="599" spans="1:24" hidden="1" x14ac:dyDescent="0.35">
      <c r="A599" s="46">
        <f>X597</f>
        <v>46153.931956018525</v>
      </c>
      <c r="B599" s="46"/>
      <c r="C599" s="260"/>
      <c r="D599" s="46"/>
      <c r="E599" s="47" t="s">
        <v>4897</v>
      </c>
      <c r="F599" s="97" t="s">
        <v>5114</v>
      </c>
      <c r="G599" s="698" t="s">
        <v>327</v>
      </c>
      <c r="H599" s="699" t="s">
        <v>5115</v>
      </c>
      <c r="I599" s="82" t="s">
        <v>5116</v>
      </c>
      <c r="J599" s="51" t="s">
        <v>140</v>
      </c>
      <c r="K599" s="91">
        <v>0</v>
      </c>
      <c r="L599" s="91">
        <v>0</v>
      </c>
      <c r="M599" s="92">
        <v>50</v>
      </c>
      <c r="N599" s="94">
        <f>2470*4</f>
        <v>9880</v>
      </c>
      <c r="O599" s="92">
        <v>4</v>
      </c>
      <c r="P599" s="94">
        <f t="shared" si="141"/>
        <v>2470</v>
      </c>
      <c r="Q599" s="94"/>
      <c r="R599" s="92">
        <v>2470</v>
      </c>
      <c r="S599" s="92">
        <f t="shared" si="142"/>
        <v>0</v>
      </c>
      <c r="T599" s="92">
        <f t="shared" si="143"/>
        <v>6912</v>
      </c>
      <c r="U599" s="91">
        <f t="shared" si="144"/>
        <v>0</v>
      </c>
      <c r="V599" s="91">
        <f t="shared" si="145"/>
        <v>0</v>
      </c>
      <c r="W599" s="91">
        <v>0</v>
      </c>
      <c r="X599" s="55">
        <f t="shared" si="146"/>
        <v>46153.931956018525</v>
      </c>
    </row>
    <row r="600" spans="1:24" hidden="1" x14ac:dyDescent="0.35">
      <c r="A600" s="46">
        <f>X599</f>
        <v>46153.931956018525</v>
      </c>
      <c r="B600" s="46"/>
      <c r="C600" s="260"/>
      <c r="D600" s="46"/>
      <c r="E600" s="47" t="s">
        <v>4897</v>
      </c>
      <c r="F600" s="97" t="s">
        <v>5088</v>
      </c>
      <c r="G600" s="698" t="s">
        <v>315</v>
      </c>
      <c r="H600" s="699" t="s">
        <v>5117</v>
      </c>
      <c r="I600" s="82" t="s">
        <v>5118</v>
      </c>
      <c r="J600" s="51" t="s">
        <v>140</v>
      </c>
      <c r="K600" s="91">
        <v>0</v>
      </c>
      <c r="L600" s="91">
        <v>0</v>
      </c>
      <c r="M600" s="92">
        <v>50</v>
      </c>
      <c r="N600" s="94">
        <v>10000</v>
      </c>
      <c r="O600" s="92">
        <v>4</v>
      </c>
      <c r="P600" s="94">
        <f t="shared" si="141"/>
        <v>2500</v>
      </c>
      <c r="Q600" s="94"/>
      <c r="R600" s="92">
        <v>2500</v>
      </c>
      <c r="S600" s="92">
        <f t="shared" si="142"/>
        <v>0</v>
      </c>
      <c r="T600" s="92">
        <f t="shared" si="143"/>
        <v>6912</v>
      </c>
      <c r="U600" s="91">
        <f t="shared" si="144"/>
        <v>0</v>
      </c>
      <c r="V600" s="91">
        <f t="shared" si="145"/>
        <v>0</v>
      </c>
      <c r="W600" s="91">
        <v>0</v>
      </c>
      <c r="X600" s="55">
        <f t="shared" si="146"/>
        <v>46153.931956018525</v>
      </c>
    </row>
    <row r="601" spans="1:24" hidden="1" x14ac:dyDescent="0.35">
      <c r="A601" s="46">
        <f>X600</f>
        <v>46153.931956018525</v>
      </c>
      <c r="B601" s="46"/>
      <c r="C601" s="260"/>
      <c r="D601" s="46"/>
      <c r="E601" s="47" t="s">
        <v>4897</v>
      </c>
      <c r="F601" s="97" t="s">
        <v>5099</v>
      </c>
      <c r="G601" s="698" t="s">
        <v>315</v>
      </c>
      <c r="H601" s="699" t="s">
        <v>5119</v>
      </c>
      <c r="I601" s="82" t="s">
        <v>5120</v>
      </c>
      <c r="J601" s="51" t="s">
        <v>140</v>
      </c>
      <c r="K601" s="91">
        <v>0</v>
      </c>
      <c r="L601" s="91">
        <v>0</v>
      </c>
      <c r="M601" s="92">
        <v>50</v>
      </c>
      <c r="N601" s="94">
        <v>10000</v>
      </c>
      <c r="O601" s="92">
        <v>4</v>
      </c>
      <c r="P601" s="94">
        <f t="shared" si="141"/>
        <v>2500</v>
      </c>
      <c r="Q601" s="94"/>
      <c r="R601" s="92">
        <v>2500</v>
      </c>
      <c r="S601" s="92">
        <f t="shared" si="142"/>
        <v>0</v>
      </c>
      <c r="T601" s="92">
        <f t="shared" si="143"/>
        <v>6912</v>
      </c>
      <c r="U601" s="91">
        <f t="shared" si="144"/>
        <v>0</v>
      </c>
      <c r="V601" s="91">
        <f t="shared" si="145"/>
        <v>0</v>
      </c>
      <c r="W601" s="91">
        <v>0</v>
      </c>
      <c r="X601" s="55">
        <f t="shared" si="146"/>
        <v>46153.931956018525</v>
      </c>
    </row>
    <row r="602" spans="1:24" hidden="1" x14ac:dyDescent="0.35">
      <c r="A602" s="46">
        <f>X600</f>
        <v>46153.931956018525</v>
      </c>
      <c r="B602" s="46"/>
      <c r="C602" s="260"/>
      <c r="D602" s="46"/>
      <c r="E602" s="47" t="s">
        <v>4897</v>
      </c>
      <c r="F602" s="97" t="s">
        <v>5121</v>
      </c>
      <c r="G602" s="698" t="s">
        <v>327</v>
      </c>
      <c r="H602" s="699" t="s">
        <v>5122</v>
      </c>
      <c r="I602" s="82" t="s">
        <v>5123</v>
      </c>
      <c r="J602" s="51" t="s">
        <v>140</v>
      </c>
      <c r="K602" s="91">
        <v>0</v>
      </c>
      <c r="L602" s="91">
        <v>0</v>
      </c>
      <c r="M602" s="92">
        <v>50</v>
      </c>
      <c r="N602" s="94">
        <v>10000</v>
      </c>
      <c r="O602" s="92">
        <v>4</v>
      </c>
      <c r="P602" s="94">
        <f t="shared" si="141"/>
        <v>2500</v>
      </c>
      <c r="Q602" s="94"/>
      <c r="R602" s="92">
        <v>2500</v>
      </c>
      <c r="S602" s="92">
        <f t="shared" si="142"/>
        <v>0</v>
      </c>
      <c r="T602" s="92">
        <f t="shared" si="143"/>
        <v>6912</v>
      </c>
      <c r="U602" s="91">
        <f t="shared" si="144"/>
        <v>0</v>
      </c>
      <c r="V602" s="91">
        <f t="shared" si="145"/>
        <v>0</v>
      </c>
      <c r="W602" s="91">
        <v>0</v>
      </c>
      <c r="X602" s="55">
        <f t="shared" si="146"/>
        <v>46153.931956018525</v>
      </c>
    </row>
    <row r="603" spans="1:24" hidden="1" x14ac:dyDescent="0.35">
      <c r="A603" s="46">
        <f t="shared" ref="A603:A609" si="147">X602</f>
        <v>46153.931956018525</v>
      </c>
      <c r="B603" s="46"/>
      <c r="C603" s="260"/>
      <c r="D603" s="46"/>
      <c r="E603" s="47" t="s">
        <v>4897</v>
      </c>
      <c r="F603" s="97" t="s">
        <v>5102</v>
      </c>
      <c r="G603" s="698" t="s">
        <v>792</v>
      </c>
      <c r="H603" s="699" t="s">
        <v>5124</v>
      </c>
      <c r="I603" s="82" t="s">
        <v>5125</v>
      </c>
      <c r="J603" s="51" t="s">
        <v>140</v>
      </c>
      <c r="K603" s="91">
        <v>0</v>
      </c>
      <c r="L603" s="91">
        <v>0</v>
      </c>
      <c r="M603" s="92">
        <v>50</v>
      </c>
      <c r="N603" s="94">
        <v>3000</v>
      </c>
      <c r="O603" s="92">
        <v>4</v>
      </c>
      <c r="P603" s="94">
        <f t="shared" si="141"/>
        <v>750</v>
      </c>
      <c r="Q603" s="94"/>
      <c r="R603" s="92">
        <v>750</v>
      </c>
      <c r="S603" s="92">
        <f t="shared" si="142"/>
        <v>0</v>
      </c>
      <c r="T603" s="92">
        <f t="shared" si="143"/>
        <v>6912</v>
      </c>
      <c r="U603" s="91">
        <f t="shared" si="144"/>
        <v>0</v>
      </c>
      <c r="V603" s="91">
        <f t="shared" si="145"/>
        <v>0</v>
      </c>
      <c r="W603" s="91">
        <v>0</v>
      </c>
      <c r="X603" s="55">
        <f t="shared" si="146"/>
        <v>46153.931956018525</v>
      </c>
    </row>
    <row r="604" spans="1:24" hidden="1" x14ac:dyDescent="0.35">
      <c r="A604" s="46">
        <f t="shared" si="147"/>
        <v>46153.931956018525</v>
      </c>
      <c r="B604" s="46"/>
      <c r="C604" s="260"/>
      <c r="D604" s="46"/>
      <c r="E604" s="47" t="s">
        <v>4897</v>
      </c>
      <c r="F604" s="97" t="s">
        <v>5126</v>
      </c>
      <c r="G604" s="97" t="s">
        <v>792</v>
      </c>
      <c r="H604" s="98" t="s">
        <v>5127</v>
      </c>
      <c r="I604" s="69" t="s">
        <v>5128</v>
      </c>
      <c r="J604" s="51" t="s">
        <v>140</v>
      </c>
      <c r="K604" s="91">
        <v>0</v>
      </c>
      <c r="L604" s="91">
        <v>0</v>
      </c>
      <c r="M604" s="102">
        <v>25</v>
      </c>
      <c r="N604" s="103">
        <v>2000</v>
      </c>
      <c r="O604" s="92">
        <v>1</v>
      </c>
      <c r="P604" s="94">
        <f t="shared" si="141"/>
        <v>2000</v>
      </c>
      <c r="Q604" s="94"/>
      <c r="R604" s="92">
        <v>2000</v>
      </c>
      <c r="S604" s="92">
        <f t="shared" si="142"/>
        <v>0</v>
      </c>
      <c r="T604" s="92">
        <f t="shared" si="143"/>
        <v>3456</v>
      </c>
      <c r="U604" s="91">
        <f t="shared" si="144"/>
        <v>0</v>
      </c>
      <c r="V604" s="91">
        <f t="shared" si="145"/>
        <v>0</v>
      </c>
      <c r="W604" s="91">
        <v>0</v>
      </c>
      <c r="X604" s="55">
        <f>A604+K604+V604+W604+L604</f>
        <v>46153.931956018525</v>
      </c>
    </row>
    <row r="605" spans="1:24" hidden="1" x14ac:dyDescent="0.35">
      <c r="A605" s="46">
        <f t="shared" si="147"/>
        <v>46153.931956018525</v>
      </c>
      <c r="B605" s="46"/>
      <c r="C605" s="260"/>
      <c r="D605" s="46"/>
      <c r="E605" s="47" t="s">
        <v>4897</v>
      </c>
      <c r="F605" s="97" t="s">
        <v>5129</v>
      </c>
      <c r="G605" s="698" t="s">
        <v>359</v>
      </c>
      <c r="H605" s="699" t="s">
        <v>5130</v>
      </c>
      <c r="I605" s="82" t="s">
        <v>5131</v>
      </c>
      <c r="J605" s="51" t="s">
        <v>140</v>
      </c>
      <c r="K605" s="91">
        <v>0</v>
      </c>
      <c r="L605" s="91">
        <v>0</v>
      </c>
      <c r="M605" s="92">
        <v>50</v>
      </c>
      <c r="N605" s="94">
        <v>15000</v>
      </c>
      <c r="O605" s="92">
        <v>4</v>
      </c>
      <c r="P605" s="94">
        <f t="shared" si="141"/>
        <v>3750</v>
      </c>
      <c r="Q605" s="94"/>
      <c r="R605" s="92">
        <v>3750</v>
      </c>
      <c r="S605" s="92">
        <f t="shared" si="142"/>
        <v>0</v>
      </c>
      <c r="T605" s="92">
        <f t="shared" si="143"/>
        <v>6912</v>
      </c>
      <c r="U605" s="91">
        <f t="shared" si="144"/>
        <v>0</v>
      </c>
      <c r="V605" s="91">
        <f t="shared" si="145"/>
        <v>0</v>
      </c>
      <c r="W605" s="91">
        <v>0</v>
      </c>
      <c r="X605" s="55">
        <f>A605+K605+L605+V605+W605</f>
        <v>46153.931956018525</v>
      </c>
    </row>
    <row r="606" spans="1:24" s="118" customFormat="1" hidden="1" x14ac:dyDescent="0.35">
      <c r="A606" s="46">
        <f t="shared" si="147"/>
        <v>46153.931956018525</v>
      </c>
      <c r="B606" s="46"/>
      <c r="C606" s="260"/>
      <c r="D606" s="46"/>
      <c r="E606" s="47" t="s">
        <v>4897</v>
      </c>
      <c r="F606" s="100" t="s">
        <v>355</v>
      </c>
      <c r="G606" s="698" t="s">
        <v>792</v>
      </c>
      <c r="H606" s="699" t="s">
        <v>5132</v>
      </c>
      <c r="I606" s="71" t="s">
        <v>3502</v>
      </c>
      <c r="J606" s="100" t="s">
        <v>140</v>
      </c>
      <c r="K606" s="101">
        <v>0</v>
      </c>
      <c r="L606" s="91">
        <v>0</v>
      </c>
      <c r="M606" s="102">
        <v>40</v>
      </c>
      <c r="N606" s="103">
        <v>5200</v>
      </c>
      <c r="O606" s="102">
        <v>1</v>
      </c>
      <c r="P606" s="103">
        <f t="shared" si="141"/>
        <v>5200</v>
      </c>
      <c r="Q606" s="103"/>
      <c r="R606" s="103">
        <v>5200</v>
      </c>
      <c r="S606" s="103">
        <f t="shared" si="142"/>
        <v>0</v>
      </c>
      <c r="T606" s="102">
        <f t="shared" si="143"/>
        <v>2160</v>
      </c>
      <c r="U606" s="101">
        <f t="shared" si="144"/>
        <v>0</v>
      </c>
      <c r="V606" s="101">
        <f t="shared" si="145"/>
        <v>0</v>
      </c>
      <c r="W606" s="101">
        <v>0</v>
      </c>
      <c r="X606" s="255">
        <f>A606+K606+L606+V606+W606</f>
        <v>46153.931956018525</v>
      </c>
    </row>
    <row r="607" spans="1:24" hidden="1" x14ac:dyDescent="0.35">
      <c r="A607" s="46">
        <f t="shared" si="147"/>
        <v>46153.931956018525</v>
      </c>
      <c r="B607" s="46"/>
      <c r="C607" s="260"/>
      <c r="D607" s="46"/>
      <c r="E607" s="47" t="s">
        <v>4897</v>
      </c>
      <c r="F607" s="97" t="s">
        <v>5133</v>
      </c>
      <c r="G607" s="698" t="s">
        <v>359</v>
      </c>
      <c r="H607" s="699" t="s">
        <v>5134</v>
      </c>
      <c r="I607" s="82" t="s">
        <v>5116</v>
      </c>
      <c r="J607" s="51" t="s">
        <v>140</v>
      </c>
      <c r="K607" s="91">
        <v>0</v>
      </c>
      <c r="L607" s="91">
        <v>0</v>
      </c>
      <c r="M607" s="92">
        <v>50</v>
      </c>
      <c r="N607" s="94">
        <f>30000-18300</f>
        <v>11700</v>
      </c>
      <c r="O607" s="92">
        <v>4</v>
      </c>
      <c r="P607" s="94">
        <f t="shared" si="141"/>
        <v>2925</v>
      </c>
      <c r="Q607" s="94"/>
      <c r="R607" s="92">
        <v>2925</v>
      </c>
      <c r="S607" s="92">
        <f t="shared" si="142"/>
        <v>0</v>
      </c>
      <c r="T607" s="92">
        <f t="shared" si="143"/>
        <v>6912</v>
      </c>
      <c r="U607" s="91">
        <f t="shared" si="144"/>
        <v>0</v>
      </c>
      <c r="V607" s="91">
        <f t="shared" si="145"/>
        <v>0</v>
      </c>
      <c r="W607" s="91">
        <v>0</v>
      </c>
      <c r="X607" s="55">
        <f>A607+K607+L607+V607+W607</f>
        <v>46153.931956018525</v>
      </c>
    </row>
    <row r="608" spans="1:24" ht="26.5" hidden="1" x14ac:dyDescent="0.35">
      <c r="A608" s="46">
        <f t="shared" si="147"/>
        <v>46153.931956018525</v>
      </c>
      <c r="B608" s="46"/>
      <c r="C608" s="260"/>
      <c r="D608" s="46"/>
      <c r="E608" s="47" t="s">
        <v>4897</v>
      </c>
      <c r="F608" s="99" t="s">
        <v>4759</v>
      </c>
      <c r="G608" s="82" t="s">
        <v>359</v>
      </c>
      <c r="H608" s="98" t="s">
        <v>5135</v>
      </c>
      <c r="I608" s="71" t="s">
        <v>4606</v>
      </c>
      <c r="J608" s="491" t="s">
        <v>140</v>
      </c>
      <c r="K608" s="91">
        <v>0</v>
      </c>
      <c r="L608" s="91">
        <v>0</v>
      </c>
      <c r="M608" s="92">
        <v>45</v>
      </c>
      <c r="N608" s="94">
        <v>4000</v>
      </c>
      <c r="O608" s="92">
        <v>2</v>
      </c>
      <c r="P608" s="94">
        <f t="shared" si="141"/>
        <v>2000</v>
      </c>
      <c r="Q608" s="94"/>
      <c r="R608" s="92">
        <v>2000</v>
      </c>
      <c r="S608" s="92">
        <f t="shared" si="142"/>
        <v>0</v>
      </c>
      <c r="T608" s="102">
        <f t="shared" si="143"/>
        <v>3840</v>
      </c>
      <c r="U608" s="101">
        <f t="shared" si="144"/>
        <v>0</v>
      </c>
      <c r="V608" s="101">
        <f t="shared" si="145"/>
        <v>0</v>
      </c>
      <c r="W608" s="101">
        <v>0</v>
      </c>
      <c r="X608" s="55">
        <f>A608+K608+V608+W608+L608</f>
        <v>46153.931956018525</v>
      </c>
    </row>
    <row r="609" spans="1:24" ht="26.5" hidden="1" x14ac:dyDescent="0.35">
      <c r="A609" s="46">
        <f t="shared" si="147"/>
        <v>46153.931956018525</v>
      </c>
      <c r="B609" s="46"/>
      <c r="C609" s="260"/>
      <c r="D609" s="46"/>
      <c r="E609" s="47" t="s">
        <v>4897</v>
      </c>
      <c r="F609" s="82" t="s">
        <v>1552</v>
      </c>
      <c r="G609" s="831" t="s">
        <v>359</v>
      </c>
      <c r="H609" s="699" t="s">
        <v>5136</v>
      </c>
      <c r="I609" s="82" t="s">
        <v>3470</v>
      </c>
      <c r="J609" s="100" t="s">
        <v>140</v>
      </c>
      <c r="K609" s="91">
        <v>0</v>
      </c>
      <c r="L609" s="91">
        <v>0</v>
      </c>
      <c r="M609" s="345">
        <v>45</v>
      </c>
      <c r="N609" s="94">
        <f>10000-8383</f>
        <v>1617</v>
      </c>
      <c r="O609" s="92">
        <v>1</v>
      </c>
      <c r="P609" s="94">
        <f t="shared" si="141"/>
        <v>1617</v>
      </c>
      <c r="Q609" s="94"/>
      <c r="R609" s="92">
        <v>1617</v>
      </c>
      <c r="S609" s="92">
        <f t="shared" si="142"/>
        <v>0</v>
      </c>
      <c r="T609" s="102">
        <f t="shared" si="143"/>
        <v>1920</v>
      </c>
      <c r="U609" s="101">
        <f t="shared" si="144"/>
        <v>0</v>
      </c>
      <c r="V609" s="101">
        <f t="shared" si="145"/>
        <v>0</v>
      </c>
      <c r="W609" s="101">
        <v>0</v>
      </c>
      <c r="X609" s="55">
        <f t="shared" ref="X609:X632" si="148">A609+K609+L609+V609+W609</f>
        <v>46153.931956018525</v>
      </c>
    </row>
    <row r="610" spans="1:24" hidden="1" x14ac:dyDescent="0.35">
      <c r="A610" s="46">
        <f>X608</f>
        <v>46153.931956018525</v>
      </c>
      <c r="B610" s="46"/>
      <c r="C610" s="260"/>
      <c r="D610" s="46"/>
      <c r="E610" s="47" t="s">
        <v>4897</v>
      </c>
      <c r="F610" s="97" t="s">
        <v>5137</v>
      </c>
      <c r="G610" s="698" t="s">
        <v>830</v>
      </c>
      <c r="H610" s="699" t="s">
        <v>5138</v>
      </c>
      <c r="I610" s="82" t="s">
        <v>5123</v>
      </c>
      <c r="J610" s="51" t="s">
        <v>140</v>
      </c>
      <c r="K610" s="91">
        <v>0</v>
      </c>
      <c r="L610" s="91">
        <v>0</v>
      </c>
      <c r="M610" s="92">
        <v>50</v>
      </c>
      <c r="N610" s="94">
        <v>15000</v>
      </c>
      <c r="O610" s="92">
        <v>4</v>
      </c>
      <c r="P610" s="94">
        <f t="shared" si="141"/>
        <v>3750</v>
      </c>
      <c r="Q610" s="94"/>
      <c r="R610" s="92">
        <v>3750</v>
      </c>
      <c r="S610" s="92">
        <f t="shared" si="142"/>
        <v>0</v>
      </c>
      <c r="T610" s="92">
        <f t="shared" si="143"/>
        <v>6912</v>
      </c>
      <c r="U610" s="91">
        <f t="shared" si="144"/>
        <v>0</v>
      </c>
      <c r="V610" s="91">
        <f t="shared" si="145"/>
        <v>0</v>
      </c>
      <c r="W610" s="91">
        <v>0</v>
      </c>
      <c r="X610" s="55">
        <f t="shared" si="148"/>
        <v>46153.931956018525</v>
      </c>
    </row>
    <row r="611" spans="1:24" s="511" customFormat="1" hidden="1" x14ac:dyDescent="0.35">
      <c r="A611" s="46">
        <f t="shared" ref="A611:A633" si="149">X610</f>
        <v>46153.931956018525</v>
      </c>
      <c r="B611" s="46"/>
      <c r="C611" s="260"/>
      <c r="D611" s="46"/>
      <c r="E611" s="47" t="s">
        <v>4897</v>
      </c>
      <c r="F611" s="97" t="s">
        <v>5139</v>
      </c>
      <c r="G611" s="698" t="s">
        <v>830</v>
      </c>
      <c r="H611" s="699" t="s">
        <v>5140</v>
      </c>
      <c r="I611" s="82" t="s">
        <v>5123</v>
      </c>
      <c r="J611" s="51" t="s">
        <v>140</v>
      </c>
      <c r="K611" s="91">
        <v>0</v>
      </c>
      <c r="L611" s="91">
        <v>0</v>
      </c>
      <c r="M611" s="92">
        <v>50</v>
      </c>
      <c r="N611" s="94">
        <v>6000</v>
      </c>
      <c r="O611" s="92">
        <v>4</v>
      </c>
      <c r="P611" s="94">
        <f t="shared" si="141"/>
        <v>1500</v>
      </c>
      <c r="Q611" s="94"/>
      <c r="R611" s="92">
        <v>1500</v>
      </c>
      <c r="S611" s="92">
        <f t="shared" si="142"/>
        <v>0</v>
      </c>
      <c r="T611" s="92">
        <f t="shared" si="143"/>
        <v>6912</v>
      </c>
      <c r="U611" s="91">
        <f t="shared" si="144"/>
        <v>0</v>
      </c>
      <c r="V611" s="91">
        <f t="shared" si="145"/>
        <v>0</v>
      </c>
      <c r="W611" s="91">
        <v>0</v>
      </c>
      <c r="X611" s="55">
        <f t="shared" si="148"/>
        <v>46153.931956018525</v>
      </c>
    </row>
    <row r="612" spans="1:24" s="202" customFormat="1" hidden="1" x14ac:dyDescent="0.35">
      <c r="A612" s="46">
        <f t="shared" si="149"/>
        <v>46153.931956018525</v>
      </c>
      <c r="B612" s="46"/>
      <c r="C612" s="260"/>
      <c r="D612" s="46"/>
      <c r="E612" s="47" t="s">
        <v>4897</v>
      </c>
      <c r="F612" s="97" t="s">
        <v>5141</v>
      </c>
      <c r="G612" s="698" t="s">
        <v>839</v>
      </c>
      <c r="H612" s="699" t="s">
        <v>5142</v>
      </c>
      <c r="I612" s="82" t="s">
        <v>5123</v>
      </c>
      <c r="J612" s="51" t="s">
        <v>140</v>
      </c>
      <c r="K612" s="91">
        <v>0</v>
      </c>
      <c r="L612" s="91">
        <v>0</v>
      </c>
      <c r="M612" s="92">
        <v>50</v>
      </c>
      <c r="N612" s="94">
        <v>20000</v>
      </c>
      <c r="O612" s="92">
        <v>4</v>
      </c>
      <c r="P612" s="94">
        <f t="shared" si="141"/>
        <v>5000</v>
      </c>
      <c r="Q612" s="94"/>
      <c r="R612" s="92">
        <v>5000</v>
      </c>
      <c r="S612" s="92">
        <f t="shared" si="142"/>
        <v>0</v>
      </c>
      <c r="T612" s="92">
        <f t="shared" si="143"/>
        <v>6912</v>
      </c>
      <c r="U612" s="91">
        <f t="shared" si="144"/>
        <v>0</v>
      </c>
      <c r="V612" s="91">
        <f t="shared" si="145"/>
        <v>0</v>
      </c>
      <c r="W612" s="91">
        <v>0</v>
      </c>
      <c r="X612" s="55">
        <f t="shared" si="148"/>
        <v>46153.931956018525</v>
      </c>
    </row>
    <row r="613" spans="1:24" s="511" customFormat="1" hidden="1" x14ac:dyDescent="0.35">
      <c r="A613" s="46">
        <f t="shared" si="149"/>
        <v>46153.931956018525</v>
      </c>
      <c r="B613" s="46"/>
      <c r="C613" s="260"/>
      <c r="D613" s="46"/>
      <c r="E613" s="47" t="s">
        <v>4897</v>
      </c>
      <c r="F613" s="97" t="s">
        <v>5133</v>
      </c>
      <c r="G613" s="698" t="s">
        <v>830</v>
      </c>
      <c r="H613" s="699" t="s">
        <v>5134</v>
      </c>
      <c r="I613" s="82" t="s">
        <v>5116</v>
      </c>
      <c r="J613" s="51" t="s">
        <v>140</v>
      </c>
      <c r="K613" s="91">
        <v>0</v>
      </c>
      <c r="L613" s="91">
        <v>0</v>
      </c>
      <c r="M613" s="92">
        <v>50</v>
      </c>
      <c r="N613" s="94">
        <v>9000</v>
      </c>
      <c r="O613" s="92">
        <v>4</v>
      </c>
      <c r="P613" s="94">
        <f t="shared" si="141"/>
        <v>2250</v>
      </c>
      <c r="Q613" s="94"/>
      <c r="R613" s="92">
        <v>2250</v>
      </c>
      <c r="S613" s="92">
        <f t="shared" si="142"/>
        <v>0</v>
      </c>
      <c r="T613" s="92">
        <f t="shared" si="143"/>
        <v>6912</v>
      </c>
      <c r="U613" s="91">
        <f t="shared" si="144"/>
        <v>0</v>
      </c>
      <c r="V613" s="91">
        <f t="shared" si="145"/>
        <v>0</v>
      </c>
      <c r="W613" s="91">
        <v>0</v>
      </c>
      <c r="X613" s="55">
        <f t="shared" si="148"/>
        <v>46153.931956018525</v>
      </c>
    </row>
    <row r="614" spans="1:24" s="511" customFormat="1" hidden="1" x14ac:dyDescent="0.35">
      <c r="A614" s="46">
        <f t="shared" si="149"/>
        <v>46153.931956018525</v>
      </c>
      <c r="B614" s="46"/>
      <c r="C614" s="260"/>
      <c r="D614" s="46"/>
      <c r="E614" s="47" t="s">
        <v>4897</v>
      </c>
      <c r="F614" s="97" t="s">
        <v>5143</v>
      </c>
      <c r="G614" s="698" t="s">
        <v>830</v>
      </c>
      <c r="H614" s="699"/>
      <c r="I614" s="82" t="s">
        <v>5144</v>
      </c>
      <c r="J614" s="51" t="s">
        <v>140</v>
      </c>
      <c r="K614" s="91">
        <v>0</v>
      </c>
      <c r="L614" s="91">
        <v>0</v>
      </c>
      <c r="M614" s="92">
        <v>50</v>
      </c>
      <c r="N614" s="94">
        <v>6000</v>
      </c>
      <c r="O614" s="92">
        <v>4</v>
      </c>
      <c r="P614" s="94">
        <f t="shared" si="141"/>
        <v>1500</v>
      </c>
      <c r="Q614" s="94"/>
      <c r="R614" s="92">
        <v>1500</v>
      </c>
      <c r="S614" s="92">
        <f t="shared" si="142"/>
        <v>0</v>
      </c>
      <c r="T614" s="92">
        <f t="shared" si="143"/>
        <v>6912</v>
      </c>
      <c r="U614" s="91">
        <f t="shared" si="144"/>
        <v>0</v>
      </c>
      <c r="V614" s="91">
        <f t="shared" si="145"/>
        <v>0</v>
      </c>
      <c r="W614" s="91">
        <v>0</v>
      </c>
      <c r="X614" s="55">
        <f t="shared" si="148"/>
        <v>46153.931956018525</v>
      </c>
    </row>
    <row r="615" spans="1:24" s="511" customFormat="1" hidden="1" x14ac:dyDescent="0.35">
      <c r="A615" s="46">
        <f t="shared" si="149"/>
        <v>46153.931956018525</v>
      </c>
      <c r="B615" s="46"/>
      <c r="C615" s="260"/>
      <c r="D615" s="46"/>
      <c r="E615" s="47" t="s">
        <v>4897</v>
      </c>
      <c r="F615" s="97" t="s">
        <v>5141</v>
      </c>
      <c r="G615" s="698" t="s">
        <v>839</v>
      </c>
      <c r="H615" s="699" t="s">
        <v>5145</v>
      </c>
      <c r="I615" s="82" t="s">
        <v>5146</v>
      </c>
      <c r="J615" s="51" t="s">
        <v>140</v>
      </c>
      <c r="K615" s="91">
        <v>0</v>
      </c>
      <c r="L615" s="91">
        <v>0</v>
      </c>
      <c r="M615" s="92">
        <v>50</v>
      </c>
      <c r="N615" s="94">
        <v>20000</v>
      </c>
      <c r="O615" s="92">
        <v>4</v>
      </c>
      <c r="P615" s="94">
        <f t="shared" si="141"/>
        <v>5000</v>
      </c>
      <c r="Q615" s="94"/>
      <c r="R615" s="92">
        <v>5000</v>
      </c>
      <c r="S615" s="92">
        <f t="shared" si="142"/>
        <v>0</v>
      </c>
      <c r="T615" s="92">
        <f t="shared" si="143"/>
        <v>6912</v>
      </c>
      <c r="U615" s="91">
        <f t="shared" si="144"/>
        <v>0</v>
      </c>
      <c r="V615" s="91">
        <f t="shared" si="145"/>
        <v>0</v>
      </c>
      <c r="W615" s="91">
        <v>0</v>
      </c>
      <c r="X615" s="55">
        <f t="shared" si="148"/>
        <v>46153.931956018525</v>
      </c>
    </row>
    <row r="616" spans="1:24" s="202" customFormat="1" hidden="1" x14ac:dyDescent="0.35">
      <c r="A616" s="772">
        <f t="shared" si="149"/>
        <v>46153.931956018525</v>
      </c>
      <c r="B616" s="772"/>
      <c r="C616" s="906"/>
      <c r="D616" s="772"/>
      <c r="E616" s="907" t="s">
        <v>4897</v>
      </c>
      <c r="F616" s="898" t="s">
        <v>5147</v>
      </c>
      <c r="G616" s="899" t="s">
        <v>830</v>
      </c>
      <c r="H616" s="900" t="s">
        <v>5148</v>
      </c>
      <c r="I616" s="901" t="s">
        <v>5118</v>
      </c>
      <c r="J616" s="902" t="s">
        <v>140</v>
      </c>
      <c r="K616" s="903">
        <v>0</v>
      </c>
      <c r="L616" s="903">
        <v>0</v>
      </c>
      <c r="M616" s="904">
        <v>50</v>
      </c>
      <c r="N616" s="905">
        <v>20000</v>
      </c>
      <c r="O616" s="904">
        <v>4</v>
      </c>
      <c r="P616" s="905">
        <f t="shared" si="141"/>
        <v>5000</v>
      </c>
      <c r="Q616" s="905"/>
      <c r="R616" s="904">
        <v>5000</v>
      </c>
      <c r="S616" s="904">
        <f t="shared" si="142"/>
        <v>0</v>
      </c>
      <c r="T616" s="904">
        <f t="shared" si="143"/>
        <v>6912</v>
      </c>
      <c r="U616" s="903">
        <f t="shared" si="144"/>
        <v>0</v>
      </c>
      <c r="V616" s="903">
        <f t="shared" si="145"/>
        <v>0</v>
      </c>
      <c r="W616" s="903">
        <v>0</v>
      </c>
      <c r="X616" s="908">
        <f t="shared" si="148"/>
        <v>46153.931956018525</v>
      </c>
    </row>
    <row r="617" spans="1:24" hidden="1" x14ac:dyDescent="0.35">
      <c r="A617" s="772">
        <f t="shared" si="149"/>
        <v>46153.931956018525</v>
      </c>
      <c r="B617" s="772"/>
      <c r="C617" s="906"/>
      <c r="D617" s="772"/>
      <c r="E617" s="907" t="s">
        <v>4897</v>
      </c>
      <c r="F617" s="898" t="s">
        <v>5141</v>
      </c>
      <c r="G617" s="899" t="s">
        <v>839</v>
      </c>
      <c r="H617" s="900" t="s">
        <v>5149</v>
      </c>
      <c r="I617" s="901" t="s">
        <v>5118</v>
      </c>
      <c r="J617" s="902" t="s">
        <v>140</v>
      </c>
      <c r="K617" s="903">
        <v>0</v>
      </c>
      <c r="L617" s="903">
        <v>0</v>
      </c>
      <c r="M617" s="904">
        <v>50</v>
      </c>
      <c r="N617" s="905">
        <v>20000</v>
      </c>
      <c r="O617" s="904">
        <v>4</v>
      </c>
      <c r="P617" s="905">
        <f t="shared" si="141"/>
        <v>5000</v>
      </c>
      <c r="Q617" s="905"/>
      <c r="R617" s="904">
        <v>5000</v>
      </c>
      <c r="S617" s="904">
        <f t="shared" si="142"/>
        <v>0</v>
      </c>
      <c r="T617" s="904">
        <f t="shared" si="143"/>
        <v>6912</v>
      </c>
      <c r="U617" s="903">
        <f t="shared" si="144"/>
        <v>0</v>
      </c>
      <c r="V617" s="903">
        <f t="shared" si="145"/>
        <v>0</v>
      </c>
      <c r="W617" s="903">
        <v>0</v>
      </c>
      <c r="X617" s="908">
        <f t="shared" si="148"/>
        <v>46153.931956018525</v>
      </c>
    </row>
    <row r="618" spans="1:24" hidden="1" x14ac:dyDescent="0.35">
      <c r="A618" s="772">
        <f t="shared" si="149"/>
        <v>46153.931956018525</v>
      </c>
      <c r="B618" s="772"/>
      <c r="C618" s="906"/>
      <c r="D618" s="772"/>
      <c r="E618" s="907" t="s">
        <v>4897</v>
      </c>
      <c r="F618" s="898" t="s">
        <v>5139</v>
      </c>
      <c r="G618" s="899" t="s">
        <v>830</v>
      </c>
      <c r="H618" s="900" t="s">
        <v>5150</v>
      </c>
      <c r="I618" s="901" t="s">
        <v>5123</v>
      </c>
      <c r="J618" s="902" t="s">
        <v>140</v>
      </c>
      <c r="K618" s="903">
        <v>0</v>
      </c>
      <c r="L618" s="903">
        <v>0</v>
      </c>
      <c r="M618" s="904">
        <v>50</v>
      </c>
      <c r="N618" s="905">
        <v>7000</v>
      </c>
      <c r="O618" s="904">
        <v>4</v>
      </c>
      <c r="P618" s="905">
        <f t="shared" si="141"/>
        <v>1750</v>
      </c>
      <c r="Q618" s="905"/>
      <c r="R618" s="904">
        <v>1750</v>
      </c>
      <c r="S618" s="904">
        <f t="shared" si="142"/>
        <v>0</v>
      </c>
      <c r="T618" s="904">
        <f t="shared" si="143"/>
        <v>6912</v>
      </c>
      <c r="U618" s="903">
        <f t="shared" si="144"/>
        <v>0</v>
      </c>
      <c r="V618" s="903">
        <f t="shared" si="145"/>
        <v>0</v>
      </c>
      <c r="W618" s="903">
        <v>0</v>
      </c>
      <c r="X618" s="908">
        <f t="shared" si="148"/>
        <v>46153.931956018525</v>
      </c>
    </row>
    <row r="619" spans="1:24" hidden="1" x14ac:dyDescent="0.35">
      <c r="A619" s="772">
        <f t="shared" si="149"/>
        <v>46153.931956018525</v>
      </c>
      <c r="B619" s="772"/>
      <c r="C619" s="906"/>
      <c r="D619" s="772"/>
      <c r="E619" s="907" t="s">
        <v>4897</v>
      </c>
      <c r="F619" s="898" t="s">
        <v>5133</v>
      </c>
      <c r="G619" s="899" t="s">
        <v>830</v>
      </c>
      <c r="H619" s="900" t="s">
        <v>5134</v>
      </c>
      <c r="I619" s="901" t="s">
        <v>5116</v>
      </c>
      <c r="J619" s="902" t="s">
        <v>140</v>
      </c>
      <c r="K619" s="903">
        <v>0</v>
      </c>
      <c r="L619" s="903">
        <v>0</v>
      </c>
      <c r="M619" s="904">
        <v>50</v>
      </c>
      <c r="N619" s="905">
        <f>21000-9000</f>
        <v>12000</v>
      </c>
      <c r="O619" s="904">
        <v>4</v>
      </c>
      <c r="P619" s="905">
        <f t="shared" si="141"/>
        <v>3000</v>
      </c>
      <c r="Q619" s="905"/>
      <c r="R619" s="904">
        <v>3000</v>
      </c>
      <c r="S619" s="904">
        <f t="shared" si="142"/>
        <v>0</v>
      </c>
      <c r="T619" s="904">
        <f t="shared" si="143"/>
        <v>6912</v>
      </c>
      <c r="U619" s="903">
        <f t="shared" si="144"/>
        <v>0</v>
      </c>
      <c r="V619" s="903">
        <f t="shared" si="145"/>
        <v>0</v>
      </c>
      <c r="W619" s="903">
        <v>0</v>
      </c>
      <c r="X619" s="908">
        <f t="shared" si="148"/>
        <v>46153.931956018525</v>
      </c>
    </row>
    <row r="620" spans="1:24" hidden="1" x14ac:dyDescent="0.35">
      <c r="A620" s="772">
        <f t="shared" si="149"/>
        <v>46153.931956018525</v>
      </c>
      <c r="B620" s="772"/>
      <c r="C620" s="906"/>
      <c r="D620" s="772"/>
      <c r="E620" s="907" t="s">
        <v>4897</v>
      </c>
      <c r="F620" s="898" t="s">
        <v>5137</v>
      </c>
      <c r="G620" s="899" t="s">
        <v>830</v>
      </c>
      <c r="H620" s="900" t="s">
        <v>5151</v>
      </c>
      <c r="I620" s="901" t="s">
        <v>5116</v>
      </c>
      <c r="J620" s="902" t="s">
        <v>140</v>
      </c>
      <c r="K620" s="903">
        <v>0</v>
      </c>
      <c r="L620" s="903">
        <v>0</v>
      </c>
      <c r="M620" s="904">
        <v>50</v>
      </c>
      <c r="N620" s="905">
        <v>9000</v>
      </c>
      <c r="O620" s="904">
        <v>4</v>
      </c>
      <c r="P620" s="905">
        <f t="shared" si="141"/>
        <v>2250</v>
      </c>
      <c r="Q620" s="905"/>
      <c r="R620" s="904">
        <v>2250</v>
      </c>
      <c r="S620" s="904">
        <f t="shared" si="142"/>
        <v>0</v>
      </c>
      <c r="T620" s="904">
        <f t="shared" si="143"/>
        <v>6912</v>
      </c>
      <c r="U620" s="903">
        <f t="shared" si="144"/>
        <v>0</v>
      </c>
      <c r="V620" s="903">
        <f t="shared" si="145"/>
        <v>0</v>
      </c>
      <c r="W620" s="903">
        <v>0</v>
      </c>
      <c r="X620" s="908">
        <f t="shared" si="148"/>
        <v>46153.931956018525</v>
      </c>
    </row>
    <row r="621" spans="1:24" hidden="1" x14ac:dyDescent="0.35">
      <c r="A621" s="772">
        <f t="shared" si="149"/>
        <v>46153.931956018525</v>
      </c>
      <c r="B621" s="772"/>
      <c r="C621" s="906"/>
      <c r="D621" s="772"/>
      <c r="E621" s="907" t="s">
        <v>4897</v>
      </c>
      <c r="F621" s="898" t="s">
        <v>5133</v>
      </c>
      <c r="G621" s="899" t="s">
        <v>830</v>
      </c>
      <c r="H621" s="900" t="s">
        <v>5152</v>
      </c>
      <c r="I621" s="901" t="s">
        <v>5116</v>
      </c>
      <c r="J621" s="902" t="s">
        <v>140</v>
      </c>
      <c r="K621" s="903">
        <v>0</v>
      </c>
      <c r="L621" s="903">
        <v>0</v>
      </c>
      <c r="M621" s="904">
        <v>50</v>
      </c>
      <c r="N621" s="905">
        <v>10000</v>
      </c>
      <c r="O621" s="904">
        <v>4</v>
      </c>
      <c r="P621" s="905">
        <f t="shared" si="141"/>
        <v>2500</v>
      </c>
      <c r="Q621" s="905"/>
      <c r="R621" s="904">
        <v>2500</v>
      </c>
      <c r="S621" s="904">
        <f t="shared" si="142"/>
        <v>0</v>
      </c>
      <c r="T621" s="904">
        <f t="shared" si="143"/>
        <v>6912</v>
      </c>
      <c r="U621" s="903">
        <f t="shared" si="144"/>
        <v>0</v>
      </c>
      <c r="V621" s="903">
        <f t="shared" si="145"/>
        <v>0</v>
      </c>
      <c r="W621" s="903">
        <v>0</v>
      </c>
      <c r="X621" s="908">
        <f t="shared" si="148"/>
        <v>46153.931956018525</v>
      </c>
    </row>
    <row r="622" spans="1:24" hidden="1" x14ac:dyDescent="0.35">
      <c r="A622" s="772">
        <f t="shared" si="149"/>
        <v>46153.931956018525</v>
      </c>
      <c r="B622" s="772"/>
      <c r="C622" s="906"/>
      <c r="D622" s="772"/>
      <c r="E622" s="907" t="s">
        <v>4897</v>
      </c>
      <c r="F622" s="898" t="s">
        <v>5133</v>
      </c>
      <c r="G622" s="899" t="s">
        <v>830</v>
      </c>
      <c r="H622" s="900" t="s">
        <v>5153</v>
      </c>
      <c r="I622" s="901" t="s">
        <v>5116</v>
      </c>
      <c r="J622" s="902" t="s">
        <v>140</v>
      </c>
      <c r="K622" s="903">
        <v>0</v>
      </c>
      <c r="L622" s="903">
        <v>0</v>
      </c>
      <c r="M622" s="904">
        <v>50</v>
      </c>
      <c r="N622" s="905">
        <v>11000</v>
      </c>
      <c r="O622" s="904">
        <v>4</v>
      </c>
      <c r="P622" s="905">
        <f t="shared" si="141"/>
        <v>2750</v>
      </c>
      <c r="Q622" s="905"/>
      <c r="R622" s="904">
        <v>2750</v>
      </c>
      <c r="S622" s="904">
        <f t="shared" si="142"/>
        <v>0</v>
      </c>
      <c r="T622" s="904">
        <f t="shared" si="143"/>
        <v>6912</v>
      </c>
      <c r="U622" s="903">
        <f t="shared" si="144"/>
        <v>0</v>
      </c>
      <c r="V622" s="903">
        <f t="shared" si="145"/>
        <v>0</v>
      </c>
      <c r="W622" s="903">
        <v>0</v>
      </c>
      <c r="X622" s="908">
        <f t="shared" si="148"/>
        <v>46153.931956018525</v>
      </c>
    </row>
    <row r="623" spans="1:24" hidden="1" x14ac:dyDescent="0.35">
      <c r="A623" s="772">
        <f t="shared" si="149"/>
        <v>46153.931956018525</v>
      </c>
      <c r="B623" s="772"/>
      <c r="C623" s="906"/>
      <c r="D623" s="772"/>
      <c r="E623" s="907" t="s">
        <v>4897</v>
      </c>
      <c r="F623" s="898" t="s">
        <v>5154</v>
      </c>
      <c r="G623" s="899" t="s">
        <v>830</v>
      </c>
      <c r="H623" s="900" t="s">
        <v>5155</v>
      </c>
      <c r="I623" s="901" t="s">
        <v>5146</v>
      </c>
      <c r="J623" s="902" t="s">
        <v>140</v>
      </c>
      <c r="K623" s="903">
        <v>0</v>
      </c>
      <c r="L623" s="903">
        <v>0</v>
      </c>
      <c r="M623" s="904">
        <v>50</v>
      </c>
      <c r="N623" s="905">
        <v>5945</v>
      </c>
      <c r="O623" s="904">
        <v>4</v>
      </c>
      <c r="P623" s="905">
        <f t="shared" si="141"/>
        <v>1486.25</v>
      </c>
      <c r="Q623" s="905"/>
      <c r="R623" s="904">
        <v>1486</v>
      </c>
      <c r="S623" s="904">
        <f t="shared" si="142"/>
        <v>0.25</v>
      </c>
      <c r="T623" s="904">
        <f t="shared" si="143"/>
        <v>6912</v>
      </c>
      <c r="U623" s="903">
        <f t="shared" si="144"/>
        <v>3.472222222222222E-3</v>
      </c>
      <c r="V623" s="903">
        <f t="shared" si="145"/>
        <v>1.4467592592592592E-4</v>
      </c>
      <c r="W623" s="903">
        <v>0</v>
      </c>
      <c r="X623" s="908">
        <f t="shared" si="148"/>
        <v>46153.932100694452</v>
      </c>
    </row>
    <row r="624" spans="1:24" hidden="1" x14ac:dyDescent="0.35">
      <c r="A624" s="772">
        <f t="shared" si="149"/>
        <v>46153.932100694452</v>
      </c>
      <c r="B624" s="772"/>
      <c r="C624" s="906"/>
      <c r="D624" s="772"/>
      <c r="E624" s="907" t="s">
        <v>4897</v>
      </c>
      <c r="F624" s="898" t="s">
        <v>5141</v>
      </c>
      <c r="G624" s="899" t="s">
        <v>839</v>
      </c>
      <c r="H624" s="900" t="s">
        <v>5156</v>
      </c>
      <c r="I624" s="901" t="s">
        <v>5116</v>
      </c>
      <c r="J624" s="902" t="s">
        <v>140</v>
      </c>
      <c r="K624" s="903">
        <v>0</v>
      </c>
      <c r="L624" s="903">
        <v>0</v>
      </c>
      <c r="M624" s="904">
        <v>50</v>
      </c>
      <c r="N624" s="905">
        <v>30000</v>
      </c>
      <c r="O624" s="904">
        <v>4</v>
      </c>
      <c r="P624" s="905">
        <f t="shared" si="141"/>
        <v>7500</v>
      </c>
      <c r="Q624" s="905"/>
      <c r="R624" s="904">
        <v>7500</v>
      </c>
      <c r="S624" s="904">
        <f t="shared" si="142"/>
        <v>0</v>
      </c>
      <c r="T624" s="904">
        <f t="shared" si="143"/>
        <v>6912</v>
      </c>
      <c r="U624" s="903">
        <f t="shared" si="144"/>
        <v>0</v>
      </c>
      <c r="V624" s="903">
        <f t="shared" si="145"/>
        <v>0</v>
      </c>
      <c r="W624" s="903">
        <v>0</v>
      </c>
      <c r="X624" s="908">
        <f t="shared" si="148"/>
        <v>46153.932100694452</v>
      </c>
    </row>
    <row r="625" spans="1:24" hidden="1" x14ac:dyDescent="0.35">
      <c r="A625" s="772">
        <f t="shared" si="149"/>
        <v>46153.932100694452</v>
      </c>
      <c r="B625" s="772"/>
      <c r="C625" s="906"/>
      <c r="D625" s="772"/>
      <c r="E625" s="907" t="s">
        <v>4897</v>
      </c>
      <c r="F625" s="898" t="s">
        <v>5141</v>
      </c>
      <c r="G625" s="899" t="s">
        <v>839</v>
      </c>
      <c r="H625" s="900" t="s">
        <v>5157</v>
      </c>
      <c r="I625" s="901" t="s">
        <v>5111</v>
      </c>
      <c r="J625" s="902" t="s">
        <v>140</v>
      </c>
      <c r="K625" s="903">
        <v>0</v>
      </c>
      <c r="L625" s="903">
        <v>0</v>
      </c>
      <c r="M625" s="904">
        <v>50</v>
      </c>
      <c r="N625" s="905">
        <v>10000</v>
      </c>
      <c r="O625" s="904">
        <v>4</v>
      </c>
      <c r="P625" s="905">
        <f t="shared" si="141"/>
        <v>2500</v>
      </c>
      <c r="Q625" s="905"/>
      <c r="R625" s="904">
        <v>2500</v>
      </c>
      <c r="S625" s="904">
        <f t="shared" si="142"/>
        <v>0</v>
      </c>
      <c r="T625" s="904">
        <f t="shared" si="143"/>
        <v>6912</v>
      </c>
      <c r="U625" s="903">
        <f t="shared" si="144"/>
        <v>0</v>
      </c>
      <c r="V625" s="903">
        <f t="shared" si="145"/>
        <v>0</v>
      </c>
      <c r="W625" s="903">
        <v>0</v>
      </c>
      <c r="X625" s="908">
        <f t="shared" si="148"/>
        <v>46153.932100694452</v>
      </c>
    </row>
    <row r="626" spans="1:24" hidden="1" x14ac:dyDescent="0.35">
      <c r="A626" s="772">
        <f t="shared" si="149"/>
        <v>46153.932100694452</v>
      </c>
      <c r="B626" s="772"/>
      <c r="C626" s="906"/>
      <c r="D626" s="772"/>
      <c r="E626" s="907" t="s">
        <v>4897</v>
      </c>
      <c r="F626" s="898" t="s">
        <v>5158</v>
      </c>
      <c r="G626" s="899" t="s">
        <v>839</v>
      </c>
      <c r="H626" s="900" t="s">
        <v>5159</v>
      </c>
      <c r="I626" s="901" t="s">
        <v>5160</v>
      </c>
      <c r="J626" s="902" t="s">
        <v>140</v>
      </c>
      <c r="K626" s="903">
        <v>0</v>
      </c>
      <c r="L626" s="903">
        <v>0</v>
      </c>
      <c r="M626" s="904">
        <v>50</v>
      </c>
      <c r="N626" s="905">
        <v>10000</v>
      </c>
      <c r="O626" s="904">
        <v>4</v>
      </c>
      <c r="P626" s="905">
        <f t="shared" si="141"/>
        <v>2500</v>
      </c>
      <c r="Q626" s="905"/>
      <c r="R626" s="904">
        <v>2500</v>
      </c>
      <c r="S626" s="904">
        <f t="shared" si="142"/>
        <v>0</v>
      </c>
      <c r="T626" s="904">
        <f t="shared" si="143"/>
        <v>6912</v>
      </c>
      <c r="U626" s="903">
        <f t="shared" si="144"/>
        <v>0</v>
      </c>
      <c r="V626" s="903">
        <f t="shared" si="145"/>
        <v>0</v>
      </c>
      <c r="W626" s="903">
        <v>0</v>
      </c>
      <c r="X626" s="908">
        <f t="shared" si="148"/>
        <v>46153.932100694452</v>
      </c>
    </row>
    <row r="627" spans="1:24" hidden="1" x14ac:dyDescent="0.35">
      <c r="A627" s="772">
        <f t="shared" si="149"/>
        <v>46153.932100694452</v>
      </c>
      <c r="B627" s="772"/>
      <c r="C627" s="906"/>
      <c r="D627" s="772"/>
      <c r="E627" s="907" t="s">
        <v>4897</v>
      </c>
      <c r="F627" s="898" t="s">
        <v>5141</v>
      </c>
      <c r="G627" s="899" t="s">
        <v>839</v>
      </c>
      <c r="H627" s="900" t="s">
        <v>5161</v>
      </c>
      <c r="I627" s="901" t="s">
        <v>5116</v>
      </c>
      <c r="J627" s="902" t="s">
        <v>140</v>
      </c>
      <c r="K627" s="903">
        <v>0</v>
      </c>
      <c r="L627" s="903">
        <v>0</v>
      </c>
      <c r="M627" s="904">
        <v>50</v>
      </c>
      <c r="N627" s="905">
        <v>30000</v>
      </c>
      <c r="O627" s="904">
        <v>4</v>
      </c>
      <c r="P627" s="905">
        <f t="shared" si="141"/>
        <v>7500</v>
      </c>
      <c r="Q627" s="905"/>
      <c r="R627" s="904">
        <v>7500</v>
      </c>
      <c r="S627" s="904">
        <f t="shared" si="142"/>
        <v>0</v>
      </c>
      <c r="T627" s="904">
        <f t="shared" si="143"/>
        <v>6912</v>
      </c>
      <c r="U627" s="903">
        <f t="shared" si="144"/>
        <v>0</v>
      </c>
      <c r="V627" s="903">
        <f t="shared" si="145"/>
        <v>0</v>
      </c>
      <c r="W627" s="903">
        <v>0</v>
      </c>
      <c r="X627" s="908">
        <f t="shared" si="148"/>
        <v>46153.932100694452</v>
      </c>
    </row>
    <row r="628" spans="1:24" s="202" customFormat="1" hidden="1" x14ac:dyDescent="0.35">
      <c r="A628" s="193">
        <f t="shared" si="149"/>
        <v>46153.932100694452</v>
      </c>
      <c r="B628" s="193"/>
      <c r="C628" s="194"/>
      <c r="D628" s="193"/>
      <c r="E628" s="195" t="s">
        <v>4897</v>
      </c>
      <c r="F628" s="114" t="s">
        <v>355</v>
      </c>
      <c r="G628" s="832" t="s">
        <v>386</v>
      </c>
      <c r="H628" s="833" t="s">
        <v>5162</v>
      </c>
      <c r="I628" s="192" t="s">
        <v>3502</v>
      </c>
      <c r="J628" s="114" t="s">
        <v>140</v>
      </c>
      <c r="K628" s="115">
        <v>0</v>
      </c>
      <c r="L628" s="482">
        <v>0</v>
      </c>
      <c r="M628" s="116">
        <v>40</v>
      </c>
      <c r="N628" s="117">
        <v>15000</v>
      </c>
      <c r="O628" s="116">
        <v>1</v>
      </c>
      <c r="P628" s="117">
        <f t="shared" si="141"/>
        <v>15000</v>
      </c>
      <c r="Q628" s="117"/>
      <c r="R628" s="117">
        <v>15000</v>
      </c>
      <c r="S628" s="117">
        <f t="shared" si="142"/>
        <v>0</v>
      </c>
      <c r="T628" s="116">
        <f t="shared" si="143"/>
        <v>2160</v>
      </c>
      <c r="U628" s="115">
        <f t="shared" si="144"/>
        <v>0</v>
      </c>
      <c r="V628" s="115">
        <f t="shared" si="145"/>
        <v>0</v>
      </c>
      <c r="W628" s="115">
        <v>0</v>
      </c>
      <c r="X628" s="591">
        <f t="shared" si="148"/>
        <v>46153.932100694452</v>
      </c>
    </row>
    <row r="629" spans="1:24" s="487" customFormat="1" hidden="1" x14ac:dyDescent="0.35">
      <c r="A629" s="295">
        <f t="shared" si="149"/>
        <v>46153.932100694452</v>
      </c>
      <c r="B629" s="295">
        <v>46059</v>
      </c>
      <c r="C629" s="576">
        <f t="shared" ref="C629:C633" si="150">B629-A629</f>
        <v>-94.932100694451947</v>
      </c>
      <c r="D629" s="576"/>
      <c r="E629" s="296" t="s">
        <v>4395</v>
      </c>
      <c r="F629" s="351" t="s">
        <v>14</v>
      </c>
      <c r="G629" s="366" t="s">
        <v>14</v>
      </c>
      <c r="H629" s="367" t="s">
        <v>14</v>
      </c>
      <c r="I629" s="866" t="s">
        <v>5163</v>
      </c>
      <c r="J629" s="351" t="s">
        <v>140</v>
      </c>
      <c r="K629" s="352">
        <v>0</v>
      </c>
      <c r="L629" s="352">
        <v>0</v>
      </c>
      <c r="M629" s="353">
        <v>20</v>
      </c>
      <c r="N629" s="354">
        <v>200</v>
      </c>
      <c r="O629" s="353">
        <v>15</v>
      </c>
      <c r="P629" s="354">
        <f t="shared" si="141"/>
        <v>13.333333333333334</v>
      </c>
      <c r="Q629" s="305">
        <v>0.8</v>
      </c>
      <c r="R629" s="353">
        <v>13</v>
      </c>
      <c r="S629" s="302">
        <f t="shared" si="142"/>
        <v>0.33333333333333393</v>
      </c>
      <c r="T629" s="307">
        <f t="shared" ref="T629:T633" si="151">((3600/M629)*O629)*24*Q629</f>
        <v>51840</v>
      </c>
      <c r="U629" s="301">
        <f t="shared" ref="U629:U633" si="152">(P629-R629)*M629/3600/Q629</f>
        <v>2.314814814814819E-3</v>
      </c>
      <c r="V629" s="301">
        <f t="shared" ref="V629:V633" si="153">U629/24</f>
        <v>9.6450617283950788E-5</v>
      </c>
      <c r="W629" s="301">
        <v>0</v>
      </c>
      <c r="X629" s="308">
        <f t="shared" si="148"/>
        <v>46153.93219714507</v>
      </c>
    </row>
    <row r="630" spans="1:24" s="202" customFormat="1" hidden="1" x14ac:dyDescent="0.35">
      <c r="A630" s="46">
        <f t="shared" si="149"/>
        <v>46153.93219714507</v>
      </c>
      <c r="B630" s="46">
        <v>46060</v>
      </c>
      <c r="C630" s="260">
        <f t="shared" si="150"/>
        <v>-93.932197145069949</v>
      </c>
      <c r="D630" s="260"/>
      <c r="E630" s="47" t="s">
        <v>4897</v>
      </c>
      <c r="F630" s="82" t="s">
        <v>1890</v>
      </c>
      <c r="G630" s="831" t="s">
        <v>386</v>
      </c>
      <c r="H630" s="699" t="s">
        <v>5164</v>
      </c>
      <c r="I630" s="71" t="s">
        <v>5012</v>
      </c>
      <c r="J630" s="100" t="s">
        <v>140</v>
      </c>
      <c r="K630" s="91">
        <v>0</v>
      </c>
      <c r="L630" s="91">
        <v>0</v>
      </c>
      <c r="M630" s="92">
        <v>40</v>
      </c>
      <c r="N630" s="94">
        <v>5500</v>
      </c>
      <c r="O630" s="92">
        <v>2</v>
      </c>
      <c r="P630" s="103">
        <f t="shared" si="141"/>
        <v>2750</v>
      </c>
      <c r="Q630" s="181">
        <v>0.8</v>
      </c>
      <c r="R630" s="102">
        <v>2750</v>
      </c>
      <c r="S630" s="103">
        <f t="shared" si="142"/>
        <v>0</v>
      </c>
      <c r="T630" s="173">
        <f t="shared" si="151"/>
        <v>3456</v>
      </c>
      <c r="U630" s="101">
        <f t="shared" si="152"/>
        <v>0</v>
      </c>
      <c r="V630" s="101">
        <f t="shared" si="153"/>
        <v>0</v>
      </c>
      <c r="W630" s="101">
        <v>0</v>
      </c>
      <c r="X630" s="55">
        <f t="shared" si="148"/>
        <v>46153.93219714507</v>
      </c>
    </row>
    <row r="631" spans="1:24" s="487" customFormat="1" hidden="1" x14ac:dyDescent="0.35">
      <c r="A631" s="46">
        <f t="shared" si="149"/>
        <v>46153.93219714507</v>
      </c>
      <c r="B631" s="46">
        <v>46062</v>
      </c>
      <c r="C631" s="260">
        <f t="shared" si="150"/>
        <v>-91.932197145069949</v>
      </c>
      <c r="D631" s="260"/>
      <c r="E631" s="47" t="s">
        <v>4897</v>
      </c>
      <c r="F631" s="82" t="s">
        <v>1890</v>
      </c>
      <c r="G631" s="831" t="s">
        <v>386</v>
      </c>
      <c r="H631" s="699" t="s">
        <v>5165</v>
      </c>
      <c r="I631" s="71" t="s">
        <v>5166</v>
      </c>
      <c r="J631" s="100" t="s">
        <v>140</v>
      </c>
      <c r="K631" s="91">
        <v>0</v>
      </c>
      <c r="L631" s="91">
        <v>0</v>
      </c>
      <c r="M631" s="92">
        <v>40</v>
      </c>
      <c r="N631" s="94">
        <v>3000</v>
      </c>
      <c r="O631" s="92">
        <v>2</v>
      </c>
      <c r="P631" s="103">
        <f t="shared" si="141"/>
        <v>1500</v>
      </c>
      <c r="Q631" s="181">
        <v>0.8</v>
      </c>
      <c r="R631" s="102">
        <v>1500</v>
      </c>
      <c r="S631" s="103">
        <f t="shared" si="142"/>
        <v>0</v>
      </c>
      <c r="T631" s="173">
        <f t="shared" si="151"/>
        <v>3456</v>
      </c>
      <c r="U631" s="101">
        <f t="shared" si="152"/>
        <v>0</v>
      </c>
      <c r="V631" s="101">
        <f t="shared" si="153"/>
        <v>0</v>
      </c>
      <c r="W631" s="101">
        <v>0</v>
      </c>
      <c r="X631" s="55">
        <f t="shared" si="148"/>
        <v>46153.93219714507</v>
      </c>
    </row>
    <row r="632" spans="1:24" s="511" customFormat="1" hidden="1" x14ac:dyDescent="0.35">
      <c r="A632" s="46">
        <f t="shared" si="149"/>
        <v>46153.93219714507</v>
      </c>
      <c r="B632" s="46">
        <v>46069</v>
      </c>
      <c r="C632" s="260">
        <f t="shared" si="150"/>
        <v>-84.932197145069949</v>
      </c>
      <c r="D632" s="260"/>
      <c r="E632" s="47" t="s">
        <v>4897</v>
      </c>
      <c r="F632" s="82" t="s">
        <v>5167</v>
      </c>
      <c r="G632" s="82" t="s">
        <v>386</v>
      </c>
      <c r="H632" s="98" t="s">
        <v>5168</v>
      </c>
      <c r="I632" s="82" t="s">
        <v>5169</v>
      </c>
      <c r="J632" s="51" t="s">
        <v>140</v>
      </c>
      <c r="K632" s="91">
        <v>0</v>
      </c>
      <c r="L632" s="91">
        <v>0</v>
      </c>
      <c r="M632" s="92">
        <v>45</v>
      </c>
      <c r="N632" s="92">
        <f>4000*3</f>
        <v>12000</v>
      </c>
      <c r="O632" s="92">
        <v>2</v>
      </c>
      <c r="P632" s="92">
        <f t="shared" si="141"/>
        <v>6000</v>
      </c>
      <c r="Q632" s="181">
        <v>0.8</v>
      </c>
      <c r="R632" s="102">
        <v>6000</v>
      </c>
      <c r="S632" s="103">
        <f t="shared" si="142"/>
        <v>0</v>
      </c>
      <c r="T632" s="173">
        <f t="shared" si="151"/>
        <v>3072</v>
      </c>
      <c r="U632" s="101">
        <f t="shared" si="152"/>
        <v>0</v>
      </c>
      <c r="V632" s="101">
        <f t="shared" si="153"/>
        <v>0</v>
      </c>
      <c r="W632" s="101">
        <v>0</v>
      </c>
      <c r="X632" s="55">
        <f t="shared" si="148"/>
        <v>46153.93219714507</v>
      </c>
    </row>
    <row r="633" spans="1:24" s="511" customFormat="1" ht="26.5" hidden="1" x14ac:dyDescent="0.35">
      <c r="A633" s="46">
        <f t="shared" si="149"/>
        <v>46153.93219714507</v>
      </c>
      <c r="B633" s="46">
        <v>46084</v>
      </c>
      <c r="C633" s="260">
        <f t="shared" si="150"/>
        <v>-69.932197145069949</v>
      </c>
      <c r="D633" s="260"/>
      <c r="E633" s="47" t="s">
        <v>4897</v>
      </c>
      <c r="F633" s="97" t="s">
        <v>4380</v>
      </c>
      <c r="G633" s="51" t="s">
        <v>398</v>
      </c>
      <c r="H633" s="98" t="s">
        <v>5170</v>
      </c>
      <c r="I633" s="316" t="s">
        <v>5171</v>
      </c>
      <c r="J633" s="51" t="s">
        <v>140</v>
      </c>
      <c r="K633" s="91">
        <v>0</v>
      </c>
      <c r="L633" s="91">
        <v>0</v>
      </c>
      <c r="M633" s="92">
        <v>120</v>
      </c>
      <c r="N633" s="94">
        <v>24000</v>
      </c>
      <c r="O633" s="92">
        <v>2</v>
      </c>
      <c r="P633" s="94">
        <f t="shared" si="141"/>
        <v>12000</v>
      </c>
      <c r="Q633" s="181">
        <v>0.8</v>
      </c>
      <c r="R633" s="92">
        <v>12000</v>
      </c>
      <c r="S633" s="103">
        <f t="shared" si="142"/>
        <v>0</v>
      </c>
      <c r="T633" s="173">
        <f t="shared" si="151"/>
        <v>1152</v>
      </c>
      <c r="U633" s="101">
        <f t="shared" si="152"/>
        <v>0</v>
      </c>
      <c r="V633" s="101">
        <f t="shared" si="153"/>
        <v>0</v>
      </c>
      <c r="W633" s="101">
        <v>0</v>
      </c>
      <c r="X633" s="55">
        <f>A633+K633+V633+W633+L633</f>
        <v>46153.93219714507</v>
      </c>
    </row>
    <row r="634" spans="1:24" s="243" customFormat="1" x14ac:dyDescent="0.35">
      <c r="A634" s="193">
        <f>X633</f>
        <v>46153.93219714507</v>
      </c>
      <c r="B634" s="193">
        <v>46158</v>
      </c>
      <c r="C634" s="194">
        <f>B634-A634</f>
        <v>4.0678028549300507</v>
      </c>
      <c r="D634" s="193"/>
      <c r="E634" s="195" t="s">
        <v>4897</v>
      </c>
      <c r="F634" s="196" t="s">
        <v>5172</v>
      </c>
      <c r="G634" s="112" t="s">
        <v>414</v>
      </c>
      <c r="H634" s="113" t="s">
        <v>5173</v>
      </c>
      <c r="I634" s="909" t="s">
        <v>5174</v>
      </c>
      <c r="J634" s="383" t="s">
        <v>140</v>
      </c>
      <c r="K634" s="482">
        <v>0.25</v>
      </c>
      <c r="L634" s="482">
        <v>0.2</v>
      </c>
      <c r="M634" s="199">
        <v>120</v>
      </c>
      <c r="N634" s="483">
        <v>1440</v>
      </c>
      <c r="O634" s="199">
        <v>1</v>
      </c>
      <c r="P634" s="483">
        <f>N634/O634</f>
        <v>1440</v>
      </c>
      <c r="Q634" s="198">
        <v>0.8</v>
      </c>
      <c r="R634" s="116"/>
      <c r="S634" s="117">
        <f>P634-R634</f>
        <v>1440</v>
      </c>
      <c r="T634" s="200">
        <f>((3600/M634)*O634)*24*Q634</f>
        <v>576</v>
      </c>
      <c r="U634" s="115">
        <f>(P634-R634)*M634/3600/Q634</f>
        <v>60</v>
      </c>
      <c r="V634" s="115">
        <f>U634/24</f>
        <v>2.5</v>
      </c>
      <c r="W634" s="115">
        <v>0</v>
      </c>
      <c r="X634" s="201">
        <f>A634+K634+V634+W634+L634</f>
        <v>46156.882197145067</v>
      </c>
    </row>
    <row r="635" spans="1:24" s="487" customFormat="1" x14ac:dyDescent="0.35">
      <c r="A635" s="203">
        <f>X634</f>
        <v>46156.882197145067</v>
      </c>
      <c r="B635" s="203">
        <v>46157</v>
      </c>
      <c r="C635" s="286">
        <f>B635-A635</f>
        <v>0.11780285493296105</v>
      </c>
      <c r="D635" s="203"/>
      <c r="E635" s="204" t="s">
        <v>4897</v>
      </c>
      <c r="F635" s="205" t="s">
        <v>5175</v>
      </c>
      <c r="G635" s="876" t="s">
        <v>414</v>
      </c>
      <c r="H635" s="836" t="s">
        <v>5176</v>
      </c>
      <c r="I635" s="205" t="s">
        <v>4450</v>
      </c>
      <c r="J635" s="310" t="s">
        <v>140</v>
      </c>
      <c r="K635" s="208">
        <v>0.25</v>
      </c>
      <c r="L635" s="208">
        <v>0.2</v>
      </c>
      <c r="M635" s="209">
        <v>40</v>
      </c>
      <c r="N635" s="210">
        <v>5000</v>
      </c>
      <c r="O635" s="209">
        <v>3</v>
      </c>
      <c r="P635" s="210">
        <f>N635/O635</f>
        <v>1666.6666666666667</v>
      </c>
      <c r="Q635" s="282">
        <v>0.8</v>
      </c>
      <c r="R635" s="279"/>
      <c r="S635" s="280">
        <f>P635-R635</f>
        <v>1666.6666666666667</v>
      </c>
      <c r="T635" s="284">
        <f>((3600/M635)*O635)*24*Q635</f>
        <v>5184</v>
      </c>
      <c r="U635" s="278">
        <f>(P635-R635)*M635/3600/Q635</f>
        <v>23.148148148148149</v>
      </c>
      <c r="V635" s="278">
        <f>U635/24</f>
        <v>0.96450617283950624</v>
      </c>
      <c r="W635" s="278">
        <v>0</v>
      </c>
      <c r="X635" s="212">
        <f t="shared" ref="X635" si="154">A635+K635+L635+V635+W635</f>
        <v>46158.296703317901</v>
      </c>
    </row>
    <row r="636" spans="1:24" s="178" customFormat="1" x14ac:dyDescent="0.35">
      <c r="A636" s="203">
        <f t="shared" ref="A636:A639" si="155">X635</f>
        <v>46158.296703317901</v>
      </c>
      <c r="B636" s="203">
        <v>46161</v>
      </c>
      <c r="C636" s="286">
        <f>B636-A636</f>
        <v>2.7032966820988804</v>
      </c>
      <c r="D636" s="203"/>
      <c r="E636" s="273" t="s">
        <v>4897</v>
      </c>
      <c r="F636" s="205" t="s">
        <v>5177</v>
      </c>
      <c r="G636" s="561" t="s">
        <v>414</v>
      </c>
      <c r="H636" s="836" t="s">
        <v>5178</v>
      </c>
      <c r="I636" s="531" t="s">
        <v>4599</v>
      </c>
      <c r="J636" s="310" t="s">
        <v>140</v>
      </c>
      <c r="K636" s="208">
        <v>0.25</v>
      </c>
      <c r="L636" s="208">
        <v>0.2</v>
      </c>
      <c r="M636" s="910">
        <v>68</v>
      </c>
      <c r="N636" s="210">
        <v>1000</v>
      </c>
      <c r="O636" s="209">
        <v>2</v>
      </c>
      <c r="P636" s="210">
        <f>N636/O636</f>
        <v>500</v>
      </c>
      <c r="Q636" s="282">
        <v>0.8</v>
      </c>
      <c r="R636" s="279"/>
      <c r="S636" s="280">
        <f>P636-R636</f>
        <v>500</v>
      </c>
      <c r="T636" s="284">
        <f>((3600/M636)*O636)*24*Q636</f>
        <v>2032.9411764705883</v>
      </c>
      <c r="U636" s="278">
        <f>(P636-R636)*M636/3600/Q636</f>
        <v>11.805555555555555</v>
      </c>
      <c r="V636" s="278">
        <f>U636/24</f>
        <v>0.49189814814814814</v>
      </c>
      <c r="W636" s="278">
        <v>0</v>
      </c>
      <c r="X636" s="212">
        <f>A636+K636+V636+W636+L636</f>
        <v>46159.238601466044</v>
      </c>
    </row>
    <row r="637" spans="1:24" s="487" customFormat="1" x14ac:dyDescent="0.35">
      <c r="A637" s="203">
        <f t="shared" si="155"/>
        <v>46159.238601466044</v>
      </c>
      <c r="B637" s="203">
        <v>46160</v>
      </c>
      <c r="C637" s="286">
        <f t="shared" ref="C637:C639" si="156">B637-A637</f>
        <v>0.76139853395579848</v>
      </c>
      <c r="D637" s="203"/>
      <c r="E637" s="204" t="s">
        <v>4956</v>
      </c>
      <c r="F637" s="287" t="s">
        <v>5179</v>
      </c>
      <c r="G637" s="911" t="s">
        <v>414</v>
      </c>
      <c r="H637" s="912" t="s">
        <v>5180</v>
      </c>
      <c r="I637" s="205" t="s">
        <v>5181</v>
      </c>
      <c r="J637" s="207" t="s">
        <v>140</v>
      </c>
      <c r="K637" s="208">
        <v>0.25</v>
      </c>
      <c r="L637" s="208">
        <v>0.2</v>
      </c>
      <c r="M637" s="209">
        <v>40</v>
      </c>
      <c r="N637" s="209">
        <v>10000</v>
      </c>
      <c r="O637" s="209">
        <v>4</v>
      </c>
      <c r="P637" s="210">
        <f t="shared" ref="P637:P638" si="157">N637/O637</f>
        <v>2500</v>
      </c>
      <c r="Q637" s="293">
        <v>0.8</v>
      </c>
      <c r="R637" s="209"/>
      <c r="S637" s="291">
        <f t="shared" ref="S637:S638" si="158">P637-R637</f>
        <v>2500</v>
      </c>
      <c r="T637" s="294">
        <f t="shared" ref="T637:T638" si="159">((3600/M637)*O637)*24*Q637</f>
        <v>6912</v>
      </c>
      <c r="U637" s="289">
        <f t="shared" ref="U637:U638" si="160">(P637-R637)*M637/3600/Q637</f>
        <v>34.722222222222221</v>
      </c>
      <c r="V637" s="289">
        <f t="shared" ref="V637:V638" si="161">U637/24</f>
        <v>1.4467592592592593</v>
      </c>
      <c r="W637" s="289">
        <v>0</v>
      </c>
      <c r="X637" s="212">
        <f t="shared" ref="X637:X638" si="162">A637+K637+L637+V637+W637</f>
        <v>46161.135360725304</v>
      </c>
    </row>
    <row r="638" spans="1:24" s="487" customFormat="1" ht="26.5" x14ac:dyDescent="0.35">
      <c r="A638" s="203">
        <f t="shared" si="155"/>
        <v>46161.135360725304</v>
      </c>
      <c r="B638" s="203">
        <v>46162</v>
      </c>
      <c r="C638" s="286">
        <f t="shared" si="156"/>
        <v>0.86463927469594637</v>
      </c>
      <c r="D638" s="203"/>
      <c r="E638" s="204" t="s">
        <v>4956</v>
      </c>
      <c r="F638" s="287" t="s">
        <v>5179</v>
      </c>
      <c r="G638" s="911" t="s">
        <v>414</v>
      </c>
      <c r="H638" s="912"/>
      <c r="I638" s="205" t="s">
        <v>4984</v>
      </c>
      <c r="J638" s="207" t="s">
        <v>140</v>
      </c>
      <c r="K638" s="208">
        <v>0.25</v>
      </c>
      <c r="L638" s="208">
        <v>0.2</v>
      </c>
      <c r="M638" s="209">
        <v>105</v>
      </c>
      <c r="N638" s="209">
        <v>10000</v>
      </c>
      <c r="O638" s="209">
        <v>1</v>
      </c>
      <c r="P638" s="210">
        <f t="shared" si="157"/>
        <v>10000</v>
      </c>
      <c r="Q638" s="293">
        <v>0.8</v>
      </c>
      <c r="R638" s="209"/>
      <c r="S638" s="291">
        <f t="shared" si="158"/>
        <v>10000</v>
      </c>
      <c r="T638" s="294">
        <f t="shared" si="159"/>
        <v>658.28571428571433</v>
      </c>
      <c r="U638" s="289">
        <f t="shared" si="160"/>
        <v>364.58333333333331</v>
      </c>
      <c r="V638" s="289">
        <f t="shared" si="161"/>
        <v>15.190972222222221</v>
      </c>
      <c r="W638" s="289">
        <v>0</v>
      </c>
      <c r="X638" s="212">
        <f t="shared" si="162"/>
        <v>46176.77633294752</v>
      </c>
    </row>
    <row r="639" spans="1:24" s="487" customFormat="1" ht="26.5" x14ac:dyDescent="0.35">
      <c r="A639" s="203">
        <f t="shared" si="155"/>
        <v>46176.77633294752</v>
      </c>
      <c r="B639" s="203">
        <v>46177</v>
      </c>
      <c r="C639" s="286">
        <f t="shared" si="156"/>
        <v>0.22366705247986829</v>
      </c>
      <c r="D639" s="286"/>
      <c r="E639" s="204" t="s">
        <v>4897</v>
      </c>
      <c r="F639" s="287" t="s">
        <v>4380</v>
      </c>
      <c r="G639" s="207" t="s">
        <v>398</v>
      </c>
      <c r="H639" s="206" t="s">
        <v>5182</v>
      </c>
      <c r="I639" s="913" t="s">
        <v>5171</v>
      </c>
      <c r="J639" s="207" t="s">
        <v>140</v>
      </c>
      <c r="K639" s="208">
        <v>0</v>
      </c>
      <c r="L639" s="208">
        <v>0</v>
      </c>
      <c r="M639" s="209">
        <v>120</v>
      </c>
      <c r="N639" s="210">
        <v>35000</v>
      </c>
      <c r="O639" s="209">
        <v>2</v>
      </c>
      <c r="P639" s="210">
        <f>N639/O639</f>
        <v>17500</v>
      </c>
      <c r="Q639" s="293">
        <v>0.8</v>
      </c>
      <c r="R639" s="209"/>
      <c r="S639" s="291">
        <f>P639-R639</f>
        <v>17500</v>
      </c>
      <c r="T639" s="294">
        <f>((3600/M639)*O639)*24*Q639</f>
        <v>1152</v>
      </c>
      <c r="U639" s="289">
        <f>(P639-R639)*M639/3600/Q639</f>
        <v>729.16666666666663</v>
      </c>
      <c r="V639" s="289">
        <f>U639/24</f>
        <v>30.381944444444443</v>
      </c>
      <c r="W639" s="289">
        <v>0</v>
      </c>
      <c r="X639" s="212">
        <f>A639+K639+V639+W639+L639</f>
        <v>46207.158277391965</v>
      </c>
    </row>
    <row r="640" spans="1:24" s="487" customFormat="1" x14ac:dyDescent="0.35">
      <c r="A640" s="203"/>
      <c r="B640" s="203"/>
      <c r="C640" s="286"/>
      <c r="D640" s="203"/>
      <c r="E640" s="204"/>
      <c r="F640" s="798"/>
      <c r="G640" s="914"/>
      <c r="H640" s="912"/>
      <c r="I640" s="205"/>
      <c r="J640" s="310"/>
      <c r="K640" s="208"/>
      <c r="L640" s="208"/>
      <c r="M640" s="209"/>
      <c r="N640" s="209"/>
      <c r="O640" s="209"/>
      <c r="P640" s="209"/>
      <c r="Q640" s="209"/>
      <c r="R640" s="209"/>
      <c r="S640" s="209"/>
      <c r="T640" s="290"/>
      <c r="U640" s="289"/>
      <c r="V640" s="289"/>
      <c r="W640" s="289"/>
      <c r="X640" s="212"/>
    </row>
    <row r="641" spans="1:24" ht="45" x14ac:dyDescent="0.8">
      <c r="A641" s="35" t="s">
        <v>4467</v>
      </c>
      <c r="B641" s="35"/>
      <c r="C641" s="787"/>
      <c r="D641" s="35"/>
      <c r="E641" s="36"/>
      <c r="F641" s="389"/>
      <c r="G641" s="389"/>
      <c r="H641" s="311" t="s">
        <v>4269</v>
      </c>
      <c r="I641" s="214"/>
      <c r="J641" s="40"/>
      <c r="K641" s="868"/>
      <c r="L641" s="868"/>
      <c r="M641" s="869"/>
      <c r="N641" s="45"/>
      <c r="O641" s="36"/>
      <c r="P641" s="36"/>
      <c r="Q641" s="36"/>
      <c r="R641" s="45"/>
      <c r="S641" s="36"/>
      <c r="T641" s="36"/>
      <c r="U641" s="36"/>
      <c r="V641" s="36"/>
      <c r="W641" s="36"/>
      <c r="X641" s="45"/>
    </row>
    <row r="642" spans="1:24" hidden="1" x14ac:dyDescent="0.35">
      <c r="A642" s="46">
        <f>S7</f>
        <v>46153</v>
      </c>
      <c r="B642" s="46"/>
      <c r="C642" s="260"/>
      <c r="D642" s="46"/>
      <c r="E642" s="47" t="s">
        <v>4467</v>
      </c>
      <c r="F642" s="48" t="s">
        <v>4957</v>
      </c>
      <c r="G642" s="48"/>
      <c r="H642" s="49">
        <v>7511</v>
      </c>
      <c r="I642" s="82" t="s">
        <v>5183</v>
      </c>
      <c r="J642" s="100"/>
      <c r="K642" s="91">
        <v>0</v>
      </c>
      <c r="L642" s="91">
        <v>0</v>
      </c>
      <c r="M642" s="92">
        <v>35</v>
      </c>
      <c r="N642" s="92">
        <v>1000</v>
      </c>
      <c r="O642" s="92">
        <v>2</v>
      </c>
      <c r="P642" s="92">
        <v>1453</v>
      </c>
      <c r="Q642" s="92"/>
      <c r="R642" s="92">
        <f>572+881</f>
        <v>1453</v>
      </c>
      <c r="S642" s="92">
        <f t="shared" ref="S642:S656" si="163">P642-R642</f>
        <v>0</v>
      </c>
      <c r="T642" s="102">
        <f t="shared" ref="T642:T705" si="164">((3600/M642)*O642)*24</f>
        <v>4937.1428571428569</v>
      </c>
      <c r="U642" s="101">
        <f t="shared" ref="U642:U705" si="165">(P642-R642)*M642/3600</f>
        <v>0</v>
      </c>
      <c r="V642" s="101">
        <f t="shared" ref="V642:V705" si="166">(P642-R642)*M642/3600/24</f>
        <v>0</v>
      </c>
      <c r="W642" s="101">
        <v>0</v>
      </c>
      <c r="X642" s="55">
        <f t="shared" ref="X642:X673" si="167">A642+K642+V642+W642+L642</f>
        <v>46153</v>
      </c>
    </row>
    <row r="643" spans="1:24" hidden="1" x14ac:dyDescent="0.35">
      <c r="A643" s="46">
        <f t="shared" ref="A643:A706" si="168">X642</f>
        <v>46153</v>
      </c>
      <c r="B643" s="46"/>
      <c r="C643" s="260"/>
      <c r="D643" s="46"/>
      <c r="E643" s="47" t="s">
        <v>4467</v>
      </c>
      <c r="F643" s="48" t="s">
        <v>4957</v>
      </c>
      <c r="G643" s="48"/>
      <c r="H643" s="49" t="s">
        <v>5184</v>
      </c>
      <c r="I643" s="82" t="s">
        <v>5185</v>
      </c>
      <c r="J643" s="100"/>
      <c r="K643" s="91">
        <v>0</v>
      </c>
      <c r="L643" s="91">
        <v>0</v>
      </c>
      <c r="M643" s="92">
        <v>25</v>
      </c>
      <c r="N643" s="92">
        <v>1000</v>
      </c>
      <c r="O643" s="92">
        <v>1</v>
      </c>
      <c r="P643" s="92">
        <v>1000</v>
      </c>
      <c r="Q643" s="92"/>
      <c r="R643" s="92">
        <v>1000</v>
      </c>
      <c r="S643" s="92">
        <f t="shared" si="163"/>
        <v>0</v>
      </c>
      <c r="T643" s="102">
        <f t="shared" si="164"/>
        <v>3456</v>
      </c>
      <c r="U643" s="101">
        <f t="shared" si="165"/>
        <v>0</v>
      </c>
      <c r="V643" s="101">
        <f t="shared" si="166"/>
        <v>0</v>
      </c>
      <c r="W643" s="101">
        <v>0</v>
      </c>
      <c r="X643" s="55">
        <f t="shared" si="167"/>
        <v>46153</v>
      </c>
    </row>
    <row r="644" spans="1:24" hidden="1" x14ac:dyDescent="0.35">
      <c r="A644" s="46">
        <f t="shared" si="168"/>
        <v>46153</v>
      </c>
      <c r="B644" s="46"/>
      <c r="C644" s="260"/>
      <c r="D644" s="46"/>
      <c r="E644" s="47" t="s">
        <v>4467</v>
      </c>
      <c r="F644" s="56" t="s">
        <v>5186</v>
      </c>
      <c r="G644" s="56"/>
      <c r="H644" s="49">
        <v>7433</v>
      </c>
      <c r="I644" s="106" t="s">
        <v>5187</v>
      </c>
      <c r="J644" s="100"/>
      <c r="K644" s="91">
        <v>0</v>
      </c>
      <c r="L644" s="91">
        <v>0</v>
      </c>
      <c r="M644" s="92">
        <v>30</v>
      </c>
      <c r="N644" s="92">
        <v>10000</v>
      </c>
      <c r="O644" s="92">
        <v>2</v>
      </c>
      <c r="P644" s="92">
        <v>5028</v>
      </c>
      <c r="Q644" s="92"/>
      <c r="R644" s="92">
        <v>5028</v>
      </c>
      <c r="S644" s="92">
        <f t="shared" si="163"/>
        <v>0</v>
      </c>
      <c r="T644" s="102">
        <f t="shared" si="164"/>
        <v>5760</v>
      </c>
      <c r="U644" s="101">
        <f t="shared" si="165"/>
        <v>0</v>
      </c>
      <c r="V644" s="101">
        <f t="shared" si="166"/>
        <v>0</v>
      </c>
      <c r="W644" s="101">
        <v>0</v>
      </c>
      <c r="X644" s="55">
        <f t="shared" si="167"/>
        <v>46153</v>
      </c>
    </row>
    <row r="645" spans="1:24" ht="29" hidden="1" x14ac:dyDescent="0.35">
      <c r="A645" s="46">
        <f t="shared" si="168"/>
        <v>46153</v>
      </c>
      <c r="B645" s="46"/>
      <c r="C645" s="260"/>
      <c r="D645" s="46"/>
      <c r="E645" s="47" t="s">
        <v>4467</v>
      </c>
      <c r="F645" s="56" t="s">
        <v>5188</v>
      </c>
      <c r="G645" s="56"/>
      <c r="H645" s="49">
        <v>6836</v>
      </c>
      <c r="I645" s="82" t="s">
        <v>5189</v>
      </c>
      <c r="J645" s="100"/>
      <c r="K645" s="91">
        <v>0</v>
      </c>
      <c r="L645" s="91">
        <v>0</v>
      </c>
      <c r="M645" s="92">
        <v>35</v>
      </c>
      <c r="N645" s="92">
        <v>60000</v>
      </c>
      <c r="O645" s="92">
        <v>16</v>
      </c>
      <c r="P645" s="92">
        <v>4168</v>
      </c>
      <c r="Q645" s="92"/>
      <c r="R645" s="92">
        <v>4168</v>
      </c>
      <c r="S645" s="92">
        <f t="shared" si="163"/>
        <v>0</v>
      </c>
      <c r="T645" s="102">
        <f t="shared" si="164"/>
        <v>39497.142857142855</v>
      </c>
      <c r="U645" s="101">
        <f t="shared" si="165"/>
        <v>0</v>
      </c>
      <c r="V645" s="101">
        <f t="shared" si="166"/>
        <v>0</v>
      </c>
      <c r="W645" s="101">
        <v>0</v>
      </c>
      <c r="X645" s="55">
        <f t="shared" si="167"/>
        <v>46153</v>
      </c>
    </row>
    <row r="646" spans="1:24" hidden="1" x14ac:dyDescent="0.35">
      <c r="A646" s="46">
        <f t="shared" si="168"/>
        <v>46153</v>
      </c>
      <c r="B646" s="46"/>
      <c r="C646" s="260"/>
      <c r="D646" s="46"/>
      <c r="E646" s="47" t="s">
        <v>4467</v>
      </c>
      <c r="F646" s="48" t="s">
        <v>55</v>
      </c>
      <c r="G646" s="48"/>
      <c r="H646" s="49">
        <v>7653</v>
      </c>
      <c r="I646" s="106" t="s">
        <v>5190</v>
      </c>
      <c r="J646" s="100"/>
      <c r="K646" s="91">
        <v>0</v>
      </c>
      <c r="L646" s="91">
        <v>0</v>
      </c>
      <c r="M646" s="92">
        <v>30</v>
      </c>
      <c r="N646" s="92">
        <v>450</v>
      </c>
      <c r="O646" s="92">
        <v>2</v>
      </c>
      <c r="P646" s="92">
        <f>N646/O646</f>
        <v>225</v>
      </c>
      <c r="Q646" s="92"/>
      <c r="R646" s="92">
        <v>225</v>
      </c>
      <c r="S646" s="92">
        <f t="shared" si="163"/>
        <v>0</v>
      </c>
      <c r="T646" s="102">
        <f t="shared" si="164"/>
        <v>5760</v>
      </c>
      <c r="U646" s="101">
        <f t="shared" si="165"/>
        <v>0</v>
      </c>
      <c r="V646" s="101">
        <f t="shared" si="166"/>
        <v>0</v>
      </c>
      <c r="W646" s="101">
        <v>0</v>
      </c>
      <c r="X646" s="55">
        <f t="shared" si="167"/>
        <v>46153</v>
      </c>
    </row>
    <row r="647" spans="1:24" hidden="1" x14ac:dyDescent="0.35">
      <c r="A647" s="46">
        <f t="shared" si="168"/>
        <v>46153</v>
      </c>
      <c r="B647" s="46"/>
      <c r="C647" s="260"/>
      <c r="D647" s="46"/>
      <c r="E647" s="47" t="s">
        <v>4467</v>
      </c>
      <c r="F647" s="48" t="s">
        <v>5191</v>
      </c>
      <c r="G647" s="48"/>
      <c r="H647" s="49">
        <v>7672</v>
      </c>
      <c r="I647" s="82" t="s">
        <v>5192</v>
      </c>
      <c r="J647" s="100"/>
      <c r="K647" s="91">
        <v>0</v>
      </c>
      <c r="L647" s="91">
        <v>0</v>
      </c>
      <c r="M647" s="92">
        <v>35</v>
      </c>
      <c r="N647" s="92">
        <v>4000</v>
      </c>
      <c r="O647" s="92">
        <v>2</v>
      </c>
      <c r="P647" s="92">
        <f>N647/O647</f>
        <v>2000</v>
      </c>
      <c r="Q647" s="92"/>
      <c r="R647" s="92">
        <v>2000</v>
      </c>
      <c r="S647" s="92">
        <f t="shared" si="163"/>
        <v>0</v>
      </c>
      <c r="T647" s="102">
        <f t="shared" si="164"/>
        <v>4937.1428571428569</v>
      </c>
      <c r="U647" s="101">
        <f t="shared" si="165"/>
        <v>0</v>
      </c>
      <c r="V647" s="101">
        <f t="shared" si="166"/>
        <v>0</v>
      </c>
      <c r="W647" s="101">
        <v>0</v>
      </c>
      <c r="X647" s="55">
        <f t="shared" si="167"/>
        <v>46153</v>
      </c>
    </row>
    <row r="648" spans="1:24" hidden="1" x14ac:dyDescent="0.35">
      <c r="A648" s="46">
        <f t="shared" si="168"/>
        <v>46153</v>
      </c>
      <c r="B648" s="46"/>
      <c r="C648" s="260"/>
      <c r="D648" s="46"/>
      <c r="E648" s="47" t="s">
        <v>4467</v>
      </c>
      <c r="F648" s="48" t="s">
        <v>55</v>
      </c>
      <c r="G648" s="48"/>
      <c r="H648" s="49">
        <v>7672</v>
      </c>
      <c r="I648" s="82" t="s">
        <v>5192</v>
      </c>
      <c r="J648" s="100"/>
      <c r="K648" s="91">
        <v>0</v>
      </c>
      <c r="L648" s="91">
        <v>0</v>
      </c>
      <c r="M648" s="92">
        <v>35</v>
      </c>
      <c r="N648" s="92">
        <v>12000</v>
      </c>
      <c r="O648" s="92">
        <v>2</v>
      </c>
      <c r="P648" s="92">
        <v>2081</v>
      </c>
      <c r="Q648" s="92"/>
      <c r="R648" s="92">
        <f>-2000+4081</f>
        <v>2081</v>
      </c>
      <c r="S648" s="92">
        <f t="shared" si="163"/>
        <v>0</v>
      </c>
      <c r="T648" s="102">
        <f t="shared" si="164"/>
        <v>4937.1428571428569</v>
      </c>
      <c r="U648" s="101">
        <f t="shared" si="165"/>
        <v>0</v>
      </c>
      <c r="V648" s="101">
        <f t="shared" si="166"/>
        <v>0</v>
      </c>
      <c r="W648" s="101">
        <v>0</v>
      </c>
      <c r="X648" s="55">
        <f t="shared" si="167"/>
        <v>46153</v>
      </c>
    </row>
    <row r="649" spans="1:24" hidden="1" x14ac:dyDescent="0.35">
      <c r="A649" s="46">
        <f t="shared" si="168"/>
        <v>46153</v>
      </c>
      <c r="B649" s="46"/>
      <c r="C649" s="260"/>
      <c r="D649" s="46"/>
      <c r="E649" s="47" t="s">
        <v>4467</v>
      </c>
      <c r="F649" s="56" t="s">
        <v>5193</v>
      </c>
      <c r="G649" s="56"/>
      <c r="H649" s="49">
        <v>7786</v>
      </c>
      <c r="I649" s="106" t="s">
        <v>5194</v>
      </c>
      <c r="J649" s="100"/>
      <c r="K649" s="91">
        <v>0</v>
      </c>
      <c r="L649" s="91">
        <v>0</v>
      </c>
      <c r="M649" s="92">
        <v>50</v>
      </c>
      <c r="N649" s="92">
        <v>20000</v>
      </c>
      <c r="O649" s="92">
        <v>2</v>
      </c>
      <c r="P649" s="92">
        <v>10010</v>
      </c>
      <c r="Q649" s="92"/>
      <c r="R649" s="92">
        <v>10010</v>
      </c>
      <c r="S649" s="92">
        <f t="shared" si="163"/>
        <v>0</v>
      </c>
      <c r="T649" s="102">
        <f t="shared" si="164"/>
        <v>3456</v>
      </c>
      <c r="U649" s="101">
        <f t="shared" si="165"/>
        <v>0</v>
      </c>
      <c r="V649" s="101">
        <f t="shared" si="166"/>
        <v>0</v>
      </c>
      <c r="W649" s="101">
        <v>0</v>
      </c>
      <c r="X649" s="55">
        <f t="shared" si="167"/>
        <v>46153</v>
      </c>
    </row>
    <row r="650" spans="1:24" hidden="1" x14ac:dyDescent="0.35">
      <c r="A650" s="46">
        <f t="shared" si="168"/>
        <v>46153</v>
      </c>
      <c r="B650" s="46"/>
      <c r="C650" s="260"/>
      <c r="D650" s="46"/>
      <c r="E650" s="47"/>
      <c r="F650" s="48" t="s">
        <v>5195</v>
      </c>
      <c r="G650" s="48"/>
      <c r="H650" s="49" t="s">
        <v>5196</v>
      </c>
      <c r="I650" s="99" t="s">
        <v>5197</v>
      </c>
      <c r="J650" s="100"/>
      <c r="K650" s="91">
        <v>0</v>
      </c>
      <c r="L650" s="91">
        <v>0</v>
      </c>
      <c r="M650" s="92">
        <v>40</v>
      </c>
      <c r="N650" s="92">
        <v>10000</v>
      </c>
      <c r="O650" s="92">
        <v>2</v>
      </c>
      <c r="P650" s="92">
        <v>5020</v>
      </c>
      <c r="Q650" s="92"/>
      <c r="R650" s="102">
        <v>5020</v>
      </c>
      <c r="S650" s="92">
        <f t="shared" si="163"/>
        <v>0</v>
      </c>
      <c r="T650" s="102">
        <f t="shared" si="164"/>
        <v>4320</v>
      </c>
      <c r="U650" s="101">
        <f t="shared" si="165"/>
        <v>0</v>
      </c>
      <c r="V650" s="101">
        <f t="shared" si="166"/>
        <v>0</v>
      </c>
      <c r="W650" s="101">
        <v>0</v>
      </c>
      <c r="X650" s="55">
        <f t="shared" si="167"/>
        <v>46153</v>
      </c>
    </row>
    <row r="651" spans="1:24" ht="29" hidden="1" x14ac:dyDescent="0.35">
      <c r="A651" s="46">
        <f t="shared" si="168"/>
        <v>46153</v>
      </c>
      <c r="B651" s="46"/>
      <c r="C651" s="260"/>
      <c r="D651" s="46"/>
      <c r="E651" s="47" t="s">
        <v>4411</v>
      </c>
      <c r="F651" s="57" t="s">
        <v>55</v>
      </c>
      <c r="G651" s="57"/>
      <c r="H651" s="49" t="s">
        <v>5198</v>
      </c>
      <c r="I651" s="82" t="s">
        <v>5199</v>
      </c>
      <c r="J651" s="100"/>
      <c r="K651" s="91">
        <v>0</v>
      </c>
      <c r="L651" s="91">
        <v>0</v>
      </c>
      <c r="M651" s="92">
        <v>40</v>
      </c>
      <c r="N651" s="92">
        <v>4000</v>
      </c>
      <c r="O651" s="92">
        <v>1</v>
      </c>
      <c r="P651" s="92">
        <v>4540</v>
      </c>
      <c r="Q651" s="92"/>
      <c r="R651" s="92">
        <v>4540</v>
      </c>
      <c r="S651" s="92">
        <f t="shared" si="163"/>
        <v>0</v>
      </c>
      <c r="T651" s="102">
        <f t="shared" si="164"/>
        <v>2160</v>
      </c>
      <c r="U651" s="101">
        <f t="shared" si="165"/>
        <v>0</v>
      </c>
      <c r="V651" s="101">
        <f t="shared" si="166"/>
        <v>0</v>
      </c>
      <c r="W651" s="101">
        <v>0</v>
      </c>
      <c r="X651" s="55">
        <f t="shared" si="167"/>
        <v>46153</v>
      </c>
    </row>
    <row r="652" spans="1:24" ht="29" hidden="1" x14ac:dyDescent="0.35">
      <c r="A652" s="46">
        <f t="shared" si="168"/>
        <v>46153</v>
      </c>
      <c r="B652" s="46"/>
      <c r="C652" s="260"/>
      <c r="D652" s="46"/>
      <c r="E652" s="47" t="s">
        <v>4411</v>
      </c>
      <c r="F652" s="57" t="s">
        <v>55</v>
      </c>
      <c r="G652" s="57"/>
      <c r="H652" s="49" t="s">
        <v>5200</v>
      </c>
      <c r="I652" s="82" t="s">
        <v>5201</v>
      </c>
      <c r="J652" s="100"/>
      <c r="K652" s="91">
        <v>0</v>
      </c>
      <c r="L652" s="91">
        <v>0</v>
      </c>
      <c r="M652" s="92">
        <v>40</v>
      </c>
      <c r="N652" s="92">
        <v>4000</v>
      </c>
      <c r="O652" s="92">
        <v>1</v>
      </c>
      <c r="P652" s="92">
        <f>N652/O652</f>
        <v>4000</v>
      </c>
      <c r="Q652" s="92"/>
      <c r="R652" s="92">
        <v>4000</v>
      </c>
      <c r="S652" s="92">
        <f t="shared" si="163"/>
        <v>0</v>
      </c>
      <c r="T652" s="102">
        <f t="shared" si="164"/>
        <v>2160</v>
      </c>
      <c r="U652" s="101">
        <f t="shared" si="165"/>
        <v>0</v>
      </c>
      <c r="V652" s="101">
        <f t="shared" si="166"/>
        <v>0</v>
      </c>
      <c r="W652" s="101">
        <v>0</v>
      </c>
      <c r="X652" s="55">
        <f t="shared" si="167"/>
        <v>46153</v>
      </c>
    </row>
    <row r="653" spans="1:24" ht="29" hidden="1" x14ac:dyDescent="0.35">
      <c r="A653" s="46">
        <f t="shared" si="168"/>
        <v>46153</v>
      </c>
      <c r="B653" s="46"/>
      <c r="C653" s="260"/>
      <c r="D653" s="46"/>
      <c r="E653" s="47" t="s">
        <v>3431</v>
      </c>
      <c r="F653" s="57" t="s">
        <v>3432</v>
      </c>
      <c r="G653" s="57"/>
      <c r="H653" s="49" t="s">
        <v>3433</v>
      </c>
      <c r="I653" s="82" t="s">
        <v>3434</v>
      </c>
      <c r="J653" s="100"/>
      <c r="K653" s="91">
        <v>0</v>
      </c>
      <c r="L653" s="91">
        <v>0</v>
      </c>
      <c r="M653" s="92">
        <v>50</v>
      </c>
      <c r="N653" s="92">
        <v>20000</v>
      </c>
      <c r="O653" s="92">
        <v>1</v>
      </c>
      <c r="P653" s="92">
        <f>N653/O653</f>
        <v>20000</v>
      </c>
      <c r="Q653" s="92"/>
      <c r="R653" s="92">
        <v>20000</v>
      </c>
      <c r="S653" s="92">
        <f t="shared" si="163"/>
        <v>0</v>
      </c>
      <c r="T653" s="102">
        <f t="shared" si="164"/>
        <v>1728</v>
      </c>
      <c r="U653" s="101">
        <f t="shared" si="165"/>
        <v>0</v>
      </c>
      <c r="V653" s="101">
        <f t="shared" si="166"/>
        <v>0</v>
      </c>
      <c r="W653" s="101">
        <v>0</v>
      </c>
      <c r="X653" s="55">
        <f t="shared" si="167"/>
        <v>46153</v>
      </c>
    </row>
    <row r="654" spans="1:24" hidden="1" x14ac:dyDescent="0.35">
      <c r="A654" s="46">
        <f t="shared" si="168"/>
        <v>46153</v>
      </c>
      <c r="B654" s="46"/>
      <c r="C654" s="260"/>
      <c r="D654" s="46"/>
      <c r="E654" s="47" t="s">
        <v>3431</v>
      </c>
      <c r="F654" s="57" t="s">
        <v>96</v>
      </c>
      <c r="G654" s="57"/>
      <c r="H654" s="49" t="s">
        <v>5202</v>
      </c>
      <c r="I654" s="82" t="s">
        <v>3434</v>
      </c>
      <c r="J654" s="100"/>
      <c r="K654" s="91">
        <v>0</v>
      </c>
      <c r="L654" s="91">
        <v>0</v>
      </c>
      <c r="M654" s="92">
        <v>50</v>
      </c>
      <c r="N654" s="92">
        <v>10000</v>
      </c>
      <c r="O654" s="92">
        <v>1</v>
      </c>
      <c r="P654" s="92">
        <f>N654/O654</f>
        <v>10000</v>
      </c>
      <c r="Q654" s="92"/>
      <c r="R654" s="92">
        <v>10000</v>
      </c>
      <c r="S654" s="92">
        <f t="shared" si="163"/>
        <v>0</v>
      </c>
      <c r="T654" s="102">
        <f t="shared" si="164"/>
        <v>1728</v>
      </c>
      <c r="U654" s="101">
        <f t="shared" si="165"/>
        <v>0</v>
      </c>
      <c r="V654" s="101">
        <f t="shared" si="166"/>
        <v>0</v>
      </c>
      <c r="W654" s="101">
        <v>0</v>
      </c>
      <c r="X654" s="55">
        <f t="shared" si="167"/>
        <v>46153</v>
      </c>
    </row>
    <row r="655" spans="1:24" hidden="1" x14ac:dyDescent="0.35">
      <c r="A655" s="46">
        <f t="shared" si="168"/>
        <v>46153</v>
      </c>
      <c r="B655" s="46"/>
      <c r="C655" s="260"/>
      <c r="D655" s="46"/>
      <c r="E655" s="47" t="s">
        <v>4467</v>
      </c>
      <c r="F655" s="57" t="s">
        <v>101</v>
      </c>
      <c r="G655" s="57"/>
      <c r="H655" s="49" t="s">
        <v>5203</v>
      </c>
      <c r="I655" s="82" t="s">
        <v>3434</v>
      </c>
      <c r="J655" s="100"/>
      <c r="K655" s="91">
        <v>0</v>
      </c>
      <c r="L655" s="91">
        <v>0</v>
      </c>
      <c r="M655" s="92">
        <v>45</v>
      </c>
      <c r="N655" s="92">
        <v>22000</v>
      </c>
      <c r="O655" s="92">
        <v>1</v>
      </c>
      <c r="P655" s="92">
        <f>N655/O655</f>
        <v>22000</v>
      </c>
      <c r="Q655" s="92"/>
      <c r="R655" s="92">
        <v>22000</v>
      </c>
      <c r="S655" s="92">
        <f t="shared" si="163"/>
        <v>0</v>
      </c>
      <c r="T655" s="102">
        <f t="shared" si="164"/>
        <v>1920</v>
      </c>
      <c r="U655" s="101">
        <f t="shared" si="165"/>
        <v>0</v>
      </c>
      <c r="V655" s="101">
        <f t="shared" si="166"/>
        <v>0</v>
      </c>
      <c r="W655" s="101">
        <v>0</v>
      </c>
      <c r="X655" s="55">
        <f t="shared" si="167"/>
        <v>46153</v>
      </c>
    </row>
    <row r="656" spans="1:24" hidden="1" x14ac:dyDescent="0.35">
      <c r="A656" s="46">
        <f t="shared" si="168"/>
        <v>46153</v>
      </c>
      <c r="B656" s="46"/>
      <c r="C656" s="260"/>
      <c r="D656" s="46"/>
      <c r="E656" s="47" t="s">
        <v>4467</v>
      </c>
      <c r="F656" s="57" t="s">
        <v>104</v>
      </c>
      <c r="G656" s="57"/>
      <c r="H656" s="49" t="s">
        <v>5204</v>
      </c>
      <c r="I656" s="82" t="s">
        <v>3434</v>
      </c>
      <c r="J656" s="100"/>
      <c r="K656" s="91">
        <v>0</v>
      </c>
      <c r="L656" s="91">
        <v>0</v>
      </c>
      <c r="M656" s="92">
        <v>45</v>
      </c>
      <c r="N656" s="92">
        <v>14000</v>
      </c>
      <c r="O656" s="92">
        <v>1</v>
      </c>
      <c r="P656" s="92">
        <f>N656/O656</f>
        <v>14000</v>
      </c>
      <c r="Q656" s="92"/>
      <c r="R656" s="92">
        <v>14000</v>
      </c>
      <c r="S656" s="92">
        <f t="shared" si="163"/>
        <v>0</v>
      </c>
      <c r="T656" s="102">
        <f t="shared" si="164"/>
        <v>1920</v>
      </c>
      <c r="U656" s="101">
        <f t="shared" si="165"/>
        <v>0</v>
      </c>
      <c r="V656" s="101">
        <f t="shared" si="166"/>
        <v>0</v>
      </c>
      <c r="W656" s="101">
        <v>0</v>
      </c>
      <c r="X656" s="55">
        <f t="shared" si="167"/>
        <v>46153</v>
      </c>
    </row>
    <row r="657" spans="1:24" hidden="1" x14ac:dyDescent="0.35">
      <c r="A657" s="46">
        <f t="shared" si="168"/>
        <v>46153</v>
      </c>
      <c r="B657" s="46"/>
      <c r="C657" s="260"/>
      <c r="D657" s="46"/>
      <c r="E657" s="47" t="s">
        <v>5205</v>
      </c>
      <c r="F657" s="57" t="s">
        <v>414</v>
      </c>
      <c r="G657" s="57"/>
      <c r="H657" s="49" t="s">
        <v>5206</v>
      </c>
      <c r="I657" s="82" t="s">
        <v>5189</v>
      </c>
      <c r="J657" s="100"/>
      <c r="K657" s="91">
        <v>0</v>
      </c>
      <c r="L657" s="91">
        <v>0</v>
      </c>
      <c r="M657" s="92">
        <v>35</v>
      </c>
      <c r="N657" s="92">
        <v>40000</v>
      </c>
      <c r="O657" s="92">
        <v>16</v>
      </c>
      <c r="P657" s="92">
        <v>4168</v>
      </c>
      <c r="Q657" s="92"/>
      <c r="R657" s="92">
        <v>4168</v>
      </c>
      <c r="S657" s="92">
        <v>0</v>
      </c>
      <c r="T657" s="102">
        <f t="shared" si="164"/>
        <v>39497.142857142855</v>
      </c>
      <c r="U657" s="101">
        <f t="shared" si="165"/>
        <v>0</v>
      </c>
      <c r="V657" s="101">
        <f t="shared" si="166"/>
        <v>0</v>
      </c>
      <c r="W657" s="101">
        <v>0</v>
      </c>
      <c r="X657" s="55">
        <f t="shared" si="167"/>
        <v>46153</v>
      </c>
    </row>
    <row r="658" spans="1:24" hidden="1" x14ac:dyDescent="0.35">
      <c r="A658" s="46">
        <f t="shared" si="168"/>
        <v>46153</v>
      </c>
      <c r="B658" s="46"/>
      <c r="C658" s="260"/>
      <c r="D658" s="46"/>
      <c r="E658" s="47" t="s">
        <v>5205</v>
      </c>
      <c r="F658" s="57" t="s">
        <v>5207</v>
      </c>
      <c r="G658" s="57"/>
      <c r="H658" s="49" t="s">
        <v>5208</v>
      </c>
      <c r="I658" s="82" t="s">
        <v>5209</v>
      </c>
      <c r="J658" s="100"/>
      <c r="K658" s="91">
        <v>0</v>
      </c>
      <c r="L658" s="91">
        <v>0</v>
      </c>
      <c r="M658" s="92">
        <v>30</v>
      </c>
      <c r="N658" s="92">
        <v>2000</v>
      </c>
      <c r="O658" s="92">
        <v>1</v>
      </c>
      <c r="P658" s="92">
        <f t="shared" ref="P658:P711" si="169">N658/O658</f>
        <v>2000</v>
      </c>
      <c r="Q658" s="92"/>
      <c r="R658" s="92">
        <v>1962</v>
      </c>
      <c r="S658" s="92">
        <f t="shared" ref="S658:S721" si="170">P658-R658</f>
        <v>38</v>
      </c>
      <c r="T658" s="102">
        <f t="shared" si="164"/>
        <v>2880</v>
      </c>
      <c r="U658" s="101">
        <f t="shared" si="165"/>
        <v>0.31666666666666665</v>
      </c>
      <c r="V658" s="101">
        <f t="shared" si="166"/>
        <v>1.3194444444444444E-2</v>
      </c>
      <c r="W658" s="101">
        <v>0</v>
      </c>
      <c r="X658" s="55">
        <f t="shared" si="167"/>
        <v>46153.013194444444</v>
      </c>
    </row>
    <row r="659" spans="1:24" hidden="1" x14ac:dyDescent="0.35">
      <c r="A659" s="46">
        <f t="shared" si="168"/>
        <v>46153.013194444444</v>
      </c>
      <c r="B659" s="46"/>
      <c r="C659" s="260"/>
      <c r="D659" s="46"/>
      <c r="E659" s="47" t="s">
        <v>5205</v>
      </c>
      <c r="F659" s="62" t="s">
        <v>5210</v>
      </c>
      <c r="G659" s="62"/>
      <c r="H659" s="49" t="s">
        <v>5211</v>
      </c>
      <c r="I659" s="82" t="s">
        <v>5209</v>
      </c>
      <c r="J659" s="100"/>
      <c r="K659" s="91">
        <v>0</v>
      </c>
      <c r="L659" s="91">
        <v>0</v>
      </c>
      <c r="M659" s="92">
        <v>30</v>
      </c>
      <c r="N659" s="92">
        <v>4000</v>
      </c>
      <c r="O659" s="92">
        <v>1</v>
      </c>
      <c r="P659" s="92">
        <f t="shared" si="169"/>
        <v>4000</v>
      </c>
      <c r="Q659" s="92"/>
      <c r="R659" s="92">
        <v>4000</v>
      </c>
      <c r="S659" s="92">
        <f t="shared" si="170"/>
        <v>0</v>
      </c>
      <c r="T659" s="102">
        <f t="shared" si="164"/>
        <v>2880</v>
      </c>
      <c r="U659" s="101">
        <f t="shared" si="165"/>
        <v>0</v>
      </c>
      <c r="V659" s="101">
        <f t="shared" si="166"/>
        <v>0</v>
      </c>
      <c r="W659" s="101">
        <v>0</v>
      </c>
      <c r="X659" s="55">
        <f t="shared" si="167"/>
        <v>46153.013194444444</v>
      </c>
    </row>
    <row r="660" spans="1:24" hidden="1" x14ac:dyDescent="0.35">
      <c r="A660" s="46">
        <f t="shared" si="168"/>
        <v>46153.013194444444</v>
      </c>
      <c r="B660" s="46"/>
      <c r="C660" s="260"/>
      <c r="D660" s="46"/>
      <c r="E660" s="47" t="s">
        <v>4467</v>
      </c>
      <c r="F660" s="48" t="s">
        <v>5212</v>
      </c>
      <c r="G660" s="48"/>
      <c r="H660" s="49" t="s">
        <v>5213</v>
      </c>
      <c r="I660" s="316" t="s">
        <v>5214</v>
      </c>
      <c r="J660" s="100"/>
      <c r="K660" s="91">
        <v>0</v>
      </c>
      <c r="L660" s="91">
        <v>0</v>
      </c>
      <c r="M660" s="92">
        <v>40</v>
      </c>
      <c r="N660" s="92">
        <v>4000</v>
      </c>
      <c r="O660" s="92">
        <v>2</v>
      </c>
      <c r="P660" s="92">
        <f t="shared" si="169"/>
        <v>2000</v>
      </c>
      <c r="Q660" s="92"/>
      <c r="R660" s="102">
        <v>2000</v>
      </c>
      <c r="S660" s="92">
        <f t="shared" si="170"/>
        <v>0</v>
      </c>
      <c r="T660" s="102">
        <f t="shared" si="164"/>
        <v>4320</v>
      </c>
      <c r="U660" s="101">
        <f t="shared" si="165"/>
        <v>0</v>
      </c>
      <c r="V660" s="101">
        <f t="shared" si="166"/>
        <v>0</v>
      </c>
      <c r="W660" s="101">
        <v>0</v>
      </c>
      <c r="X660" s="55">
        <f t="shared" si="167"/>
        <v>46153.013194444444</v>
      </c>
    </row>
    <row r="661" spans="1:24" hidden="1" x14ac:dyDescent="0.35">
      <c r="A661" s="46">
        <f t="shared" si="168"/>
        <v>46153.013194444444</v>
      </c>
      <c r="B661" s="46"/>
      <c r="C661" s="260"/>
      <c r="D661" s="46"/>
      <c r="E661" s="47" t="s">
        <v>4467</v>
      </c>
      <c r="F661" s="48" t="s">
        <v>5215</v>
      </c>
      <c r="G661" s="48"/>
      <c r="H661" s="49" t="s">
        <v>5216</v>
      </c>
      <c r="I661" s="316" t="s">
        <v>5217</v>
      </c>
      <c r="J661" s="100"/>
      <c r="K661" s="91">
        <v>0</v>
      </c>
      <c r="L661" s="91">
        <v>0</v>
      </c>
      <c r="M661" s="92">
        <v>40</v>
      </c>
      <c r="N661" s="92">
        <v>10000</v>
      </c>
      <c r="O661" s="92">
        <v>2</v>
      </c>
      <c r="P661" s="92">
        <f t="shared" si="169"/>
        <v>5000</v>
      </c>
      <c r="Q661" s="92"/>
      <c r="R661" s="102">
        <v>5000</v>
      </c>
      <c r="S661" s="92">
        <f t="shared" si="170"/>
        <v>0</v>
      </c>
      <c r="T661" s="102">
        <f t="shared" si="164"/>
        <v>4320</v>
      </c>
      <c r="U661" s="101">
        <f t="shared" si="165"/>
        <v>0</v>
      </c>
      <c r="V661" s="101">
        <f t="shared" si="166"/>
        <v>0</v>
      </c>
      <c r="W661" s="101">
        <v>0</v>
      </c>
      <c r="X661" s="55">
        <f t="shared" si="167"/>
        <v>46153.013194444444</v>
      </c>
    </row>
    <row r="662" spans="1:24" hidden="1" x14ac:dyDescent="0.35">
      <c r="A662" s="46">
        <f t="shared" si="168"/>
        <v>46153.013194444444</v>
      </c>
      <c r="B662" s="46"/>
      <c r="C662" s="260"/>
      <c r="D662" s="46"/>
      <c r="E662" s="47" t="s">
        <v>4467</v>
      </c>
      <c r="F662" s="48" t="s">
        <v>5215</v>
      </c>
      <c r="G662" s="48"/>
      <c r="H662" s="49" t="s">
        <v>5218</v>
      </c>
      <c r="I662" s="316" t="s">
        <v>5214</v>
      </c>
      <c r="J662" s="100"/>
      <c r="K662" s="91">
        <v>0</v>
      </c>
      <c r="L662" s="91">
        <v>0</v>
      </c>
      <c r="M662" s="92">
        <v>40</v>
      </c>
      <c r="N662" s="92">
        <v>10000</v>
      </c>
      <c r="O662" s="92">
        <v>2</v>
      </c>
      <c r="P662" s="92">
        <f t="shared" si="169"/>
        <v>5000</v>
      </c>
      <c r="Q662" s="92"/>
      <c r="R662" s="102">
        <v>5000</v>
      </c>
      <c r="S662" s="92">
        <f t="shared" si="170"/>
        <v>0</v>
      </c>
      <c r="T662" s="102">
        <f t="shared" si="164"/>
        <v>4320</v>
      </c>
      <c r="U662" s="101">
        <f t="shared" si="165"/>
        <v>0</v>
      </c>
      <c r="V662" s="101">
        <f t="shared" si="166"/>
        <v>0</v>
      </c>
      <c r="W662" s="101">
        <v>0</v>
      </c>
      <c r="X662" s="55">
        <f t="shared" si="167"/>
        <v>46153.013194444444</v>
      </c>
    </row>
    <row r="663" spans="1:24" hidden="1" x14ac:dyDescent="0.35">
      <c r="A663" s="46">
        <f t="shared" si="168"/>
        <v>46153.013194444444</v>
      </c>
      <c r="B663" s="46"/>
      <c r="C663" s="260"/>
      <c r="D663" s="46"/>
      <c r="E663" s="47" t="str">
        <f>A641</f>
        <v>H86</v>
      </c>
      <c r="F663" s="48" t="s">
        <v>14</v>
      </c>
      <c r="G663" s="48"/>
      <c r="H663" s="49" t="s">
        <v>14</v>
      </c>
      <c r="I663" s="82" t="s">
        <v>5219</v>
      </c>
      <c r="J663" s="100" t="s">
        <v>140</v>
      </c>
      <c r="K663" s="91">
        <v>0</v>
      </c>
      <c r="L663" s="91">
        <v>0</v>
      </c>
      <c r="M663" s="92">
        <v>30</v>
      </c>
      <c r="N663" s="92">
        <v>50</v>
      </c>
      <c r="O663" s="92">
        <v>8</v>
      </c>
      <c r="P663" s="92">
        <f t="shared" si="169"/>
        <v>6.25</v>
      </c>
      <c r="Q663" s="92"/>
      <c r="R663" s="102">
        <v>6</v>
      </c>
      <c r="S663" s="92">
        <f t="shared" si="170"/>
        <v>0.25</v>
      </c>
      <c r="T663" s="102">
        <f t="shared" si="164"/>
        <v>23040</v>
      </c>
      <c r="U663" s="101">
        <f t="shared" si="165"/>
        <v>2.0833333333333333E-3</v>
      </c>
      <c r="V663" s="101">
        <f t="shared" si="166"/>
        <v>8.6805555555555559E-5</v>
      </c>
      <c r="W663" s="101">
        <v>0</v>
      </c>
      <c r="X663" s="55">
        <f t="shared" si="167"/>
        <v>46153.013281250001</v>
      </c>
    </row>
    <row r="664" spans="1:24" ht="26.5" hidden="1" x14ac:dyDescent="0.35">
      <c r="A664" s="46">
        <f t="shared" si="168"/>
        <v>46153.013281250001</v>
      </c>
      <c r="B664" s="46"/>
      <c r="C664" s="260"/>
      <c r="D664" s="46"/>
      <c r="E664" s="47" t="str">
        <f>A641</f>
        <v>H86</v>
      </c>
      <c r="F664" s="48" t="s">
        <v>5220</v>
      </c>
      <c r="G664" s="48"/>
      <c r="H664" s="49" t="s">
        <v>5221</v>
      </c>
      <c r="I664" s="82" t="s">
        <v>5222</v>
      </c>
      <c r="J664" s="100" t="s">
        <v>140</v>
      </c>
      <c r="K664" s="91">
        <v>0</v>
      </c>
      <c r="L664" s="91">
        <v>0</v>
      </c>
      <c r="M664" s="92">
        <v>35</v>
      </c>
      <c r="N664" s="92">
        <v>4000</v>
      </c>
      <c r="O664" s="92">
        <v>4</v>
      </c>
      <c r="P664" s="92">
        <f t="shared" si="169"/>
        <v>1000</v>
      </c>
      <c r="Q664" s="92"/>
      <c r="R664" s="102">
        <v>1000</v>
      </c>
      <c r="S664" s="92">
        <f t="shared" si="170"/>
        <v>0</v>
      </c>
      <c r="T664" s="102">
        <f t="shared" si="164"/>
        <v>9874.2857142857138</v>
      </c>
      <c r="U664" s="101">
        <f t="shared" si="165"/>
        <v>0</v>
      </c>
      <c r="V664" s="101">
        <f t="shared" si="166"/>
        <v>0</v>
      </c>
      <c r="W664" s="101">
        <v>0</v>
      </c>
      <c r="X664" s="55">
        <f t="shared" si="167"/>
        <v>46153.013281250001</v>
      </c>
    </row>
    <row r="665" spans="1:24" hidden="1" x14ac:dyDescent="0.35">
      <c r="A665" s="46">
        <f t="shared" si="168"/>
        <v>46153.013281250001</v>
      </c>
      <c r="B665" s="46"/>
      <c r="C665" s="260"/>
      <c r="D665" s="46"/>
      <c r="E665" s="47" t="s">
        <v>4801</v>
      </c>
      <c r="F665" s="48" t="s">
        <v>5223</v>
      </c>
      <c r="G665" s="48"/>
      <c r="H665" s="59" t="s">
        <v>5224</v>
      </c>
      <c r="I665" s="97" t="s">
        <v>3506</v>
      </c>
      <c r="J665" s="100" t="s">
        <v>140</v>
      </c>
      <c r="K665" s="91">
        <v>0</v>
      </c>
      <c r="L665" s="91">
        <v>0</v>
      </c>
      <c r="M665" s="92">
        <v>45</v>
      </c>
      <c r="N665" s="92">
        <v>27622</v>
      </c>
      <c r="O665" s="92">
        <v>2</v>
      </c>
      <c r="P665" s="92">
        <f t="shared" si="169"/>
        <v>13811</v>
      </c>
      <c r="Q665" s="92"/>
      <c r="R665" s="92">
        <v>13811</v>
      </c>
      <c r="S665" s="92">
        <f t="shared" si="170"/>
        <v>0</v>
      </c>
      <c r="T665" s="102">
        <f t="shared" si="164"/>
        <v>3840</v>
      </c>
      <c r="U665" s="101">
        <f t="shared" si="165"/>
        <v>0</v>
      </c>
      <c r="V665" s="101">
        <f t="shared" si="166"/>
        <v>0</v>
      </c>
      <c r="W665" s="101">
        <v>0</v>
      </c>
      <c r="X665" s="55">
        <f t="shared" si="167"/>
        <v>46153.013281250001</v>
      </c>
    </row>
    <row r="666" spans="1:24" ht="29" hidden="1" x14ac:dyDescent="0.35">
      <c r="A666" s="46">
        <f t="shared" si="168"/>
        <v>46153.013281250001</v>
      </c>
      <c r="B666" s="46"/>
      <c r="C666" s="260"/>
      <c r="D666" s="46"/>
      <c r="E666" s="47" t="s">
        <v>4801</v>
      </c>
      <c r="F666" s="48" t="s">
        <v>5225</v>
      </c>
      <c r="G666" s="48"/>
      <c r="H666" s="59" t="s">
        <v>5226</v>
      </c>
      <c r="I666" s="97" t="s">
        <v>5227</v>
      </c>
      <c r="J666" s="100" t="s">
        <v>140</v>
      </c>
      <c r="K666" s="91">
        <v>0</v>
      </c>
      <c r="L666" s="91">
        <v>0</v>
      </c>
      <c r="M666" s="92">
        <v>45</v>
      </c>
      <c r="N666" s="92">
        <v>15000</v>
      </c>
      <c r="O666" s="92">
        <v>1</v>
      </c>
      <c r="P666" s="92">
        <f t="shared" si="169"/>
        <v>15000</v>
      </c>
      <c r="Q666" s="92"/>
      <c r="R666" s="92">
        <v>15000</v>
      </c>
      <c r="S666" s="92">
        <f t="shared" si="170"/>
        <v>0</v>
      </c>
      <c r="T666" s="102">
        <f t="shared" si="164"/>
        <v>1920</v>
      </c>
      <c r="U666" s="101">
        <f t="shared" si="165"/>
        <v>0</v>
      </c>
      <c r="V666" s="101">
        <f t="shared" si="166"/>
        <v>0</v>
      </c>
      <c r="W666" s="101">
        <v>0</v>
      </c>
      <c r="X666" s="55">
        <f t="shared" si="167"/>
        <v>46153.013281250001</v>
      </c>
    </row>
    <row r="667" spans="1:24" ht="29" hidden="1" x14ac:dyDescent="0.35">
      <c r="A667" s="46">
        <f t="shared" si="168"/>
        <v>46153.013281250001</v>
      </c>
      <c r="B667" s="46"/>
      <c r="C667" s="260"/>
      <c r="D667" s="46"/>
      <c r="E667" s="47" t="s">
        <v>4801</v>
      </c>
      <c r="F667" s="48" t="s">
        <v>5225</v>
      </c>
      <c r="G667" s="48"/>
      <c r="H667" s="59" t="s">
        <v>5228</v>
      </c>
      <c r="I667" s="97" t="s">
        <v>3506</v>
      </c>
      <c r="J667" s="100" t="s">
        <v>140</v>
      </c>
      <c r="K667" s="91">
        <v>0</v>
      </c>
      <c r="L667" s="91">
        <v>0</v>
      </c>
      <c r="M667" s="92">
        <v>45</v>
      </c>
      <c r="N667" s="92">
        <v>30000</v>
      </c>
      <c r="O667" s="92">
        <v>2</v>
      </c>
      <c r="P667" s="92">
        <f t="shared" si="169"/>
        <v>15000</v>
      </c>
      <c r="Q667" s="92"/>
      <c r="R667" s="92">
        <v>15000</v>
      </c>
      <c r="S667" s="92">
        <f t="shared" si="170"/>
        <v>0</v>
      </c>
      <c r="T667" s="102">
        <f t="shared" si="164"/>
        <v>3840</v>
      </c>
      <c r="U667" s="101">
        <f t="shared" si="165"/>
        <v>0</v>
      </c>
      <c r="V667" s="101">
        <f t="shared" si="166"/>
        <v>0</v>
      </c>
      <c r="W667" s="101">
        <v>0</v>
      </c>
      <c r="X667" s="55">
        <f t="shared" si="167"/>
        <v>46153.013281250001</v>
      </c>
    </row>
    <row r="668" spans="1:24" ht="29" hidden="1" x14ac:dyDescent="0.35">
      <c r="A668" s="46">
        <f t="shared" si="168"/>
        <v>46153.013281250001</v>
      </c>
      <c r="B668" s="46"/>
      <c r="C668" s="260"/>
      <c r="D668" s="46"/>
      <c r="E668" s="47" t="s">
        <v>4801</v>
      </c>
      <c r="F668" s="48" t="s">
        <v>5225</v>
      </c>
      <c r="G668" s="48"/>
      <c r="H668" s="59" t="s">
        <v>5229</v>
      </c>
      <c r="I668" s="97" t="s">
        <v>5230</v>
      </c>
      <c r="J668" s="100" t="s">
        <v>140</v>
      </c>
      <c r="K668" s="91">
        <v>0</v>
      </c>
      <c r="L668" s="91">
        <v>0</v>
      </c>
      <c r="M668" s="92">
        <v>45</v>
      </c>
      <c r="N668" s="92">
        <v>20000</v>
      </c>
      <c r="O668" s="92">
        <v>2</v>
      </c>
      <c r="P668" s="92">
        <f t="shared" si="169"/>
        <v>10000</v>
      </c>
      <c r="Q668" s="92"/>
      <c r="R668" s="92">
        <v>10000</v>
      </c>
      <c r="S668" s="92">
        <f t="shared" si="170"/>
        <v>0</v>
      </c>
      <c r="T668" s="102">
        <f t="shared" si="164"/>
        <v>3840</v>
      </c>
      <c r="U668" s="101">
        <f t="shared" si="165"/>
        <v>0</v>
      </c>
      <c r="V668" s="101">
        <f t="shared" si="166"/>
        <v>0</v>
      </c>
      <c r="W668" s="101">
        <v>0</v>
      </c>
      <c r="X668" s="55">
        <f t="shared" si="167"/>
        <v>46153.013281250001</v>
      </c>
    </row>
    <row r="669" spans="1:24" ht="29" hidden="1" x14ac:dyDescent="0.35">
      <c r="A669" s="46">
        <f t="shared" si="168"/>
        <v>46153.013281250001</v>
      </c>
      <c r="B669" s="46"/>
      <c r="C669" s="260"/>
      <c r="D669" s="46"/>
      <c r="E669" s="47" t="s">
        <v>4801</v>
      </c>
      <c r="F669" s="48" t="s">
        <v>5225</v>
      </c>
      <c r="G669" s="48"/>
      <c r="H669" s="59" t="s">
        <v>5231</v>
      </c>
      <c r="I669" s="219" t="s">
        <v>5230</v>
      </c>
      <c r="J669" s="100" t="s">
        <v>140</v>
      </c>
      <c r="K669" s="91">
        <v>0</v>
      </c>
      <c r="L669" s="91">
        <v>0</v>
      </c>
      <c r="M669" s="92">
        <v>45</v>
      </c>
      <c r="N669" s="92">
        <v>12000</v>
      </c>
      <c r="O669" s="92">
        <v>2</v>
      </c>
      <c r="P669" s="92">
        <f t="shared" si="169"/>
        <v>6000</v>
      </c>
      <c r="Q669" s="92"/>
      <c r="R669" s="92">
        <v>6000</v>
      </c>
      <c r="S669" s="92">
        <f t="shared" si="170"/>
        <v>0</v>
      </c>
      <c r="T669" s="102">
        <f t="shared" si="164"/>
        <v>3840</v>
      </c>
      <c r="U669" s="101">
        <f t="shared" si="165"/>
        <v>0</v>
      </c>
      <c r="V669" s="101">
        <f t="shared" si="166"/>
        <v>0</v>
      </c>
      <c r="W669" s="101">
        <v>0</v>
      </c>
      <c r="X669" s="55">
        <f t="shared" si="167"/>
        <v>46153.013281250001</v>
      </c>
    </row>
    <row r="670" spans="1:24" ht="29" hidden="1" x14ac:dyDescent="0.35">
      <c r="A670" s="46">
        <f t="shared" si="168"/>
        <v>46153.013281250001</v>
      </c>
      <c r="B670" s="46"/>
      <c r="C670" s="260"/>
      <c r="D670" s="46"/>
      <c r="E670" s="47" t="s">
        <v>4801</v>
      </c>
      <c r="F670" s="48" t="s">
        <v>5225</v>
      </c>
      <c r="G670" s="48"/>
      <c r="H670" s="59" t="s">
        <v>5232</v>
      </c>
      <c r="I670" s="219" t="s">
        <v>5233</v>
      </c>
      <c r="J670" s="100" t="s">
        <v>140</v>
      </c>
      <c r="K670" s="91">
        <v>0</v>
      </c>
      <c r="L670" s="91">
        <v>0</v>
      </c>
      <c r="M670" s="92">
        <v>45</v>
      </c>
      <c r="N670" s="92">
        <v>6000</v>
      </c>
      <c r="O670" s="92">
        <v>1</v>
      </c>
      <c r="P670" s="92">
        <f t="shared" si="169"/>
        <v>6000</v>
      </c>
      <c r="Q670" s="92"/>
      <c r="R670" s="92">
        <v>6000</v>
      </c>
      <c r="S670" s="92">
        <f t="shared" si="170"/>
        <v>0</v>
      </c>
      <c r="T670" s="102">
        <f t="shared" si="164"/>
        <v>1920</v>
      </c>
      <c r="U670" s="101">
        <f t="shared" si="165"/>
        <v>0</v>
      </c>
      <c r="V670" s="101">
        <f t="shared" si="166"/>
        <v>0</v>
      </c>
      <c r="W670" s="101">
        <v>0</v>
      </c>
      <c r="X670" s="55">
        <f t="shared" si="167"/>
        <v>46153.013281250001</v>
      </c>
    </row>
    <row r="671" spans="1:24" hidden="1" x14ac:dyDescent="0.35">
      <c r="A671" s="46">
        <f t="shared" si="168"/>
        <v>46153.013281250001</v>
      </c>
      <c r="B671" s="46"/>
      <c r="C671" s="260"/>
      <c r="D671" s="46"/>
      <c r="E671" s="47" t="s">
        <v>4801</v>
      </c>
      <c r="F671" s="48" t="s">
        <v>14</v>
      </c>
      <c r="G671" s="48"/>
      <c r="H671" s="59" t="s">
        <v>14</v>
      </c>
      <c r="I671" s="219" t="s">
        <v>5234</v>
      </c>
      <c r="J671" s="100" t="s">
        <v>140</v>
      </c>
      <c r="K671" s="91">
        <v>0</v>
      </c>
      <c r="L671" s="91">
        <v>0</v>
      </c>
      <c r="M671" s="92">
        <v>45</v>
      </c>
      <c r="N671" s="92">
        <v>20</v>
      </c>
      <c r="O671" s="92">
        <v>1</v>
      </c>
      <c r="P671" s="92">
        <f t="shared" si="169"/>
        <v>20</v>
      </c>
      <c r="Q671" s="92"/>
      <c r="R671" s="92">
        <v>20</v>
      </c>
      <c r="S671" s="92">
        <f t="shared" si="170"/>
        <v>0</v>
      </c>
      <c r="T671" s="102">
        <f t="shared" si="164"/>
        <v>1920</v>
      </c>
      <c r="U671" s="101">
        <f t="shared" si="165"/>
        <v>0</v>
      </c>
      <c r="V671" s="101">
        <f t="shared" si="166"/>
        <v>0</v>
      </c>
      <c r="W671" s="101">
        <v>0</v>
      </c>
      <c r="X671" s="55">
        <f t="shared" si="167"/>
        <v>46153.013281250001</v>
      </c>
    </row>
    <row r="672" spans="1:24" ht="29" hidden="1" x14ac:dyDescent="0.35">
      <c r="A672" s="46">
        <f t="shared" si="168"/>
        <v>46153.013281250001</v>
      </c>
      <c r="B672" s="46"/>
      <c r="C672" s="260"/>
      <c r="D672" s="46"/>
      <c r="E672" s="47" t="s">
        <v>4467</v>
      </c>
      <c r="F672" s="48" t="s">
        <v>5235</v>
      </c>
      <c r="G672" s="48"/>
      <c r="H672" s="59" t="s">
        <v>5236</v>
      </c>
      <c r="I672" s="219" t="s">
        <v>5234</v>
      </c>
      <c r="J672" s="100" t="s">
        <v>140</v>
      </c>
      <c r="K672" s="91">
        <v>0</v>
      </c>
      <c r="L672" s="91">
        <v>0</v>
      </c>
      <c r="M672" s="92">
        <v>45</v>
      </c>
      <c r="N672" s="92">
        <v>27302</v>
      </c>
      <c r="O672" s="92">
        <v>2</v>
      </c>
      <c r="P672" s="92">
        <f t="shared" si="169"/>
        <v>13651</v>
      </c>
      <c r="Q672" s="92"/>
      <c r="R672" s="92">
        <v>13651</v>
      </c>
      <c r="S672" s="92">
        <f t="shared" si="170"/>
        <v>0</v>
      </c>
      <c r="T672" s="102">
        <f t="shared" si="164"/>
        <v>3840</v>
      </c>
      <c r="U672" s="101">
        <f t="shared" si="165"/>
        <v>0</v>
      </c>
      <c r="V672" s="101">
        <f t="shared" si="166"/>
        <v>0</v>
      </c>
      <c r="W672" s="101">
        <v>0</v>
      </c>
      <c r="X672" s="55">
        <f t="shared" si="167"/>
        <v>46153.013281250001</v>
      </c>
    </row>
    <row r="673" spans="1:24" ht="29" hidden="1" x14ac:dyDescent="0.35">
      <c r="A673" s="46">
        <f t="shared" si="168"/>
        <v>46153.013281250001</v>
      </c>
      <c r="B673" s="46"/>
      <c r="C673" s="260"/>
      <c r="D673" s="46"/>
      <c r="E673" s="47" t="s">
        <v>4467</v>
      </c>
      <c r="F673" s="48" t="s">
        <v>501</v>
      </c>
      <c r="G673" s="48"/>
      <c r="H673" s="59" t="s">
        <v>5232</v>
      </c>
      <c r="I673" s="219" t="s">
        <v>5233</v>
      </c>
      <c r="J673" s="100" t="s">
        <v>140</v>
      </c>
      <c r="K673" s="91">
        <v>0</v>
      </c>
      <c r="L673" s="91">
        <v>0</v>
      </c>
      <c r="M673" s="92">
        <v>45</v>
      </c>
      <c r="N673" s="92">
        <v>6000</v>
      </c>
      <c r="O673" s="92">
        <v>1</v>
      </c>
      <c r="P673" s="92">
        <f t="shared" si="169"/>
        <v>6000</v>
      </c>
      <c r="Q673" s="92"/>
      <c r="R673" s="92">
        <v>6000</v>
      </c>
      <c r="S673" s="92">
        <f t="shared" si="170"/>
        <v>0</v>
      </c>
      <c r="T673" s="102">
        <f t="shared" si="164"/>
        <v>1920</v>
      </c>
      <c r="U673" s="101">
        <f t="shared" si="165"/>
        <v>0</v>
      </c>
      <c r="V673" s="101">
        <f t="shared" si="166"/>
        <v>0</v>
      </c>
      <c r="W673" s="101">
        <v>0</v>
      </c>
      <c r="X673" s="55">
        <f t="shared" si="167"/>
        <v>46153.013281250001</v>
      </c>
    </row>
    <row r="674" spans="1:24" ht="29" hidden="1" x14ac:dyDescent="0.35">
      <c r="A674" s="46">
        <f t="shared" si="168"/>
        <v>46153.013281250001</v>
      </c>
      <c r="B674" s="46"/>
      <c r="C674" s="260"/>
      <c r="D674" s="46"/>
      <c r="E674" s="47" t="s">
        <v>4467</v>
      </c>
      <c r="F674" s="48" t="s">
        <v>501</v>
      </c>
      <c r="G674" s="48"/>
      <c r="H674" s="59" t="s">
        <v>5237</v>
      </c>
      <c r="I674" s="219" t="s">
        <v>5238</v>
      </c>
      <c r="J674" s="100" t="s">
        <v>140</v>
      </c>
      <c r="K674" s="91">
        <v>0</v>
      </c>
      <c r="L674" s="91">
        <v>0</v>
      </c>
      <c r="M674" s="92">
        <v>45</v>
      </c>
      <c r="N674" s="92">
        <v>20000</v>
      </c>
      <c r="O674" s="92">
        <v>2</v>
      </c>
      <c r="P674" s="92">
        <f t="shared" si="169"/>
        <v>10000</v>
      </c>
      <c r="Q674" s="92"/>
      <c r="R674" s="92">
        <v>10000</v>
      </c>
      <c r="S674" s="92">
        <f t="shared" si="170"/>
        <v>0</v>
      </c>
      <c r="T674" s="102">
        <f t="shared" si="164"/>
        <v>3840</v>
      </c>
      <c r="U674" s="101">
        <f t="shared" si="165"/>
        <v>0</v>
      </c>
      <c r="V674" s="101">
        <f t="shared" si="166"/>
        <v>0</v>
      </c>
      <c r="W674" s="101">
        <v>0</v>
      </c>
      <c r="X674" s="915">
        <f>A674+V674+W674</f>
        <v>46153.013281250001</v>
      </c>
    </row>
    <row r="675" spans="1:24" ht="29" hidden="1" x14ac:dyDescent="0.35">
      <c r="A675" s="46">
        <f t="shared" si="168"/>
        <v>46153.013281250001</v>
      </c>
      <c r="B675" s="46"/>
      <c r="C675" s="260"/>
      <c r="D675" s="46"/>
      <c r="E675" s="419" t="s">
        <v>4467</v>
      </c>
      <c r="F675" s="325" t="s">
        <v>501</v>
      </c>
      <c r="G675" s="325"/>
      <c r="H675" s="916" t="s">
        <v>5239</v>
      </c>
      <c r="I675" s="872" t="s">
        <v>5227</v>
      </c>
      <c r="J675" s="170" t="s">
        <v>140</v>
      </c>
      <c r="K675" s="91">
        <v>0</v>
      </c>
      <c r="L675" s="91">
        <v>0</v>
      </c>
      <c r="M675" s="873">
        <v>45</v>
      </c>
      <c r="N675" s="873">
        <v>29500</v>
      </c>
      <c r="O675" s="873">
        <v>1</v>
      </c>
      <c r="P675" s="873">
        <f t="shared" si="169"/>
        <v>29500</v>
      </c>
      <c r="Q675" s="873"/>
      <c r="R675" s="873">
        <v>29500</v>
      </c>
      <c r="S675" s="873">
        <f t="shared" si="170"/>
        <v>0</v>
      </c>
      <c r="T675" s="337">
        <f t="shared" si="164"/>
        <v>1920</v>
      </c>
      <c r="U675" s="339">
        <f t="shared" si="165"/>
        <v>0</v>
      </c>
      <c r="V675" s="339">
        <f t="shared" si="166"/>
        <v>0</v>
      </c>
      <c r="W675" s="339">
        <v>0</v>
      </c>
      <c r="X675" s="917">
        <f>A675+K675+L675+V675+W675</f>
        <v>46153.013281250001</v>
      </c>
    </row>
    <row r="676" spans="1:24" hidden="1" x14ac:dyDescent="0.35">
      <c r="A676" s="46">
        <f t="shared" si="168"/>
        <v>46153.013281250001</v>
      </c>
      <c r="B676" s="46"/>
      <c r="C676" s="260"/>
      <c r="D676" s="46"/>
      <c r="E676" s="47" t="s">
        <v>4467</v>
      </c>
      <c r="F676" s="48" t="s">
        <v>5240</v>
      </c>
      <c r="G676" s="48"/>
      <c r="H676" s="216" t="s">
        <v>5241</v>
      </c>
      <c r="I676" s="396" t="s">
        <v>3506</v>
      </c>
      <c r="J676" s="100" t="s">
        <v>140</v>
      </c>
      <c r="K676" s="91">
        <v>0</v>
      </c>
      <c r="L676" s="91">
        <v>0</v>
      </c>
      <c r="M676" s="92">
        <v>45</v>
      </c>
      <c r="N676" s="92">
        <v>24000</v>
      </c>
      <c r="O676" s="92">
        <v>2</v>
      </c>
      <c r="P676" s="92">
        <f t="shared" si="169"/>
        <v>12000</v>
      </c>
      <c r="Q676" s="92"/>
      <c r="R676" s="92">
        <v>12000</v>
      </c>
      <c r="S676" s="92">
        <f t="shared" si="170"/>
        <v>0</v>
      </c>
      <c r="T676" s="102">
        <f t="shared" si="164"/>
        <v>3840</v>
      </c>
      <c r="U676" s="101">
        <f t="shared" si="165"/>
        <v>0</v>
      </c>
      <c r="V676" s="101">
        <f t="shared" si="166"/>
        <v>0</v>
      </c>
      <c r="W676" s="101">
        <v>0</v>
      </c>
      <c r="X676" s="55">
        <f>A676+K676+L676+V676+W676</f>
        <v>46153.013281250001</v>
      </c>
    </row>
    <row r="677" spans="1:24" ht="29" hidden="1" x14ac:dyDescent="0.35">
      <c r="A677" s="46">
        <f t="shared" si="168"/>
        <v>46153.013281250001</v>
      </c>
      <c r="B677" s="46"/>
      <c r="C677" s="260"/>
      <c r="D677" s="46"/>
      <c r="E677" s="419" t="s">
        <v>4467</v>
      </c>
      <c r="F677" s="325" t="s">
        <v>1058</v>
      </c>
      <c r="G677" s="325"/>
      <c r="H677" s="916" t="s">
        <v>5242</v>
      </c>
      <c r="I677" s="872" t="s">
        <v>5227</v>
      </c>
      <c r="J677" s="170" t="s">
        <v>140</v>
      </c>
      <c r="K677" s="91">
        <v>0</v>
      </c>
      <c r="L677" s="91">
        <v>0</v>
      </c>
      <c r="M677" s="873">
        <v>45</v>
      </c>
      <c r="N677" s="873">
        <v>4000</v>
      </c>
      <c r="O677" s="873">
        <v>1</v>
      </c>
      <c r="P677" s="873">
        <f t="shared" si="169"/>
        <v>4000</v>
      </c>
      <c r="Q677" s="873"/>
      <c r="R677" s="873">
        <v>4000</v>
      </c>
      <c r="S677" s="873">
        <f t="shared" si="170"/>
        <v>0</v>
      </c>
      <c r="T677" s="337">
        <f t="shared" si="164"/>
        <v>1920</v>
      </c>
      <c r="U677" s="339">
        <f t="shared" si="165"/>
        <v>0</v>
      </c>
      <c r="V677" s="339">
        <f t="shared" si="166"/>
        <v>0</v>
      </c>
      <c r="W677" s="339">
        <v>0</v>
      </c>
      <c r="X677" s="917">
        <f>A677+K677+L677+V677+W677</f>
        <v>46153.013281250001</v>
      </c>
    </row>
    <row r="678" spans="1:24" ht="26.5" hidden="1" x14ac:dyDescent="0.35">
      <c r="A678" s="46">
        <f t="shared" si="168"/>
        <v>46153.013281250001</v>
      </c>
      <c r="B678" s="46"/>
      <c r="C678" s="260"/>
      <c r="D678" s="46"/>
      <c r="E678" s="47" t="s">
        <v>4467</v>
      </c>
      <c r="F678" s="82" t="s">
        <v>5225</v>
      </c>
      <c r="G678" s="82"/>
      <c r="H678" s="59" t="s">
        <v>5243</v>
      </c>
      <c r="I678" s="327" t="s">
        <v>5230</v>
      </c>
      <c r="J678" s="100" t="s">
        <v>140</v>
      </c>
      <c r="K678" s="91">
        <v>0</v>
      </c>
      <c r="L678" s="91">
        <v>0</v>
      </c>
      <c r="M678" s="92">
        <v>45</v>
      </c>
      <c r="N678" s="92">
        <v>16000</v>
      </c>
      <c r="O678" s="92">
        <v>2</v>
      </c>
      <c r="P678" s="92">
        <f t="shared" si="169"/>
        <v>8000</v>
      </c>
      <c r="Q678" s="92"/>
      <c r="R678" s="92">
        <v>8000</v>
      </c>
      <c r="S678" s="92">
        <f t="shared" si="170"/>
        <v>0</v>
      </c>
      <c r="T678" s="102">
        <f t="shared" si="164"/>
        <v>3840</v>
      </c>
      <c r="U678" s="101">
        <f t="shared" si="165"/>
        <v>0</v>
      </c>
      <c r="V678" s="101">
        <f t="shared" si="166"/>
        <v>0</v>
      </c>
      <c r="W678" s="101">
        <v>0</v>
      </c>
      <c r="X678" s="55">
        <f>A678+K678+V678+W678+L678</f>
        <v>46153.013281250001</v>
      </c>
    </row>
    <row r="679" spans="1:24" ht="26.5" hidden="1" x14ac:dyDescent="0.35">
      <c r="A679" s="46">
        <f t="shared" si="168"/>
        <v>46153.013281250001</v>
      </c>
      <c r="B679" s="46"/>
      <c r="C679" s="260"/>
      <c r="D679" s="46"/>
      <c r="E679" s="47" t="s">
        <v>4467</v>
      </c>
      <c r="F679" s="82" t="s">
        <v>5225</v>
      </c>
      <c r="G679" s="82"/>
      <c r="H679" s="59" t="s">
        <v>5244</v>
      </c>
      <c r="I679" s="327" t="s">
        <v>5233</v>
      </c>
      <c r="J679" s="100" t="s">
        <v>140</v>
      </c>
      <c r="K679" s="91">
        <v>0</v>
      </c>
      <c r="L679" s="91">
        <v>0</v>
      </c>
      <c r="M679" s="92">
        <v>45</v>
      </c>
      <c r="N679" s="92">
        <v>8000</v>
      </c>
      <c r="O679" s="92">
        <v>1</v>
      </c>
      <c r="P679" s="92">
        <f t="shared" si="169"/>
        <v>8000</v>
      </c>
      <c r="Q679" s="92"/>
      <c r="R679" s="92">
        <v>8000</v>
      </c>
      <c r="S679" s="92">
        <f t="shared" si="170"/>
        <v>0</v>
      </c>
      <c r="T679" s="102">
        <f t="shared" si="164"/>
        <v>1920</v>
      </c>
      <c r="U679" s="101">
        <f t="shared" si="165"/>
        <v>0</v>
      </c>
      <c r="V679" s="101">
        <f t="shared" si="166"/>
        <v>0</v>
      </c>
      <c r="W679" s="101">
        <v>0</v>
      </c>
      <c r="X679" s="55">
        <f>X678</f>
        <v>46153.013281250001</v>
      </c>
    </row>
    <row r="680" spans="1:24" hidden="1" x14ac:dyDescent="0.35">
      <c r="A680" s="46">
        <f t="shared" si="168"/>
        <v>46153.013281250001</v>
      </c>
      <c r="B680" s="46"/>
      <c r="C680" s="260"/>
      <c r="D680" s="46"/>
      <c r="E680" s="918" t="s">
        <v>4467</v>
      </c>
      <c r="F680" s="919" t="s">
        <v>14</v>
      </c>
      <c r="G680" s="919"/>
      <c r="H680" s="920" t="s">
        <v>14</v>
      </c>
      <c r="I680" s="921" t="s">
        <v>5245</v>
      </c>
      <c r="J680" s="922" t="s">
        <v>140</v>
      </c>
      <c r="K680" s="91">
        <v>0</v>
      </c>
      <c r="L680" s="91">
        <v>0</v>
      </c>
      <c r="M680" s="923">
        <v>45</v>
      </c>
      <c r="N680" s="923">
        <v>20</v>
      </c>
      <c r="O680" s="923">
        <v>2</v>
      </c>
      <c r="P680" s="923">
        <f t="shared" si="169"/>
        <v>10</v>
      </c>
      <c r="Q680" s="923"/>
      <c r="R680" s="923">
        <v>10</v>
      </c>
      <c r="S680" s="923">
        <f t="shared" si="170"/>
        <v>0</v>
      </c>
      <c r="T680" s="924">
        <f t="shared" si="164"/>
        <v>3840</v>
      </c>
      <c r="U680" s="925">
        <f t="shared" si="165"/>
        <v>0</v>
      </c>
      <c r="V680" s="925">
        <f t="shared" si="166"/>
        <v>0</v>
      </c>
      <c r="W680" s="925">
        <v>0</v>
      </c>
      <c r="X680" s="926">
        <f>A680+K680+L680+V680+W680</f>
        <v>46153.013281250001</v>
      </c>
    </row>
    <row r="681" spans="1:24" hidden="1" x14ac:dyDescent="0.35">
      <c r="A681" s="46">
        <f t="shared" si="168"/>
        <v>46153.013281250001</v>
      </c>
      <c r="B681" s="46"/>
      <c r="C681" s="260"/>
      <c r="D681" s="46"/>
      <c r="E681" s="47" t="s">
        <v>4467</v>
      </c>
      <c r="F681" s="48" t="s">
        <v>5246</v>
      </c>
      <c r="G681" s="48"/>
      <c r="H681" s="216" t="s">
        <v>5247</v>
      </c>
      <c r="I681" s="396" t="s">
        <v>3506</v>
      </c>
      <c r="J681" s="100" t="s">
        <v>140</v>
      </c>
      <c r="K681" s="91">
        <v>0</v>
      </c>
      <c r="L681" s="91">
        <v>0</v>
      </c>
      <c r="M681" s="92">
        <v>45</v>
      </c>
      <c r="N681" s="92">
        <v>40000</v>
      </c>
      <c r="O681" s="92">
        <v>2</v>
      </c>
      <c r="P681" s="92">
        <f t="shared" si="169"/>
        <v>20000</v>
      </c>
      <c r="Q681" s="92"/>
      <c r="R681" s="92">
        <v>20000</v>
      </c>
      <c r="S681" s="92">
        <f t="shared" si="170"/>
        <v>0</v>
      </c>
      <c r="T681" s="102">
        <f t="shared" si="164"/>
        <v>3840</v>
      </c>
      <c r="U681" s="101">
        <f t="shared" si="165"/>
        <v>0</v>
      </c>
      <c r="V681" s="101">
        <f t="shared" si="166"/>
        <v>0</v>
      </c>
      <c r="W681" s="101">
        <v>0</v>
      </c>
      <c r="X681" s="55">
        <f>A681+K681+L681+V681+W681</f>
        <v>46153.013281250001</v>
      </c>
    </row>
    <row r="682" spans="1:24" hidden="1" x14ac:dyDescent="0.35">
      <c r="A682" s="46">
        <f t="shared" si="168"/>
        <v>46153.013281250001</v>
      </c>
      <c r="B682" s="46"/>
      <c r="C682" s="260"/>
      <c r="D682" s="46"/>
      <c r="E682" s="419" t="s">
        <v>4467</v>
      </c>
      <c r="F682" s="48" t="s">
        <v>5248</v>
      </c>
      <c r="G682" s="48"/>
      <c r="H682" s="916" t="s">
        <v>5249</v>
      </c>
      <c r="I682" s="872" t="s">
        <v>5227</v>
      </c>
      <c r="J682" s="170" t="s">
        <v>140</v>
      </c>
      <c r="K682" s="875">
        <v>0</v>
      </c>
      <c r="L682" s="875">
        <v>0</v>
      </c>
      <c r="M682" s="873">
        <v>45</v>
      </c>
      <c r="N682" s="873">
        <v>17000</v>
      </c>
      <c r="O682" s="873">
        <v>1</v>
      </c>
      <c r="P682" s="873">
        <f t="shared" si="169"/>
        <v>17000</v>
      </c>
      <c r="Q682" s="873"/>
      <c r="R682" s="873">
        <v>17000</v>
      </c>
      <c r="S682" s="873">
        <f t="shared" si="170"/>
        <v>0</v>
      </c>
      <c r="T682" s="337">
        <f t="shared" si="164"/>
        <v>1920</v>
      </c>
      <c r="U682" s="339">
        <f t="shared" si="165"/>
        <v>0</v>
      </c>
      <c r="V682" s="339">
        <f t="shared" si="166"/>
        <v>0</v>
      </c>
      <c r="W682" s="339">
        <v>0</v>
      </c>
      <c r="X682" s="917">
        <f>X681</f>
        <v>46153.013281250001</v>
      </c>
    </row>
    <row r="683" spans="1:24" hidden="1" x14ac:dyDescent="0.35">
      <c r="A683" s="46">
        <f t="shared" si="168"/>
        <v>46153.013281250001</v>
      </c>
      <c r="B683" s="46"/>
      <c r="C683" s="260"/>
      <c r="D683" s="46"/>
      <c r="E683" s="296" t="s">
        <v>4467</v>
      </c>
      <c r="F683" s="404" t="s">
        <v>14</v>
      </c>
      <c r="G683" s="404"/>
      <c r="H683" s="927" t="s">
        <v>1362</v>
      </c>
      <c r="I683" s="297" t="s">
        <v>5250</v>
      </c>
      <c r="J683" s="300" t="s">
        <v>140</v>
      </c>
      <c r="K683" s="352">
        <v>0.25</v>
      </c>
      <c r="L683" s="352">
        <v>0.2</v>
      </c>
      <c r="M683" s="353">
        <v>30</v>
      </c>
      <c r="N683" s="353">
        <v>50</v>
      </c>
      <c r="O683" s="353">
        <v>1</v>
      </c>
      <c r="P683" s="353">
        <f t="shared" si="169"/>
        <v>50</v>
      </c>
      <c r="Q683" s="353"/>
      <c r="R683" s="353">
        <v>50</v>
      </c>
      <c r="S683" s="353">
        <f t="shared" si="170"/>
        <v>0</v>
      </c>
      <c r="T683" s="302">
        <f t="shared" si="164"/>
        <v>2880</v>
      </c>
      <c r="U683" s="301">
        <f t="shared" si="165"/>
        <v>0</v>
      </c>
      <c r="V683" s="301">
        <f t="shared" si="166"/>
        <v>0</v>
      </c>
      <c r="W683" s="301">
        <v>0</v>
      </c>
      <c r="X683" s="308">
        <f t="shared" ref="X683:X693" si="171">A683+K683+L683+V683+W683</f>
        <v>46153.463281249999</v>
      </c>
    </row>
    <row r="684" spans="1:24" ht="26.5" hidden="1" x14ac:dyDescent="0.35">
      <c r="A684" s="46">
        <f t="shared" si="168"/>
        <v>46153.463281249999</v>
      </c>
      <c r="B684" s="46"/>
      <c r="C684" s="260"/>
      <c r="D684" s="46"/>
      <c r="E684" s="47" t="s">
        <v>4467</v>
      </c>
      <c r="F684" s="82" t="s">
        <v>5225</v>
      </c>
      <c r="G684" s="82"/>
      <c r="H684" s="59" t="s">
        <v>5251</v>
      </c>
      <c r="I684" s="327" t="s">
        <v>5230</v>
      </c>
      <c r="J684" s="100" t="s">
        <v>140</v>
      </c>
      <c r="K684" s="91">
        <v>0</v>
      </c>
      <c r="L684" s="91">
        <v>0</v>
      </c>
      <c r="M684" s="92">
        <v>45</v>
      </c>
      <c r="N684" s="92">
        <v>14000</v>
      </c>
      <c r="O684" s="92">
        <v>2</v>
      </c>
      <c r="P684" s="92">
        <f t="shared" si="169"/>
        <v>7000</v>
      </c>
      <c r="Q684" s="92"/>
      <c r="R684" s="92">
        <v>7000</v>
      </c>
      <c r="S684" s="92">
        <f t="shared" si="170"/>
        <v>0</v>
      </c>
      <c r="T684" s="102">
        <f t="shared" si="164"/>
        <v>3840</v>
      </c>
      <c r="U684" s="101">
        <f t="shared" si="165"/>
        <v>0</v>
      </c>
      <c r="V684" s="101">
        <f t="shared" si="166"/>
        <v>0</v>
      </c>
      <c r="W684" s="101">
        <v>0</v>
      </c>
      <c r="X684" s="55">
        <f t="shared" si="171"/>
        <v>46153.463281249999</v>
      </c>
    </row>
    <row r="685" spans="1:24" ht="26.5" hidden="1" x14ac:dyDescent="0.35">
      <c r="A685" s="46">
        <f t="shared" si="168"/>
        <v>46153.463281249999</v>
      </c>
      <c r="B685" s="46"/>
      <c r="C685" s="260"/>
      <c r="D685" s="46"/>
      <c r="E685" s="47" t="s">
        <v>4467</v>
      </c>
      <c r="F685" s="82" t="s">
        <v>5225</v>
      </c>
      <c r="G685" s="82"/>
      <c r="H685" s="59" t="s">
        <v>5252</v>
      </c>
      <c r="I685" s="327" t="s">
        <v>5233</v>
      </c>
      <c r="J685" s="100" t="s">
        <v>140</v>
      </c>
      <c r="K685" s="91">
        <v>0</v>
      </c>
      <c r="L685" s="91">
        <v>0</v>
      </c>
      <c r="M685" s="92">
        <v>45</v>
      </c>
      <c r="N685" s="92">
        <v>7000</v>
      </c>
      <c r="O685" s="92">
        <v>1</v>
      </c>
      <c r="P685" s="92">
        <f t="shared" si="169"/>
        <v>7000</v>
      </c>
      <c r="Q685" s="92"/>
      <c r="R685" s="92">
        <v>7000</v>
      </c>
      <c r="S685" s="92">
        <f t="shared" si="170"/>
        <v>0</v>
      </c>
      <c r="T685" s="102">
        <f t="shared" si="164"/>
        <v>1920</v>
      </c>
      <c r="U685" s="101">
        <f t="shared" si="165"/>
        <v>0</v>
      </c>
      <c r="V685" s="101">
        <f t="shared" si="166"/>
        <v>0</v>
      </c>
      <c r="W685" s="101">
        <v>0</v>
      </c>
      <c r="X685" s="55">
        <f t="shared" si="171"/>
        <v>46153.463281249999</v>
      </c>
    </row>
    <row r="686" spans="1:24" hidden="1" x14ac:dyDescent="0.35">
      <c r="A686" s="46">
        <f t="shared" si="168"/>
        <v>46153.463281249999</v>
      </c>
      <c r="B686" s="46"/>
      <c r="C686" s="260"/>
      <c r="D686" s="46"/>
      <c r="E686" s="47" t="s">
        <v>4467</v>
      </c>
      <c r="F686" s="48" t="s">
        <v>5253</v>
      </c>
      <c r="G686" s="48"/>
      <c r="H686" s="216" t="s">
        <v>5254</v>
      </c>
      <c r="I686" s="396" t="s">
        <v>3506</v>
      </c>
      <c r="J686" s="100" t="s">
        <v>140</v>
      </c>
      <c r="K686" s="91">
        <v>0</v>
      </c>
      <c r="L686" s="91">
        <v>0</v>
      </c>
      <c r="M686" s="92">
        <v>45</v>
      </c>
      <c r="N686" s="92">
        <v>40510</v>
      </c>
      <c r="O686" s="92">
        <v>2</v>
      </c>
      <c r="P686" s="92">
        <f t="shared" si="169"/>
        <v>20255</v>
      </c>
      <c r="Q686" s="92"/>
      <c r="R686" s="92">
        <v>20255</v>
      </c>
      <c r="S686" s="92">
        <f t="shared" si="170"/>
        <v>0</v>
      </c>
      <c r="T686" s="102">
        <f t="shared" si="164"/>
        <v>3840</v>
      </c>
      <c r="U686" s="101">
        <f t="shared" si="165"/>
        <v>0</v>
      </c>
      <c r="V686" s="101">
        <f t="shared" si="166"/>
        <v>0</v>
      </c>
      <c r="W686" s="101">
        <v>0</v>
      </c>
      <c r="X686" s="55">
        <f t="shared" si="171"/>
        <v>46153.463281249999</v>
      </c>
    </row>
    <row r="687" spans="1:24" hidden="1" x14ac:dyDescent="0.35">
      <c r="A687" s="46">
        <f t="shared" si="168"/>
        <v>46153.463281249999</v>
      </c>
      <c r="B687" s="46"/>
      <c r="C687" s="260"/>
      <c r="D687" s="46"/>
      <c r="E687" s="47" t="s">
        <v>4467</v>
      </c>
      <c r="F687" s="48" t="s">
        <v>5253</v>
      </c>
      <c r="G687" s="48"/>
      <c r="H687" s="216" t="s">
        <v>5254</v>
      </c>
      <c r="I687" s="396" t="s">
        <v>3506</v>
      </c>
      <c r="J687" s="100" t="s">
        <v>140</v>
      </c>
      <c r="K687" s="91">
        <v>0</v>
      </c>
      <c r="L687" s="91">
        <v>0</v>
      </c>
      <c r="M687" s="92">
        <v>36</v>
      </c>
      <c r="N687" s="92">
        <f>80000</f>
        <v>80000</v>
      </c>
      <c r="O687" s="92">
        <v>4</v>
      </c>
      <c r="P687" s="92">
        <f t="shared" si="169"/>
        <v>20000</v>
      </c>
      <c r="Q687" s="92"/>
      <c r="R687" s="92">
        <v>20000</v>
      </c>
      <c r="S687" s="92">
        <f t="shared" si="170"/>
        <v>0</v>
      </c>
      <c r="T687" s="102">
        <f t="shared" si="164"/>
        <v>9600</v>
      </c>
      <c r="U687" s="101">
        <f t="shared" si="165"/>
        <v>0</v>
      </c>
      <c r="V687" s="101">
        <f t="shared" si="166"/>
        <v>0</v>
      </c>
      <c r="W687" s="101">
        <v>0</v>
      </c>
      <c r="X687" s="55">
        <f t="shared" si="171"/>
        <v>46153.463281249999</v>
      </c>
    </row>
    <row r="688" spans="1:24" hidden="1" x14ac:dyDescent="0.35">
      <c r="A688" s="46">
        <f t="shared" si="168"/>
        <v>46153.463281249999</v>
      </c>
      <c r="B688" s="46"/>
      <c r="C688" s="260"/>
      <c r="D688" s="46"/>
      <c r="E688" s="47" t="s">
        <v>4467</v>
      </c>
      <c r="F688" s="48" t="s">
        <v>5253</v>
      </c>
      <c r="G688" s="48"/>
      <c r="H688" s="216" t="s">
        <v>5255</v>
      </c>
      <c r="I688" s="396" t="s">
        <v>3506</v>
      </c>
      <c r="J688" s="100" t="s">
        <v>140</v>
      </c>
      <c r="K688" s="91">
        <v>0</v>
      </c>
      <c r="L688" s="91">
        <v>0</v>
      </c>
      <c r="M688" s="92">
        <v>36</v>
      </c>
      <c r="N688" s="92">
        <v>20000</v>
      </c>
      <c r="O688" s="92">
        <v>4</v>
      </c>
      <c r="P688" s="92">
        <f t="shared" si="169"/>
        <v>5000</v>
      </c>
      <c r="Q688" s="92"/>
      <c r="R688" s="92">
        <v>5000</v>
      </c>
      <c r="S688" s="92">
        <f t="shared" si="170"/>
        <v>0</v>
      </c>
      <c r="T688" s="102">
        <f t="shared" si="164"/>
        <v>9600</v>
      </c>
      <c r="U688" s="101">
        <f t="shared" si="165"/>
        <v>0</v>
      </c>
      <c r="V688" s="101">
        <f t="shared" si="166"/>
        <v>0</v>
      </c>
      <c r="W688" s="101">
        <v>0</v>
      </c>
      <c r="X688" s="55">
        <f t="shared" si="171"/>
        <v>46153.463281249999</v>
      </c>
    </row>
    <row r="689" spans="1:24" hidden="1" x14ac:dyDescent="0.35">
      <c r="A689" s="46">
        <f t="shared" si="168"/>
        <v>46153.463281249999</v>
      </c>
      <c r="B689" s="46"/>
      <c r="C689" s="260"/>
      <c r="D689" s="46"/>
      <c r="E689" s="47" t="s">
        <v>4467</v>
      </c>
      <c r="F689" s="48" t="s">
        <v>3504</v>
      </c>
      <c r="G689" s="48"/>
      <c r="H689" s="216"/>
      <c r="I689" s="396" t="s">
        <v>3506</v>
      </c>
      <c r="J689" s="100" t="s">
        <v>140</v>
      </c>
      <c r="K689" s="91">
        <v>0</v>
      </c>
      <c r="L689" s="91">
        <v>0</v>
      </c>
      <c r="M689" s="92">
        <v>36</v>
      </c>
      <c r="N689" s="92">
        <v>50000</v>
      </c>
      <c r="O689" s="92">
        <v>4</v>
      </c>
      <c r="P689" s="92">
        <f t="shared" si="169"/>
        <v>12500</v>
      </c>
      <c r="Q689" s="92"/>
      <c r="R689" s="92">
        <v>12500</v>
      </c>
      <c r="S689" s="92">
        <f t="shared" si="170"/>
        <v>0</v>
      </c>
      <c r="T689" s="102">
        <f t="shared" si="164"/>
        <v>9600</v>
      </c>
      <c r="U689" s="101">
        <f t="shared" si="165"/>
        <v>0</v>
      </c>
      <c r="V689" s="101">
        <f t="shared" si="166"/>
        <v>0</v>
      </c>
      <c r="W689" s="101">
        <v>0</v>
      </c>
      <c r="X689" s="255">
        <f t="shared" si="171"/>
        <v>46153.463281249999</v>
      </c>
    </row>
    <row r="690" spans="1:24" s="221" customFormat="1" hidden="1" x14ac:dyDescent="0.35">
      <c r="A690" s="46">
        <f t="shared" si="168"/>
        <v>46153.463281249999</v>
      </c>
      <c r="B690" s="46"/>
      <c r="C690" s="260"/>
      <c r="D690" s="46"/>
      <c r="E690" s="47" t="s">
        <v>5256</v>
      </c>
      <c r="F690" s="48" t="s">
        <v>4882</v>
      </c>
      <c r="G690" s="48"/>
      <c r="H690" s="59" t="s">
        <v>5257</v>
      </c>
      <c r="I690" s="390" t="s">
        <v>5258</v>
      </c>
      <c r="J690" s="51" t="s">
        <v>140</v>
      </c>
      <c r="K690" s="91">
        <v>0</v>
      </c>
      <c r="L690" s="91">
        <v>0</v>
      </c>
      <c r="M690" s="92">
        <v>40</v>
      </c>
      <c r="N690" s="92">
        <v>3000</v>
      </c>
      <c r="O690" s="92">
        <v>1</v>
      </c>
      <c r="P690" s="92">
        <f t="shared" si="169"/>
        <v>3000</v>
      </c>
      <c r="Q690" s="92"/>
      <c r="R690" s="92">
        <v>3000</v>
      </c>
      <c r="S690" s="92">
        <f t="shared" si="170"/>
        <v>0</v>
      </c>
      <c r="T690" s="92">
        <f t="shared" si="164"/>
        <v>2160</v>
      </c>
      <c r="U690" s="91">
        <f t="shared" si="165"/>
        <v>0</v>
      </c>
      <c r="V690" s="91">
        <f t="shared" si="166"/>
        <v>0</v>
      </c>
      <c r="W690" s="91">
        <v>0</v>
      </c>
      <c r="X690" s="55">
        <f t="shared" si="171"/>
        <v>46153.463281249999</v>
      </c>
    </row>
    <row r="691" spans="1:24" s="221" customFormat="1" hidden="1" x14ac:dyDescent="0.35">
      <c r="A691" s="46">
        <f t="shared" si="168"/>
        <v>46153.463281249999</v>
      </c>
      <c r="B691" s="46"/>
      <c r="C691" s="260"/>
      <c r="D691" s="46"/>
      <c r="E691" s="47" t="s">
        <v>5256</v>
      </c>
      <c r="F691" s="48" t="s">
        <v>4882</v>
      </c>
      <c r="G691" s="48"/>
      <c r="H691" s="59" t="s">
        <v>5259</v>
      </c>
      <c r="I691" s="390" t="s">
        <v>5260</v>
      </c>
      <c r="J691" s="51" t="s">
        <v>140</v>
      </c>
      <c r="K691" s="91">
        <v>0</v>
      </c>
      <c r="L691" s="91">
        <v>0</v>
      </c>
      <c r="M691" s="92">
        <v>30</v>
      </c>
      <c r="N691" s="92">
        <v>3000</v>
      </c>
      <c r="O691" s="92">
        <v>1</v>
      </c>
      <c r="P691" s="92">
        <f t="shared" si="169"/>
        <v>3000</v>
      </c>
      <c r="Q691" s="92"/>
      <c r="R691" s="92">
        <v>3000</v>
      </c>
      <c r="S691" s="92">
        <f t="shared" si="170"/>
        <v>0</v>
      </c>
      <c r="T691" s="92">
        <f t="shared" si="164"/>
        <v>2880</v>
      </c>
      <c r="U691" s="91">
        <f t="shared" si="165"/>
        <v>0</v>
      </c>
      <c r="V691" s="91">
        <f t="shared" si="166"/>
        <v>0</v>
      </c>
      <c r="W691" s="91">
        <v>0</v>
      </c>
      <c r="X691" s="55">
        <f t="shared" si="171"/>
        <v>46153.463281249999</v>
      </c>
    </row>
    <row r="692" spans="1:24" s="221" customFormat="1" hidden="1" x14ac:dyDescent="0.35">
      <c r="A692" s="46">
        <f t="shared" si="168"/>
        <v>46153.463281249999</v>
      </c>
      <c r="B692" s="46"/>
      <c r="C692" s="260"/>
      <c r="D692" s="46"/>
      <c r="E692" s="47" t="s">
        <v>4395</v>
      </c>
      <c r="F692" s="48" t="s">
        <v>5261</v>
      </c>
      <c r="G692" s="48"/>
      <c r="H692" s="49" t="s">
        <v>5262</v>
      </c>
      <c r="I692" s="82" t="s">
        <v>5263</v>
      </c>
      <c r="J692" s="100" t="s">
        <v>140</v>
      </c>
      <c r="K692" s="91">
        <v>0</v>
      </c>
      <c r="L692" s="91">
        <v>0</v>
      </c>
      <c r="M692" s="92">
        <v>30</v>
      </c>
      <c r="N692" s="92">
        <v>1000</v>
      </c>
      <c r="O692" s="92">
        <v>1</v>
      </c>
      <c r="P692" s="92">
        <f t="shared" si="169"/>
        <v>1000</v>
      </c>
      <c r="Q692" s="92"/>
      <c r="R692" s="102">
        <v>1000</v>
      </c>
      <c r="S692" s="92">
        <f t="shared" si="170"/>
        <v>0</v>
      </c>
      <c r="T692" s="102">
        <f t="shared" si="164"/>
        <v>2880</v>
      </c>
      <c r="U692" s="101">
        <f t="shared" si="165"/>
        <v>0</v>
      </c>
      <c r="V692" s="101">
        <f t="shared" si="166"/>
        <v>0</v>
      </c>
      <c r="W692" s="101">
        <v>0</v>
      </c>
      <c r="X692" s="55">
        <f t="shared" si="171"/>
        <v>46153.463281249999</v>
      </c>
    </row>
    <row r="693" spans="1:24" s="221" customFormat="1" hidden="1" x14ac:dyDescent="0.35">
      <c r="A693" s="46">
        <f t="shared" si="168"/>
        <v>46153.463281249999</v>
      </c>
      <c r="B693" s="46"/>
      <c r="C693" s="260"/>
      <c r="D693" s="46"/>
      <c r="E693" s="47" t="s">
        <v>5256</v>
      </c>
      <c r="F693" s="82" t="s">
        <v>1463</v>
      </c>
      <c r="G693" s="82"/>
      <c r="H693" s="98" t="s">
        <v>5264</v>
      </c>
      <c r="I693" s="82" t="s">
        <v>5263</v>
      </c>
      <c r="J693" s="100" t="s">
        <v>140</v>
      </c>
      <c r="K693" s="91">
        <v>0</v>
      </c>
      <c r="L693" s="91">
        <v>0</v>
      </c>
      <c r="M693" s="92">
        <v>30</v>
      </c>
      <c r="N693" s="92">
        <v>4000</v>
      </c>
      <c r="O693" s="92">
        <v>1</v>
      </c>
      <c r="P693" s="92">
        <f t="shared" si="169"/>
        <v>4000</v>
      </c>
      <c r="Q693" s="92"/>
      <c r="R693" s="102">
        <v>4000</v>
      </c>
      <c r="S693" s="92">
        <f t="shared" si="170"/>
        <v>0</v>
      </c>
      <c r="T693" s="102">
        <f t="shared" si="164"/>
        <v>2880</v>
      </c>
      <c r="U693" s="101">
        <f t="shared" si="165"/>
        <v>0</v>
      </c>
      <c r="V693" s="101">
        <f t="shared" si="166"/>
        <v>0</v>
      </c>
      <c r="W693" s="101">
        <v>0</v>
      </c>
      <c r="X693" s="55">
        <f t="shared" si="171"/>
        <v>46153.463281249999</v>
      </c>
    </row>
    <row r="694" spans="1:24" hidden="1" x14ac:dyDescent="0.35">
      <c r="A694" s="46">
        <f t="shared" si="168"/>
        <v>46153.463281249999</v>
      </c>
      <c r="B694" s="46"/>
      <c r="C694" s="260"/>
      <c r="D694" s="46"/>
      <c r="E694" s="928" t="s">
        <v>4467</v>
      </c>
      <c r="F694" s="929" t="s">
        <v>14</v>
      </c>
      <c r="G694" s="929"/>
      <c r="H694" s="930"/>
      <c r="I694" s="929" t="s">
        <v>5265</v>
      </c>
      <c r="J694" s="931" t="s">
        <v>140</v>
      </c>
      <c r="K694" s="932">
        <v>0</v>
      </c>
      <c r="L694" s="932">
        <v>0</v>
      </c>
      <c r="M694" s="933">
        <v>27</v>
      </c>
      <c r="N694" s="933">
        <v>50</v>
      </c>
      <c r="O694" s="933">
        <v>4</v>
      </c>
      <c r="P694" s="934">
        <f t="shared" si="169"/>
        <v>12.5</v>
      </c>
      <c r="Q694" s="934"/>
      <c r="R694" s="933">
        <v>13</v>
      </c>
      <c r="S694" s="933">
        <f t="shared" si="170"/>
        <v>-0.5</v>
      </c>
      <c r="T694" s="934">
        <f t="shared" si="164"/>
        <v>12800</v>
      </c>
      <c r="U694" s="935">
        <f t="shared" si="165"/>
        <v>-3.7499999999999999E-3</v>
      </c>
      <c r="V694" s="935">
        <f t="shared" si="166"/>
        <v>-1.5625E-4</v>
      </c>
      <c r="W694" s="935">
        <v>0</v>
      </c>
      <c r="X694" s="936">
        <f>A694+K694+V694+W694+L694</f>
        <v>46153.463125000002</v>
      </c>
    </row>
    <row r="695" spans="1:24" s="221" customFormat="1" hidden="1" x14ac:dyDescent="0.35">
      <c r="A695" s="46">
        <f t="shared" si="168"/>
        <v>46153.463125000002</v>
      </c>
      <c r="B695" s="46"/>
      <c r="C695" s="260"/>
      <c r="D695" s="46"/>
      <c r="E695" s="47" t="s">
        <v>4467</v>
      </c>
      <c r="F695" s="82" t="s">
        <v>1251</v>
      </c>
      <c r="G695" s="82"/>
      <c r="H695" s="98" t="s">
        <v>5266</v>
      </c>
      <c r="I695" s="82" t="s">
        <v>5267</v>
      </c>
      <c r="J695" s="100" t="s">
        <v>140</v>
      </c>
      <c r="K695" s="91">
        <v>0</v>
      </c>
      <c r="L695" s="91">
        <v>0</v>
      </c>
      <c r="M695" s="92">
        <v>20</v>
      </c>
      <c r="N695" s="92">
        <v>50000</v>
      </c>
      <c r="O695" s="92">
        <v>4</v>
      </c>
      <c r="P695" s="92">
        <f t="shared" si="169"/>
        <v>12500</v>
      </c>
      <c r="Q695" s="92"/>
      <c r="R695" s="102">
        <v>12500</v>
      </c>
      <c r="S695" s="92">
        <f t="shared" si="170"/>
        <v>0</v>
      </c>
      <c r="T695" s="102">
        <f t="shared" si="164"/>
        <v>17280</v>
      </c>
      <c r="U695" s="101">
        <f t="shared" si="165"/>
        <v>0</v>
      </c>
      <c r="V695" s="101">
        <f t="shared" si="166"/>
        <v>0</v>
      </c>
      <c r="W695" s="101">
        <v>0</v>
      </c>
      <c r="X695" s="55">
        <f t="shared" ref="X695:X706" si="172">A695+K695+L695+V695+W695</f>
        <v>46153.463125000002</v>
      </c>
    </row>
    <row r="696" spans="1:24" s="221" customFormat="1" hidden="1" x14ac:dyDescent="0.35">
      <c r="A696" s="46">
        <f t="shared" si="168"/>
        <v>46153.463125000002</v>
      </c>
      <c r="B696" s="46"/>
      <c r="C696" s="260"/>
      <c r="D696" s="46"/>
      <c r="E696" s="47" t="s">
        <v>4467</v>
      </c>
      <c r="F696" s="97" t="s">
        <v>5268</v>
      </c>
      <c r="G696" s="97"/>
      <c r="H696" s="98" t="s">
        <v>5269</v>
      </c>
      <c r="I696" s="82" t="s">
        <v>5209</v>
      </c>
      <c r="J696" s="100" t="s">
        <v>140</v>
      </c>
      <c r="K696" s="91">
        <v>0</v>
      </c>
      <c r="L696" s="91">
        <v>0</v>
      </c>
      <c r="M696" s="92">
        <v>30</v>
      </c>
      <c r="N696" s="92">
        <v>2110</v>
      </c>
      <c r="O696" s="92">
        <v>1</v>
      </c>
      <c r="P696" s="92">
        <f t="shared" si="169"/>
        <v>2110</v>
      </c>
      <c r="Q696" s="92"/>
      <c r="R696" s="92">
        <v>2110</v>
      </c>
      <c r="S696" s="92">
        <f t="shared" si="170"/>
        <v>0</v>
      </c>
      <c r="T696" s="102">
        <f t="shared" si="164"/>
        <v>2880</v>
      </c>
      <c r="U696" s="101">
        <f t="shared" si="165"/>
        <v>0</v>
      </c>
      <c r="V696" s="101">
        <f t="shared" si="166"/>
        <v>0</v>
      </c>
      <c r="W696" s="101">
        <v>0</v>
      </c>
      <c r="X696" s="55">
        <f t="shared" si="172"/>
        <v>46153.463125000002</v>
      </c>
    </row>
    <row r="697" spans="1:24" s="221" customFormat="1" hidden="1" x14ac:dyDescent="0.35">
      <c r="A697" s="46">
        <f t="shared" si="168"/>
        <v>46153.463125000002</v>
      </c>
      <c r="B697" s="46"/>
      <c r="C697" s="260"/>
      <c r="D697" s="46"/>
      <c r="E697" s="47" t="s">
        <v>4467</v>
      </c>
      <c r="F697" s="82" t="s">
        <v>4882</v>
      </c>
      <c r="G697" s="82"/>
      <c r="H697" s="107" t="s">
        <v>5270</v>
      </c>
      <c r="I697" s="390" t="s">
        <v>5271</v>
      </c>
      <c r="J697" s="51" t="s">
        <v>140</v>
      </c>
      <c r="K697" s="91">
        <v>0</v>
      </c>
      <c r="L697" s="91">
        <v>0</v>
      </c>
      <c r="M697" s="92">
        <v>35</v>
      </c>
      <c r="N697" s="92">
        <v>3000</v>
      </c>
      <c r="O697" s="92">
        <v>2</v>
      </c>
      <c r="P697" s="92">
        <f t="shared" si="169"/>
        <v>1500</v>
      </c>
      <c r="Q697" s="92"/>
      <c r="R697" s="92">
        <v>1500</v>
      </c>
      <c r="S697" s="92">
        <f t="shared" si="170"/>
        <v>0</v>
      </c>
      <c r="T697" s="92">
        <f t="shared" si="164"/>
        <v>4937.1428571428569</v>
      </c>
      <c r="U697" s="91">
        <f t="shared" si="165"/>
        <v>0</v>
      </c>
      <c r="V697" s="91">
        <f t="shared" si="166"/>
        <v>0</v>
      </c>
      <c r="W697" s="101">
        <v>0</v>
      </c>
      <c r="X697" s="55">
        <f t="shared" si="172"/>
        <v>46153.463125000002</v>
      </c>
    </row>
    <row r="698" spans="1:24" s="221" customFormat="1" hidden="1" x14ac:dyDescent="0.35">
      <c r="A698" s="46">
        <f t="shared" si="168"/>
        <v>46153.463125000002</v>
      </c>
      <c r="B698" s="46"/>
      <c r="C698" s="260"/>
      <c r="D698" s="46"/>
      <c r="E698" s="419" t="s">
        <v>4467</v>
      </c>
      <c r="F698" s="325" t="s">
        <v>5272</v>
      </c>
      <c r="G698" s="325"/>
      <c r="H698" s="937">
        <v>10619</v>
      </c>
      <c r="I698" s="405" t="s">
        <v>5245</v>
      </c>
      <c r="J698" s="170" t="s">
        <v>140</v>
      </c>
      <c r="K698" s="875">
        <v>0</v>
      </c>
      <c r="L698" s="875">
        <v>0</v>
      </c>
      <c r="M698" s="873">
        <v>45</v>
      </c>
      <c r="N698" s="873">
        <v>800</v>
      </c>
      <c r="O698" s="873">
        <v>1</v>
      </c>
      <c r="P698" s="873">
        <f t="shared" si="169"/>
        <v>800</v>
      </c>
      <c r="Q698" s="873"/>
      <c r="R698" s="873">
        <v>800</v>
      </c>
      <c r="S698" s="873">
        <f t="shared" si="170"/>
        <v>0</v>
      </c>
      <c r="T698" s="337">
        <f t="shared" si="164"/>
        <v>1920</v>
      </c>
      <c r="U698" s="339">
        <f t="shared" si="165"/>
        <v>0</v>
      </c>
      <c r="V698" s="339">
        <f t="shared" si="166"/>
        <v>0</v>
      </c>
      <c r="W698" s="339">
        <v>0</v>
      </c>
      <c r="X698" s="55">
        <f t="shared" si="172"/>
        <v>46153.463125000002</v>
      </c>
    </row>
    <row r="699" spans="1:24" s="221" customFormat="1" ht="26.5" hidden="1" x14ac:dyDescent="0.35">
      <c r="A699" s="46">
        <f t="shared" si="168"/>
        <v>46153.463125000002</v>
      </c>
      <c r="B699" s="46"/>
      <c r="C699" s="260"/>
      <c r="D699" s="46"/>
      <c r="E699" s="47" t="s">
        <v>4801</v>
      </c>
      <c r="F699" s="99" t="s">
        <v>5273</v>
      </c>
      <c r="G699" s="99"/>
      <c r="H699" s="59" t="s">
        <v>5274</v>
      </c>
      <c r="I699" s="71" t="s">
        <v>5275</v>
      </c>
      <c r="J699" s="100" t="s">
        <v>140</v>
      </c>
      <c r="K699" s="91">
        <v>0</v>
      </c>
      <c r="L699" s="91">
        <v>0</v>
      </c>
      <c r="M699" s="92">
        <v>90</v>
      </c>
      <c r="N699" s="92">
        <v>500</v>
      </c>
      <c r="O699" s="92">
        <v>1</v>
      </c>
      <c r="P699" s="92">
        <f t="shared" si="169"/>
        <v>500</v>
      </c>
      <c r="Q699" s="92"/>
      <c r="R699" s="102">
        <v>500</v>
      </c>
      <c r="S699" s="92">
        <f t="shared" si="170"/>
        <v>0</v>
      </c>
      <c r="T699" s="102">
        <f t="shared" si="164"/>
        <v>960</v>
      </c>
      <c r="U699" s="101">
        <f t="shared" si="165"/>
        <v>0</v>
      </c>
      <c r="V699" s="101">
        <f t="shared" si="166"/>
        <v>0</v>
      </c>
      <c r="W699" s="101">
        <v>0</v>
      </c>
      <c r="X699" s="55">
        <f t="shared" si="172"/>
        <v>46153.463125000002</v>
      </c>
    </row>
    <row r="700" spans="1:24" s="221" customFormat="1" hidden="1" x14ac:dyDescent="0.35">
      <c r="A700" s="46">
        <f t="shared" si="168"/>
        <v>46153.463125000002</v>
      </c>
      <c r="B700" s="46"/>
      <c r="C700" s="260"/>
      <c r="D700" s="46"/>
      <c r="E700" s="47" t="s">
        <v>4411</v>
      </c>
      <c r="F700" s="56" t="s">
        <v>4558</v>
      </c>
      <c r="G700" s="56"/>
      <c r="H700" s="49" t="s">
        <v>5276</v>
      </c>
      <c r="I700" s="858" t="s">
        <v>5277</v>
      </c>
      <c r="J700" s="100" t="s">
        <v>140</v>
      </c>
      <c r="K700" s="91">
        <v>0</v>
      </c>
      <c r="L700" s="91">
        <v>0</v>
      </c>
      <c r="M700" s="92">
        <v>50</v>
      </c>
      <c r="N700" s="92">
        <v>1000</v>
      </c>
      <c r="O700" s="92">
        <v>1</v>
      </c>
      <c r="P700" s="92">
        <f t="shared" si="169"/>
        <v>1000</v>
      </c>
      <c r="Q700" s="92"/>
      <c r="R700" s="92">
        <v>1000</v>
      </c>
      <c r="S700" s="92">
        <f t="shared" si="170"/>
        <v>0</v>
      </c>
      <c r="T700" s="102">
        <f t="shared" si="164"/>
        <v>1728</v>
      </c>
      <c r="U700" s="101">
        <f t="shared" si="165"/>
        <v>0</v>
      </c>
      <c r="V700" s="101">
        <f t="shared" si="166"/>
        <v>0</v>
      </c>
      <c r="W700" s="101">
        <v>0</v>
      </c>
      <c r="X700" s="55">
        <f t="shared" si="172"/>
        <v>46153.463125000002</v>
      </c>
    </row>
    <row r="701" spans="1:24" s="221" customFormat="1" hidden="1" x14ac:dyDescent="0.35">
      <c r="A701" s="46">
        <f t="shared" si="168"/>
        <v>46153.463125000002</v>
      </c>
      <c r="B701" s="46"/>
      <c r="C701" s="260"/>
      <c r="D701" s="46"/>
      <c r="E701" s="296" t="s">
        <v>4467</v>
      </c>
      <c r="F701" s="366" t="s">
        <v>14</v>
      </c>
      <c r="G701" s="366"/>
      <c r="H701" s="298" t="s">
        <v>1362</v>
      </c>
      <c r="I701" s="366" t="s">
        <v>5265</v>
      </c>
      <c r="J701" s="300" t="s">
        <v>140</v>
      </c>
      <c r="K701" s="352">
        <v>0</v>
      </c>
      <c r="L701" s="352">
        <v>0</v>
      </c>
      <c r="M701" s="353">
        <v>27</v>
      </c>
      <c r="N701" s="353">
        <v>1000</v>
      </c>
      <c r="O701" s="353">
        <v>4</v>
      </c>
      <c r="P701" s="302">
        <f t="shared" si="169"/>
        <v>250</v>
      </c>
      <c r="Q701" s="302"/>
      <c r="R701" s="353">
        <v>250</v>
      </c>
      <c r="S701" s="353">
        <f t="shared" si="170"/>
        <v>0</v>
      </c>
      <c r="T701" s="302">
        <f t="shared" si="164"/>
        <v>12800</v>
      </c>
      <c r="U701" s="301">
        <f t="shared" si="165"/>
        <v>0</v>
      </c>
      <c r="V701" s="301">
        <f t="shared" si="166"/>
        <v>0</v>
      </c>
      <c r="W701" s="301">
        <v>0</v>
      </c>
      <c r="X701" s="308">
        <f t="shared" si="172"/>
        <v>46153.463125000002</v>
      </c>
    </row>
    <row r="702" spans="1:24" s="221" customFormat="1" ht="26.5" hidden="1" x14ac:dyDescent="0.35">
      <c r="A702" s="46">
        <f t="shared" si="168"/>
        <v>46153.463125000002</v>
      </c>
      <c r="B702" s="46"/>
      <c r="C702" s="260"/>
      <c r="D702" s="46"/>
      <c r="E702" s="47" t="s">
        <v>4467</v>
      </c>
      <c r="F702" s="99" t="s">
        <v>5278</v>
      </c>
      <c r="G702" s="99"/>
      <c r="H702" s="59" t="s">
        <v>5279</v>
      </c>
      <c r="I702" s="71" t="s">
        <v>5275</v>
      </c>
      <c r="J702" s="100" t="s">
        <v>140</v>
      </c>
      <c r="K702" s="91">
        <v>0</v>
      </c>
      <c r="L702" s="91">
        <v>0</v>
      </c>
      <c r="M702" s="92">
        <v>90</v>
      </c>
      <c r="N702" s="92">
        <v>3000</v>
      </c>
      <c r="O702" s="92">
        <v>1</v>
      </c>
      <c r="P702" s="92">
        <f t="shared" si="169"/>
        <v>3000</v>
      </c>
      <c r="Q702" s="92"/>
      <c r="R702" s="102">
        <v>3000</v>
      </c>
      <c r="S702" s="92">
        <f t="shared" si="170"/>
        <v>0</v>
      </c>
      <c r="T702" s="102">
        <f t="shared" si="164"/>
        <v>960</v>
      </c>
      <c r="U702" s="101">
        <f t="shared" si="165"/>
        <v>0</v>
      </c>
      <c r="V702" s="101">
        <f t="shared" si="166"/>
        <v>0</v>
      </c>
      <c r="W702" s="101">
        <v>0</v>
      </c>
      <c r="X702" s="55">
        <f t="shared" si="172"/>
        <v>46153.463125000002</v>
      </c>
    </row>
    <row r="703" spans="1:24" ht="26.5" hidden="1" x14ac:dyDescent="0.35">
      <c r="A703" s="46">
        <f t="shared" si="168"/>
        <v>46153.463125000002</v>
      </c>
      <c r="B703" s="46"/>
      <c r="C703" s="260"/>
      <c r="D703" s="46"/>
      <c r="E703" s="47" t="s">
        <v>4467</v>
      </c>
      <c r="F703" s="97" t="s">
        <v>165</v>
      </c>
      <c r="G703" s="97"/>
      <c r="H703" s="98" t="s">
        <v>5280</v>
      </c>
      <c r="I703" s="82" t="s">
        <v>4986</v>
      </c>
      <c r="J703" s="100" t="s">
        <v>140</v>
      </c>
      <c r="K703" s="91">
        <v>0</v>
      </c>
      <c r="L703" s="91">
        <v>0</v>
      </c>
      <c r="M703" s="92">
        <v>70</v>
      </c>
      <c r="N703" s="92">
        <v>5000</v>
      </c>
      <c r="O703" s="92">
        <v>1</v>
      </c>
      <c r="P703" s="92">
        <f t="shared" si="169"/>
        <v>5000</v>
      </c>
      <c r="Q703" s="92"/>
      <c r="R703" s="102">
        <v>5000</v>
      </c>
      <c r="S703" s="92">
        <f t="shared" si="170"/>
        <v>0</v>
      </c>
      <c r="T703" s="102">
        <f t="shared" si="164"/>
        <v>1234.2857142857142</v>
      </c>
      <c r="U703" s="101">
        <f t="shared" si="165"/>
        <v>0</v>
      </c>
      <c r="V703" s="101">
        <f t="shared" si="166"/>
        <v>0</v>
      </c>
      <c r="W703" s="101">
        <v>0</v>
      </c>
      <c r="X703" s="55">
        <f t="shared" si="172"/>
        <v>46153.463125000002</v>
      </c>
    </row>
    <row r="704" spans="1:24" hidden="1" x14ac:dyDescent="0.35">
      <c r="A704" s="46">
        <f t="shared" si="168"/>
        <v>46153.463125000002</v>
      </c>
      <c r="B704" s="46"/>
      <c r="C704" s="260"/>
      <c r="D704" s="46"/>
      <c r="E704" s="47" t="s">
        <v>4467</v>
      </c>
      <c r="F704" s="99" t="s">
        <v>5047</v>
      </c>
      <c r="G704" s="99"/>
      <c r="H704" s="98" t="s">
        <v>5281</v>
      </c>
      <c r="I704" s="82" t="s">
        <v>4986</v>
      </c>
      <c r="J704" s="100" t="s">
        <v>140</v>
      </c>
      <c r="K704" s="91">
        <v>0</v>
      </c>
      <c r="L704" s="91">
        <v>0</v>
      </c>
      <c r="M704" s="92">
        <v>70</v>
      </c>
      <c r="N704" s="92">
        <v>7000</v>
      </c>
      <c r="O704" s="92">
        <v>1</v>
      </c>
      <c r="P704" s="92">
        <f t="shared" si="169"/>
        <v>7000</v>
      </c>
      <c r="Q704" s="92"/>
      <c r="R704" s="102">
        <v>7000</v>
      </c>
      <c r="S704" s="92">
        <f t="shared" si="170"/>
        <v>0</v>
      </c>
      <c r="T704" s="102">
        <f t="shared" si="164"/>
        <v>1234.2857142857142</v>
      </c>
      <c r="U704" s="101">
        <f t="shared" si="165"/>
        <v>0</v>
      </c>
      <c r="V704" s="101">
        <f t="shared" si="166"/>
        <v>0</v>
      </c>
      <c r="W704" s="101">
        <v>0</v>
      </c>
      <c r="X704" s="55">
        <f t="shared" si="172"/>
        <v>46153.463125000002</v>
      </c>
    </row>
    <row r="705" spans="1:24" s="221" customFormat="1" hidden="1" x14ac:dyDescent="0.35">
      <c r="A705" s="46">
        <f t="shared" si="168"/>
        <v>46153.463125000002</v>
      </c>
      <c r="B705" s="46"/>
      <c r="C705" s="260"/>
      <c r="D705" s="46"/>
      <c r="E705" s="47" t="s">
        <v>4467</v>
      </c>
      <c r="F705" s="97" t="s">
        <v>4898</v>
      </c>
      <c r="G705" s="97"/>
      <c r="H705" s="98" t="s">
        <v>5282</v>
      </c>
      <c r="I705" s="82" t="s">
        <v>4902</v>
      </c>
      <c r="J705" s="100" t="s">
        <v>140</v>
      </c>
      <c r="K705" s="91">
        <v>0</v>
      </c>
      <c r="L705" s="91">
        <v>0</v>
      </c>
      <c r="M705" s="92">
        <v>30</v>
      </c>
      <c r="N705" s="92">
        <v>72000</v>
      </c>
      <c r="O705" s="92">
        <v>6</v>
      </c>
      <c r="P705" s="92">
        <f t="shared" si="169"/>
        <v>12000</v>
      </c>
      <c r="Q705" s="92"/>
      <c r="R705" s="102">
        <v>12000</v>
      </c>
      <c r="S705" s="92">
        <f t="shared" si="170"/>
        <v>0</v>
      </c>
      <c r="T705" s="102">
        <f t="shared" si="164"/>
        <v>17280</v>
      </c>
      <c r="U705" s="101">
        <f t="shared" si="165"/>
        <v>0</v>
      </c>
      <c r="V705" s="101">
        <f t="shared" si="166"/>
        <v>0</v>
      </c>
      <c r="W705" s="101">
        <v>0</v>
      </c>
      <c r="X705" s="55">
        <f t="shared" si="172"/>
        <v>46153.463125000002</v>
      </c>
    </row>
    <row r="706" spans="1:24" s="221" customFormat="1" hidden="1" x14ac:dyDescent="0.35">
      <c r="A706" s="46">
        <f t="shared" si="168"/>
        <v>46153.463125000002</v>
      </c>
      <c r="B706" s="46"/>
      <c r="C706" s="260"/>
      <c r="D706" s="46"/>
      <c r="E706" s="47" t="s">
        <v>4467</v>
      </c>
      <c r="F706" s="82" t="s">
        <v>5283</v>
      </c>
      <c r="G706" s="82"/>
      <c r="H706" s="98" t="s">
        <v>5284</v>
      </c>
      <c r="I706" s="82" t="s">
        <v>4986</v>
      </c>
      <c r="J706" s="100" t="s">
        <v>140</v>
      </c>
      <c r="K706" s="91">
        <v>0</v>
      </c>
      <c r="L706" s="91">
        <v>0</v>
      </c>
      <c r="M706" s="92">
        <v>70</v>
      </c>
      <c r="N706" s="92">
        <f>1200*4</f>
        <v>4800</v>
      </c>
      <c r="O706" s="92">
        <v>1</v>
      </c>
      <c r="P706" s="92">
        <f t="shared" si="169"/>
        <v>4800</v>
      </c>
      <c r="Q706" s="92"/>
      <c r="R706" s="102">
        <v>4800</v>
      </c>
      <c r="S706" s="92">
        <f t="shared" si="170"/>
        <v>0</v>
      </c>
      <c r="T706" s="102">
        <f t="shared" ref="T706:T722" si="173">((3600/M706)*O706)*24</f>
        <v>1234.2857142857142</v>
      </c>
      <c r="U706" s="101">
        <f t="shared" ref="U706:U722" si="174">(P706-R706)*M706/3600</f>
        <v>0</v>
      </c>
      <c r="V706" s="101">
        <f t="shared" ref="V706:V722" si="175">(P706-R706)*M706/3600/24</f>
        <v>0</v>
      </c>
      <c r="W706" s="101">
        <v>0</v>
      </c>
      <c r="X706" s="55">
        <f t="shared" si="172"/>
        <v>46153.463125000002</v>
      </c>
    </row>
    <row r="707" spans="1:24" ht="26.5" hidden="1" x14ac:dyDescent="0.35">
      <c r="A707" s="46">
        <f t="shared" ref="A707:A724" si="176">X706</f>
        <v>46153.463125000002</v>
      </c>
      <c r="B707" s="46"/>
      <c r="C707" s="260"/>
      <c r="D707" s="46"/>
      <c r="E707" s="47" t="s">
        <v>4467</v>
      </c>
      <c r="F707" s="82" t="s">
        <v>5283</v>
      </c>
      <c r="G707" s="82"/>
      <c r="H707" s="98" t="s">
        <v>5285</v>
      </c>
      <c r="I707" s="316" t="s">
        <v>5042</v>
      </c>
      <c r="J707" s="51" t="s">
        <v>140</v>
      </c>
      <c r="K707" s="91">
        <v>0</v>
      </c>
      <c r="L707" s="91">
        <v>0</v>
      </c>
      <c r="M707" s="92">
        <v>70</v>
      </c>
      <c r="N707" s="92">
        <v>4800</v>
      </c>
      <c r="O707" s="92">
        <v>1</v>
      </c>
      <c r="P707" s="92">
        <f t="shared" si="169"/>
        <v>4800</v>
      </c>
      <c r="Q707" s="92"/>
      <c r="R707" s="92">
        <v>4800</v>
      </c>
      <c r="S707" s="92">
        <f t="shared" si="170"/>
        <v>0</v>
      </c>
      <c r="T707" s="92">
        <f t="shared" si="173"/>
        <v>1234.2857142857142</v>
      </c>
      <c r="U707" s="91">
        <f t="shared" si="174"/>
        <v>0</v>
      </c>
      <c r="V707" s="91">
        <f t="shared" si="175"/>
        <v>0</v>
      </c>
      <c r="W707" s="91">
        <v>0</v>
      </c>
      <c r="X707" s="55">
        <f>A707+K707+V707+W707+L707</f>
        <v>46153.463125000002</v>
      </c>
    </row>
    <row r="708" spans="1:24" s="221" customFormat="1" ht="26.5" hidden="1" x14ac:dyDescent="0.35">
      <c r="A708" s="46">
        <f t="shared" si="176"/>
        <v>46153.463125000002</v>
      </c>
      <c r="B708" s="46"/>
      <c r="C708" s="260"/>
      <c r="D708" s="46"/>
      <c r="E708" s="47" t="s">
        <v>4467</v>
      </c>
      <c r="F708" s="82" t="s">
        <v>4905</v>
      </c>
      <c r="G708" s="82"/>
      <c r="H708" s="98" t="s">
        <v>5286</v>
      </c>
      <c r="I708" s="316" t="s">
        <v>5042</v>
      </c>
      <c r="J708" s="51" t="s">
        <v>140</v>
      </c>
      <c r="K708" s="91">
        <v>0</v>
      </c>
      <c r="L708" s="91">
        <v>0</v>
      </c>
      <c r="M708" s="92">
        <v>70</v>
      </c>
      <c r="N708" s="92">
        <v>7500</v>
      </c>
      <c r="O708" s="92">
        <v>1</v>
      </c>
      <c r="P708" s="92">
        <f t="shared" si="169"/>
        <v>7500</v>
      </c>
      <c r="Q708" s="92"/>
      <c r="R708" s="92">
        <v>7500</v>
      </c>
      <c r="S708" s="92">
        <f t="shared" si="170"/>
        <v>0</v>
      </c>
      <c r="T708" s="92">
        <f t="shared" si="173"/>
        <v>1234.2857142857142</v>
      </c>
      <c r="U708" s="91">
        <f t="shared" si="174"/>
        <v>0</v>
      </c>
      <c r="V708" s="91">
        <f t="shared" si="175"/>
        <v>0</v>
      </c>
      <c r="W708" s="91">
        <v>0</v>
      </c>
      <c r="X708" s="55">
        <f>A708+K708+V708+W708+L708</f>
        <v>46153.463125000002</v>
      </c>
    </row>
    <row r="709" spans="1:24" s="221" customFormat="1" hidden="1" x14ac:dyDescent="0.35">
      <c r="A709" s="46">
        <f t="shared" si="176"/>
        <v>46153.463125000002</v>
      </c>
      <c r="B709" s="46"/>
      <c r="C709" s="260"/>
      <c r="D709" s="46"/>
      <c r="E709" s="47" t="s">
        <v>4467</v>
      </c>
      <c r="F709" s="97" t="s">
        <v>3479</v>
      </c>
      <c r="G709" s="97"/>
      <c r="H709" s="98" t="s">
        <v>5287</v>
      </c>
      <c r="I709" s="71" t="s">
        <v>3481</v>
      </c>
      <c r="J709" s="100" t="s">
        <v>140</v>
      </c>
      <c r="K709" s="91">
        <v>0</v>
      </c>
      <c r="L709" s="91">
        <v>0</v>
      </c>
      <c r="M709" s="92">
        <v>40</v>
      </c>
      <c r="N709" s="92">
        <v>5000</v>
      </c>
      <c r="O709" s="92">
        <v>1</v>
      </c>
      <c r="P709" s="92">
        <f t="shared" si="169"/>
        <v>5000</v>
      </c>
      <c r="Q709" s="92"/>
      <c r="R709" s="102">
        <v>5000</v>
      </c>
      <c r="S709" s="92">
        <f t="shared" si="170"/>
        <v>0</v>
      </c>
      <c r="T709" s="102">
        <f t="shared" si="173"/>
        <v>2160</v>
      </c>
      <c r="U709" s="101">
        <f t="shared" si="174"/>
        <v>0</v>
      </c>
      <c r="V709" s="101">
        <f t="shared" si="175"/>
        <v>0</v>
      </c>
      <c r="W709" s="101">
        <v>0</v>
      </c>
      <c r="X709" s="696">
        <f>A709+K709+V709+W709+L709</f>
        <v>46153.463125000002</v>
      </c>
    </row>
    <row r="710" spans="1:24" s="221" customFormat="1" hidden="1" x14ac:dyDescent="0.35">
      <c r="A710" s="46">
        <f t="shared" si="176"/>
        <v>46153.463125000002</v>
      </c>
      <c r="B710" s="46"/>
      <c r="C710" s="260"/>
      <c r="D710" s="46"/>
      <c r="E710" s="47" t="s">
        <v>4467</v>
      </c>
      <c r="F710" s="97" t="s">
        <v>1814</v>
      </c>
      <c r="G710" s="97"/>
      <c r="H710" s="108">
        <v>12205</v>
      </c>
      <c r="I710" s="82" t="s">
        <v>5288</v>
      </c>
      <c r="J710" s="51" t="s">
        <v>140</v>
      </c>
      <c r="K710" s="91">
        <v>0</v>
      </c>
      <c r="L710" s="91">
        <v>0</v>
      </c>
      <c r="M710" s="92">
        <v>40</v>
      </c>
      <c r="N710" s="92">
        <v>6000</v>
      </c>
      <c r="O710" s="92">
        <v>4</v>
      </c>
      <c r="P710" s="92">
        <f t="shared" si="169"/>
        <v>1500</v>
      </c>
      <c r="Q710" s="92"/>
      <c r="R710" s="92">
        <v>1500</v>
      </c>
      <c r="S710" s="92">
        <f t="shared" si="170"/>
        <v>0</v>
      </c>
      <c r="T710" s="92">
        <f t="shared" si="173"/>
        <v>8640</v>
      </c>
      <c r="U710" s="91">
        <f t="shared" si="174"/>
        <v>0</v>
      </c>
      <c r="V710" s="91">
        <f t="shared" si="175"/>
        <v>0</v>
      </c>
      <c r="W710" s="91">
        <v>0</v>
      </c>
      <c r="X710" s="55">
        <f>A710+K710+V710+W710+L710</f>
        <v>46153.463125000002</v>
      </c>
    </row>
    <row r="711" spans="1:24" hidden="1" x14ac:dyDescent="0.35">
      <c r="A711" s="46">
        <f t="shared" si="176"/>
        <v>46153.463125000002</v>
      </c>
      <c r="B711" s="46"/>
      <c r="C711" s="260"/>
      <c r="D711" s="46"/>
      <c r="E711" s="47" t="s">
        <v>4467</v>
      </c>
      <c r="F711" s="99" t="s">
        <v>5289</v>
      </c>
      <c r="G711" s="99"/>
      <c r="H711" s="98" t="s">
        <v>5290</v>
      </c>
      <c r="I711" s="106" t="s">
        <v>5291</v>
      </c>
      <c r="J711" s="100" t="s">
        <v>140</v>
      </c>
      <c r="K711" s="91">
        <v>0</v>
      </c>
      <c r="L711" s="91">
        <v>0</v>
      </c>
      <c r="M711" s="92">
        <v>50</v>
      </c>
      <c r="N711" s="92">
        <v>20000</v>
      </c>
      <c r="O711" s="92">
        <v>2</v>
      </c>
      <c r="P711" s="92">
        <f t="shared" si="169"/>
        <v>10000</v>
      </c>
      <c r="Q711" s="92"/>
      <c r="R711" s="92">
        <v>10000</v>
      </c>
      <c r="S711" s="92">
        <f t="shared" si="170"/>
        <v>0</v>
      </c>
      <c r="T711" s="102">
        <f t="shared" si="173"/>
        <v>3456</v>
      </c>
      <c r="U711" s="101">
        <f t="shared" si="174"/>
        <v>0</v>
      </c>
      <c r="V711" s="101">
        <f t="shared" si="175"/>
        <v>0</v>
      </c>
      <c r="W711" s="101">
        <v>0</v>
      </c>
      <c r="X711" s="55">
        <f t="shared" ref="X711:X717" si="177">A711+K711+L711+V711+W711</f>
        <v>46153.463125000002</v>
      </c>
    </row>
    <row r="712" spans="1:24" hidden="1" x14ac:dyDescent="0.35">
      <c r="A712" s="46">
        <f t="shared" si="176"/>
        <v>46153.463125000002</v>
      </c>
      <c r="B712" s="46"/>
      <c r="C712" s="260"/>
      <c r="D712" s="46"/>
      <c r="E712" s="47" t="s">
        <v>4467</v>
      </c>
      <c r="F712" s="97" t="s">
        <v>4607</v>
      </c>
      <c r="G712" s="97"/>
      <c r="H712" s="98" t="s">
        <v>5292</v>
      </c>
      <c r="I712" s="82" t="s">
        <v>5293</v>
      </c>
      <c r="J712" s="51" t="s">
        <v>140</v>
      </c>
      <c r="K712" s="91">
        <v>0</v>
      </c>
      <c r="L712" s="91">
        <v>0</v>
      </c>
      <c r="M712" s="92">
        <v>20</v>
      </c>
      <c r="N712" s="92">
        <v>1200</v>
      </c>
      <c r="O712" s="92">
        <v>1</v>
      </c>
      <c r="P712" s="92">
        <v>1200</v>
      </c>
      <c r="Q712" s="92"/>
      <c r="R712" s="92">
        <v>1200</v>
      </c>
      <c r="S712" s="92">
        <f t="shared" si="170"/>
        <v>0</v>
      </c>
      <c r="T712" s="92">
        <f t="shared" si="173"/>
        <v>4320</v>
      </c>
      <c r="U712" s="91">
        <f t="shared" si="174"/>
        <v>0</v>
      </c>
      <c r="V712" s="91">
        <f t="shared" si="175"/>
        <v>0</v>
      </c>
      <c r="W712" s="91">
        <v>0</v>
      </c>
      <c r="X712" s="55">
        <f t="shared" si="177"/>
        <v>46153.463125000002</v>
      </c>
    </row>
    <row r="713" spans="1:24" hidden="1" x14ac:dyDescent="0.35">
      <c r="A713" s="46">
        <f t="shared" si="176"/>
        <v>46153.463125000002</v>
      </c>
      <c r="B713" s="46"/>
      <c r="C713" s="260"/>
      <c r="D713" s="46"/>
      <c r="E713" s="47" t="s">
        <v>4467</v>
      </c>
      <c r="F713" s="62" t="s">
        <v>5294</v>
      </c>
      <c r="G713" s="62"/>
      <c r="H713" s="49" t="s">
        <v>5295</v>
      </c>
      <c r="I713" s="82" t="s">
        <v>5209</v>
      </c>
      <c r="J713" s="51" t="s">
        <v>140</v>
      </c>
      <c r="K713" s="91">
        <v>0</v>
      </c>
      <c r="L713" s="91">
        <v>0</v>
      </c>
      <c r="M713" s="53">
        <v>30</v>
      </c>
      <c r="N713" s="53">
        <v>5000</v>
      </c>
      <c r="O713" s="53">
        <v>1</v>
      </c>
      <c r="P713" s="53">
        <f t="shared" ref="P713:P726" si="178">N713/O713</f>
        <v>5000</v>
      </c>
      <c r="Q713" s="53"/>
      <c r="R713" s="53">
        <v>5000</v>
      </c>
      <c r="S713" s="53">
        <f t="shared" si="170"/>
        <v>0</v>
      </c>
      <c r="T713" s="53">
        <f t="shared" si="173"/>
        <v>2880</v>
      </c>
      <c r="U713" s="52">
        <f t="shared" si="174"/>
        <v>0</v>
      </c>
      <c r="V713" s="52">
        <f t="shared" si="175"/>
        <v>0</v>
      </c>
      <c r="W713" s="52">
        <v>0</v>
      </c>
      <c r="X713" s="55">
        <f t="shared" si="177"/>
        <v>46153.463125000002</v>
      </c>
    </row>
    <row r="714" spans="1:24" hidden="1" x14ac:dyDescent="0.35">
      <c r="A714" s="46">
        <f t="shared" si="176"/>
        <v>46153.463125000002</v>
      </c>
      <c r="B714" s="46"/>
      <c r="C714" s="260"/>
      <c r="D714" s="46"/>
      <c r="E714" s="296" t="s">
        <v>4467</v>
      </c>
      <c r="F714" s="366" t="s">
        <v>14</v>
      </c>
      <c r="G714" s="366"/>
      <c r="H714" s="298" t="s">
        <v>1321</v>
      </c>
      <c r="I714" s="297" t="s">
        <v>4902</v>
      </c>
      <c r="J714" s="300" t="s">
        <v>140</v>
      </c>
      <c r="K714" s="91">
        <v>0</v>
      </c>
      <c r="L714" s="91">
        <v>0</v>
      </c>
      <c r="M714" s="353">
        <v>30</v>
      </c>
      <c r="N714" s="353">
        <v>20</v>
      </c>
      <c r="O714" s="353">
        <v>4</v>
      </c>
      <c r="P714" s="353">
        <f t="shared" si="178"/>
        <v>5</v>
      </c>
      <c r="Q714" s="353"/>
      <c r="R714" s="302">
        <v>5</v>
      </c>
      <c r="S714" s="353">
        <f t="shared" si="170"/>
        <v>0</v>
      </c>
      <c r="T714" s="302">
        <f t="shared" si="173"/>
        <v>11520</v>
      </c>
      <c r="U714" s="301">
        <f t="shared" si="174"/>
        <v>0</v>
      </c>
      <c r="V714" s="301">
        <f t="shared" si="175"/>
        <v>0</v>
      </c>
      <c r="W714" s="301">
        <v>0</v>
      </c>
      <c r="X714" s="308">
        <f t="shared" si="177"/>
        <v>46153.463125000002</v>
      </c>
    </row>
    <row r="715" spans="1:24" hidden="1" x14ac:dyDescent="0.35">
      <c r="A715" s="46">
        <f t="shared" si="176"/>
        <v>46153.463125000002</v>
      </c>
      <c r="B715" s="46"/>
      <c r="C715" s="260"/>
      <c r="D715" s="46"/>
      <c r="E715" s="47" t="s">
        <v>4467</v>
      </c>
      <c r="F715" s="82" t="s">
        <v>1831</v>
      </c>
      <c r="G715" s="82"/>
      <c r="H715" s="98" t="s">
        <v>5296</v>
      </c>
      <c r="I715" s="99" t="s">
        <v>5297</v>
      </c>
      <c r="J715" s="51" t="s">
        <v>140</v>
      </c>
      <c r="K715" s="91">
        <v>0</v>
      </c>
      <c r="L715" s="91">
        <v>0</v>
      </c>
      <c r="M715" s="92">
        <v>40</v>
      </c>
      <c r="N715" s="92">
        <v>2000</v>
      </c>
      <c r="O715" s="92">
        <v>4</v>
      </c>
      <c r="P715" s="92">
        <f t="shared" si="178"/>
        <v>500</v>
      </c>
      <c r="Q715" s="92"/>
      <c r="R715" s="92">
        <v>500</v>
      </c>
      <c r="S715" s="92">
        <f t="shared" si="170"/>
        <v>0</v>
      </c>
      <c r="T715" s="92">
        <f t="shared" si="173"/>
        <v>8640</v>
      </c>
      <c r="U715" s="91">
        <f t="shared" si="174"/>
        <v>0</v>
      </c>
      <c r="V715" s="91">
        <f t="shared" si="175"/>
        <v>0</v>
      </c>
      <c r="W715" s="91">
        <v>0</v>
      </c>
      <c r="X715" s="55">
        <f t="shared" si="177"/>
        <v>46153.463125000002</v>
      </c>
    </row>
    <row r="716" spans="1:24" hidden="1" x14ac:dyDescent="0.35">
      <c r="A716" s="46">
        <f t="shared" si="176"/>
        <v>46153.463125000002</v>
      </c>
      <c r="B716" s="46"/>
      <c r="C716" s="260"/>
      <c r="D716" s="46"/>
      <c r="E716" s="47" t="s">
        <v>4467</v>
      </c>
      <c r="F716" s="82" t="s">
        <v>1831</v>
      </c>
      <c r="G716" s="82"/>
      <c r="H716" s="98" t="s">
        <v>5298</v>
      </c>
      <c r="I716" s="99" t="s">
        <v>5299</v>
      </c>
      <c r="J716" s="51" t="s">
        <v>140</v>
      </c>
      <c r="K716" s="91">
        <v>0</v>
      </c>
      <c r="L716" s="91">
        <v>0</v>
      </c>
      <c r="M716" s="92">
        <v>40</v>
      </c>
      <c r="N716" s="92">
        <v>2000</v>
      </c>
      <c r="O716" s="92">
        <v>4</v>
      </c>
      <c r="P716" s="92">
        <f t="shared" si="178"/>
        <v>500</v>
      </c>
      <c r="Q716" s="92"/>
      <c r="R716" s="92">
        <v>500</v>
      </c>
      <c r="S716" s="92">
        <f t="shared" si="170"/>
        <v>0</v>
      </c>
      <c r="T716" s="92">
        <f t="shared" si="173"/>
        <v>8640</v>
      </c>
      <c r="U716" s="91">
        <f t="shared" si="174"/>
        <v>0</v>
      </c>
      <c r="V716" s="91">
        <f t="shared" si="175"/>
        <v>0</v>
      </c>
      <c r="W716" s="91">
        <v>0</v>
      </c>
      <c r="X716" s="55">
        <f t="shared" si="177"/>
        <v>46153.463125000002</v>
      </c>
    </row>
    <row r="717" spans="1:24" hidden="1" x14ac:dyDescent="0.35">
      <c r="A717" s="46">
        <f t="shared" si="176"/>
        <v>46153.463125000002</v>
      </c>
      <c r="B717" s="46"/>
      <c r="C717" s="260"/>
      <c r="D717" s="46"/>
      <c r="E717" s="47" t="s">
        <v>4467</v>
      </c>
      <c r="F717" s="82" t="s">
        <v>5300</v>
      </c>
      <c r="G717" s="82"/>
      <c r="H717" s="98" t="s">
        <v>5301</v>
      </c>
      <c r="I717" s="82" t="s">
        <v>5169</v>
      </c>
      <c r="J717" s="51" t="s">
        <v>140</v>
      </c>
      <c r="K717" s="91">
        <v>0</v>
      </c>
      <c r="L717" s="91">
        <v>0</v>
      </c>
      <c r="M717" s="92">
        <v>45</v>
      </c>
      <c r="N717" s="92">
        <v>8000</v>
      </c>
      <c r="O717" s="92">
        <v>2</v>
      </c>
      <c r="P717" s="92">
        <f t="shared" si="178"/>
        <v>4000</v>
      </c>
      <c r="Q717" s="92"/>
      <c r="R717" s="102">
        <v>4000</v>
      </c>
      <c r="S717" s="92">
        <f t="shared" si="170"/>
        <v>0</v>
      </c>
      <c r="T717" s="102">
        <f t="shared" si="173"/>
        <v>3840</v>
      </c>
      <c r="U717" s="101">
        <f t="shared" si="174"/>
        <v>0</v>
      </c>
      <c r="V717" s="101">
        <f t="shared" si="175"/>
        <v>0</v>
      </c>
      <c r="W717" s="101">
        <v>0</v>
      </c>
      <c r="X717" s="55">
        <f t="shared" si="177"/>
        <v>46153.463125000002</v>
      </c>
    </row>
    <row r="718" spans="1:24" ht="26.5" hidden="1" x14ac:dyDescent="0.35">
      <c r="A718" s="46">
        <f t="shared" si="176"/>
        <v>46153.463125000002</v>
      </c>
      <c r="B718" s="46"/>
      <c r="C718" s="260"/>
      <c r="D718" s="46"/>
      <c r="E718" s="47" t="s">
        <v>4467</v>
      </c>
      <c r="F718" s="82" t="s">
        <v>3493</v>
      </c>
      <c r="G718" s="82"/>
      <c r="H718" s="98" t="s">
        <v>5302</v>
      </c>
      <c r="I718" s="316" t="s">
        <v>5042</v>
      </c>
      <c r="J718" s="51" t="s">
        <v>140</v>
      </c>
      <c r="K718" s="91">
        <v>0</v>
      </c>
      <c r="L718" s="91">
        <v>0</v>
      </c>
      <c r="M718" s="92">
        <v>70</v>
      </c>
      <c r="N718" s="92">
        <v>7200</v>
      </c>
      <c r="O718" s="92">
        <v>1</v>
      </c>
      <c r="P718" s="92">
        <f t="shared" si="178"/>
        <v>7200</v>
      </c>
      <c r="Q718" s="92"/>
      <c r="R718" s="92">
        <v>7200</v>
      </c>
      <c r="S718" s="92">
        <f t="shared" si="170"/>
        <v>0</v>
      </c>
      <c r="T718" s="92">
        <f t="shared" si="173"/>
        <v>1234.2857142857142</v>
      </c>
      <c r="U718" s="91">
        <f t="shared" si="174"/>
        <v>0</v>
      </c>
      <c r="V718" s="91">
        <f t="shared" si="175"/>
        <v>0</v>
      </c>
      <c r="W718" s="91">
        <v>0</v>
      </c>
      <c r="X718" s="55">
        <f>A718+K718+V718+W718+L718</f>
        <v>46153.463125000002</v>
      </c>
    </row>
    <row r="719" spans="1:24" hidden="1" x14ac:dyDescent="0.35">
      <c r="A719" s="46">
        <f t="shared" si="176"/>
        <v>46153.463125000002</v>
      </c>
      <c r="B719" s="46"/>
      <c r="C719" s="260"/>
      <c r="D719" s="46"/>
      <c r="E719" s="47" t="s">
        <v>4467</v>
      </c>
      <c r="F719" s="99" t="s">
        <v>5303</v>
      </c>
      <c r="G719" s="99"/>
      <c r="H719" s="98" t="s">
        <v>5304</v>
      </c>
      <c r="I719" s="106" t="s">
        <v>5291</v>
      </c>
      <c r="J719" s="100" t="s">
        <v>140</v>
      </c>
      <c r="K719" s="91">
        <v>0</v>
      </c>
      <c r="L719" s="91">
        <v>0</v>
      </c>
      <c r="M719" s="92">
        <v>50</v>
      </c>
      <c r="N719" s="92">
        <v>20000</v>
      </c>
      <c r="O719" s="92">
        <v>2</v>
      </c>
      <c r="P719" s="92">
        <f t="shared" si="178"/>
        <v>10000</v>
      </c>
      <c r="Q719" s="92"/>
      <c r="R719" s="92">
        <v>10000</v>
      </c>
      <c r="S719" s="92">
        <f t="shared" si="170"/>
        <v>0</v>
      </c>
      <c r="T719" s="102">
        <f t="shared" si="173"/>
        <v>3456</v>
      </c>
      <c r="U719" s="101">
        <f t="shared" si="174"/>
        <v>0</v>
      </c>
      <c r="V719" s="101">
        <f t="shared" si="175"/>
        <v>0</v>
      </c>
      <c r="W719" s="101">
        <v>0</v>
      </c>
      <c r="X719" s="55">
        <f>A719+K719+L719+V719+W719</f>
        <v>46153.463125000002</v>
      </c>
    </row>
    <row r="720" spans="1:24" ht="26.5" hidden="1" x14ac:dyDescent="0.35">
      <c r="A720" s="46">
        <f t="shared" si="176"/>
        <v>46153.463125000002</v>
      </c>
      <c r="B720" s="46"/>
      <c r="C720" s="260"/>
      <c r="D720" s="46"/>
      <c r="E720" s="47" t="s">
        <v>4467</v>
      </c>
      <c r="F720" s="51" t="s">
        <v>3498</v>
      </c>
      <c r="G720" s="51" t="s">
        <v>315</v>
      </c>
      <c r="H720" s="98" t="s">
        <v>5305</v>
      </c>
      <c r="I720" s="316" t="s">
        <v>5042</v>
      </c>
      <c r="J720" s="51" t="s">
        <v>140</v>
      </c>
      <c r="K720" s="91">
        <v>0</v>
      </c>
      <c r="L720" s="91">
        <v>0</v>
      </c>
      <c r="M720" s="92">
        <v>70</v>
      </c>
      <c r="N720" s="94">
        <v>10500</v>
      </c>
      <c r="O720" s="92">
        <v>1</v>
      </c>
      <c r="P720" s="94">
        <f t="shared" si="178"/>
        <v>10500</v>
      </c>
      <c r="Q720" s="94"/>
      <c r="R720" s="92">
        <v>10500</v>
      </c>
      <c r="S720" s="92">
        <f t="shared" si="170"/>
        <v>0</v>
      </c>
      <c r="T720" s="92">
        <f t="shared" si="173"/>
        <v>1234.2857142857142</v>
      </c>
      <c r="U720" s="91">
        <f t="shared" si="174"/>
        <v>0</v>
      </c>
      <c r="V720" s="91">
        <f t="shared" si="175"/>
        <v>0</v>
      </c>
      <c r="W720" s="91">
        <v>0</v>
      </c>
      <c r="X720" s="55">
        <f>A720+K720+V720+W720+L720</f>
        <v>46153.463125000002</v>
      </c>
    </row>
    <row r="721" spans="1:24" ht="26.5" hidden="1" x14ac:dyDescent="0.35">
      <c r="A721" s="46">
        <f t="shared" si="176"/>
        <v>46153.463125000002</v>
      </c>
      <c r="B721" s="46"/>
      <c r="C721" s="260"/>
      <c r="D721" s="46"/>
      <c r="E721" s="47" t="s">
        <v>4467</v>
      </c>
      <c r="F721" s="51" t="s">
        <v>5306</v>
      </c>
      <c r="G721" s="51" t="s">
        <v>780</v>
      </c>
      <c r="H721" s="98" t="s">
        <v>5307</v>
      </c>
      <c r="I721" s="316" t="s">
        <v>5042</v>
      </c>
      <c r="J721" s="51" t="s">
        <v>140</v>
      </c>
      <c r="K721" s="91">
        <v>0</v>
      </c>
      <c r="L721" s="91">
        <v>0</v>
      </c>
      <c r="M721" s="92">
        <v>70</v>
      </c>
      <c r="N721" s="94">
        <v>15000</v>
      </c>
      <c r="O721" s="92">
        <v>1</v>
      </c>
      <c r="P721" s="94">
        <f t="shared" si="178"/>
        <v>15000</v>
      </c>
      <c r="Q721" s="94"/>
      <c r="R721" s="92">
        <v>15000</v>
      </c>
      <c r="S721" s="92">
        <f t="shared" si="170"/>
        <v>0</v>
      </c>
      <c r="T721" s="92">
        <f t="shared" si="173"/>
        <v>1234.2857142857142</v>
      </c>
      <c r="U721" s="91">
        <f t="shared" si="174"/>
        <v>0</v>
      </c>
      <c r="V721" s="91">
        <f t="shared" si="175"/>
        <v>0</v>
      </c>
      <c r="W721" s="91">
        <v>0</v>
      </c>
      <c r="X721" s="55">
        <f>A721+K721+V721+W721+L721</f>
        <v>46153.463125000002</v>
      </c>
    </row>
    <row r="722" spans="1:24" s="511" customFormat="1" ht="26.5" hidden="1" x14ac:dyDescent="0.35">
      <c r="A722" s="46">
        <f t="shared" si="176"/>
        <v>46153.463125000002</v>
      </c>
      <c r="B722" s="46"/>
      <c r="C722" s="260"/>
      <c r="D722" s="46"/>
      <c r="E722" s="47" t="s">
        <v>4467</v>
      </c>
      <c r="F722" s="51" t="s">
        <v>5306</v>
      </c>
      <c r="G722" s="51" t="s">
        <v>780</v>
      </c>
      <c r="H722" s="98" t="s">
        <v>5308</v>
      </c>
      <c r="I722" s="316" t="s">
        <v>5042</v>
      </c>
      <c r="J722" s="51" t="s">
        <v>140</v>
      </c>
      <c r="K722" s="91">
        <v>0</v>
      </c>
      <c r="L722" s="91">
        <v>0</v>
      </c>
      <c r="M722" s="92">
        <v>70</v>
      </c>
      <c r="N722" s="94">
        <v>19142</v>
      </c>
      <c r="O722" s="92">
        <v>1</v>
      </c>
      <c r="P722" s="94">
        <f t="shared" si="178"/>
        <v>19142</v>
      </c>
      <c r="Q722" s="94"/>
      <c r="R722" s="92">
        <f>6355+12787</f>
        <v>19142</v>
      </c>
      <c r="S722" s="92">
        <f t="shared" ref="S722:S725" si="179">P722-R722</f>
        <v>0</v>
      </c>
      <c r="T722" s="92">
        <f t="shared" si="173"/>
        <v>1234.2857142857142</v>
      </c>
      <c r="U722" s="91">
        <f t="shared" si="174"/>
        <v>0</v>
      </c>
      <c r="V722" s="91">
        <f t="shared" si="175"/>
        <v>0</v>
      </c>
      <c r="W722" s="91">
        <v>0</v>
      </c>
      <c r="X722" s="55">
        <f>A722+K722+V722+W722+L722</f>
        <v>46153.463125000002</v>
      </c>
    </row>
    <row r="723" spans="1:24" s="511" customFormat="1" ht="26.5" hidden="1" x14ac:dyDescent="0.35">
      <c r="A723" s="46">
        <f t="shared" si="176"/>
        <v>46153.463125000002</v>
      </c>
      <c r="B723" s="46">
        <v>46059</v>
      </c>
      <c r="C723" s="260">
        <f t="shared" ref="C723:C728" si="180">B723-A723</f>
        <v>-94.463125000002037</v>
      </c>
      <c r="D723" s="260"/>
      <c r="E723" s="47" t="s">
        <v>4467</v>
      </c>
      <c r="F723" s="51" t="s">
        <v>5306</v>
      </c>
      <c r="G723" s="51" t="s">
        <v>780</v>
      </c>
      <c r="H723" s="98" t="s">
        <v>5308</v>
      </c>
      <c r="I723" s="316" t="s">
        <v>5042</v>
      </c>
      <c r="J723" s="51" t="s">
        <v>140</v>
      </c>
      <c r="K723" s="91">
        <v>0</v>
      </c>
      <c r="L723" s="91">
        <v>0</v>
      </c>
      <c r="M723" s="92">
        <v>70</v>
      </c>
      <c r="N723" s="94">
        <v>20000</v>
      </c>
      <c r="O723" s="92">
        <v>1</v>
      </c>
      <c r="P723" s="94">
        <f t="shared" si="178"/>
        <v>20000</v>
      </c>
      <c r="Q723" s="181">
        <v>0.8</v>
      </c>
      <c r="R723" s="92">
        <v>20000</v>
      </c>
      <c r="S723" s="103">
        <f t="shared" si="179"/>
        <v>0</v>
      </c>
      <c r="T723" s="173">
        <f>((3600/M723)*O723)*24*Q723</f>
        <v>987.42857142857144</v>
      </c>
      <c r="U723" s="101">
        <f>(P723-R723)*M723/3600/Q723</f>
        <v>0</v>
      </c>
      <c r="V723" s="101">
        <f>U723/24</f>
        <v>0</v>
      </c>
      <c r="W723" s="101">
        <v>0</v>
      </c>
      <c r="X723" s="55">
        <f>A723+K723+V723+W723+L723</f>
        <v>46153.463125000002</v>
      </c>
    </row>
    <row r="724" spans="1:24" s="511" customFormat="1" ht="26.5" hidden="1" x14ac:dyDescent="0.35">
      <c r="A724" s="46">
        <f t="shared" si="176"/>
        <v>46153.463125000002</v>
      </c>
      <c r="B724" s="46">
        <v>46084</v>
      </c>
      <c r="C724" s="260">
        <f t="shared" si="180"/>
        <v>-69.463125000002037</v>
      </c>
      <c r="D724" s="260"/>
      <c r="E724" s="47" t="s">
        <v>4467</v>
      </c>
      <c r="F724" s="51" t="s">
        <v>633</v>
      </c>
      <c r="G724" s="51" t="s">
        <v>3526</v>
      </c>
      <c r="H724" s="98" t="s">
        <v>5170</v>
      </c>
      <c r="I724" s="316" t="s">
        <v>5042</v>
      </c>
      <c r="J724" s="51" t="s">
        <v>140</v>
      </c>
      <c r="K724" s="91">
        <v>0</v>
      </c>
      <c r="L724" s="91">
        <v>0</v>
      </c>
      <c r="M724" s="92">
        <v>90</v>
      </c>
      <c r="N724" s="94">
        <v>24000</v>
      </c>
      <c r="O724" s="92">
        <v>1</v>
      </c>
      <c r="P724" s="94">
        <f t="shared" si="178"/>
        <v>24000</v>
      </c>
      <c r="Q724" s="181">
        <v>0.8</v>
      </c>
      <c r="R724" s="92">
        <v>24000</v>
      </c>
      <c r="S724" s="103">
        <f t="shared" si="179"/>
        <v>0</v>
      </c>
      <c r="T724" s="173">
        <f>((3600/M724)*O724)*24*Q724</f>
        <v>768</v>
      </c>
      <c r="U724" s="101">
        <f>(P724-R724)*M724/3600/Q724</f>
        <v>0</v>
      </c>
      <c r="V724" s="101">
        <f>U724/24</f>
        <v>0</v>
      </c>
      <c r="W724" s="101">
        <v>0</v>
      </c>
      <c r="X724" s="55">
        <f>A724+K724+V724+W724+L724</f>
        <v>46153.463125000002</v>
      </c>
    </row>
    <row r="725" spans="1:24" s="511" customFormat="1" hidden="1" x14ac:dyDescent="0.35">
      <c r="A725" s="46">
        <f>X120</f>
        <v>46153.45</v>
      </c>
      <c r="B725" s="46">
        <v>46085</v>
      </c>
      <c r="C725" s="260">
        <f t="shared" si="180"/>
        <v>-68.44999999999709</v>
      </c>
      <c r="D725" s="46"/>
      <c r="E725" s="47" t="s">
        <v>4467</v>
      </c>
      <c r="F725" s="82" t="s">
        <v>5309</v>
      </c>
      <c r="G725" s="82" t="s">
        <v>398</v>
      </c>
      <c r="H725" s="98" t="s">
        <v>5310</v>
      </c>
      <c r="I725" s="82" t="s">
        <v>5311</v>
      </c>
      <c r="J725" s="491" t="s">
        <v>140</v>
      </c>
      <c r="K725" s="91">
        <v>0</v>
      </c>
      <c r="L725" s="91">
        <v>0</v>
      </c>
      <c r="M725" s="92">
        <v>50</v>
      </c>
      <c r="N725" s="94">
        <v>2500</v>
      </c>
      <c r="O725" s="92">
        <v>2</v>
      </c>
      <c r="P725" s="94">
        <f t="shared" si="178"/>
        <v>1250</v>
      </c>
      <c r="Q725" s="181">
        <v>0.8</v>
      </c>
      <c r="R725" s="92">
        <v>1250</v>
      </c>
      <c r="S725" s="92">
        <f t="shared" si="179"/>
        <v>0</v>
      </c>
      <c r="T725" s="102">
        <f>((3600/M725)*O725)*24</f>
        <v>3456</v>
      </c>
      <c r="U725" s="101">
        <f>(P725-R725)*M725/3600</f>
        <v>0</v>
      </c>
      <c r="V725" s="101">
        <f>(P725-R725)*M725/3600/24</f>
        <v>0</v>
      </c>
      <c r="W725" s="101">
        <v>0</v>
      </c>
      <c r="X725" s="696">
        <f>A725+K725+L725+V725+W725</f>
        <v>46153.45</v>
      </c>
    </row>
    <row r="726" spans="1:24" s="511" customFormat="1" ht="26.5" hidden="1" x14ac:dyDescent="0.35">
      <c r="A726" s="71">
        <f t="shared" ref="A726:A728" si="181">X725</f>
        <v>46153.45</v>
      </c>
      <c r="B726" s="71">
        <v>46084</v>
      </c>
      <c r="C726" s="260">
        <f t="shared" si="180"/>
        <v>-69.44999999999709</v>
      </c>
      <c r="D726" s="260" t="s">
        <v>2673</v>
      </c>
      <c r="E726" s="47" t="s">
        <v>4467</v>
      </c>
      <c r="F726" s="82" t="s">
        <v>355</v>
      </c>
      <c r="G726" s="99" t="s">
        <v>839</v>
      </c>
      <c r="H726" s="107" t="s">
        <v>4399</v>
      </c>
      <c r="I726" s="69" t="s">
        <v>3525</v>
      </c>
      <c r="J726" s="51" t="s">
        <v>140</v>
      </c>
      <c r="K726" s="91">
        <v>0</v>
      </c>
      <c r="L726" s="91">
        <v>0</v>
      </c>
      <c r="M726" s="92">
        <v>32</v>
      </c>
      <c r="N726" s="94">
        <v>34000</v>
      </c>
      <c r="O726" s="345">
        <v>2</v>
      </c>
      <c r="P726" s="94">
        <f t="shared" si="178"/>
        <v>17000</v>
      </c>
      <c r="Q726" s="181">
        <v>0.8</v>
      </c>
      <c r="R726" s="92">
        <v>17000</v>
      </c>
      <c r="S726" s="102">
        <v>15555</v>
      </c>
      <c r="T726" s="173">
        <f>((3600/M726)*O726)*24*Q726</f>
        <v>4320</v>
      </c>
      <c r="U726" s="101">
        <f>(P726-R726)*M726/3600/Q726</f>
        <v>0</v>
      </c>
      <c r="V726" s="101">
        <f>U726/24</f>
        <v>0</v>
      </c>
      <c r="W726" s="101">
        <v>0</v>
      </c>
      <c r="X726" s="55">
        <f>A726+K726+V726+W726+L726</f>
        <v>46153.45</v>
      </c>
    </row>
    <row r="727" spans="1:24" s="511" customFormat="1" hidden="1" x14ac:dyDescent="0.35">
      <c r="A727" s="46">
        <f t="shared" si="181"/>
        <v>46153.45</v>
      </c>
      <c r="B727" s="46">
        <v>46126</v>
      </c>
      <c r="C727" s="260">
        <f>B727-A727</f>
        <v>-27.44999999999709</v>
      </c>
      <c r="D727" s="46"/>
      <c r="E727" s="47" t="s">
        <v>4467</v>
      </c>
      <c r="F727" s="82" t="s">
        <v>5312</v>
      </c>
      <c r="G727" s="82" t="s">
        <v>1675</v>
      </c>
      <c r="H727" s="98" t="s">
        <v>5313</v>
      </c>
      <c r="I727" s="82" t="s">
        <v>5314</v>
      </c>
      <c r="J727" s="100" t="s">
        <v>140</v>
      </c>
      <c r="K727" s="91">
        <v>0</v>
      </c>
      <c r="L727" s="91">
        <v>0</v>
      </c>
      <c r="M727" s="92">
        <v>25</v>
      </c>
      <c r="N727" s="94">
        <v>5000</v>
      </c>
      <c r="O727" s="92">
        <v>8</v>
      </c>
      <c r="P727" s="94">
        <f>N727/O727</f>
        <v>625</v>
      </c>
      <c r="Q727" s="181">
        <v>0.8</v>
      </c>
      <c r="R727" s="103">
        <v>625</v>
      </c>
      <c r="S727" s="102">
        <f>P727-R727</f>
        <v>0</v>
      </c>
      <c r="T727" s="173">
        <f>((3600/M727)*O727)*24*Q727</f>
        <v>22118.400000000001</v>
      </c>
      <c r="U727" s="101">
        <f>(P727-R727)*M727/3600/Q727</f>
        <v>0</v>
      </c>
      <c r="V727" s="101">
        <f>U727/24</f>
        <v>0</v>
      </c>
      <c r="W727" s="101">
        <v>0</v>
      </c>
      <c r="X727" s="55">
        <f>A727+K727+V727+W727+L727</f>
        <v>46153.45</v>
      </c>
    </row>
    <row r="728" spans="1:24" s="511" customFormat="1" hidden="1" x14ac:dyDescent="0.35">
      <c r="A728" s="46">
        <f t="shared" si="181"/>
        <v>46153.45</v>
      </c>
      <c r="B728" s="46">
        <v>46131</v>
      </c>
      <c r="C728" s="260">
        <f t="shared" si="180"/>
        <v>-22.44999999999709</v>
      </c>
      <c r="D728" s="46"/>
      <c r="E728" s="47" t="s">
        <v>4467</v>
      </c>
      <c r="F728" s="82" t="s">
        <v>2674</v>
      </c>
      <c r="G728" s="48" t="s">
        <v>411</v>
      </c>
      <c r="H728" s="59" t="s">
        <v>5315</v>
      </c>
      <c r="I728" s="82" t="s">
        <v>5316</v>
      </c>
      <c r="J728" s="51" t="s">
        <v>140</v>
      </c>
      <c r="K728" s="91">
        <v>0</v>
      </c>
      <c r="L728" s="91">
        <v>0</v>
      </c>
      <c r="M728" s="92">
        <v>30</v>
      </c>
      <c r="N728" s="94">
        <v>8100</v>
      </c>
      <c r="O728" s="92">
        <v>2</v>
      </c>
      <c r="P728" s="94">
        <f t="shared" ref="P728" si="182">N728/O728</f>
        <v>4050</v>
      </c>
      <c r="Q728" s="181">
        <v>0.8</v>
      </c>
      <c r="R728" s="92">
        <v>4050</v>
      </c>
      <c r="S728" s="103">
        <f t="shared" ref="S728" si="183">P728-R728</f>
        <v>0</v>
      </c>
      <c r="T728" s="173">
        <f t="shared" ref="T728" si="184">((3600/M728)*O728)*24*Q728</f>
        <v>4608</v>
      </c>
      <c r="U728" s="101">
        <f t="shared" ref="U728" si="185">(P728-R728)*M728/3600/Q728</f>
        <v>0</v>
      </c>
      <c r="V728" s="101">
        <f t="shared" ref="V728" si="186">U728/24</f>
        <v>0</v>
      </c>
      <c r="W728" s="101">
        <v>0</v>
      </c>
      <c r="X728" s="55">
        <f>A728+K728+L728+V728+W728</f>
        <v>46153.45</v>
      </c>
    </row>
    <row r="729" spans="1:24" s="511" customFormat="1" hidden="1" x14ac:dyDescent="0.35">
      <c r="A729" s="46">
        <f>X728</f>
        <v>46153.45</v>
      </c>
      <c r="B729" s="46">
        <v>46127</v>
      </c>
      <c r="C729" s="260">
        <f>B729-A729</f>
        <v>-26.44999999999709</v>
      </c>
      <c r="D729" s="46"/>
      <c r="E729" s="47" t="s">
        <v>4467</v>
      </c>
      <c r="F729" s="82" t="s">
        <v>5312</v>
      </c>
      <c r="G729" s="82" t="s">
        <v>1675</v>
      </c>
      <c r="H729" s="98" t="s">
        <v>5317</v>
      </c>
      <c r="I729" s="99" t="s">
        <v>5318</v>
      </c>
      <c r="J729" s="51" t="s">
        <v>140</v>
      </c>
      <c r="K729" s="91">
        <v>0</v>
      </c>
      <c r="L729" s="91">
        <v>0</v>
      </c>
      <c r="M729" s="92">
        <v>40</v>
      </c>
      <c r="N729" s="94">
        <v>2000</v>
      </c>
      <c r="O729" s="92">
        <v>2</v>
      </c>
      <c r="P729" s="94">
        <f>N729/O729</f>
        <v>1000</v>
      </c>
      <c r="Q729" s="181">
        <v>0.8</v>
      </c>
      <c r="R729" s="103">
        <v>1000</v>
      </c>
      <c r="S729" s="102">
        <f>P729-R729</f>
        <v>0</v>
      </c>
      <c r="T729" s="173">
        <f>((3600/M729)*O729)*24*Q729</f>
        <v>3456</v>
      </c>
      <c r="U729" s="101">
        <f>(P729-R729)*M729/3600/Q729</f>
        <v>0</v>
      </c>
      <c r="V729" s="101">
        <f>U729/24</f>
        <v>0</v>
      </c>
      <c r="W729" s="101">
        <v>0</v>
      </c>
      <c r="X729" s="55">
        <f>A729+K729+V729+W729+L729</f>
        <v>46153.45</v>
      </c>
    </row>
    <row r="730" spans="1:24" s="511" customFormat="1" hidden="1" x14ac:dyDescent="0.35">
      <c r="A730" s="46">
        <f t="shared" ref="A730:A731" si="187">X729</f>
        <v>46153.45</v>
      </c>
      <c r="B730" s="46">
        <v>46128</v>
      </c>
      <c r="C730" s="260">
        <f>B730-A730</f>
        <v>-25.44999999999709</v>
      </c>
      <c r="D730" s="46"/>
      <c r="E730" s="47" t="s">
        <v>4467</v>
      </c>
      <c r="F730" s="82" t="s">
        <v>5312</v>
      </c>
      <c r="G730" s="82" t="s">
        <v>1675</v>
      </c>
      <c r="H730" s="98" t="s">
        <v>5319</v>
      </c>
      <c r="I730" s="99" t="s">
        <v>5012</v>
      </c>
      <c r="J730" s="51" t="s">
        <v>140</v>
      </c>
      <c r="K730" s="91">
        <v>0</v>
      </c>
      <c r="L730" s="91">
        <v>0</v>
      </c>
      <c r="M730" s="92">
        <v>40</v>
      </c>
      <c r="N730" s="94">
        <v>5000</v>
      </c>
      <c r="O730" s="92">
        <v>2</v>
      </c>
      <c r="P730" s="94">
        <f>N730/O730</f>
        <v>2500</v>
      </c>
      <c r="Q730" s="181">
        <v>0.8</v>
      </c>
      <c r="R730" s="103">
        <v>2500</v>
      </c>
      <c r="S730" s="102">
        <f>P730-R730</f>
        <v>0</v>
      </c>
      <c r="T730" s="173">
        <f>((3600/M730)*O730)*24*Q730</f>
        <v>3456</v>
      </c>
      <c r="U730" s="101">
        <f>(P730-R730)*M730/3600/Q730</f>
        <v>0</v>
      </c>
      <c r="V730" s="101">
        <f>U730/24</f>
        <v>0</v>
      </c>
      <c r="W730" s="101">
        <v>0</v>
      </c>
      <c r="X730" s="55">
        <f>A730+K730+V730+W730+L730</f>
        <v>46153.45</v>
      </c>
    </row>
    <row r="731" spans="1:24" s="121" customFormat="1" ht="15" hidden="1" customHeight="1" x14ac:dyDescent="0.35">
      <c r="A731" s="46">
        <f t="shared" si="187"/>
        <v>46153.45</v>
      </c>
      <c r="B731" s="431">
        <v>46135</v>
      </c>
      <c r="C731" s="837">
        <f>B731-A731</f>
        <v>-18.44999999999709</v>
      </c>
      <c r="D731" s="431"/>
      <c r="E731" s="432" t="s">
        <v>4467</v>
      </c>
      <c r="F731" s="838" t="s">
        <v>1583</v>
      </c>
      <c r="G731" s="838" t="s">
        <v>411</v>
      </c>
      <c r="H731" s="434" t="s">
        <v>5320</v>
      </c>
      <c r="I731" s="838" t="s">
        <v>4465</v>
      </c>
      <c r="J731" s="839" t="s">
        <v>140</v>
      </c>
      <c r="K731" s="840">
        <v>0</v>
      </c>
      <c r="L731" s="437">
        <v>0</v>
      </c>
      <c r="M731" s="841">
        <v>40</v>
      </c>
      <c r="N731" s="843">
        <v>40000</v>
      </c>
      <c r="O731" s="841">
        <v>1</v>
      </c>
      <c r="P731" s="843">
        <f>N731/O731</f>
        <v>40000</v>
      </c>
      <c r="Q731" s="842">
        <v>0.8</v>
      </c>
      <c r="R731" s="438">
        <v>40000</v>
      </c>
      <c r="S731" s="843">
        <f>P731-R731</f>
        <v>0</v>
      </c>
      <c r="T731" s="844">
        <f>((3600/M731)*O731)*24*Q731</f>
        <v>1728</v>
      </c>
      <c r="U731" s="840">
        <f>(P731-R731)*M731/3600/Q731</f>
        <v>0</v>
      </c>
      <c r="V731" s="840">
        <f>U731/24</f>
        <v>0</v>
      </c>
      <c r="W731" s="840">
        <v>0</v>
      </c>
      <c r="X731" s="845">
        <f>A731+K731+L731+V731+W731</f>
        <v>46153.45</v>
      </c>
    </row>
    <row r="732" spans="1:24" s="202" customFormat="1" x14ac:dyDescent="0.35">
      <c r="A732" s="193">
        <f>X731</f>
        <v>46153.45</v>
      </c>
      <c r="B732" s="481">
        <v>46135</v>
      </c>
      <c r="C732" s="938">
        <f>B732-A732</f>
        <v>-18.44999999999709</v>
      </c>
      <c r="D732" s="481"/>
      <c r="E732" s="939" t="s">
        <v>4467</v>
      </c>
      <c r="F732" s="940" t="s">
        <v>1583</v>
      </c>
      <c r="G732" s="940" t="s">
        <v>411</v>
      </c>
      <c r="H732" s="941" t="s">
        <v>5321</v>
      </c>
      <c r="I732" s="940" t="s">
        <v>4465</v>
      </c>
      <c r="J732" s="942" t="s">
        <v>140</v>
      </c>
      <c r="K732" s="943">
        <v>0</v>
      </c>
      <c r="L732" s="944">
        <v>0</v>
      </c>
      <c r="M732" s="945">
        <v>40</v>
      </c>
      <c r="N732" s="946">
        <v>40000</v>
      </c>
      <c r="O732" s="945">
        <v>1</v>
      </c>
      <c r="P732" s="946">
        <f>N732/O732</f>
        <v>40000</v>
      </c>
      <c r="Q732" s="947">
        <v>0.8</v>
      </c>
      <c r="R732" s="948">
        <v>1645</v>
      </c>
      <c r="S732" s="946">
        <f>P732-R732</f>
        <v>38355</v>
      </c>
      <c r="T732" s="949">
        <f>((3600/M732)*O732)*24*Q732</f>
        <v>1728</v>
      </c>
      <c r="U732" s="943">
        <f>(P732-R732)*M732/3600/Q732</f>
        <v>532.70833333333337</v>
      </c>
      <c r="V732" s="943">
        <f>U732/24</f>
        <v>22.196180555555557</v>
      </c>
      <c r="W732" s="943">
        <v>0</v>
      </c>
      <c r="X732" s="950">
        <f>A732+K732+L732+V732+W732</f>
        <v>46175.646180555552</v>
      </c>
    </row>
    <row r="733" spans="1:24" s="487" customFormat="1" ht="25" hidden="1" customHeight="1" x14ac:dyDescent="0.35">
      <c r="A733" s="203"/>
      <c r="B733" s="847"/>
      <c r="C733" s="951"/>
      <c r="D733" s="847"/>
      <c r="E733" s="952"/>
      <c r="F733" s="953"/>
      <c r="G733" s="953"/>
      <c r="H733" s="954"/>
      <c r="I733" s="953"/>
      <c r="J733" s="955"/>
      <c r="K733" s="956"/>
      <c r="L733" s="957"/>
      <c r="M733" s="958"/>
      <c r="N733" s="959"/>
      <c r="O733" s="958"/>
      <c r="P733" s="959"/>
      <c r="Q733" s="960"/>
      <c r="R733" s="961"/>
      <c r="S733" s="959"/>
      <c r="T733" s="962"/>
      <c r="U733" s="956"/>
      <c r="V733" s="956"/>
      <c r="W733" s="956"/>
      <c r="X733" s="963"/>
    </row>
    <row r="734" spans="1:24" ht="25" customHeight="1" x14ac:dyDescent="0.8">
      <c r="A734" s="35" t="s">
        <v>5256</v>
      </c>
      <c r="B734" s="35"/>
      <c r="C734" s="787"/>
      <c r="D734" s="35"/>
      <c r="E734" s="36"/>
      <c r="F734" s="389"/>
      <c r="G734" s="389"/>
      <c r="H734" s="311" t="s">
        <v>4269</v>
      </c>
      <c r="I734" s="214"/>
      <c r="J734" s="40"/>
      <c r="K734" s="41"/>
      <c r="L734" s="41"/>
      <c r="M734" s="42"/>
      <c r="N734" s="43"/>
      <c r="O734" s="44"/>
      <c r="P734" s="44"/>
      <c r="Q734" s="44"/>
      <c r="R734" s="43"/>
      <c r="S734" s="44"/>
      <c r="T734" s="44"/>
      <c r="U734" s="44"/>
      <c r="V734" s="44"/>
      <c r="W734" s="44"/>
      <c r="X734" s="45"/>
    </row>
    <row r="735" spans="1:24" hidden="1" x14ac:dyDescent="0.35">
      <c r="A735" s="46">
        <f>S7</f>
        <v>46153</v>
      </c>
      <c r="B735" s="46"/>
      <c r="C735" s="260"/>
      <c r="D735" s="46"/>
      <c r="E735" s="47" t="s">
        <v>5256</v>
      </c>
      <c r="F735" s="48" t="s">
        <v>55</v>
      </c>
      <c r="G735" s="48"/>
      <c r="H735" s="59" t="s">
        <v>5322</v>
      </c>
      <c r="I735" s="82" t="s">
        <v>5323</v>
      </c>
      <c r="J735" s="51"/>
      <c r="K735" s="52">
        <v>0</v>
      </c>
      <c r="L735" s="52">
        <v>0</v>
      </c>
      <c r="M735" s="53">
        <v>40</v>
      </c>
      <c r="N735" s="53">
        <v>6500</v>
      </c>
      <c r="O735" s="53">
        <v>1</v>
      </c>
      <c r="P735" s="53">
        <v>8318</v>
      </c>
      <c r="Q735" s="53"/>
      <c r="R735" s="53">
        <v>8318</v>
      </c>
      <c r="S735" s="53">
        <f t="shared" ref="S735:S743" si="188">P735-R735</f>
        <v>0</v>
      </c>
      <c r="T735" s="53">
        <f t="shared" ref="T735:T798" si="189">((3600/M735)*O735)*24</f>
        <v>2160</v>
      </c>
      <c r="U735" s="52">
        <f t="shared" ref="U735:U743" si="190">(P735-R735)*M735/3600</f>
        <v>0</v>
      </c>
      <c r="V735" s="52">
        <f t="shared" ref="V735:V743" si="191">(P735-R735)*M735/3600/24</f>
        <v>0</v>
      </c>
      <c r="W735" s="52">
        <v>0</v>
      </c>
      <c r="X735" s="55">
        <f t="shared" ref="X735:X798" si="192">A735+K735+L735+V735+W735</f>
        <v>46153</v>
      </c>
    </row>
    <row r="736" spans="1:24" hidden="1" x14ac:dyDescent="0.35">
      <c r="A736" s="46">
        <f t="shared" ref="A736:A799" si="193">X735</f>
        <v>46153</v>
      </c>
      <c r="B736" s="46"/>
      <c r="C736" s="260"/>
      <c r="D736" s="46"/>
      <c r="E736" s="47" t="s">
        <v>4411</v>
      </c>
      <c r="F736" s="48" t="s">
        <v>2696</v>
      </c>
      <c r="G736" s="48"/>
      <c r="H736" s="49">
        <v>7674</v>
      </c>
      <c r="I736" s="82" t="s">
        <v>5324</v>
      </c>
      <c r="J736" s="51"/>
      <c r="K736" s="52">
        <v>0</v>
      </c>
      <c r="L736" s="52">
        <v>0</v>
      </c>
      <c r="M736" s="53">
        <v>60</v>
      </c>
      <c r="N736" s="53">
        <v>2500</v>
      </c>
      <c r="O736" s="53">
        <v>2</v>
      </c>
      <c r="P736" s="53">
        <f>N736/O736</f>
        <v>1250</v>
      </c>
      <c r="Q736" s="53"/>
      <c r="R736" s="53">
        <v>1250</v>
      </c>
      <c r="S736" s="53">
        <f t="shared" si="188"/>
        <v>0</v>
      </c>
      <c r="T736" s="53">
        <f t="shared" si="189"/>
        <v>2880</v>
      </c>
      <c r="U736" s="52">
        <f t="shared" si="190"/>
        <v>0</v>
      </c>
      <c r="V736" s="52">
        <f t="shared" si="191"/>
        <v>0</v>
      </c>
      <c r="W736" s="52">
        <v>0</v>
      </c>
      <c r="X736" s="55">
        <f t="shared" si="192"/>
        <v>46153</v>
      </c>
    </row>
    <row r="737" spans="1:24" hidden="1" x14ac:dyDescent="0.35">
      <c r="A737" s="46">
        <f t="shared" si="193"/>
        <v>46153</v>
      </c>
      <c r="B737" s="46"/>
      <c r="C737" s="260"/>
      <c r="D737" s="46"/>
      <c r="E737" s="47" t="s">
        <v>4411</v>
      </c>
      <c r="F737" s="48" t="s">
        <v>1931</v>
      </c>
      <c r="G737" s="48"/>
      <c r="H737" s="49">
        <v>7674</v>
      </c>
      <c r="I737" s="82" t="s">
        <v>5324</v>
      </c>
      <c r="J737" s="51"/>
      <c r="K737" s="52">
        <v>0</v>
      </c>
      <c r="L737" s="52">
        <v>0</v>
      </c>
      <c r="M737" s="53">
        <v>60</v>
      </c>
      <c r="N737" s="53">
        <v>2500</v>
      </c>
      <c r="O737" s="53">
        <v>2</v>
      </c>
      <c r="P737" s="53">
        <f>N737/O737</f>
        <v>1250</v>
      </c>
      <c r="Q737" s="53"/>
      <c r="R737" s="53">
        <v>1250</v>
      </c>
      <c r="S737" s="53">
        <f t="shared" si="188"/>
        <v>0</v>
      </c>
      <c r="T737" s="53">
        <f t="shared" si="189"/>
        <v>2880</v>
      </c>
      <c r="U737" s="52">
        <f t="shared" si="190"/>
        <v>0</v>
      </c>
      <c r="V737" s="52">
        <f t="shared" si="191"/>
        <v>0</v>
      </c>
      <c r="W737" s="52">
        <v>0</v>
      </c>
      <c r="X737" s="55">
        <f t="shared" si="192"/>
        <v>46153</v>
      </c>
    </row>
    <row r="738" spans="1:24" ht="29" hidden="1" x14ac:dyDescent="0.35">
      <c r="A738" s="46">
        <f t="shared" si="193"/>
        <v>46153</v>
      </c>
      <c r="B738" s="46"/>
      <c r="C738" s="260"/>
      <c r="D738" s="46"/>
      <c r="E738" s="47" t="s">
        <v>4411</v>
      </c>
      <c r="F738" s="48" t="s">
        <v>1933</v>
      </c>
      <c r="G738" s="48"/>
      <c r="H738" s="49">
        <v>7674</v>
      </c>
      <c r="I738" s="82" t="s">
        <v>5324</v>
      </c>
      <c r="J738" s="51"/>
      <c r="K738" s="52">
        <v>0</v>
      </c>
      <c r="L738" s="52">
        <v>0</v>
      </c>
      <c r="M738" s="53">
        <v>60</v>
      </c>
      <c r="N738" s="53">
        <v>5000</v>
      </c>
      <c r="O738" s="53">
        <v>2</v>
      </c>
      <c r="P738" s="53">
        <v>2942</v>
      </c>
      <c r="Q738" s="53"/>
      <c r="R738" s="53">
        <f>-1250+4192</f>
        <v>2942</v>
      </c>
      <c r="S738" s="53">
        <f t="shared" si="188"/>
        <v>0</v>
      </c>
      <c r="T738" s="53">
        <f t="shared" si="189"/>
        <v>2880</v>
      </c>
      <c r="U738" s="52">
        <f t="shared" si="190"/>
        <v>0</v>
      </c>
      <c r="V738" s="52">
        <f t="shared" si="191"/>
        <v>0</v>
      </c>
      <c r="W738" s="52">
        <v>0</v>
      </c>
      <c r="X738" s="55">
        <f t="shared" si="192"/>
        <v>46153</v>
      </c>
    </row>
    <row r="739" spans="1:24" hidden="1" x14ac:dyDescent="0.35">
      <c r="A739" s="46">
        <f t="shared" si="193"/>
        <v>46153</v>
      </c>
      <c r="B739" s="46"/>
      <c r="C739" s="260"/>
      <c r="D739" s="46"/>
      <c r="E739" s="47" t="s">
        <v>5256</v>
      </c>
      <c r="F739" s="57" t="s">
        <v>5325</v>
      </c>
      <c r="G739" s="57"/>
      <c r="H739" s="49" t="s">
        <v>1362</v>
      </c>
      <c r="I739" s="82" t="s">
        <v>5326</v>
      </c>
      <c r="J739" s="51"/>
      <c r="K739" s="52">
        <v>0</v>
      </c>
      <c r="L739" s="52">
        <v>0</v>
      </c>
      <c r="M739" s="53">
        <v>35</v>
      </c>
      <c r="N739" s="53">
        <v>60</v>
      </c>
      <c r="O739" s="53">
        <v>6</v>
      </c>
      <c r="P739" s="53">
        <f>N739/O739</f>
        <v>10</v>
      </c>
      <c r="Q739" s="53"/>
      <c r="R739" s="53">
        <v>10</v>
      </c>
      <c r="S739" s="53">
        <f t="shared" si="188"/>
        <v>0</v>
      </c>
      <c r="T739" s="53">
        <f t="shared" si="189"/>
        <v>14811.428571428571</v>
      </c>
      <c r="U739" s="52">
        <f t="shared" si="190"/>
        <v>0</v>
      </c>
      <c r="V739" s="52">
        <f t="shared" si="191"/>
        <v>0</v>
      </c>
      <c r="W739" s="52">
        <v>0</v>
      </c>
      <c r="X739" s="55">
        <f t="shared" si="192"/>
        <v>46153</v>
      </c>
    </row>
    <row r="740" spans="1:24" ht="29" hidden="1" x14ac:dyDescent="0.35">
      <c r="A740" s="46">
        <f t="shared" si="193"/>
        <v>46153</v>
      </c>
      <c r="B740" s="46"/>
      <c r="C740" s="260"/>
      <c r="D740" s="46"/>
      <c r="E740" s="47" t="s">
        <v>5256</v>
      </c>
      <c r="F740" s="57" t="s">
        <v>5327</v>
      </c>
      <c r="G740" s="57"/>
      <c r="H740" s="49">
        <v>7232</v>
      </c>
      <c r="I740" s="82" t="s">
        <v>5326</v>
      </c>
      <c r="J740" s="51"/>
      <c r="K740" s="52">
        <v>0</v>
      </c>
      <c r="L740" s="52">
        <v>0</v>
      </c>
      <c r="M740" s="53">
        <v>35</v>
      </c>
      <c r="N740" s="53">
        <f>X739</f>
        <v>46153</v>
      </c>
      <c r="O740" s="53">
        <v>6</v>
      </c>
      <c r="P740" s="53">
        <f>N740/O740</f>
        <v>7692.166666666667</v>
      </c>
      <c r="Q740" s="53"/>
      <c r="R740" s="53">
        <v>7495</v>
      </c>
      <c r="S740" s="53">
        <f t="shared" si="188"/>
        <v>197.16666666666697</v>
      </c>
      <c r="T740" s="53">
        <f t="shared" si="189"/>
        <v>14811.428571428571</v>
      </c>
      <c r="U740" s="52">
        <f t="shared" si="190"/>
        <v>1.9168981481481511</v>
      </c>
      <c r="V740" s="52">
        <f t="shared" si="191"/>
        <v>7.9870756172839633E-2</v>
      </c>
      <c r="W740" s="52">
        <v>0</v>
      </c>
      <c r="X740" s="55">
        <f t="shared" si="192"/>
        <v>46153.07987075617</v>
      </c>
    </row>
    <row r="741" spans="1:24" ht="43.5" hidden="1" x14ac:dyDescent="0.35">
      <c r="A741" s="46">
        <f t="shared" si="193"/>
        <v>46153.07987075617</v>
      </c>
      <c r="B741" s="46"/>
      <c r="C741" s="260"/>
      <c r="D741" s="46"/>
      <c r="E741" s="47" t="s">
        <v>5256</v>
      </c>
      <c r="F741" s="48" t="s">
        <v>5328</v>
      </c>
      <c r="G741" s="48"/>
      <c r="H741" s="49">
        <v>7232</v>
      </c>
      <c r="I741" s="82" t="s">
        <v>5326</v>
      </c>
      <c r="J741" s="51"/>
      <c r="K741" s="52">
        <v>0</v>
      </c>
      <c r="L741" s="52">
        <v>0</v>
      </c>
      <c r="M741" s="53">
        <v>35</v>
      </c>
      <c r="N741" s="53">
        <v>47000</v>
      </c>
      <c r="O741" s="53">
        <v>6</v>
      </c>
      <c r="P741" s="53">
        <v>12927</v>
      </c>
      <c r="Q741" s="53"/>
      <c r="R741" s="53">
        <f>-7493+17820+2600</f>
        <v>12927</v>
      </c>
      <c r="S741" s="53">
        <f t="shared" si="188"/>
        <v>0</v>
      </c>
      <c r="T741" s="53">
        <f t="shared" si="189"/>
        <v>14811.428571428571</v>
      </c>
      <c r="U741" s="52">
        <f t="shared" si="190"/>
        <v>0</v>
      </c>
      <c r="V741" s="52">
        <f t="shared" si="191"/>
        <v>0</v>
      </c>
      <c r="W741" s="52">
        <v>0</v>
      </c>
      <c r="X741" s="55">
        <f t="shared" si="192"/>
        <v>46153.07987075617</v>
      </c>
    </row>
    <row r="742" spans="1:24" hidden="1" x14ac:dyDescent="0.35">
      <c r="A742" s="46">
        <f t="shared" si="193"/>
        <v>46153.07987075617</v>
      </c>
      <c r="B742" s="46"/>
      <c r="C742" s="260"/>
      <c r="D742" s="46"/>
      <c r="E742" s="47"/>
      <c r="F742" s="48" t="s">
        <v>5195</v>
      </c>
      <c r="G742" s="48"/>
      <c r="H742" s="49">
        <v>7766</v>
      </c>
      <c r="I742" s="99" t="s">
        <v>5329</v>
      </c>
      <c r="J742" s="51"/>
      <c r="K742" s="52">
        <v>0</v>
      </c>
      <c r="L742" s="52">
        <v>0</v>
      </c>
      <c r="M742" s="53">
        <v>40</v>
      </c>
      <c r="N742" s="53">
        <v>10000</v>
      </c>
      <c r="O742" s="53">
        <v>4</v>
      </c>
      <c r="P742" s="53">
        <v>2552</v>
      </c>
      <c r="Q742" s="53"/>
      <c r="R742" s="53">
        <v>2552</v>
      </c>
      <c r="S742" s="53">
        <f t="shared" si="188"/>
        <v>0</v>
      </c>
      <c r="T742" s="53">
        <f t="shared" si="189"/>
        <v>8640</v>
      </c>
      <c r="U742" s="52">
        <f t="shared" si="190"/>
        <v>0</v>
      </c>
      <c r="V742" s="52">
        <f t="shared" si="191"/>
        <v>0</v>
      </c>
      <c r="W742" s="52">
        <v>0</v>
      </c>
      <c r="X742" s="55">
        <f t="shared" si="192"/>
        <v>46153.07987075617</v>
      </c>
    </row>
    <row r="743" spans="1:24" hidden="1" x14ac:dyDescent="0.35">
      <c r="A743" s="46">
        <f t="shared" si="193"/>
        <v>46153.07987075617</v>
      </c>
      <c r="B743" s="46"/>
      <c r="C743" s="260"/>
      <c r="D743" s="46"/>
      <c r="E743" s="47" t="s">
        <v>5256</v>
      </c>
      <c r="F743" s="48" t="s">
        <v>5330</v>
      </c>
      <c r="G743" s="48"/>
      <c r="H743" s="49">
        <v>6723</v>
      </c>
      <c r="I743" s="99" t="s">
        <v>5331</v>
      </c>
      <c r="J743" s="51"/>
      <c r="K743" s="52">
        <v>0</v>
      </c>
      <c r="L743" s="52">
        <v>0</v>
      </c>
      <c r="M743" s="53">
        <v>40</v>
      </c>
      <c r="N743" s="53">
        <v>16000</v>
      </c>
      <c r="O743" s="53">
        <v>5</v>
      </c>
      <c r="P743" s="53">
        <v>3274</v>
      </c>
      <c r="Q743" s="53"/>
      <c r="R743" s="53">
        <v>3274</v>
      </c>
      <c r="S743" s="53">
        <f t="shared" si="188"/>
        <v>0</v>
      </c>
      <c r="T743" s="53">
        <f t="shared" si="189"/>
        <v>10800</v>
      </c>
      <c r="U743" s="52">
        <f t="shared" si="190"/>
        <v>0</v>
      </c>
      <c r="V743" s="52">
        <f t="shared" si="191"/>
        <v>0</v>
      </c>
      <c r="W743" s="52">
        <v>0</v>
      </c>
      <c r="X743" s="55">
        <f t="shared" si="192"/>
        <v>46153.07987075617</v>
      </c>
    </row>
    <row r="744" spans="1:24" hidden="1" x14ac:dyDescent="0.35">
      <c r="A744" s="46">
        <f t="shared" si="193"/>
        <v>46153.07987075617</v>
      </c>
      <c r="B744" s="46"/>
      <c r="C744" s="260"/>
      <c r="D744" s="46"/>
      <c r="E744" s="47"/>
      <c r="F744" s="56" t="s">
        <v>1321</v>
      </c>
      <c r="G744" s="56"/>
      <c r="H744" s="49" t="s">
        <v>1321</v>
      </c>
      <c r="I744" s="85" t="s">
        <v>5332</v>
      </c>
      <c r="J744" s="51"/>
      <c r="K744" s="52">
        <v>0</v>
      </c>
      <c r="L744" s="52">
        <v>0</v>
      </c>
      <c r="M744" s="53">
        <v>40</v>
      </c>
      <c r="N744" s="53">
        <v>20</v>
      </c>
      <c r="O744" s="53">
        <v>2</v>
      </c>
      <c r="P744" s="53"/>
      <c r="Q744" s="53"/>
      <c r="R744" s="53"/>
      <c r="S744" s="53"/>
      <c r="T744" s="53">
        <f t="shared" si="189"/>
        <v>4320</v>
      </c>
      <c r="U744" s="52"/>
      <c r="V744" s="52">
        <v>0</v>
      </c>
      <c r="W744" s="52">
        <v>0</v>
      </c>
      <c r="X744" s="55">
        <f t="shared" si="192"/>
        <v>46153.07987075617</v>
      </c>
    </row>
    <row r="745" spans="1:24" ht="29" hidden="1" x14ac:dyDescent="0.35">
      <c r="A745" s="46">
        <f t="shared" si="193"/>
        <v>46153.07987075617</v>
      </c>
      <c r="B745" s="46"/>
      <c r="C745" s="260"/>
      <c r="D745" s="46"/>
      <c r="E745" s="47"/>
      <c r="F745" s="48" t="s">
        <v>5333</v>
      </c>
      <c r="G745" s="48"/>
      <c r="H745" s="59" t="s">
        <v>5334</v>
      </c>
      <c r="I745" s="390" t="s">
        <v>5335</v>
      </c>
      <c r="J745" s="51"/>
      <c r="K745" s="52">
        <v>0</v>
      </c>
      <c r="L745" s="52">
        <v>0</v>
      </c>
      <c r="M745" s="53">
        <v>40</v>
      </c>
      <c r="N745" s="53">
        <v>1500</v>
      </c>
      <c r="O745" s="53">
        <v>1</v>
      </c>
      <c r="P745" s="53">
        <v>1851</v>
      </c>
      <c r="Q745" s="53"/>
      <c r="R745" s="53">
        <v>1851</v>
      </c>
      <c r="S745" s="53">
        <f t="shared" ref="S745:S769" si="194">P745-R745</f>
        <v>0</v>
      </c>
      <c r="T745" s="53">
        <f t="shared" si="189"/>
        <v>2160</v>
      </c>
      <c r="U745" s="52">
        <f t="shared" ref="U745:U808" si="195">(P745-R745)*M745/3600</f>
        <v>0</v>
      </c>
      <c r="V745" s="52">
        <f t="shared" ref="V745:V808" si="196">(P745-R745)*M745/3600/24</f>
        <v>0</v>
      </c>
      <c r="W745" s="52">
        <v>0</v>
      </c>
      <c r="X745" s="55">
        <f t="shared" si="192"/>
        <v>46153.07987075617</v>
      </c>
    </row>
    <row r="746" spans="1:24" ht="29" hidden="1" x14ac:dyDescent="0.35">
      <c r="A746" s="46">
        <f t="shared" si="193"/>
        <v>46153.07987075617</v>
      </c>
      <c r="B746" s="46"/>
      <c r="C746" s="260"/>
      <c r="D746" s="46"/>
      <c r="E746" s="47"/>
      <c r="F746" s="48" t="s">
        <v>5333</v>
      </c>
      <c r="G746" s="48"/>
      <c r="H746" s="59" t="s">
        <v>5336</v>
      </c>
      <c r="I746" s="390" t="s">
        <v>5337</v>
      </c>
      <c r="J746" s="51"/>
      <c r="K746" s="52">
        <v>0</v>
      </c>
      <c r="L746" s="52">
        <v>0</v>
      </c>
      <c r="M746" s="53">
        <v>30</v>
      </c>
      <c r="N746" s="53">
        <v>1500</v>
      </c>
      <c r="O746" s="53">
        <v>1</v>
      </c>
      <c r="P746" s="53">
        <v>1651</v>
      </c>
      <c r="Q746" s="53"/>
      <c r="R746" s="53">
        <v>1651</v>
      </c>
      <c r="S746" s="53">
        <f t="shared" si="194"/>
        <v>0</v>
      </c>
      <c r="T746" s="53">
        <f t="shared" si="189"/>
        <v>2880</v>
      </c>
      <c r="U746" s="52">
        <f t="shared" si="195"/>
        <v>0</v>
      </c>
      <c r="V746" s="52">
        <f t="shared" si="196"/>
        <v>0</v>
      </c>
      <c r="W746" s="52">
        <v>0</v>
      </c>
      <c r="X746" s="55">
        <f t="shared" si="192"/>
        <v>46153.07987075617</v>
      </c>
    </row>
    <row r="747" spans="1:24" hidden="1" x14ac:dyDescent="0.35">
      <c r="A747" s="46">
        <f t="shared" si="193"/>
        <v>46153.07987075617</v>
      </c>
      <c r="B747" s="46"/>
      <c r="C747" s="260"/>
      <c r="D747" s="46"/>
      <c r="E747" s="47"/>
      <c r="F747" s="48" t="s">
        <v>5338</v>
      </c>
      <c r="G747" s="48"/>
      <c r="H747" s="59" t="s">
        <v>5339</v>
      </c>
      <c r="I747" s="390" t="s">
        <v>5340</v>
      </c>
      <c r="J747" s="51"/>
      <c r="K747" s="52">
        <v>0</v>
      </c>
      <c r="L747" s="52">
        <v>0</v>
      </c>
      <c r="M747" s="53">
        <v>35</v>
      </c>
      <c r="N747" s="53">
        <v>1500</v>
      </c>
      <c r="O747" s="53">
        <v>2</v>
      </c>
      <c r="P747" s="53">
        <v>922</v>
      </c>
      <c r="Q747" s="53"/>
      <c r="R747" s="53">
        <v>922</v>
      </c>
      <c r="S747" s="53">
        <f t="shared" si="194"/>
        <v>0</v>
      </c>
      <c r="T747" s="53">
        <f t="shared" si="189"/>
        <v>4937.1428571428569</v>
      </c>
      <c r="U747" s="52">
        <f t="shared" si="195"/>
        <v>0</v>
      </c>
      <c r="V747" s="52">
        <f t="shared" si="196"/>
        <v>0</v>
      </c>
      <c r="W747" s="52">
        <v>0</v>
      </c>
      <c r="X747" s="55">
        <f t="shared" si="192"/>
        <v>46153.07987075617</v>
      </c>
    </row>
    <row r="748" spans="1:24" hidden="1" x14ac:dyDescent="0.35">
      <c r="A748" s="46">
        <f t="shared" si="193"/>
        <v>46153.07987075617</v>
      </c>
      <c r="B748" s="46"/>
      <c r="C748" s="260"/>
      <c r="D748" s="46"/>
      <c r="E748" s="47"/>
      <c r="F748" s="57" t="s">
        <v>5341</v>
      </c>
      <c r="G748" s="57"/>
      <c r="H748" s="49" t="s">
        <v>5342</v>
      </c>
      <c r="I748" s="97" t="s">
        <v>5343</v>
      </c>
      <c r="J748" s="51"/>
      <c r="K748" s="52">
        <v>0</v>
      </c>
      <c r="L748" s="52">
        <v>0</v>
      </c>
      <c r="M748" s="53">
        <v>30</v>
      </c>
      <c r="N748" s="53">
        <v>4000</v>
      </c>
      <c r="O748" s="53">
        <v>4</v>
      </c>
      <c r="P748" s="53">
        <v>1096</v>
      </c>
      <c r="Q748" s="53"/>
      <c r="R748" s="53">
        <v>1096</v>
      </c>
      <c r="S748" s="53">
        <f t="shared" si="194"/>
        <v>0</v>
      </c>
      <c r="T748" s="53">
        <f t="shared" si="189"/>
        <v>11520</v>
      </c>
      <c r="U748" s="52">
        <f t="shared" si="195"/>
        <v>0</v>
      </c>
      <c r="V748" s="52">
        <f t="shared" si="196"/>
        <v>0</v>
      </c>
      <c r="W748" s="52">
        <v>0</v>
      </c>
      <c r="X748" s="55">
        <f t="shared" si="192"/>
        <v>46153.07987075617</v>
      </c>
    </row>
    <row r="749" spans="1:24" hidden="1" x14ac:dyDescent="0.35">
      <c r="A749" s="46">
        <f t="shared" si="193"/>
        <v>46153.07987075617</v>
      </c>
      <c r="B749" s="46"/>
      <c r="C749" s="260"/>
      <c r="D749" s="46"/>
      <c r="E749" s="47"/>
      <c r="F749" s="57" t="s">
        <v>5341</v>
      </c>
      <c r="G749" s="57"/>
      <c r="H749" s="49" t="s">
        <v>5344</v>
      </c>
      <c r="I749" s="97" t="s">
        <v>5345</v>
      </c>
      <c r="J749" s="51"/>
      <c r="K749" s="52">
        <v>0</v>
      </c>
      <c r="L749" s="52">
        <v>0</v>
      </c>
      <c r="M749" s="53">
        <v>30</v>
      </c>
      <c r="N749" s="53">
        <v>1000</v>
      </c>
      <c r="O749" s="53">
        <v>4</v>
      </c>
      <c r="P749" s="53">
        <f>N749/O749</f>
        <v>250</v>
      </c>
      <c r="Q749" s="53"/>
      <c r="R749" s="53">
        <v>250</v>
      </c>
      <c r="S749" s="53">
        <f t="shared" si="194"/>
        <v>0</v>
      </c>
      <c r="T749" s="53">
        <f t="shared" si="189"/>
        <v>11520</v>
      </c>
      <c r="U749" s="52">
        <f t="shared" si="195"/>
        <v>0</v>
      </c>
      <c r="V749" s="52">
        <f t="shared" si="196"/>
        <v>0</v>
      </c>
      <c r="W749" s="52">
        <v>0</v>
      </c>
      <c r="X749" s="55">
        <f t="shared" si="192"/>
        <v>46153.07987075617</v>
      </c>
    </row>
    <row r="750" spans="1:24" hidden="1" x14ac:dyDescent="0.35">
      <c r="A750" s="46">
        <f t="shared" si="193"/>
        <v>46153.07987075617</v>
      </c>
      <c r="B750" s="46"/>
      <c r="C750" s="260"/>
      <c r="D750" s="46"/>
      <c r="E750" s="47" t="s">
        <v>4467</v>
      </c>
      <c r="F750" s="48"/>
      <c r="G750" s="48"/>
      <c r="H750" s="49" t="s">
        <v>5346</v>
      </c>
      <c r="I750" s="82" t="s">
        <v>5183</v>
      </c>
      <c r="J750" s="51"/>
      <c r="K750" s="52">
        <v>0</v>
      </c>
      <c r="L750" s="52">
        <v>0</v>
      </c>
      <c r="M750" s="53">
        <v>35</v>
      </c>
      <c r="N750" s="53">
        <v>1000</v>
      </c>
      <c r="O750" s="53">
        <v>2</v>
      </c>
      <c r="P750" s="53">
        <f>N750/O750</f>
        <v>500</v>
      </c>
      <c r="Q750" s="53"/>
      <c r="R750" s="53">
        <v>500</v>
      </c>
      <c r="S750" s="53">
        <f t="shared" si="194"/>
        <v>0</v>
      </c>
      <c r="T750" s="53">
        <f t="shared" si="189"/>
        <v>4937.1428571428569</v>
      </c>
      <c r="U750" s="52">
        <f t="shared" si="195"/>
        <v>0</v>
      </c>
      <c r="V750" s="52">
        <f t="shared" si="196"/>
        <v>0</v>
      </c>
      <c r="W750" s="52">
        <v>0</v>
      </c>
      <c r="X750" s="55">
        <f t="shared" si="192"/>
        <v>46153.07987075617</v>
      </c>
    </row>
    <row r="751" spans="1:24" hidden="1" x14ac:dyDescent="0.35">
      <c r="A751" s="46">
        <f t="shared" si="193"/>
        <v>46153.07987075617</v>
      </c>
      <c r="B751" s="46"/>
      <c r="C751" s="260"/>
      <c r="D751" s="46"/>
      <c r="E751" s="47" t="s">
        <v>4467</v>
      </c>
      <c r="F751" s="48"/>
      <c r="G751" s="48"/>
      <c r="H751" s="49" t="s">
        <v>5347</v>
      </c>
      <c r="I751" s="82" t="s">
        <v>5185</v>
      </c>
      <c r="J751" s="51"/>
      <c r="K751" s="52">
        <v>0</v>
      </c>
      <c r="L751" s="52">
        <v>0</v>
      </c>
      <c r="M751" s="53">
        <v>25</v>
      </c>
      <c r="N751" s="53">
        <v>1000</v>
      </c>
      <c r="O751" s="53">
        <v>1</v>
      </c>
      <c r="P751" s="53">
        <v>1049</v>
      </c>
      <c r="Q751" s="53"/>
      <c r="R751" s="53">
        <v>1049</v>
      </c>
      <c r="S751" s="53">
        <f t="shared" si="194"/>
        <v>0</v>
      </c>
      <c r="T751" s="53">
        <f t="shared" si="189"/>
        <v>3456</v>
      </c>
      <c r="U751" s="52">
        <f t="shared" si="195"/>
        <v>0</v>
      </c>
      <c r="V751" s="52">
        <f t="shared" si="196"/>
        <v>0</v>
      </c>
      <c r="W751" s="52">
        <v>0</v>
      </c>
      <c r="X751" s="55">
        <f t="shared" si="192"/>
        <v>46153.07987075617</v>
      </c>
    </row>
    <row r="752" spans="1:24" hidden="1" x14ac:dyDescent="0.35">
      <c r="A752" s="46">
        <f t="shared" si="193"/>
        <v>46153.07987075617</v>
      </c>
      <c r="B752" s="46"/>
      <c r="C752" s="260"/>
      <c r="D752" s="46"/>
      <c r="E752" s="47"/>
      <c r="F752" s="56" t="s">
        <v>5348</v>
      </c>
      <c r="G752" s="56"/>
      <c r="H752" s="49" t="s">
        <v>5349</v>
      </c>
      <c r="I752" s="85" t="s">
        <v>5350</v>
      </c>
      <c r="J752" s="51"/>
      <c r="K752" s="52">
        <v>0</v>
      </c>
      <c r="L752" s="52">
        <v>0</v>
      </c>
      <c r="M752" s="53">
        <v>40</v>
      </c>
      <c r="N752" s="53">
        <v>5000</v>
      </c>
      <c r="O752" s="53">
        <v>2</v>
      </c>
      <c r="P752" s="53">
        <v>2621</v>
      </c>
      <c r="Q752" s="53"/>
      <c r="R752" s="53">
        <v>2621</v>
      </c>
      <c r="S752" s="53">
        <f t="shared" si="194"/>
        <v>0</v>
      </c>
      <c r="T752" s="53">
        <f t="shared" si="189"/>
        <v>4320</v>
      </c>
      <c r="U752" s="52">
        <f t="shared" si="195"/>
        <v>0</v>
      </c>
      <c r="V752" s="52">
        <f t="shared" si="196"/>
        <v>0</v>
      </c>
      <c r="W752" s="52">
        <v>0</v>
      </c>
      <c r="X752" s="55">
        <f t="shared" si="192"/>
        <v>46153.07987075617</v>
      </c>
    </row>
    <row r="753" spans="1:24" hidden="1" x14ac:dyDescent="0.35">
      <c r="A753" s="46">
        <f t="shared" si="193"/>
        <v>46153.07987075617</v>
      </c>
      <c r="B753" s="46"/>
      <c r="C753" s="260"/>
      <c r="D753" s="46"/>
      <c r="E753" s="47" t="s">
        <v>5256</v>
      </c>
      <c r="F753" s="48" t="s">
        <v>5351</v>
      </c>
      <c r="G753" s="48"/>
      <c r="H753" s="49" t="s">
        <v>5352</v>
      </c>
      <c r="I753" s="82" t="s">
        <v>5324</v>
      </c>
      <c r="J753" s="51"/>
      <c r="K753" s="52">
        <v>0</v>
      </c>
      <c r="L753" s="52">
        <v>0</v>
      </c>
      <c r="M753" s="53">
        <v>50</v>
      </c>
      <c r="N753" s="53">
        <v>10000</v>
      </c>
      <c r="O753" s="53">
        <v>2</v>
      </c>
      <c r="P753" s="53">
        <v>5622</v>
      </c>
      <c r="Q753" s="53"/>
      <c r="R753" s="53">
        <v>5622</v>
      </c>
      <c r="S753" s="53">
        <f t="shared" si="194"/>
        <v>0</v>
      </c>
      <c r="T753" s="53">
        <f t="shared" si="189"/>
        <v>3456</v>
      </c>
      <c r="U753" s="52">
        <f t="shared" si="195"/>
        <v>0</v>
      </c>
      <c r="V753" s="52">
        <f t="shared" si="196"/>
        <v>0</v>
      </c>
      <c r="W753" s="52">
        <v>0</v>
      </c>
      <c r="X753" s="55">
        <f t="shared" si="192"/>
        <v>46153.07987075617</v>
      </c>
    </row>
    <row r="754" spans="1:24" hidden="1" x14ac:dyDescent="0.35">
      <c r="A754" s="46">
        <f t="shared" si="193"/>
        <v>46153.07987075617</v>
      </c>
      <c r="B754" s="46"/>
      <c r="C754" s="260"/>
      <c r="D754" s="46"/>
      <c r="E754" s="47"/>
      <c r="F754" s="57"/>
      <c r="G754" s="57"/>
      <c r="H754" s="49" t="s">
        <v>5353</v>
      </c>
      <c r="I754" s="97" t="s">
        <v>5343</v>
      </c>
      <c r="J754" s="51"/>
      <c r="K754" s="52">
        <v>0</v>
      </c>
      <c r="L754" s="52">
        <v>0</v>
      </c>
      <c r="M754" s="53">
        <v>30</v>
      </c>
      <c r="N754" s="53">
        <v>4000</v>
      </c>
      <c r="O754" s="53">
        <v>4</v>
      </c>
      <c r="P754" s="53">
        <v>1401</v>
      </c>
      <c r="Q754" s="53"/>
      <c r="R754" s="53">
        <v>1401</v>
      </c>
      <c r="S754" s="53">
        <f t="shared" si="194"/>
        <v>0</v>
      </c>
      <c r="T754" s="53">
        <f t="shared" si="189"/>
        <v>11520</v>
      </c>
      <c r="U754" s="52">
        <f t="shared" si="195"/>
        <v>0</v>
      </c>
      <c r="V754" s="52">
        <f t="shared" si="196"/>
        <v>0</v>
      </c>
      <c r="W754" s="52">
        <v>0</v>
      </c>
      <c r="X754" s="55">
        <f t="shared" si="192"/>
        <v>46153.07987075617</v>
      </c>
    </row>
    <row r="755" spans="1:24" hidden="1" x14ac:dyDescent="0.35">
      <c r="A755" s="46">
        <f t="shared" si="193"/>
        <v>46153.07987075617</v>
      </c>
      <c r="B755" s="46"/>
      <c r="C755" s="260"/>
      <c r="D755" s="46"/>
      <c r="E755" s="47" t="s">
        <v>4467</v>
      </c>
      <c r="F755" s="48"/>
      <c r="G755" s="48"/>
      <c r="H755" s="49" t="s">
        <v>5354</v>
      </c>
      <c r="I755" s="82" t="s">
        <v>5185</v>
      </c>
      <c r="J755" s="51"/>
      <c r="K755" s="52">
        <v>0</v>
      </c>
      <c r="L755" s="52">
        <v>0</v>
      </c>
      <c r="M755" s="53">
        <v>25</v>
      </c>
      <c r="N755" s="53">
        <v>1000</v>
      </c>
      <c r="O755" s="53">
        <v>1</v>
      </c>
      <c r="P755" s="53">
        <f>N755/O755</f>
        <v>1000</v>
      </c>
      <c r="Q755" s="53"/>
      <c r="R755" s="53">
        <v>1000</v>
      </c>
      <c r="S755" s="53">
        <f t="shared" si="194"/>
        <v>0</v>
      </c>
      <c r="T755" s="53">
        <f t="shared" si="189"/>
        <v>3456</v>
      </c>
      <c r="U755" s="52">
        <f t="shared" si="195"/>
        <v>0</v>
      </c>
      <c r="V755" s="52">
        <f t="shared" si="196"/>
        <v>0</v>
      </c>
      <c r="W755" s="52">
        <v>0</v>
      </c>
      <c r="X755" s="55">
        <f t="shared" si="192"/>
        <v>46153.07987075617</v>
      </c>
    </row>
    <row r="756" spans="1:24" hidden="1" x14ac:dyDescent="0.35">
      <c r="A756" s="46">
        <f t="shared" si="193"/>
        <v>46153.07987075617</v>
      </c>
      <c r="B756" s="46"/>
      <c r="C756" s="260"/>
      <c r="D756" s="46"/>
      <c r="E756" s="47" t="s">
        <v>4411</v>
      </c>
      <c r="F756" s="48"/>
      <c r="G756" s="48"/>
      <c r="H756" s="49" t="s">
        <v>5355</v>
      </c>
      <c r="I756" s="106" t="s">
        <v>4961</v>
      </c>
      <c r="J756" s="51"/>
      <c r="K756" s="52">
        <v>0</v>
      </c>
      <c r="L756" s="52">
        <v>0</v>
      </c>
      <c r="M756" s="53">
        <v>50</v>
      </c>
      <c r="N756" s="53">
        <v>13500</v>
      </c>
      <c r="O756" s="53">
        <v>2</v>
      </c>
      <c r="P756" s="53">
        <v>7515</v>
      </c>
      <c r="Q756" s="53"/>
      <c r="R756" s="53">
        <f>4764+2751</f>
        <v>7515</v>
      </c>
      <c r="S756" s="53">
        <f t="shared" si="194"/>
        <v>0</v>
      </c>
      <c r="T756" s="53">
        <f t="shared" si="189"/>
        <v>3456</v>
      </c>
      <c r="U756" s="52">
        <f t="shared" si="195"/>
        <v>0</v>
      </c>
      <c r="V756" s="52">
        <f t="shared" si="196"/>
        <v>0</v>
      </c>
      <c r="W756" s="52">
        <v>0</v>
      </c>
      <c r="X756" s="55">
        <f t="shared" si="192"/>
        <v>46153.07987075617</v>
      </c>
    </row>
    <row r="757" spans="1:24" hidden="1" x14ac:dyDescent="0.35">
      <c r="A757" s="46">
        <f t="shared" si="193"/>
        <v>46153.07987075617</v>
      </c>
      <c r="B757" s="46"/>
      <c r="C757" s="260"/>
      <c r="D757" s="46"/>
      <c r="E757" s="47" t="s">
        <v>4411</v>
      </c>
      <c r="F757" s="48"/>
      <c r="G757" s="48"/>
      <c r="H757" s="49" t="s">
        <v>5356</v>
      </c>
      <c r="I757" s="106" t="s">
        <v>4962</v>
      </c>
      <c r="J757" s="51"/>
      <c r="K757" s="52">
        <v>0</v>
      </c>
      <c r="L757" s="52">
        <v>0</v>
      </c>
      <c r="M757" s="53">
        <v>50</v>
      </c>
      <c r="N757" s="53">
        <v>13500</v>
      </c>
      <c r="O757" s="53">
        <v>2</v>
      </c>
      <c r="P757" s="53">
        <v>6850</v>
      </c>
      <c r="Q757" s="53"/>
      <c r="R757" s="53">
        <v>6850</v>
      </c>
      <c r="S757" s="53">
        <f t="shared" si="194"/>
        <v>0</v>
      </c>
      <c r="T757" s="53">
        <f t="shared" si="189"/>
        <v>3456</v>
      </c>
      <c r="U757" s="52">
        <f t="shared" si="195"/>
        <v>0</v>
      </c>
      <c r="V757" s="52">
        <f t="shared" si="196"/>
        <v>0</v>
      </c>
      <c r="W757" s="52">
        <v>0</v>
      </c>
      <c r="X757" s="55">
        <f t="shared" si="192"/>
        <v>46153.07987075617</v>
      </c>
    </row>
    <row r="758" spans="1:24" hidden="1" x14ac:dyDescent="0.35">
      <c r="A758" s="46">
        <f t="shared" si="193"/>
        <v>46153.07987075617</v>
      </c>
      <c r="B758" s="46"/>
      <c r="C758" s="260"/>
      <c r="D758" s="46"/>
      <c r="E758" s="47" t="s">
        <v>5256</v>
      </c>
      <c r="F758" s="48" t="s">
        <v>101</v>
      </c>
      <c r="G758" s="48"/>
      <c r="H758" s="49" t="s">
        <v>5357</v>
      </c>
      <c r="I758" s="106" t="s">
        <v>5358</v>
      </c>
      <c r="J758" s="51"/>
      <c r="K758" s="52">
        <v>0</v>
      </c>
      <c r="L758" s="52">
        <v>0</v>
      </c>
      <c r="M758" s="53">
        <v>40</v>
      </c>
      <c r="N758" s="53">
        <v>15000</v>
      </c>
      <c r="O758" s="53">
        <v>4</v>
      </c>
      <c r="P758" s="53">
        <v>1444</v>
      </c>
      <c r="Q758" s="53"/>
      <c r="R758" s="53">
        <v>1444</v>
      </c>
      <c r="S758" s="53">
        <f t="shared" si="194"/>
        <v>0</v>
      </c>
      <c r="T758" s="53">
        <f t="shared" si="189"/>
        <v>8640</v>
      </c>
      <c r="U758" s="52">
        <f t="shared" si="195"/>
        <v>0</v>
      </c>
      <c r="V758" s="52">
        <f t="shared" si="196"/>
        <v>0</v>
      </c>
      <c r="W758" s="52">
        <v>0</v>
      </c>
      <c r="X758" s="55">
        <f t="shared" si="192"/>
        <v>46153.07987075617</v>
      </c>
    </row>
    <row r="759" spans="1:24" hidden="1" x14ac:dyDescent="0.35">
      <c r="A759" s="46">
        <f t="shared" si="193"/>
        <v>46153.07987075617</v>
      </c>
      <c r="B759" s="46"/>
      <c r="C759" s="260"/>
      <c r="D759" s="46"/>
      <c r="E759" s="47" t="s">
        <v>5256</v>
      </c>
      <c r="F759" s="48" t="s">
        <v>1336</v>
      </c>
      <c r="G759" s="48"/>
      <c r="H759" s="59" t="s">
        <v>5359</v>
      </c>
      <c r="I759" s="82" t="s">
        <v>5323</v>
      </c>
      <c r="J759" s="51"/>
      <c r="K759" s="52">
        <v>0</v>
      </c>
      <c r="L759" s="52">
        <v>0</v>
      </c>
      <c r="M759" s="53">
        <v>40</v>
      </c>
      <c r="N759" s="53">
        <v>12000</v>
      </c>
      <c r="O759" s="53">
        <v>1</v>
      </c>
      <c r="P759" s="53">
        <f t="shared" ref="P759:P768" si="197">N759/O759</f>
        <v>12000</v>
      </c>
      <c r="Q759" s="53"/>
      <c r="R759" s="53">
        <v>12000</v>
      </c>
      <c r="S759" s="53">
        <f t="shared" si="194"/>
        <v>0</v>
      </c>
      <c r="T759" s="53">
        <f t="shared" si="189"/>
        <v>2160</v>
      </c>
      <c r="U759" s="52">
        <f t="shared" si="195"/>
        <v>0</v>
      </c>
      <c r="V759" s="52">
        <f t="shared" si="196"/>
        <v>0</v>
      </c>
      <c r="W759" s="52">
        <v>0</v>
      </c>
      <c r="X759" s="55">
        <f t="shared" si="192"/>
        <v>46153.07987075617</v>
      </c>
    </row>
    <row r="760" spans="1:24" hidden="1" x14ac:dyDescent="0.35">
      <c r="A760" s="46">
        <f t="shared" si="193"/>
        <v>46153.07987075617</v>
      </c>
      <c r="B760" s="46"/>
      <c r="C760" s="260"/>
      <c r="D760" s="46"/>
      <c r="E760" s="47" t="s">
        <v>5256</v>
      </c>
      <c r="F760" s="48" t="s">
        <v>101</v>
      </c>
      <c r="G760" s="48"/>
      <c r="H760" s="49" t="s">
        <v>5357</v>
      </c>
      <c r="I760" s="106" t="s">
        <v>5358</v>
      </c>
      <c r="J760" s="51"/>
      <c r="K760" s="52">
        <v>0</v>
      </c>
      <c r="L760" s="52">
        <v>0</v>
      </c>
      <c r="M760" s="53">
        <v>40</v>
      </c>
      <c r="N760" s="53">
        <v>15000</v>
      </c>
      <c r="O760" s="53">
        <v>4</v>
      </c>
      <c r="P760" s="53">
        <f t="shared" si="197"/>
        <v>3750</v>
      </c>
      <c r="Q760" s="53"/>
      <c r="R760" s="53">
        <v>3750</v>
      </c>
      <c r="S760" s="53">
        <f t="shared" si="194"/>
        <v>0</v>
      </c>
      <c r="T760" s="53">
        <f t="shared" si="189"/>
        <v>8640</v>
      </c>
      <c r="U760" s="52">
        <f t="shared" si="195"/>
        <v>0</v>
      </c>
      <c r="V760" s="52">
        <f t="shared" si="196"/>
        <v>0</v>
      </c>
      <c r="W760" s="52">
        <v>0</v>
      </c>
      <c r="X760" s="55">
        <f t="shared" si="192"/>
        <v>46153.07987075617</v>
      </c>
    </row>
    <row r="761" spans="1:24" hidden="1" x14ac:dyDescent="0.35">
      <c r="A761" s="46">
        <f t="shared" si="193"/>
        <v>46153.07987075617</v>
      </c>
      <c r="B761" s="46"/>
      <c r="C761" s="260"/>
      <c r="D761" s="46"/>
      <c r="E761" s="47" t="s">
        <v>5256</v>
      </c>
      <c r="F761" s="48" t="s">
        <v>104</v>
      </c>
      <c r="G761" s="48"/>
      <c r="H761" s="49" t="s">
        <v>5360</v>
      </c>
      <c r="I761" s="106" t="s">
        <v>5358</v>
      </c>
      <c r="J761" s="51"/>
      <c r="K761" s="52">
        <v>0</v>
      </c>
      <c r="L761" s="52">
        <v>0</v>
      </c>
      <c r="M761" s="53">
        <v>40</v>
      </c>
      <c r="N761" s="53">
        <v>10000</v>
      </c>
      <c r="O761" s="53">
        <v>4</v>
      </c>
      <c r="P761" s="53">
        <f t="shared" si="197"/>
        <v>2500</v>
      </c>
      <c r="Q761" s="53"/>
      <c r="R761" s="53">
        <v>2500</v>
      </c>
      <c r="S761" s="53">
        <f t="shared" si="194"/>
        <v>0</v>
      </c>
      <c r="T761" s="53">
        <f t="shared" si="189"/>
        <v>8640</v>
      </c>
      <c r="U761" s="52">
        <f t="shared" si="195"/>
        <v>0</v>
      </c>
      <c r="V761" s="52">
        <f t="shared" si="196"/>
        <v>0</v>
      </c>
      <c r="W761" s="52">
        <v>0</v>
      </c>
      <c r="X761" s="55">
        <f t="shared" si="192"/>
        <v>46153.07987075617</v>
      </c>
    </row>
    <row r="762" spans="1:24" hidden="1" x14ac:dyDescent="0.35">
      <c r="A762" s="46">
        <f t="shared" si="193"/>
        <v>46153.07987075617</v>
      </c>
      <c r="B762" s="46"/>
      <c r="C762" s="260"/>
      <c r="D762" s="46"/>
      <c r="E762" s="47" t="s">
        <v>5256</v>
      </c>
      <c r="F762" s="48" t="s">
        <v>414</v>
      </c>
      <c r="G762" s="48"/>
      <c r="H762" s="49" t="s">
        <v>5361</v>
      </c>
      <c r="I762" s="99" t="s">
        <v>5331</v>
      </c>
      <c r="J762" s="51"/>
      <c r="K762" s="52">
        <v>0</v>
      </c>
      <c r="L762" s="52">
        <v>0</v>
      </c>
      <c r="M762" s="53">
        <v>40</v>
      </c>
      <c r="N762" s="53">
        <v>5000</v>
      </c>
      <c r="O762" s="53">
        <v>5</v>
      </c>
      <c r="P762" s="53">
        <f t="shared" si="197"/>
        <v>1000</v>
      </c>
      <c r="Q762" s="53"/>
      <c r="R762" s="53">
        <v>1000</v>
      </c>
      <c r="S762" s="53">
        <f t="shared" si="194"/>
        <v>0</v>
      </c>
      <c r="T762" s="53">
        <f t="shared" si="189"/>
        <v>10800</v>
      </c>
      <c r="U762" s="52">
        <f t="shared" si="195"/>
        <v>0</v>
      </c>
      <c r="V762" s="52">
        <f t="shared" si="196"/>
        <v>0</v>
      </c>
      <c r="W762" s="52">
        <v>0</v>
      </c>
      <c r="X762" s="55">
        <f t="shared" si="192"/>
        <v>46153.07987075617</v>
      </c>
    </row>
    <row r="763" spans="1:24" hidden="1" x14ac:dyDescent="0.35">
      <c r="A763" s="46">
        <f t="shared" si="193"/>
        <v>46153.07987075617</v>
      </c>
      <c r="B763" s="46"/>
      <c r="C763" s="260"/>
      <c r="D763" s="46"/>
      <c r="E763" s="47" t="s">
        <v>5256</v>
      </c>
      <c r="F763" s="48" t="s">
        <v>14</v>
      </c>
      <c r="G763" s="48"/>
      <c r="H763" s="49" t="s">
        <v>14</v>
      </c>
      <c r="I763" s="99" t="s">
        <v>5362</v>
      </c>
      <c r="J763" s="51"/>
      <c r="K763" s="52">
        <v>0</v>
      </c>
      <c r="L763" s="52">
        <v>0</v>
      </c>
      <c r="M763" s="53">
        <v>40</v>
      </c>
      <c r="N763" s="53">
        <v>20</v>
      </c>
      <c r="O763" s="53">
        <v>2</v>
      </c>
      <c r="P763" s="53">
        <f t="shared" si="197"/>
        <v>10</v>
      </c>
      <c r="Q763" s="53"/>
      <c r="R763" s="53"/>
      <c r="S763" s="53">
        <f t="shared" si="194"/>
        <v>10</v>
      </c>
      <c r="T763" s="53">
        <f t="shared" si="189"/>
        <v>4320</v>
      </c>
      <c r="U763" s="52">
        <f t="shared" si="195"/>
        <v>0.1111111111111111</v>
      </c>
      <c r="V763" s="52">
        <f t="shared" si="196"/>
        <v>4.6296296296296294E-3</v>
      </c>
      <c r="W763" s="52">
        <v>0</v>
      </c>
      <c r="X763" s="55">
        <f t="shared" si="192"/>
        <v>46153.084500385798</v>
      </c>
    </row>
    <row r="764" spans="1:24" hidden="1" x14ac:dyDescent="0.35">
      <c r="A764" s="46">
        <f t="shared" si="193"/>
        <v>46153.084500385798</v>
      </c>
      <c r="B764" s="46"/>
      <c r="C764" s="260"/>
      <c r="D764" s="46"/>
      <c r="E764" s="47" t="s">
        <v>5256</v>
      </c>
      <c r="F764" s="48" t="s">
        <v>5363</v>
      </c>
      <c r="G764" s="48"/>
      <c r="H764" s="59" t="s">
        <v>5364</v>
      </c>
      <c r="I764" s="390" t="s">
        <v>5258</v>
      </c>
      <c r="J764" s="51"/>
      <c r="K764" s="52">
        <v>0</v>
      </c>
      <c r="L764" s="52">
        <v>0</v>
      </c>
      <c r="M764" s="53">
        <v>40</v>
      </c>
      <c r="N764" s="53">
        <v>2700</v>
      </c>
      <c r="O764" s="53">
        <v>1</v>
      </c>
      <c r="P764" s="53">
        <f t="shared" si="197"/>
        <v>2700</v>
      </c>
      <c r="Q764" s="53"/>
      <c r="R764" s="53">
        <v>2700</v>
      </c>
      <c r="S764" s="53">
        <f t="shared" si="194"/>
        <v>0</v>
      </c>
      <c r="T764" s="53">
        <f t="shared" si="189"/>
        <v>2160</v>
      </c>
      <c r="U764" s="52">
        <f t="shared" si="195"/>
        <v>0</v>
      </c>
      <c r="V764" s="52">
        <f t="shared" si="196"/>
        <v>0</v>
      </c>
      <c r="W764" s="52">
        <v>0</v>
      </c>
      <c r="X764" s="55">
        <f t="shared" si="192"/>
        <v>46153.084500385798</v>
      </c>
    </row>
    <row r="765" spans="1:24" hidden="1" x14ac:dyDescent="0.35">
      <c r="A765" s="46">
        <f t="shared" si="193"/>
        <v>46153.084500385798</v>
      </c>
      <c r="B765" s="46"/>
      <c r="C765" s="260"/>
      <c r="D765" s="46"/>
      <c r="E765" s="47" t="s">
        <v>5256</v>
      </c>
      <c r="F765" s="48" t="s">
        <v>5363</v>
      </c>
      <c r="G765" s="48"/>
      <c r="H765" s="59" t="s">
        <v>5365</v>
      </c>
      <c r="I765" s="390" t="s">
        <v>5260</v>
      </c>
      <c r="J765" s="51"/>
      <c r="K765" s="52">
        <v>0</v>
      </c>
      <c r="L765" s="52">
        <v>0</v>
      </c>
      <c r="M765" s="53">
        <v>30</v>
      </c>
      <c r="N765" s="53">
        <v>2500</v>
      </c>
      <c r="O765" s="53">
        <v>1</v>
      </c>
      <c r="P765" s="53">
        <f t="shared" si="197"/>
        <v>2500</v>
      </c>
      <c r="Q765" s="53"/>
      <c r="R765" s="53">
        <v>2500</v>
      </c>
      <c r="S765" s="53">
        <f t="shared" si="194"/>
        <v>0</v>
      </c>
      <c r="T765" s="53">
        <f t="shared" si="189"/>
        <v>2880</v>
      </c>
      <c r="U765" s="52">
        <f t="shared" si="195"/>
        <v>0</v>
      </c>
      <c r="V765" s="52">
        <f t="shared" si="196"/>
        <v>0</v>
      </c>
      <c r="W765" s="52">
        <v>0</v>
      </c>
      <c r="X765" s="55">
        <f t="shared" si="192"/>
        <v>46153.084500385798</v>
      </c>
    </row>
    <row r="766" spans="1:24" hidden="1" x14ac:dyDescent="0.35">
      <c r="A766" s="46">
        <f t="shared" si="193"/>
        <v>46153.084500385798</v>
      </c>
      <c r="B766" s="46"/>
      <c r="C766" s="260"/>
      <c r="D766" s="46"/>
      <c r="E766" s="47" t="s">
        <v>5256</v>
      </c>
      <c r="F766" s="48" t="s">
        <v>5363</v>
      </c>
      <c r="G766" s="48"/>
      <c r="H766" s="59" t="s">
        <v>5366</v>
      </c>
      <c r="I766" s="390" t="s">
        <v>5271</v>
      </c>
      <c r="J766" s="51" t="s">
        <v>140</v>
      </c>
      <c r="K766" s="52">
        <v>0</v>
      </c>
      <c r="L766" s="52">
        <v>0</v>
      </c>
      <c r="M766" s="53">
        <v>35</v>
      </c>
      <c r="N766" s="53">
        <v>2500</v>
      </c>
      <c r="O766" s="53">
        <v>2</v>
      </c>
      <c r="P766" s="53">
        <f t="shared" si="197"/>
        <v>1250</v>
      </c>
      <c r="Q766" s="53"/>
      <c r="R766" s="53">
        <v>1250</v>
      </c>
      <c r="S766" s="53">
        <f t="shared" si="194"/>
        <v>0</v>
      </c>
      <c r="T766" s="53">
        <f t="shared" si="189"/>
        <v>4937.1428571428569</v>
      </c>
      <c r="U766" s="52">
        <f t="shared" si="195"/>
        <v>0</v>
      </c>
      <c r="V766" s="52">
        <f t="shared" si="196"/>
        <v>0</v>
      </c>
      <c r="W766" s="52">
        <v>0</v>
      </c>
      <c r="X766" s="55">
        <f t="shared" si="192"/>
        <v>46153.084500385798</v>
      </c>
    </row>
    <row r="767" spans="1:24" hidden="1" x14ac:dyDescent="0.35">
      <c r="A767" s="46">
        <f t="shared" si="193"/>
        <v>46153.084500385798</v>
      </c>
      <c r="B767" s="46"/>
      <c r="C767" s="260"/>
      <c r="D767" s="46"/>
      <c r="E767" s="47" t="s">
        <v>5256</v>
      </c>
      <c r="F767" s="48" t="s">
        <v>5367</v>
      </c>
      <c r="G767" s="48"/>
      <c r="H767" s="49" t="s">
        <v>5368</v>
      </c>
      <c r="I767" s="99" t="s">
        <v>5369</v>
      </c>
      <c r="J767" s="51" t="s">
        <v>140</v>
      </c>
      <c r="K767" s="52">
        <v>0</v>
      </c>
      <c r="L767" s="52">
        <v>0</v>
      </c>
      <c r="M767" s="53">
        <v>40</v>
      </c>
      <c r="N767" s="53">
        <v>10000</v>
      </c>
      <c r="O767" s="53">
        <v>5</v>
      </c>
      <c r="P767" s="53">
        <f t="shared" si="197"/>
        <v>2000</v>
      </c>
      <c r="Q767" s="53"/>
      <c r="R767" s="53">
        <v>2000</v>
      </c>
      <c r="S767" s="53">
        <f t="shared" si="194"/>
        <v>0</v>
      </c>
      <c r="T767" s="53">
        <f t="shared" si="189"/>
        <v>10800</v>
      </c>
      <c r="U767" s="52">
        <f t="shared" si="195"/>
        <v>0</v>
      </c>
      <c r="V767" s="52">
        <f t="shared" si="196"/>
        <v>0</v>
      </c>
      <c r="W767" s="52">
        <v>0</v>
      </c>
      <c r="X767" s="55">
        <f t="shared" si="192"/>
        <v>46153.084500385798</v>
      </c>
    </row>
    <row r="768" spans="1:24" hidden="1" x14ac:dyDescent="0.35">
      <c r="A768" s="46">
        <f t="shared" si="193"/>
        <v>46153.084500385798</v>
      </c>
      <c r="B768" s="46"/>
      <c r="C768" s="260"/>
      <c r="D768" s="46"/>
      <c r="E768" s="47" t="s">
        <v>5256</v>
      </c>
      <c r="F768" s="48" t="s">
        <v>5370</v>
      </c>
      <c r="G768" s="48"/>
      <c r="H768" s="49" t="s">
        <v>5371</v>
      </c>
      <c r="I768" s="99" t="s">
        <v>5369</v>
      </c>
      <c r="J768" s="51" t="s">
        <v>140</v>
      </c>
      <c r="K768" s="52">
        <v>0</v>
      </c>
      <c r="L768" s="52">
        <v>0</v>
      </c>
      <c r="M768" s="53">
        <v>40</v>
      </c>
      <c r="N768" s="53">
        <v>6000</v>
      </c>
      <c r="O768" s="53">
        <v>5</v>
      </c>
      <c r="P768" s="53">
        <f t="shared" si="197"/>
        <v>1200</v>
      </c>
      <c r="Q768" s="53"/>
      <c r="R768" s="53">
        <v>1200</v>
      </c>
      <c r="S768" s="53">
        <f t="shared" si="194"/>
        <v>0</v>
      </c>
      <c r="T768" s="53">
        <f t="shared" si="189"/>
        <v>10800</v>
      </c>
      <c r="U768" s="52">
        <f t="shared" si="195"/>
        <v>0</v>
      </c>
      <c r="V768" s="52">
        <f t="shared" si="196"/>
        <v>0</v>
      </c>
      <c r="W768" s="52">
        <v>0</v>
      </c>
      <c r="X768" s="55">
        <f t="shared" si="192"/>
        <v>46153.084500385798</v>
      </c>
    </row>
    <row r="769" spans="1:24" hidden="1" x14ac:dyDescent="0.35">
      <c r="A769" s="46">
        <f t="shared" si="193"/>
        <v>46153.084500385798</v>
      </c>
      <c r="B769" s="46"/>
      <c r="C769" s="260"/>
      <c r="D769" s="46"/>
      <c r="E769" s="47" t="s">
        <v>5256</v>
      </c>
      <c r="F769" s="57" t="s">
        <v>414</v>
      </c>
      <c r="G769" s="57"/>
      <c r="H769" s="49" t="s">
        <v>5372</v>
      </c>
      <c r="I769" s="82" t="s">
        <v>5373</v>
      </c>
      <c r="J769" s="51" t="s">
        <v>140</v>
      </c>
      <c r="K769" s="52">
        <v>0</v>
      </c>
      <c r="L769" s="52">
        <v>0</v>
      </c>
      <c r="M769" s="53">
        <v>30</v>
      </c>
      <c r="N769" s="53">
        <v>107430</v>
      </c>
      <c r="O769" s="53">
        <v>6</v>
      </c>
      <c r="P769" s="53">
        <v>16150</v>
      </c>
      <c r="Q769" s="53"/>
      <c r="R769" s="53">
        <v>16150</v>
      </c>
      <c r="S769" s="53">
        <f t="shared" si="194"/>
        <v>0</v>
      </c>
      <c r="T769" s="53">
        <f t="shared" si="189"/>
        <v>17280</v>
      </c>
      <c r="U769" s="52">
        <f t="shared" si="195"/>
        <v>0</v>
      </c>
      <c r="V769" s="52">
        <f t="shared" si="196"/>
        <v>0</v>
      </c>
      <c r="W769" s="52">
        <v>0</v>
      </c>
      <c r="X769" s="55">
        <f t="shared" si="192"/>
        <v>46153.084500385798</v>
      </c>
    </row>
    <row r="770" spans="1:24" hidden="1" x14ac:dyDescent="0.35">
      <c r="A770" s="46">
        <f t="shared" si="193"/>
        <v>46153.084500385798</v>
      </c>
      <c r="B770" s="46"/>
      <c r="C770" s="260"/>
      <c r="D770" s="46"/>
      <c r="E770" s="47" t="s">
        <v>5256</v>
      </c>
      <c r="F770" s="57" t="s">
        <v>1689</v>
      </c>
      <c r="G770" s="57"/>
      <c r="H770" s="49" t="s">
        <v>5374</v>
      </c>
      <c r="I770" s="82" t="s">
        <v>5375</v>
      </c>
      <c r="J770" s="51" t="s">
        <v>140</v>
      </c>
      <c r="K770" s="52">
        <v>0</v>
      </c>
      <c r="L770" s="52">
        <v>0</v>
      </c>
      <c r="M770" s="53">
        <v>35</v>
      </c>
      <c r="N770" s="53">
        <v>26000</v>
      </c>
      <c r="O770" s="53">
        <v>16</v>
      </c>
      <c r="P770" s="53">
        <f t="shared" ref="P770:P833" si="198">N770/O770</f>
        <v>1625</v>
      </c>
      <c r="Q770" s="53"/>
      <c r="R770" s="53">
        <v>1625</v>
      </c>
      <c r="S770" s="53">
        <v>0</v>
      </c>
      <c r="T770" s="53">
        <f t="shared" si="189"/>
        <v>39497.142857142855</v>
      </c>
      <c r="U770" s="52">
        <f t="shared" si="195"/>
        <v>0</v>
      </c>
      <c r="V770" s="52">
        <f t="shared" si="196"/>
        <v>0</v>
      </c>
      <c r="W770" s="52">
        <v>0</v>
      </c>
      <c r="X770" s="55">
        <f t="shared" si="192"/>
        <v>46153.084500385798</v>
      </c>
    </row>
    <row r="771" spans="1:24" hidden="1" x14ac:dyDescent="0.35">
      <c r="A771" s="46">
        <f t="shared" si="193"/>
        <v>46153.084500385798</v>
      </c>
      <c r="B771" s="46"/>
      <c r="C771" s="260"/>
      <c r="D771" s="46"/>
      <c r="E771" s="47" t="s">
        <v>5256</v>
      </c>
      <c r="F771" s="57" t="s">
        <v>5376</v>
      </c>
      <c r="G771" s="57"/>
      <c r="H771" s="49" t="s">
        <v>5377</v>
      </c>
      <c r="I771" s="82" t="s">
        <v>3468</v>
      </c>
      <c r="J771" s="51" t="s">
        <v>140</v>
      </c>
      <c r="K771" s="52">
        <v>0</v>
      </c>
      <c r="L771" s="52">
        <v>0</v>
      </c>
      <c r="M771" s="53">
        <v>20</v>
      </c>
      <c r="N771" s="53">
        <v>240000</v>
      </c>
      <c r="O771" s="53">
        <v>8</v>
      </c>
      <c r="P771" s="53">
        <f t="shared" si="198"/>
        <v>30000</v>
      </c>
      <c r="Q771" s="53"/>
      <c r="R771" s="53">
        <v>30000</v>
      </c>
      <c r="S771" s="53">
        <f>P771-R771</f>
        <v>0</v>
      </c>
      <c r="T771" s="53">
        <f t="shared" si="189"/>
        <v>34560</v>
      </c>
      <c r="U771" s="52">
        <f t="shared" si="195"/>
        <v>0</v>
      </c>
      <c r="V771" s="52">
        <f t="shared" si="196"/>
        <v>0</v>
      </c>
      <c r="W771" s="52">
        <v>0</v>
      </c>
      <c r="X771" s="55">
        <f t="shared" si="192"/>
        <v>46153.084500385798</v>
      </c>
    </row>
    <row r="772" spans="1:24" hidden="1" x14ac:dyDescent="0.35">
      <c r="A772" s="46">
        <f t="shared" si="193"/>
        <v>46153.084500385798</v>
      </c>
      <c r="B772" s="46"/>
      <c r="C772" s="260"/>
      <c r="D772" s="46"/>
      <c r="E772" s="47" t="s">
        <v>5256</v>
      </c>
      <c r="F772" s="57" t="s">
        <v>175</v>
      </c>
      <c r="G772" s="57"/>
      <c r="H772" s="49" t="s">
        <v>5378</v>
      </c>
      <c r="I772" s="82" t="s">
        <v>5375</v>
      </c>
      <c r="J772" s="51" t="s">
        <v>140</v>
      </c>
      <c r="K772" s="52">
        <v>0</v>
      </c>
      <c r="L772" s="52">
        <v>0</v>
      </c>
      <c r="M772" s="53">
        <v>35</v>
      </c>
      <c r="N772" s="53">
        <v>34000</v>
      </c>
      <c r="O772" s="53">
        <v>16</v>
      </c>
      <c r="P772" s="53">
        <f t="shared" si="198"/>
        <v>2125</v>
      </c>
      <c r="Q772" s="53"/>
      <c r="R772" s="53">
        <v>2125</v>
      </c>
      <c r="S772" s="53">
        <v>0</v>
      </c>
      <c r="T772" s="53">
        <f t="shared" si="189"/>
        <v>39497.142857142855</v>
      </c>
      <c r="U772" s="52">
        <f t="shared" si="195"/>
        <v>0</v>
      </c>
      <c r="V772" s="52">
        <f t="shared" si="196"/>
        <v>0</v>
      </c>
      <c r="W772" s="52">
        <v>0</v>
      </c>
      <c r="X772" s="55">
        <f t="shared" si="192"/>
        <v>46153.084500385798</v>
      </c>
    </row>
    <row r="773" spans="1:24" hidden="1" x14ac:dyDescent="0.35">
      <c r="A773" s="46">
        <f t="shared" si="193"/>
        <v>46153.084500385798</v>
      </c>
      <c r="B773" s="46"/>
      <c r="C773" s="260"/>
      <c r="D773" s="46"/>
      <c r="E773" s="47" t="s">
        <v>5256</v>
      </c>
      <c r="F773" s="57" t="s">
        <v>5379</v>
      </c>
      <c r="G773" s="57"/>
      <c r="H773" s="49" t="s">
        <v>5380</v>
      </c>
      <c r="I773" s="82" t="s">
        <v>5381</v>
      </c>
      <c r="J773" s="51" t="s">
        <v>140</v>
      </c>
      <c r="K773" s="52">
        <v>0</v>
      </c>
      <c r="L773" s="52">
        <v>0</v>
      </c>
      <c r="M773" s="53">
        <v>20</v>
      </c>
      <c r="N773" s="53">
        <v>4000</v>
      </c>
      <c r="O773" s="53">
        <v>4</v>
      </c>
      <c r="P773" s="53">
        <f t="shared" si="198"/>
        <v>1000</v>
      </c>
      <c r="Q773" s="53"/>
      <c r="R773" s="53">
        <v>1000</v>
      </c>
      <c r="S773" s="53">
        <v>0</v>
      </c>
      <c r="T773" s="53">
        <f t="shared" si="189"/>
        <v>17280</v>
      </c>
      <c r="U773" s="52">
        <f t="shared" si="195"/>
        <v>0</v>
      </c>
      <c r="V773" s="52">
        <f t="shared" si="196"/>
        <v>0</v>
      </c>
      <c r="W773" s="52">
        <v>0</v>
      </c>
      <c r="X773" s="55">
        <f t="shared" si="192"/>
        <v>46153.084500385798</v>
      </c>
    </row>
    <row r="774" spans="1:24" hidden="1" x14ac:dyDescent="0.35">
      <c r="A774" s="46">
        <f t="shared" si="193"/>
        <v>46153.084500385798</v>
      </c>
      <c r="B774" s="46"/>
      <c r="C774" s="260"/>
      <c r="D774" s="46"/>
      <c r="E774" s="47" t="s">
        <v>5256</v>
      </c>
      <c r="F774" s="57" t="s">
        <v>1031</v>
      </c>
      <c r="G774" s="57"/>
      <c r="H774" s="49" t="s">
        <v>5382</v>
      </c>
      <c r="I774" s="82" t="s">
        <v>5375</v>
      </c>
      <c r="J774" s="51" t="s">
        <v>140</v>
      </c>
      <c r="K774" s="52">
        <v>0</v>
      </c>
      <c r="L774" s="52">
        <v>0</v>
      </c>
      <c r="M774" s="53">
        <v>35</v>
      </c>
      <c r="N774" s="53">
        <v>104000</v>
      </c>
      <c r="O774" s="53">
        <v>16</v>
      </c>
      <c r="P774" s="53">
        <f t="shared" si="198"/>
        <v>6500</v>
      </c>
      <c r="Q774" s="53"/>
      <c r="R774" s="53">
        <v>6500</v>
      </c>
      <c r="S774" s="53">
        <v>0</v>
      </c>
      <c r="T774" s="53">
        <f t="shared" si="189"/>
        <v>39497.142857142855</v>
      </c>
      <c r="U774" s="52">
        <f t="shared" si="195"/>
        <v>0</v>
      </c>
      <c r="V774" s="52">
        <f t="shared" si="196"/>
        <v>0</v>
      </c>
      <c r="W774" s="52">
        <v>0</v>
      </c>
      <c r="X774" s="55">
        <f t="shared" si="192"/>
        <v>46153.084500385798</v>
      </c>
    </row>
    <row r="775" spans="1:24" ht="29" hidden="1" x14ac:dyDescent="0.35">
      <c r="A775" s="46">
        <f t="shared" si="193"/>
        <v>46153.084500385798</v>
      </c>
      <c r="B775" s="46"/>
      <c r="C775" s="260"/>
      <c r="D775" s="46"/>
      <c r="E775" s="47" t="s">
        <v>5256</v>
      </c>
      <c r="F775" s="48" t="s">
        <v>177</v>
      </c>
      <c r="G775" s="48"/>
      <c r="H775" s="49" t="s">
        <v>5383</v>
      </c>
      <c r="I775" s="82" t="s">
        <v>5384</v>
      </c>
      <c r="J775" s="51" t="s">
        <v>140</v>
      </c>
      <c r="K775" s="52">
        <v>0</v>
      </c>
      <c r="L775" s="52">
        <v>0</v>
      </c>
      <c r="M775" s="53">
        <v>27</v>
      </c>
      <c r="N775" s="53">
        <v>3000</v>
      </c>
      <c r="O775" s="53">
        <v>2</v>
      </c>
      <c r="P775" s="53">
        <f t="shared" si="198"/>
        <v>1500</v>
      </c>
      <c r="Q775" s="53"/>
      <c r="R775" s="53">
        <v>1500</v>
      </c>
      <c r="S775" s="53">
        <f t="shared" ref="S775:S795" si="199">P775-R775</f>
        <v>0</v>
      </c>
      <c r="T775" s="53">
        <f t="shared" si="189"/>
        <v>6400</v>
      </c>
      <c r="U775" s="52">
        <f t="shared" si="195"/>
        <v>0</v>
      </c>
      <c r="V775" s="52">
        <f t="shared" si="196"/>
        <v>0</v>
      </c>
      <c r="W775" s="52">
        <v>0</v>
      </c>
      <c r="X775" s="55">
        <f t="shared" si="192"/>
        <v>46153.084500385798</v>
      </c>
    </row>
    <row r="776" spans="1:24" ht="58" hidden="1" x14ac:dyDescent="0.35">
      <c r="A776" s="46">
        <f t="shared" si="193"/>
        <v>46153.084500385798</v>
      </c>
      <c r="B776" s="46"/>
      <c r="C776" s="260"/>
      <c r="D776" s="46"/>
      <c r="E776" s="47" t="s">
        <v>5256</v>
      </c>
      <c r="F776" s="48" t="s">
        <v>5385</v>
      </c>
      <c r="G776" s="48"/>
      <c r="H776" s="59" t="s">
        <v>5386</v>
      </c>
      <c r="I776" s="69" t="s">
        <v>5258</v>
      </c>
      <c r="J776" s="51" t="s">
        <v>140</v>
      </c>
      <c r="K776" s="52">
        <v>0</v>
      </c>
      <c r="L776" s="52">
        <v>0</v>
      </c>
      <c r="M776" s="53">
        <v>40</v>
      </c>
      <c r="N776" s="53">
        <v>6000</v>
      </c>
      <c r="O776" s="53">
        <v>1</v>
      </c>
      <c r="P776" s="53">
        <f t="shared" si="198"/>
        <v>6000</v>
      </c>
      <c r="Q776" s="53"/>
      <c r="R776" s="53">
        <v>6000</v>
      </c>
      <c r="S776" s="53">
        <f t="shared" si="199"/>
        <v>0</v>
      </c>
      <c r="T776" s="53">
        <f t="shared" si="189"/>
        <v>2160</v>
      </c>
      <c r="U776" s="52">
        <f t="shared" si="195"/>
        <v>0</v>
      </c>
      <c r="V776" s="52">
        <f t="shared" si="196"/>
        <v>0</v>
      </c>
      <c r="W776" s="52">
        <v>0</v>
      </c>
      <c r="X776" s="55">
        <f t="shared" si="192"/>
        <v>46153.084500385798</v>
      </c>
    </row>
    <row r="777" spans="1:24" ht="58" hidden="1" x14ac:dyDescent="0.35">
      <c r="A777" s="46">
        <f t="shared" si="193"/>
        <v>46153.084500385798</v>
      </c>
      <c r="B777" s="46"/>
      <c r="C777" s="260"/>
      <c r="D777" s="46"/>
      <c r="E777" s="47" t="s">
        <v>5256</v>
      </c>
      <c r="F777" s="48" t="s">
        <v>5385</v>
      </c>
      <c r="G777" s="48"/>
      <c r="H777" s="59" t="s">
        <v>5387</v>
      </c>
      <c r="I777" s="69" t="s">
        <v>5260</v>
      </c>
      <c r="J777" s="51" t="s">
        <v>140</v>
      </c>
      <c r="K777" s="52">
        <v>0</v>
      </c>
      <c r="L777" s="52">
        <v>0</v>
      </c>
      <c r="M777" s="53">
        <v>30</v>
      </c>
      <c r="N777" s="53">
        <v>6000</v>
      </c>
      <c r="O777" s="53">
        <v>1</v>
      </c>
      <c r="P777" s="53">
        <f t="shared" si="198"/>
        <v>6000</v>
      </c>
      <c r="Q777" s="53"/>
      <c r="R777" s="53">
        <v>6000</v>
      </c>
      <c r="S777" s="53">
        <f t="shared" si="199"/>
        <v>0</v>
      </c>
      <c r="T777" s="53">
        <f t="shared" si="189"/>
        <v>2880</v>
      </c>
      <c r="U777" s="52">
        <f t="shared" si="195"/>
        <v>0</v>
      </c>
      <c r="V777" s="52">
        <f t="shared" si="196"/>
        <v>0</v>
      </c>
      <c r="W777" s="52">
        <v>0</v>
      </c>
      <c r="X777" s="55">
        <f t="shared" si="192"/>
        <v>46153.084500385798</v>
      </c>
    </row>
    <row r="778" spans="1:24" ht="29" hidden="1" x14ac:dyDescent="0.35">
      <c r="A778" s="46">
        <f t="shared" si="193"/>
        <v>46153.084500385798</v>
      </c>
      <c r="B778" s="46"/>
      <c r="C778" s="260"/>
      <c r="D778" s="46"/>
      <c r="E778" s="47" t="s">
        <v>5256</v>
      </c>
      <c r="F778" s="48" t="s">
        <v>5388</v>
      </c>
      <c r="G778" s="48"/>
      <c r="H778" s="59" t="s">
        <v>5389</v>
      </c>
      <c r="I778" s="69" t="s">
        <v>5271</v>
      </c>
      <c r="J778" s="51" t="s">
        <v>140</v>
      </c>
      <c r="K778" s="52">
        <v>0</v>
      </c>
      <c r="L778" s="52">
        <v>0</v>
      </c>
      <c r="M778" s="53">
        <v>35</v>
      </c>
      <c r="N778" s="53">
        <v>3000</v>
      </c>
      <c r="O778" s="53">
        <v>2</v>
      </c>
      <c r="P778" s="53">
        <f t="shared" si="198"/>
        <v>1500</v>
      </c>
      <c r="Q778" s="53"/>
      <c r="R778" s="53">
        <v>1500</v>
      </c>
      <c r="S778" s="53">
        <f t="shared" si="199"/>
        <v>0</v>
      </c>
      <c r="T778" s="53">
        <f t="shared" si="189"/>
        <v>4937.1428571428569</v>
      </c>
      <c r="U778" s="52">
        <f t="shared" si="195"/>
        <v>0</v>
      </c>
      <c r="V778" s="52">
        <f t="shared" si="196"/>
        <v>0</v>
      </c>
      <c r="W778" s="52">
        <v>0</v>
      </c>
      <c r="X778" s="55">
        <f t="shared" si="192"/>
        <v>46153.084500385798</v>
      </c>
    </row>
    <row r="779" spans="1:24" ht="26.5" hidden="1" x14ac:dyDescent="0.35">
      <c r="A779" s="46">
        <f t="shared" si="193"/>
        <v>46153.084500385798</v>
      </c>
      <c r="B779" s="46"/>
      <c r="C779" s="260"/>
      <c r="D779" s="46"/>
      <c r="E779" s="47" t="s">
        <v>5256</v>
      </c>
      <c r="F779" s="56" t="s">
        <v>3860</v>
      </c>
      <c r="G779" s="56"/>
      <c r="H779" s="49" t="s">
        <v>5390</v>
      </c>
      <c r="I779" s="697" t="s">
        <v>5391</v>
      </c>
      <c r="J779" s="51" t="s">
        <v>140</v>
      </c>
      <c r="K779" s="52">
        <v>0</v>
      </c>
      <c r="L779" s="52">
        <v>0</v>
      </c>
      <c r="M779" s="53">
        <v>30</v>
      </c>
      <c r="N779" s="53">
        <v>1600</v>
      </c>
      <c r="O779" s="53">
        <v>1</v>
      </c>
      <c r="P779" s="53">
        <f t="shared" si="198"/>
        <v>1600</v>
      </c>
      <c r="Q779" s="53"/>
      <c r="R779" s="53">
        <v>1600</v>
      </c>
      <c r="S779" s="53">
        <f t="shared" si="199"/>
        <v>0</v>
      </c>
      <c r="T779" s="53">
        <f t="shared" si="189"/>
        <v>2880</v>
      </c>
      <c r="U779" s="52">
        <f t="shared" si="195"/>
        <v>0</v>
      </c>
      <c r="V779" s="52">
        <f t="shared" si="196"/>
        <v>0</v>
      </c>
      <c r="W779" s="52">
        <v>0</v>
      </c>
      <c r="X779" s="55">
        <f t="shared" si="192"/>
        <v>46153.084500385798</v>
      </c>
    </row>
    <row r="780" spans="1:24" hidden="1" x14ac:dyDescent="0.35">
      <c r="A780" s="46">
        <f t="shared" si="193"/>
        <v>46153.084500385798</v>
      </c>
      <c r="B780" s="46"/>
      <c r="C780" s="260"/>
      <c r="D780" s="46"/>
      <c r="E780" s="47" t="s">
        <v>5256</v>
      </c>
      <c r="F780" s="57" t="s">
        <v>3857</v>
      </c>
      <c r="G780" s="57"/>
      <c r="H780" s="49" t="s">
        <v>5392</v>
      </c>
      <c r="I780" s="97" t="s">
        <v>5393</v>
      </c>
      <c r="J780" s="51" t="s">
        <v>140</v>
      </c>
      <c r="K780" s="52">
        <v>0</v>
      </c>
      <c r="L780" s="52">
        <v>0</v>
      </c>
      <c r="M780" s="53">
        <v>30</v>
      </c>
      <c r="N780" s="53">
        <v>1000</v>
      </c>
      <c r="O780" s="53">
        <v>4</v>
      </c>
      <c r="P780" s="53">
        <f t="shared" si="198"/>
        <v>250</v>
      </c>
      <c r="Q780" s="53"/>
      <c r="R780" s="53">
        <v>250</v>
      </c>
      <c r="S780" s="53">
        <f t="shared" si="199"/>
        <v>0</v>
      </c>
      <c r="T780" s="53">
        <f t="shared" si="189"/>
        <v>11520</v>
      </c>
      <c r="U780" s="52">
        <f t="shared" si="195"/>
        <v>0</v>
      </c>
      <c r="V780" s="52">
        <f t="shared" si="196"/>
        <v>0</v>
      </c>
      <c r="W780" s="52">
        <v>0</v>
      </c>
      <c r="X780" s="55">
        <f t="shared" si="192"/>
        <v>46153.084500385798</v>
      </c>
    </row>
    <row r="781" spans="1:24" hidden="1" x14ac:dyDescent="0.35">
      <c r="A781" s="46">
        <f t="shared" si="193"/>
        <v>46153.084500385798</v>
      </c>
      <c r="B781" s="46"/>
      <c r="C781" s="260"/>
      <c r="D781" s="46"/>
      <c r="E781" s="47" t="s">
        <v>5256</v>
      </c>
      <c r="F781" s="57" t="s">
        <v>3857</v>
      </c>
      <c r="G781" s="57"/>
      <c r="H781" s="49" t="s">
        <v>5394</v>
      </c>
      <c r="I781" s="405" t="s">
        <v>5395</v>
      </c>
      <c r="J781" s="51" t="s">
        <v>140</v>
      </c>
      <c r="K781" s="52">
        <v>0</v>
      </c>
      <c r="L781" s="52">
        <v>0</v>
      </c>
      <c r="M781" s="53">
        <v>30</v>
      </c>
      <c r="N781" s="53">
        <v>1000</v>
      </c>
      <c r="O781" s="53">
        <v>4</v>
      </c>
      <c r="P781" s="53">
        <f t="shared" si="198"/>
        <v>250</v>
      </c>
      <c r="Q781" s="53"/>
      <c r="R781" s="53">
        <v>250</v>
      </c>
      <c r="S781" s="53">
        <f t="shared" si="199"/>
        <v>0</v>
      </c>
      <c r="T781" s="53">
        <f t="shared" si="189"/>
        <v>11520</v>
      </c>
      <c r="U781" s="52">
        <f t="shared" si="195"/>
        <v>0</v>
      </c>
      <c r="V781" s="52">
        <f t="shared" si="196"/>
        <v>0</v>
      </c>
      <c r="W781" s="52">
        <v>0</v>
      </c>
      <c r="X781" s="55">
        <f t="shared" si="192"/>
        <v>46153.084500385798</v>
      </c>
    </row>
    <row r="782" spans="1:24" hidden="1" x14ac:dyDescent="0.35">
      <c r="A782" s="46">
        <f t="shared" si="193"/>
        <v>46153.084500385798</v>
      </c>
      <c r="B782" s="46"/>
      <c r="C782" s="260"/>
      <c r="D782" s="46"/>
      <c r="E782" s="47" t="s">
        <v>5256</v>
      </c>
      <c r="F782" s="57" t="s">
        <v>3857</v>
      </c>
      <c r="G782" s="57"/>
      <c r="H782" s="49" t="s">
        <v>5396</v>
      </c>
      <c r="I782" s="97" t="s">
        <v>5397</v>
      </c>
      <c r="J782" s="51" t="s">
        <v>140</v>
      </c>
      <c r="K782" s="52">
        <v>0</v>
      </c>
      <c r="L782" s="52">
        <v>0</v>
      </c>
      <c r="M782" s="53">
        <v>30</v>
      </c>
      <c r="N782" s="53">
        <v>4000</v>
      </c>
      <c r="O782" s="53">
        <v>4</v>
      </c>
      <c r="P782" s="53">
        <f t="shared" si="198"/>
        <v>1000</v>
      </c>
      <c r="Q782" s="53"/>
      <c r="R782" s="53">
        <v>1000</v>
      </c>
      <c r="S782" s="53">
        <f t="shared" si="199"/>
        <v>0</v>
      </c>
      <c r="T782" s="53">
        <f t="shared" si="189"/>
        <v>11520</v>
      </c>
      <c r="U782" s="52">
        <f t="shared" si="195"/>
        <v>0</v>
      </c>
      <c r="V782" s="52">
        <f t="shared" si="196"/>
        <v>0</v>
      </c>
      <c r="W782" s="52">
        <v>0</v>
      </c>
      <c r="X782" s="55">
        <f t="shared" si="192"/>
        <v>46153.084500385798</v>
      </c>
    </row>
    <row r="783" spans="1:24" ht="29" hidden="1" x14ac:dyDescent="0.35">
      <c r="A783" s="46">
        <f t="shared" si="193"/>
        <v>46153.084500385798</v>
      </c>
      <c r="B783" s="46"/>
      <c r="C783" s="260"/>
      <c r="D783" s="46"/>
      <c r="E783" s="47" t="s">
        <v>5256</v>
      </c>
      <c r="F783" s="57" t="s">
        <v>5398</v>
      </c>
      <c r="G783" s="57"/>
      <c r="H783" s="59" t="s">
        <v>5399</v>
      </c>
      <c r="I783" s="97" t="s">
        <v>5381</v>
      </c>
      <c r="J783" s="51" t="s">
        <v>140</v>
      </c>
      <c r="K783" s="52">
        <v>0</v>
      </c>
      <c r="L783" s="52">
        <v>0</v>
      </c>
      <c r="M783" s="53">
        <v>30</v>
      </c>
      <c r="N783" s="53">
        <v>1000</v>
      </c>
      <c r="O783" s="53">
        <v>1</v>
      </c>
      <c r="P783" s="53">
        <f t="shared" si="198"/>
        <v>1000</v>
      </c>
      <c r="Q783" s="53"/>
      <c r="R783" s="53">
        <v>1000</v>
      </c>
      <c r="S783" s="53">
        <f t="shared" si="199"/>
        <v>0</v>
      </c>
      <c r="T783" s="53">
        <f t="shared" si="189"/>
        <v>2880</v>
      </c>
      <c r="U783" s="52">
        <f t="shared" si="195"/>
        <v>0</v>
      </c>
      <c r="V783" s="52">
        <f t="shared" si="196"/>
        <v>0</v>
      </c>
      <c r="W783" s="52">
        <v>0</v>
      </c>
      <c r="X783" s="55">
        <f t="shared" si="192"/>
        <v>46153.084500385798</v>
      </c>
    </row>
    <row r="784" spans="1:24" hidden="1" x14ac:dyDescent="0.35">
      <c r="A784" s="46">
        <f t="shared" si="193"/>
        <v>46153.084500385798</v>
      </c>
      <c r="B784" s="46"/>
      <c r="C784" s="260"/>
      <c r="D784" s="46"/>
      <c r="E784" s="47" t="s">
        <v>5256</v>
      </c>
      <c r="F784" s="48" t="s">
        <v>5400</v>
      </c>
      <c r="G784" s="48"/>
      <c r="H784" s="59" t="s">
        <v>5401</v>
      </c>
      <c r="I784" s="82" t="s">
        <v>5316</v>
      </c>
      <c r="J784" s="51" t="s">
        <v>140</v>
      </c>
      <c r="K784" s="52">
        <v>0</v>
      </c>
      <c r="L784" s="52">
        <v>0</v>
      </c>
      <c r="M784" s="53">
        <v>30</v>
      </c>
      <c r="N784" s="53">
        <v>13000</v>
      </c>
      <c r="O784" s="53">
        <v>2</v>
      </c>
      <c r="P784" s="53">
        <f t="shared" si="198"/>
        <v>6500</v>
      </c>
      <c r="Q784" s="53"/>
      <c r="R784" s="53">
        <v>6500</v>
      </c>
      <c r="S784" s="53">
        <f t="shared" si="199"/>
        <v>0</v>
      </c>
      <c r="T784" s="53">
        <f t="shared" si="189"/>
        <v>5760</v>
      </c>
      <c r="U784" s="52">
        <f t="shared" si="195"/>
        <v>0</v>
      </c>
      <c r="V784" s="52">
        <f t="shared" si="196"/>
        <v>0</v>
      </c>
      <c r="W784" s="52">
        <v>0</v>
      </c>
      <c r="X784" s="55">
        <f t="shared" si="192"/>
        <v>46153.084500385798</v>
      </c>
    </row>
    <row r="785" spans="1:24" hidden="1" x14ac:dyDescent="0.35">
      <c r="A785" s="46">
        <f t="shared" si="193"/>
        <v>46153.084500385798</v>
      </c>
      <c r="B785" s="46"/>
      <c r="C785" s="260"/>
      <c r="D785" s="46"/>
      <c r="E785" s="47" t="s">
        <v>5256</v>
      </c>
      <c r="F785" s="57" t="s">
        <v>5402</v>
      </c>
      <c r="G785" s="57"/>
      <c r="H785" s="49" t="s">
        <v>5403</v>
      </c>
      <c r="I785" s="82" t="s">
        <v>5404</v>
      </c>
      <c r="J785" s="51" t="s">
        <v>140</v>
      </c>
      <c r="K785" s="52">
        <v>0</v>
      </c>
      <c r="L785" s="52">
        <v>0</v>
      </c>
      <c r="M785" s="53">
        <v>50</v>
      </c>
      <c r="N785" s="53">
        <v>2000</v>
      </c>
      <c r="O785" s="53">
        <v>2</v>
      </c>
      <c r="P785" s="53">
        <f t="shared" si="198"/>
        <v>1000</v>
      </c>
      <c r="Q785" s="53"/>
      <c r="R785" s="53">
        <v>1000</v>
      </c>
      <c r="S785" s="53">
        <f t="shared" si="199"/>
        <v>0</v>
      </c>
      <c r="T785" s="53">
        <f t="shared" si="189"/>
        <v>3456</v>
      </c>
      <c r="U785" s="52">
        <f t="shared" si="195"/>
        <v>0</v>
      </c>
      <c r="V785" s="52">
        <f t="shared" si="196"/>
        <v>0</v>
      </c>
      <c r="W785" s="52">
        <v>0</v>
      </c>
      <c r="X785" s="55">
        <f t="shared" si="192"/>
        <v>46153.084500385798</v>
      </c>
    </row>
    <row r="786" spans="1:24" hidden="1" x14ac:dyDescent="0.35">
      <c r="A786" s="46">
        <f t="shared" si="193"/>
        <v>46153.084500385798</v>
      </c>
      <c r="B786" s="46"/>
      <c r="C786" s="260"/>
      <c r="D786" s="46"/>
      <c r="E786" s="47" t="s">
        <v>5256</v>
      </c>
      <c r="F786" s="62" t="s">
        <v>5405</v>
      </c>
      <c r="G786" s="62"/>
      <c r="H786" s="49" t="s">
        <v>5406</v>
      </c>
      <c r="I786" s="82" t="s">
        <v>5209</v>
      </c>
      <c r="J786" s="51" t="s">
        <v>140</v>
      </c>
      <c r="K786" s="52">
        <v>0</v>
      </c>
      <c r="L786" s="52">
        <v>0</v>
      </c>
      <c r="M786" s="53">
        <v>30</v>
      </c>
      <c r="N786" s="53">
        <v>1084</v>
      </c>
      <c r="O786" s="53">
        <v>1</v>
      </c>
      <c r="P786" s="53">
        <f t="shared" si="198"/>
        <v>1084</v>
      </c>
      <c r="Q786" s="53"/>
      <c r="R786" s="53">
        <v>1084</v>
      </c>
      <c r="S786" s="53">
        <f t="shared" si="199"/>
        <v>0</v>
      </c>
      <c r="T786" s="53">
        <f t="shared" si="189"/>
        <v>2880</v>
      </c>
      <c r="U786" s="52">
        <f t="shared" si="195"/>
        <v>0</v>
      </c>
      <c r="V786" s="52">
        <f t="shared" si="196"/>
        <v>0</v>
      </c>
      <c r="W786" s="52">
        <v>0</v>
      </c>
      <c r="X786" s="55">
        <f t="shared" si="192"/>
        <v>46153.084500385798</v>
      </c>
    </row>
    <row r="787" spans="1:24" ht="29" hidden="1" x14ac:dyDescent="0.35">
      <c r="A787" s="46">
        <f t="shared" si="193"/>
        <v>46153.084500385798</v>
      </c>
      <c r="B787" s="46"/>
      <c r="C787" s="260"/>
      <c r="D787" s="46"/>
      <c r="E787" s="47" t="s">
        <v>5256</v>
      </c>
      <c r="F787" s="48" t="s">
        <v>1058</v>
      </c>
      <c r="G787" s="48"/>
      <c r="H787" s="49" t="s">
        <v>5407</v>
      </c>
      <c r="I787" s="97" t="s">
        <v>4989</v>
      </c>
      <c r="J787" s="51" t="s">
        <v>140</v>
      </c>
      <c r="K787" s="52">
        <v>0</v>
      </c>
      <c r="L787" s="52">
        <v>0</v>
      </c>
      <c r="M787" s="53">
        <v>32</v>
      </c>
      <c r="N787" s="53">
        <v>30000</v>
      </c>
      <c r="O787" s="53">
        <v>6</v>
      </c>
      <c r="P787" s="53">
        <f t="shared" si="198"/>
        <v>5000</v>
      </c>
      <c r="Q787" s="53"/>
      <c r="R787" s="53">
        <v>5000</v>
      </c>
      <c r="S787" s="53">
        <f t="shared" si="199"/>
        <v>0</v>
      </c>
      <c r="T787" s="53">
        <f t="shared" si="189"/>
        <v>16200</v>
      </c>
      <c r="U787" s="52">
        <f t="shared" si="195"/>
        <v>0</v>
      </c>
      <c r="V787" s="52">
        <f t="shared" si="196"/>
        <v>0</v>
      </c>
      <c r="W787" s="52">
        <v>0</v>
      </c>
      <c r="X787" s="55">
        <f t="shared" si="192"/>
        <v>46153.084500385798</v>
      </c>
    </row>
    <row r="788" spans="1:24" hidden="1" x14ac:dyDescent="0.35">
      <c r="A788" s="46">
        <f t="shared" si="193"/>
        <v>46153.084500385798</v>
      </c>
      <c r="B788" s="46"/>
      <c r="C788" s="260"/>
      <c r="D788" s="46"/>
      <c r="E788" s="918" t="s">
        <v>5256</v>
      </c>
      <c r="F788" s="919" t="s">
        <v>14</v>
      </c>
      <c r="G788" s="919"/>
      <c r="H788" s="920" t="s">
        <v>14</v>
      </c>
      <c r="I788" s="921" t="s">
        <v>5408</v>
      </c>
      <c r="J788" s="964" t="s">
        <v>140</v>
      </c>
      <c r="K788" s="965">
        <v>0</v>
      </c>
      <c r="L788" s="965">
        <v>0</v>
      </c>
      <c r="M788" s="966">
        <v>45</v>
      </c>
      <c r="N788" s="966">
        <v>20</v>
      </c>
      <c r="O788" s="966">
        <v>2</v>
      </c>
      <c r="P788" s="966">
        <f t="shared" si="198"/>
        <v>10</v>
      </c>
      <c r="Q788" s="966"/>
      <c r="R788" s="966">
        <v>10</v>
      </c>
      <c r="S788" s="966">
        <f t="shared" si="199"/>
        <v>0</v>
      </c>
      <c r="T788" s="966">
        <f t="shared" si="189"/>
        <v>3840</v>
      </c>
      <c r="U788" s="965">
        <f t="shared" si="195"/>
        <v>0</v>
      </c>
      <c r="V788" s="965">
        <f t="shared" si="196"/>
        <v>0</v>
      </c>
      <c r="W788" s="965">
        <v>0</v>
      </c>
      <c r="X788" s="55">
        <f t="shared" si="192"/>
        <v>46153.084500385798</v>
      </c>
    </row>
    <row r="789" spans="1:24" hidden="1" x14ac:dyDescent="0.35">
      <c r="A789" s="46">
        <f t="shared" si="193"/>
        <v>46153.084500385798</v>
      </c>
      <c r="B789" s="46"/>
      <c r="C789" s="260"/>
      <c r="D789" s="46"/>
      <c r="E789" s="419" t="s">
        <v>5256</v>
      </c>
      <c r="F789" s="967" t="s">
        <v>547</v>
      </c>
      <c r="G789" s="967"/>
      <c r="H789" s="334" t="s">
        <v>5409</v>
      </c>
      <c r="I789" s="220" t="s">
        <v>5410</v>
      </c>
      <c r="J789" s="420" t="s">
        <v>140</v>
      </c>
      <c r="K789" s="875">
        <v>0</v>
      </c>
      <c r="L789" s="875">
        <v>0</v>
      </c>
      <c r="M789" s="873">
        <v>35</v>
      </c>
      <c r="N789" s="873">
        <v>5000</v>
      </c>
      <c r="O789" s="873">
        <v>2</v>
      </c>
      <c r="P789" s="873">
        <f t="shared" si="198"/>
        <v>2500</v>
      </c>
      <c r="Q789" s="873"/>
      <c r="R789" s="873">
        <v>2500</v>
      </c>
      <c r="S789" s="53">
        <f t="shared" si="199"/>
        <v>0</v>
      </c>
      <c r="T789" s="873">
        <f t="shared" si="189"/>
        <v>4937.1428571428569</v>
      </c>
      <c r="U789" s="875">
        <f t="shared" si="195"/>
        <v>0</v>
      </c>
      <c r="V789" s="875">
        <f t="shared" si="196"/>
        <v>0</v>
      </c>
      <c r="W789" s="875">
        <v>0</v>
      </c>
      <c r="X789" s="55">
        <f t="shared" si="192"/>
        <v>46153.084500385798</v>
      </c>
    </row>
    <row r="790" spans="1:24" hidden="1" x14ac:dyDescent="0.35">
      <c r="A790" s="46">
        <f t="shared" si="193"/>
        <v>46153.084500385798</v>
      </c>
      <c r="B790" s="46"/>
      <c r="C790" s="260"/>
      <c r="D790" s="46"/>
      <c r="E790" s="918" t="s">
        <v>5256</v>
      </c>
      <c r="F790" s="919" t="s">
        <v>14</v>
      </c>
      <c r="G790" s="919"/>
      <c r="H790" s="920" t="s">
        <v>14</v>
      </c>
      <c r="I790" s="968" t="s">
        <v>5411</v>
      </c>
      <c r="J790" s="964" t="s">
        <v>140</v>
      </c>
      <c r="K790" s="965">
        <v>0</v>
      </c>
      <c r="L790" s="965">
        <v>0</v>
      </c>
      <c r="M790" s="966">
        <v>45</v>
      </c>
      <c r="N790" s="966">
        <v>20</v>
      </c>
      <c r="O790" s="966">
        <v>2</v>
      </c>
      <c r="P790" s="966">
        <f t="shared" si="198"/>
        <v>10</v>
      </c>
      <c r="Q790" s="966"/>
      <c r="R790" s="966">
        <v>10</v>
      </c>
      <c r="S790" s="966">
        <f t="shared" si="199"/>
        <v>0</v>
      </c>
      <c r="T790" s="966">
        <f t="shared" si="189"/>
        <v>3840</v>
      </c>
      <c r="U790" s="965">
        <f t="shared" si="195"/>
        <v>0</v>
      </c>
      <c r="V790" s="965">
        <f t="shared" si="196"/>
        <v>0</v>
      </c>
      <c r="W790" s="965">
        <v>0</v>
      </c>
      <c r="X790" s="55">
        <f t="shared" si="192"/>
        <v>46153.084500385798</v>
      </c>
    </row>
    <row r="791" spans="1:24" ht="29" hidden="1" x14ac:dyDescent="0.35">
      <c r="A791" s="46">
        <f t="shared" si="193"/>
        <v>46153.084500385798</v>
      </c>
      <c r="B791" s="46"/>
      <c r="C791" s="260"/>
      <c r="D791" s="46"/>
      <c r="E791" s="47" t="s">
        <v>5256</v>
      </c>
      <c r="F791" s="57" t="s">
        <v>849</v>
      </c>
      <c r="G791" s="57"/>
      <c r="H791" s="49" t="s">
        <v>5412</v>
      </c>
      <c r="I791" s="82" t="s">
        <v>3468</v>
      </c>
      <c r="J791" s="51" t="s">
        <v>140</v>
      </c>
      <c r="K791" s="52">
        <v>0</v>
      </c>
      <c r="L791" s="52">
        <v>0</v>
      </c>
      <c r="M791" s="53">
        <v>20</v>
      </c>
      <c r="N791" s="53">
        <v>160000</v>
      </c>
      <c r="O791" s="53">
        <v>8</v>
      </c>
      <c r="P791" s="53">
        <f t="shared" si="198"/>
        <v>20000</v>
      </c>
      <c r="Q791" s="53"/>
      <c r="R791" s="53">
        <v>20000</v>
      </c>
      <c r="S791" s="53">
        <f t="shared" si="199"/>
        <v>0</v>
      </c>
      <c r="T791" s="53">
        <f t="shared" si="189"/>
        <v>34560</v>
      </c>
      <c r="U791" s="52">
        <f t="shared" si="195"/>
        <v>0</v>
      </c>
      <c r="V791" s="52">
        <f t="shared" si="196"/>
        <v>0</v>
      </c>
      <c r="W791" s="52">
        <v>0</v>
      </c>
      <c r="X791" s="55">
        <f t="shared" si="192"/>
        <v>46153.084500385798</v>
      </c>
    </row>
    <row r="792" spans="1:24" ht="26.5" hidden="1" x14ac:dyDescent="0.35">
      <c r="A792" s="46">
        <f t="shared" si="193"/>
        <v>46153.084500385798</v>
      </c>
      <c r="B792" s="46"/>
      <c r="C792" s="260"/>
      <c r="D792" s="46"/>
      <c r="E792" s="47" t="s">
        <v>5256</v>
      </c>
      <c r="F792" s="97" t="s">
        <v>3882</v>
      </c>
      <c r="G792" s="97"/>
      <c r="H792" s="49" t="s">
        <v>5413</v>
      </c>
      <c r="I792" s="697" t="s">
        <v>5391</v>
      </c>
      <c r="J792" s="51" t="s">
        <v>140</v>
      </c>
      <c r="K792" s="52">
        <v>0</v>
      </c>
      <c r="L792" s="52">
        <v>0</v>
      </c>
      <c r="M792" s="53">
        <v>30</v>
      </c>
      <c r="N792" s="53">
        <v>2000</v>
      </c>
      <c r="O792" s="53">
        <v>1</v>
      </c>
      <c r="P792" s="53">
        <f t="shared" si="198"/>
        <v>2000</v>
      </c>
      <c r="Q792" s="53"/>
      <c r="R792" s="53">
        <v>2000</v>
      </c>
      <c r="S792" s="53">
        <f t="shared" si="199"/>
        <v>0</v>
      </c>
      <c r="T792" s="53">
        <f t="shared" si="189"/>
        <v>2880</v>
      </c>
      <c r="U792" s="52">
        <f t="shared" si="195"/>
        <v>0</v>
      </c>
      <c r="V792" s="52">
        <f t="shared" si="196"/>
        <v>0</v>
      </c>
      <c r="W792" s="52">
        <v>0</v>
      </c>
      <c r="X792" s="55">
        <f t="shared" si="192"/>
        <v>46153.084500385798</v>
      </c>
    </row>
    <row r="793" spans="1:24" hidden="1" x14ac:dyDescent="0.35">
      <c r="A793" s="46">
        <f t="shared" si="193"/>
        <v>46153.084500385798</v>
      </c>
      <c r="B793" s="46"/>
      <c r="C793" s="260"/>
      <c r="D793" s="46"/>
      <c r="E793" s="47" t="s">
        <v>5256</v>
      </c>
      <c r="F793" s="57" t="s">
        <v>1726</v>
      </c>
      <c r="G793" s="57"/>
      <c r="H793" s="49" t="s">
        <v>5414</v>
      </c>
      <c r="I793" s="82" t="s">
        <v>5375</v>
      </c>
      <c r="J793" s="51" t="s">
        <v>140</v>
      </c>
      <c r="K793" s="52">
        <v>0</v>
      </c>
      <c r="L793" s="52">
        <v>0</v>
      </c>
      <c r="M793" s="53">
        <v>35</v>
      </c>
      <c r="N793" s="53">
        <v>60000</v>
      </c>
      <c r="O793" s="53">
        <v>16</v>
      </c>
      <c r="P793" s="53">
        <f t="shared" si="198"/>
        <v>3750</v>
      </c>
      <c r="Q793" s="53"/>
      <c r="R793" s="53">
        <v>3750</v>
      </c>
      <c r="S793" s="53">
        <f t="shared" si="199"/>
        <v>0</v>
      </c>
      <c r="T793" s="53">
        <f t="shared" si="189"/>
        <v>39497.142857142855</v>
      </c>
      <c r="U793" s="52">
        <f t="shared" si="195"/>
        <v>0</v>
      </c>
      <c r="V793" s="52">
        <f t="shared" si="196"/>
        <v>0</v>
      </c>
      <c r="W793" s="52">
        <v>0</v>
      </c>
      <c r="X793" s="55">
        <f t="shared" si="192"/>
        <v>46153.084500385798</v>
      </c>
    </row>
    <row r="794" spans="1:24" hidden="1" x14ac:dyDescent="0.35">
      <c r="A794" s="46">
        <f t="shared" si="193"/>
        <v>46153.084500385798</v>
      </c>
      <c r="B794" s="46"/>
      <c r="C794" s="260"/>
      <c r="D794" s="46"/>
      <c r="E794" s="47" t="s">
        <v>5256</v>
      </c>
      <c r="F794" s="82" t="s">
        <v>513</v>
      </c>
      <c r="G794" s="82"/>
      <c r="H794" s="59" t="s">
        <v>5415</v>
      </c>
      <c r="I794" s="82" t="s">
        <v>5416</v>
      </c>
      <c r="J794" s="100" t="s">
        <v>140</v>
      </c>
      <c r="K794" s="52">
        <v>0</v>
      </c>
      <c r="L794" s="52">
        <v>0</v>
      </c>
      <c r="M794" s="53">
        <v>18</v>
      </c>
      <c r="N794" s="53">
        <v>10000</v>
      </c>
      <c r="O794" s="53">
        <v>4</v>
      </c>
      <c r="P794" s="53">
        <f t="shared" si="198"/>
        <v>2500</v>
      </c>
      <c r="Q794" s="53"/>
      <c r="R794" s="83">
        <v>2500</v>
      </c>
      <c r="S794" s="53">
        <f t="shared" si="199"/>
        <v>0</v>
      </c>
      <c r="T794" s="83">
        <f t="shared" si="189"/>
        <v>19200</v>
      </c>
      <c r="U794" s="84">
        <f t="shared" si="195"/>
        <v>0</v>
      </c>
      <c r="V794" s="84">
        <f t="shared" si="196"/>
        <v>0</v>
      </c>
      <c r="W794" s="101">
        <v>0</v>
      </c>
      <c r="X794" s="55">
        <f t="shared" si="192"/>
        <v>46153.084500385798</v>
      </c>
    </row>
    <row r="795" spans="1:24" s="221" customFormat="1" hidden="1" x14ac:dyDescent="0.35">
      <c r="A795" s="46">
        <f t="shared" si="193"/>
        <v>46153.084500385798</v>
      </c>
      <c r="B795" s="46"/>
      <c r="C795" s="260"/>
      <c r="D795" s="46"/>
      <c r="E795" s="296" t="s">
        <v>5256</v>
      </c>
      <c r="F795" s="397" t="s">
        <v>14</v>
      </c>
      <c r="G795" s="397"/>
      <c r="H795" s="398" t="s">
        <v>14</v>
      </c>
      <c r="I795" s="366"/>
      <c r="J795" s="300" t="s">
        <v>140</v>
      </c>
      <c r="K795" s="399">
        <v>0</v>
      </c>
      <c r="L795" s="399">
        <v>0</v>
      </c>
      <c r="M795" s="400">
        <v>35</v>
      </c>
      <c r="N795" s="400">
        <v>50</v>
      </c>
      <c r="O795" s="400">
        <v>4</v>
      </c>
      <c r="P795" s="579">
        <f t="shared" si="198"/>
        <v>12.5</v>
      </c>
      <c r="Q795" s="579"/>
      <c r="R795" s="400">
        <v>0</v>
      </c>
      <c r="S795" s="400">
        <f t="shared" si="199"/>
        <v>12.5</v>
      </c>
      <c r="T795" s="579">
        <f t="shared" si="189"/>
        <v>9874.2857142857138</v>
      </c>
      <c r="U795" s="583">
        <f t="shared" si="195"/>
        <v>0.12152777777777778</v>
      </c>
      <c r="V795" s="583">
        <f t="shared" si="196"/>
        <v>5.0636574074074073E-3</v>
      </c>
      <c r="W795" s="583">
        <v>0</v>
      </c>
      <c r="X795" s="55">
        <f t="shared" si="192"/>
        <v>46153.089564043206</v>
      </c>
    </row>
    <row r="796" spans="1:24" s="221" customFormat="1" hidden="1" x14ac:dyDescent="0.35">
      <c r="A796" s="46">
        <f t="shared" si="193"/>
        <v>46153.089564043206</v>
      </c>
      <c r="B796" s="46"/>
      <c r="C796" s="260"/>
      <c r="D796" s="46"/>
      <c r="E796" s="47" t="s">
        <v>5256</v>
      </c>
      <c r="F796" s="97" t="s">
        <v>4568</v>
      </c>
      <c r="G796" s="97"/>
      <c r="H796" s="98" t="s">
        <v>5417</v>
      </c>
      <c r="I796" s="82" t="s">
        <v>5381</v>
      </c>
      <c r="J796" s="51" t="s">
        <v>140</v>
      </c>
      <c r="K796" s="91">
        <v>0</v>
      </c>
      <c r="L796" s="91">
        <v>0</v>
      </c>
      <c r="M796" s="92">
        <v>20</v>
      </c>
      <c r="N796" s="92">
        <v>1200</v>
      </c>
      <c r="O796" s="92">
        <v>4</v>
      </c>
      <c r="P796" s="92">
        <f t="shared" si="198"/>
        <v>300</v>
      </c>
      <c r="Q796" s="92"/>
      <c r="R796" s="92">
        <v>300</v>
      </c>
      <c r="S796" s="92">
        <v>0</v>
      </c>
      <c r="T796" s="92">
        <f t="shared" si="189"/>
        <v>17280</v>
      </c>
      <c r="U796" s="91">
        <f t="shared" si="195"/>
        <v>0</v>
      </c>
      <c r="V796" s="91">
        <f t="shared" si="196"/>
        <v>0</v>
      </c>
      <c r="W796" s="101">
        <v>0</v>
      </c>
      <c r="X796" s="55">
        <f t="shared" si="192"/>
        <v>46153.089564043206</v>
      </c>
    </row>
    <row r="797" spans="1:24" s="221" customFormat="1" hidden="1" x14ac:dyDescent="0.35">
      <c r="A797" s="46">
        <f t="shared" si="193"/>
        <v>46153.089564043206</v>
      </c>
      <c r="B797" s="46"/>
      <c r="C797" s="260"/>
      <c r="D797" s="46"/>
      <c r="E797" s="47" t="s">
        <v>5256</v>
      </c>
      <c r="F797" s="97" t="s">
        <v>4836</v>
      </c>
      <c r="G797" s="97"/>
      <c r="H797" s="98" t="s">
        <v>5418</v>
      </c>
      <c r="I797" s="82" t="s">
        <v>5419</v>
      </c>
      <c r="J797" s="51" t="s">
        <v>140</v>
      </c>
      <c r="K797" s="91">
        <v>0</v>
      </c>
      <c r="L797" s="91">
        <v>0</v>
      </c>
      <c r="M797" s="92">
        <v>50</v>
      </c>
      <c r="N797" s="92">
        <v>10000</v>
      </c>
      <c r="O797" s="92">
        <v>4</v>
      </c>
      <c r="P797" s="92">
        <f t="shared" si="198"/>
        <v>2500</v>
      </c>
      <c r="Q797" s="92"/>
      <c r="R797" s="92">
        <v>2500</v>
      </c>
      <c r="S797" s="53">
        <f t="shared" ref="S797:S860" si="200">P797-R797</f>
        <v>0</v>
      </c>
      <c r="T797" s="92">
        <f t="shared" si="189"/>
        <v>6912</v>
      </c>
      <c r="U797" s="91">
        <f t="shared" si="195"/>
        <v>0</v>
      </c>
      <c r="V797" s="91">
        <f t="shared" si="196"/>
        <v>0</v>
      </c>
      <c r="W797" s="101">
        <v>0</v>
      </c>
      <c r="X797" s="55">
        <f t="shared" si="192"/>
        <v>46153.089564043206</v>
      </c>
    </row>
    <row r="798" spans="1:24" s="221" customFormat="1" hidden="1" x14ac:dyDescent="0.35">
      <c r="A798" s="46">
        <f t="shared" si="193"/>
        <v>46153.089564043206</v>
      </c>
      <c r="B798" s="46"/>
      <c r="C798" s="260"/>
      <c r="D798" s="46"/>
      <c r="E798" s="47" t="s">
        <v>5256</v>
      </c>
      <c r="F798" s="97" t="s">
        <v>4836</v>
      </c>
      <c r="G798" s="97"/>
      <c r="H798" s="98" t="s">
        <v>5420</v>
      </c>
      <c r="I798" s="82" t="s">
        <v>5419</v>
      </c>
      <c r="J798" s="51" t="s">
        <v>140</v>
      </c>
      <c r="K798" s="91">
        <v>0</v>
      </c>
      <c r="L798" s="91">
        <v>0</v>
      </c>
      <c r="M798" s="92">
        <v>30</v>
      </c>
      <c r="N798" s="92">
        <v>20000</v>
      </c>
      <c r="O798" s="92">
        <v>4</v>
      </c>
      <c r="P798" s="92">
        <f t="shared" si="198"/>
        <v>5000</v>
      </c>
      <c r="Q798" s="92"/>
      <c r="R798" s="92">
        <v>5000</v>
      </c>
      <c r="S798" s="53">
        <f t="shared" si="200"/>
        <v>0</v>
      </c>
      <c r="T798" s="92">
        <f t="shared" si="189"/>
        <v>11520</v>
      </c>
      <c r="U798" s="91">
        <f t="shared" si="195"/>
        <v>0</v>
      </c>
      <c r="V798" s="91">
        <f t="shared" si="196"/>
        <v>0</v>
      </c>
      <c r="W798" s="101">
        <v>0</v>
      </c>
      <c r="X798" s="55">
        <f t="shared" si="192"/>
        <v>46153.089564043206</v>
      </c>
    </row>
    <row r="799" spans="1:24" hidden="1" x14ac:dyDescent="0.35">
      <c r="A799" s="46">
        <f t="shared" si="193"/>
        <v>46153.089564043206</v>
      </c>
      <c r="B799" s="46"/>
      <c r="C799" s="260"/>
      <c r="D799" s="46"/>
      <c r="E799" s="47" t="s">
        <v>5256</v>
      </c>
      <c r="F799" s="57" t="s">
        <v>5421</v>
      </c>
      <c r="G799" s="57"/>
      <c r="H799" s="49" t="s">
        <v>5422</v>
      </c>
      <c r="I799" s="97" t="s">
        <v>5423</v>
      </c>
      <c r="J799" s="51" t="s">
        <v>140</v>
      </c>
      <c r="K799" s="52">
        <v>0</v>
      </c>
      <c r="L799" s="52">
        <v>0</v>
      </c>
      <c r="M799" s="53">
        <v>30</v>
      </c>
      <c r="N799" s="53">
        <v>1000</v>
      </c>
      <c r="O799" s="53">
        <v>4</v>
      </c>
      <c r="P799" s="92">
        <f t="shared" si="198"/>
        <v>250</v>
      </c>
      <c r="Q799" s="92"/>
      <c r="R799" s="53">
        <v>250</v>
      </c>
      <c r="S799" s="53">
        <f t="shared" si="200"/>
        <v>0</v>
      </c>
      <c r="T799" s="53">
        <f t="shared" ref="T799:T862" si="201">((3600/M799)*O799)*24</f>
        <v>11520</v>
      </c>
      <c r="U799" s="52">
        <f t="shared" si="195"/>
        <v>0</v>
      </c>
      <c r="V799" s="52">
        <f t="shared" si="196"/>
        <v>0</v>
      </c>
      <c r="W799" s="52">
        <v>0</v>
      </c>
      <c r="X799" s="55">
        <f t="shared" ref="X799:X859" si="202">A799+K799+L799+V799+W799</f>
        <v>46153.089564043206</v>
      </c>
    </row>
    <row r="800" spans="1:24" hidden="1" x14ac:dyDescent="0.35">
      <c r="A800" s="46">
        <f t="shared" ref="A800:A863" si="203">X799</f>
        <v>46153.089564043206</v>
      </c>
      <c r="B800" s="46"/>
      <c r="C800" s="260"/>
      <c r="D800" s="46"/>
      <c r="E800" s="47" t="s">
        <v>5256</v>
      </c>
      <c r="F800" s="57" t="s">
        <v>5421</v>
      </c>
      <c r="G800" s="57"/>
      <c r="H800" s="49" t="s">
        <v>5424</v>
      </c>
      <c r="I800" s="97" t="s">
        <v>5393</v>
      </c>
      <c r="J800" s="51" t="s">
        <v>140</v>
      </c>
      <c r="K800" s="52">
        <v>0</v>
      </c>
      <c r="L800" s="52">
        <v>0</v>
      </c>
      <c r="M800" s="53">
        <v>30</v>
      </c>
      <c r="N800" s="53">
        <v>1000</v>
      </c>
      <c r="O800" s="53">
        <v>4</v>
      </c>
      <c r="P800" s="53">
        <f t="shared" si="198"/>
        <v>250</v>
      </c>
      <c r="Q800" s="53"/>
      <c r="R800" s="53">
        <v>250</v>
      </c>
      <c r="S800" s="53">
        <f t="shared" si="200"/>
        <v>0</v>
      </c>
      <c r="T800" s="53">
        <f t="shared" si="201"/>
        <v>11520</v>
      </c>
      <c r="U800" s="52">
        <f t="shared" si="195"/>
        <v>0</v>
      </c>
      <c r="V800" s="52">
        <f t="shared" si="196"/>
        <v>0</v>
      </c>
      <c r="W800" s="52">
        <v>0</v>
      </c>
      <c r="X800" s="55">
        <f t="shared" si="202"/>
        <v>46153.089564043206</v>
      </c>
    </row>
    <row r="801" spans="1:24" s="221" customFormat="1" ht="26.5" hidden="1" x14ac:dyDescent="0.35">
      <c r="A801" s="46">
        <f t="shared" si="203"/>
        <v>46153.089564043206</v>
      </c>
      <c r="B801" s="46"/>
      <c r="C801" s="260"/>
      <c r="D801" s="46"/>
      <c r="E801" s="47" t="s">
        <v>5256</v>
      </c>
      <c r="F801" s="97" t="s">
        <v>177</v>
      </c>
      <c r="G801" s="97"/>
      <c r="H801" s="49" t="s">
        <v>5425</v>
      </c>
      <c r="I801" s="97" t="s">
        <v>5426</v>
      </c>
      <c r="J801" s="100"/>
      <c r="K801" s="52">
        <v>0</v>
      </c>
      <c r="L801" s="52">
        <v>0</v>
      </c>
      <c r="M801" s="53">
        <v>30</v>
      </c>
      <c r="N801" s="53">
        <v>1000</v>
      </c>
      <c r="O801" s="53">
        <v>4</v>
      </c>
      <c r="P801" s="53">
        <f t="shared" si="198"/>
        <v>250</v>
      </c>
      <c r="Q801" s="53"/>
      <c r="R801" s="53">
        <v>250</v>
      </c>
      <c r="S801" s="53">
        <f t="shared" si="200"/>
        <v>0</v>
      </c>
      <c r="T801" s="83">
        <f t="shared" si="201"/>
        <v>11520</v>
      </c>
      <c r="U801" s="84">
        <f t="shared" si="195"/>
        <v>0</v>
      </c>
      <c r="V801" s="84">
        <f t="shared" si="196"/>
        <v>0</v>
      </c>
      <c r="W801" s="84">
        <v>0</v>
      </c>
      <c r="X801" s="55">
        <f t="shared" si="202"/>
        <v>46153.089564043206</v>
      </c>
    </row>
    <row r="802" spans="1:24" s="221" customFormat="1" hidden="1" x14ac:dyDescent="0.35">
      <c r="A802" s="46">
        <f t="shared" si="203"/>
        <v>46153.089564043206</v>
      </c>
      <c r="B802" s="46"/>
      <c r="C802" s="260"/>
      <c r="D802" s="46"/>
      <c r="E802" s="47" t="s">
        <v>5256</v>
      </c>
      <c r="F802" s="57" t="s">
        <v>5421</v>
      </c>
      <c r="G802" s="57"/>
      <c r="H802" s="49" t="s">
        <v>5427</v>
      </c>
      <c r="I802" s="97" t="s">
        <v>5423</v>
      </c>
      <c r="J802" s="51" t="s">
        <v>140</v>
      </c>
      <c r="K802" s="52">
        <v>0</v>
      </c>
      <c r="L802" s="52">
        <v>0</v>
      </c>
      <c r="M802" s="53">
        <v>30</v>
      </c>
      <c r="N802" s="53">
        <v>2000</v>
      </c>
      <c r="O802" s="53">
        <v>2</v>
      </c>
      <c r="P802" s="92">
        <f t="shared" si="198"/>
        <v>1000</v>
      </c>
      <c r="Q802" s="92"/>
      <c r="R802" s="53">
        <v>1000</v>
      </c>
      <c r="S802" s="53">
        <f t="shared" si="200"/>
        <v>0</v>
      </c>
      <c r="T802" s="53">
        <f t="shared" si="201"/>
        <v>5760</v>
      </c>
      <c r="U802" s="52">
        <f t="shared" si="195"/>
        <v>0</v>
      </c>
      <c r="V802" s="52">
        <f t="shared" si="196"/>
        <v>0</v>
      </c>
      <c r="W802" s="52">
        <v>0</v>
      </c>
      <c r="X802" s="55">
        <f t="shared" si="202"/>
        <v>46153.089564043206</v>
      </c>
    </row>
    <row r="803" spans="1:24" s="221" customFormat="1" hidden="1" x14ac:dyDescent="0.35">
      <c r="A803" s="46">
        <f t="shared" si="203"/>
        <v>46153.089564043206</v>
      </c>
      <c r="B803" s="46"/>
      <c r="C803" s="260"/>
      <c r="D803" s="46"/>
      <c r="E803" s="47" t="s">
        <v>5256</v>
      </c>
      <c r="F803" s="97" t="s">
        <v>5428</v>
      </c>
      <c r="G803" s="97"/>
      <c r="H803" s="98" t="s">
        <v>5429</v>
      </c>
      <c r="I803" s="82" t="s">
        <v>5381</v>
      </c>
      <c r="J803" s="51" t="s">
        <v>140</v>
      </c>
      <c r="K803" s="91">
        <v>0</v>
      </c>
      <c r="L803" s="91">
        <v>0</v>
      </c>
      <c r="M803" s="92">
        <v>20</v>
      </c>
      <c r="N803" s="92">
        <v>3600</v>
      </c>
      <c r="O803" s="92">
        <v>4</v>
      </c>
      <c r="P803" s="92">
        <f t="shared" si="198"/>
        <v>900</v>
      </c>
      <c r="Q803" s="92"/>
      <c r="R803" s="92">
        <v>900</v>
      </c>
      <c r="S803" s="92">
        <f t="shared" si="200"/>
        <v>0</v>
      </c>
      <c r="T803" s="92">
        <f t="shared" si="201"/>
        <v>17280</v>
      </c>
      <c r="U803" s="91">
        <f t="shared" si="195"/>
        <v>0</v>
      </c>
      <c r="V803" s="91">
        <f t="shared" si="196"/>
        <v>0</v>
      </c>
      <c r="W803" s="101">
        <v>0</v>
      </c>
      <c r="X803" s="55">
        <f t="shared" si="202"/>
        <v>46153.089564043206</v>
      </c>
    </row>
    <row r="804" spans="1:24" s="221" customFormat="1" ht="26.5" hidden="1" x14ac:dyDescent="0.35">
      <c r="A804" s="46">
        <f t="shared" si="203"/>
        <v>46153.089564043206</v>
      </c>
      <c r="B804" s="46"/>
      <c r="C804" s="260"/>
      <c r="D804" s="46"/>
      <c r="E804" s="47" t="s">
        <v>5256</v>
      </c>
      <c r="F804" s="97" t="s">
        <v>5430</v>
      </c>
      <c r="G804" s="97"/>
      <c r="H804" s="98" t="s">
        <v>5431</v>
      </c>
      <c r="I804" s="697" t="s">
        <v>5391</v>
      </c>
      <c r="J804" s="51" t="s">
        <v>140</v>
      </c>
      <c r="K804" s="91">
        <v>0</v>
      </c>
      <c r="L804" s="91">
        <v>0</v>
      </c>
      <c r="M804" s="92">
        <v>30</v>
      </c>
      <c r="N804" s="92">
        <v>3500</v>
      </c>
      <c r="O804" s="92">
        <v>1</v>
      </c>
      <c r="P804" s="92">
        <f t="shared" si="198"/>
        <v>3500</v>
      </c>
      <c r="Q804" s="92"/>
      <c r="R804" s="92">
        <v>3500</v>
      </c>
      <c r="S804" s="92">
        <f t="shared" si="200"/>
        <v>0</v>
      </c>
      <c r="T804" s="92">
        <f t="shared" si="201"/>
        <v>2880</v>
      </c>
      <c r="U804" s="91">
        <f t="shared" si="195"/>
        <v>0</v>
      </c>
      <c r="V804" s="91">
        <f t="shared" si="196"/>
        <v>0</v>
      </c>
      <c r="W804" s="91">
        <v>0</v>
      </c>
      <c r="X804" s="55">
        <f t="shared" si="202"/>
        <v>46153.089564043206</v>
      </c>
    </row>
    <row r="805" spans="1:24" s="221" customFormat="1" ht="26.5" hidden="1" x14ac:dyDescent="0.35">
      <c r="A805" s="46">
        <f t="shared" si="203"/>
        <v>46153.089564043206</v>
      </c>
      <c r="B805" s="46"/>
      <c r="C805" s="260"/>
      <c r="D805" s="46"/>
      <c r="E805" s="47" t="s">
        <v>5256</v>
      </c>
      <c r="F805" s="97" t="s">
        <v>501</v>
      </c>
      <c r="G805" s="97"/>
      <c r="H805" s="49" t="s">
        <v>5432</v>
      </c>
      <c r="I805" s="82" t="s">
        <v>3468</v>
      </c>
      <c r="J805" s="51" t="s">
        <v>140</v>
      </c>
      <c r="K805" s="52">
        <v>0</v>
      </c>
      <c r="L805" s="52">
        <v>0</v>
      </c>
      <c r="M805" s="53">
        <v>20</v>
      </c>
      <c r="N805" s="53">
        <v>240000</v>
      </c>
      <c r="O805" s="53">
        <v>8</v>
      </c>
      <c r="P805" s="53">
        <f t="shared" si="198"/>
        <v>30000</v>
      </c>
      <c r="Q805" s="53"/>
      <c r="R805" s="53">
        <v>30000</v>
      </c>
      <c r="S805" s="53">
        <f t="shared" si="200"/>
        <v>0</v>
      </c>
      <c r="T805" s="53">
        <f t="shared" si="201"/>
        <v>34560</v>
      </c>
      <c r="U805" s="52">
        <f t="shared" si="195"/>
        <v>0</v>
      </c>
      <c r="V805" s="52">
        <f t="shared" si="196"/>
        <v>0</v>
      </c>
      <c r="W805" s="52">
        <v>0</v>
      </c>
      <c r="X805" s="55">
        <f t="shared" si="202"/>
        <v>46153.089564043206</v>
      </c>
    </row>
    <row r="806" spans="1:24" s="221" customFormat="1" hidden="1" x14ac:dyDescent="0.35">
      <c r="A806" s="46">
        <f t="shared" si="203"/>
        <v>46153.089564043206</v>
      </c>
      <c r="B806" s="46"/>
      <c r="C806" s="260"/>
      <c r="D806" s="46"/>
      <c r="E806" s="47" t="s">
        <v>5256</v>
      </c>
      <c r="F806" s="99" t="s">
        <v>5433</v>
      </c>
      <c r="G806" s="99"/>
      <c r="H806" s="98" t="s">
        <v>5434</v>
      </c>
      <c r="I806" s="97" t="s">
        <v>5435</v>
      </c>
      <c r="J806" s="51" t="s">
        <v>140</v>
      </c>
      <c r="K806" s="91">
        <v>0</v>
      </c>
      <c r="L806" s="91">
        <v>0</v>
      </c>
      <c r="M806" s="92">
        <v>30</v>
      </c>
      <c r="N806" s="92">
        <v>50000</v>
      </c>
      <c r="O806" s="92">
        <v>5</v>
      </c>
      <c r="P806" s="92">
        <f t="shared" si="198"/>
        <v>10000</v>
      </c>
      <c r="Q806" s="92"/>
      <c r="R806" s="92">
        <v>10000</v>
      </c>
      <c r="S806" s="92">
        <f t="shared" si="200"/>
        <v>0</v>
      </c>
      <c r="T806" s="92">
        <f t="shared" si="201"/>
        <v>14400</v>
      </c>
      <c r="U806" s="91">
        <f t="shared" si="195"/>
        <v>0</v>
      </c>
      <c r="V806" s="91">
        <f t="shared" si="196"/>
        <v>0</v>
      </c>
      <c r="W806" s="91">
        <v>0</v>
      </c>
      <c r="X806" s="55">
        <f t="shared" si="202"/>
        <v>46153.089564043206</v>
      </c>
    </row>
    <row r="807" spans="1:24" s="543" customFormat="1" hidden="1" x14ac:dyDescent="0.35">
      <c r="A807" s="46">
        <f t="shared" si="203"/>
        <v>46153.089564043206</v>
      </c>
      <c r="B807" s="46"/>
      <c r="C807" s="260"/>
      <c r="D807" s="46"/>
      <c r="E807" s="419" t="s">
        <v>5256</v>
      </c>
      <c r="F807" s="220" t="s">
        <v>5436</v>
      </c>
      <c r="G807" s="220"/>
      <c r="H807" s="452">
        <v>11009</v>
      </c>
      <c r="I807" s="405" t="s">
        <v>5245</v>
      </c>
      <c r="J807" s="420" t="s">
        <v>140</v>
      </c>
      <c r="K807" s="875">
        <v>0</v>
      </c>
      <c r="L807" s="875">
        <v>0</v>
      </c>
      <c r="M807" s="873">
        <v>45</v>
      </c>
      <c r="N807" s="873">
        <v>700</v>
      </c>
      <c r="O807" s="873">
        <v>2</v>
      </c>
      <c r="P807" s="873">
        <f t="shared" si="198"/>
        <v>350</v>
      </c>
      <c r="Q807" s="873"/>
      <c r="R807" s="873">
        <v>350</v>
      </c>
      <c r="S807" s="873">
        <f t="shared" si="200"/>
        <v>0</v>
      </c>
      <c r="T807" s="873">
        <f t="shared" si="201"/>
        <v>3840</v>
      </c>
      <c r="U807" s="875">
        <f t="shared" si="195"/>
        <v>0</v>
      </c>
      <c r="V807" s="875">
        <f t="shared" si="196"/>
        <v>0</v>
      </c>
      <c r="W807" s="875">
        <v>0</v>
      </c>
      <c r="X807" s="55">
        <f t="shared" si="202"/>
        <v>46153.089564043206</v>
      </c>
    </row>
    <row r="808" spans="1:24" s="543" customFormat="1" hidden="1" x14ac:dyDescent="0.35">
      <c r="A808" s="46">
        <f t="shared" si="203"/>
        <v>46153.089564043206</v>
      </c>
      <c r="B808" s="46"/>
      <c r="C808" s="260"/>
      <c r="D808" s="46"/>
      <c r="E808" s="47" t="s">
        <v>5256</v>
      </c>
      <c r="F808" s="97" t="s">
        <v>1160</v>
      </c>
      <c r="G808" s="97"/>
      <c r="H808" s="98" t="s">
        <v>5437</v>
      </c>
      <c r="I808" s="82" t="s">
        <v>5419</v>
      </c>
      <c r="J808" s="51" t="s">
        <v>140</v>
      </c>
      <c r="K808" s="91">
        <v>0</v>
      </c>
      <c r="L808" s="91">
        <v>0</v>
      </c>
      <c r="M808" s="92">
        <v>50</v>
      </c>
      <c r="N808" s="92">
        <v>20000</v>
      </c>
      <c r="O808" s="92">
        <v>4</v>
      </c>
      <c r="P808" s="92">
        <f t="shared" si="198"/>
        <v>5000</v>
      </c>
      <c r="Q808" s="92"/>
      <c r="R808" s="92">
        <v>5000</v>
      </c>
      <c r="S808" s="92">
        <f t="shared" si="200"/>
        <v>0</v>
      </c>
      <c r="T808" s="92">
        <f t="shared" si="201"/>
        <v>6912</v>
      </c>
      <c r="U808" s="91">
        <f t="shared" si="195"/>
        <v>0</v>
      </c>
      <c r="V808" s="91">
        <f t="shared" si="196"/>
        <v>0</v>
      </c>
      <c r="W808" s="101">
        <v>0</v>
      </c>
      <c r="X808" s="55">
        <f t="shared" si="202"/>
        <v>46153.089564043206</v>
      </c>
    </row>
    <row r="809" spans="1:24" s="221" customFormat="1" hidden="1" x14ac:dyDescent="0.35">
      <c r="A809" s="46">
        <f t="shared" si="203"/>
        <v>46153.089564043206</v>
      </c>
      <c r="B809" s="46"/>
      <c r="C809" s="260"/>
      <c r="D809" s="46"/>
      <c r="E809" s="47" t="s">
        <v>5256</v>
      </c>
      <c r="F809" s="48" t="s">
        <v>5438</v>
      </c>
      <c r="G809" s="48"/>
      <c r="H809" s="66">
        <v>11218</v>
      </c>
      <c r="I809" s="82" t="s">
        <v>5003</v>
      </c>
      <c r="J809" s="100" t="s">
        <v>140</v>
      </c>
      <c r="K809" s="52">
        <v>0</v>
      </c>
      <c r="L809" s="52">
        <v>0</v>
      </c>
      <c r="M809" s="595">
        <v>43</v>
      </c>
      <c r="N809" s="53">
        <v>500</v>
      </c>
      <c r="O809" s="53">
        <v>1</v>
      </c>
      <c r="P809" s="53">
        <f t="shared" si="198"/>
        <v>500</v>
      </c>
      <c r="Q809" s="53"/>
      <c r="R809" s="83">
        <v>500</v>
      </c>
      <c r="S809" s="53">
        <f t="shared" si="200"/>
        <v>0</v>
      </c>
      <c r="T809" s="83">
        <f t="shared" si="201"/>
        <v>2009.3023255813955</v>
      </c>
      <c r="U809" s="84">
        <f t="shared" ref="U809:U872" si="204">(P809-R809)*M809/3600</f>
        <v>0</v>
      </c>
      <c r="V809" s="84">
        <f t="shared" ref="V809:V872" si="205">(P809-R809)*M809/3600/24</f>
        <v>0</v>
      </c>
      <c r="W809" s="84">
        <v>0</v>
      </c>
      <c r="X809" s="55">
        <f t="shared" si="202"/>
        <v>46153.089564043206</v>
      </c>
    </row>
    <row r="810" spans="1:24" s="221" customFormat="1" hidden="1" x14ac:dyDescent="0.35">
      <c r="A810" s="46">
        <f t="shared" si="203"/>
        <v>46153.089564043206</v>
      </c>
      <c r="B810" s="46"/>
      <c r="C810" s="260"/>
      <c r="D810" s="46"/>
      <c r="E810" s="47" t="s">
        <v>5256</v>
      </c>
      <c r="F810" s="97" t="s">
        <v>5439</v>
      </c>
      <c r="G810" s="97"/>
      <c r="H810" s="98" t="s">
        <v>5440</v>
      </c>
      <c r="I810" s="97" t="s">
        <v>5393</v>
      </c>
      <c r="J810" s="51" t="s">
        <v>140</v>
      </c>
      <c r="K810" s="91">
        <v>0</v>
      </c>
      <c r="L810" s="91">
        <v>0</v>
      </c>
      <c r="M810" s="92">
        <v>30</v>
      </c>
      <c r="N810" s="92">
        <v>1000</v>
      </c>
      <c r="O810" s="92">
        <v>4</v>
      </c>
      <c r="P810" s="92">
        <f t="shared" si="198"/>
        <v>250</v>
      </c>
      <c r="Q810" s="92"/>
      <c r="R810" s="92">
        <v>250</v>
      </c>
      <c r="S810" s="92">
        <f t="shared" si="200"/>
        <v>0</v>
      </c>
      <c r="T810" s="92">
        <f t="shared" si="201"/>
        <v>11520</v>
      </c>
      <c r="U810" s="91">
        <f t="shared" si="204"/>
        <v>0</v>
      </c>
      <c r="V810" s="91">
        <f t="shared" si="205"/>
        <v>0</v>
      </c>
      <c r="W810" s="91">
        <v>0</v>
      </c>
      <c r="X810" s="55">
        <f t="shared" si="202"/>
        <v>46153.089564043206</v>
      </c>
    </row>
    <row r="811" spans="1:24" s="221" customFormat="1" hidden="1" x14ac:dyDescent="0.35">
      <c r="A811" s="46">
        <f t="shared" si="203"/>
        <v>46153.089564043206</v>
      </c>
      <c r="B811" s="46"/>
      <c r="C811" s="260"/>
      <c r="D811" s="46"/>
      <c r="E811" s="47" t="s">
        <v>5256</v>
      </c>
      <c r="F811" s="97" t="s">
        <v>5439</v>
      </c>
      <c r="G811" s="97"/>
      <c r="H811" s="98" t="s">
        <v>5441</v>
      </c>
      <c r="I811" s="97" t="s">
        <v>5423</v>
      </c>
      <c r="J811" s="51" t="s">
        <v>140</v>
      </c>
      <c r="K811" s="91">
        <v>0</v>
      </c>
      <c r="L811" s="91">
        <v>0</v>
      </c>
      <c r="M811" s="92">
        <v>30</v>
      </c>
      <c r="N811" s="92">
        <v>4000</v>
      </c>
      <c r="O811" s="92">
        <v>4</v>
      </c>
      <c r="P811" s="92">
        <f t="shared" si="198"/>
        <v>1000</v>
      </c>
      <c r="Q811" s="92"/>
      <c r="R811" s="92">
        <v>1000</v>
      </c>
      <c r="S811" s="92">
        <f t="shared" si="200"/>
        <v>0</v>
      </c>
      <c r="T811" s="92">
        <f t="shared" si="201"/>
        <v>11520</v>
      </c>
      <c r="U811" s="91">
        <f t="shared" si="204"/>
        <v>0</v>
      </c>
      <c r="V811" s="91">
        <f t="shared" si="205"/>
        <v>0</v>
      </c>
      <c r="W811" s="91">
        <v>0</v>
      </c>
      <c r="X811" s="55">
        <f t="shared" si="202"/>
        <v>46153.089564043206</v>
      </c>
    </row>
    <row r="812" spans="1:24" hidden="1" x14ac:dyDescent="0.35">
      <c r="A812" s="46">
        <f t="shared" si="203"/>
        <v>46153.089564043206</v>
      </c>
      <c r="B812" s="46"/>
      <c r="C812" s="260"/>
      <c r="D812" s="46"/>
      <c r="E812" s="47" t="s">
        <v>5256</v>
      </c>
      <c r="F812" s="220" t="s">
        <v>4888</v>
      </c>
      <c r="G812" s="220"/>
      <c r="H812" s="107" t="s">
        <v>5442</v>
      </c>
      <c r="I812" s="69" t="s">
        <v>5271</v>
      </c>
      <c r="J812" s="51" t="s">
        <v>140</v>
      </c>
      <c r="K812" s="91">
        <v>0</v>
      </c>
      <c r="L812" s="91">
        <v>0</v>
      </c>
      <c r="M812" s="92">
        <v>35</v>
      </c>
      <c r="N812" s="92">
        <v>3000</v>
      </c>
      <c r="O812" s="92">
        <v>2</v>
      </c>
      <c r="P812" s="92">
        <f t="shared" si="198"/>
        <v>1500</v>
      </c>
      <c r="Q812" s="92"/>
      <c r="R812" s="92">
        <v>1500</v>
      </c>
      <c r="S812" s="92">
        <f t="shared" si="200"/>
        <v>0</v>
      </c>
      <c r="T812" s="92">
        <f t="shared" si="201"/>
        <v>4937.1428571428569</v>
      </c>
      <c r="U812" s="91">
        <f t="shared" si="204"/>
        <v>0</v>
      </c>
      <c r="V812" s="91">
        <f t="shared" si="205"/>
        <v>0</v>
      </c>
      <c r="W812" s="91">
        <v>0</v>
      </c>
      <c r="X812" s="55">
        <f t="shared" si="202"/>
        <v>46153.089564043206</v>
      </c>
    </row>
    <row r="813" spans="1:24" hidden="1" x14ac:dyDescent="0.35">
      <c r="A813" s="46">
        <f t="shared" si="203"/>
        <v>46153.089564043206</v>
      </c>
      <c r="B813" s="46"/>
      <c r="C813" s="260"/>
      <c r="D813" s="46"/>
      <c r="E813" s="47" t="s">
        <v>5256</v>
      </c>
      <c r="F813" s="220" t="s">
        <v>4888</v>
      </c>
      <c r="G813" s="220"/>
      <c r="H813" s="107" t="s">
        <v>5443</v>
      </c>
      <c r="I813" s="69" t="s">
        <v>5258</v>
      </c>
      <c r="J813" s="51" t="s">
        <v>140</v>
      </c>
      <c r="K813" s="91">
        <v>0</v>
      </c>
      <c r="L813" s="91">
        <v>0</v>
      </c>
      <c r="M813" s="92">
        <v>40</v>
      </c>
      <c r="N813" s="92">
        <v>3000</v>
      </c>
      <c r="O813" s="92">
        <v>1</v>
      </c>
      <c r="P813" s="92">
        <f t="shared" si="198"/>
        <v>3000</v>
      </c>
      <c r="Q813" s="92"/>
      <c r="R813" s="92">
        <v>3000</v>
      </c>
      <c r="S813" s="92">
        <f t="shared" si="200"/>
        <v>0</v>
      </c>
      <c r="T813" s="92">
        <f t="shared" si="201"/>
        <v>2160</v>
      </c>
      <c r="U813" s="91">
        <f t="shared" si="204"/>
        <v>0</v>
      </c>
      <c r="V813" s="91">
        <f t="shared" si="205"/>
        <v>0</v>
      </c>
      <c r="W813" s="91">
        <v>0</v>
      </c>
      <c r="X813" s="55">
        <f t="shared" si="202"/>
        <v>46153.089564043206</v>
      </c>
    </row>
    <row r="814" spans="1:24" s="543" customFormat="1" hidden="1" x14ac:dyDescent="0.35">
      <c r="A814" s="46">
        <f t="shared" si="203"/>
        <v>46153.089564043206</v>
      </c>
      <c r="B814" s="46"/>
      <c r="C814" s="260"/>
      <c r="D814" s="46"/>
      <c r="E814" s="47" t="s">
        <v>5256</v>
      </c>
      <c r="F814" s="97" t="s">
        <v>1517</v>
      </c>
      <c r="G814" s="97"/>
      <c r="H814" s="98" t="s">
        <v>5444</v>
      </c>
      <c r="I814" s="82" t="s">
        <v>5375</v>
      </c>
      <c r="J814" s="51" t="s">
        <v>140</v>
      </c>
      <c r="K814" s="91">
        <v>0</v>
      </c>
      <c r="L814" s="91">
        <v>0</v>
      </c>
      <c r="M814" s="92">
        <v>35</v>
      </c>
      <c r="N814" s="92">
        <v>60000</v>
      </c>
      <c r="O814" s="92">
        <v>16</v>
      </c>
      <c r="P814" s="92">
        <f t="shared" si="198"/>
        <v>3750</v>
      </c>
      <c r="Q814" s="92"/>
      <c r="R814" s="92">
        <v>3750</v>
      </c>
      <c r="S814" s="92">
        <f t="shared" si="200"/>
        <v>0</v>
      </c>
      <c r="T814" s="92">
        <f t="shared" si="201"/>
        <v>39497.142857142855</v>
      </c>
      <c r="U814" s="91">
        <f t="shared" si="204"/>
        <v>0</v>
      </c>
      <c r="V814" s="91">
        <f t="shared" si="205"/>
        <v>0</v>
      </c>
      <c r="W814" s="91">
        <v>0</v>
      </c>
      <c r="X814" s="55">
        <f t="shared" si="202"/>
        <v>46153.089564043206</v>
      </c>
    </row>
    <row r="815" spans="1:24" hidden="1" x14ac:dyDescent="0.35">
      <c r="A815" s="46">
        <f t="shared" si="203"/>
        <v>46153.089564043206</v>
      </c>
      <c r="B815" s="46"/>
      <c r="C815" s="260"/>
      <c r="D815" s="46"/>
      <c r="E815" s="47" t="s">
        <v>5256</v>
      </c>
      <c r="F815" s="82" t="s">
        <v>5445</v>
      </c>
      <c r="G815" s="82"/>
      <c r="H815" s="108">
        <v>11342</v>
      </c>
      <c r="I815" s="82" t="s">
        <v>5003</v>
      </c>
      <c r="J815" s="100" t="s">
        <v>140</v>
      </c>
      <c r="K815" s="91">
        <v>0</v>
      </c>
      <c r="L815" s="91">
        <v>0</v>
      </c>
      <c r="M815" s="595">
        <v>43</v>
      </c>
      <c r="N815" s="92">
        <v>500</v>
      </c>
      <c r="O815" s="92">
        <v>1</v>
      </c>
      <c r="P815" s="92">
        <f t="shared" si="198"/>
        <v>500</v>
      </c>
      <c r="Q815" s="92"/>
      <c r="R815" s="102">
        <v>500</v>
      </c>
      <c r="S815" s="92">
        <f t="shared" si="200"/>
        <v>0</v>
      </c>
      <c r="T815" s="102">
        <f t="shared" si="201"/>
        <v>2009.3023255813955</v>
      </c>
      <c r="U815" s="101">
        <f t="shared" si="204"/>
        <v>0</v>
      </c>
      <c r="V815" s="101">
        <f t="shared" si="205"/>
        <v>0</v>
      </c>
      <c r="W815" s="101">
        <v>0</v>
      </c>
      <c r="X815" s="55">
        <f t="shared" si="202"/>
        <v>46153.089564043206</v>
      </c>
    </row>
    <row r="816" spans="1:24" hidden="1" x14ac:dyDescent="0.35">
      <c r="A816" s="46">
        <f t="shared" si="203"/>
        <v>46153.089564043206</v>
      </c>
      <c r="B816" s="46"/>
      <c r="C816" s="260"/>
      <c r="D816" s="46"/>
      <c r="E816" s="47" t="s">
        <v>5256</v>
      </c>
      <c r="F816" s="82" t="s">
        <v>5446</v>
      </c>
      <c r="G816" s="82"/>
      <c r="H816" s="108">
        <v>11571</v>
      </c>
      <c r="I816" s="82" t="s">
        <v>5003</v>
      </c>
      <c r="J816" s="100" t="s">
        <v>140</v>
      </c>
      <c r="K816" s="91">
        <v>0</v>
      </c>
      <c r="L816" s="91">
        <v>0</v>
      </c>
      <c r="M816" s="595">
        <v>43</v>
      </c>
      <c r="N816" s="92">
        <v>500</v>
      </c>
      <c r="O816" s="92">
        <v>1</v>
      </c>
      <c r="P816" s="92">
        <f t="shared" si="198"/>
        <v>500</v>
      </c>
      <c r="Q816" s="92"/>
      <c r="R816" s="102">
        <v>500</v>
      </c>
      <c r="S816" s="92">
        <f t="shared" si="200"/>
        <v>0</v>
      </c>
      <c r="T816" s="102">
        <f t="shared" si="201"/>
        <v>2009.3023255813955</v>
      </c>
      <c r="U816" s="101">
        <f t="shared" si="204"/>
        <v>0</v>
      </c>
      <c r="V816" s="101">
        <f t="shared" si="205"/>
        <v>0</v>
      </c>
      <c r="W816" s="101">
        <v>0</v>
      </c>
      <c r="X816" s="55">
        <f t="shared" si="202"/>
        <v>46153.089564043206</v>
      </c>
    </row>
    <row r="817" spans="1:24" s="109" customFormat="1" ht="26" hidden="1" x14ac:dyDescent="0.3">
      <c r="A817" s="46">
        <f t="shared" si="203"/>
        <v>46153.089564043206</v>
      </c>
      <c r="B817" s="46"/>
      <c r="C817" s="260"/>
      <c r="D817" s="46"/>
      <c r="E817" s="47" t="s">
        <v>5256</v>
      </c>
      <c r="F817" s="97" t="s">
        <v>543</v>
      </c>
      <c r="G817" s="97"/>
      <c r="H817" s="98" t="s">
        <v>5447</v>
      </c>
      <c r="I817" s="82" t="s">
        <v>5448</v>
      </c>
      <c r="J817" s="51" t="s">
        <v>140</v>
      </c>
      <c r="K817" s="91">
        <v>0</v>
      </c>
      <c r="L817" s="91">
        <v>0</v>
      </c>
      <c r="M817" s="92">
        <v>30</v>
      </c>
      <c r="N817" s="92">
        <v>50000</v>
      </c>
      <c r="O817" s="92">
        <v>4</v>
      </c>
      <c r="P817" s="92">
        <f t="shared" si="198"/>
        <v>12500</v>
      </c>
      <c r="Q817" s="92"/>
      <c r="R817" s="92">
        <v>12500</v>
      </c>
      <c r="S817" s="92">
        <f t="shared" si="200"/>
        <v>0</v>
      </c>
      <c r="T817" s="92">
        <f t="shared" si="201"/>
        <v>11520</v>
      </c>
      <c r="U817" s="91">
        <f t="shared" si="204"/>
        <v>0</v>
      </c>
      <c r="V817" s="91">
        <f t="shared" si="205"/>
        <v>0</v>
      </c>
      <c r="W817" s="101">
        <v>0</v>
      </c>
      <c r="X817" s="55">
        <f t="shared" si="202"/>
        <v>46153.089564043206</v>
      </c>
    </row>
    <row r="818" spans="1:24" hidden="1" x14ac:dyDescent="0.35">
      <c r="A818" s="46">
        <f t="shared" si="203"/>
        <v>46153.089564043206</v>
      </c>
      <c r="B818" s="46"/>
      <c r="C818" s="260"/>
      <c r="D818" s="46"/>
      <c r="E818" s="47" t="s">
        <v>5256</v>
      </c>
      <c r="F818" s="82" t="s">
        <v>5449</v>
      </c>
      <c r="G818" s="82"/>
      <c r="H818" s="98" t="s">
        <v>5450</v>
      </c>
      <c r="I818" s="82" t="s">
        <v>5384</v>
      </c>
      <c r="J818" s="51" t="s">
        <v>140</v>
      </c>
      <c r="K818" s="91">
        <v>0</v>
      </c>
      <c r="L818" s="91">
        <v>0</v>
      </c>
      <c r="M818" s="92">
        <v>27</v>
      </c>
      <c r="N818" s="92">
        <v>2500</v>
      </c>
      <c r="O818" s="92">
        <v>2</v>
      </c>
      <c r="P818" s="92">
        <f t="shared" si="198"/>
        <v>1250</v>
      </c>
      <c r="Q818" s="92"/>
      <c r="R818" s="92">
        <v>1250</v>
      </c>
      <c r="S818" s="92">
        <f t="shared" si="200"/>
        <v>0</v>
      </c>
      <c r="T818" s="92">
        <f t="shared" si="201"/>
        <v>6400</v>
      </c>
      <c r="U818" s="91">
        <f t="shared" si="204"/>
        <v>0</v>
      </c>
      <c r="V818" s="91">
        <f t="shared" si="205"/>
        <v>0</v>
      </c>
      <c r="W818" s="91">
        <v>0</v>
      </c>
      <c r="X818" s="55">
        <f t="shared" si="202"/>
        <v>46153.089564043206</v>
      </c>
    </row>
    <row r="819" spans="1:24" ht="39.5" hidden="1" x14ac:dyDescent="0.35">
      <c r="A819" s="46">
        <f t="shared" si="203"/>
        <v>46153.089564043206</v>
      </c>
      <c r="B819" s="46"/>
      <c r="C819" s="260"/>
      <c r="D819" s="46"/>
      <c r="E819" s="47" t="s">
        <v>5256</v>
      </c>
      <c r="F819" s="48" t="s">
        <v>5449</v>
      </c>
      <c r="G819" s="48"/>
      <c r="H819" s="49" t="s">
        <v>5451</v>
      </c>
      <c r="I819" s="82" t="s">
        <v>5452</v>
      </c>
      <c r="J819" s="100" t="s">
        <v>140</v>
      </c>
      <c r="K819" s="52">
        <v>0</v>
      </c>
      <c r="L819" s="52">
        <v>0</v>
      </c>
      <c r="M819" s="53">
        <v>30</v>
      </c>
      <c r="N819" s="53">
        <v>2500</v>
      </c>
      <c r="O819" s="53">
        <v>1</v>
      </c>
      <c r="P819" s="53">
        <f t="shared" si="198"/>
        <v>2500</v>
      </c>
      <c r="Q819" s="53"/>
      <c r="R819" s="53">
        <v>2500</v>
      </c>
      <c r="S819" s="53">
        <f t="shared" si="200"/>
        <v>0</v>
      </c>
      <c r="T819" s="83">
        <f t="shared" si="201"/>
        <v>2880</v>
      </c>
      <c r="U819" s="84">
        <f t="shared" si="204"/>
        <v>0</v>
      </c>
      <c r="V819" s="84">
        <f t="shared" si="205"/>
        <v>0</v>
      </c>
      <c r="W819" s="84">
        <v>0</v>
      </c>
      <c r="X819" s="55">
        <f t="shared" si="202"/>
        <v>46153.089564043206</v>
      </c>
    </row>
    <row r="820" spans="1:24" ht="39.5" hidden="1" x14ac:dyDescent="0.35">
      <c r="A820" s="46">
        <f t="shared" si="203"/>
        <v>46153.089564043206</v>
      </c>
      <c r="B820" s="46"/>
      <c r="C820" s="260"/>
      <c r="D820" s="46"/>
      <c r="E820" s="969" t="s">
        <v>5256</v>
      </c>
      <c r="F820" s="970" t="s">
        <v>5449</v>
      </c>
      <c r="G820" s="970"/>
      <c r="H820" s="971" t="s">
        <v>5451</v>
      </c>
      <c r="I820" s="972" t="s">
        <v>5452</v>
      </c>
      <c r="J820" s="973" t="s">
        <v>140</v>
      </c>
      <c r="K820" s="974">
        <v>0</v>
      </c>
      <c r="L820" s="974">
        <v>0</v>
      </c>
      <c r="M820" s="975">
        <v>30</v>
      </c>
      <c r="N820" s="975">
        <v>2500</v>
      </c>
      <c r="O820" s="975">
        <v>1</v>
      </c>
      <c r="P820" s="975">
        <f t="shared" si="198"/>
        <v>2500</v>
      </c>
      <c r="Q820" s="975"/>
      <c r="R820" s="975">
        <v>2500</v>
      </c>
      <c r="S820" s="975">
        <f t="shared" si="200"/>
        <v>0</v>
      </c>
      <c r="T820" s="976">
        <f t="shared" si="201"/>
        <v>2880</v>
      </c>
      <c r="U820" s="977">
        <f t="shared" si="204"/>
        <v>0</v>
      </c>
      <c r="V820" s="977">
        <f t="shared" si="205"/>
        <v>0</v>
      </c>
      <c r="W820" s="977">
        <v>0</v>
      </c>
      <c r="X820" s="55">
        <f t="shared" si="202"/>
        <v>46153.089564043206</v>
      </c>
    </row>
    <row r="821" spans="1:24" hidden="1" x14ac:dyDescent="0.35">
      <c r="A821" s="46">
        <f t="shared" si="203"/>
        <v>46153.089564043206</v>
      </c>
      <c r="B821" s="46"/>
      <c r="C821" s="260"/>
      <c r="D821" s="46"/>
      <c r="E821" s="47" t="s">
        <v>5256</v>
      </c>
      <c r="F821" s="99" t="s">
        <v>5047</v>
      </c>
      <c r="G821" s="99"/>
      <c r="H821" s="98" t="s">
        <v>5453</v>
      </c>
      <c r="I821" s="97" t="s">
        <v>4989</v>
      </c>
      <c r="J821" s="51" t="s">
        <v>140</v>
      </c>
      <c r="K821" s="52">
        <v>0</v>
      </c>
      <c r="L821" s="52">
        <v>0</v>
      </c>
      <c r="M821" s="53">
        <v>32</v>
      </c>
      <c r="N821" s="53">
        <v>50000</v>
      </c>
      <c r="O821" s="53">
        <v>6</v>
      </c>
      <c r="P821" s="53">
        <f t="shared" si="198"/>
        <v>8333.3333333333339</v>
      </c>
      <c r="Q821" s="53"/>
      <c r="R821" s="53">
        <v>8333</v>
      </c>
      <c r="S821" s="53">
        <f t="shared" si="200"/>
        <v>0.33333333333393966</v>
      </c>
      <c r="T821" s="53">
        <f t="shared" si="201"/>
        <v>16200</v>
      </c>
      <c r="U821" s="52">
        <f t="shared" si="204"/>
        <v>2.9629629629683526E-3</v>
      </c>
      <c r="V821" s="52">
        <f t="shared" si="205"/>
        <v>1.2345679012368136E-4</v>
      </c>
      <c r="W821" s="52">
        <v>0</v>
      </c>
      <c r="X821" s="55">
        <f t="shared" si="202"/>
        <v>46153.089687499996</v>
      </c>
    </row>
    <row r="822" spans="1:24" hidden="1" x14ac:dyDescent="0.35">
      <c r="A822" s="46">
        <f t="shared" si="203"/>
        <v>46153.089687499996</v>
      </c>
      <c r="B822" s="46"/>
      <c r="C822" s="260"/>
      <c r="D822" s="46"/>
      <c r="E822" s="296" t="s">
        <v>5256</v>
      </c>
      <c r="F822" s="366" t="s">
        <v>14</v>
      </c>
      <c r="G822" s="366"/>
      <c r="H822" s="298" t="s">
        <v>14</v>
      </c>
      <c r="I822" s="297" t="s">
        <v>5454</v>
      </c>
      <c r="J822" s="351" t="s">
        <v>140</v>
      </c>
      <c r="K822" s="352">
        <v>0</v>
      </c>
      <c r="L822" s="352">
        <v>0</v>
      </c>
      <c r="M822" s="353">
        <v>60</v>
      </c>
      <c r="N822" s="353">
        <v>50</v>
      </c>
      <c r="O822" s="353">
        <v>2</v>
      </c>
      <c r="P822" s="353">
        <f t="shared" si="198"/>
        <v>25</v>
      </c>
      <c r="Q822" s="353"/>
      <c r="R822" s="353">
        <v>25</v>
      </c>
      <c r="S822" s="353">
        <f t="shared" si="200"/>
        <v>0</v>
      </c>
      <c r="T822" s="353">
        <f t="shared" si="201"/>
        <v>2880</v>
      </c>
      <c r="U822" s="352">
        <f t="shared" si="204"/>
        <v>0</v>
      </c>
      <c r="V822" s="352">
        <f t="shared" si="205"/>
        <v>0</v>
      </c>
      <c r="W822" s="352">
        <v>0</v>
      </c>
      <c r="X822" s="55">
        <f t="shared" si="202"/>
        <v>46153.089687499996</v>
      </c>
    </row>
    <row r="823" spans="1:24" ht="26.5" hidden="1" x14ac:dyDescent="0.35">
      <c r="A823" s="46">
        <f t="shared" si="203"/>
        <v>46153.089687499996</v>
      </c>
      <c r="B823" s="46"/>
      <c r="C823" s="260"/>
      <c r="D823" s="46"/>
      <c r="E823" s="47" t="s">
        <v>5256</v>
      </c>
      <c r="F823" s="97" t="s">
        <v>543</v>
      </c>
      <c r="G823" s="97"/>
      <c r="H823" s="98" t="s">
        <v>5447</v>
      </c>
      <c r="I823" s="82" t="s">
        <v>5448</v>
      </c>
      <c r="J823" s="51" t="s">
        <v>140</v>
      </c>
      <c r="K823" s="91">
        <v>0</v>
      </c>
      <c r="L823" s="91">
        <v>0</v>
      </c>
      <c r="M823" s="92">
        <v>30</v>
      </c>
      <c r="N823" s="92">
        <v>50000</v>
      </c>
      <c r="O823" s="92">
        <v>4</v>
      </c>
      <c r="P823" s="92">
        <f t="shared" si="198"/>
        <v>12500</v>
      </c>
      <c r="Q823" s="92"/>
      <c r="R823" s="92">
        <v>12500</v>
      </c>
      <c r="S823" s="92">
        <f t="shared" si="200"/>
        <v>0</v>
      </c>
      <c r="T823" s="92">
        <f t="shared" si="201"/>
        <v>11520</v>
      </c>
      <c r="U823" s="91">
        <f t="shared" si="204"/>
        <v>0</v>
      </c>
      <c r="V823" s="91">
        <f t="shared" si="205"/>
        <v>0</v>
      </c>
      <c r="W823" s="101">
        <v>0</v>
      </c>
      <c r="X823" s="55">
        <f t="shared" si="202"/>
        <v>46153.089687499996</v>
      </c>
    </row>
    <row r="824" spans="1:24" ht="26.5" hidden="1" x14ac:dyDescent="0.35">
      <c r="A824" s="46">
        <f t="shared" si="203"/>
        <v>46153.089687499996</v>
      </c>
      <c r="B824" s="46"/>
      <c r="C824" s="260"/>
      <c r="D824" s="46"/>
      <c r="E824" s="47" t="s">
        <v>5256</v>
      </c>
      <c r="F824" s="97" t="s">
        <v>1058</v>
      </c>
      <c r="G824" s="97"/>
      <c r="H824" s="98" t="s">
        <v>5455</v>
      </c>
      <c r="I824" s="82" t="s">
        <v>5456</v>
      </c>
      <c r="J824" s="51" t="s">
        <v>140</v>
      </c>
      <c r="K824" s="91">
        <v>0</v>
      </c>
      <c r="L824" s="91">
        <v>0</v>
      </c>
      <c r="M824" s="92">
        <v>23</v>
      </c>
      <c r="N824" s="92">
        <v>20000</v>
      </c>
      <c r="O824" s="92">
        <v>16</v>
      </c>
      <c r="P824" s="92">
        <f t="shared" si="198"/>
        <v>1250</v>
      </c>
      <c r="Q824" s="92"/>
      <c r="R824" s="92">
        <v>1250</v>
      </c>
      <c r="S824" s="92">
        <f t="shared" si="200"/>
        <v>0</v>
      </c>
      <c r="T824" s="92">
        <f t="shared" si="201"/>
        <v>60104.34782608696</v>
      </c>
      <c r="U824" s="91">
        <f t="shared" si="204"/>
        <v>0</v>
      </c>
      <c r="V824" s="91">
        <f t="shared" si="205"/>
        <v>0</v>
      </c>
      <c r="W824" s="91">
        <v>0</v>
      </c>
      <c r="X824" s="55">
        <f t="shared" si="202"/>
        <v>46153.089687499996</v>
      </c>
    </row>
    <row r="825" spans="1:24" hidden="1" x14ac:dyDescent="0.35">
      <c r="A825" s="46">
        <f t="shared" si="203"/>
        <v>46153.089687499996</v>
      </c>
      <c r="B825" s="46"/>
      <c r="C825" s="260"/>
      <c r="D825" s="46"/>
      <c r="E825" s="47" t="s">
        <v>5256</v>
      </c>
      <c r="F825" s="97" t="s">
        <v>1211</v>
      </c>
      <c r="G825" s="97"/>
      <c r="H825" s="98" t="s">
        <v>5457</v>
      </c>
      <c r="I825" s="82" t="s">
        <v>5375</v>
      </c>
      <c r="J825" s="51" t="s">
        <v>140</v>
      </c>
      <c r="K825" s="91">
        <v>0</v>
      </c>
      <c r="L825" s="91">
        <v>0</v>
      </c>
      <c r="M825" s="92">
        <v>35</v>
      </c>
      <c r="N825" s="92">
        <v>80000</v>
      </c>
      <c r="O825" s="92">
        <v>16</v>
      </c>
      <c r="P825" s="92">
        <f t="shared" si="198"/>
        <v>5000</v>
      </c>
      <c r="Q825" s="92"/>
      <c r="R825" s="92">
        <v>5000</v>
      </c>
      <c r="S825" s="92">
        <f t="shared" si="200"/>
        <v>0</v>
      </c>
      <c r="T825" s="92">
        <f t="shared" si="201"/>
        <v>39497.142857142855</v>
      </c>
      <c r="U825" s="91">
        <f t="shared" si="204"/>
        <v>0</v>
      </c>
      <c r="V825" s="91">
        <f t="shared" si="205"/>
        <v>0</v>
      </c>
      <c r="W825" s="91">
        <v>0</v>
      </c>
      <c r="X825" s="55">
        <f t="shared" si="202"/>
        <v>46153.089687499996</v>
      </c>
    </row>
    <row r="826" spans="1:24" hidden="1" x14ac:dyDescent="0.35">
      <c r="A826" s="46">
        <f t="shared" si="203"/>
        <v>46153.089687499996</v>
      </c>
      <c r="B826" s="46"/>
      <c r="C826" s="260"/>
      <c r="D826" s="46"/>
      <c r="E826" s="296" t="s">
        <v>5256</v>
      </c>
      <c r="F826" s="366" t="s">
        <v>14</v>
      </c>
      <c r="G826" s="366"/>
      <c r="H826" s="298" t="s">
        <v>14</v>
      </c>
      <c r="I826" s="297" t="s">
        <v>5454</v>
      </c>
      <c r="J826" s="351" t="s">
        <v>140</v>
      </c>
      <c r="K826" s="352">
        <v>0</v>
      </c>
      <c r="L826" s="352">
        <v>0</v>
      </c>
      <c r="M826" s="353">
        <v>60</v>
      </c>
      <c r="N826" s="353">
        <v>50</v>
      </c>
      <c r="O826" s="353">
        <v>2</v>
      </c>
      <c r="P826" s="353">
        <f t="shared" si="198"/>
        <v>25</v>
      </c>
      <c r="Q826" s="353"/>
      <c r="R826" s="353">
        <v>25</v>
      </c>
      <c r="S826" s="353">
        <f t="shared" si="200"/>
        <v>0</v>
      </c>
      <c r="T826" s="353">
        <f t="shared" si="201"/>
        <v>2880</v>
      </c>
      <c r="U826" s="352">
        <f t="shared" si="204"/>
        <v>0</v>
      </c>
      <c r="V826" s="352">
        <f t="shared" si="205"/>
        <v>0</v>
      </c>
      <c r="W826" s="352">
        <v>0</v>
      </c>
      <c r="X826" s="55">
        <f t="shared" si="202"/>
        <v>46153.089687499996</v>
      </c>
    </row>
    <row r="827" spans="1:24" hidden="1" x14ac:dyDescent="0.35">
      <c r="A827" s="46">
        <f t="shared" si="203"/>
        <v>46153.089687499996</v>
      </c>
      <c r="B827" s="46"/>
      <c r="C827" s="260"/>
      <c r="D827" s="46"/>
      <c r="E827" s="47" t="s">
        <v>5256</v>
      </c>
      <c r="F827" s="82" t="s">
        <v>5458</v>
      </c>
      <c r="G827" s="82"/>
      <c r="H827" s="108">
        <v>11920</v>
      </c>
      <c r="I827" s="82" t="s">
        <v>5003</v>
      </c>
      <c r="J827" s="100" t="s">
        <v>140</v>
      </c>
      <c r="K827" s="91">
        <v>0</v>
      </c>
      <c r="L827" s="91">
        <v>0</v>
      </c>
      <c r="M827" s="595">
        <v>43</v>
      </c>
      <c r="N827" s="92">
        <v>1000</v>
      </c>
      <c r="O827" s="92">
        <v>1</v>
      </c>
      <c r="P827" s="92">
        <f t="shared" si="198"/>
        <v>1000</v>
      </c>
      <c r="Q827" s="92"/>
      <c r="R827" s="102">
        <v>1000</v>
      </c>
      <c r="S827" s="92">
        <f t="shared" si="200"/>
        <v>0</v>
      </c>
      <c r="T827" s="102">
        <f t="shared" si="201"/>
        <v>2009.3023255813955</v>
      </c>
      <c r="U827" s="101">
        <f t="shared" si="204"/>
        <v>0</v>
      </c>
      <c r="V827" s="101">
        <f t="shared" si="205"/>
        <v>0</v>
      </c>
      <c r="W827" s="101">
        <v>0</v>
      </c>
      <c r="X827" s="55">
        <f t="shared" si="202"/>
        <v>46153.089687499996</v>
      </c>
    </row>
    <row r="828" spans="1:24" ht="39.5" hidden="1" x14ac:dyDescent="0.35">
      <c r="A828" s="46">
        <f t="shared" si="203"/>
        <v>46153.089687499996</v>
      </c>
      <c r="B828" s="46"/>
      <c r="C828" s="260"/>
      <c r="D828" s="46"/>
      <c r="E828" s="47" t="s">
        <v>5256</v>
      </c>
      <c r="F828" s="82" t="s">
        <v>4390</v>
      </c>
      <c r="G828" s="82"/>
      <c r="H828" s="98" t="s">
        <v>5459</v>
      </c>
      <c r="I828" s="82" t="s">
        <v>5452</v>
      </c>
      <c r="J828" s="100" t="s">
        <v>140</v>
      </c>
      <c r="K828" s="91">
        <v>0</v>
      </c>
      <c r="L828" s="91">
        <v>0</v>
      </c>
      <c r="M828" s="92">
        <v>30</v>
      </c>
      <c r="N828" s="92">
        <v>2000</v>
      </c>
      <c r="O828" s="92">
        <v>1</v>
      </c>
      <c r="P828" s="92">
        <f t="shared" si="198"/>
        <v>2000</v>
      </c>
      <c r="Q828" s="92"/>
      <c r="R828" s="92">
        <v>2000</v>
      </c>
      <c r="S828" s="92">
        <f t="shared" si="200"/>
        <v>0</v>
      </c>
      <c r="T828" s="102">
        <f t="shared" si="201"/>
        <v>2880</v>
      </c>
      <c r="U828" s="101">
        <f t="shared" si="204"/>
        <v>0</v>
      </c>
      <c r="V828" s="101">
        <f t="shared" si="205"/>
        <v>0</v>
      </c>
      <c r="W828" s="101">
        <v>0</v>
      </c>
      <c r="X828" s="55">
        <f t="shared" si="202"/>
        <v>46153.089687499996</v>
      </c>
    </row>
    <row r="829" spans="1:24" hidden="1" x14ac:dyDescent="0.35">
      <c r="A829" s="46">
        <f t="shared" si="203"/>
        <v>46153.089687499996</v>
      </c>
      <c r="B829" s="46"/>
      <c r="C829" s="260"/>
      <c r="D829" s="46"/>
      <c r="E829" s="47" t="s">
        <v>5256</v>
      </c>
      <c r="F829" s="82" t="s">
        <v>4390</v>
      </c>
      <c r="G829" s="82"/>
      <c r="H829" s="98" t="s">
        <v>5460</v>
      </c>
      <c r="I829" s="82" t="s">
        <v>5384</v>
      </c>
      <c r="J829" s="51" t="s">
        <v>140</v>
      </c>
      <c r="K829" s="91">
        <v>0</v>
      </c>
      <c r="L829" s="91">
        <v>0</v>
      </c>
      <c r="M829" s="92">
        <v>27</v>
      </c>
      <c r="N829" s="92">
        <v>2000</v>
      </c>
      <c r="O829" s="92">
        <v>2</v>
      </c>
      <c r="P829" s="92">
        <f t="shared" si="198"/>
        <v>1000</v>
      </c>
      <c r="Q829" s="92"/>
      <c r="R829" s="92">
        <v>1000</v>
      </c>
      <c r="S829" s="92">
        <f t="shared" si="200"/>
        <v>0</v>
      </c>
      <c r="T829" s="92">
        <f t="shared" si="201"/>
        <v>6400</v>
      </c>
      <c r="U829" s="91">
        <f t="shared" si="204"/>
        <v>0</v>
      </c>
      <c r="V829" s="91">
        <f t="shared" si="205"/>
        <v>0</v>
      </c>
      <c r="W829" s="91">
        <v>0</v>
      </c>
      <c r="X829" s="55">
        <f t="shared" si="202"/>
        <v>46153.089687499996</v>
      </c>
    </row>
    <row r="830" spans="1:24" hidden="1" x14ac:dyDescent="0.35">
      <c r="A830" s="46">
        <f t="shared" si="203"/>
        <v>46153.089687499996</v>
      </c>
      <c r="B830" s="46"/>
      <c r="C830" s="260"/>
      <c r="D830" s="46"/>
      <c r="E830" s="195" t="s">
        <v>5256</v>
      </c>
      <c r="F830" s="196" t="s">
        <v>4905</v>
      </c>
      <c r="G830" s="196"/>
      <c r="H830" s="113" t="s">
        <v>5461</v>
      </c>
      <c r="I830" s="196" t="s">
        <v>5448</v>
      </c>
      <c r="J830" s="383" t="s">
        <v>140</v>
      </c>
      <c r="K830" s="482">
        <v>0</v>
      </c>
      <c r="L830" s="482">
        <v>0</v>
      </c>
      <c r="M830" s="199">
        <v>30</v>
      </c>
      <c r="N830" s="199">
        <v>50000</v>
      </c>
      <c r="O830" s="199">
        <v>4</v>
      </c>
      <c r="P830" s="199">
        <f t="shared" si="198"/>
        <v>12500</v>
      </c>
      <c r="Q830" s="199"/>
      <c r="R830" s="199">
        <v>12500</v>
      </c>
      <c r="S830" s="199">
        <f t="shared" si="200"/>
        <v>0</v>
      </c>
      <c r="T830" s="199">
        <f t="shared" si="201"/>
        <v>11520</v>
      </c>
      <c r="U830" s="482">
        <f t="shared" si="204"/>
        <v>0</v>
      </c>
      <c r="V830" s="482">
        <f t="shared" si="205"/>
        <v>0</v>
      </c>
      <c r="W830" s="115">
        <v>0</v>
      </c>
      <c r="X830" s="55">
        <f t="shared" si="202"/>
        <v>46153.089687499996</v>
      </c>
    </row>
    <row r="831" spans="1:24" hidden="1" x14ac:dyDescent="0.35">
      <c r="A831" s="46">
        <f t="shared" si="203"/>
        <v>46153.089687499996</v>
      </c>
      <c r="B831" s="46"/>
      <c r="C831" s="260"/>
      <c r="D831" s="46"/>
      <c r="E831" s="918" t="s">
        <v>5256</v>
      </c>
      <c r="F831" s="919" t="s">
        <v>14</v>
      </c>
      <c r="G831" s="919"/>
      <c r="H831" s="920" t="s">
        <v>14</v>
      </c>
      <c r="I831" s="968" t="s">
        <v>5411</v>
      </c>
      <c r="J831" s="964" t="s">
        <v>140</v>
      </c>
      <c r="K831" s="965">
        <v>0</v>
      </c>
      <c r="L831" s="965">
        <v>0</v>
      </c>
      <c r="M831" s="966">
        <v>45</v>
      </c>
      <c r="N831" s="966">
        <v>60</v>
      </c>
      <c r="O831" s="966">
        <v>2</v>
      </c>
      <c r="P831" s="966">
        <f t="shared" si="198"/>
        <v>30</v>
      </c>
      <c r="Q831" s="966"/>
      <c r="R831" s="966">
        <v>30</v>
      </c>
      <c r="S831" s="966">
        <f t="shared" si="200"/>
        <v>0</v>
      </c>
      <c r="T831" s="966">
        <f t="shared" si="201"/>
        <v>3840</v>
      </c>
      <c r="U831" s="965">
        <f t="shared" si="204"/>
        <v>0</v>
      </c>
      <c r="V831" s="965">
        <f t="shared" si="205"/>
        <v>0</v>
      </c>
      <c r="W831" s="965">
        <v>0</v>
      </c>
      <c r="X831" s="55">
        <f t="shared" si="202"/>
        <v>46153.089687499996</v>
      </c>
    </row>
    <row r="832" spans="1:24" s="221" customFormat="1" hidden="1" x14ac:dyDescent="0.35">
      <c r="A832" s="46">
        <f t="shared" si="203"/>
        <v>46153.089687499996</v>
      </c>
      <c r="B832" s="46"/>
      <c r="C832" s="260"/>
      <c r="D832" s="46"/>
      <c r="E832" s="296" t="s">
        <v>5256</v>
      </c>
      <c r="F832" s="366" t="s">
        <v>14</v>
      </c>
      <c r="G832" s="366"/>
      <c r="H832" s="298"/>
      <c r="I832" s="366" t="s">
        <v>5265</v>
      </c>
      <c r="J832" s="300" t="s">
        <v>140</v>
      </c>
      <c r="K832" s="352">
        <v>0</v>
      </c>
      <c r="L832" s="352">
        <v>0</v>
      </c>
      <c r="M832" s="353">
        <v>27</v>
      </c>
      <c r="N832" s="353">
        <v>120</v>
      </c>
      <c r="O832" s="353">
        <v>4</v>
      </c>
      <c r="P832" s="302">
        <f t="shared" si="198"/>
        <v>30</v>
      </c>
      <c r="Q832" s="302"/>
      <c r="R832" s="353">
        <v>30</v>
      </c>
      <c r="S832" s="353">
        <f t="shared" si="200"/>
        <v>0</v>
      </c>
      <c r="T832" s="302">
        <f t="shared" si="201"/>
        <v>12800</v>
      </c>
      <c r="U832" s="301">
        <f t="shared" si="204"/>
        <v>0</v>
      </c>
      <c r="V832" s="301">
        <f t="shared" si="205"/>
        <v>0</v>
      </c>
      <c r="W832" s="301">
        <v>0</v>
      </c>
      <c r="X832" s="55">
        <f t="shared" si="202"/>
        <v>46153.089687499996</v>
      </c>
    </row>
    <row r="833" spans="1:24" s="109" customFormat="1" ht="13" hidden="1" x14ac:dyDescent="0.3">
      <c r="A833" s="46">
        <f t="shared" si="203"/>
        <v>46153.089687499996</v>
      </c>
      <c r="B833" s="46"/>
      <c r="C833" s="260"/>
      <c r="D833" s="46"/>
      <c r="E833" s="47" t="s">
        <v>5256</v>
      </c>
      <c r="F833" s="82" t="s">
        <v>4905</v>
      </c>
      <c r="G833" s="82"/>
      <c r="H833" s="98" t="s">
        <v>5462</v>
      </c>
      <c r="I833" s="97" t="s">
        <v>4989</v>
      </c>
      <c r="J833" s="100" t="s">
        <v>140</v>
      </c>
      <c r="K833" s="91">
        <v>0</v>
      </c>
      <c r="L833" s="91">
        <v>0</v>
      </c>
      <c r="M833" s="92">
        <v>32</v>
      </c>
      <c r="N833" s="92">
        <f>50000-47500</f>
        <v>2500</v>
      </c>
      <c r="O833" s="92">
        <v>6</v>
      </c>
      <c r="P833" s="92">
        <f t="shared" si="198"/>
        <v>416.66666666666669</v>
      </c>
      <c r="Q833" s="92"/>
      <c r="R833" s="102">
        <v>417</v>
      </c>
      <c r="S833" s="92">
        <f t="shared" si="200"/>
        <v>-0.33333333333331439</v>
      </c>
      <c r="T833" s="102">
        <f t="shared" si="201"/>
        <v>16200</v>
      </c>
      <c r="U833" s="101">
        <f t="shared" si="204"/>
        <v>-2.9629629629627945E-3</v>
      </c>
      <c r="V833" s="101">
        <f t="shared" si="205"/>
        <v>-1.2345679012344977E-4</v>
      </c>
      <c r="W833" s="101">
        <v>0</v>
      </c>
      <c r="X833" s="55">
        <f t="shared" si="202"/>
        <v>46153.089564043206</v>
      </c>
    </row>
    <row r="834" spans="1:24" s="221" customFormat="1" hidden="1" x14ac:dyDescent="0.35">
      <c r="A834" s="46">
        <f t="shared" si="203"/>
        <v>46153.089564043206</v>
      </c>
      <c r="B834" s="46"/>
      <c r="C834" s="260"/>
      <c r="D834" s="46"/>
      <c r="E834" s="47" t="s">
        <v>5256</v>
      </c>
      <c r="F834" s="82" t="s">
        <v>4905</v>
      </c>
      <c r="G834" s="82"/>
      <c r="H834" s="98" t="s">
        <v>5462</v>
      </c>
      <c r="I834" s="97" t="s">
        <v>4989</v>
      </c>
      <c r="J834" s="100" t="s">
        <v>140</v>
      </c>
      <c r="K834" s="91">
        <v>0</v>
      </c>
      <c r="L834" s="91">
        <v>0</v>
      </c>
      <c r="M834" s="92">
        <v>32</v>
      </c>
      <c r="N834" s="92">
        <v>50000</v>
      </c>
      <c r="O834" s="92">
        <v>6</v>
      </c>
      <c r="P834" s="92">
        <f t="shared" ref="P834:P897" si="206">N834/O834</f>
        <v>8333.3333333333339</v>
      </c>
      <c r="Q834" s="92"/>
      <c r="R834" s="102">
        <v>8333</v>
      </c>
      <c r="S834" s="92">
        <f t="shared" si="200"/>
        <v>0.33333333333393966</v>
      </c>
      <c r="T834" s="102">
        <f t="shared" si="201"/>
        <v>16200</v>
      </c>
      <c r="U834" s="101">
        <f t="shared" si="204"/>
        <v>2.9629629629683526E-3</v>
      </c>
      <c r="V834" s="101">
        <f t="shared" si="205"/>
        <v>1.2345679012368136E-4</v>
      </c>
      <c r="W834" s="101">
        <v>0</v>
      </c>
      <c r="X834" s="55">
        <f t="shared" si="202"/>
        <v>46153.089687499996</v>
      </c>
    </row>
    <row r="835" spans="1:24" s="221" customFormat="1" hidden="1" x14ac:dyDescent="0.35">
      <c r="A835" s="46">
        <f t="shared" si="203"/>
        <v>46153.089687499996</v>
      </c>
      <c r="B835" s="46"/>
      <c r="C835" s="260"/>
      <c r="D835" s="46"/>
      <c r="E835" s="47" t="s">
        <v>5256</v>
      </c>
      <c r="F835" s="97" t="s">
        <v>220</v>
      </c>
      <c r="G835" s="97"/>
      <c r="H835" s="98" t="s">
        <v>5461</v>
      </c>
      <c r="I835" s="82" t="s">
        <v>5419</v>
      </c>
      <c r="J835" s="51" t="s">
        <v>140</v>
      </c>
      <c r="K835" s="91">
        <v>0</v>
      </c>
      <c r="L835" s="91">
        <v>0</v>
      </c>
      <c r="M835" s="92">
        <v>30</v>
      </c>
      <c r="N835" s="92">
        <v>50000</v>
      </c>
      <c r="O835" s="92">
        <v>4</v>
      </c>
      <c r="P835" s="92">
        <f t="shared" si="206"/>
        <v>12500</v>
      </c>
      <c r="Q835" s="92"/>
      <c r="R835" s="92">
        <v>12500</v>
      </c>
      <c r="S835" s="92">
        <f t="shared" si="200"/>
        <v>0</v>
      </c>
      <c r="T835" s="92">
        <f t="shared" si="201"/>
        <v>11520</v>
      </c>
      <c r="U835" s="91">
        <f t="shared" si="204"/>
        <v>0</v>
      </c>
      <c r="V835" s="91">
        <f t="shared" si="205"/>
        <v>0</v>
      </c>
      <c r="W835" s="101">
        <v>0</v>
      </c>
      <c r="X835" s="55">
        <f t="shared" si="202"/>
        <v>46153.089687499996</v>
      </c>
    </row>
    <row r="836" spans="1:24" s="221" customFormat="1" hidden="1" x14ac:dyDescent="0.35">
      <c r="A836" s="46">
        <f t="shared" si="203"/>
        <v>46153.089687499996</v>
      </c>
      <c r="B836" s="46"/>
      <c r="C836" s="260"/>
      <c r="D836" s="46"/>
      <c r="E836" s="47" t="s">
        <v>5256</v>
      </c>
      <c r="F836" s="97" t="s">
        <v>265</v>
      </c>
      <c r="G836" s="97"/>
      <c r="H836" s="98" t="s">
        <v>5463</v>
      </c>
      <c r="I836" s="82" t="s">
        <v>5375</v>
      </c>
      <c r="J836" s="51" t="s">
        <v>140</v>
      </c>
      <c r="K836" s="91">
        <v>0</v>
      </c>
      <c r="L836" s="91">
        <v>0</v>
      </c>
      <c r="M836" s="92">
        <v>35</v>
      </c>
      <c r="N836" s="92">
        <v>80000</v>
      </c>
      <c r="O836" s="92">
        <v>15</v>
      </c>
      <c r="P836" s="92">
        <f t="shared" si="206"/>
        <v>5333.333333333333</v>
      </c>
      <c r="Q836" s="92"/>
      <c r="R836" s="92">
        <v>5333</v>
      </c>
      <c r="S836" s="92">
        <f t="shared" si="200"/>
        <v>0.33333333333303017</v>
      </c>
      <c r="T836" s="92">
        <f t="shared" si="201"/>
        <v>37028.571428571428</v>
      </c>
      <c r="U836" s="91">
        <f t="shared" si="204"/>
        <v>3.2407407407377934E-3</v>
      </c>
      <c r="V836" s="91">
        <f t="shared" si="205"/>
        <v>1.3503086419740807E-4</v>
      </c>
      <c r="W836" s="91">
        <v>0</v>
      </c>
      <c r="X836" s="55">
        <f t="shared" si="202"/>
        <v>46153.089822530863</v>
      </c>
    </row>
    <row r="837" spans="1:24" s="221" customFormat="1" hidden="1" x14ac:dyDescent="0.35">
      <c r="A837" s="46">
        <f t="shared" si="203"/>
        <v>46153.089822530863</v>
      </c>
      <c r="B837" s="46"/>
      <c r="C837" s="260"/>
      <c r="D837" s="46"/>
      <c r="E837" s="47" t="s">
        <v>5256</v>
      </c>
      <c r="F837" s="82" t="s">
        <v>5068</v>
      </c>
      <c r="G837" s="82"/>
      <c r="H837" s="98" t="s">
        <v>5464</v>
      </c>
      <c r="I837" s="82" t="s">
        <v>5384</v>
      </c>
      <c r="J837" s="51" t="s">
        <v>140</v>
      </c>
      <c r="K837" s="91">
        <v>0.25</v>
      </c>
      <c r="L837" s="91">
        <v>0.2</v>
      </c>
      <c r="M837" s="92">
        <v>27</v>
      </c>
      <c r="N837" s="92">
        <v>2000</v>
      </c>
      <c r="O837" s="92">
        <v>2</v>
      </c>
      <c r="P837" s="92">
        <f t="shared" si="206"/>
        <v>1000</v>
      </c>
      <c r="Q837" s="92"/>
      <c r="R837" s="92">
        <v>1000</v>
      </c>
      <c r="S837" s="92">
        <f t="shared" si="200"/>
        <v>0</v>
      </c>
      <c r="T837" s="92">
        <f t="shared" si="201"/>
        <v>6400</v>
      </c>
      <c r="U837" s="91">
        <f t="shared" si="204"/>
        <v>0</v>
      </c>
      <c r="V837" s="91">
        <f t="shared" si="205"/>
        <v>0</v>
      </c>
      <c r="W837" s="91">
        <v>0</v>
      </c>
      <c r="X837" s="55">
        <f t="shared" si="202"/>
        <v>46153.53982253086</v>
      </c>
    </row>
    <row r="838" spans="1:24" s="221" customFormat="1" hidden="1" x14ac:dyDescent="0.35">
      <c r="A838" s="46">
        <f t="shared" si="203"/>
        <v>46153.53982253086</v>
      </c>
      <c r="B838" s="46"/>
      <c r="C838" s="260"/>
      <c r="D838" s="46"/>
      <c r="E838" s="47" t="s">
        <v>5256</v>
      </c>
      <c r="F838" s="82" t="s">
        <v>5465</v>
      </c>
      <c r="G838" s="82"/>
      <c r="H838" s="98" t="s">
        <v>5466</v>
      </c>
      <c r="I838" s="82" t="s">
        <v>5384</v>
      </c>
      <c r="J838" s="51" t="s">
        <v>140</v>
      </c>
      <c r="K838" s="91">
        <v>0</v>
      </c>
      <c r="L838" s="91">
        <v>0</v>
      </c>
      <c r="M838" s="92">
        <v>27</v>
      </c>
      <c r="N838" s="92">
        <v>2000</v>
      </c>
      <c r="O838" s="92">
        <v>2</v>
      </c>
      <c r="P838" s="92">
        <f t="shared" si="206"/>
        <v>1000</v>
      </c>
      <c r="Q838" s="92"/>
      <c r="R838" s="92">
        <v>1000</v>
      </c>
      <c r="S838" s="92">
        <f t="shared" si="200"/>
        <v>0</v>
      </c>
      <c r="T838" s="92">
        <f t="shared" si="201"/>
        <v>6400</v>
      </c>
      <c r="U838" s="91">
        <f t="shared" si="204"/>
        <v>0</v>
      </c>
      <c r="V838" s="91">
        <f t="shared" si="205"/>
        <v>0</v>
      </c>
      <c r="W838" s="91">
        <v>0</v>
      </c>
      <c r="X838" s="55">
        <f t="shared" si="202"/>
        <v>46153.53982253086</v>
      </c>
    </row>
    <row r="839" spans="1:24" s="221" customFormat="1" ht="39.5" hidden="1" x14ac:dyDescent="0.35">
      <c r="A839" s="46">
        <f t="shared" si="203"/>
        <v>46153.53982253086</v>
      </c>
      <c r="B839" s="46"/>
      <c r="C839" s="260"/>
      <c r="D839" s="46"/>
      <c r="E839" s="47" t="s">
        <v>5256</v>
      </c>
      <c r="F839" s="82" t="s">
        <v>5068</v>
      </c>
      <c r="G839" s="82"/>
      <c r="H839" s="98" t="s">
        <v>5467</v>
      </c>
      <c r="I839" s="82" t="s">
        <v>5452</v>
      </c>
      <c r="J839" s="100" t="s">
        <v>140</v>
      </c>
      <c r="K839" s="91">
        <v>0</v>
      </c>
      <c r="L839" s="91">
        <v>0</v>
      </c>
      <c r="M839" s="92">
        <v>30</v>
      </c>
      <c r="N839" s="92">
        <v>2000</v>
      </c>
      <c r="O839" s="92">
        <v>1</v>
      </c>
      <c r="P839" s="92">
        <f t="shared" si="206"/>
        <v>2000</v>
      </c>
      <c r="Q839" s="92"/>
      <c r="R839" s="92">
        <v>2000</v>
      </c>
      <c r="S839" s="92">
        <f t="shared" si="200"/>
        <v>0</v>
      </c>
      <c r="T839" s="102">
        <f t="shared" si="201"/>
        <v>2880</v>
      </c>
      <c r="U839" s="101">
        <f t="shared" si="204"/>
        <v>0</v>
      </c>
      <c r="V839" s="101">
        <f t="shared" si="205"/>
        <v>0</v>
      </c>
      <c r="W839" s="101">
        <v>0</v>
      </c>
      <c r="X839" s="55">
        <f t="shared" si="202"/>
        <v>46153.53982253086</v>
      </c>
    </row>
    <row r="840" spans="1:24" s="221" customFormat="1" ht="39.5" hidden="1" x14ac:dyDescent="0.35">
      <c r="A840" s="46">
        <f t="shared" si="203"/>
        <v>46153.53982253086</v>
      </c>
      <c r="B840" s="46"/>
      <c r="C840" s="260"/>
      <c r="D840" s="46"/>
      <c r="E840" s="47" t="s">
        <v>5256</v>
      </c>
      <c r="F840" s="82" t="s">
        <v>5465</v>
      </c>
      <c r="G840" s="82"/>
      <c r="H840" s="98" t="s">
        <v>5468</v>
      </c>
      <c r="I840" s="82" t="s">
        <v>5452</v>
      </c>
      <c r="J840" s="100" t="s">
        <v>140</v>
      </c>
      <c r="K840" s="91">
        <v>0</v>
      </c>
      <c r="L840" s="91">
        <v>0</v>
      </c>
      <c r="M840" s="92">
        <v>30</v>
      </c>
      <c r="N840" s="92">
        <v>2000</v>
      </c>
      <c r="O840" s="92">
        <v>1</v>
      </c>
      <c r="P840" s="92">
        <f t="shared" si="206"/>
        <v>2000</v>
      </c>
      <c r="Q840" s="92"/>
      <c r="R840" s="92">
        <v>2000</v>
      </c>
      <c r="S840" s="92">
        <f t="shared" si="200"/>
        <v>0</v>
      </c>
      <c r="T840" s="102">
        <f t="shared" si="201"/>
        <v>2880</v>
      </c>
      <c r="U840" s="101">
        <f t="shared" si="204"/>
        <v>0</v>
      </c>
      <c r="V840" s="101">
        <f t="shared" si="205"/>
        <v>0</v>
      </c>
      <c r="W840" s="101">
        <v>0</v>
      </c>
      <c r="X840" s="55">
        <f t="shared" si="202"/>
        <v>46153.53982253086</v>
      </c>
    </row>
    <row r="841" spans="1:24" s="221" customFormat="1" hidden="1" x14ac:dyDescent="0.35">
      <c r="A841" s="46">
        <f t="shared" si="203"/>
        <v>46153.53982253086</v>
      </c>
      <c r="B841" s="46"/>
      <c r="C841" s="260"/>
      <c r="D841" s="46"/>
      <c r="E841" s="47" t="s">
        <v>5256</v>
      </c>
      <c r="F841" s="82" t="s">
        <v>4725</v>
      </c>
      <c r="G841" s="82"/>
      <c r="H841" s="107" t="s">
        <v>5469</v>
      </c>
      <c r="I841" s="69" t="s">
        <v>5271</v>
      </c>
      <c r="J841" s="51" t="s">
        <v>140</v>
      </c>
      <c r="K841" s="91">
        <v>0</v>
      </c>
      <c r="L841" s="91">
        <v>0</v>
      </c>
      <c r="M841" s="92">
        <v>35</v>
      </c>
      <c r="N841" s="92">
        <v>3000</v>
      </c>
      <c r="O841" s="92">
        <v>2</v>
      </c>
      <c r="P841" s="92">
        <f t="shared" si="206"/>
        <v>1500</v>
      </c>
      <c r="Q841" s="92"/>
      <c r="R841" s="92">
        <v>1500</v>
      </c>
      <c r="S841" s="92">
        <f t="shared" si="200"/>
        <v>0</v>
      </c>
      <c r="T841" s="92">
        <f t="shared" si="201"/>
        <v>4937.1428571428569</v>
      </c>
      <c r="U841" s="91">
        <f t="shared" si="204"/>
        <v>0</v>
      </c>
      <c r="V841" s="91">
        <f t="shared" si="205"/>
        <v>0</v>
      </c>
      <c r="W841" s="91">
        <v>0</v>
      </c>
      <c r="X841" s="55">
        <f t="shared" si="202"/>
        <v>46153.53982253086</v>
      </c>
    </row>
    <row r="842" spans="1:24" hidden="1" x14ac:dyDescent="0.35">
      <c r="A842" s="46">
        <f t="shared" si="203"/>
        <v>46153.53982253086</v>
      </c>
      <c r="B842" s="46"/>
      <c r="C842" s="260"/>
      <c r="D842" s="46"/>
      <c r="E842" s="47" t="s">
        <v>5256</v>
      </c>
      <c r="F842" s="97" t="s">
        <v>5439</v>
      </c>
      <c r="G842" s="97"/>
      <c r="H842" s="98" t="s">
        <v>5470</v>
      </c>
      <c r="I842" s="97" t="s">
        <v>5393</v>
      </c>
      <c r="J842" s="51" t="s">
        <v>140</v>
      </c>
      <c r="K842" s="91">
        <v>0</v>
      </c>
      <c r="L842" s="91">
        <v>0</v>
      </c>
      <c r="M842" s="92">
        <v>30</v>
      </c>
      <c r="N842" s="92">
        <v>1000</v>
      </c>
      <c r="O842" s="92">
        <v>4</v>
      </c>
      <c r="P842" s="92">
        <f t="shared" si="206"/>
        <v>250</v>
      </c>
      <c r="Q842" s="92"/>
      <c r="R842" s="92">
        <v>250</v>
      </c>
      <c r="S842" s="92">
        <f t="shared" si="200"/>
        <v>0</v>
      </c>
      <c r="T842" s="92">
        <f t="shared" si="201"/>
        <v>11520</v>
      </c>
      <c r="U842" s="91">
        <f t="shared" si="204"/>
        <v>0</v>
      </c>
      <c r="V842" s="91">
        <f t="shared" si="205"/>
        <v>0</v>
      </c>
      <c r="W842" s="91">
        <v>0</v>
      </c>
      <c r="X842" s="55">
        <f t="shared" si="202"/>
        <v>46153.53982253086</v>
      </c>
    </row>
    <row r="843" spans="1:24" hidden="1" x14ac:dyDescent="0.35">
      <c r="A843" s="46">
        <f t="shared" si="203"/>
        <v>46153.53982253086</v>
      </c>
      <c r="B843" s="46"/>
      <c r="C843" s="260"/>
      <c r="D843" s="46"/>
      <c r="E843" s="296" t="s">
        <v>5256</v>
      </c>
      <c r="F843" s="577" t="s">
        <v>14</v>
      </c>
      <c r="G843" s="577"/>
      <c r="H843" s="398" t="s">
        <v>14</v>
      </c>
      <c r="I843" s="499" t="s">
        <v>5362</v>
      </c>
      <c r="J843" s="351"/>
      <c r="K843" s="399">
        <v>0</v>
      </c>
      <c r="L843" s="399">
        <v>0</v>
      </c>
      <c r="M843" s="400">
        <v>40</v>
      </c>
      <c r="N843" s="400">
        <v>20</v>
      </c>
      <c r="O843" s="400">
        <v>2</v>
      </c>
      <c r="P843" s="400">
        <f t="shared" si="206"/>
        <v>10</v>
      </c>
      <c r="Q843" s="400"/>
      <c r="R843" s="400">
        <v>10</v>
      </c>
      <c r="S843" s="400">
        <f t="shared" si="200"/>
        <v>0</v>
      </c>
      <c r="T843" s="400">
        <f t="shared" si="201"/>
        <v>4320</v>
      </c>
      <c r="U843" s="399">
        <f t="shared" si="204"/>
        <v>0</v>
      </c>
      <c r="V843" s="399">
        <f t="shared" si="205"/>
        <v>0</v>
      </c>
      <c r="W843" s="399">
        <v>0</v>
      </c>
      <c r="X843" s="55">
        <f t="shared" si="202"/>
        <v>46153.53982253086</v>
      </c>
    </row>
    <row r="844" spans="1:24" hidden="1" x14ac:dyDescent="0.35">
      <c r="A844" s="46">
        <f t="shared" si="203"/>
        <v>46153.53982253086</v>
      </c>
      <c r="B844" s="46"/>
      <c r="C844" s="260"/>
      <c r="D844" s="46"/>
      <c r="E844" s="47" t="s">
        <v>5256</v>
      </c>
      <c r="F844" s="82" t="s">
        <v>1603</v>
      </c>
      <c r="G844" s="82"/>
      <c r="H844" s="98" t="s">
        <v>5471</v>
      </c>
      <c r="I844" s="97" t="s">
        <v>4989</v>
      </c>
      <c r="J844" s="100" t="s">
        <v>140</v>
      </c>
      <c r="K844" s="91">
        <v>0</v>
      </c>
      <c r="L844" s="91">
        <v>0</v>
      </c>
      <c r="M844" s="92">
        <v>32</v>
      </c>
      <c r="N844" s="92">
        <v>80000</v>
      </c>
      <c r="O844" s="92">
        <v>6</v>
      </c>
      <c r="P844" s="92">
        <f t="shared" si="206"/>
        <v>13333.333333333334</v>
      </c>
      <c r="Q844" s="92"/>
      <c r="R844" s="102">
        <v>13333</v>
      </c>
      <c r="S844" s="92">
        <f t="shared" si="200"/>
        <v>0.33333333333393966</v>
      </c>
      <c r="T844" s="102">
        <f t="shared" si="201"/>
        <v>16200</v>
      </c>
      <c r="U844" s="101">
        <f t="shared" si="204"/>
        <v>2.9629629629683526E-3</v>
      </c>
      <c r="V844" s="101">
        <f t="shared" si="205"/>
        <v>1.2345679012368136E-4</v>
      </c>
      <c r="W844" s="101">
        <v>0</v>
      </c>
      <c r="X844" s="55">
        <f t="shared" si="202"/>
        <v>46153.53994598765</v>
      </c>
    </row>
    <row r="845" spans="1:24" hidden="1" x14ac:dyDescent="0.35">
      <c r="A845" s="46">
        <f t="shared" si="203"/>
        <v>46153.53994598765</v>
      </c>
      <c r="B845" s="46"/>
      <c r="C845" s="260"/>
      <c r="D845" s="46"/>
      <c r="E845" s="47" t="s">
        <v>5256</v>
      </c>
      <c r="F845" s="82" t="s">
        <v>3493</v>
      </c>
      <c r="G845" s="82"/>
      <c r="H845" s="98" t="s">
        <v>5472</v>
      </c>
      <c r="I845" s="82" t="s">
        <v>5419</v>
      </c>
      <c r="J845" s="51" t="s">
        <v>140</v>
      </c>
      <c r="K845" s="91">
        <v>0</v>
      </c>
      <c r="L845" s="91">
        <v>0</v>
      </c>
      <c r="M845" s="92">
        <v>30</v>
      </c>
      <c r="N845" s="92">
        <v>50000</v>
      </c>
      <c r="O845" s="92">
        <v>4</v>
      </c>
      <c r="P845" s="92">
        <f t="shared" si="206"/>
        <v>12500</v>
      </c>
      <c r="Q845" s="92"/>
      <c r="R845" s="92">
        <v>12500</v>
      </c>
      <c r="S845" s="92">
        <f t="shared" si="200"/>
        <v>0</v>
      </c>
      <c r="T845" s="92">
        <f t="shared" si="201"/>
        <v>11520</v>
      </c>
      <c r="U845" s="91">
        <f t="shared" si="204"/>
        <v>0</v>
      </c>
      <c r="V845" s="91">
        <f t="shared" si="205"/>
        <v>0</v>
      </c>
      <c r="W845" s="101">
        <v>0</v>
      </c>
      <c r="X845" s="55">
        <f t="shared" si="202"/>
        <v>46153.53994598765</v>
      </c>
    </row>
    <row r="846" spans="1:24" ht="26.5" hidden="1" x14ac:dyDescent="0.35">
      <c r="A846" s="46">
        <f t="shared" si="203"/>
        <v>46153.53994598765</v>
      </c>
      <c r="B846" s="46"/>
      <c r="C846" s="260"/>
      <c r="D846" s="46"/>
      <c r="E846" s="47" t="s">
        <v>5256</v>
      </c>
      <c r="F846" s="82" t="s">
        <v>3493</v>
      </c>
      <c r="G846" s="82"/>
      <c r="H846" s="98" t="s">
        <v>5473</v>
      </c>
      <c r="I846" s="82" t="s">
        <v>5474</v>
      </c>
      <c r="J846" s="51" t="s">
        <v>140</v>
      </c>
      <c r="K846" s="91">
        <v>0</v>
      </c>
      <c r="L846" s="91">
        <v>0</v>
      </c>
      <c r="M846" s="92">
        <v>30</v>
      </c>
      <c r="N846" s="92">
        <v>48000</v>
      </c>
      <c r="O846" s="92">
        <v>2</v>
      </c>
      <c r="P846" s="92">
        <f t="shared" si="206"/>
        <v>24000</v>
      </c>
      <c r="Q846" s="92"/>
      <c r="R846" s="92">
        <v>24000</v>
      </c>
      <c r="S846" s="92">
        <f t="shared" si="200"/>
        <v>0</v>
      </c>
      <c r="T846" s="92">
        <f t="shared" si="201"/>
        <v>5760</v>
      </c>
      <c r="U846" s="91">
        <f t="shared" si="204"/>
        <v>0</v>
      </c>
      <c r="V846" s="91">
        <f t="shared" si="205"/>
        <v>0</v>
      </c>
      <c r="W846" s="101">
        <v>0</v>
      </c>
      <c r="X846" s="55">
        <f t="shared" si="202"/>
        <v>46153.53994598765</v>
      </c>
    </row>
    <row r="847" spans="1:24" hidden="1" x14ac:dyDescent="0.35">
      <c r="A847" s="46">
        <f t="shared" si="203"/>
        <v>46153.53994598765</v>
      </c>
      <c r="B847" s="46"/>
      <c r="C847" s="260"/>
      <c r="D847" s="46"/>
      <c r="E847" s="47" t="s">
        <v>5256</v>
      </c>
      <c r="F847" s="82" t="s">
        <v>900</v>
      </c>
      <c r="G847" s="82"/>
      <c r="H847" s="107" t="s">
        <v>5475</v>
      </c>
      <c r="I847" s="82" t="s">
        <v>4907</v>
      </c>
      <c r="J847" s="100" t="s">
        <v>140</v>
      </c>
      <c r="K847" s="91">
        <v>0</v>
      </c>
      <c r="L847" s="91">
        <v>0</v>
      </c>
      <c r="M847" s="92">
        <v>45</v>
      </c>
      <c r="N847" s="92">
        <v>5000</v>
      </c>
      <c r="O847" s="92">
        <v>1</v>
      </c>
      <c r="P847" s="92">
        <f t="shared" si="206"/>
        <v>5000</v>
      </c>
      <c r="Q847" s="92"/>
      <c r="R847" s="92">
        <v>5000</v>
      </c>
      <c r="S847" s="92">
        <f t="shared" si="200"/>
        <v>0</v>
      </c>
      <c r="T847" s="102">
        <f t="shared" si="201"/>
        <v>1920</v>
      </c>
      <c r="U847" s="101">
        <f t="shared" si="204"/>
        <v>0</v>
      </c>
      <c r="V847" s="101">
        <f t="shared" si="205"/>
        <v>0</v>
      </c>
      <c r="W847" s="101">
        <v>0</v>
      </c>
      <c r="X847" s="55">
        <f t="shared" si="202"/>
        <v>46153.53994598765</v>
      </c>
    </row>
    <row r="848" spans="1:24" s="202" customFormat="1" ht="26.5" hidden="1" x14ac:dyDescent="0.35">
      <c r="A848" s="46">
        <f t="shared" si="203"/>
        <v>46153.53994598765</v>
      </c>
      <c r="B848" s="46"/>
      <c r="C848" s="260"/>
      <c r="D848" s="46"/>
      <c r="E848" s="47" t="s">
        <v>5256</v>
      </c>
      <c r="F848" s="82"/>
      <c r="G848" s="82"/>
      <c r="H848" s="107"/>
      <c r="I848" s="82" t="s">
        <v>3495</v>
      </c>
      <c r="J848" s="100" t="s">
        <v>140</v>
      </c>
      <c r="K848" s="91">
        <v>0</v>
      </c>
      <c r="L848" s="91">
        <v>0</v>
      </c>
      <c r="M848" s="92">
        <v>35</v>
      </c>
      <c r="N848" s="92">
        <v>3000</v>
      </c>
      <c r="O848" s="92">
        <v>1</v>
      </c>
      <c r="P848" s="92">
        <f t="shared" si="206"/>
        <v>3000</v>
      </c>
      <c r="Q848" s="92"/>
      <c r="R848" s="92">
        <v>3000</v>
      </c>
      <c r="S848" s="92">
        <f t="shared" si="200"/>
        <v>0</v>
      </c>
      <c r="T848" s="102">
        <f t="shared" si="201"/>
        <v>2468.5714285714284</v>
      </c>
      <c r="U848" s="101">
        <f t="shared" si="204"/>
        <v>0</v>
      </c>
      <c r="V848" s="101">
        <f t="shared" si="205"/>
        <v>0</v>
      </c>
      <c r="W848" s="101">
        <v>0</v>
      </c>
      <c r="X848" s="55">
        <f t="shared" si="202"/>
        <v>46153.53994598765</v>
      </c>
    </row>
    <row r="849" spans="1:24" hidden="1" x14ac:dyDescent="0.35">
      <c r="A849" s="46">
        <f t="shared" si="203"/>
        <v>46153.53994598765</v>
      </c>
      <c r="B849" s="46"/>
      <c r="C849" s="260"/>
      <c r="D849" s="46"/>
      <c r="E849" s="47" t="s">
        <v>5256</v>
      </c>
      <c r="F849" s="82" t="s">
        <v>1831</v>
      </c>
      <c r="G849" s="82"/>
      <c r="H849" s="98" t="s">
        <v>5476</v>
      </c>
      <c r="I849" s="71" t="s">
        <v>5477</v>
      </c>
      <c r="J849" s="100" t="s">
        <v>140</v>
      </c>
      <c r="K849" s="91">
        <v>0</v>
      </c>
      <c r="L849" s="91">
        <v>0</v>
      </c>
      <c r="M849" s="92">
        <v>40</v>
      </c>
      <c r="N849" s="92">
        <v>2000</v>
      </c>
      <c r="O849" s="92">
        <v>2</v>
      </c>
      <c r="P849" s="102">
        <f t="shared" si="206"/>
        <v>1000</v>
      </c>
      <c r="Q849" s="102"/>
      <c r="R849" s="102">
        <v>1000</v>
      </c>
      <c r="S849" s="92">
        <f t="shared" si="200"/>
        <v>0</v>
      </c>
      <c r="T849" s="102">
        <f t="shared" si="201"/>
        <v>4320</v>
      </c>
      <c r="U849" s="101">
        <f t="shared" si="204"/>
        <v>0</v>
      </c>
      <c r="V849" s="101">
        <f t="shared" si="205"/>
        <v>0</v>
      </c>
      <c r="W849" s="101">
        <v>0</v>
      </c>
      <c r="X849" s="55">
        <f t="shared" si="202"/>
        <v>46153.53994598765</v>
      </c>
    </row>
    <row r="850" spans="1:24" hidden="1" x14ac:dyDescent="0.35">
      <c r="A850" s="46">
        <f t="shared" si="203"/>
        <v>46153.53994598765</v>
      </c>
      <c r="B850" s="46"/>
      <c r="C850" s="260"/>
      <c r="D850" s="46"/>
      <c r="E850" s="47" t="s">
        <v>5256</v>
      </c>
      <c r="F850" s="82" t="s">
        <v>1831</v>
      </c>
      <c r="G850" s="82"/>
      <c r="H850" s="98" t="s">
        <v>5478</v>
      </c>
      <c r="I850" s="71" t="s">
        <v>5166</v>
      </c>
      <c r="J850" s="100" t="s">
        <v>140</v>
      </c>
      <c r="K850" s="91">
        <v>0</v>
      </c>
      <c r="L850" s="91">
        <v>0</v>
      </c>
      <c r="M850" s="92">
        <v>40</v>
      </c>
      <c r="N850" s="92">
        <v>2000</v>
      </c>
      <c r="O850" s="92">
        <v>2</v>
      </c>
      <c r="P850" s="102">
        <f t="shared" si="206"/>
        <v>1000</v>
      </c>
      <c r="Q850" s="102"/>
      <c r="R850" s="102">
        <v>1000</v>
      </c>
      <c r="S850" s="92">
        <f t="shared" si="200"/>
        <v>0</v>
      </c>
      <c r="T850" s="102">
        <f t="shared" si="201"/>
        <v>4320</v>
      </c>
      <c r="U850" s="101">
        <f t="shared" si="204"/>
        <v>0</v>
      </c>
      <c r="V850" s="101">
        <f t="shared" si="205"/>
        <v>0</v>
      </c>
      <c r="W850" s="101">
        <v>0</v>
      </c>
      <c r="X850" s="55">
        <f t="shared" si="202"/>
        <v>46153.53994598765</v>
      </c>
    </row>
    <row r="851" spans="1:24" hidden="1" x14ac:dyDescent="0.35">
      <c r="A851" s="46">
        <f t="shared" si="203"/>
        <v>46153.53994598765</v>
      </c>
      <c r="B851" s="46"/>
      <c r="C851" s="260"/>
      <c r="D851" s="46"/>
      <c r="E851" s="47" t="s">
        <v>5256</v>
      </c>
      <c r="F851" s="51" t="s">
        <v>3498</v>
      </c>
      <c r="G851" s="51"/>
      <c r="H851" s="98" t="s">
        <v>5479</v>
      </c>
      <c r="I851" s="82" t="s">
        <v>4907</v>
      </c>
      <c r="J851" s="100" t="s">
        <v>140</v>
      </c>
      <c r="K851" s="91">
        <v>0</v>
      </c>
      <c r="L851" s="91">
        <v>0</v>
      </c>
      <c r="M851" s="92">
        <v>45</v>
      </c>
      <c r="N851" s="92">
        <v>10500</v>
      </c>
      <c r="O851" s="92">
        <v>1</v>
      </c>
      <c r="P851" s="92">
        <f t="shared" si="206"/>
        <v>10500</v>
      </c>
      <c r="Q851" s="92"/>
      <c r="R851" s="92">
        <v>10500</v>
      </c>
      <c r="S851" s="92">
        <f t="shared" si="200"/>
        <v>0</v>
      </c>
      <c r="T851" s="102">
        <f t="shared" si="201"/>
        <v>1920</v>
      </c>
      <c r="U851" s="101">
        <f t="shared" si="204"/>
        <v>0</v>
      </c>
      <c r="V851" s="101">
        <f t="shared" si="205"/>
        <v>0</v>
      </c>
      <c r="W851" s="101">
        <v>0</v>
      </c>
      <c r="X851" s="55">
        <f t="shared" si="202"/>
        <v>46153.53994598765</v>
      </c>
    </row>
    <row r="852" spans="1:24" hidden="1" x14ac:dyDescent="0.35">
      <c r="A852" s="46">
        <f t="shared" si="203"/>
        <v>46153.53994598765</v>
      </c>
      <c r="B852" s="46"/>
      <c r="C852" s="260"/>
      <c r="D852" s="46"/>
      <c r="E852" s="47" t="s">
        <v>5256</v>
      </c>
      <c r="F852" s="97" t="s">
        <v>4937</v>
      </c>
      <c r="G852" s="97"/>
      <c r="H852" s="98" t="s">
        <v>5480</v>
      </c>
      <c r="I852" s="69" t="s">
        <v>5481</v>
      </c>
      <c r="J852" s="51" t="s">
        <v>140</v>
      </c>
      <c r="K852" s="91">
        <v>0</v>
      </c>
      <c r="L852" s="91">
        <v>0</v>
      </c>
      <c r="M852" s="92">
        <v>25</v>
      </c>
      <c r="N852" s="92">
        <v>1500</v>
      </c>
      <c r="O852" s="92">
        <v>1</v>
      </c>
      <c r="P852" s="92">
        <f t="shared" si="206"/>
        <v>1500</v>
      </c>
      <c r="Q852" s="92"/>
      <c r="R852" s="92">
        <v>1500</v>
      </c>
      <c r="S852" s="92">
        <f t="shared" si="200"/>
        <v>0</v>
      </c>
      <c r="T852" s="92">
        <f t="shared" si="201"/>
        <v>3456</v>
      </c>
      <c r="U852" s="91">
        <f t="shared" si="204"/>
        <v>0</v>
      </c>
      <c r="V852" s="91">
        <f t="shared" si="205"/>
        <v>0</v>
      </c>
      <c r="W852" s="91">
        <v>0</v>
      </c>
      <c r="X852" s="55">
        <f t="shared" si="202"/>
        <v>46153.53994598765</v>
      </c>
    </row>
    <row r="853" spans="1:24" hidden="1" x14ac:dyDescent="0.35">
      <c r="A853" s="46">
        <f t="shared" si="203"/>
        <v>46153.53994598765</v>
      </c>
      <c r="B853" s="46"/>
      <c r="C853" s="260"/>
      <c r="D853" s="46"/>
      <c r="E853" s="47" t="s">
        <v>5256</v>
      </c>
      <c r="F853" s="97" t="s">
        <v>4937</v>
      </c>
      <c r="G853" s="97"/>
      <c r="H853" s="98" t="s">
        <v>5482</v>
      </c>
      <c r="I853" s="82" t="s">
        <v>5483</v>
      </c>
      <c r="J853" s="100" t="s">
        <v>140</v>
      </c>
      <c r="K853" s="91">
        <v>0</v>
      </c>
      <c r="L853" s="91">
        <v>0</v>
      </c>
      <c r="M853" s="92">
        <v>30</v>
      </c>
      <c r="N853" s="92">
        <v>5000</v>
      </c>
      <c r="O853" s="92">
        <v>4</v>
      </c>
      <c r="P853" s="92">
        <f t="shared" si="206"/>
        <v>1250</v>
      </c>
      <c r="Q853" s="92"/>
      <c r="R853" s="102">
        <v>1250</v>
      </c>
      <c r="S853" s="92">
        <f t="shared" si="200"/>
        <v>0</v>
      </c>
      <c r="T853" s="102">
        <f t="shared" si="201"/>
        <v>11520</v>
      </c>
      <c r="U853" s="101">
        <f t="shared" si="204"/>
        <v>0</v>
      </c>
      <c r="V853" s="101">
        <f t="shared" si="205"/>
        <v>0</v>
      </c>
      <c r="W853" s="101">
        <v>0</v>
      </c>
      <c r="X853" s="55">
        <f t="shared" si="202"/>
        <v>46153.53994598765</v>
      </c>
    </row>
    <row r="854" spans="1:24" hidden="1" x14ac:dyDescent="0.35">
      <c r="A854" s="46">
        <f t="shared" si="203"/>
        <v>46153.53994598765</v>
      </c>
      <c r="B854" s="46"/>
      <c r="C854" s="260"/>
      <c r="D854" s="46"/>
      <c r="E854" s="47" t="s">
        <v>5256</v>
      </c>
      <c r="F854" s="97" t="s">
        <v>4942</v>
      </c>
      <c r="G854" s="97"/>
      <c r="H854" s="98" t="s">
        <v>5484</v>
      </c>
      <c r="I854" s="82" t="s">
        <v>5483</v>
      </c>
      <c r="J854" s="100" t="s">
        <v>140</v>
      </c>
      <c r="K854" s="91">
        <v>0</v>
      </c>
      <c r="L854" s="91">
        <v>0</v>
      </c>
      <c r="M854" s="92">
        <v>30</v>
      </c>
      <c r="N854" s="92">
        <f>7140*3</f>
        <v>21420</v>
      </c>
      <c r="O854" s="92">
        <v>4</v>
      </c>
      <c r="P854" s="92">
        <f t="shared" si="206"/>
        <v>5355</v>
      </c>
      <c r="Q854" s="92"/>
      <c r="R854" s="102">
        <v>5355</v>
      </c>
      <c r="S854" s="92">
        <f t="shared" si="200"/>
        <v>0</v>
      </c>
      <c r="T854" s="102">
        <f t="shared" si="201"/>
        <v>11520</v>
      </c>
      <c r="U854" s="101">
        <f t="shared" si="204"/>
        <v>0</v>
      </c>
      <c r="V854" s="101">
        <f t="shared" si="205"/>
        <v>0</v>
      </c>
      <c r="W854" s="101">
        <v>0</v>
      </c>
      <c r="X854" s="55">
        <f t="shared" si="202"/>
        <v>46153.53994598765</v>
      </c>
    </row>
    <row r="855" spans="1:24" hidden="1" x14ac:dyDescent="0.35">
      <c r="A855" s="46">
        <f t="shared" si="203"/>
        <v>46153.53994598765</v>
      </c>
      <c r="B855" s="46"/>
      <c r="C855" s="260"/>
      <c r="D855" s="46"/>
      <c r="E855" s="47" t="s">
        <v>5256</v>
      </c>
      <c r="F855" s="57" t="s">
        <v>5485</v>
      </c>
      <c r="G855" s="57"/>
      <c r="H855" s="49" t="s">
        <v>5486</v>
      </c>
      <c r="I855" s="82" t="s">
        <v>3468</v>
      </c>
      <c r="J855" s="51" t="s">
        <v>140</v>
      </c>
      <c r="K855" s="52">
        <v>0</v>
      </c>
      <c r="L855" s="52">
        <v>0</v>
      </c>
      <c r="M855" s="53">
        <v>20</v>
      </c>
      <c r="N855" s="53">
        <v>50000</v>
      </c>
      <c r="O855" s="53">
        <v>8</v>
      </c>
      <c r="P855" s="53">
        <f t="shared" si="206"/>
        <v>6250</v>
      </c>
      <c r="Q855" s="53"/>
      <c r="R855" s="53">
        <v>6250</v>
      </c>
      <c r="S855" s="53">
        <f t="shared" si="200"/>
        <v>0</v>
      </c>
      <c r="T855" s="53">
        <f t="shared" si="201"/>
        <v>34560</v>
      </c>
      <c r="U855" s="52">
        <f t="shared" si="204"/>
        <v>0</v>
      </c>
      <c r="V855" s="52">
        <f t="shared" si="205"/>
        <v>0</v>
      </c>
      <c r="W855" s="52">
        <v>0</v>
      </c>
      <c r="X855" s="55">
        <f t="shared" si="202"/>
        <v>46153.53994598765</v>
      </c>
    </row>
    <row r="856" spans="1:24" hidden="1" x14ac:dyDescent="0.35">
      <c r="A856" s="46">
        <f t="shared" si="203"/>
        <v>46153.53994598765</v>
      </c>
      <c r="B856" s="46"/>
      <c r="C856" s="260"/>
      <c r="D856" s="46"/>
      <c r="E856" s="47" t="s">
        <v>5256</v>
      </c>
      <c r="F856" s="97" t="s">
        <v>4942</v>
      </c>
      <c r="G856" s="97"/>
      <c r="H856" s="98" t="s">
        <v>5487</v>
      </c>
      <c r="I856" s="69" t="s">
        <v>5481</v>
      </c>
      <c r="J856" s="51" t="s">
        <v>140</v>
      </c>
      <c r="K856" s="91">
        <v>0</v>
      </c>
      <c r="L856" s="91">
        <v>0</v>
      </c>
      <c r="M856" s="92">
        <v>25</v>
      </c>
      <c r="N856" s="92">
        <v>7200</v>
      </c>
      <c r="O856" s="92">
        <v>1</v>
      </c>
      <c r="P856" s="92">
        <f t="shared" si="206"/>
        <v>7200</v>
      </c>
      <c r="Q856" s="92"/>
      <c r="R856" s="92">
        <v>7200</v>
      </c>
      <c r="S856" s="92">
        <f t="shared" si="200"/>
        <v>0</v>
      </c>
      <c r="T856" s="92">
        <f t="shared" si="201"/>
        <v>3456</v>
      </c>
      <c r="U856" s="91">
        <f t="shared" si="204"/>
        <v>0</v>
      </c>
      <c r="V856" s="91">
        <f t="shared" si="205"/>
        <v>0</v>
      </c>
      <c r="W856" s="91">
        <v>0</v>
      </c>
      <c r="X856" s="55">
        <f t="shared" si="202"/>
        <v>46153.53994598765</v>
      </c>
    </row>
    <row r="857" spans="1:24" hidden="1" x14ac:dyDescent="0.35">
      <c r="A857" s="46">
        <f t="shared" si="203"/>
        <v>46153.53994598765</v>
      </c>
      <c r="B857" s="46"/>
      <c r="C857" s="260"/>
      <c r="D857" s="46"/>
      <c r="E857" s="47" t="s">
        <v>5256</v>
      </c>
      <c r="F857" s="51" t="s">
        <v>3498</v>
      </c>
      <c r="G857" s="51" t="s">
        <v>315</v>
      </c>
      <c r="H857" s="98" t="s">
        <v>5488</v>
      </c>
      <c r="I857" s="82" t="s">
        <v>5419</v>
      </c>
      <c r="J857" s="51" t="s">
        <v>140</v>
      </c>
      <c r="K857" s="91">
        <v>0</v>
      </c>
      <c r="L857" s="91">
        <v>0</v>
      </c>
      <c r="M857" s="92">
        <v>30</v>
      </c>
      <c r="N857" s="92">
        <v>80000</v>
      </c>
      <c r="O857" s="92">
        <v>4</v>
      </c>
      <c r="P857" s="92">
        <f t="shared" si="206"/>
        <v>20000</v>
      </c>
      <c r="Q857" s="92"/>
      <c r="R857" s="92">
        <v>20000</v>
      </c>
      <c r="S857" s="92">
        <f t="shared" si="200"/>
        <v>0</v>
      </c>
      <c r="T857" s="92">
        <f t="shared" si="201"/>
        <v>11520</v>
      </c>
      <c r="U857" s="91">
        <f t="shared" si="204"/>
        <v>0</v>
      </c>
      <c r="V857" s="91">
        <f t="shared" si="205"/>
        <v>0</v>
      </c>
      <c r="W857" s="101">
        <v>0</v>
      </c>
      <c r="X857" s="55">
        <f t="shared" si="202"/>
        <v>46153.53994598765</v>
      </c>
    </row>
    <row r="858" spans="1:24" hidden="1" x14ac:dyDescent="0.35">
      <c r="A858" s="46">
        <f t="shared" si="203"/>
        <v>46153.53994598765</v>
      </c>
      <c r="B858" s="46"/>
      <c r="C858" s="260"/>
      <c r="D858" s="46"/>
      <c r="E858" s="47" t="s">
        <v>5256</v>
      </c>
      <c r="F858" s="51" t="s">
        <v>3498</v>
      </c>
      <c r="G858" s="51" t="s">
        <v>315</v>
      </c>
      <c r="H858" s="107" t="s">
        <v>5489</v>
      </c>
      <c r="I858" s="82" t="s">
        <v>3528</v>
      </c>
      <c r="J858" s="100" t="s">
        <v>140</v>
      </c>
      <c r="K858" s="91">
        <v>0</v>
      </c>
      <c r="L858" s="91">
        <v>0</v>
      </c>
      <c r="M858" s="92">
        <v>45</v>
      </c>
      <c r="N858" s="92">
        <v>3935</v>
      </c>
      <c r="O858" s="92">
        <v>1</v>
      </c>
      <c r="P858" s="92">
        <f t="shared" si="206"/>
        <v>3935</v>
      </c>
      <c r="Q858" s="92"/>
      <c r="R858" s="92">
        <v>3935</v>
      </c>
      <c r="S858" s="92">
        <f t="shared" si="200"/>
        <v>0</v>
      </c>
      <c r="T858" s="102">
        <f t="shared" si="201"/>
        <v>1920</v>
      </c>
      <c r="U858" s="101">
        <f t="shared" si="204"/>
        <v>0</v>
      </c>
      <c r="V858" s="101">
        <f t="shared" si="205"/>
        <v>0</v>
      </c>
      <c r="W858" s="101">
        <v>0</v>
      </c>
      <c r="X858" s="55">
        <f t="shared" si="202"/>
        <v>46153.53994598765</v>
      </c>
    </row>
    <row r="859" spans="1:24" ht="39.5" hidden="1" x14ac:dyDescent="0.35">
      <c r="A859" s="46">
        <f t="shared" si="203"/>
        <v>46153.53994598765</v>
      </c>
      <c r="B859" s="46"/>
      <c r="C859" s="260"/>
      <c r="D859" s="46"/>
      <c r="E859" s="47" t="s">
        <v>5256</v>
      </c>
      <c r="F859" s="82" t="s">
        <v>314</v>
      </c>
      <c r="G859" s="82" t="s">
        <v>5490</v>
      </c>
      <c r="H859" s="98" t="s">
        <v>5491</v>
      </c>
      <c r="I859" s="71" t="s">
        <v>3466</v>
      </c>
      <c r="J859" s="100" t="s">
        <v>140</v>
      </c>
      <c r="K859" s="91">
        <v>0</v>
      </c>
      <c r="L859" s="91">
        <v>0</v>
      </c>
      <c r="M859" s="92">
        <v>45</v>
      </c>
      <c r="N859" s="92">
        <v>10000</v>
      </c>
      <c r="O859" s="92">
        <v>2</v>
      </c>
      <c r="P859" s="92">
        <f t="shared" si="206"/>
        <v>5000</v>
      </c>
      <c r="Q859" s="92"/>
      <c r="R859" s="92">
        <v>5000</v>
      </c>
      <c r="S859" s="92">
        <f t="shared" si="200"/>
        <v>0</v>
      </c>
      <c r="T859" s="102">
        <f t="shared" si="201"/>
        <v>3840</v>
      </c>
      <c r="U859" s="101">
        <f t="shared" si="204"/>
        <v>0</v>
      </c>
      <c r="V859" s="101">
        <f t="shared" si="205"/>
        <v>0</v>
      </c>
      <c r="W859" s="101">
        <v>0</v>
      </c>
      <c r="X859" s="55">
        <f t="shared" si="202"/>
        <v>46153.53994598765</v>
      </c>
    </row>
    <row r="860" spans="1:24" ht="39.5" hidden="1" x14ac:dyDescent="0.35">
      <c r="A860" s="46">
        <f t="shared" si="203"/>
        <v>46153.53994598765</v>
      </c>
      <c r="B860" s="46"/>
      <c r="C860" s="260"/>
      <c r="D860" s="46"/>
      <c r="E860" s="47" t="s">
        <v>5256</v>
      </c>
      <c r="F860" s="82" t="s">
        <v>5492</v>
      </c>
      <c r="G860" s="82" t="s">
        <v>780</v>
      </c>
      <c r="H860" s="98" t="s">
        <v>5493</v>
      </c>
      <c r="I860" s="71" t="s">
        <v>3466</v>
      </c>
      <c r="J860" s="100" t="s">
        <v>140</v>
      </c>
      <c r="K860" s="91">
        <v>0</v>
      </c>
      <c r="L860" s="91">
        <v>0</v>
      </c>
      <c r="M860" s="92">
        <v>45</v>
      </c>
      <c r="N860" s="92">
        <v>20000</v>
      </c>
      <c r="O860" s="92">
        <v>2</v>
      </c>
      <c r="P860" s="92">
        <f t="shared" si="206"/>
        <v>10000</v>
      </c>
      <c r="Q860" s="92"/>
      <c r="R860" s="92">
        <v>10000</v>
      </c>
      <c r="S860" s="92">
        <f t="shared" si="200"/>
        <v>0</v>
      </c>
      <c r="T860" s="102">
        <f t="shared" si="201"/>
        <v>3840</v>
      </c>
      <c r="U860" s="101">
        <f t="shared" si="204"/>
        <v>0</v>
      </c>
      <c r="V860" s="101">
        <f t="shared" si="205"/>
        <v>0</v>
      </c>
      <c r="W860" s="101">
        <v>0</v>
      </c>
      <c r="X860" s="55">
        <f>A860+K860+V860+W860+L860</f>
        <v>46153.53994598765</v>
      </c>
    </row>
    <row r="861" spans="1:24" ht="26.5" hidden="1" x14ac:dyDescent="0.35">
      <c r="A861" s="46">
        <f>X918</f>
        <v>46160.868803047822</v>
      </c>
      <c r="B861" s="46"/>
      <c r="C861" s="260"/>
      <c r="D861" s="46"/>
      <c r="E861" s="47" t="s">
        <v>5256</v>
      </c>
      <c r="F861" s="82" t="s">
        <v>3476</v>
      </c>
      <c r="G861" s="82" t="s">
        <v>315</v>
      </c>
      <c r="H861" s="98" t="s">
        <v>5494</v>
      </c>
      <c r="I861" s="82" t="s">
        <v>3478</v>
      </c>
      <c r="J861" s="100" t="s">
        <v>140</v>
      </c>
      <c r="K861" s="91">
        <v>0</v>
      </c>
      <c r="L861" s="91">
        <v>0</v>
      </c>
      <c r="M861" s="92">
        <v>40</v>
      </c>
      <c r="N861" s="94">
        <v>6000</v>
      </c>
      <c r="O861" s="92">
        <v>2</v>
      </c>
      <c r="P861" s="94">
        <f t="shared" si="206"/>
        <v>3000</v>
      </c>
      <c r="Q861" s="94"/>
      <c r="R861" s="92">
        <v>3000</v>
      </c>
      <c r="S861" s="92">
        <f t="shared" ref="S861:S910" si="207">P861-R861</f>
        <v>0</v>
      </c>
      <c r="T861" s="102">
        <f t="shared" si="201"/>
        <v>4320</v>
      </c>
      <c r="U861" s="101">
        <f t="shared" si="204"/>
        <v>0</v>
      </c>
      <c r="V861" s="101">
        <f t="shared" si="205"/>
        <v>0</v>
      </c>
      <c r="W861" s="101">
        <v>0</v>
      </c>
      <c r="X861" s="55">
        <f>A861+K861+L861+V861+W861</f>
        <v>46160.868803047822</v>
      </c>
    </row>
    <row r="862" spans="1:24" hidden="1" x14ac:dyDescent="0.35">
      <c r="A862" s="46">
        <f t="shared" si="203"/>
        <v>46160.868803047822</v>
      </c>
      <c r="B862" s="46"/>
      <c r="C862" s="260"/>
      <c r="D862" s="46"/>
      <c r="E862" s="47" t="s">
        <v>5256</v>
      </c>
      <c r="F862" s="97" t="s">
        <v>355</v>
      </c>
      <c r="G862" s="97" t="s">
        <v>5495</v>
      </c>
      <c r="H862" s="98" t="s">
        <v>5486</v>
      </c>
      <c r="I862" s="82" t="s">
        <v>3468</v>
      </c>
      <c r="J862" s="51" t="s">
        <v>140</v>
      </c>
      <c r="K862" s="91">
        <v>0</v>
      </c>
      <c r="L862" s="91">
        <v>0</v>
      </c>
      <c r="M862" s="92">
        <v>20</v>
      </c>
      <c r="N862" s="94">
        <v>50000</v>
      </c>
      <c r="O862" s="92">
        <v>8</v>
      </c>
      <c r="P862" s="94">
        <f t="shared" si="206"/>
        <v>6250</v>
      </c>
      <c r="Q862" s="94"/>
      <c r="R862" s="92">
        <v>6250</v>
      </c>
      <c r="S862" s="92">
        <f t="shared" si="207"/>
        <v>0</v>
      </c>
      <c r="T862" s="92">
        <f t="shared" si="201"/>
        <v>34560</v>
      </c>
      <c r="U862" s="91">
        <f t="shared" si="204"/>
        <v>0</v>
      </c>
      <c r="V862" s="91">
        <f t="shared" si="205"/>
        <v>0</v>
      </c>
      <c r="W862" s="91">
        <v>0</v>
      </c>
      <c r="X862" s="55">
        <f>A862+K862+L862+V862+W862</f>
        <v>46160.868803047822</v>
      </c>
    </row>
    <row r="863" spans="1:24" hidden="1" x14ac:dyDescent="0.35">
      <c r="A863" s="46">
        <f t="shared" si="203"/>
        <v>46160.868803047822</v>
      </c>
      <c r="B863" s="46"/>
      <c r="C863" s="260"/>
      <c r="D863" s="46"/>
      <c r="E863" s="419" t="s">
        <v>5256</v>
      </c>
      <c r="F863" s="51" t="s">
        <v>1868</v>
      </c>
      <c r="G863" s="82" t="s">
        <v>327</v>
      </c>
      <c r="H863" s="107" t="s">
        <v>3534</v>
      </c>
      <c r="I863" s="82" t="s">
        <v>3528</v>
      </c>
      <c r="J863" s="100" t="s">
        <v>140</v>
      </c>
      <c r="K863" s="91">
        <v>0</v>
      </c>
      <c r="L863" s="91">
        <v>0</v>
      </c>
      <c r="M863" s="92">
        <v>45</v>
      </c>
      <c r="N863" s="94">
        <f>15000-12866</f>
        <v>2134</v>
      </c>
      <c r="O863" s="92">
        <v>1</v>
      </c>
      <c r="P863" s="94">
        <f t="shared" si="206"/>
        <v>2134</v>
      </c>
      <c r="Q863" s="94"/>
      <c r="R863" s="92">
        <v>2134</v>
      </c>
      <c r="S863" s="92">
        <f t="shared" si="207"/>
        <v>0</v>
      </c>
      <c r="T863" s="102">
        <f t="shared" ref="T863:T900" si="208">((3600/M863)*O863)*24</f>
        <v>1920</v>
      </c>
      <c r="U863" s="101">
        <f t="shared" si="204"/>
        <v>0</v>
      </c>
      <c r="V863" s="101">
        <f t="shared" si="205"/>
        <v>0</v>
      </c>
      <c r="W863" s="101">
        <v>0</v>
      </c>
      <c r="X863" s="55">
        <f>A863+K863+L863+V863+W863</f>
        <v>46160.868803047822</v>
      </c>
    </row>
    <row r="864" spans="1:24" hidden="1" x14ac:dyDescent="0.35">
      <c r="A864" s="46">
        <f t="shared" ref="A864:A894" si="209">X863</f>
        <v>46160.868803047822</v>
      </c>
      <c r="B864" s="46"/>
      <c r="C864" s="260"/>
      <c r="D864" s="46"/>
      <c r="E864" s="47" t="s">
        <v>5256</v>
      </c>
      <c r="F864" s="82" t="s">
        <v>4836</v>
      </c>
      <c r="G864" s="48" t="s">
        <v>780</v>
      </c>
      <c r="H864" s="59" t="s">
        <v>5496</v>
      </c>
      <c r="I864" s="82" t="s">
        <v>5316</v>
      </c>
      <c r="J864" s="51" t="s">
        <v>140</v>
      </c>
      <c r="K864" s="91">
        <v>0</v>
      </c>
      <c r="L864" s="91">
        <v>0</v>
      </c>
      <c r="M864" s="92">
        <v>30</v>
      </c>
      <c r="N864" s="94">
        <v>5000</v>
      </c>
      <c r="O864" s="92">
        <v>2</v>
      </c>
      <c r="P864" s="94">
        <f t="shared" si="206"/>
        <v>2500</v>
      </c>
      <c r="Q864" s="94"/>
      <c r="R864" s="92">
        <v>2500</v>
      </c>
      <c r="S864" s="92">
        <f t="shared" si="207"/>
        <v>0</v>
      </c>
      <c r="T864" s="92">
        <f t="shared" si="208"/>
        <v>5760</v>
      </c>
      <c r="U864" s="91">
        <f t="shared" si="204"/>
        <v>0</v>
      </c>
      <c r="V864" s="91">
        <f t="shared" si="205"/>
        <v>0</v>
      </c>
      <c r="W864" s="91">
        <v>0</v>
      </c>
      <c r="X864" s="55">
        <f>A864+K864+L864+V864+W864</f>
        <v>46160.868803047822</v>
      </c>
    </row>
    <row r="865" spans="1:24" ht="26.5" hidden="1" x14ac:dyDescent="0.35">
      <c r="A865" s="46">
        <f t="shared" si="209"/>
        <v>46160.868803047822</v>
      </c>
      <c r="B865" s="46"/>
      <c r="C865" s="260"/>
      <c r="D865" s="46"/>
      <c r="E865" s="47" t="s">
        <v>4467</v>
      </c>
      <c r="F865" s="82" t="s">
        <v>4604</v>
      </c>
      <c r="G865" s="82"/>
      <c r="H865" s="98" t="s">
        <v>4605</v>
      </c>
      <c r="I865" s="71" t="s">
        <v>4606</v>
      </c>
      <c r="J865" s="491" t="s">
        <v>140</v>
      </c>
      <c r="K865" s="91">
        <v>0</v>
      </c>
      <c r="L865" s="91">
        <v>0</v>
      </c>
      <c r="M865" s="92">
        <v>45</v>
      </c>
      <c r="N865" s="94">
        <v>10000</v>
      </c>
      <c r="O865" s="92">
        <v>2</v>
      </c>
      <c r="P865" s="94">
        <f t="shared" si="206"/>
        <v>5000</v>
      </c>
      <c r="Q865" s="94"/>
      <c r="R865" s="92">
        <v>5000</v>
      </c>
      <c r="S865" s="92">
        <f t="shared" si="207"/>
        <v>0</v>
      </c>
      <c r="T865" s="102">
        <f t="shared" si="208"/>
        <v>3840</v>
      </c>
      <c r="U865" s="101">
        <f t="shared" si="204"/>
        <v>0</v>
      </c>
      <c r="V865" s="101">
        <f t="shared" si="205"/>
        <v>0</v>
      </c>
      <c r="W865" s="101">
        <v>0</v>
      </c>
      <c r="X865" s="55">
        <f>A865+K865+V865+W865+L865</f>
        <v>46160.868803047822</v>
      </c>
    </row>
    <row r="866" spans="1:24" hidden="1" x14ac:dyDescent="0.35">
      <c r="A866" s="46">
        <f t="shared" si="209"/>
        <v>46160.868803047822</v>
      </c>
      <c r="B866" s="46"/>
      <c r="C866" s="260"/>
      <c r="D866" s="46"/>
      <c r="E866" s="419" t="s">
        <v>5256</v>
      </c>
      <c r="F866" s="453" t="s">
        <v>5497</v>
      </c>
      <c r="G866" s="82" t="s">
        <v>780</v>
      </c>
      <c r="H866" s="98" t="s">
        <v>5498</v>
      </c>
      <c r="I866" s="238" t="s">
        <v>5245</v>
      </c>
      <c r="J866" s="51" t="s">
        <v>140</v>
      </c>
      <c r="K866" s="91">
        <v>0</v>
      </c>
      <c r="L866" s="91">
        <v>0</v>
      </c>
      <c r="M866" s="92">
        <v>45</v>
      </c>
      <c r="N866" s="94">
        <v>1050</v>
      </c>
      <c r="O866" s="92">
        <v>2</v>
      </c>
      <c r="P866" s="94">
        <f t="shared" si="206"/>
        <v>525</v>
      </c>
      <c r="Q866" s="94"/>
      <c r="R866" s="92">
        <v>525</v>
      </c>
      <c r="S866" s="92">
        <f t="shared" si="207"/>
        <v>0</v>
      </c>
      <c r="T866" s="92">
        <f t="shared" si="208"/>
        <v>3840</v>
      </c>
      <c r="U866" s="91">
        <f t="shared" si="204"/>
        <v>0</v>
      </c>
      <c r="V866" s="91">
        <f t="shared" si="205"/>
        <v>0</v>
      </c>
      <c r="W866" s="91">
        <v>0</v>
      </c>
      <c r="X866" s="55">
        <f>A866+K866+L866+V866+W866</f>
        <v>46160.868803047822</v>
      </c>
    </row>
    <row r="867" spans="1:24" ht="39.5" hidden="1" x14ac:dyDescent="0.35">
      <c r="A867" s="46">
        <f t="shared" si="209"/>
        <v>46160.868803047822</v>
      </c>
      <c r="B867" s="46"/>
      <c r="C867" s="260"/>
      <c r="D867" s="46"/>
      <c r="E867" s="47" t="s">
        <v>5256</v>
      </c>
      <c r="F867" s="82" t="s">
        <v>5499</v>
      </c>
      <c r="G867" s="82" t="s">
        <v>327</v>
      </c>
      <c r="H867" s="98" t="s">
        <v>5491</v>
      </c>
      <c r="I867" s="71" t="s">
        <v>3466</v>
      </c>
      <c r="J867" s="100" t="s">
        <v>140</v>
      </c>
      <c r="K867" s="91">
        <v>0</v>
      </c>
      <c r="L867" s="91">
        <v>0</v>
      </c>
      <c r="M867" s="92">
        <v>45</v>
      </c>
      <c r="N867" s="94">
        <v>14000</v>
      </c>
      <c r="O867" s="92">
        <v>2</v>
      </c>
      <c r="P867" s="94">
        <f t="shared" si="206"/>
        <v>7000</v>
      </c>
      <c r="Q867" s="94"/>
      <c r="R867" s="92">
        <v>7000</v>
      </c>
      <c r="S867" s="92">
        <f t="shared" si="207"/>
        <v>0</v>
      </c>
      <c r="T867" s="102">
        <f t="shared" si="208"/>
        <v>3840</v>
      </c>
      <c r="U867" s="101">
        <f t="shared" si="204"/>
        <v>0</v>
      </c>
      <c r="V867" s="101">
        <f t="shared" si="205"/>
        <v>0</v>
      </c>
      <c r="W867" s="101">
        <v>0</v>
      </c>
      <c r="X867" s="696">
        <f>A867+K867+V867+W867+L867</f>
        <v>46160.868803047822</v>
      </c>
    </row>
    <row r="868" spans="1:24" hidden="1" x14ac:dyDescent="0.35">
      <c r="A868" s="123">
        <f t="shared" si="209"/>
        <v>46160.868803047822</v>
      </c>
      <c r="B868" s="123"/>
      <c r="C868" s="190"/>
      <c r="D868" s="123"/>
      <c r="E868" s="978" t="s">
        <v>5256</v>
      </c>
      <c r="F868" s="128" t="s">
        <v>1868</v>
      </c>
      <c r="G868" s="159" t="s">
        <v>327</v>
      </c>
      <c r="H868" s="188" t="s">
        <v>3534</v>
      </c>
      <c r="I868" s="159" t="s">
        <v>3528</v>
      </c>
      <c r="J868" s="175" t="s">
        <v>140</v>
      </c>
      <c r="K868" s="129">
        <v>0</v>
      </c>
      <c r="L868" s="129">
        <v>0</v>
      </c>
      <c r="M868" s="130">
        <v>45</v>
      </c>
      <c r="N868" s="131">
        <f>12866-3017</f>
        <v>9849</v>
      </c>
      <c r="O868" s="130">
        <v>1</v>
      </c>
      <c r="P868" s="131">
        <f t="shared" si="206"/>
        <v>9849</v>
      </c>
      <c r="Q868" s="131"/>
      <c r="R868" s="130">
        <v>9849</v>
      </c>
      <c r="S868" s="130">
        <f t="shared" si="207"/>
        <v>0</v>
      </c>
      <c r="T868" s="164">
        <f t="shared" si="208"/>
        <v>1920</v>
      </c>
      <c r="U868" s="163">
        <f t="shared" si="204"/>
        <v>0</v>
      </c>
      <c r="V868" s="163">
        <f t="shared" si="205"/>
        <v>0</v>
      </c>
      <c r="W868" s="163">
        <v>0</v>
      </c>
      <c r="X868" s="137">
        <f>A868+K868+L868+V868+W868</f>
        <v>46160.868803047822</v>
      </c>
    </row>
    <row r="869" spans="1:24" s="118" customFormat="1" hidden="1" x14ac:dyDescent="0.35">
      <c r="A869" s="46">
        <f t="shared" si="209"/>
        <v>46160.868803047822</v>
      </c>
      <c r="B869" s="46"/>
      <c r="C869" s="260"/>
      <c r="D869" s="46"/>
      <c r="E869" s="419" t="s">
        <v>5256</v>
      </c>
      <c r="F869" s="82" t="s">
        <v>5500</v>
      </c>
      <c r="G869" s="82" t="s">
        <v>3513</v>
      </c>
      <c r="H869" s="98" t="s">
        <v>5501</v>
      </c>
      <c r="I869" s="99" t="s">
        <v>5502</v>
      </c>
      <c r="J869" s="51" t="s">
        <v>140</v>
      </c>
      <c r="K869" s="91">
        <v>0</v>
      </c>
      <c r="L869" s="91">
        <v>0</v>
      </c>
      <c r="M869" s="92">
        <v>40</v>
      </c>
      <c r="N869" s="94">
        <v>5000</v>
      </c>
      <c r="O869" s="92">
        <v>4</v>
      </c>
      <c r="P869" s="94">
        <f t="shared" si="206"/>
        <v>1250</v>
      </c>
      <c r="Q869" s="94"/>
      <c r="R869" s="92">
        <v>1250</v>
      </c>
      <c r="S869" s="92">
        <f t="shared" si="207"/>
        <v>0</v>
      </c>
      <c r="T869" s="92">
        <f t="shared" si="208"/>
        <v>8640</v>
      </c>
      <c r="U869" s="91">
        <f t="shared" si="204"/>
        <v>0</v>
      </c>
      <c r="V869" s="91">
        <f t="shared" si="205"/>
        <v>0</v>
      </c>
      <c r="W869" s="91">
        <v>0</v>
      </c>
      <c r="X869" s="55">
        <f>A869+K869+V869+W869+L869</f>
        <v>46160.868803047822</v>
      </c>
    </row>
    <row r="870" spans="1:24" s="118" customFormat="1" hidden="1" x14ac:dyDescent="0.35">
      <c r="A870" s="46">
        <f t="shared" si="209"/>
        <v>46160.868803047822</v>
      </c>
      <c r="B870" s="46"/>
      <c r="C870" s="260"/>
      <c r="D870" s="46"/>
      <c r="E870" s="47" t="s">
        <v>5256</v>
      </c>
      <c r="F870" s="82" t="s">
        <v>5500</v>
      </c>
      <c r="G870" s="82" t="s">
        <v>3513</v>
      </c>
      <c r="H870" s="98" t="s">
        <v>5503</v>
      </c>
      <c r="I870" s="71" t="s">
        <v>5012</v>
      </c>
      <c r="J870" s="100" t="s">
        <v>140</v>
      </c>
      <c r="K870" s="91">
        <v>0</v>
      </c>
      <c r="L870" s="91">
        <v>0</v>
      </c>
      <c r="M870" s="92">
        <v>40</v>
      </c>
      <c r="N870" s="94">
        <v>5000</v>
      </c>
      <c r="O870" s="92">
        <v>2</v>
      </c>
      <c r="P870" s="103">
        <f t="shared" si="206"/>
        <v>2500</v>
      </c>
      <c r="Q870" s="103"/>
      <c r="R870" s="102">
        <v>2500</v>
      </c>
      <c r="S870" s="92">
        <f t="shared" si="207"/>
        <v>0</v>
      </c>
      <c r="T870" s="102">
        <f t="shared" si="208"/>
        <v>4320</v>
      </c>
      <c r="U870" s="101">
        <f t="shared" si="204"/>
        <v>0</v>
      </c>
      <c r="V870" s="101">
        <f t="shared" si="205"/>
        <v>0</v>
      </c>
      <c r="W870" s="101">
        <v>0</v>
      </c>
      <c r="X870" s="55">
        <f>A870+K870+L870+V870+W870</f>
        <v>46160.868803047822</v>
      </c>
    </row>
    <row r="871" spans="1:24" s="118" customFormat="1" ht="26.5" hidden="1" x14ac:dyDescent="0.35">
      <c r="A871" s="46">
        <f t="shared" si="209"/>
        <v>46160.868803047822</v>
      </c>
      <c r="B871" s="46"/>
      <c r="C871" s="260"/>
      <c r="D871" s="46"/>
      <c r="E871" s="47" t="s">
        <v>5256</v>
      </c>
      <c r="F871" s="82" t="s">
        <v>5500</v>
      </c>
      <c r="G871" s="82" t="s">
        <v>3513</v>
      </c>
      <c r="H871" s="98" t="s">
        <v>5504</v>
      </c>
      <c r="I871" s="71" t="s">
        <v>5505</v>
      </c>
      <c r="J871" s="100" t="s">
        <v>140</v>
      </c>
      <c r="K871" s="91">
        <v>0</v>
      </c>
      <c r="L871" s="91">
        <v>0</v>
      </c>
      <c r="M871" s="92">
        <v>40</v>
      </c>
      <c r="N871" s="94">
        <v>1000</v>
      </c>
      <c r="O871" s="92">
        <v>2</v>
      </c>
      <c r="P871" s="103">
        <f t="shared" si="206"/>
        <v>500</v>
      </c>
      <c r="Q871" s="103"/>
      <c r="R871" s="102">
        <v>500</v>
      </c>
      <c r="S871" s="92">
        <f t="shared" si="207"/>
        <v>0</v>
      </c>
      <c r="T871" s="102">
        <f t="shared" si="208"/>
        <v>4320</v>
      </c>
      <c r="U871" s="101">
        <f t="shared" si="204"/>
        <v>0</v>
      </c>
      <c r="V871" s="101">
        <f t="shared" si="205"/>
        <v>0</v>
      </c>
      <c r="W871" s="101">
        <v>0</v>
      </c>
      <c r="X871" s="55">
        <f>A871+K871+L871+V871+W871</f>
        <v>46160.868803047822</v>
      </c>
    </row>
    <row r="872" spans="1:24" s="118" customFormat="1" hidden="1" x14ac:dyDescent="0.35">
      <c r="A872" s="46">
        <f t="shared" si="209"/>
        <v>46160.868803047822</v>
      </c>
      <c r="B872" s="46"/>
      <c r="C872" s="260"/>
      <c r="D872" s="46"/>
      <c r="E872" s="419" t="s">
        <v>5256</v>
      </c>
      <c r="F872" s="82" t="s">
        <v>5500</v>
      </c>
      <c r="G872" s="82" t="s">
        <v>3513</v>
      </c>
      <c r="H872" s="98" t="s">
        <v>5506</v>
      </c>
      <c r="I872" s="99" t="s">
        <v>5507</v>
      </c>
      <c r="J872" s="51" t="s">
        <v>140</v>
      </c>
      <c r="K872" s="91">
        <v>0</v>
      </c>
      <c r="L872" s="91">
        <v>0</v>
      </c>
      <c r="M872" s="92">
        <v>40</v>
      </c>
      <c r="N872" s="94">
        <v>1000</v>
      </c>
      <c r="O872" s="92">
        <v>4</v>
      </c>
      <c r="P872" s="94">
        <f t="shared" si="206"/>
        <v>250</v>
      </c>
      <c r="Q872" s="94"/>
      <c r="R872" s="92">
        <v>250</v>
      </c>
      <c r="S872" s="92">
        <f t="shared" si="207"/>
        <v>0</v>
      </c>
      <c r="T872" s="92">
        <f t="shared" si="208"/>
        <v>8640</v>
      </c>
      <c r="U872" s="91">
        <f t="shared" si="204"/>
        <v>0</v>
      </c>
      <c r="V872" s="91">
        <f t="shared" si="205"/>
        <v>0</v>
      </c>
      <c r="W872" s="91">
        <v>0</v>
      </c>
      <c r="X872" s="55">
        <f>A872+K872+V872+W872+L872</f>
        <v>46160.868803047822</v>
      </c>
    </row>
    <row r="873" spans="1:24" hidden="1" x14ac:dyDescent="0.35">
      <c r="A873" s="46">
        <f t="shared" si="209"/>
        <v>46160.868803047822</v>
      </c>
      <c r="B873" s="46"/>
      <c r="C873" s="260"/>
      <c r="D873" s="46"/>
      <c r="E873" s="47" t="s">
        <v>5256</v>
      </c>
      <c r="F873" s="82" t="s">
        <v>5508</v>
      </c>
      <c r="G873" s="82" t="s">
        <v>792</v>
      </c>
      <c r="H873" s="107" t="s">
        <v>5509</v>
      </c>
      <c r="I873" s="69" t="s">
        <v>5271</v>
      </c>
      <c r="J873" s="51" t="s">
        <v>140</v>
      </c>
      <c r="K873" s="91">
        <v>0</v>
      </c>
      <c r="L873" s="91">
        <v>0</v>
      </c>
      <c r="M873" s="92">
        <v>35</v>
      </c>
      <c r="N873" s="94">
        <v>3000</v>
      </c>
      <c r="O873" s="92">
        <v>2</v>
      </c>
      <c r="P873" s="94">
        <f t="shared" si="206"/>
        <v>1500</v>
      </c>
      <c r="Q873" s="94"/>
      <c r="R873" s="92">
        <v>1500</v>
      </c>
      <c r="S873" s="92">
        <f t="shared" si="207"/>
        <v>0</v>
      </c>
      <c r="T873" s="92">
        <f t="shared" si="208"/>
        <v>4937.1428571428569</v>
      </c>
      <c r="U873" s="91">
        <f t="shared" ref="U873:U900" si="210">(P873-R873)*M873/3600</f>
        <v>0</v>
      </c>
      <c r="V873" s="91">
        <f t="shared" ref="V873:V900" si="211">(P873-R873)*M873/3600/24</f>
        <v>0</v>
      </c>
      <c r="W873" s="91">
        <v>0</v>
      </c>
      <c r="X873" s="55">
        <f>A873+K873+L873+V873+W873</f>
        <v>46160.868803047822</v>
      </c>
    </row>
    <row r="874" spans="1:24" ht="39.5" hidden="1" x14ac:dyDescent="0.35">
      <c r="A874" s="46">
        <f t="shared" si="209"/>
        <v>46160.868803047822</v>
      </c>
      <c r="B874" s="46"/>
      <c r="C874" s="260"/>
      <c r="D874" s="46"/>
      <c r="E874" s="47" t="s">
        <v>5256</v>
      </c>
      <c r="F874" s="97" t="s">
        <v>501</v>
      </c>
      <c r="G874" s="97" t="s">
        <v>356</v>
      </c>
      <c r="H874" s="98" t="s">
        <v>5510</v>
      </c>
      <c r="I874" s="82" t="s">
        <v>4414</v>
      </c>
      <c r="J874" s="51" t="s">
        <v>140</v>
      </c>
      <c r="K874" s="91">
        <v>0</v>
      </c>
      <c r="L874" s="91">
        <v>0</v>
      </c>
      <c r="M874" s="92">
        <v>40</v>
      </c>
      <c r="N874" s="94">
        <v>500</v>
      </c>
      <c r="O874" s="92">
        <v>1</v>
      </c>
      <c r="P874" s="94">
        <f t="shared" si="206"/>
        <v>500</v>
      </c>
      <c r="Q874" s="94"/>
      <c r="R874" s="92">
        <v>500</v>
      </c>
      <c r="S874" s="92">
        <f t="shared" si="207"/>
        <v>0</v>
      </c>
      <c r="T874" s="92">
        <f t="shared" si="208"/>
        <v>2160</v>
      </c>
      <c r="U874" s="91">
        <f t="shared" si="210"/>
        <v>0</v>
      </c>
      <c r="V874" s="91">
        <f t="shared" si="211"/>
        <v>0</v>
      </c>
      <c r="W874" s="91">
        <v>0</v>
      </c>
      <c r="X874" s="55">
        <f>A874+K874+V874+W874+L874</f>
        <v>46160.868803047822</v>
      </c>
    </row>
    <row r="875" spans="1:24" ht="39.5" hidden="1" x14ac:dyDescent="0.35">
      <c r="A875" s="46">
        <f t="shared" si="209"/>
        <v>46160.868803047822</v>
      </c>
      <c r="B875" s="46"/>
      <c r="C875" s="260"/>
      <c r="D875" s="46"/>
      <c r="E875" s="47" t="s">
        <v>5256</v>
      </c>
      <c r="F875" s="97" t="s">
        <v>501</v>
      </c>
      <c r="G875" s="97" t="s">
        <v>792</v>
      </c>
      <c r="H875" s="98" t="s">
        <v>5511</v>
      </c>
      <c r="I875" s="69" t="s">
        <v>4417</v>
      </c>
      <c r="J875" s="51" t="s">
        <v>140</v>
      </c>
      <c r="K875" s="91">
        <v>0</v>
      </c>
      <c r="L875" s="91">
        <v>0</v>
      </c>
      <c r="M875" s="92">
        <v>40</v>
      </c>
      <c r="N875" s="94">
        <v>500</v>
      </c>
      <c r="O875" s="92">
        <v>1</v>
      </c>
      <c r="P875" s="94">
        <f t="shared" si="206"/>
        <v>500</v>
      </c>
      <c r="Q875" s="94"/>
      <c r="R875" s="92">
        <v>500</v>
      </c>
      <c r="S875" s="92">
        <f t="shared" si="207"/>
        <v>0</v>
      </c>
      <c r="T875" s="92">
        <f t="shared" si="208"/>
        <v>2160</v>
      </c>
      <c r="U875" s="91">
        <f t="shared" si="210"/>
        <v>0</v>
      </c>
      <c r="V875" s="91">
        <f t="shared" si="211"/>
        <v>0</v>
      </c>
      <c r="W875" s="91">
        <v>0</v>
      </c>
      <c r="X875" s="55">
        <f>A875+K875+V875+W875+L875</f>
        <v>46160.868803047822</v>
      </c>
    </row>
    <row r="876" spans="1:24" ht="39.5" hidden="1" x14ac:dyDescent="0.35">
      <c r="A876" s="46">
        <f t="shared" si="209"/>
        <v>46160.868803047822</v>
      </c>
      <c r="B876" s="46"/>
      <c r="C876" s="260"/>
      <c r="D876" s="46"/>
      <c r="E876" s="47" t="s">
        <v>5256</v>
      </c>
      <c r="F876" s="82"/>
      <c r="G876" s="82" t="s">
        <v>792</v>
      </c>
      <c r="H876" s="98" t="s">
        <v>5491</v>
      </c>
      <c r="I876" s="71" t="s">
        <v>3466</v>
      </c>
      <c r="J876" s="100" t="s">
        <v>140</v>
      </c>
      <c r="K876" s="91">
        <v>0</v>
      </c>
      <c r="L876" s="91">
        <v>0</v>
      </c>
      <c r="M876" s="92">
        <v>45</v>
      </c>
      <c r="N876" s="94">
        <v>15000</v>
      </c>
      <c r="O876" s="92">
        <v>2</v>
      </c>
      <c r="P876" s="94">
        <f t="shared" si="206"/>
        <v>7500</v>
      </c>
      <c r="Q876" s="94"/>
      <c r="R876" s="92">
        <v>7500</v>
      </c>
      <c r="S876" s="92">
        <f t="shared" si="207"/>
        <v>0</v>
      </c>
      <c r="T876" s="102">
        <f t="shared" si="208"/>
        <v>3840</v>
      </c>
      <c r="U876" s="101">
        <f t="shared" si="210"/>
        <v>0</v>
      </c>
      <c r="V876" s="101">
        <f t="shared" si="211"/>
        <v>0</v>
      </c>
      <c r="W876" s="101">
        <v>0</v>
      </c>
      <c r="X876" s="696">
        <f>A876+K876+V876+W876+L876</f>
        <v>46160.868803047822</v>
      </c>
    </row>
    <row r="877" spans="1:24" hidden="1" x14ac:dyDescent="0.35">
      <c r="A877" s="46">
        <f t="shared" si="209"/>
        <v>46160.868803047822</v>
      </c>
      <c r="B877" s="46"/>
      <c r="C877" s="260"/>
      <c r="D877" s="46"/>
      <c r="E877" s="419" t="s">
        <v>5256</v>
      </c>
      <c r="F877" s="51" t="s">
        <v>3498</v>
      </c>
      <c r="G877" s="82" t="s">
        <v>327</v>
      </c>
      <c r="H877" s="107" t="s">
        <v>5489</v>
      </c>
      <c r="I877" s="82" t="s">
        <v>3528</v>
      </c>
      <c r="J877" s="100" t="s">
        <v>140</v>
      </c>
      <c r="K877" s="91">
        <v>0</v>
      </c>
      <c r="L877" s="91">
        <v>0</v>
      </c>
      <c r="M877" s="92">
        <v>45</v>
      </c>
      <c r="N877" s="94">
        <v>6565</v>
      </c>
      <c r="O877" s="92">
        <v>1</v>
      </c>
      <c r="P877" s="94">
        <f t="shared" si="206"/>
        <v>6565</v>
      </c>
      <c r="Q877" s="94"/>
      <c r="R877" s="92">
        <v>6565</v>
      </c>
      <c r="S877" s="92">
        <f t="shared" si="207"/>
        <v>0</v>
      </c>
      <c r="T877" s="102">
        <f t="shared" si="208"/>
        <v>1920</v>
      </c>
      <c r="U877" s="101">
        <f t="shared" si="210"/>
        <v>0</v>
      </c>
      <c r="V877" s="101">
        <f t="shared" si="211"/>
        <v>0</v>
      </c>
      <c r="W877" s="101">
        <v>0</v>
      </c>
      <c r="X877" s="55">
        <f>A877+K877+L877+V877+W877</f>
        <v>46160.868803047822</v>
      </c>
    </row>
    <row r="878" spans="1:24" hidden="1" x14ac:dyDescent="0.35">
      <c r="A878" s="46">
        <f t="shared" si="209"/>
        <v>46160.868803047822</v>
      </c>
      <c r="B878" s="46"/>
      <c r="C878" s="260"/>
      <c r="D878" s="46"/>
      <c r="E878" s="47" t="s">
        <v>5256</v>
      </c>
      <c r="F878" s="97"/>
      <c r="G878" s="97" t="s">
        <v>792</v>
      </c>
      <c r="H878" s="98" t="s">
        <v>5512</v>
      </c>
      <c r="I878" s="82" t="s">
        <v>3468</v>
      </c>
      <c r="J878" s="51" t="s">
        <v>140</v>
      </c>
      <c r="K878" s="91">
        <v>0</v>
      </c>
      <c r="L878" s="91">
        <v>0</v>
      </c>
      <c r="M878" s="92">
        <v>20</v>
      </c>
      <c r="N878" s="94">
        <v>80000</v>
      </c>
      <c r="O878" s="92">
        <v>8</v>
      </c>
      <c r="P878" s="94">
        <f t="shared" si="206"/>
        <v>10000</v>
      </c>
      <c r="Q878" s="94"/>
      <c r="R878" s="92">
        <v>10000</v>
      </c>
      <c r="S878" s="92">
        <f t="shared" si="207"/>
        <v>0</v>
      </c>
      <c r="T878" s="92">
        <f t="shared" si="208"/>
        <v>34560</v>
      </c>
      <c r="U878" s="91">
        <f t="shared" si="210"/>
        <v>0</v>
      </c>
      <c r="V878" s="91">
        <f t="shared" si="211"/>
        <v>0</v>
      </c>
      <c r="W878" s="91">
        <v>0</v>
      </c>
      <c r="X878" s="55">
        <f>A878+K878+L878+V878+W878</f>
        <v>46160.868803047822</v>
      </c>
    </row>
    <row r="879" spans="1:24" hidden="1" x14ac:dyDescent="0.35">
      <c r="A879" s="46">
        <f t="shared" si="209"/>
        <v>46160.868803047822</v>
      </c>
      <c r="B879" s="46"/>
      <c r="C879" s="260"/>
      <c r="D879" s="46"/>
      <c r="E879" s="47" t="s">
        <v>4395</v>
      </c>
      <c r="F879" s="82" t="s">
        <v>5060</v>
      </c>
      <c r="G879" s="82" t="s">
        <v>792</v>
      </c>
      <c r="H879" s="107" t="s">
        <v>5513</v>
      </c>
      <c r="I879" s="390" t="s">
        <v>5514</v>
      </c>
      <c r="J879" s="100" t="s">
        <v>140</v>
      </c>
      <c r="K879" s="91">
        <v>0</v>
      </c>
      <c r="L879" s="91">
        <v>0</v>
      </c>
      <c r="M879" s="92">
        <v>45</v>
      </c>
      <c r="N879" s="94">
        <v>6000</v>
      </c>
      <c r="O879" s="94">
        <v>2</v>
      </c>
      <c r="P879" s="94">
        <f t="shared" si="206"/>
        <v>3000</v>
      </c>
      <c r="Q879" s="94"/>
      <c r="R879" s="92">
        <v>3000</v>
      </c>
      <c r="S879" s="92">
        <f t="shared" si="207"/>
        <v>0</v>
      </c>
      <c r="T879" s="102">
        <f t="shared" si="208"/>
        <v>3840</v>
      </c>
      <c r="U879" s="101">
        <f t="shared" si="210"/>
        <v>0</v>
      </c>
      <c r="V879" s="101">
        <f t="shared" si="211"/>
        <v>0</v>
      </c>
      <c r="W879" s="101">
        <v>0</v>
      </c>
      <c r="X879" s="55">
        <f>A879+K879+V879+W879+L879</f>
        <v>46160.868803047822</v>
      </c>
    </row>
    <row r="880" spans="1:24" hidden="1" x14ac:dyDescent="0.35">
      <c r="A880" s="46">
        <f t="shared" si="209"/>
        <v>46160.868803047822</v>
      </c>
      <c r="B880" s="46"/>
      <c r="C880" s="260"/>
      <c r="D880" s="46"/>
      <c r="E880" s="47" t="s">
        <v>4395</v>
      </c>
      <c r="F880" s="82" t="s">
        <v>5515</v>
      </c>
      <c r="G880" s="82" t="s">
        <v>792</v>
      </c>
      <c r="H880" s="107" t="s">
        <v>5516</v>
      </c>
      <c r="I880" s="390" t="s">
        <v>5517</v>
      </c>
      <c r="J880" s="100" t="s">
        <v>140</v>
      </c>
      <c r="K880" s="91">
        <v>0</v>
      </c>
      <c r="L880" s="91">
        <v>0</v>
      </c>
      <c r="M880" s="92">
        <v>45</v>
      </c>
      <c r="N880" s="94">
        <v>6000</v>
      </c>
      <c r="O880" s="92">
        <v>4</v>
      </c>
      <c r="P880" s="94">
        <f t="shared" si="206"/>
        <v>1500</v>
      </c>
      <c r="Q880" s="94"/>
      <c r="R880" s="92">
        <v>1500</v>
      </c>
      <c r="S880" s="92">
        <f t="shared" si="207"/>
        <v>0</v>
      </c>
      <c r="T880" s="102">
        <f t="shared" si="208"/>
        <v>7680</v>
      </c>
      <c r="U880" s="101">
        <f t="shared" si="210"/>
        <v>0</v>
      </c>
      <c r="V880" s="101">
        <f t="shared" si="211"/>
        <v>0</v>
      </c>
      <c r="W880" s="101">
        <v>0</v>
      </c>
      <c r="X880" s="55">
        <f>A880+K880+V880+W880+L880</f>
        <v>46160.868803047822</v>
      </c>
    </row>
    <row r="881" spans="1:24" hidden="1" x14ac:dyDescent="0.35">
      <c r="A881" s="295">
        <f t="shared" si="209"/>
        <v>46160.868803047822</v>
      </c>
      <c r="B881" s="295"/>
      <c r="C881" s="979"/>
      <c r="D881" s="295"/>
      <c r="E881" s="296" t="s">
        <v>5256</v>
      </c>
      <c r="F881" s="366" t="s">
        <v>14</v>
      </c>
      <c r="G881" s="366"/>
      <c r="H881" s="298" t="s">
        <v>14</v>
      </c>
      <c r="I881" s="366" t="s">
        <v>5518</v>
      </c>
      <c r="J881" s="351" t="s">
        <v>140</v>
      </c>
      <c r="K881" s="352">
        <v>0</v>
      </c>
      <c r="L881" s="352">
        <v>0</v>
      </c>
      <c r="M881" s="353">
        <v>60</v>
      </c>
      <c r="N881" s="353">
        <v>50</v>
      </c>
      <c r="O881" s="353">
        <v>2</v>
      </c>
      <c r="P881" s="353">
        <f t="shared" si="206"/>
        <v>25</v>
      </c>
      <c r="Q881" s="353"/>
      <c r="R881" s="353">
        <v>25</v>
      </c>
      <c r="S881" s="353">
        <f t="shared" si="207"/>
        <v>0</v>
      </c>
      <c r="T881" s="353">
        <f t="shared" si="208"/>
        <v>2880</v>
      </c>
      <c r="U881" s="352">
        <f t="shared" si="210"/>
        <v>0</v>
      </c>
      <c r="V881" s="352">
        <f t="shared" si="211"/>
        <v>0</v>
      </c>
      <c r="W881" s="352">
        <v>0</v>
      </c>
      <c r="X881" s="308">
        <f t="shared" ref="X881:X891" si="212">A881+K881+L881+V881+W881</f>
        <v>46160.868803047822</v>
      </c>
    </row>
    <row r="882" spans="1:24" s="118" customFormat="1" hidden="1" x14ac:dyDescent="0.35">
      <c r="A882" s="46">
        <f t="shared" si="209"/>
        <v>46160.868803047822</v>
      </c>
      <c r="B882" s="46"/>
      <c r="C882" s="260"/>
      <c r="D882" s="46"/>
      <c r="E882" s="47" t="s">
        <v>5256</v>
      </c>
      <c r="F882" s="100" t="s">
        <v>355</v>
      </c>
      <c r="G882" s="830" t="s">
        <v>3513</v>
      </c>
      <c r="H882" s="98" t="s">
        <v>3520</v>
      </c>
      <c r="I882" s="71" t="s">
        <v>3481</v>
      </c>
      <c r="J882" s="100" t="s">
        <v>140</v>
      </c>
      <c r="K882" s="91">
        <v>0</v>
      </c>
      <c r="L882" s="91">
        <v>0</v>
      </c>
      <c r="M882" s="92">
        <v>40</v>
      </c>
      <c r="N882" s="94">
        <v>8000</v>
      </c>
      <c r="O882" s="92">
        <v>1</v>
      </c>
      <c r="P882" s="94">
        <f t="shared" si="206"/>
        <v>8000</v>
      </c>
      <c r="Q882" s="94"/>
      <c r="R882" s="92">
        <v>8000</v>
      </c>
      <c r="S882" s="94">
        <f t="shared" si="207"/>
        <v>0</v>
      </c>
      <c r="T882" s="102">
        <f t="shared" si="208"/>
        <v>2160</v>
      </c>
      <c r="U882" s="101">
        <f t="shared" si="210"/>
        <v>0</v>
      </c>
      <c r="V882" s="101">
        <f t="shared" si="211"/>
        <v>0</v>
      </c>
      <c r="W882" s="101">
        <v>0</v>
      </c>
      <c r="X882" s="55">
        <f t="shared" si="212"/>
        <v>46160.868803047822</v>
      </c>
    </row>
    <row r="883" spans="1:24" hidden="1" x14ac:dyDescent="0.35">
      <c r="A883" s="46">
        <f t="shared" si="209"/>
        <v>46160.868803047822</v>
      </c>
      <c r="B883" s="46"/>
      <c r="C883" s="260"/>
      <c r="D883" s="46"/>
      <c r="E883" s="419" t="s">
        <v>5256</v>
      </c>
      <c r="F883" s="51" t="s">
        <v>1868</v>
      </c>
      <c r="G883" s="82" t="s">
        <v>327</v>
      </c>
      <c r="H883" s="107" t="s">
        <v>3534</v>
      </c>
      <c r="I883" s="82" t="s">
        <v>3528</v>
      </c>
      <c r="J883" s="100" t="s">
        <v>140</v>
      </c>
      <c r="K883" s="91">
        <v>0</v>
      </c>
      <c r="L883" s="91">
        <v>0</v>
      </c>
      <c r="M883" s="92">
        <v>45</v>
      </c>
      <c r="N883" s="94">
        <v>4500</v>
      </c>
      <c r="O883" s="92">
        <v>1</v>
      </c>
      <c r="P883" s="94">
        <f t="shared" si="206"/>
        <v>4500</v>
      </c>
      <c r="Q883" s="94"/>
      <c r="R883" s="92">
        <v>4500</v>
      </c>
      <c r="S883" s="92">
        <f t="shared" si="207"/>
        <v>0</v>
      </c>
      <c r="T883" s="102">
        <f t="shared" si="208"/>
        <v>1920</v>
      </c>
      <c r="U883" s="101">
        <f t="shared" si="210"/>
        <v>0</v>
      </c>
      <c r="V883" s="101">
        <f t="shared" si="211"/>
        <v>0</v>
      </c>
      <c r="W883" s="101">
        <v>0</v>
      </c>
      <c r="X883" s="55">
        <f t="shared" si="212"/>
        <v>46160.868803047822</v>
      </c>
    </row>
    <row r="884" spans="1:24" hidden="1" x14ac:dyDescent="0.35">
      <c r="A884" s="46">
        <f t="shared" si="209"/>
        <v>46160.868803047822</v>
      </c>
      <c r="B884" s="46"/>
      <c r="C884" s="260"/>
      <c r="D884" s="46"/>
      <c r="E884" s="47" t="s">
        <v>5256</v>
      </c>
      <c r="F884" s="97" t="s">
        <v>5126</v>
      </c>
      <c r="G884" s="97" t="s">
        <v>356</v>
      </c>
      <c r="H884" s="98" t="s">
        <v>5519</v>
      </c>
      <c r="I884" s="69" t="s">
        <v>5481</v>
      </c>
      <c r="J884" s="51" t="s">
        <v>140</v>
      </c>
      <c r="K884" s="91">
        <v>0</v>
      </c>
      <c r="L884" s="91">
        <v>0</v>
      </c>
      <c r="M884" s="92">
        <v>25</v>
      </c>
      <c r="N884" s="94">
        <v>2000</v>
      </c>
      <c r="O884" s="92">
        <v>1</v>
      </c>
      <c r="P884" s="94">
        <f t="shared" si="206"/>
        <v>2000</v>
      </c>
      <c r="Q884" s="94"/>
      <c r="R884" s="92">
        <v>2000</v>
      </c>
      <c r="S884" s="92">
        <f t="shared" si="207"/>
        <v>0</v>
      </c>
      <c r="T884" s="92">
        <f t="shared" si="208"/>
        <v>3456</v>
      </c>
      <c r="U884" s="91">
        <f t="shared" si="210"/>
        <v>0</v>
      </c>
      <c r="V884" s="91">
        <f t="shared" si="211"/>
        <v>0</v>
      </c>
      <c r="W884" s="91">
        <v>0</v>
      </c>
      <c r="X884" s="55">
        <f t="shared" si="212"/>
        <v>46160.868803047822</v>
      </c>
    </row>
    <row r="885" spans="1:24" hidden="1" x14ac:dyDescent="0.35">
      <c r="A885" s="46">
        <f t="shared" si="209"/>
        <v>46160.868803047822</v>
      </c>
      <c r="B885" s="46"/>
      <c r="C885" s="260"/>
      <c r="D885" s="46"/>
      <c r="E885" s="47" t="s">
        <v>5256</v>
      </c>
      <c r="F885" s="97" t="s">
        <v>5126</v>
      </c>
      <c r="G885" s="97" t="s">
        <v>356</v>
      </c>
      <c r="H885" s="98" t="s">
        <v>5513</v>
      </c>
      <c r="I885" s="82" t="s">
        <v>5483</v>
      </c>
      <c r="J885" s="100" t="s">
        <v>140</v>
      </c>
      <c r="K885" s="91">
        <v>0</v>
      </c>
      <c r="L885" s="91">
        <v>0</v>
      </c>
      <c r="M885" s="92">
        <v>30</v>
      </c>
      <c r="N885" s="94">
        <v>6000</v>
      </c>
      <c r="O885" s="92">
        <v>4</v>
      </c>
      <c r="P885" s="94">
        <f t="shared" si="206"/>
        <v>1500</v>
      </c>
      <c r="Q885" s="94"/>
      <c r="R885" s="102">
        <v>1500</v>
      </c>
      <c r="S885" s="92">
        <f t="shared" si="207"/>
        <v>0</v>
      </c>
      <c r="T885" s="102">
        <f t="shared" si="208"/>
        <v>11520</v>
      </c>
      <c r="U885" s="101">
        <f t="shared" si="210"/>
        <v>0</v>
      </c>
      <c r="V885" s="101">
        <f t="shared" si="211"/>
        <v>0</v>
      </c>
      <c r="W885" s="101">
        <v>0</v>
      </c>
      <c r="X885" s="55">
        <f t="shared" si="212"/>
        <v>46160.868803047822</v>
      </c>
    </row>
    <row r="886" spans="1:24" hidden="1" x14ac:dyDescent="0.35">
      <c r="A886" s="46">
        <f t="shared" si="209"/>
        <v>46160.868803047822</v>
      </c>
      <c r="B886" s="46"/>
      <c r="C886" s="260"/>
      <c r="D886" s="46"/>
      <c r="E886" s="47" t="s">
        <v>5256</v>
      </c>
      <c r="F886" s="99" t="s">
        <v>5520</v>
      </c>
      <c r="G886" s="99" t="s">
        <v>792</v>
      </c>
      <c r="H886" s="98" t="s">
        <v>5521</v>
      </c>
      <c r="I886" s="97" t="s">
        <v>5522</v>
      </c>
      <c r="J886" s="51" t="s">
        <v>140</v>
      </c>
      <c r="K886" s="91">
        <v>0</v>
      </c>
      <c r="L886" s="91">
        <v>0</v>
      </c>
      <c r="M886" s="92">
        <v>30</v>
      </c>
      <c r="N886" s="94">
        <v>50000</v>
      </c>
      <c r="O886" s="92">
        <v>5</v>
      </c>
      <c r="P886" s="94">
        <f t="shared" si="206"/>
        <v>10000</v>
      </c>
      <c r="Q886" s="94"/>
      <c r="R886" s="92">
        <v>10000</v>
      </c>
      <c r="S886" s="92">
        <f t="shared" si="207"/>
        <v>0</v>
      </c>
      <c r="T886" s="92">
        <f t="shared" si="208"/>
        <v>14400</v>
      </c>
      <c r="U886" s="91">
        <f t="shared" si="210"/>
        <v>0</v>
      </c>
      <c r="V886" s="91">
        <f t="shared" si="211"/>
        <v>0</v>
      </c>
      <c r="W886" s="91">
        <v>0</v>
      </c>
      <c r="X886" s="55">
        <f t="shared" si="212"/>
        <v>46160.868803047822</v>
      </c>
    </row>
    <row r="887" spans="1:24" hidden="1" x14ac:dyDescent="0.35">
      <c r="A887" s="46">
        <f t="shared" si="209"/>
        <v>46160.868803047822</v>
      </c>
      <c r="B887" s="46"/>
      <c r="C887" s="260"/>
      <c r="D887" s="46"/>
      <c r="E887" s="47" t="s">
        <v>5256</v>
      </c>
      <c r="F887" s="99" t="s">
        <v>809</v>
      </c>
      <c r="G887" s="99" t="s">
        <v>359</v>
      </c>
      <c r="H887" s="107" t="s">
        <v>5523</v>
      </c>
      <c r="I887" s="82" t="s">
        <v>5029</v>
      </c>
      <c r="J887" s="100" t="s">
        <v>140</v>
      </c>
      <c r="K887" s="91">
        <v>0</v>
      </c>
      <c r="L887" s="91">
        <v>0</v>
      </c>
      <c r="M887" s="345">
        <v>60</v>
      </c>
      <c r="N887" s="94">
        <v>6000</v>
      </c>
      <c r="O887" s="92">
        <v>2</v>
      </c>
      <c r="P887" s="94">
        <f t="shared" si="206"/>
        <v>3000</v>
      </c>
      <c r="Q887" s="94"/>
      <c r="R887" s="92">
        <v>3000</v>
      </c>
      <c r="S887" s="92">
        <f t="shared" si="207"/>
        <v>0</v>
      </c>
      <c r="T887" s="102">
        <f t="shared" si="208"/>
        <v>2880</v>
      </c>
      <c r="U887" s="101">
        <f t="shared" si="210"/>
        <v>0</v>
      </c>
      <c r="V887" s="101">
        <f t="shared" si="211"/>
        <v>0</v>
      </c>
      <c r="W887" s="101">
        <v>0</v>
      </c>
      <c r="X887" s="55">
        <f t="shared" si="212"/>
        <v>46160.868803047822</v>
      </c>
    </row>
    <row r="888" spans="1:24" hidden="1" x14ac:dyDescent="0.35">
      <c r="A888" s="46">
        <f t="shared" si="209"/>
        <v>46160.868803047822</v>
      </c>
      <c r="B888" s="46"/>
      <c r="C888" s="260"/>
      <c r="D888" s="46"/>
      <c r="E888" s="47" t="s">
        <v>5256</v>
      </c>
      <c r="F888" s="51" t="s">
        <v>3533</v>
      </c>
      <c r="G888" s="82" t="s">
        <v>359</v>
      </c>
      <c r="H888" s="107" t="s">
        <v>5524</v>
      </c>
      <c r="I888" s="82" t="s">
        <v>3528</v>
      </c>
      <c r="J888" s="100" t="s">
        <v>140</v>
      </c>
      <c r="K888" s="91">
        <v>0</v>
      </c>
      <c r="L888" s="91">
        <v>0</v>
      </c>
      <c r="M888" s="92">
        <v>45</v>
      </c>
      <c r="N888" s="94">
        <v>7571</v>
      </c>
      <c r="O888" s="92">
        <v>1</v>
      </c>
      <c r="P888" s="94">
        <f t="shared" si="206"/>
        <v>7571</v>
      </c>
      <c r="Q888" s="94"/>
      <c r="R888" s="92">
        <v>7571</v>
      </c>
      <c r="S888" s="92">
        <f t="shared" si="207"/>
        <v>0</v>
      </c>
      <c r="T888" s="102">
        <f t="shared" si="208"/>
        <v>1920</v>
      </c>
      <c r="U888" s="101">
        <f t="shared" si="210"/>
        <v>0</v>
      </c>
      <c r="V888" s="101">
        <f t="shared" si="211"/>
        <v>0</v>
      </c>
      <c r="W888" s="101">
        <v>0</v>
      </c>
      <c r="X888" s="55">
        <f t="shared" si="212"/>
        <v>46160.868803047822</v>
      </c>
    </row>
    <row r="889" spans="1:24" hidden="1" x14ac:dyDescent="0.35">
      <c r="A889" s="46">
        <f t="shared" si="209"/>
        <v>46160.868803047822</v>
      </c>
      <c r="B889" s="46"/>
      <c r="C889" s="260"/>
      <c r="D889" s="46"/>
      <c r="E889" s="47" t="s">
        <v>5256</v>
      </c>
      <c r="F889" s="51" t="s">
        <v>1868</v>
      </c>
      <c r="G889" s="97" t="s">
        <v>792</v>
      </c>
      <c r="H889" s="98" t="s">
        <v>5512</v>
      </c>
      <c r="I889" s="82" t="s">
        <v>3468</v>
      </c>
      <c r="J889" s="51" t="s">
        <v>140</v>
      </c>
      <c r="K889" s="91">
        <v>0</v>
      </c>
      <c r="L889" s="91">
        <v>0</v>
      </c>
      <c r="M889" s="92">
        <v>20</v>
      </c>
      <c r="N889" s="94">
        <v>125000</v>
      </c>
      <c r="O889" s="92">
        <v>8</v>
      </c>
      <c r="P889" s="94">
        <f t="shared" si="206"/>
        <v>15625</v>
      </c>
      <c r="Q889" s="94"/>
      <c r="R889" s="92">
        <v>15625</v>
      </c>
      <c r="S889" s="92">
        <f t="shared" si="207"/>
        <v>0</v>
      </c>
      <c r="T889" s="92">
        <f t="shared" si="208"/>
        <v>34560</v>
      </c>
      <c r="U889" s="91">
        <f t="shared" si="210"/>
        <v>0</v>
      </c>
      <c r="V889" s="91">
        <f t="shared" si="211"/>
        <v>0</v>
      </c>
      <c r="W889" s="91">
        <v>0</v>
      </c>
      <c r="X889" s="55">
        <f t="shared" si="212"/>
        <v>46160.868803047822</v>
      </c>
    </row>
    <row r="890" spans="1:24" ht="26.5" hidden="1" x14ac:dyDescent="0.35">
      <c r="A890" s="46">
        <f t="shared" si="209"/>
        <v>46160.868803047822</v>
      </c>
      <c r="B890" s="46"/>
      <c r="C890" s="260"/>
      <c r="D890" s="46"/>
      <c r="E890" s="47" t="s">
        <v>5256</v>
      </c>
      <c r="F890" s="82" t="s">
        <v>3476</v>
      </c>
      <c r="G890" s="82" t="s">
        <v>359</v>
      </c>
      <c r="H890" s="98" t="s">
        <v>5525</v>
      </c>
      <c r="I890" s="82" t="s">
        <v>3478</v>
      </c>
      <c r="J890" s="100" t="s">
        <v>140</v>
      </c>
      <c r="K890" s="91">
        <v>0</v>
      </c>
      <c r="L890" s="91">
        <v>0</v>
      </c>
      <c r="M890" s="92">
        <v>40</v>
      </c>
      <c r="N890" s="94">
        <v>10000</v>
      </c>
      <c r="O890" s="92">
        <v>2</v>
      </c>
      <c r="P890" s="94">
        <f t="shared" si="206"/>
        <v>5000</v>
      </c>
      <c r="Q890" s="94"/>
      <c r="R890" s="92">
        <v>5000</v>
      </c>
      <c r="S890" s="92">
        <f t="shared" si="207"/>
        <v>0</v>
      </c>
      <c r="T890" s="102">
        <f t="shared" si="208"/>
        <v>4320</v>
      </c>
      <c r="U890" s="101">
        <f t="shared" si="210"/>
        <v>0</v>
      </c>
      <c r="V890" s="101">
        <f t="shared" si="211"/>
        <v>0</v>
      </c>
      <c r="W890" s="101">
        <v>0</v>
      </c>
      <c r="X890" s="55">
        <f t="shared" si="212"/>
        <v>46160.868803047822</v>
      </c>
    </row>
    <row r="891" spans="1:24" hidden="1" x14ac:dyDescent="0.35">
      <c r="A891" s="295">
        <f t="shared" si="209"/>
        <v>46160.868803047822</v>
      </c>
      <c r="B891" s="295"/>
      <c r="C891" s="979"/>
      <c r="D891" s="295"/>
      <c r="E891" s="296" t="s">
        <v>5256</v>
      </c>
      <c r="F891" s="351" t="s">
        <v>14</v>
      </c>
      <c r="G891" s="366" t="s">
        <v>14</v>
      </c>
      <c r="H891" s="298" t="s">
        <v>5512</v>
      </c>
      <c r="I891" s="980" t="s">
        <v>5163</v>
      </c>
      <c r="J891" s="351" t="s">
        <v>140</v>
      </c>
      <c r="K891" s="352">
        <v>0.25</v>
      </c>
      <c r="L891" s="352">
        <v>0.2</v>
      </c>
      <c r="M891" s="353">
        <v>20</v>
      </c>
      <c r="N891" s="354">
        <v>200</v>
      </c>
      <c r="O891" s="353">
        <v>15</v>
      </c>
      <c r="P891" s="354">
        <f t="shared" si="206"/>
        <v>13.333333333333334</v>
      </c>
      <c r="Q891" s="354"/>
      <c r="R891" s="353">
        <v>13</v>
      </c>
      <c r="S891" s="353">
        <f t="shared" si="207"/>
        <v>0.33333333333333393</v>
      </c>
      <c r="T891" s="353">
        <f t="shared" si="208"/>
        <v>64800</v>
      </c>
      <c r="U891" s="352">
        <f t="shared" si="210"/>
        <v>1.8518518518518552E-3</v>
      </c>
      <c r="V891" s="352">
        <f t="shared" si="211"/>
        <v>7.7160493827160628E-5</v>
      </c>
      <c r="W891" s="352">
        <v>0</v>
      </c>
      <c r="X891" s="308">
        <f t="shared" si="212"/>
        <v>46161.318880208317</v>
      </c>
    </row>
    <row r="892" spans="1:24" ht="39.5" hidden="1" x14ac:dyDescent="0.35">
      <c r="A892" s="46">
        <f t="shared" si="209"/>
        <v>46161.318880208317</v>
      </c>
      <c r="B892" s="46"/>
      <c r="C892" s="260"/>
      <c r="D892" s="46"/>
      <c r="E892" s="47" t="s">
        <v>5256</v>
      </c>
      <c r="F892" s="82" t="s">
        <v>4762</v>
      </c>
      <c r="G892" s="82" t="s">
        <v>359</v>
      </c>
      <c r="H892" s="98" t="s">
        <v>5526</v>
      </c>
      <c r="I892" s="71" t="s">
        <v>3466</v>
      </c>
      <c r="J892" s="100" t="s">
        <v>140</v>
      </c>
      <c r="K892" s="91">
        <v>0</v>
      </c>
      <c r="L892" s="91">
        <v>0</v>
      </c>
      <c r="M892" s="92">
        <v>45</v>
      </c>
      <c r="N892" s="94">
        <v>522</v>
      </c>
      <c r="O892" s="92">
        <v>2</v>
      </c>
      <c r="P892" s="94">
        <f t="shared" si="206"/>
        <v>261</v>
      </c>
      <c r="Q892" s="94"/>
      <c r="R892" s="92">
        <v>261</v>
      </c>
      <c r="S892" s="92">
        <f t="shared" si="207"/>
        <v>0</v>
      </c>
      <c r="T892" s="102">
        <f t="shared" si="208"/>
        <v>3840</v>
      </c>
      <c r="U892" s="101">
        <f t="shared" si="210"/>
        <v>0</v>
      </c>
      <c r="V892" s="101">
        <f t="shared" si="211"/>
        <v>0</v>
      </c>
      <c r="W892" s="101">
        <v>0</v>
      </c>
      <c r="X892" s="696">
        <f>A892+K892+V892+W892+L892</f>
        <v>46161.318880208317</v>
      </c>
    </row>
    <row r="893" spans="1:24" ht="39.5" hidden="1" x14ac:dyDescent="0.35">
      <c r="A893" s="46">
        <f t="shared" si="209"/>
        <v>46161.318880208317</v>
      </c>
      <c r="B893" s="46"/>
      <c r="C893" s="260"/>
      <c r="D893" s="46"/>
      <c r="E893" s="47" t="s">
        <v>5256</v>
      </c>
      <c r="F893" s="82" t="s">
        <v>1291</v>
      </c>
      <c r="G893" s="82" t="s">
        <v>359</v>
      </c>
      <c r="H893" s="98" t="s">
        <v>5527</v>
      </c>
      <c r="I893" s="71" t="s">
        <v>3466</v>
      </c>
      <c r="J893" s="100" t="s">
        <v>140</v>
      </c>
      <c r="K893" s="91">
        <v>0</v>
      </c>
      <c r="L893" s="91">
        <v>0</v>
      </c>
      <c r="M893" s="92">
        <v>45</v>
      </c>
      <c r="N893" s="94">
        <v>4662</v>
      </c>
      <c r="O893" s="92">
        <v>2</v>
      </c>
      <c r="P893" s="94">
        <f t="shared" si="206"/>
        <v>2331</v>
      </c>
      <c r="Q893" s="94"/>
      <c r="R893" s="92">
        <v>2331</v>
      </c>
      <c r="S893" s="92">
        <f t="shared" si="207"/>
        <v>0</v>
      </c>
      <c r="T893" s="102">
        <f t="shared" si="208"/>
        <v>3840</v>
      </c>
      <c r="U893" s="101">
        <f t="shared" si="210"/>
        <v>0</v>
      </c>
      <c r="V893" s="101">
        <f t="shared" si="211"/>
        <v>0</v>
      </c>
      <c r="W893" s="101">
        <v>0</v>
      </c>
      <c r="X893" s="696">
        <f>A893+K893+V893+W893+L893</f>
        <v>46161.318880208317</v>
      </c>
    </row>
    <row r="894" spans="1:24" s="202" customFormat="1" ht="39.5" hidden="1" x14ac:dyDescent="0.35">
      <c r="A894" s="46">
        <f t="shared" si="209"/>
        <v>46161.318880208317</v>
      </c>
      <c r="B894" s="46"/>
      <c r="C894" s="260"/>
      <c r="D894" s="46"/>
      <c r="E894" s="47" t="s">
        <v>5256</v>
      </c>
      <c r="F894" s="82" t="s">
        <v>1293</v>
      </c>
      <c r="G894" s="82" t="s">
        <v>830</v>
      </c>
      <c r="H894" s="98" t="s">
        <v>5528</v>
      </c>
      <c r="I894" s="71" t="s">
        <v>3466</v>
      </c>
      <c r="J894" s="100" t="s">
        <v>140</v>
      </c>
      <c r="K894" s="91">
        <v>0</v>
      </c>
      <c r="L894" s="91">
        <v>0</v>
      </c>
      <c r="M894" s="92">
        <v>45</v>
      </c>
      <c r="N894" s="94">
        <v>6200</v>
      </c>
      <c r="O894" s="92">
        <v>2</v>
      </c>
      <c r="P894" s="94">
        <f t="shared" si="206"/>
        <v>3100</v>
      </c>
      <c r="Q894" s="94"/>
      <c r="R894" s="92">
        <v>3100</v>
      </c>
      <c r="S894" s="92">
        <f t="shared" si="207"/>
        <v>0</v>
      </c>
      <c r="T894" s="102">
        <f t="shared" si="208"/>
        <v>3840</v>
      </c>
      <c r="U894" s="101">
        <f t="shared" si="210"/>
        <v>0</v>
      </c>
      <c r="V894" s="101">
        <f t="shared" si="211"/>
        <v>0</v>
      </c>
      <c r="W894" s="101">
        <v>0</v>
      </c>
      <c r="X894" s="696">
        <f>A894+K894+V894+W894+L894</f>
        <v>46161.318880208317</v>
      </c>
    </row>
    <row r="895" spans="1:24" s="118" customFormat="1" hidden="1" x14ac:dyDescent="0.35">
      <c r="A895" s="46">
        <f>X83</f>
        <v>46153.904513888876</v>
      </c>
      <c r="B895" s="46"/>
      <c r="C895" s="260"/>
      <c r="D895" s="46"/>
      <c r="E895" s="47" t="s">
        <v>5256</v>
      </c>
      <c r="F895" s="100" t="s">
        <v>355</v>
      </c>
      <c r="G895" s="830" t="s">
        <v>792</v>
      </c>
      <c r="H895" s="98" t="s">
        <v>5529</v>
      </c>
      <c r="I895" s="71" t="s">
        <v>3481</v>
      </c>
      <c r="J895" s="100" t="s">
        <v>140</v>
      </c>
      <c r="K895" s="91">
        <v>0</v>
      </c>
      <c r="L895" s="91">
        <v>0</v>
      </c>
      <c r="M895" s="92">
        <v>40</v>
      </c>
      <c r="N895" s="94">
        <v>8000</v>
      </c>
      <c r="O895" s="92">
        <v>1</v>
      </c>
      <c r="P895" s="94">
        <f t="shared" si="206"/>
        <v>8000</v>
      </c>
      <c r="Q895" s="94"/>
      <c r="R895" s="92">
        <v>8000</v>
      </c>
      <c r="S895" s="94">
        <f t="shared" si="207"/>
        <v>0</v>
      </c>
      <c r="T895" s="102">
        <f t="shared" si="208"/>
        <v>2160</v>
      </c>
      <c r="U895" s="101">
        <f t="shared" si="210"/>
        <v>0</v>
      </c>
      <c r="V895" s="101">
        <f t="shared" si="211"/>
        <v>0</v>
      </c>
      <c r="W895" s="101">
        <v>0</v>
      </c>
      <c r="X895" s="696">
        <f>A895+K895+V895+W895+L895</f>
        <v>46153.904513888876</v>
      </c>
    </row>
    <row r="896" spans="1:24" s="121" customFormat="1" hidden="1" x14ac:dyDescent="0.35">
      <c r="A896" s="46">
        <f t="shared" ref="A896:A909" si="213">X895</f>
        <v>46153.904513888876</v>
      </c>
      <c r="B896" s="46"/>
      <c r="C896" s="260"/>
      <c r="D896" s="46"/>
      <c r="E896" s="47" t="s">
        <v>5256</v>
      </c>
      <c r="F896" s="100" t="s">
        <v>355</v>
      </c>
      <c r="G896" s="830" t="s">
        <v>839</v>
      </c>
      <c r="H896" s="98" t="s">
        <v>5530</v>
      </c>
      <c r="I896" s="71" t="s">
        <v>3481</v>
      </c>
      <c r="J896" s="100" t="s">
        <v>140</v>
      </c>
      <c r="K896" s="91">
        <v>0</v>
      </c>
      <c r="L896" s="91">
        <v>0</v>
      </c>
      <c r="M896" s="92">
        <v>40</v>
      </c>
      <c r="N896" s="94">
        <v>15000</v>
      </c>
      <c r="O896" s="92">
        <v>1</v>
      </c>
      <c r="P896" s="94">
        <f t="shared" si="206"/>
        <v>15000</v>
      </c>
      <c r="Q896" s="94"/>
      <c r="R896" s="92">
        <v>15000</v>
      </c>
      <c r="S896" s="94">
        <f t="shared" si="207"/>
        <v>0</v>
      </c>
      <c r="T896" s="102">
        <f t="shared" si="208"/>
        <v>2160</v>
      </c>
      <c r="U896" s="101">
        <f t="shared" si="210"/>
        <v>0</v>
      </c>
      <c r="V896" s="101">
        <f t="shared" si="211"/>
        <v>0</v>
      </c>
      <c r="W896" s="101">
        <v>0</v>
      </c>
      <c r="X896" s="696">
        <f>A896+K896+V896+W896+L896</f>
        <v>46153.904513888876</v>
      </c>
    </row>
    <row r="897" spans="1:24" s="511" customFormat="1" hidden="1" x14ac:dyDescent="0.35">
      <c r="A897" s="46">
        <f t="shared" si="213"/>
        <v>46153.904513888876</v>
      </c>
      <c r="B897" s="46"/>
      <c r="C897" s="260"/>
      <c r="D897" s="46"/>
      <c r="E897" s="47" t="s">
        <v>5256</v>
      </c>
      <c r="F897" s="51" t="s">
        <v>1868</v>
      </c>
      <c r="G897" s="97" t="s">
        <v>792</v>
      </c>
      <c r="H897" s="98" t="s">
        <v>5512</v>
      </c>
      <c r="I897" s="82" t="s">
        <v>3468</v>
      </c>
      <c r="J897" s="51" t="s">
        <v>140</v>
      </c>
      <c r="K897" s="91">
        <v>0</v>
      </c>
      <c r="L897" s="91">
        <v>0</v>
      </c>
      <c r="M897" s="92">
        <v>20</v>
      </c>
      <c r="N897" s="94">
        <v>125000</v>
      </c>
      <c r="O897" s="92">
        <v>8</v>
      </c>
      <c r="P897" s="94">
        <f t="shared" si="206"/>
        <v>15625</v>
      </c>
      <c r="Q897" s="94"/>
      <c r="R897" s="92">
        <v>15625</v>
      </c>
      <c r="S897" s="92">
        <f t="shared" si="207"/>
        <v>0</v>
      </c>
      <c r="T897" s="92">
        <f t="shared" si="208"/>
        <v>34560</v>
      </c>
      <c r="U897" s="91">
        <f t="shared" si="210"/>
        <v>0</v>
      </c>
      <c r="V897" s="91">
        <f t="shared" si="211"/>
        <v>0</v>
      </c>
      <c r="W897" s="91">
        <v>0</v>
      </c>
      <c r="X897" s="55">
        <f>A897+K897+L897+V897+W897</f>
        <v>46153.904513888876</v>
      </c>
    </row>
    <row r="898" spans="1:24" s="511" customFormat="1" hidden="1" x14ac:dyDescent="0.35">
      <c r="A898" s="46">
        <f t="shared" si="213"/>
        <v>46153.904513888876</v>
      </c>
      <c r="B898" s="46"/>
      <c r="C898" s="260"/>
      <c r="D898" s="46"/>
      <c r="E898" s="47" t="s">
        <v>5256</v>
      </c>
      <c r="F898" s="69" t="s">
        <v>5405</v>
      </c>
      <c r="G898" s="69" t="s">
        <v>839</v>
      </c>
      <c r="H898" s="98" t="s">
        <v>5531</v>
      </c>
      <c r="I898" s="82" t="s">
        <v>5209</v>
      </c>
      <c r="J898" s="51" t="s">
        <v>140</v>
      </c>
      <c r="K898" s="91">
        <v>0</v>
      </c>
      <c r="L898" s="91">
        <v>0</v>
      </c>
      <c r="M898" s="92">
        <v>30</v>
      </c>
      <c r="N898" s="94">
        <v>5000</v>
      </c>
      <c r="O898" s="92">
        <v>1</v>
      </c>
      <c r="P898" s="94">
        <f t="shared" ref="P898:P910" si="214">N898/O898</f>
        <v>5000</v>
      </c>
      <c r="Q898" s="94"/>
      <c r="R898" s="92">
        <v>5000</v>
      </c>
      <c r="S898" s="92">
        <f t="shared" si="207"/>
        <v>0</v>
      </c>
      <c r="T898" s="92">
        <f t="shared" si="208"/>
        <v>2880</v>
      </c>
      <c r="U898" s="91">
        <f t="shared" si="210"/>
        <v>0</v>
      </c>
      <c r="V898" s="91">
        <f t="shared" si="211"/>
        <v>0</v>
      </c>
      <c r="W898" s="91">
        <v>0</v>
      </c>
      <c r="X898" s="55">
        <f>A898+K898+L898+V898+W898</f>
        <v>46153.904513888876</v>
      </c>
    </row>
    <row r="899" spans="1:24" s="511" customFormat="1" hidden="1" x14ac:dyDescent="0.35">
      <c r="A899" s="46">
        <f t="shared" si="213"/>
        <v>46153.904513888876</v>
      </c>
      <c r="B899" s="46"/>
      <c r="C899" s="260"/>
      <c r="D899" s="46"/>
      <c r="E899" s="47" t="s">
        <v>5256</v>
      </c>
      <c r="F899" s="97" t="s">
        <v>1583</v>
      </c>
      <c r="G899" s="453" t="s">
        <v>1900</v>
      </c>
      <c r="H899" s="98" t="s">
        <v>5532</v>
      </c>
      <c r="I899" s="71" t="s">
        <v>3481</v>
      </c>
      <c r="J899" s="100" t="s">
        <v>140</v>
      </c>
      <c r="K899" s="91">
        <v>0</v>
      </c>
      <c r="L899" s="91">
        <v>0</v>
      </c>
      <c r="M899" s="92">
        <v>40</v>
      </c>
      <c r="N899" s="94">
        <v>10000</v>
      </c>
      <c r="O899" s="92">
        <v>1</v>
      </c>
      <c r="P899" s="94">
        <f t="shared" si="214"/>
        <v>10000</v>
      </c>
      <c r="Q899" s="94"/>
      <c r="R899" s="92">
        <v>10000</v>
      </c>
      <c r="S899" s="94">
        <f t="shared" si="207"/>
        <v>0</v>
      </c>
      <c r="T899" s="102">
        <f t="shared" si="208"/>
        <v>2160</v>
      </c>
      <c r="U899" s="101">
        <f t="shared" si="210"/>
        <v>0</v>
      </c>
      <c r="V899" s="101">
        <f t="shared" si="211"/>
        <v>0</v>
      </c>
      <c r="W899" s="101">
        <v>0</v>
      </c>
      <c r="X899" s="696">
        <f>A899+K899+V899+W899+L899</f>
        <v>46153.904513888876</v>
      </c>
    </row>
    <row r="900" spans="1:24" s="511" customFormat="1" hidden="1" x14ac:dyDescent="0.35">
      <c r="A900" s="46">
        <f t="shared" si="213"/>
        <v>46153.904513888876</v>
      </c>
      <c r="B900" s="46"/>
      <c r="C900" s="260"/>
      <c r="D900" s="46"/>
      <c r="E900" s="47" t="s">
        <v>5256</v>
      </c>
      <c r="F900" s="85" t="s">
        <v>5533</v>
      </c>
      <c r="G900" s="85" t="s">
        <v>839</v>
      </c>
      <c r="H900" s="98" t="s">
        <v>5534</v>
      </c>
      <c r="I900" s="97" t="s">
        <v>5535</v>
      </c>
      <c r="J900" s="100" t="s">
        <v>140</v>
      </c>
      <c r="K900" s="91">
        <v>0</v>
      </c>
      <c r="L900" s="91">
        <v>0</v>
      </c>
      <c r="M900" s="92">
        <v>50</v>
      </c>
      <c r="N900" s="94">
        <v>2000</v>
      </c>
      <c r="O900" s="92">
        <v>1</v>
      </c>
      <c r="P900" s="94">
        <f t="shared" si="214"/>
        <v>2000</v>
      </c>
      <c r="Q900" s="94"/>
      <c r="R900" s="102">
        <v>2000</v>
      </c>
      <c r="S900" s="92">
        <f t="shared" si="207"/>
        <v>0</v>
      </c>
      <c r="T900" s="102">
        <f t="shared" si="208"/>
        <v>1728</v>
      </c>
      <c r="U900" s="101">
        <f t="shared" si="210"/>
        <v>0</v>
      </c>
      <c r="V900" s="101">
        <f t="shared" si="211"/>
        <v>0</v>
      </c>
      <c r="W900" s="101">
        <v>0</v>
      </c>
      <c r="X900" s="55">
        <f>A900+K900+V900+W900+L900</f>
        <v>46153.904513888876</v>
      </c>
    </row>
    <row r="901" spans="1:24" s="511" customFormat="1" hidden="1" x14ac:dyDescent="0.35">
      <c r="A901" s="46">
        <f t="shared" si="213"/>
        <v>46153.904513888876</v>
      </c>
      <c r="B901" s="46">
        <v>46059</v>
      </c>
      <c r="C901" s="260">
        <f t="shared" ref="C901:C910" si="215">B901-A901</f>
        <v>-94.904513888875954</v>
      </c>
      <c r="D901" s="260"/>
      <c r="E901" s="47" t="s">
        <v>5256</v>
      </c>
      <c r="F901" s="99" t="s">
        <v>1652</v>
      </c>
      <c r="G901" s="97" t="s">
        <v>839</v>
      </c>
      <c r="H901" s="98" t="s">
        <v>5536</v>
      </c>
      <c r="I901" s="82" t="s">
        <v>5375</v>
      </c>
      <c r="J901" s="51" t="s">
        <v>140</v>
      </c>
      <c r="K901" s="91">
        <v>0</v>
      </c>
      <c r="L901" s="91">
        <v>0</v>
      </c>
      <c r="M901" s="92">
        <v>35</v>
      </c>
      <c r="N901" s="94">
        <v>80000</v>
      </c>
      <c r="O901" s="92">
        <v>15</v>
      </c>
      <c r="P901" s="94">
        <f t="shared" si="214"/>
        <v>5333.333333333333</v>
      </c>
      <c r="Q901" s="181">
        <v>0.8</v>
      </c>
      <c r="R901" s="92">
        <v>5333</v>
      </c>
      <c r="S901" s="103">
        <f t="shared" si="207"/>
        <v>0.33333333333303017</v>
      </c>
      <c r="T901" s="173">
        <f t="shared" ref="T901:T909" si="216">((3600/M901)*O901)*24*Q901</f>
        <v>29622.857142857145</v>
      </c>
      <c r="U901" s="101">
        <f t="shared" ref="U901:U910" si="217">(P901-R901)*M901/3600/Q901</f>
        <v>4.0509259259222411E-3</v>
      </c>
      <c r="V901" s="101">
        <f t="shared" ref="V901:V910" si="218">U901/24</f>
        <v>1.6878858024676005E-4</v>
      </c>
      <c r="W901" s="101">
        <v>0</v>
      </c>
      <c r="X901" s="55">
        <f>A901+K901+L901+V901+W901</f>
        <v>46153.904682677457</v>
      </c>
    </row>
    <row r="902" spans="1:24" s="511" customFormat="1" ht="26.5" hidden="1" x14ac:dyDescent="0.35">
      <c r="A902" s="46">
        <f t="shared" si="213"/>
        <v>46153.904682677457</v>
      </c>
      <c r="B902" s="46">
        <v>46059</v>
      </c>
      <c r="C902" s="260">
        <f t="shared" si="215"/>
        <v>-94.904682677457458</v>
      </c>
      <c r="D902" s="260"/>
      <c r="E902" s="47" t="s">
        <v>5256</v>
      </c>
      <c r="F902" s="99" t="s">
        <v>4458</v>
      </c>
      <c r="G902" s="97" t="s">
        <v>386</v>
      </c>
      <c r="H902" s="98" t="s">
        <v>5537</v>
      </c>
      <c r="I902" s="697" t="s">
        <v>5391</v>
      </c>
      <c r="J902" s="51" t="s">
        <v>140</v>
      </c>
      <c r="K902" s="91">
        <v>0</v>
      </c>
      <c r="L902" s="91">
        <v>0</v>
      </c>
      <c r="M902" s="92">
        <v>30</v>
      </c>
      <c r="N902" s="94">
        <v>1000</v>
      </c>
      <c r="O902" s="94">
        <v>1</v>
      </c>
      <c r="P902" s="94">
        <f t="shared" si="214"/>
        <v>1000</v>
      </c>
      <c r="Q902" s="181">
        <v>0.8</v>
      </c>
      <c r="R902" s="92">
        <v>1000</v>
      </c>
      <c r="S902" s="103">
        <f t="shared" si="207"/>
        <v>0</v>
      </c>
      <c r="T902" s="173">
        <f t="shared" si="216"/>
        <v>2304</v>
      </c>
      <c r="U902" s="101">
        <f t="shared" si="217"/>
        <v>0</v>
      </c>
      <c r="V902" s="101">
        <f t="shared" si="218"/>
        <v>0</v>
      </c>
      <c r="W902" s="101">
        <v>0</v>
      </c>
      <c r="X902" s="55">
        <f>A902+K902+L902+V902+W902</f>
        <v>46153.904682677457</v>
      </c>
    </row>
    <row r="903" spans="1:24" s="802" customFormat="1" ht="13" hidden="1" x14ac:dyDescent="0.3">
      <c r="A903" s="46">
        <f t="shared" si="213"/>
        <v>46153.904682677457</v>
      </c>
      <c r="B903" s="46">
        <v>46060</v>
      </c>
      <c r="C903" s="260">
        <f t="shared" si="215"/>
        <v>-93.904682677457458</v>
      </c>
      <c r="D903" s="260"/>
      <c r="E903" s="47" t="s">
        <v>5256</v>
      </c>
      <c r="F903" s="82" t="s">
        <v>5538</v>
      </c>
      <c r="G903" s="82" t="s">
        <v>386</v>
      </c>
      <c r="H903" s="107" t="s">
        <v>5539</v>
      </c>
      <c r="I903" s="82" t="s">
        <v>5316</v>
      </c>
      <c r="J903" s="51" t="s">
        <v>140</v>
      </c>
      <c r="K903" s="91">
        <v>0</v>
      </c>
      <c r="L903" s="91">
        <v>0</v>
      </c>
      <c r="M903" s="92">
        <v>30</v>
      </c>
      <c r="N903" s="92">
        <v>5000</v>
      </c>
      <c r="O903" s="92">
        <v>2</v>
      </c>
      <c r="P903" s="92">
        <f t="shared" si="214"/>
        <v>2500</v>
      </c>
      <c r="Q903" s="181">
        <v>0.8</v>
      </c>
      <c r="R903" s="92">
        <v>2500</v>
      </c>
      <c r="S903" s="103">
        <f t="shared" si="207"/>
        <v>0</v>
      </c>
      <c r="T903" s="173">
        <f t="shared" si="216"/>
        <v>4608</v>
      </c>
      <c r="U903" s="101">
        <f t="shared" si="217"/>
        <v>0</v>
      </c>
      <c r="V903" s="101">
        <f t="shared" si="218"/>
        <v>0</v>
      </c>
      <c r="W903" s="101">
        <v>0</v>
      </c>
      <c r="X903" s="55">
        <f>A903+K903+L903+V903+W903</f>
        <v>46153.904682677457</v>
      </c>
    </row>
    <row r="904" spans="1:24" s="811" customFormat="1" hidden="1" x14ac:dyDescent="0.35">
      <c r="A904" s="295">
        <f t="shared" si="213"/>
        <v>46153.904682677457</v>
      </c>
      <c r="B904" s="295">
        <v>46066</v>
      </c>
      <c r="C904" s="576">
        <f t="shared" si="215"/>
        <v>-87.904682677457458</v>
      </c>
      <c r="D904" s="576"/>
      <c r="E904" s="296" t="s">
        <v>5256</v>
      </c>
      <c r="F904" s="366" t="s">
        <v>14</v>
      </c>
      <c r="G904" s="366"/>
      <c r="H904" s="298"/>
      <c r="I904" s="366" t="s">
        <v>5265</v>
      </c>
      <c r="J904" s="300" t="s">
        <v>140</v>
      </c>
      <c r="K904" s="352">
        <v>0</v>
      </c>
      <c r="L904" s="352">
        <v>0</v>
      </c>
      <c r="M904" s="353">
        <v>27</v>
      </c>
      <c r="N904" s="353">
        <v>120</v>
      </c>
      <c r="O904" s="353">
        <v>4</v>
      </c>
      <c r="P904" s="302">
        <f t="shared" si="214"/>
        <v>30</v>
      </c>
      <c r="Q904" s="305">
        <v>0.8</v>
      </c>
      <c r="R904" s="353">
        <v>30</v>
      </c>
      <c r="S904" s="302">
        <f t="shared" si="207"/>
        <v>0</v>
      </c>
      <c r="T904" s="307">
        <f t="shared" si="216"/>
        <v>10240</v>
      </c>
      <c r="U904" s="301">
        <f t="shared" si="217"/>
        <v>0</v>
      </c>
      <c r="V904" s="301">
        <f t="shared" si="218"/>
        <v>0</v>
      </c>
      <c r="W904" s="301">
        <v>0</v>
      </c>
      <c r="X904" s="308">
        <f>A904+K904+L904+V904+W904</f>
        <v>46153.904682677457</v>
      </c>
    </row>
    <row r="905" spans="1:24" s="802" customFormat="1" ht="13" hidden="1" x14ac:dyDescent="0.3">
      <c r="A905" s="46">
        <f t="shared" si="213"/>
        <v>46153.904682677457</v>
      </c>
      <c r="B905" s="46">
        <v>46064</v>
      </c>
      <c r="C905" s="260">
        <f t="shared" si="215"/>
        <v>-89.904682677457458</v>
      </c>
      <c r="D905" s="260"/>
      <c r="E905" s="419" t="s">
        <v>5256</v>
      </c>
      <c r="F905" s="82" t="s">
        <v>1890</v>
      </c>
      <c r="G905" s="82" t="s">
        <v>386</v>
      </c>
      <c r="H905" s="98" t="s">
        <v>5540</v>
      </c>
      <c r="I905" s="99" t="s">
        <v>5502</v>
      </c>
      <c r="J905" s="51" t="s">
        <v>140</v>
      </c>
      <c r="K905" s="91">
        <v>0</v>
      </c>
      <c r="L905" s="91">
        <v>0</v>
      </c>
      <c r="M905" s="92">
        <v>40</v>
      </c>
      <c r="N905" s="94">
        <v>5500</v>
      </c>
      <c r="O905" s="92">
        <v>4</v>
      </c>
      <c r="P905" s="94">
        <f t="shared" si="214"/>
        <v>1375</v>
      </c>
      <c r="Q905" s="181">
        <v>0.8</v>
      </c>
      <c r="R905" s="92">
        <v>1375</v>
      </c>
      <c r="S905" s="103">
        <f t="shared" si="207"/>
        <v>0</v>
      </c>
      <c r="T905" s="173">
        <f t="shared" si="216"/>
        <v>6912</v>
      </c>
      <c r="U905" s="101">
        <f t="shared" si="217"/>
        <v>0</v>
      </c>
      <c r="V905" s="101">
        <f t="shared" si="218"/>
        <v>0</v>
      </c>
      <c r="W905" s="101">
        <v>0</v>
      </c>
      <c r="X905" s="55">
        <f>A905+K905+V905+W905+L905</f>
        <v>46153.904682677457</v>
      </c>
    </row>
    <row r="906" spans="1:24" s="802" customFormat="1" ht="13" hidden="1" x14ac:dyDescent="0.3">
      <c r="A906" s="46">
        <f t="shared" si="213"/>
        <v>46153.904682677457</v>
      </c>
      <c r="B906" s="46">
        <v>46065</v>
      </c>
      <c r="C906" s="260">
        <f t="shared" si="215"/>
        <v>-88.904682677457458</v>
      </c>
      <c r="D906" s="260"/>
      <c r="E906" s="419" t="s">
        <v>5256</v>
      </c>
      <c r="F906" s="82" t="s">
        <v>1890</v>
      </c>
      <c r="G906" s="82" t="s">
        <v>386</v>
      </c>
      <c r="H906" s="98" t="s">
        <v>5541</v>
      </c>
      <c r="I906" s="99" t="s">
        <v>5299</v>
      </c>
      <c r="J906" s="51" t="s">
        <v>140</v>
      </c>
      <c r="K906" s="91">
        <v>0</v>
      </c>
      <c r="L906" s="91">
        <v>0</v>
      </c>
      <c r="M906" s="92">
        <v>40</v>
      </c>
      <c r="N906" s="94">
        <v>3000</v>
      </c>
      <c r="O906" s="92">
        <v>4</v>
      </c>
      <c r="P906" s="94">
        <f t="shared" si="214"/>
        <v>750</v>
      </c>
      <c r="Q906" s="181">
        <v>0.8</v>
      </c>
      <c r="R906" s="92">
        <v>750</v>
      </c>
      <c r="S906" s="103">
        <f t="shared" si="207"/>
        <v>0</v>
      </c>
      <c r="T906" s="173">
        <f t="shared" si="216"/>
        <v>6912</v>
      </c>
      <c r="U906" s="101">
        <f t="shared" si="217"/>
        <v>0</v>
      </c>
      <c r="V906" s="101">
        <f t="shared" si="218"/>
        <v>0</v>
      </c>
      <c r="W906" s="101">
        <v>0</v>
      </c>
      <c r="X906" s="55">
        <f>A906+K906+V906+W906+L906</f>
        <v>46153.904682677457</v>
      </c>
    </row>
    <row r="907" spans="1:24" s="811" customFormat="1" hidden="1" x14ac:dyDescent="0.35">
      <c r="A907" s="295">
        <f t="shared" si="213"/>
        <v>46153.904682677457</v>
      </c>
      <c r="B907" s="295">
        <v>46078</v>
      </c>
      <c r="C907" s="979">
        <f t="shared" si="215"/>
        <v>-75.904682677457458</v>
      </c>
      <c r="D907" s="979"/>
      <c r="E907" s="296" t="s">
        <v>5256</v>
      </c>
      <c r="F907" s="366" t="s">
        <v>14</v>
      </c>
      <c r="G907" s="366"/>
      <c r="H907" s="298" t="s">
        <v>14</v>
      </c>
      <c r="I907" s="366" t="s">
        <v>5518</v>
      </c>
      <c r="J907" s="351" t="s">
        <v>140</v>
      </c>
      <c r="K907" s="352">
        <v>0</v>
      </c>
      <c r="L907" s="352">
        <v>0</v>
      </c>
      <c r="M907" s="353">
        <v>60</v>
      </c>
      <c r="N907" s="353">
        <v>50</v>
      </c>
      <c r="O907" s="353">
        <v>2</v>
      </c>
      <c r="P907" s="353">
        <f t="shared" si="214"/>
        <v>25</v>
      </c>
      <c r="Q907" s="305">
        <v>0.8</v>
      </c>
      <c r="R907" s="353">
        <v>25</v>
      </c>
      <c r="S907" s="353">
        <f t="shared" si="207"/>
        <v>0</v>
      </c>
      <c r="T907" s="307">
        <f t="shared" si="216"/>
        <v>2304</v>
      </c>
      <c r="U907" s="301">
        <f t="shared" si="217"/>
        <v>0</v>
      </c>
      <c r="V907" s="301">
        <f t="shared" si="218"/>
        <v>0</v>
      </c>
      <c r="W907" s="301">
        <v>0</v>
      </c>
      <c r="X907" s="308">
        <f>A907+K907+L907+V907+W907</f>
        <v>46153.904682677457</v>
      </c>
    </row>
    <row r="908" spans="1:24" s="511" customFormat="1" hidden="1" x14ac:dyDescent="0.35">
      <c r="A908" s="46">
        <f t="shared" si="213"/>
        <v>46153.904682677457</v>
      </c>
      <c r="B908" s="46">
        <v>46086</v>
      </c>
      <c r="C908" s="260">
        <f t="shared" si="215"/>
        <v>-67.904682677457458</v>
      </c>
      <c r="D908" s="46" t="s">
        <v>2673</v>
      </c>
      <c r="E908" s="47" t="s">
        <v>5256</v>
      </c>
      <c r="F908" s="97" t="s">
        <v>4380</v>
      </c>
      <c r="G908" s="453" t="s">
        <v>398</v>
      </c>
      <c r="H908" s="98" t="s">
        <v>5542</v>
      </c>
      <c r="I908" s="71" t="s">
        <v>3481</v>
      </c>
      <c r="J908" s="100" t="s">
        <v>140</v>
      </c>
      <c r="K908" s="91">
        <v>0</v>
      </c>
      <c r="L908" s="91">
        <v>0</v>
      </c>
      <c r="M908" s="92">
        <v>30</v>
      </c>
      <c r="N908" s="94">
        <v>20000</v>
      </c>
      <c r="O908" s="92">
        <v>1</v>
      </c>
      <c r="P908" s="94">
        <f t="shared" si="214"/>
        <v>20000</v>
      </c>
      <c r="Q908" s="181">
        <v>0.8</v>
      </c>
      <c r="R908" s="102">
        <v>20000</v>
      </c>
      <c r="S908" s="102">
        <f t="shared" si="207"/>
        <v>0</v>
      </c>
      <c r="T908" s="173">
        <f t="shared" si="216"/>
        <v>2304</v>
      </c>
      <c r="U908" s="101">
        <f t="shared" si="217"/>
        <v>0</v>
      </c>
      <c r="V908" s="101">
        <f t="shared" si="218"/>
        <v>0</v>
      </c>
      <c r="W908" s="101">
        <v>0</v>
      </c>
      <c r="X908" s="696">
        <f>A908+K908+V908+W908+L908</f>
        <v>46153.904682677457</v>
      </c>
    </row>
    <row r="909" spans="1:24" s="511" customFormat="1" hidden="1" x14ac:dyDescent="0.35">
      <c r="A909" s="46">
        <f t="shared" si="213"/>
        <v>46153.904682677457</v>
      </c>
      <c r="B909" s="46">
        <v>46098</v>
      </c>
      <c r="C909" s="260">
        <f t="shared" si="215"/>
        <v>-55.904682677457458</v>
      </c>
      <c r="D909" s="46"/>
      <c r="E909" s="47" t="s">
        <v>5256</v>
      </c>
      <c r="F909" s="51" t="s">
        <v>1868</v>
      </c>
      <c r="G909" s="97" t="s">
        <v>398</v>
      </c>
      <c r="H909" s="98" t="s">
        <v>5543</v>
      </c>
      <c r="I909" s="82" t="s">
        <v>3468</v>
      </c>
      <c r="J909" s="51" t="s">
        <v>140</v>
      </c>
      <c r="K909" s="91">
        <v>0</v>
      </c>
      <c r="L909" s="91">
        <v>0</v>
      </c>
      <c r="M909" s="92">
        <v>20</v>
      </c>
      <c r="N909" s="94">
        <v>125000</v>
      </c>
      <c r="O909" s="92">
        <v>8</v>
      </c>
      <c r="P909" s="94">
        <f t="shared" si="214"/>
        <v>15625</v>
      </c>
      <c r="Q909" s="181">
        <v>0.8</v>
      </c>
      <c r="R909" s="102">
        <v>15625</v>
      </c>
      <c r="S909" s="102">
        <f t="shared" si="207"/>
        <v>0</v>
      </c>
      <c r="T909" s="173">
        <f t="shared" si="216"/>
        <v>27648</v>
      </c>
      <c r="U909" s="101">
        <f t="shared" si="217"/>
        <v>0</v>
      </c>
      <c r="V909" s="101">
        <f t="shared" si="218"/>
        <v>0</v>
      </c>
      <c r="W909" s="101">
        <v>0</v>
      </c>
      <c r="X909" s="55">
        <f>A909+K909+L909+V909+W909</f>
        <v>46153.904682677457</v>
      </c>
    </row>
    <row r="910" spans="1:24" s="511" customFormat="1" hidden="1" x14ac:dyDescent="0.35">
      <c r="A910" s="46">
        <f>X909</f>
        <v>46153.904682677457</v>
      </c>
      <c r="B910" s="46">
        <v>46104</v>
      </c>
      <c r="C910" s="260">
        <f t="shared" si="215"/>
        <v>-49.904682677457458</v>
      </c>
      <c r="D910" s="46"/>
      <c r="E910" s="47" t="s">
        <v>5256</v>
      </c>
      <c r="F910" s="97" t="s">
        <v>4380</v>
      </c>
      <c r="G910" s="453" t="s">
        <v>398</v>
      </c>
      <c r="H910" s="98" t="s">
        <v>5542</v>
      </c>
      <c r="I910" s="71" t="s">
        <v>3481</v>
      </c>
      <c r="J910" s="100" t="s">
        <v>140</v>
      </c>
      <c r="K910" s="91">
        <v>0</v>
      </c>
      <c r="L910" s="91">
        <v>0</v>
      </c>
      <c r="M910" s="92">
        <v>35</v>
      </c>
      <c r="N910" s="94">
        <v>16000</v>
      </c>
      <c r="O910" s="92">
        <v>1</v>
      </c>
      <c r="P910" s="94">
        <f t="shared" si="214"/>
        <v>16000</v>
      </c>
      <c r="Q910" s="181">
        <v>0.8</v>
      </c>
      <c r="R910" s="102">
        <v>16000</v>
      </c>
      <c r="S910" s="102">
        <f t="shared" si="207"/>
        <v>0</v>
      </c>
      <c r="T910" s="173">
        <f>((3600/M910)*O910)*24*Q910</f>
        <v>1974.8571428571429</v>
      </c>
      <c r="U910" s="101">
        <f t="shared" si="217"/>
        <v>0</v>
      </c>
      <c r="V910" s="101">
        <f t="shared" si="218"/>
        <v>0</v>
      </c>
      <c r="W910" s="101">
        <v>0</v>
      </c>
      <c r="X910" s="696">
        <f t="shared" ref="X910:X914" si="219">A910+K910+V910+W910+L910</f>
        <v>46153.904682677457</v>
      </c>
    </row>
    <row r="911" spans="1:24" s="511" customFormat="1" hidden="1" x14ac:dyDescent="0.35">
      <c r="A911" s="46">
        <f>X910</f>
        <v>46153.904682677457</v>
      </c>
      <c r="B911" s="46">
        <v>46120</v>
      </c>
      <c r="C911" s="260">
        <f>B911-A911</f>
        <v>-33.904682677457458</v>
      </c>
      <c r="D911" s="46"/>
      <c r="E911" s="47" t="s">
        <v>5256</v>
      </c>
      <c r="F911" s="97" t="s">
        <v>4380</v>
      </c>
      <c r="G911" s="453" t="s">
        <v>398</v>
      </c>
      <c r="H911" s="98" t="s">
        <v>5542</v>
      </c>
      <c r="I911" s="71" t="s">
        <v>3481</v>
      </c>
      <c r="J911" s="100" t="s">
        <v>140</v>
      </c>
      <c r="K911" s="91">
        <v>0</v>
      </c>
      <c r="L911" s="91">
        <v>0</v>
      </c>
      <c r="M911" s="92">
        <v>15</v>
      </c>
      <c r="N911" s="94">
        <v>14000</v>
      </c>
      <c r="O911" s="92">
        <v>1</v>
      </c>
      <c r="P911" s="94">
        <f>N911/O911</f>
        <v>14000</v>
      </c>
      <c r="Q911" s="181">
        <v>0.8</v>
      </c>
      <c r="R911" s="102">
        <v>14000</v>
      </c>
      <c r="S911" s="102">
        <f>P911-R911</f>
        <v>0</v>
      </c>
      <c r="T911" s="173">
        <f>((3600/M911)*O911)*24*Q911</f>
        <v>4608</v>
      </c>
      <c r="U911" s="101">
        <f>(P911-R911)*M911/3600/Q911</f>
        <v>0</v>
      </c>
      <c r="V911" s="101">
        <f>U911/24</f>
        <v>0</v>
      </c>
      <c r="W911" s="101">
        <v>0</v>
      </c>
      <c r="X911" s="696">
        <f t="shared" si="219"/>
        <v>46153.904682677457</v>
      </c>
    </row>
    <row r="912" spans="1:24" s="802" customFormat="1" ht="13" hidden="1" x14ac:dyDescent="0.3">
      <c r="A912" s="46">
        <f t="shared" ref="A912:A920" si="220">X911</f>
        <v>46153.904682677457</v>
      </c>
      <c r="B912" s="46">
        <v>46129</v>
      </c>
      <c r="C912" s="260">
        <f t="shared" ref="C912:C913" si="221">B912-A912</f>
        <v>-24.904682677457458</v>
      </c>
      <c r="D912" s="260"/>
      <c r="E912" s="981" t="s">
        <v>5256</v>
      </c>
      <c r="F912" s="82" t="s">
        <v>5312</v>
      </c>
      <c r="G912" s="82" t="s">
        <v>411</v>
      </c>
      <c r="H912" s="98" t="s">
        <v>5544</v>
      </c>
      <c r="I912" s="99" t="s">
        <v>5545</v>
      </c>
      <c r="J912" s="51" t="s">
        <v>140</v>
      </c>
      <c r="K912" s="91">
        <v>0</v>
      </c>
      <c r="L912" s="91">
        <v>0</v>
      </c>
      <c r="M912" s="92">
        <v>40</v>
      </c>
      <c r="N912" s="94">
        <v>5000</v>
      </c>
      <c r="O912" s="92">
        <v>4</v>
      </c>
      <c r="P912" s="94">
        <f t="shared" ref="P912:P913" si="222">N912/O912</f>
        <v>1250</v>
      </c>
      <c r="Q912" s="181">
        <v>0.8</v>
      </c>
      <c r="R912" s="92">
        <v>1250</v>
      </c>
      <c r="S912" s="103">
        <f t="shared" ref="S912:S913" si="223">P912-R912</f>
        <v>0</v>
      </c>
      <c r="T912" s="173">
        <f t="shared" ref="T912:T913" si="224">((3600/M912)*O912)*24*Q912</f>
        <v>6912</v>
      </c>
      <c r="U912" s="101">
        <f t="shared" ref="U912:U913" si="225">(P912-R912)*M912/3600/Q912</f>
        <v>0</v>
      </c>
      <c r="V912" s="101">
        <f t="shared" ref="V912:V913" si="226">U912/24</f>
        <v>0</v>
      </c>
      <c r="W912" s="101">
        <v>0</v>
      </c>
      <c r="X912" s="55">
        <f>A912+K912+V912+W912+L912</f>
        <v>46153.904682677457</v>
      </c>
    </row>
    <row r="913" spans="1:24" s="802" customFormat="1" ht="13" hidden="1" x14ac:dyDescent="0.3">
      <c r="A913" s="46">
        <f t="shared" si="220"/>
        <v>46153.904682677457</v>
      </c>
      <c r="B913" s="46">
        <v>46129</v>
      </c>
      <c r="C913" s="260">
        <f t="shared" si="221"/>
        <v>-24.904682677457458</v>
      </c>
      <c r="D913" s="260"/>
      <c r="E913" s="981" t="s">
        <v>5256</v>
      </c>
      <c r="F913" s="82" t="s">
        <v>5312</v>
      </c>
      <c r="G913" s="82" t="s">
        <v>411</v>
      </c>
      <c r="H913" s="98" t="s">
        <v>5546</v>
      </c>
      <c r="I913" s="99" t="s">
        <v>5477</v>
      </c>
      <c r="J913" s="51" t="s">
        <v>140</v>
      </c>
      <c r="K913" s="91">
        <v>0</v>
      </c>
      <c r="L913" s="91">
        <v>0</v>
      </c>
      <c r="M913" s="92">
        <v>40</v>
      </c>
      <c r="N913" s="94">
        <v>2000</v>
      </c>
      <c r="O913" s="92">
        <v>4</v>
      </c>
      <c r="P913" s="94">
        <f t="shared" si="222"/>
        <v>500</v>
      </c>
      <c r="Q913" s="181">
        <v>0.8</v>
      </c>
      <c r="R913" s="92">
        <v>500</v>
      </c>
      <c r="S913" s="103">
        <f t="shared" si="223"/>
        <v>0</v>
      </c>
      <c r="T913" s="173">
        <f t="shared" si="224"/>
        <v>6912</v>
      </c>
      <c r="U913" s="101">
        <f t="shared" si="225"/>
        <v>0</v>
      </c>
      <c r="V913" s="101">
        <f t="shared" si="226"/>
        <v>0</v>
      </c>
      <c r="W913" s="101">
        <v>0</v>
      </c>
      <c r="X913" s="55">
        <f>A913+K913+V913+W913+L913</f>
        <v>46153.904682677457</v>
      </c>
    </row>
    <row r="914" spans="1:24" s="993" customFormat="1" ht="26.5" hidden="1" x14ac:dyDescent="0.35">
      <c r="A914" s="982">
        <f t="shared" si="220"/>
        <v>46153.904682677457</v>
      </c>
      <c r="B914" s="982">
        <v>46129</v>
      </c>
      <c r="C914" s="983">
        <f>B914-A914</f>
        <v>-24.904682677457458</v>
      </c>
      <c r="D914" s="982"/>
      <c r="E914" s="984" t="s">
        <v>5256</v>
      </c>
      <c r="F914" s="688" t="s">
        <v>4371</v>
      </c>
      <c r="G914" s="688" t="s">
        <v>411</v>
      </c>
      <c r="H914" s="687" t="s">
        <v>5547</v>
      </c>
      <c r="I914" s="985" t="s">
        <v>4606</v>
      </c>
      <c r="J914" s="986" t="s">
        <v>140</v>
      </c>
      <c r="K914" s="987">
        <v>0</v>
      </c>
      <c r="L914" s="987">
        <v>0</v>
      </c>
      <c r="M914" s="540">
        <v>45</v>
      </c>
      <c r="N914" s="988">
        <v>12000</v>
      </c>
      <c r="O914" s="540">
        <v>2</v>
      </c>
      <c r="P914" s="988">
        <f>N914/O914</f>
        <v>6000</v>
      </c>
      <c r="Q914" s="989">
        <v>0.8</v>
      </c>
      <c r="R914" s="540">
        <v>6000</v>
      </c>
      <c r="S914" s="990">
        <f>P914-R914</f>
        <v>0</v>
      </c>
      <c r="T914" s="991">
        <f>((3600/M914)*O914)*24*Q914</f>
        <v>3072</v>
      </c>
      <c r="U914" s="992">
        <f>(P914-R914)*M914/3600/Q914</f>
        <v>0</v>
      </c>
      <c r="V914" s="992">
        <f>U914/24</f>
        <v>0</v>
      </c>
      <c r="W914" s="992">
        <v>0</v>
      </c>
      <c r="X914" s="692">
        <f t="shared" si="219"/>
        <v>46153.904682677457</v>
      </c>
    </row>
    <row r="915" spans="1:24" s="511" customFormat="1" ht="26.5" hidden="1" x14ac:dyDescent="0.35">
      <c r="A915" s="46">
        <f t="shared" si="220"/>
        <v>46153.904682677457</v>
      </c>
      <c r="B915" s="46">
        <v>46135</v>
      </c>
      <c r="C915" s="260">
        <f>B915-A915</f>
        <v>-18.904682677457458</v>
      </c>
      <c r="D915" s="46"/>
      <c r="E915" s="47" t="s">
        <v>5256</v>
      </c>
      <c r="F915" s="82" t="s">
        <v>513</v>
      </c>
      <c r="G915" s="831" t="s">
        <v>414</v>
      </c>
      <c r="H915" s="881" t="s">
        <v>5548</v>
      </c>
      <c r="I915" s="82" t="s">
        <v>5031</v>
      </c>
      <c r="J915" s="100" t="s">
        <v>140</v>
      </c>
      <c r="K915" s="91">
        <v>0</v>
      </c>
      <c r="L915" s="91">
        <v>0</v>
      </c>
      <c r="M915" s="92">
        <v>40</v>
      </c>
      <c r="N915" s="94">
        <v>2000</v>
      </c>
      <c r="O915" s="92">
        <v>4</v>
      </c>
      <c r="P915" s="94">
        <f>N915/O915</f>
        <v>500</v>
      </c>
      <c r="Q915" s="181">
        <v>0.8</v>
      </c>
      <c r="R915" s="102">
        <v>500</v>
      </c>
      <c r="S915" s="102">
        <f>P915-R915</f>
        <v>0</v>
      </c>
      <c r="T915" s="173">
        <f>((3600/M915)*O915)*24*Q915</f>
        <v>6912</v>
      </c>
      <c r="U915" s="101">
        <f>(P915-R915)*M915/3600/Q915</f>
        <v>0</v>
      </c>
      <c r="V915" s="101">
        <f>U915/24</f>
        <v>0</v>
      </c>
      <c r="W915" s="101">
        <v>0</v>
      </c>
      <c r="X915" s="55">
        <f t="shared" ref="X915" si="227">A915+K915+L915+V915+W915</f>
        <v>46153.904682677457</v>
      </c>
    </row>
    <row r="916" spans="1:24" s="121" customFormat="1" hidden="1" x14ac:dyDescent="0.35">
      <c r="A916" s="46">
        <f t="shared" si="220"/>
        <v>46153.904682677457</v>
      </c>
      <c r="B916" s="71">
        <v>46131</v>
      </c>
      <c r="C916" s="260">
        <f>B916-A916</f>
        <v>-22.904682677457458</v>
      </c>
      <c r="D916" s="260"/>
      <c r="E916" s="47" t="s">
        <v>5256</v>
      </c>
      <c r="F916" s="97" t="s">
        <v>5549</v>
      </c>
      <c r="G916" s="97" t="s">
        <v>414</v>
      </c>
      <c r="H916" s="98" t="s">
        <v>5550</v>
      </c>
      <c r="I916" s="69" t="s">
        <v>5481</v>
      </c>
      <c r="J916" s="100" t="s">
        <v>140</v>
      </c>
      <c r="K916" s="91">
        <v>0</v>
      </c>
      <c r="L916" s="91">
        <v>0</v>
      </c>
      <c r="M916" s="92">
        <v>30</v>
      </c>
      <c r="N916" s="94">
        <f>2500</f>
        <v>2500</v>
      </c>
      <c r="O916" s="92">
        <v>1</v>
      </c>
      <c r="P916" s="94">
        <f>N916/O916</f>
        <v>2500</v>
      </c>
      <c r="Q916" s="181">
        <v>0.8</v>
      </c>
      <c r="R916" s="102">
        <v>2500</v>
      </c>
      <c r="S916" s="102">
        <f>P916-R916</f>
        <v>0</v>
      </c>
      <c r="T916" s="173">
        <f>((3600/M916)*O916)*24*Q916</f>
        <v>2304</v>
      </c>
      <c r="U916" s="101">
        <f>(P916-R916)*M916/3600/Q916</f>
        <v>0</v>
      </c>
      <c r="V916" s="101">
        <f>U916/24</f>
        <v>0</v>
      </c>
      <c r="W916" s="101">
        <v>0</v>
      </c>
      <c r="X916" s="55">
        <f>A916+K916+V916+W916+L916</f>
        <v>46153.904682677457</v>
      </c>
    </row>
    <row r="917" spans="1:24" s="202" customFormat="1" ht="26.5" x14ac:dyDescent="0.35">
      <c r="A917" s="193">
        <f t="shared" si="220"/>
        <v>46153.904682677457</v>
      </c>
      <c r="B917" s="193">
        <v>46149</v>
      </c>
      <c r="C917" s="194"/>
      <c r="D917" s="193"/>
      <c r="E917" s="195" t="s">
        <v>5256</v>
      </c>
      <c r="F917" s="196" t="s">
        <v>3476</v>
      </c>
      <c r="G917" s="196" t="s">
        <v>414</v>
      </c>
      <c r="H917" s="113" t="s">
        <v>5551</v>
      </c>
      <c r="I917" s="196" t="s">
        <v>3478</v>
      </c>
      <c r="J917" s="114" t="s">
        <v>140</v>
      </c>
      <c r="K917" s="482">
        <v>0</v>
      </c>
      <c r="L917" s="482">
        <v>0</v>
      </c>
      <c r="M917" s="199">
        <v>40</v>
      </c>
      <c r="N917" s="483">
        <v>15000</v>
      </c>
      <c r="O917" s="199">
        <v>2</v>
      </c>
      <c r="P917" s="483">
        <f>N917/O917</f>
        <v>7500</v>
      </c>
      <c r="Q917" s="198">
        <v>0.8</v>
      </c>
      <c r="R917" s="199">
        <v>5253</v>
      </c>
      <c r="S917" s="117">
        <f>P917-R917</f>
        <v>2247</v>
      </c>
      <c r="T917" s="200">
        <f>((3600/M917)*O917)*24*Q917</f>
        <v>3456</v>
      </c>
      <c r="U917" s="115">
        <f>(P917-R917)*M917/3600/Q917</f>
        <v>31.208333333333329</v>
      </c>
      <c r="V917" s="115">
        <f>U917/24</f>
        <v>1.3003472222222221</v>
      </c>
      <c r="W917" s="115">
        <v>0</v>
      </c>
      <c r="X917" s="201">
        <f t="shared" ref="X917" si="228">A917+K917+L917+V917+W917</f>
        <v>46155.205029899676</v>
      </c>
    </row>
    <row r="918" spans="1:24" s="487" customFormat="1" x14ac:dyDescent="0.35">
      <c r="A918" s="203">
        <f t="shared" si="220"/>
        <v>46155.205029899676</v>
      </c>
      <c r="B918" s="203">
        <v>46142</v>
      </c>
      <c r="C918" s="286">
        <f t="shared" ref="C918:C919" si="229">B918-A918</f>
        <v>-13.205029899676447</v>
      </c>
      <c r="D918" s="203"/>
      <c r="E918" s="204" t="s">
        <v>5256</v>
      </c>
      <c r="F918" s="287" t="s">
        <v>1681</v>
      </c>
      <c r="G918" s="287" t="s">
        <v>414</v>
      </c>
      <c r="H918" s="206" t="s">
        <v>5552</v>
      </c>
      <c r="I918" s="205" t="s">
        <v>5456</v>
      </c>
      <c r="J918" s="207" t="s">
        <v>140</v>
      </c>
      <c r="K918" s="208">
        <v>0</v>
      </c>
      <c r="L918" s="208">
        <v>0</v>
      </c>
      <c r="M918" s="209">
        <v>23</v>
      </c>
      <c r="N918" s="210">
        <v>80000</v>
      </c>
      <c r="O918" s="209">
        <v>16</v>
      </c>
      <c r="P918" s="210">
        <f>N918/O918</f>
        <v>5000</v>
      </c>
      <c r="Q918" s="293">
        <v>0.8</v>
      </c>
      <c r="R918" s="209"/>
      <c r="S918" s="291">
        <f t="shared" ref="S918:S919" si="230">P918-R918</f>
        <v>5000</v>
      </c>
      <c r="T918" s="294">
        <f t="shared" ref="T918:T919" si="231">((3600/M918)*O918)*24*Q918</f>
        <v>48083.478260869568</v>
      </c>
      <c r="U918" s="289">
        <f t="shared" ref="U918:U919" si="232">(P918-R918)*M918/3600/Q918</f>
        <v>39.93055555555555</v>
      </c>
      <c r="V918" s="289">
        <f t="shared" ref="V918:V919" si="233">U918/24</f>
        <v>1.6637731481481479</v>
      </c>
      <c r="W918" s="289">
        <v>4</v>
      </c>
      <c r="X918" s="212">
        <f>A918+K918+L918+V918+W918</f>
        <v>46160.868803047822</v>
      </c>
    </row>
    <row r="919" spans="1:24" s="89" customFormat="1" x14ac:dyDescent="0.35">
      <c r="A919" s="203">
        <f t="shared" si="220"/>
        <v>46160.868803047822</v>
      </c>
      <c r="B919" s="203">
        <v>46147</v>
      </c>
      <c r="C919" s="286">
        <f t="shared" si="229"/>
        <v>-13.868803047822439</v>
      </c>
      <c r="D919" s="203"/>
      <c r="E919" s="204" t="s">
        <v>5256</v>
      </c>
      <c r="F919" s="287" t="s">
        <v>1681</v>
      </c>
      <c r="G919" s="287" t="s">
        <v>414</v>
      </c>
      <c r="H919" s="206" t="s">
        <v>5553</v>
      </c>
      <c r="I919" s="205" t="s">
        <v>5375</v>
      </c>
      <c r="J919" s="207" t="s">
        <v>140</v>
      </c>
      <c r="K919" s="208">
        <v>0</v>
      </c>
      <c r="L919" s="208">
        <v>0</v>
      </c>
      <c r="M919" s="209">
        <v>35</v>
      </c>
      <c r="N919" s="210">
        <v>80000</v>
      </c>
      <c r="O919" s="209">
        <v>15</v>
      </c>
      <c r="P919" s="210">
        <f t="shared" ref="P919" si="234">N919/O919</f>
        <v>5333.333333333333</v>
      </c>
      <c r="Q919" s="293">
        <v>0.8</v>
      </c>
      <c r="R919" s="209"/>
      <c r="S919" s="291">
        <f t="shared" si="230"/>
        <v>5333.333333333333</v>
      </c>
      <c r="T919" s="294">
        <f t="shared" si="231"/>
        <v>29622.857142857145</v>
      </c>
      <c r="U919" s="289">
        <f t="shared" si="232"/>
        <v>64.81481481481481</v>
      </c>
      <c r="V919" s="289">
        <f t="shared" si="233"/>
        <v>2.7006172839506171</v>
      </c>
      <c r="W919" s="289">
        <v>0</v>
      </c>
      <c r="X919" s="212">
        <f t="shared" ref="X919" si="235">A919+K919+L919+V919+W919</f>
        <v>46163.569420331776</v>
      </c>
    </row>
    <row r="920" spans="1:24" s="178" customFormat="1" ht="26.5" x14ac:dyDescent="0.35">
      <c r="A920" s="203">
        <f t="shared" si="220"/>
        <v>46163.569420331776</v>
      </c>
      <c r="B920" s="384">
        <v>46151</v>
      </c>
      <c r="C920" s="286">
        <f>B920-A920</f>
        <v>-12.5694203317762</v>
      </c>
      <c r="D920" s="203"/>
      <c r="E920" s="204" t="s">
        <v>5256</v>
      </c>
      <c r="F920" s="205" t="s">
        <v>5554</v>
      </c>
      <c r="G920" s="287" t="s">
        <v>414</v>
      </c>
      <c r="H920" s="485" t="s">
        <v>5555</v>
      </c>
      <c r="I920" s="205" t="s">
        <v>3495</v>
      </c>
      <c r="J920" s="310" t="s">
        <v>140</v>
      </c>
      <c r="K920" s="208">
        <v>0</v>
      </c>
      <c r="L920" s="208">
        <v>0</v>
      </c>
      <c r="M920" s="209">
        <v>35</v>
      </c>
      <c r="N920" s="210">
        <v>30000</v>
      </c>
      <c r="O920" s="209">
        <v>1</v>
      </c>
      <c r="P920" s="210">
        <f>N920/O920</f>
        <v>30000</v>
      </c>
      <c r="Q920" s="293">
        <v>0.8</v>
      </c>
      <c r="R920" s="209"/>
      <c r="S920" s="291">
        <f>P920-R920</f>
        <v>30000</v>
      </c>
      <c r="T920" s="294">
        <f>((3600/M920)*O920)*24*Q920</f>
        <v>1974.8571428571429</v>
      </c>
      <c r="U920" s="289">
        <f>(P920-R920)*M920/3600/Q920</f>
        <v>364.58333333333331</v>
      </c>
      <c r="V920" s="289">
        <f>U920/24</f>
        <v>15.190972222222221</v>
      </c>
      <c r="W920" s="289">
        <v>0</v>
      </c>
      <c r="X920" s="212">
        <f>A920+K920+L920+V920+W920</f>
        <v>46178.760392553995</v>
      </c>
    </row>
    <row r="921" spans="1:24" s="178" customFormat="1" x14ac:dyDescent="0.35">
      <c r="A921" s="994"/>
      <c r="B921" s="995"/>
      <c r="C921" s="996"/>
      <c r="D921" s="997"/>
      <c r="E921" s="998"/>
      <c r="F921" s="999"/>
      <c r="G921" s="1000"/>
      <c r="H921" s="1001"/>
      <c r="I921" s="999"/>
      <c r="J921" s="1002"/>
      <c r="K921" s="1003"/>
      <c r="L921" s="1003"/>
      <c r="M921" s="1004"/>
      <c r="N921" s="1005"/>
      <c r="O921" s="1004"/>
      <c r="P921" s="1005"/>
      <c r="Q921" s="1006"/>
      <c r="R921" s="1004"/>
      <c r="S921" s="1007"/>
      <c r="T921" s="1008"/>
      <c r="U921" s="1009"/>
      <c r="V921" s="1009"/>
      <c r="W921" s="1009"/>
      <c r="X921" s="1010"/>
    </row>
    <row r="922" spans="1:24" ht="34.5" x14ac:dyDescent="0.8">
      <c r="A922" s="1217" t="s">
        <v>5556</v>
      </c>
      <c r="B922" s="1218"/>
      <c r="C922" s="1218"/>
      <c r="D922" s="1218"/>
      <c r="E922" s="1218"/>
      <c r="F922" s="1218"/>
      <c r="G922" s="1218"/>
      <c r="H922" s="1218"/>
      <c r="I922" s="1218"/>
      <c r="J922" s="1218"/>
      <c r="K922" s="1218"/>
      <c r="L922" s="1218"/>
      <c r="M922" s="1218"/>
      <c r="N922" s="1218"/>
      <c r="O922" s="1218"/>
      <c r="P922" s="1218"/>
      <c r="Q922" s="1218"/>
      <c r="R922" s="1218"/>
      <c r="S922" s="1218"/>
      <c r="T922" s="1218"/>
      <c r="U922" s="1218"/>
      <c r="V922" s="1218"/>
      <c r="W922" s="1218"/>
      <c r="X922" s="1219"/>
    </row>
    <row r="923" spans="1:24" ht="45" x14ac:dyDescent="0.8">
      <c r="A923" s="35" t="s">
        <v>1563</v>
      </c>
      <c r="B923" s="35"/>
      <c r="C923" s="787"/>
      <c r="D923" s="35"/>
      <c r="E923" s="36"/>
      <c r="F923" s="37"/>
      <c r="G923" s="37"/>
      <c r="H923" s="311" t="s">
        <v>4269</v>
      </c>
      <c r="I923" s="214"/>
      <c r="J923" s="40"/>
      <c r="K923" s="41"/>
      <c r="L923" s="41"/>
      <c r="M923" s="42"/>
      <c r="N923" s="43"/>
      <c r="O923" s="44"/>
      <c r="P923" s="44"/>
      <c r="Q923" s="44"/>
      <c r="R923" s="43"/>
      <c r="S923" s="44"/>
      <c r="T923" s="44"/>
      <c r="U923" s="44"/>
      <c r="V923" s="44"/>
      <c r="W923" s="44"/>
      <c r="X923" s="45"/>
    </row>
    <row r="924" spans="1:24" hidden="1" x14ac:dyDescent="0.35">
      <c r="A924" s="46">
        <f>S7</f>
        <v>46153</v>
      </c>
      <c r="B924" s="46"/>
      <c r="C924" s="260"/>
      <c r="D924" s="46"/>
      <c r="E924" s="47" t="s">
        <v>4270</v>
      </c>
      <c r="F924" s="48" t="s">
        <v>5557</v>
      </c>
      <c r="G924" s="48"/>
      <c r="H924" s="59" t="s">
        <v>5558</v>
      </c>
      <c r="I924" s="82" t="s">
        <v>5559</v>
      </c>
      <c r="J924" s="100"/>
      <c r="K924" s="52">
        <v>0</v>
      </c>
      <c r="L924" s="52">
        <v>0</v>
      </c>
      <c r="M924" s="53">
        <v>95</v>
      </c>
      <c r="N924" s="53">
        <v>300</v>
      </c>
      <c r="O924" s="53">
        <v>2</v>
      </c>
      <c r="P924" s="53">
        <f>N924/O924</f>
        <v>150</v>
      </c>
      <c r="Q924" s="53"/>
      <c r="R924" s="53">
        <v>150</v>
      </c>
      <c r="S924" s="53">
        <f t="shared" ref="S924:S939" si="236">P924-R924</f>
        <v>0</v>
      </c>
      <c r="T924" s="83">
        <f t="shared" ref="T924:T939" si="237">((3600/M924)*O924)*24</f>
        <v>1818.9473684210525</v>
      </c>
      <c r="U924" s="84">
        <f t="shared" ref="U924:U939" si="238">(P924-R924)*M924/3600</f>
        <v>0</v>
      </c>
      <c r="V924" s="84">
        <f t="shared" ref="V924:V939" si="239">(P924-R924)*M924/3600/24</f>
        <v>0</v>
      </c>
      <c r="W924" s="84">
        <v>0</v>
      </c>
      <c r="X924" s="55">
        <f t="shared" ref="X924:X957" si="240">A924+K924+L924+V924+W924</f>
        <v>46153</v>
      </c>
    </row>
    <row r="925" spans="1:24" hidden="1" x14ac:dyDescent="0.35">
      <c r="A925" s="55">
        <f t="shared" ref="A925:A988" si="241">X924</f>
        <v>46153</v>
      </c>
      <c r="B925" s="55"/>
      <c r="C925" s="345"/>
      <c r="D925" s="55"/>
      <c r="E925" s="47"/>
      <c r="F925" s="57" t="s">
        <v>5560</v>
      </c>
      <c r="G925" s="57"/>
      <c r="H925" s="49" t="s">
        <v>1362</v>
      </c>
      <c r="I925" s="85" t="s">
        <v>2702</v>
      </c>
      <c r="J925" s="100"/>
      <c r="K925" s="52">
        <v>0</v>
      </c>
      <c r="L925" s="52">
        <v>0</v>
      </c>
      <c r="M925" s="53">
        <v>45</v>
      </c>
      <c r="N925" s="53">
        <v>20</v>
      </c>
      <c r="O925" s="53">
        <v>1</v>
      </c>
      <c r="P925" s="53">
        <f>N925/O925</f>
        <v>20</v>
      </c>
      <c r="Q925" s="53"/>
      <c r="R925" s="83">
        <v>20</v>
      </c>
      <c r="S925" s="53">
        <f t="shared" si="236"/>
        <v>0</v>
      </c>
      <c r="T925" s="83">
        <f t="shared" si="237"/>
        <v>1920</v>
      </c>
      <c r="U925" s="84">
        <f t="shared" si="238"/>
        <v>0</v>
      </c>
      <c r="V925" s="84">
        <f t="shared" si="239"/>
        <v>0</v>
      </c>
      <c r="W925" s="84">
        <v>0</v>
      </c>
      <c r="X925" s="55">
        <f t="shared" si="240"/>
        <v>46153</v>
      </c>
    </row>
    <row r="926" spans="1:24" ht="29" hidden="1" x14ac:dyDescent="0.35">
      <c r="A926" s="55">
        <f t="shared" si="241"/>
        <v>46153</v>
      </c>
      <c r="B926" s="55"/>
      <c r="C926" s="345"/>
      <c r="D926" s="55"/>
      <c r="E926" s="47"/>
      <c r="F926" s="57" t="s">
        <v>5561</v>
      </c>
      <c r="G926" s="57"/>
      <c r="H926" s="49" t="s">
        <v>1362</v>
      </c>
      <c r="I926" s="85" t="s">
        <v>5562</v>
      </c>
      <c r="J926" s="100"/>
      <c r="K926" s="52">
        <v>0</v>
      </c>
      <c r="L926" s="52">
        <v>0</v>
      </c>
      <c r="M926" s="53">
        <v>40</v>
      </c>
      <c r="N926" s="53">
        <v>20</v>
      </c>
      <c r="O926" s="53">
        <v>1</v>
      </c>
      <c r="P926" s="53">
        <f>N926/O926</f>
        <v>20</v>
      </c>
      <c r="Q926" s="53"/>
      <c r="R926" s="83">
        <v>20</v>
      </c>
      <c r="S926" s="53">
        <f t="shared" si="236"/>
        <v>0</v>
      </c>
      <c r="T926" s="83">
        <f t="shared" si="237"/>
        <v>2160</v>
      </c>
      <c r="U926" s="84">
        <f t="shared" si="238"/>
        <v>0</v>
      </c>
      <c r="V926" s="84">
        <f t="shared" si="239"/>
        <v>0</v>
      </c>
      <c r="W926" s="84">
        <v>0</v>
      </c>
      <c r="X926" s="55">
        <f t="shared" si="240"/>
        <v>46153</v>
      </c>
    </row>
    <row r="927" spans="1:24" ht="29" hidden="1" x14ac:dyDescent="0.35">
      <c r="A927" s="55">
        <f t="shared" si="241"/>
        <v>46153</v>
      </c>
      <c r="B927" s="55"/>
      <c r="C927" s="345"/>
      <c r="D927" s="55"/>
      <c r="E927" s="47" t="s">
        <v>4270</v>
      </c>
      <c r="F927" s="48" t="s">
        <v>5563</v>
      </c>
      <c r="G927" s="48"/>
      <c r="H927" s="59" t="s">
        <v>5564</v>
      </c>
      <c r="I927" s="82" t="s">
        <v>5565</v>
      </c>
      <c r="J927" s="100"/>
      <c r="K927" s="52">
        <v>0</v>
      </c>
      <c r="L927" s="52">
        <v>0</v>
      </c>
      <c r="M927" s="53">
        <v>60</v>
      </c>
      <c r="N927" s="53">
        <v>21205</v>
      </c>
      <c r="O927" s="53">
        <v>1</v>
      </c>
      <c r="P927" s="53">
        <v>16905</v>
      </c>
      <c r="Q927" s="53"/>
      <c r="R927" s="53">
        <v>16905</v>
      </c>
      <c r="S927" s="53">
        <f t="shared" si="236"/>
        <v>0</v>
      </c>
      <c r="T927" s="83">
        <f t="shared" si="237"/>
        <v>1440</v>
      </c>
      <c r="U927" s="84">
        <f t="shared" si="238"/>
        <v>0</v>
      </c>
      <c r="V927" s="84">
        <f t="shared" si="239"/>
        <v>0</v>
      </c>
      <c r="W927" s="84">
        <v>0</v>
      </c>
      <c r="X927" s="55">
        <f t="shared" si="240"/>
        <v>46153</v>
      </c>
    </row>
    <row r="928" spans="1:24" ht="29" hidden="1" x14ac:dyDescent="0.35">
      <c r="A928" s="55">
        <f t="shared" si="241"/>
        <v>46153</v>
      </c>
      <c r="B928" s="55"/>
      <c r="C928" s="345"/>
      <c r="D928" s="55"/>
      <c r="E928" s="47" t="s">
        <v>4270</v>
      </c>
      <c r="F928" s="48" t="s">
        <v>101</v>
      </c>
      <c r="G928" s="48"/>
      <c r="H928" s="59" t="s">
        <v>5566</v>
      </c>
      <c r="I928" s="82" t="s">
        <v>5567</v>
      </c>
      <c r="J928" s="100"/>
      <c r="K928" s="52">
        <v>0</v>
      </c>
      <c r="L928" s="52">
        <v>0</v>
      </c>
      <c r="M928" s="53">
        <v>100</v>
      </c>
      <c r="N928" s="53">
        <v>10100</v>
      </c>
      <c r="O928" s="53">
        <v>1</v>
      </c>
      <c r="P928" s="53">
        <v>10441</v>
      </c>
      <c r="Q928" s="53"/>
      <c r="R928" s="53">
        <v>10441</v>
      </c>
      <c r="S928" s="53">
        <f t="shared" si="236"/>
        <v>0</v>
      </c>
      <c r="T928" s="83">
        <f t="shared" si="237"/>
        <v>864</v>
      </c>
      <c r="U928" s="84">
        <f t="shared" si="238"/>
        <v>0</v>
      </c>
      <c r="V928" s="84">
        <f t="shared" si="239"/>
        <v>0</v>
      </c>
      <c r="W928" s="84">
        <v>0</v>
      </c>
      <c r="X928" s="55">
        <f t="shared" si="240"/>
        <v>46153</v>
      </c>
    </row>
    <row r="929" spans="1:24" ht="29" hidden="1" x14ac:dyDescent="0.35">
      <c r="A929" s="55">
        <f t="shared" si="241"/>
        <v>46153</v>
      </c>
      <c r="B929" s="55"/>
      <c r="C929" s="345"/>
      <c r="D929" s="55"/>
      <c r="E929" s="47" t="s">
        <v>4270</v>
      </c>
      <c r="F929" s="48" t="s">
        <v>1336</v>
      </c>
      <c r="G929" s="48"/>
      <c r="H929" s="59" t="s">
        <v>5568</v>
      </c>
      <c r="I929" s="82" t="s">
        <v>5567</v>
      </c>
      <c r="J929" s="100"/>
      <c r="K929" s="52">
        <v>0</v>
      </c>
      <c r="L929" s="52">
        <v>0</v>
      </c>
      <c r="M929" s="53">
        <v>100</v>
      </c>
      <c r="N929" s="53">
        <v>9000</v>
      </c>
      <c r="O929" s="53">
        <v>1</v>
      </c>
      <c r="P929" s="53">
        <f t="shared" ref="P929:P939" si="242">N929/O929</f>
        <v>9000</v>
      </c>
      <c r="Q929" s="53"/>
      <c r="R929" s="53">
        <v>9000</v>
      </c>
      <c r="S929" s="53">
        <f t="shared" si="236"/>
        <v>0</v>
      </c>
      <c r="T929" s="83">
        <f t="shared" si="237"/>
        <v>864</v>
      </c>
      <c r="U929" s="84">
        <f t="shared" si="238"/>
        <v>0</v>
      </c>
      <c r="V929" s="84">
        <f t="shared" si="239"/>
        <v>0</v>
      </c>
      <c r="W929" s="84">
        <v>0</v>
      </c>
      <c r="X929" s="55">
        <f t="shared" si="240"/>
        <v>46153</v>
      </c>
    </row>
    <row r="930" spans="1:24" hidden="1" x14ac:dyDescent="0.35">
      <c r="A930" s="55">
        <f t="shared" si="241"/>
        <v>46153</v>
      </c>
      <c r="B930" s="55"/>
      <c r="C930" s="345"/>
      <c r="D930" s="55"/>
      <c r="E930" s="47" t="s">
        <v>5569</v>
      </c>
      <c r="F930" s="48">
        <v>1344</v>
      </c>
      <c r="G930" s="48"/>
      <c r="H930" s="49" t="s">
        <v>5570</v>
      </c>
      <c r="I930" s="82" t="s">
        <v>939</v>
      </c>
      <c r="J930" s="100"/>
      <c r="K930" s="52">
        <v>0</v>
      </c>
      <c r="L930" s="52">
        <v>0</v>
      </c>
      <c r="M930" s="53">
        <v>120</v>
      </c>
      <c r="N930" s="53">
        <v>2000</v>
      </c>
      <c r="O930" s="53">
        <v>2</v>
      </c>
      <c r="P930" s="53">
        <f t="shared" si="242"/>
        <v>1000</v>
      </c>
      <c r="Q930" s="53"/>
      <c r="R930" s="53">
        <v>1000</v>
      </c>
      <c r="S930" s="53">
        <f t="shared" si="236"/>
        <v>0</v>
      </c>
      <c r="T930" s="83">
        <f t="shared" si="237"/>
        <v>1440</v>
      </c>
      <c r="U930" s="84">
        <f t="shared" si="238"/>
        <v>0</v>
      </c>
      <c r="V930" s="84">
        <f t="shared" si="239"/>
        <v>0</v>
      </c>
      <c r="W930" s="84">
        <v>0</v>
      </c>
      <c r="X930" s="55">
        <f t="shared" si="240"/>
        <v>46153</v>
      </c>
    </row>
    <row r="931" spans="1:24" hidden="1" x14ac:dyDescent="0.35">
      <c r="A931" s="55">
        <f t="shared" si="241"/>
        <v>46153</v>
      </c>
      <c r="B931" s="55"/>
      <c r="C931" s="345"/>
      <c r="D931" s="55"/>
      <c r="E931" s="47" t="s">
        <v>4270</v>
      </c>
      <c r="F931" s="48" t="s">
        <v>5571</v>
      </c>
      <c r="G931" s="48"/>
      <c r="H931" s="59" t="s">
        <v>5572</v>
      </c>
      <c r="I931" s="82" t="s">
        <v>5567</v>
      </c>
      <c r="J931" s="100"/>
      <c r="K931" s="52">
        <v>0</v>
      </c>
      <c r="L931" s="52">
        <v>0</v>
      </c>
      <c r="M931" s="53">
        <v>100</v>
      </c>
      <c r="N931" s="53">
        <v>1056</v>
      </c>
      <c r="O931" s="53">
        <v>1</v>
      </c>
      <c r="P931" s="53">
        <f t="shared" si="242"/>
        <v>1056</v>
      </c>
      <c r="Q931" s="53"/>
      <c r="R931" s="53">
        <v>1056</v>
      </c>
      <c r="S931" s="53">
        <f t="shared" si="236"/>
        <v>0</v>
      </c>
      <c r="T931" s="83">
        <f t="shared" si="237"/>
        <v>864</v>
      </c>
      <c r="U931" s="84">
        <f t="shared" si="238"/>
        <v>0</v>
      </c>
      <c r="V931" s="84">
        <f t="shared" si="239"/>
        <v>0</v>
      </c>
      <c r="W931" s="84">
        <v>0</v>
      </c>
      <c r="X931" s="55">
        <f t="shared" si="240"/>
        <v>46153</v>
      </c>
    </row>
    <row r="932" spans="1:24" hidden="1" x14ac:dyDescent="0.35">
      <c r="A932" s="55">
        <f t="shared" si="241"/>
        <v>46153</v>
      </c>
      <c r="B932" s="55"/>
      <c r="C932" s="345"/>
      <c r="D932" s="55"/>
      <c r="E932" s="47" t="s">
        <v>4270</v>
      </c>
      <c r="F932" s="57" t="s">
        <v>55</v>
      </c>
      <c r="G932" s="57"/>
      <c r="H932" s="49" t="s">
        <v>5573</v>
      </c>
      <c r="I932" s="106" t="s">
        <v>5574</v>
      </c>
      <c r="J932" s="100"/>
      <c r="K932" s="52">
        <v>0</v>
      </c>
      <c r="L932" s="52">
        <v>0</v>
      </c>
      <c r="M932" s="53">
        <v>90</v>
      </c>
      <c r="N932" s="53">
        <v>1000</v>
      </c>
      <c r="O932" s="53">
        <v>1</v>
      </c>
      <c r="P932" s="53">
        <f t="shared" si="242"/>
        <v>1000</v>
      </c>
      <c r="Q932" s="53"/>
      <c r="R932" s="53">
        <v>1000</v>
      </c>
      <c r="S932" s="53">
        <f t="shared" si="236"/>
        <v>0</v>
      </c>
      <c r="T932" s="83">
        <f t="shared" si="237"/>
        <v>960</v>
      </c>
      <c r="U932" s="84">
        <f t="shared" si="238"/>
        <v>0</v>
      </c>
      <c r="V932" s="84">
        <f t="shared" si="239"/>
        <v>0</v>
      </c>
      <c r="W932" s="84">
        <v>0</v>
      </c>
      <c r="X932" s="55">
        <f t="shared" si="240"/>
        <v>46153</v>
      </c>
    </row>
    <row r="933" spans="1:24" hidden="1" x14ac:dyDescent="0.35">
      <c r="A933" s="55">
        <f t="shared" si="241"/>
        <v>46153</v>
      </c>
      <c r="B933" s="55"/>
      <c r="C933" s="345"/>
      <c r="D933" s="55"/>
      <c r="E933" s="47" t="s">
        <v>4494</v>
      </c>
      <c r="F933" s="48" t="s">
        <v>1321</v>
      </c>
      <c r="G933" s="48"/>
      <c r="H933" s="49" t="s">
        <v>5575</v>
      </c>
      <c r="I933" s="85" t="s">
        <v>5576</v>
      </c>
      <c r="J933" s="100"/>
      <c r="K933" s="52">
        <v>0</v>
      </c>
      <c r="L933" s="52">
        <v>0</v>
      </c>
      <c r="M933" s="53">
        <v>30</v>
      </c>
      <c r="N933" s="53">
        <v>40</v>
      </c>
      <c r="O933" s="53">
        <v>2</v>
      </c>
      <c r="P933" s="53">
        <f t="shared" si="242"/>
        <v>20</v>
      </c>
      <c r="Q933" s="53"/>
      <c r="R933" s="83">
        <v>20</v>
      </c>
      <c r="S933" s="53">
        <f t="shared" si="236"/>
        <v>0</v>
      </c>
      <c r="T933" s="83">
        <f t="shared" si="237"/>
        <v>5760</v>
      </c>
      <c r="U933" s="84">
        <f t="shared" si="238"/>
        <v>0</v>
      </c>
      <c r="V933" s="84">
        <f t="shared" si="239"/>
        <v>0</v>
      </c>
      <c r="W933" s="84">
        <v>0</v>
      </c>
      <c r="X933" s="55">
        <f t="shared" si="240"/>
        <v>46153</v>
      </c>
    </row>
    <row r="934" spans="1:24" ht="26.5" hidden="1" x14ac:dyDescent="0.35">
      <c r="A934" s="55">
        <f t="shared" si="241"/>
        <v>46153</v>
      </c>
      <c r="B934" s="55"/>
      <c r="C934" s="345"/>
      <c r="D934" s="55"/>
      <c r="E934" s="47" t="str">
        <f>A923</f>
        <v>H3202</v>
      </c>
      <c r="F934" s="48" t="s">
        <v>141</v>
      </c>
      <c r="G934" s="48"/>
      <c r="H934" s="63" t="s">
        <v>5577</v>
      </c>
      <c r="I934" s="69" t="s">
        <v>5578</v>
      </c>
      <c r="J934" s="100" t="s">
        <v>140</v>
      </c>
      <c r="K934" s="52">
        <v>0</v>
      </c>
      <c r="L934" s="52">
        <v>0</v>
      </c>
      <c r="M934" s="53">
        <v>120</v>
      </c>
      <c r="N934" s="53">
        <v>1270</v>
      </c>
      <c r="O934" s="53">
        <v>2</v>
      </c>
      <c r="P934" s="53">
        <f t="shared" si="242"/>
        <v>635</v>
      </c>
      <c r="Q934" s="53"/>
      <c r="R934" s="53">
        <v>635</v>
      </c>
      <c r="S934" s="53">
        <f t="shared" si="236"/>
        <v>0</v>
      </c>
      <c r="T934" s="83">
        <f t="shared" si="237"/>
        <v>1440</v>
      </c>
      <c r="U934" s="84">
        <f t="shared" si="238"/>
        <v>0</v>
      </c>
      <c r="V934" s="84">
        <f t="shared" si="239"/>
        <v>0</v>
      </c>
      <c r="W934" s="84">
        <v>0</v>
      </c>
      <c r="X934" s="55">
        <f t="shared" si="240"/>
        <v>46153</v>
      </c>
    </row>
    <row r="935" spans="1:24" ht="26.5" hidden="1" x14ac:dyDescent="0.35">
      <c r="A935" s="55">
        <f t="shared" si="241"/>
        <v>46153</v>
      </c>
      <c r="B935" s="55"/>
      <c r="C935" s="345"/>
      <c r="D935" s="55"/>
      <c r="E935" s="47" t="str">
        <f>A923</f>
        <v>H3202</v>
      </c>
      <c r="F935" s="48" t="s">
        <v>149</v>
      </c>
      <c r="G935" s="48"/>
      <c r="H935" s="63" t="s">
        <v>5579</v>
      </c>
      <c r="I935" s="69" t="s">
        <v>5578</v>
      </c>
      <c r="J935" s="100" t="s">
        <v>140</v>
      </c>
      <c r="K935" s="52">
        <v>0</v>
      </c>
      <c r="L935" s="52">
        <v>0</v>
      </c>
      <c r="M935" s="53">
        <v>120</v>
      </c>
      <c r="N935" s="53">
        <v>2000</v>
      </c>
      <c r="O935" s="53">
        <v>2</v>
      </c>
      <c r="P935" s="53">
        <f t="shared" si="242"/>
        <v>1000</v>
      </c>
      <c r="Q935" s="53"/>
      <c r="R935" s="53">
        <v>1000</v>
      </c>
      <c r="S935" s="53">
        <f t="shared" si="236"/>
        <v>0</v>
      </c>
      <c r="T935" s="83">
        <f t="shared" si="237"/>
        <v>1440</v>
      </c>
      <c r="U935" s="84">
        <f t="shared" si="238"/>
        <v>0</v>
      </c>
      <c r="V935" s="84">
        <f t="shared" si="239"/>
        <v>0</v>
      </c>
      <c r="W935" s="84">
        <v>0</v>
      </c>
      <c r="X935" s="55">
        <f t="shared" si="240"/>
        <v>46153</v>
      </c>
    </row>
    <row r="936" spans="1:24" hidden="1" x14ac:dyDescent="0.35">
      <c r="A936" s="55">
        <f t="shared" si="241"/>
        <v>46153</v>
      </c>
      <c r="B936" s="55"/>
      <c r="C936" s="345"/>
      <c r="D936" s="55"/>
      <c r="E936" s="47" t="str">
        <f>A923</f>
        <v>H3202</v>
      </c>
      <c r="F936" s="48" t="s">
        <v>14</v>
      </c>
      <c r="G936" s="48"/>
      <c r="H936" s="66" t="s">
        <v>14</v>
      </c>
      <c r="I936" s="69" t="s">
        <v>5580</v>
      </c>
      <c r="J936" s="100" t="s">
        <v>140</v>
      </c>
      <c r="K936" s="52">
        <v>0</v>
      </c>
      <c r="L936" s="52">
        <v>0</v>
      </c>
      <c r="M936" s="53">
        <v>58</v>
      </c>
      <c r="N936" s="53">
        <v>50</v>
      </c>
      <c r="O936" s="53">
        <v>1</v>
      </c>
      <c r="P936" s="53">
        <f t="shared" si="242"/>
        <v>50</v>
      </c>
      <c r="Q936" s="53"/>
      <c r="R936" s="53">
        <v>50</v>
      </c>
      <c r="S936" s="53">
        <f t="shared" si="236"/>
        <v>0</v>
      </c>
      <c r="T936" s="83">
        <f t="shared" si="237"/>
        <v>1489.655172413793</v>
      </c>
      <c r="U936" s="84">
        <f t="shared" si="238"/>
        <v>0</v>
      </c>
      <c r="V936" s="84">
        <f t="shared" si="239"/>
        <v>0</v>
      </c>
      <c r="W936" s="84">
        <v>0</v>
      </c>
      <c r="X936" s="55">
        <f t="shared" si="240"/>
        <v>46153</v>
      </c>
    </row>
    <row r="937" spans="1:24" hidden="1" x14ac:dyDescent="0.35">
      <c r="A937" s="55">
        <f t="shared" si="241"/>
        <v>46153</v>
      </c>
      <c r="B937" s="55"/>
      <c r="C937" s="345"/>
      <c r="D937" s="55"/>
      <c r="E937" s="47" t="str">
        <f>A923</f>
        <v>H3202</v>
      </c>
      <c r="F937" s="48" t="s">
        <v>55</v>
      </c>
      <c r="G937" s="48"/>
      <c r="H937" s="66">
        <v>8486</v>
      </c>
      <c r="I937" s="69" t="s">
        <v>5580</v>
      </c>
      <c r="J937" s="100" t="s">
        <v>140</v>
      </c>
      <c r="K937" s="52">
        <v>0</v>
      </c>
      <c r="L937" s="52">
        <v>0</v>
      </c>
      <c r="M937" s="53">
        <v>58</v>
      </c>
      <c r="N937" s="53">
        <v>2500</v>
      </c>
      <c r="O937" s="53">
        <v>1</v>
      </c>
      <c r="P937" s="53">
        <f t="shared" si="242"/>
        <v>2500</v>
      </c>
      <c r="Q937" s="53"/>
      <c r="R937" s="53">
        <v>2500</v>
      </c>
      <c r="S937" s="53">
        <f t="shared" si="236"/>
        <v>0</v>
      </c>
      <c r="T937" s="83">
        <f t="shared" si="237"/>
        <v>1489.655172413793</v>
      </c>
      <c r="U937" s="84">
        <f t="shared" si="238"/>
        <v>0</v>
      </c>
      <c r="V937" s="84">
        <f t="shared" si="239"/>
        <v>0</v>
      </c>
      <c r="W937" s="84">
        <v>0</v>
      </c>
      <c r="X937" s="55">
        <f t="shared" si="240"/>
        <v>46153</v>
      </c>
    </row>
    <row r="938" spans="1:24" ht="26.5" hidden="1" x14ac:dyDescent="0.35">
      <c r="A938" s="55">
        <f t="shared" si="241"/>
        <v>46153</v>
      </c>
      <c r="B938" s="55"/>
      <c r="C938" s="345"/>
      <c r="D938" s="55"/>
      <c r="E938" s="47" t="str">
        <f>A923</f>
        <v>H3202</v>
      </c>
      <c r="F938" s="48" t="s">
        <v>161</v>
      </c>
      <c r="G938" s="48"/>
      <c r="H938" s="63" t="s">
        <v>5581</v>
      </c>
      <c r="I938" s="69" t="s">
        <v>5578</v>
      </c>
      <c r="J938" s="100" t="s">
        <v>140</v>
      </c>
      <c r="K938" s="52">
        <v>0</v>
      </c>
      <c r="L938" s="52">
        <v>0</v>
      </c>
      <c r="M938" s="53">
        <v>120</v>
      </c>
      <c r="N938" s="53">
        <v>4000</v>
      </c>
      <c r="O938" s="53">
        <v>2</v>
      </c>
      <c r="P938" s="53">
        <f t="shared" si="242"/>
        <v>2000</v>
      </c>
      <c r="Q938" s="53"/>
      <c r="R938" s="53">
        <v>2000</v>
      </c>
      <c r="S938" s="53">
        <f t="shared" si="236"/>
        <v>0</v>
      </c>
      <c r="T938" s="83">
        <f t="shared" si="237"/>
        <v>1440</v>
      </c>
      <c r="U938" s="84">
        <f t="shared" si="238"/>
        <v>0</v>
      </c>
      <c r="V938" s="84">
        <f t="shared" si="239"/>
        <v>0</v>
      </c>
      <c r="W938" s="84">
        <v>0</v>
      </c>
      <c r="X938" s="55">
        <f t="shared" si="240"/>
        <v>46153</v>
      </c>
    </row>
    <row r="939" spans="1:24" ht="29" hidden="1" x14ac:dyDescent="0.35">
      <c r="A939" s="55">
        <f t="shared" si="241"/>
        <v>46153</v>
      </c>
      <c r="B939" s="55"/>
      <c r="C939" s="345"/>
      <c r="D939" s="55"/>
      <c r="E939" s="47" t="s">
        <v>1563</v>
      </c>
      <c r="F939" s="48" t="s">
        <v>1379</v>
      </c>
      <c r="G939" s="48"/>
      <c r="H939" s="63" t="s">
        <v>5582</v>
      </c>
      <c r="I939" s="69" t="s">
        <v>5578</v>
      </c>
      <c r="J939" s="100" t="s">
        <v>140</v>
      </c>
      <c r="K939" s="52">
        <v>0</v>
      </c>
      <c r="L939" s="52">
        <v>0</v>
      </c>
      <c r="M939" s="53">
        <v>120</v>
      </c>
      <c r="N939" s="53">
        <v>4000</v>
      </c>
      <c r="O939" s="53">
        <v>2</v>
      </c>
      <c r="P939" s="53">
        <f t="shared" si="242"/>
        <v>2000</v>
      </c>
      <c r="Q939" s="53"/>
      <c r="R939" s="53">
        <v>2000</v>
      </c>
      <c r="S939" s="53">
        <f t="shared" si="236"/>
        <v>0</v>
      </c>
      <c r="T939" s="83">
        <f t="shared" si="237"/>
        <v>1440</v>
      </c>
      <c r="U939" s="84">
        <f t="shared" si="238"/>
        <v>0</v>
      </c>
      <c r="V939" s="84">
        <f t="shared" si="239"/>
        <v>0</v>
      </c>
      <c r="W939" s="84">
        <v>0</v>
      </c>
      <c r="X939" s="55">
        <f t="shared" si="240"/>
        <v>46153</v>
      </c>
    </row>
    <row r="940" spans="1:24" hidden="1" x14ac:dyDescent="0.35">
      <c r="A940" s="55">
        <f t="shared" si="241"/>
        <v>46153</v>
      </c>
      <c r="B940" s="55"/>
      <c r="C940" s="345"/>
      <c r="D940" s="55"/>
      <c r="E940" s="47" t="s">
        <v>1563</v>
      </c>
      <c r="F940" s="57" t="s">
        <v>1362</v>
      </c>
      <c r="G940" s="57"/>
      <c r="H940" s="59" t="s">
        <v>14</v>
      </c>
      <c r="I940" s="119" t="s">
        <v>5583</v>
      </c>
      <c r="J940" s="100"/>
      <c r="K940" s="52">
        <v>0</v>
      </c>
      <c r="L940" s="52">
        <v>0</v>
      </c>
      <c r="M940" s="53"/>
      <c r="N940" s="53"/>
      <c r="O940" s="53"/>
      <c r="P940" s="53"/>
      <c r="Q940" s="53"/>
      <c r="R940" s="53"/>
      <c r="S940" s="53"/>
      <c r="T940" s="83"/>
      <c r="U940" s="84"/>
      <c r="V940" s="84"/>
      <c r="W940" s="84"/>
      <c r="X940" s="55">
        <f t="shared" si="240"/>
        <v>46153</v>
      </c>
    </row>
    <row r="941" spans="1:24" ht="26.5" hidden="1" x14ac:dyDescent="0.35">
      <c r="A941" s="55">
        <f t="shared" si="241"/>
        <v>46153</v>
      </c>
      <c r="B941" s="55"/>
      <c r="C941" s="345"/>
      <c r="D941" s="55"/>
      <c r="E941" s="47" t="s">
        <v>4270</v>
      </c>
      <c r="F941" s="48" t="s">
        <v>2010</v>
      </c>
      <c r="G941" s="48"/>
      <c r="H941" s="63" t="s">
        <v>5584</v>
      </c>
      <c r="I941" s="69" t="s">
        <v>5578</v>
      </c>
      <c r="J941" s="100" t="s">
        <v>140</v>
      </c>
      <c r="K941" s="52">
        <v>0</v>
      </c>
      <c r="L941" s="52">
        <v>0</v>
      </c>
      <c r="M941" s="53">
        <v>120</v>
      </c>
      <c r="N941" s="53">
        <v>2000</v>
      </c>
      <c r="O941" s="53">
        <v>2</v>
      </c>
      <c r="P941" s="53">
        <f>N941/O941</f>
        <v>1000</v>
      </c>
      <c r="Q941" s="53"/>
      <c r="R941" s="53">
        <v>1000</v>
      </c>
      <c r="S941" s="53">
        <f t="shared" ref="S941:S1004" si="243">P941-R941</f>
        <v>0</v>
      </c>
      <c r="T941" s="83">
        <f t="shared" ref="T941:T1004" si="244">((3600/M941)*O941)*24</f>
        <v>1440</v>
      </c>
      <c r="U941" s="84">
        <f t="shared" ref="U941:U1004" si="245">(P941-R941)*M941/3600</f>
        <v>0</v>
      </c>
      <c r="V941" s="84">
        <f t="shared" ref="V941:V1004" si="246">(P941-R941)*M941/3600/24</f>
        <v>0</v>
      </c>
      <c r="W941" s="84"/>
      <c r="X941" s="55">
        <f t="shared" si="240"/>
        <v>46153</v>
      </c>
    </row>
    <row r="942" spans="1:24" hidden="1" x14ac:dyDescent="0.35">
      <c r="A942" s="55">
        <f t="shared" si="241"/>
        <v>46153</v>
      </c>
      <c r="B942" s="55"/>
      <c r="C942" s="345"/>
      <c r="D942" s="55"/>
      <c r="E942" s="47" t="s">
        <v>1563</v>
      </c>
      <c r="F942" s="57" t="s">
        <v>14</v>
      </c>
      <c r="G942" s="57"/>
      <c r="H942" s="49"/>
      <c r="I942" s="82" t="s">
        <v>1411</v>
      </c>
      <c r="J942" s="100" t="s">
        <v>140</v>
      </c>
      <c r="K942" s="52">
        <v>0</v>
      </c>
      <c r="L942" s="52">
        <v>0</v>
      </c>
      <c r="M942" s="53">
        <v>60</v>
      </c>
      <c r="N942" s="53">
        <v>20</v>
      </c>
      <c r="O942" s="53">
        <v>1</v>
      </c>
      <c r="P942" s="53">
        <f>N942/O942</f>
        <v>20</v>
      </c>
      <c r="Q942" s="53"/>
      <c r="R942" s="53">
        <v>20</v>
      </c>
      <c r="S942" s="53">
        <f t="shared" si="243"/>
        <v>0</v>
      </c>
      <c r="T942" s="83">
        <f t="shared" si="244"/>
        <v>1440</v>
      </c>
      <c r="U942" s="84">
        <f t="shared" si="245"/>
        <v>0</v>
      </c>
      <c r="V942" s="84">
        <f t="shared" si="246"/>
        <v>0</v>
      </c>
      <c r="W942" s="84">
        <v>0</v>
      </c>
      <c r="X942" s="55">
        <f t="shared" si="240"/>
        <v>46153</v>
      </c>
    </row>
    <row r="943" spans="1:24" hidden="1" x14ac:dyDescent="0.35">
      <c r="A943" s="55">
        <f t="shared" si="241"/>
        <v>46153</v>
      </c>
      <c r="B943" s="55"/>
      <c r="C943" s="345"/>
      <c r="D943" s="55"/>
      <c r="E943" s="47" t="s">
        <v>1563</v>
      </c>
      <c r="F943" s="57" t="s">
        <v>14</v>
      </c>
      <c r="G943" s="57"/>
      <c r="H943" s="49"/>
      <c r="I943" s="82" t="s">
        <v>5585</v>
      </c>
      <c r="J943" s="100" t="s">
        <v>140</v>
      </c>
      <c r="K943" s="52">
        <v>0</v>
      </c>
      <c r="L943" s="52">
        <v>0</v>
      </c>
      <c r="M943" s="53">
        <v>60</v>
      </c>
      <c r="N943" s="53">
        <v>20</v>
      </c>
      <c r="O943" s="53">
        <v>1</v>
      </c>
      <c r="P943" s="53">
        <f>N943/O943</f>
        <v>20</v>
      </c>
      <c r="Q943" s="53"/>
      <c r="R943" s="53">
        <v>20</v>
      </c>
      <c r="S943" s="53">
        <f t="shared" si="243"/>
        <v>0</v>
      </c>
      <c r="T943" s="83">
        <f t="shared" si="244"/>
        <v>1440</v>
      </c>
      <c r="U943" s="84">
        <f t="shared" si="245"/>
        <v>0</v>
      </c>
      <c r="V943" s="84">
        <f t="shared" si="246"/>
        <v>0</v>
      </c>
      <c r="W943" s="84">
        <v>0</v>
      </c>
      <c r="X943" s="55">
        <f t="shared" si="240"/>
        <v>46153</v>
      </c>
    </row>
    <row r="944" spans="1:24" hidden="1" x14ac:dyDescent="0.35">
      <c r="A944" s="55">
        <f t="shared" si="241"/>
        <v>46153</v>
      </c>
      <c r="B944" s="55"/>
      <c r="C944" s="345"/>
      <c r="D944" s="55"/>
      <c r="E944" s="47" t="s">
        <v>1563</v>
      </c>
      <c r="F944" s="57" t="s">
        <v>5586</v>
      </c>
      <c r="G944" s="57"/>
      <c r="H944" s="49" t="s">
        <v>5587</v>
      </c>
      <c r="I944" s="82" t="s">
        <v>5588</v>
      </c>
      <c r="J944" s="100" t="s">
        <v>140</v>
      </c>
      <c r="K944" s="52">
        <v>0</v>
      </c>
      <c r="L944" s="52">
        <v>0</v>
      </c>
      <c r="M944" s="53">
        <v>80</v>
      </c>
      <c r="N944" s="53">
        <v>3000</v>
      </c>
      <c r="O944" s="53">
        <v>1</v>
      </c>
      <c r="P944" s="83">
        <f>N944/O944</f>
        <v>3000</v>
      </c>
      <c r="Q944" s="83"/>
      <c r="R944" s="53">
        <v>3000</v>
      </c>
      <c r="S944" s="53">
        <f t="shared" si="243"/>
        <v>0</v>
      </c>
      <c r="T944" s="83">
        <f t="shared" si="244"/>
        <v>1080</v>
      </c>
      <c r="U944" s="84">
        <f t="shared" si="245"/>
        <v>0</v>
      </c>
      <c r="V944" s="84">
        <f t="shared" si="246"/>
        <v>0</v>
      </c>
      <c r="W944" s="84">
        <v>0</v>
      </c>
      <c r="X944" s="55">
        <f t="shared" si="240"/>
        <v>46153</v>
      </c>
    </row>
    <row r="945" spans="1:24" ht="29" hidden="1" x14ac:dyDescent="0.35">
      <c r="A945" s="55">
        <f t="shared" si="241"/>
        <v>46153</v>
      </c>
      <c r="B945" s="55"/>
      <c r="C945" s="345"/>
      <c r="D945" s="55"/>
      <c r="E945" s="47" t="s">
        <v>1563</v>
      </c>
      <c r="F945" s="62" t="s">
        <v>652</v>
      </c>
      <c r="G945" s="62"/>
      <c r="H945" s="49" t="s">
        <v>5589</v>
      </c>
      <c r="I945" s="82" t="s">
        <v>5588</v>
      </c>
      <c r="J945" s="100" t="s">
        <v>140</v>
      </c>
      <c r="K945" s="52">
        <v>0</v>
      </c>
      <c r="L945" s="52">
        <v>0</v>
      </c>
      <c r="M945" s="53">
        <v>80</v>
      </c>
      <c r="N945" s="53">
        <v>3000</v>
      </c>
      <c r="O945" s="53">
        <v>1</v>
      </c>
      <c r="P945" s="53">
        <v>3000</v>
      </c>
      <c r="Q945" s="53"/>
      <c r="R945" s="53">
        <v>3000</v>
      </c>
      <c r="S945" s="53">
        <f t="shared" si="243"/>
        <v>0</v>
      </c>
      <c r="T945" s="83">
        <f t="shared" si="244"/>
        <v>1080</v>
      </c>
      <c r="U945" s="84">
        <f t="shared" si="245"/>
        <v>0</v>
      </c>
      <c r="V945" s="84">
        <f t="shared" si="246"/>
        <v>0</v>
      </c>
      <c r="W945" s="84">
        <v>0</v>
      </c>
      <c r="X945" s="55">
        <f t="shared" si="240"/>
        <v>46153</v>
      </c>
    </row>
    <row r="946" spans="1:24" ht="26.5" hidden="1" x14ac:dyDescent="0.35">
      <c r="A946" s="55">
        <f t="shared" si="241"/>
        <v>46153</v>
      </c>
      <c r="B946" s="55"/>
      <c r="C946" s="345"/>
      <c r="D946" s="55"/>
      <c r="E946" s="47" t="s">
        <v>1563</v>
      </c>
      <c r="F946" s="48" t="s">
        <v>5590</v>
      </c>
      <c r="G946" s="48"/>
      <c r="H946" s="63" t="s">
        <v>5591</v>
      </c>
      <c r="I946" s="69" t="s">
        <v>5578</v>
      </c>
      <c r="J946" s="100" t="s">
        <v>140</v>
      </c>
      <c r="K946" s="52">
        <v>0</v>
      </c>
      <c r="L946" s="52">
        <v>0</v>
      </c>
      <c r="M946" s="53">
        <v>120</v>
      </c>
      <c r="N946" s="53">
        <v>6000</v>
      </c>
      <c r="O946" s="53">
        <v>2</v>
      </c>
      <c r="P946" s="53">
        <f t="shared" ref="P946:P1009" si="247">N946/O946</f>
        <v>3000</v>
      </c>
      <c r="Q946" s="53"/>
      <c r="R946" s="53">
        <v>3000</v>
      </c>
      <c r="S946" s="53">
        <f t="shared" si="243"/>
        <v>0</v>
      </c>
      <c r="T946" s="83">
        <f t="shared" si="244"/>
        <v>1440</v>
      </c>
      <c r="U946" s="84">
        <f t="shared" si="245"/>
        <v>0</v>
      </c>
      <c r="V946" s="84">
        <f t="shared" si="246"/>
        <v>0</v>
      </c>
      <c r="W946" s="84">
        <v>0</v>
      </c>
      <c r="X946" s="55">
        <f t="shared" si="240"/>
        <v>46153</v>
      </c>
    </row>
    <row r="947" spans="1:24" ht="29" hidden="1" x14ac:dyDescent="0.35">
      <c r="A947" s="55">
        <f t="shared" si="241"/>
        <v>46153</v>
      </c>
      <c r="B947" s="55"/>
      <c r="C947" s="345"/>
      <c r="D947" s="55"/>
      <c r="E947" s="47" t="s">
        <v>1563</v>
      </c>
      <c r="F947" s="57" t="s">
        <v>652</v>
      </c>
      <c r="G947" s="57"/>
      <c r="H947" s="66">
        <v>9522</v>
      </c>
      <c r="I947" s="97" t="s">
        <v>2592</v>
      </c>
      <c r="J947" s="77" t="s">
        <v>140</v>
      </c>
      <c r="K947" s="52">
        <v>0</v>
      </c>
      <c r="L947" s="52">
        <v>0</v>
      </c>
      <c r="M947" s="53">
        <v>70</v>
      </c>
      <c r="N947" s="342">
        <v>1000</v>
      </c>
      <c r="O947" s="53">
        <v>1</v>
      </c>
      <c r="P947" s="53">
        <f t="shared" si="247"/>
        <v>1000</v>
      </c>
      <c r="Q947" s="53"/>
      <c r="R947" s="53">
        <v>1000</v>
      </c>
      <c r="S947" s="53">
        <f t="shared" si="243"/>
        <v>0</v>
      </c>
      <c r="T947" s="83">
        <f t="shared" si="244"/>
        <v>1234.2857142857142</v>
      </c>
      <c r="U947" s="84">
        <f t="shared" si="245"/>
        <v>0</v>
      </c>
      <c r="V947" s="84">
        <f t="shared" si="246"/>
        <v>0</v>
      </c>
      <c r="W947" s="84">
        <v>0</v>
      </c>
      <c r="X947" s="55">
        <f t="shared" si="240"/>
        <v>46153</v>
      </c>
    </row>
    <row r="948" spans="1:24" ht="29" hidden="1" x14ac:dyDescent="0.35">
      <c r="A948" s="55">
        <f t="shared" si="241"/>
        <v>46153</v>
      </c>
      <c r="B948" s="55"/>
      <c r="C948" s="345"/>
      <c r="D948" s="55"/>
      <c r="E948" s="47" t="s">
        <v>1563</v>
      </c>
      <c r="F948" s="57" t="s">
        <v>4541</v>
      </c>
      <c r="G948" s="57"/>
      <c r="H948" s="67" t="s">
        <v>5592</v>
      </c>
      <c r="I948" s="97" t="s">
        <v>5578</v>
      </c>
      <c r="J948" s="100" t="s">
        <v>140</v>
      </c>
      <c r="K948" s="52">
        <v>0</v>
      </c>
      <c r="L948" s="52">
        <v>0</v>
      </c>
      <c r="M948" s="53">
        <v>120</v>
      </c>
      <c r="N948" s="53">
        <v>12000</v>
      </c>
      <c r="O948" s="53">
        <v>2</v>
      </c>
      <c r="P948" s="53">
        <f t="shared" si="247"/>
        <v>6000</v>
      </c>
      <c r="Q948" s="53"/>
      <c r="R948" s="53">
        <v>6000</v>
      </c>
      <c r="S948" s="53">
        <f t="shared" si="243"/>
        <v>0</v>
      </c>
      <c r="T948" s="83">
        <f t="shared" si="244"/>
        <v>1440</v>
      </c>
      <c r="U948" s="84">
        <f t="shared" si="245"/>
        <v>0</v>
      </c>
      <c r="V948" s="84">
        <f t="shared" si="246"/>
        <v>0</v>
      </c>
      <c r="W948" s="84">
        <v>0</v>
      </c>
      <c r="X948" s="55">
        <f t="shared" si="240"/>
        <v>46153</v>
      </c>
    </row>
    <row r="949" spans="1:24" hidden="1" x14ac:dyDescent="0.35">
      <c r="A949" s="55">
        <f t="shared" si="241"/>
        <v>46153</v>
      </c>
      <c r="B949" s="55"/>
      <c r="C949" s="345"/>
      <c r="D949" s="55"/>
      <c r="E949" s="47" t="s">
        <v>5593</v>
      </c>
      <c r="F949" s="97" t="s">
        <v>5594</v>
      </c>
      <c r="G949" s="97"/>
      <c r="H949" s="107" t="s">
        <v>5595</v>
      </c>
      <c r="I949" s="1011" t="s">
        <v>4342</v>
      </c>
      <c r="J949" s="100" t="s">
        <v>140</v>
      </c>
      <c r="K949" s="91">
        <v>0</v>
      </c>
      <c r="L949" s="91">
        <v>0</v>
      </c>
      <c r="M949" s="92">
        <v>15</v>
      </c>
      <c r="N949" s="92">
        <v>2500</v>
      </c>
      <c r="O949" s="92">
        <v>1</v>
      </c>
      <c r="P949" s="92">
        <f t="shared" si="247"/>
        <v>2500</v>
      </c>
      <c r="Q949" s="92"/>
      <c r="R949" s="92">
        <v>2500</v>
      </c>
      <c r="S949" s="92">
        <f t="shared" si="243"/>
        <v>0</v>
      </c>
      <c r="T949" s="102">
        <f t="shared" si="244"/>
        <v>5760</v>
      </c>
      <c r="U949" s="101">
        <f t="shared" si="245"/>
        <v>0</v>
      </c>
      <c r="V949" s="101">
        <f t="shared" si="246"/>
        <v>0</v>
      </c>
      <c r="W949" s="101">
        <v>0</v>
      </c>
      <c r="X949" s="55">
        <f t="shared" si="240"/>
        <v>46153</v>
      </c>
    </row>
    <row r="950" spans="1:24" hidden="1" x14ac:dyDescent="0.35">
      <c r="A950" s="55">
        <f t="shared" si="241"/>
        <v>46153</v>
      </c>
      <c r="B950" s="55"/>
      <c r="C950" s="345"/>
      <c r="D950" s="55"/>
      <c r="E950" s="47" t="s">
        <v>5593</v>
      </c>
      <c r="F950" s="48" t="s">
        <v>5596</v>
      </c>
      <c r="G950" s="48"/>
      <c r="H950" s="59" t="s">
        <v>5597</v>
      </c>
      <c r="I950" s="69" t="s">
        <v>1286</v>
      </c>
      <c r="J950" s="100" t="s">
        <v>140</v>
      </c>
      <c r="K950" s="52">
        <v>0</v>
      </c>
      <c r="L950" s="52">
        <v>0</v>
      </c>
      <c r="M950" s="53">
        <v>180</v>
      </c>
      <c r="N950" s="53">
        <v>360</v>
      </c>
      <c r="O950" s="53">
        <v>1</v>
      </c>
      <c r="P950" s="53">
        <f t="shared" si="247"/>
        <v>360</v>
      </c>
      <c r="Q950" s="53"/>
      <c r="R950" s="53">
        <v>360</v>
      </c>
      <c r="S950" s="53">
        <f t="shared" si="243"/>
        <v>0</v>
      </c>
      <c r="T950" s="83">
        <f t="shared" si="244"/>
        <v>480</v>
      </c>
      <c r="U950" s="84">
        <f t="shared" si="245"/>
        <v>0</v>
      </c>
      <c r="V950" s="84">
        <f t="shared" si="246"/>
        <v>0</v>
      </c>
      <c r="W950" s="84">
        <v>0</v>
      </c>
      <c r="X950" s="55">
        <f t="shared" si="240"/>
        <v>46153</v>
      </c>
    </row>
    <row r="951" spans="1:24" ht="26.5" hidden="1" x14ac:dyDescent="0.35">
      <c r="A951" s="55">
        <f t="shared" si="241"/>
        <v>46153</v>
      </c>
      <c r="B951" s="55"/>
      <c r="C951" s="345"/>
      <c r="D951" s="55"/>
      <c r="E951" s="47" t="s">
        <v>5593</v>
      </c>
      <c r="F951" s="82" t="s">
        <v>1076</v>
      </c>
      <c r="G951" s="82"/>
      <c r="H951" s="49" t="s">
        <v>5598</v>
      </c>
      <c r="I951" s="99" t="s">
        <v>1644</v>
      </c>
      <c r="J951" s="100" t="s">
        <v>140</v>
      </c>
      <c r="K951" s="52">
        <v>0</v>
      </c>
      <c r="L951" s="52">
        <v>0</v>
      </c>
      <c r="M951" s="53">
        <v>60</v>
      </c>
      <c r="N951" s="53">
        <v>4000</v>
      </c>
      <c r="O951" s="53">
        <v>2</v>
      </c>
      <c r="P951" s="53">
        <f t="shared" si="247"/>
        <v>2000</v>
      </c>
      <c r="Q951" s="53"/>
      <c r="R951" s="83">
        <v>2000</v>
      </c>
      <c r="S951" s="53">
        <f t="shared" si="243"/>
        <v>0</v>
      </c>
      <c r="T951" s="83">
        <f t="shared" si="244"/>
        <v>2880</v>
      </c>
      <c r="U951" s="84">
        <f t="shared" si="245"/>
        <v>0</v>
      </c>
      <c r="V951" s="84">
        <f t="shared" si="246"/>
        <v>0</v>
      </c>
      <c r="W951" s="84">
        <v>0</v>
      </c>
      <c r="X951" s="55">
        <f t="shared" si="240"/>
        <v>46153</v>
      </c>
    </row>
    <row r="952" spans="1:24" ht="26.5" hidden="1" x14ac:dyDescent="0.35">
      <c r="A952" s="55">
        <f t="shared" si="241"/>
        <v>46153</v>
      </c>
      <c r="B952" s="55"/>
      <c r="C952" s="345"/>
      <c r="D952" s="55"/>
      <c r="E952" s="419" t="s">
        <v>1563</v>
      </c>
      <c r="F952" s="97" t="s">
        <v>543</v>
      </c>
      <c r="G952" s="97"/>
      <c r="H952" s="334" t="s">
        <v>5599</v>
      </c>
      <c r="I952" s="97" t="s">
        <v>1855</v>
      </c>
      <c r="J952" s="170" t="s">
        <v>140</v>
      </c>
      <c r="K952" s="52">
        <v>0</v>
      </c>
      <c r="L952" s="52">
        <v>0</v>
      </c>
      <c r="M952" s="92">
        <v>60</v>
      </c>
      <c r="N952" s="92">
        <v>5470</v>
      </c>
      <c r="O952" s="92">
        <v>1</v>
      </c>
      <c r="P952" s="92">
        <f t="shared" si="247"/>
        <v>5470</v>
      </c>
      <c r="Q952" s="92"/>
      <c r="R952" s="92">
        <v>5470</v>
      </c>
      <c r="S952" s="92">
        <f t="shared" si="243"/>
        <v>0</v>
      </c>
      <c r="T952" s="102">
        <f t="shared" si="244"/>
        <v>1440</v>
      </c>
      <c r="U952" s="101">
        <f t="shared" si="245"/>
        <v>0</v>
      </c>
      <c r="V952" s="101">
        <f t="shared" si="246"/>
        <v>0</v>
      </c>
      <c r="W952" s="101">
        <v>0</v>
      </c>
      <c r="X952" s="55">
        <f t="shared" si="240"/>
        <v>46153</v>
      </c>
    </row>
    <row r="953" spans="1:24" hidden="1" x14ac:dyDescent="0.35">
      <c r="A953" s="55">
        <f t="shared" si="241"/>
        <v>46153</v>
      </c>
      <c r="B953" s="55"/>
      <c r="C953" s="345"/>
      <c r="D953" s="55"/>
      <c r="E953" s="47" t="s">
        <v>1563</v>
      </c>
      <c r="F953" s="57" t="s">
        <v>179</v>
      </c>
      <c r="G953" s="57"/>
      <c r="H953" s="66">
        <v>10063</v>
      </c>
      <c r="I953" s="97" t="s">
        <v>1301</v>
      </c>
      <c r="J953" s="77" t="s">
        <v>140</v>
      </c>
      <c r="K953" s="52">
        <v>0</v>
      </c>
      <c r="L953" s="52">
        <v>0</v>
      </c>
      <c r="M953" s="53">
        <v>70</v>
      </c>
      <c r="N953" s="342">
        <v>2500</v>
      </c>
      <c r="O953" s="53">
        <v>1</v>
      </c>
      <c r="P953" s="53">
        <f t="shared" si="247"/>
        <v>2500</v>
      </c>
      <c r="Q953" s="53"/>
      <c r="R953" s="53">
        <v>2500</v>
      </c>
      <c r="S953" s="53">
        <f t="shared" si="243"/>
        <v>0</v>
      </c>
      <c r="T953" s="83">
        <f t="shared" si="244"/>
        <v>1234.2857142857142</v>
      </c>
      <c r="U953" s="84">
        <f t="shared" si="245"/>
        <v>0</v>
      </c>
      <c r="V953" s="84">
        <f t="shared" si="246"/>
        <v>0</v>
      </c>
      <c r="W953" s="84">
        <v>0</v>
      </c>
      <c r="X953" s="55">
        <f t="shared" si="240"/>
        <v>46153</v>
      </c>
    </row>
    <row r="954" spans="1:24" hidden="1" x14ac:dyDescent="0.35">
      <c r="A954" s="55">
        <f t="shared" si="241"/>
        <v>46153</v>
      </c>
      <c r="B954" s="55"/>
      <c r="C954" s="345"/>
      <c r="D954" s="55"/>
      <c r="E954" s="47" t="s">
        <v>4270</v>
      </c>
      <c r="F954" s="57" t="s">
        <v>55</v>
      </c>
      <c r="G954" s="57"/>
      <c r="H954" s="49" t="s">
        <v>5600</v>
      </c>
      <c r="I954" s="82" t="s">
        <v>5601</v>
      </c>
      <c r="J954" s="100" t="s">
        <v>140</v>
      </c>
      <c r="K954" s="52">
        <v>0</v>
      </c>
      <c r="L954" s="52">
        <v>0</v>
      </c>
      <c r="M954" s="53">
        <v>65</v>
      </c>
      <c r="N954" s="53">
        <v>500</v>
      </c>
      <c r="O954" s="53">
        <v>2</v>
      </c>
      <c r="P954" s="53">
        <f t="shared" si="247"/>
        <v>250</v>
      </c>
      <c r="Q954" s="53"/>
      <c r="R954" s="53">
        <v>250</v>
      </c>
      <c r="S954" s="53">
        <f t="shared" si="243"/>
        <v>0</v>
      </c>
      <c r="T954" s="83">
        <f t="shared" si="244"/>
        <v>2658.4615384615386</v>
      </c>
      <c r="U954" s="84">
        <f t="shared" si="245"/>
        <v>0</v>
      </c>
      <c r="V954" s="84">
        <f t="shared" si="246"/>
        <v>0</v>
      </c>
      <c r="W954" s="84">
        <v>0</v>
      </c>
      <c r="X954" s="55">
        <f t="shared" si="240"/>
        <v>46153</v>
      </c>
    </row>
    <row r="955" spans="1:24" hidden="1" x14ac:dyDescent="0.35">
      <c r="A955" s="55">
        <f t="shared" si="241"/>
        <v>46153</v>
      </c>
      <c r="B955" s="55"/>
      <c r="C955" s="345"/>
      <c r="D955" s="55"/>
      <c r="E955" s="47" t="s">
        <v>1563</v>
      </c>
      <c r="F955" s="57" t="s">
        <v>2048</v>
      </c>
      <c r="G955" s="57"/>
      <c r="H955" s="66">
        <v>10176</v>
      </c>
      <c r="I955" s="97" t="s">
        <v>2592</v>
      </c>
      <c r="J955" s="77" t="s">
        <v>140</v>
      </c>
      <c r="K955" s="52">
        <v>0</v>
      </c>
      <c r="L955" s="52">
        <v>0</v>
      </c>
      <c r="M955" s="53">
        <v>70</v>
      </c>
      <c r="N955" s="342">
        <v>3000</v>
      </c>
      <c r="O955" s="53">
        <v>1</v>
      </c>
      <c r="P955" s="53">
        <f t="shared" si="247"/>
        <v>3000</v>
      </c>
      <c r="Q955" s="53"/>
      <c r="R955" s="53">
        <v>3000</v>
      </c>
      <c r="S955" s="53">
        <f t="shared" si="243"/>
        <v>0</v>
      </c>
      <c r="T955" s="83">
        <f t="shared" si="244"/>
        <v>1234.2857142857142</v>
      </c>
      <c r="U955" s="84">
        <f t="shared" si="245"/>
        <v>0</v>
      </c>
      <c r="V955" s="84">
        <f t="shared" si="246"/>
        <v>0</v>
      </c>
      <c r="W955" s="84">
        <v>0</v>
      </c>
      <c r="X955" s="55">
        <f t="shared" si="240"/>
        <v>46153</v>
      </c>
    </row>
    <row r="956" spans="1:24" hidden="1" x14ac:dyDescent="0.35">
      <c r="A956" s="55">
        <f t="shared" si="241"/>
        <v>46153</v>
      </c>
      <c r="B956" s="55"/>
      <c r="C956" s="345"/>
      <c r="D956" s="55"/>
      <c r="E956" s="47" t="s">
        <v>1563</v>
      </c>
      <c r="F956" s="57" t="s">
        <v>2048</v>
      </c>
      <c r="G956" s="57"/>
      <c r="H956" s="66">
        <v>10177</v>
      </c>
      <c r="I956" s="82" t="s">
        <v>5602</v>
      </c>
      <c r="J956" s="77" t="s">
        <v>140</v>
      </c>
      <c r="K956" s="52">
        <v>0</v>
      </c>
      <c r="L956" s="52">
        <v>0</v>
      </c>
      <c r="M956" s="53">
        <v>70</v>
      </c>
      <c r="N956" s="342">
        <v>1000</v>
      </c>
      <c r="O956" s="53">
        <v>1</v>
      </c>
      <c r="P956" s="53">
        <f t="shared" si="247"/>
        <v>1000</v>
      </c>
      <c r="Q956" s="53"/>
      <c r="R956" s="53">
        <v>1000</v>
      </c>
      <c r="S956" s="53">
        <f t="shared" si="243"/>
        <v>0</v>
      </c>
      <c r="T956" s="83">
        <f t="shared" si="244"/>
        <v>1234.2857142857142</v>
      </c>
      <c r="U956" s="84">
        <f t="shared" si="245"/>
        <v>0</v>
      </c>
      <c r="V956" s="84">
        <f t="shared" si="246"/>
        <v>0</v>
      </c>
      <c r="W956" s="84">
        <v>0</v>
      </c>
      <c r="X956" s="55">
        <f t="shared" si="240"/>
        <v>46153</v>
      </c>
    </row>
    <row r="957" spans="1:24" hidden="1" x14ac:dyDescent="0.35">
      <c r="A957" s="55">
        <f t="shared" si="241"/>
        <v>46153</v>
      </c>
      <c r="B957" s="55"/>
      <c r="C957" s="345"/>
      <c r="D957" s="55"/>
      <c r="E957" s="419" t="s">
        <v>1563</v>
      </c>
      <c r="F957" s="97" t="s">
        <v>898</v>
      </c>
      <c r="G957" s="97"/>
      <c r="H957" s="334" t="s">
        <v>5603</v>
      </c>
      <c r="I957" s="97" t="s">
        <v>1855</v>
      </c>
      <c r="J957" s="170" t="s">
        <v>140</v>
      </c>
      <c r="K957" s="52">
        <v>0</v>
      </c>
      <c r="L957" s="52">
        <v>0</v>
      </c>
      <c r="M957" s="92">
        <v>60</v>
      </c>
      <c r="N957" s="92">
        <v>3500</v>
      </c>
      <c r="O957" s="92">
        <v>1</v>
      </c>
      <c r="P957" s="92">
        <f t="shared" si="247"/>
        <v>3500</v>
      </c>
      <c r="Q957" s="92"/>
      <c r="R957" s="92">
        <v>3500</v>
      </c>
      <c r="S957" s="92">
        <f t="shared" si="243"/>
        <v>0</v>
      </c>
      <c r="T957" s="102">
        <f t="shared" si="244"/>
        <v>1440</v>
      </c>
      <c r="U957" s="101">
        <f t="shared" si="245"/>
        <v>0</v>
      </c>
      <c r="V957" s="101">
        <f t="shared" si="246"/>
        <v>0</v>
      </c>
      <c r="W957" s="101">
        <v>0</v>
      </c>
      <c r="X957" s="55">
        <f t="shared" si="240"/>
        <v>46153</v>
      </c>
    </row>
    <row r="958" spans="1:24" s="596" customFormat="1" ht="29" hidden="1" x14ac:dyDescent="0.35">
      <c r="A958" s="55">
        <f t="shared" si="241"/>
        <v>46153</v>
      </c>
      <c r="B958" s="55"/>
      <c r="C958" s="345"/>
      <c r="D958" s="55"/>
      <c r="E958" s="47" t="s">
        <v>1563</v>
      </c>
      <c r="F958" s="59" t="s">
        <v>202</v>
      </c>
      <c r="G958" s="59"/>
      <c r="H958" s="49" t="s">
        <v>5600</v>
      </c>
      <c r="I958" s="82" t="s">
        <v>5601</v>
      </c>
      <c r="J958" s="100" t="s">
        <v>140</v>
      </c>
      <c r="K958" s="52">
        <v>0</v>
      </c>
      <c r="L958" s="52">
        <v>0</v>
      </c>
      <c r="M958" s="53">
        <v>65</v>
      </c>
      <c r="N958" s="53">
        <v>1000</v>
      </c>
      <c r="O958" s="53">
        <v>2</v>
      </c>
      <c r="P958" s="53">
        <f t="shared" si="247"/>
        <v>500</v>
      </c>
      <c r="Q958" s="53"/>
      <c r="R958" s="53">
        <v>500</v>
      </c>
      <c r="S958" s="53">
        <f t="shared" si="243"/>
        <v>0</v>
      </c>
      <c r="T958" s="83">
        <f t="shared" si="244"/>
        <v>2658.4615384615386</v>
      </c>
      <c r="U958" s="84">
        <f t="shared" si="245"/>
        <v>0</v>
      </c>
      <c r="V958" s="84">
        <f t="shared" si="246"/>
        <v>0</v>
      </c>
      <c r="W958" s="84">
        <v>0</v>
      </c>
      <c r="X958" s="55">
        <f>A958+V958+W958</f>
        <v>46153</v>
      </c>
    </row>
    <row r="959" spans="1:24" s="89" customFormat="1" ht="29" hidden="1" x14ac:dyDescent="0.35">
      <c r="A959" s="55">
        <f t="shared" si="241"/>
        <v>46153</v>
      </c>
      <c r="B959" s="55"/>
      <c r="C959" s="345"/>
      <c r="D959" s="55"/>
      <c r="E959" s="47" t="s">
        <v>1563</v>
      </c>
      <c r="F959" s="59" t="s">
        <v>202</v>
      </c>
      <c r="G959" s="59"/>
      <c r="H959" s="67" t="s">
        <v>5604</v>
      </c>
      <c r="I959" s="97" t="s">
        <v>5605</v>
      </c>
      <c r="J959" s="100" t="s">
        <v>140</v>
      </c>
      <c r="K959" s="52">
        <v>0</v>
      </c>
      <c r="L959" s="52">
        <v>0</v>
      </c>
      <c r="M959" s="53">
        <v>120</v>
      </c>
      <c r="N959" s="53">
        <v>1000</v>
      </c>
      <c r="O959" s="53">
        <v>2</v>
      </c>
      <c r="P959" s="53">
        <f t="shared" si="247"/>
        <v>500</v>
      </c>
      <c r="Q959" s="53"/>
      <c r="R959" s="53">
        <v>500</v>
      </c>
      <c r="S959" s="53">
        <f t="shared" si="243"/>
        <v>0</v>
      </c>
      <c r="T959" s="83">
        <f t="shared" si="244"/>
        <v>1440</v>
      </c>
      <c r="U959" s="84">
        <f t="shared" si="245"/>
        <v>0</v>
      </c>
      <c r="V959" s="84">
        <f t="shared" si="246"/>
        <v>0</v>
      </c>
      <c r="W959" s="84">
        <v>0</v>
      </c>
      <c r="X959" s="255">
        <f t="shared" ref="X959:X968" si="248">A959+K959+L959+V959+W959</f>
        <v>46153</v>
      </c>
    </row>
    <row r="960" spans="1:24" s="89" customFormat="1" ht="26.5" hidden="1" x14ac:dyDescent="0.35">
      <c r="A960" s="55">
        <f t="shared" si="241"/>
        <v>46153</v>
      </c>
      <c r="B960" s="55"/>
      <c r="C960" s="345"/>
      <c r="D960" s="55"/>
      <c r="E960" s="47" t="s">
        <v>1563</v>
      </c>
      <c r="F960" s="48" t="s">
        <v>1450</v>
      </c>
      <c r="G960" s="48"/>
      <c r="H960" s="63" t="s">
        <v>5606</v>
      </c>
      <c r="I960" s="69" t="s">
        <v>5578</v>
      </c>
      <c r="J960" s="100" t="s">
        <v>140</v>
      </c>
      <c r="K960" s="52">
        <v>0</v>
      </c>
      <c r="L960" s="52">
        <v>0</v>
      </c>
      <c r="M960" s="53">
        <v>120</v>
      </c>
      <c r="N960" s="53">
        <v>2300</v>
      </c>
      <c r="O960" s="53">
        <v>2</v>
      </c>
      <c r="P960" s="53">
        <f t="shared" si="247"/>
        <v>1150</v>
      </c>
      <c r="Q960" s="53"/>
      <c r="R960" s="53">
        <v>1150</v>
      </c>
      <c r="S960" s="53">
        <f t="shared" si="243"/>
        <v>0</v>
      </c>
      <c r="T960" s="83">
        <f t="shared" si="244"/>
        <v>1440</v>
      </c>
      <c r="U960" s="84">
        <f t="shared" si="245"/>
        <v>0</v>
      </c>
      <c r="V960" s="84">
        <f t="shared" si="246"/>
        <v>0</v>
      </c>
      <c r="W960" s="84">
        <v>0</v>
      </c>
      <c r="X960" s="55">
        <f t="shared" si="248"/>
        <v>46153</v>
      </c>
    </row>
    <row r="961" spans="1:24" hidden="1" x14ac:dyDescent="0.35">
      <c r="A961" s="55">
        <f t="shared" si="241"/>
        <v>46153</v>
      </c>
      <c r="B961" s="55"/>
      <c r="C961" s="345"/>
      <c r="D961" s="55"/>
      <c r="E961" s="47" t="s">
        <v>1563</v>
      </c>
      <c r="F961" s="82" t="s">
        <v>4878</v>
      </c>
      <c r="G961" s="82"/>
      <c r="H961" s="108">
        <v>10441</v>
      </c>
      <c r="I961" s="69" t="s">
        <v>5580</v>
      </c>
      <c r="J961" s="100" t="s">
        <v>140</v>
      </c>
      <c r="K961" s="52">
        <v>0</v>
      </c>
      <c r="L961" s="52">
        <v>0</v>
      </c>
      <c r="M961" s="53">
        <v>90</v>
      </c>
      <c r="N961" s="53">
        <v>3000</v>
      </c>
      <c r="O961" s="53">
        <v>1</v>
      </c>
      <c r="P961" s="53">
        <f t="shared" si="247"/>
        <v>3000</v>
      </c>
      <c r="Q961" s="53"/>
      <c r="R961" s="53">
        <v>3000</v>
      </c>
      <c r="S961" s="53">
        <f t="shared" si="243"/>
        <v>0</v>
      </c>
      <c r="T961" s="83">
        <f t="shared" si="244"/>
        <v>960</v>
      </c>
      <c r="U961" s="84">
        <f t="shared" si="245"/>
        <v>0</v>
      </c>
      <c r="V961" s="84">
        <f t="shared" si="246"/>
        <v>0</v>
      </c>
      <c r="W961" s="84">
        <v>0</v>
      </c>
      <c r="X961" s="55">
        <f t="shared" si="248"/>
        <v>46153</v>
      </c>
    </row>
    <row r="962" spans="1:24" hidden="1" x14ac:dyDescent="0.35">
      <c r="A962" s="55">
        <f t="shared" si="241"/>
        <v>46153</v>
      </c>
      <c r="B962" s="55"/>
      <c r="C962" s="345"/>
      <c r="D962" s="55"/>
      <c r="E962" s="419" t="s">
        <v>1563</v>
      </c>
      <c r="F962" s="220" t="s">
        <v>4878</v>
      </c>
      <c r="G962" s="220"/>
      <c r="H962" s="334" t="s">
        <v>5607</v>
      </c>
      <c r="I962" s="97" t="s">
        <v>1855</v>
      </c>
      <c r="J962" s="170" t="s">
        <v>140</v>
      </c>
      <c r="K962" s="91">
        <v>0</v>
      </c>
      <c r="L962" s="91">
        <v>0</v>
      </c>
      <c r="M962" s="92">
        <v>60</v>
      </c>
      <c r="N962" s="92">
        <v>2000</v>
      </c>
      <c r="O962" s="92">
        <v>1</v>
      </c>
      <c r="P962" s="92">
        <f t="shared" si="247"/>
        <v>2000</v>
      </c>
      <c r="Q962" s="92"/>
      <c r="R962" s="92">
        <v>2000</v>
      </c>
      <c r="S962" s="92">
        <f t="shared" si="243"/>
        <v>0</v>
      </c>
      <c r="T962" s="102">
        <f t="shared" si="244"/>
        <v>1440</v>
      </c>
      <c r="U962" s="101">
        <f t="shared" si="245"/>
        <v>0</v>
      </c>
      <c r="V962" s="101">
        <f t="shared" si="246"/>
        <v>0</v>
      </c>
      <c r="W962" s="101">
        <v>0</v>
      </c>
      <c r="X962" s="55">
        <f t="shared" si="248"/>
        <v>46153</v>
      </c>
    </row>
    <row r="963" spans="1:24" s="109" customFormat="1" ht="13" hidden="1" x14ac:dyDescent="0.3">
      <c r="A963" s="55">
        <f t="shared" si="241"/>
        <v>46153</v>
      </c>
      <c r="B963" s="55"/>
      <c r="C963" s="345"/>
      <c r="D963" s="55"/>
      <c r="E963" s="47" t="s">
        <v>1563</v>
      </c>
      <c r="F963" s="97" t="s">
        <v>2082</v>
      </c>
      <c r="G963" s="97"/>
      <c r="H963" s="108">
        <v>10477</v>
      </c>
      <c r="I963" s="97" t="s">
        <v>5608</v>
      </c>
      <c r="J963" s="77" t="s">
        <v>140</v>
      </c>
      <c r="K963" s="91">
        <v>0</v>
      </c>
      <c r="L963" s="91">
        <v>0</v>
      </c>
      <c r="M963" s="92">
        <v>70</v>
      </c>
      <c r="N963" s="345">
        <v>750</v>
      </c>
      <c r="O963" s="92">
        <v>1</v>
      </c>
      <c r="P963" s="92">
        <f t="shared" si="247"/>
        <v>750</v>
      </c>
      <c r="Q963" s="92"/>
      <c r="R963" s="92">
        <v>750</v>
      </c>
      <c r="S963" s="92">
        <f t="shared" si="243"/>
        <v>0</v>
      </c>
      <c r="T963" s="102">
        <f t="shared" si="244"/>
        <v>1234.2857142857142</v>
      </c>
      <c r="U963" s="101">
        <f t="shared" si="245"/>
        <v>0</v>
      </c>
      <c r="V963" s="101">
        <f t="shared" si="246"/>
        <v>0</v>
      </c>
      <c r="W963" s="101">
        <v>0</v>
      </c>
      <c r="X963" s="255">
        <f t="shared" si="248"/>
        <v>46153</v>
      </c>
    </row>
    <row r="964" spans="1:24" hidden="1" x14ac:dyDescent="0.35">
      <c r="A964" s="55">
        <f t="shared" si="241"/>
        <v>46153</v>
      </c>
      <c r="B964" s="55"/>
      <c r="C964" s="345"/>
      <c r="D964" s="55"/>
      <c r="E964" s="47" t="s">
        <v>1563</v>
      </c>
      <c r="F964" s="97" t="s">
        <v>2090</v>
      </c>
      <c r="G964" s="97"/>
      <c r="H964" s="108">
        <v>10503</v>
      </c>
      <c r="I964" s="97" t="s">
        <v>1443</v>
      </c>
      <c r="J964" s="77" t="s">
        <v>140</v>
      </c>
      <c r="K964" s="91">
        <v>0</v>
      </c>
      <c r="L964" s="91">
        <v>0</v>
      </c>
      <c r="M964" s="92">
        <v>70</v>
      </c>
      <c r="N964" s="345">
        <v>200</v>
      </c>
      <c r="O964" s="92">
        <v>1</v>
      </c>
      <c r="P964" s="92">
        <f t="shared" si="247"/>
        <v>200</v>
      </c>
      <c r="Q964" s="92"/>
      <c r="R964" s="92">
        <v>200</v>
      </c>
      <c r="S964" s="92">
        <f t="shared" si="243"/>
        <v>0</v>
      </c>
      <c r="T964" s="102">
        <f t="shared" si="244"/>
        <v>1234.2857142857142</v>
      </c>
      <c r="U964" s="101">
        <f t="shared" si="245"/>
        <v>0</v>
      </c>
      <c r="V964" s="101">
        <f t="shared" si="246"/>
        <v>0</v>
      </c>
      <c r="W964" s="101">
        <v>0</v>
      </c>
      <c r="X964" s="255">
        <f t="shared" si="248"/>
        <v>46153</v>
      </c>
    </row>
    <row r="965" spans="1:24" hidden="1" x14ac:dyDescent="0.35">
      <c r="A965" s="55">
        <f t="shared" si="241"/>
        <v>46153</v>
      </c>
      <c r="B965" s="55"/>
      <c r="C965" s="345"/>
      <c r="D965" s="55"/>
      <c r="E965" s="47" t="s">
        <v>1563</v>
      </c>
      <c r="F965" s="97" t="s">
        <v>2082</v>
      </c>
      <c r="G965" s="97"/>
      <c r="H965" s="108">
        <v>10487</v>
      </c>
      <c r="I965" s="97" t="s">
        <v>5609</v>
      </c>
      <c r="J965" s="77" t="s">
        <v>140</v>
      </c>
      <c r="K965" s="91">
        <v>0</v>
      </c>
      <c r="L965" s="91">
        <v>0</v>
      </c>
      <c r="M965" s="92">
        <v>70</v>
      </c>
      <c r="N965" s="345">
        <v>2500</v>
      </c>
      <c r="O965" s="92">
        <v>1</v>
      </c>
      <c r="P965" s="92">
        <f t="shared" si="247"/>
        <v>2500</v>
      </c>
      <c r="Q965" s="92"/>
      <c r="R965" s="92">
        <v>2500</v>
      </c>
      <c r="S965" s="92">
        <f t="shared" si="243"/>
        <v>0</v>
      </c>
      <c r="T965" s="102">
        <f t="shared" si="244"/>
        <v>1234.2857142857142</v>
      </c>
      <c r="U965" s="101">
        <f t="shared" si="245"/>
        <v>0</v>
      </c>
      <c r="V965" s="101">
        <f t="shared" si="246"/>
        <v>0</v>
      </c>
      <c r="W965" s="101">
        <v>0</v>
      </c>
      <c r="X965" s="255">
        <f t="shared" si="248"/>
        <v>46153</v>
      </c>
    </row>
    <row r="966" spans="1:24" hidden="1" x14ac:dyDescent="0.35">
      <c r="A966" s="55">
        <f t="shared" si="241"/>
        <v>46153</v>
      </c>
      <c r="B966" s="55"/>
      <c r="C966" s="345"/>
      <c r="D966" s="55"/>
      <c r="E966" s="47" t="s">
        <v>1563</v>
      </c>
      <c r="F966" s="97" t="s">
        <v>2090</v>
      </c>
      <c r="G966" s="97"/>
      <c r="H966" s="108">
        <v>10506</v>
      </c>
      <c r="I966" s="97" t="s">
        <v>5610</v>
      </c>
      <c r="J966" s="77" t="s">
        <v>140</v>
      </c>
      <c r="K966" s="91">
        <v>0</v>
      </c>
      <c r="L966" s="91">
        <v>0</v>
      </c>
      <c r="M966" s="92">
        <v>70</v>
      </c>
      <c r="N966" s="345">
        <v>100</v>
      </c>
      <c r="O966" s="92">
        <v>1</v>
      </c>
      <c r="P966" s="92">
        <f t="shared" si="247"/>
        <v>100</v>
      </c>
      <c r="Q966" s="92"/>
      <c r="R966" s="92">
        <v>100</v>
      </c>
      <c r="S966" s="92">
        <f t="shared" si="243"/>
        <v>0</v>
      </c>
      <c r="T966" s="102">
        <f t="shared" si="244"/>
        <v>1234.2857142857142</v>
      </c>
      <c r="U966" s="101">
        <f t="shared" si="245"/>
        <v>0</v>
      </c>
      <c r="V966" s="101">
        <f t="shared" si="246"/>
        <v>0</v>
      </c>
      <c r="W966" s="101">
        <v>0</v>
      </c>
      <c r="X966" s="255">
        <f t="shared" si="248"/>
        <v>46153</v>
      </c>
    </row>
    <row r="967" spans="1:24" hidden="1" x14ac:dyDescent="0.35">
      <c r="A967" s="55">
        <f t="shared" si="241"/>
        <v>46153</v>
      </c>
      <c r="B967" s="55"/>
      <c r="C967" s="345"/>
      <c r="D967" s="55"/>
      <c r="E967" s="47" t="s">
        <v>1563</v>
      </c>
      <c r="F967" s="97" t="s">
        <v>2090</v>
      </c>
      <c r="G967" s="97"/>
      <c r="H967" s="108">
        <v>10508</v>
      </c>
      <c r="I967" s="97" t="s">
        <v>1445</v>
      </c>
      <c r="J967" s="77" t="s">
        <v>140</v>
      </c>
      <c r="K967" s="91">
        <v>0</v>
      </c>
      <c r="L967" s="91">
        <v>0</v>
      </c>
      <c r="M967" s="92">
        <v>70</v>
      </c>
      <c r="N967" s="345">
        <v>200</v>
      </c>
      <c r="O967" s="92">
        <v>1</v>
      </c>
      <c r="P967" s="92">
        <f t="shared" si="247"/>
        <v>200</v>
      </c>
      <c r="Q967" s="92"/>
      <c r="R967" s="92">
        <v>200</v>
      </c>
      <c r="S967" s="92">
        <f t="shared" si="243"/>
        <v>0</v>
      </c>
      <c r="T967" s="102">
        <f t="shared" si="244"/>
        <v>1234.2857142857142</v>
      </c>
      <c r="U967" s="101">
        <f t="shared" si="245"/>
        <v>0</v>
      </c>
      <c r="V967" s="101">
        <f t="shared" si="246"/>
        <v>0</v>
      </c>
      <c r="W967" s="101">
        <v>0</v>
      </c>
      <c r="X967" s="255">
        <f t="shared" si="248"/>
        <v>46153</v>
      </c>
    </row>
    <row r="968" spans="1:24" ht="25" hidden="1" customHeight="1" x14ac:dyDescent="0.35">
      <c r="A968" s="55">
        <f t="shared" si="241"/>
        <v>46153</v>
      </c>
      <c r="B968" s="55"/>
      <c r="C968" s="345"/>
      <c r="D968" s="55"/>
      <c r="E968" s="47" t="s">
        <v>1563</v>
      </c>
      <c r="F968" s="97" t="s">
        <v>600</v>
      </c>
      <c r="G968" s="97"/>
      <c r="H968" s="108">
        <v>10592</v>
      </c>
      <c r="I968" s="97" t="s">
        <v>5609</v>
      </c>
      <c r="J968" s="77" t="s">
        <v>140</v>
      </c>
      <c r="K968" s="91">
        <v>0</v>
      </c>
      <c r="L968" s="91">
        <v>0</v>
      </c>
      <c r="M968" s="92">
        <v>70</v>
      </c>
      <c r="N968" s="345">
        <v>500</v>
      </c>
      <c r="O968" s="92">
        <v>1</v>
      </c>
      <c r="P968" s="92">
        <f t="shared" si="247"/>
        <v>500</v>
      </c>
      <c r="Q968" s="92"/>
      <c r="R968" s="92">
        <v>500</v>
      </c>
      <c r="S968" s="92">
        <f t="shared" si="243"/>
        <v>0</v>
      </c>
      <c r="T968" s="102">
        <f t="shared" si="244"/>
        <v>1234.2857142857142</v>
      </c>
      <c r="U968" s="101">
        <f t="shared" si="245"/>
        <v>0</v>
      </c>
      <c r="V968" s="101">
        <f t="shared" si="246"/>
        <v>0</v>
      </c>
      <c r="W968" s="101">
        <v>0</v>
      </c>
      <c r="X968" s="255">
        <f t="shared" si="248"/>
        <v>46153</v>
      </c>
    </row>
    <row r="969" spans="1:24" ht="25" hidden="1" customHeight="1" x14ac:dyDescent="0.35">
      <c r="A969" s="55">
        <f t="shared" si="241"/>
        <v>46153</v>
      </c>
      <c r="B969" s="55"/>
      <c r="C969" s="345"/>
      <c r="D969" s="55"/>
      <c r="E969" s="47" t="s">
        <v>4270</v>
      </c>
      <c r="F969" s="48" t="s">
        <v>1747</v>
      </c>
      <c r="G969" s="48"/>
      <c r="H969" s="49" t="s">
        <v>5611</v>
      </c>
      <c r="I969" s="82" t="s">
        <v>292</v>
      </c>
      <c r="J969" s="100" t="s">
        <v>140</v>
      </c>
      <c r="K969" s="52">
        <v>0</v>
      </c>
      <c r="L969" s="52">
        <v>0</v>
      </c>
      <c r="M969" s="53">
        <v>120</v>
      </c>
      <c r="N969" s="53">
        <v>2600</v>
      </c>
      <c r="O969" s="53">
        <v>2</v>
      </c>
      <c r="P969" s="53">
        <f t="shared" si="247"/>
        <v>1300</v>
      </c>
      <c r="Q969" s="53"/>
      <c r="R969" s="53">
        <v>1300</v>
      </c>
      <c r="S969" s="53">
        <f t="shared" si="243"/>
        <v>0</v>
      </c>
      <c r="T969" s="83">
        <f t="shared" si="244"/>
        <v>1440</v>
      </c>
      <c r="U969" s="84">
        <f t="shared" si="245"/>
        <v>0</v>
      </c>
      <c r="V969" s="84">
        <f t="shared" si="246"/>
        <v>0</v>
      </c>
      <c r="W969" s="101">
        <v>0</v>
      </c>
      <c r="X969" s="55">
        <f>A969+K969+V969+W969+L969</f>
        <v>46153</v>
      </c>
    </row>
    <row r="970" spans="1:24" ht="25" hidden="1" customHeight="1" x14ac:dyDescent="0.35">
      <c r="A970" s="55">
        <f t="shared" si="241"/>
        <v>46153</v>
      </c>
      <c r="B970" s="55"/>
      <c r="C970" s="345"/>
      <c r="D970" s="55"/>
      <c r="E970" s="47" t="s">
        <v>2775</v>
      </c>
      <c r="F970" s="69" t="s">
        <v>600</v>
      </c>
      <c r="G970" s="69"/>
      <c r="H970" s="340" t="s">
        <v>5612</v>
      </c>
      <c r="I970" s="82" t="s">
        <v>5613</v>
      </c>
      <c r="J970" s="100" t="s">
        <v>140</v>
      </c>
      <c r="K970" s="91">
        <v>0</v>
      </c>
      <c r="L970" s="91">
        <v>0</v>
      </c>
      <c r="M970" s="92">
        <v>85</v>
      </c>
      <c r="N970" s="92">
        <v>500</v>
      </c>
      <c r="O970" s="92">
        <v>1</v>
      </c>
      <c r="P970" s="92">
        <f t="shared" si="247"/>
        <v>500</v>
      </c>
      <c r="Q970" s="92"/>
      <c r="R970" s="92">
        <v>500</v>
      </c>
      <c r="S970" s="92">
        <f t="shared" si="243"/>
        <v>0</v>
      </c>
      <c r="T970" s="102">
        <f t="shared" si="244"/>
        <v>1016.4705882352941</v>
      </c>
      <c r="U970" s="101">
        <f t="shared" si="245"/>
        <v>0</v>
      </c>
      <c r="V970" s="101">
        <f t="shared" si="246"/>
        <v>0</v>
      </c>
      <c r="W970" s="101">
        <v>0</v>
      </c>
      <c r="X970" s="55">
        <f>A970+K970+V970+W970+L970</f>
        <v>46153</v>
      </c>
    </row>
    <row r="971" spans="1:24" ht="26.5" hidden="1" x14ac:dyDescent="0.35">
      <c r="A971" s="55">
        <f t="shared" si="241"/>
        <v>46153</v>
      </c>
      <c r="B971" s="55"/>
      <c r="C971" s="345"/>
      <c r="D971" s="55"/>
      <c r="E971" s="47" t="s">
        <v>4270</v>
      </c>
      <c r="F971" s="48" t="s">
        <v>1752</v>
      </c>
      <c r="G971" s="48"/>
      <c r="H971" s="49" t="s">
        <v>5614</v>
      </c>
      <c r="I971" s="82" t="s">
        <v>292</v>
      </c>
      <c r="J971" s="100" t="s">
        <v>140</v>
      </c>
      <c r="K971" s="52">
        <v>0</v>
      </c>
      <c r="L971" s="52">
        <v>0</v>
      </c>
      <c r="M971" s="53">
        <v>120</v>
      </c>
      <c r="N971" s="53">
        <v>1000</v>
      </c>
      <c r="O971" s="53">
        <v>2</v>
      </c>
      <c r="P971" s="53">
        <f t="shared" si="247"/>
        <v>500</v>
      </c>
      <c r="Q971" s="53"/>
      <c r="R971" s="53">
        <v>500</v>
      </c>
      <c r="S971" s="53">
        <f t="shared" si="243"/>
        <v>0</v>
      </c>
      <c r="T971" s="83">
        <f t="shared" si="244"/>
        <v>1440</v>
      </c>
      <c r="U971" s="84">
        <f t="shared" si="245"/>
        <v>0</v>
      </c>
      <c r="V971" s="84">
        <f t="shared" si="246"/>
        <v>0</v>
      </c>
      <c r="W971" s="101">
        <v>0</v>
      </c>
      <c r="X971" s="55">
        <f>A971+K971+V971+W971+L971</f>
        <v>46153</v>
      </c>
    </row>
    <row r="972" spans="1:24" ht="29" hidden="1" x14ac:dyDescent="0.35">
      <c r="A972" s="55">
        <f t="shared" si="241"/>
        <v>46153</v>
      </c>
      <c r="B972" s="55"/>
      <c r="C972" s="345"/>
      <c r="D972" s="55"/>
      <c r="E972" s="47" t="s">
        <v>1563</v>
      </c>
      <c r="F972" s="48" t="s">
        <v>165</v>
      </c>
      <c r="G972" s="48"/>
      <c r="H972" s="1012" t="s">
        <v>5615</v>
      </c>
      <c r="I972" s="97" t="s">
        <v>1855</v>
      </c>
      <c r="J972" s="170" t="s">
        <v>140</v>
      </c>
      <c r="K972" s="91">
        <v>0</v>
      </c>
      <c r="L972" s="91">
        <v>0</v>
      </c>
      <c r="M972" s="92">
        <v>60</v>
      </c>
      <c r="N972" s="92">
        <v>2000</v>
      </c>
      <c r="O972" s="92">
        <v>1</v>
      </c>
      <c r="P972" s="92">
        <f t="shared" si="247"/>
        <v>2000</v>
      </c>
      <c r="Q972" s="92"/>
      <c r="R972" s="92">
        <v>2000</v>
      </c>
      <c r="S972" s="92">
        <f t="shared" si="243"/>
        <v>0</v>
      </c>
      <c r="T972" s="102">
        <f t="shared" si="244"/>
        <v>1440</v>
      </c>
      <c r="U972" s="101">
        <f t="shared" si="245"/>
        <v>0</v>
      </c>
      <c r="V972" s="101">
        <f t="shared" si="246"/>
        <v>0</v>
      </c>
      <c r="W972" s="101">
        <v>0</v>
      </c>
      <c r="X972" s="55">
        <f>A972+K972+L972+V972+W972</f>
        <v>46153</v>
      </c>
    </row>
    <row r="973" spans="1:24" ht="29" hidden="1" x14ac:dyDescent="0.35">
      <c r="A973" s="55">
        <f t="shared" si="241"/>
        <v>46153</v>
      </c>
      <c r="B973" s="55"/>
      <c r="C973" s="345"/>
      <c r="D973" s="55"/>
      <c r="E973" s="47" t="s">
        <v>1563</v>
      </c>
      <c r="F973" s="48" t="s">
        <v>165</v>
      </c>
      <c r="G973" s="48"/>
      <c r="H973" s="1012" t="s">
        <v>5615</v>
      </c>
      <c r="I973" s="97" t="s">
        <v>1855</v>
      </c>
      <c r="J973" s="170" t="s">
        <v>140</v>
      </c>
      <c r="K973" s="91">
        <v>0</v>
      </c>
      <c r="L973" s="91">
        <v>0</v>
      </c>
      <c r="M973" s="92">
        <v>60</v>
      </c>
      <c r="N973" s="92">
        <v>6000</v>
      </c>
      <c r="O973" s="92">
        <v>1</v>
      </c>
      <c r="P973" s="92">
        <f t="shared" si="247"/>
        <v>6000</v>
      </c>
      <c r="Q973" s="92"/>
      <c r="R973" s="92">
        <v>6000</v>
      </c>
      <c r="S973" s="92">
        <f t="shared" si="243"/>
        <v>0</v>
      </c>
      <c r="T973" s="102">
        <f t="shared" si="244"/>
        <v>1440</v>
      </c>
      <c r="U973" s="101">
        <f t="shared" si="245"/>
        <v>0</v>
      </c>
      <c r="V973" s="101">
        <f t="shared" si="246"/>
        <v>0</v>
      </c>
      <c r="W973" s="101">
        <v>0</v>
      </c>
      <c r="X973" s="55">
        <f>A973+K973+L973+V973+W973</f>
        <v>46153</v>
      </c>
    </row>
    <row r="974" spans="1:24" hidden="1" x14ac:dyDescent="0.35">
      <c r="A974" s="55">
        <f t="shared" si="241"/>
        <v>46153</v>
      </c>
      <c r="B974" s="55"/>
      <c r="C974" s="345"/>
      <c r="D974" s="55"/>
      <c r="E974" s="47" t="s">
        <v>1563</v>
      </c>
      <c r="F974" s="57" t="s">
        <v>1483</v>
      </c>
      <c r="G974" s="57"/>
      <c r="H974" s="66">
        <v>10862</v>
      </c>
      <c r="I974" s="97" t="s">
        <v>1301</v>
      </c>
      <c r="J974" s="77" t="s">
        <v>140</v>
      </c>
      <c r="K974" s="52">
        <v>0</v>
      </c>
      <c r="L974" s="52">
        <v>0</v>
      </c>
      <c r="M974" s="53">
        <v>70</v>
      </c>
      <c r="N974" s="342">
        <v>1700</v>
      </c>
      <c r="O974" s="53">
        <v>1</v>
      </c>
      <c r="P974" s="53">
        <f t="shared" si="247"/>
        <v>1700</v>
      </c>
      <c r="Q974" s="53"/>
      <c r="R974" s="53">
        <v>1700</v>
      </c>
      <c r="S974" s="53">
        <f t="shared" si="243"/>
        <v>0</v>
      </c>
      <c r="T974" s="83">
        <f t="shared" si="244"/>
        <v>1234.2857142857142</v>
      </c>
      <c r="U974" s="84">
        <f t="shared" si="245"/>
        <v>0</v>
      </c>
      <c r="V974" s="84">
        <f t="shared" si="246"/>
        <v>0</v>
      </c>
      <c r="W974" s="84">
        <v>0</v>
      </c>
      <c r="X974" s="255">
        <f>A974+K974+L974+V974+W974</f>
        <v>46153</v>
      </c>
    </row>
    <row r="975" spans="1:24" ht="26.5" hidden="1" x14ac:dyDescent="0.35">
      <c r="A975" s="55">
        <f t="shared" si="241"/>
        <v>46153</v>
      </c>
      <c r="B975" s="55"/>
      <c r="C975" s="345"/>
      <c r="D975" s="55"/>
      <c r="E975" s="47" t="s">
        <v>4270</v>
      </c>
      <c r="F975" s="82" t="s">
        <v>631</v>
      </c>
      <c r="G975" s="82"/>
      <c r="H975" s="98" t="s">
        <v>5616</v>
      </c>
      <c r="I975" s="82" t="s">
        <v>292</v>
      </c>
      <c r="J975" s="100" t="s">
        <v>140</v>
      </c>
      <c r="K975" s="91">
        <v>0</v>
      </c>
      <c r="L975" s="91">
        <v>0</v>
      </c>
      <c r="M975" s="92">
        <v>120</v>
      </c>
      <c r="N975" s="92">
        <v>1000</v>
      </c>
      <c r="O975" s="92">
        <v>2</v>
      </c>
      <c r="P975" s="92">
        <f t="shared" si="247"/>
        <v>500</v>
      </c>
      <c r="Q975" s="92"/>
      <c r="R975" s="92">
        <v>500</v>
      </c>
      <c r="S975" s="92">
        <f t="shared" si="243"/>
        <v>0</v>
      </c>
      <c r="T975" s="102">
        <f t="shared" si="244"/>
        <v>1440</v>
      </c>
      <c r="U975" s="101">
        <f t="shared" si="245"/>
        <v>0</v>
      </c>
      <c r="V975" s="101">
        <f t="shared" si="246"/>
        <v>0</v>
      </c>
      <c r="W975" s="101">
        <v>0</v>
      </c>
      <c r="X975" s="55">
        <f>A975+K975+V975+W975+L975</f>
        <v>46153</v>
      </c>
    </row>
    <row r="976" spans="1:24" ht="26.5" hidden="1" x14ac:dyDescent="0.35">
      <c r="A976" s="55">
        <f t="shared" si="241"/>
        <v>46153</v>
      </c>
      <c r="B976" s="55"/>
      <c r="C976" s="345"/>
      <c r="D976" s="55"/>
      <c r="E976" s="47" t="s">
        <v>4270</v>
      </c>
      <c r="F976" s="82"/>
      <c r="G976" s="82"/>
      <c r="H976" s="98" t="s">
        <v>5617</v>
      </c>
      <c r="I976" s="82" t="s">
        <v>292</v>
      </c>
      <c r="J976" s="100" t="s">
        <v>140</v>
      </c>
      <c r="K976" s="91">
        <v>0</v>
      </c>
      <c r="L976" s="91">
        <v>0</v>
      </c>
      <c r="M976" s="92">
        <v>120</v>
      </c>
      <c r="N976" s="92">
        <v>2100</v>
      </c>
      <c r="O976" s="92">
        <v>2</v>
      </c>
      <c r="P976" s="92">
        <f t="shared" si="247"/>
        <v>1050</v>
      </c>
      <c r="Q976" s="92"/>
      <c r="R976" s="92">
        <v>1050</v>
      </c>
      <c r="S976" s="92">
        <f t="shared" si="243"/>
        <v>0</v>
      </c>
      <c r="T976" s="102">
        <f t="shared" si="244"/>
        <v>1440</v>
      </c>
      <c r="U976" s="101">
        <f t="shared" si="245"/>
        <v>0</v>
      </c>
      <c r="V976" s="101">
        <f t="shared" si="246"/>
        <v>0</v>
      </c>
      <c r="W976" s="101">
        <v>0</v>
      </c>
      <c r="X976" s="55">
        <f>A976+K976+V976+W976+L976</f>
        <v>46153</v>
      </c>
    </row>
    <row r="977" spans="1:24" hidden="1" x14ac:dyDescent="0.35">
      <c r="A977" s="55">
        <f t="shared" si="241"/>
        <v>46153</v>
      </c>
      <c r="B977" s="55"/>
      <c r="C977" s="345"/>
      <c r="D977" s="55"/>
      <c r="E977" s="47" t="s">
        <v>1563</v>
      </c>
      <c r="F977" s="69" t="s">
        <v>1490</v>
      </c>
      <c r="G977" s="69"/>
      <c r="H977" s="66">
        <v>11010</v>
      </c>
      <c r="I977" s="97" t="s">
        <v>5610</v>
      </c>
      <c r="J977" s="77" t="s">
        <v>140</v>
      </c>
      <c r="K977" s="91">
        <v>0</v>
      </c>
      <c r="L977" s="91">
        <v>0</v>
      </c>
      <c r="M977" s="53">
        <v>70</v>
      </c>
      <c r="N977" s="342">
        <v>300</v>
      </c>
      <c r="O977" s="53">
        <v>1</v>
      </c>
      <c r="P977" s="53">
        <f t="shared" si="247"/>
        <v>300</v>
      </c>
      <c r="Q977" s="53"/>
      <c r="R977" s="53">
        <v>300</v>
      </c>
      <c r="S977" s="53">
        <f t="shared" si="243"/>
        <v>0</v>
      </c>
      <c r="T977" s="83">
        <f t="shared" si="244"/>
        <v>1234.2857142857142</v>
      </c>
      <c r="U977" s="84">
        <f t="shared" si="245"/>
        <v>0</v>
      </c>
      <c r="V977" s="84">
        <f t="shared" si="246"/>
        <v>0</v>
      </c>
      <c r="W977" s="84">
        <v>0</v>
      </c>
      <c r="X977" s="255">
        <f>A977+K977+L977+V977+W977</f>
        <v>46153</v>
      </c>
    </row>
    <row r="978" spans="1:24" hidden="1" x14ac:dyDescent="0.35">
      <c r="A978" s="55">
        <f t="shared" si="241"/>
        <v>46153</v>
      </c>
      <c r="B978" s="55"/>
      <c r="C978" s="345"/>
      <c r="D978" s="55"/>
      <c r="E978" s="47" t="s">
        <v>1563</v>
      </c>
      <c r="F978" s="69" t="s">
        <v>2495</v>
      </c>
      <c r="G978" s="69"/>
      <c r="H978" s="66">
        <v>11078</v>
      </c>
      <c r="I978" s="967" t="s">
        <v>5610</v>
      </c>
      <c r="J978" s="77" t="s">
        <v>140</v>
      </c>
      <c r="K978" s="91">
        <v>0</v>
      </c>
      <c r="L978" s="91">
        <v>0</v>
      </c>
      <c r="M978" s="53">
        <v>70</v>
      </c>
      <c r="N978" s="342">
        <v>400</v>
      </c>
      <c r="O978" s="53">
        <v>1</v>
      </c>
      <c r="P978" s="53">
        <f t="shared" si="247"/>
        <v>400</v>
      </c>
      <c r="Q978" s="53"/>
      <c r="R978" s="53">
        <v>400</v>
      </c>
      <c r="S978" s="53">
        <f t="shared" si="243"/>
        <v>0</v>
      </c>
      <c r="T978" s="83">
        <f t="shared" si="244"/>
        <v>1234.2857142857142</v>
      </c>
      <c r="U978" s="84">
        <f t="shared" si="245"/>
        <v>0</v>
      </c>
      <c r="V978" s="84">
        <f t="shared" si="246"/>
        <v>0</v>
      </c>
      <c r="W978" s="84">
        <v>0</v>
      </c>
      <c r="X978" s="255">
        <f>A978+K978+L978+V978+W978</f>
        <v>46153</v>
      </c>
    </row>
    <row r="979" spans="1:24" hidden="1" x14ac:dyDescent="0.35">
      <c r="A979" s="55">
        <f t="shared" si="241"/>
        <v>46153</v>
      </c>
      <c r="B979" s="55"/>
      <c r="C979" s="345"/>
      <c r="D979" s="55"/>
      <c r="E979" s="47" t="s">
        <v>1563</v>
      </c>
      <c r="F979" s="69" t="s">
        <v>2495</v>
      </c>
      <c r="G979" s="69"/>
      <c r="H979" s="66">
        <v>11077</v>
      </c>
      <c r="I979" s="967" t="s">
        <v>1443</v>
      </c>
      <c r="J979" s="77" t="s">
        <v>140</v>
      </c>
      <c r="K979" s="91">
        <v>0</v>
      </c>
      <c r="L979" s="91">
        <v>0</v>
      </c>
      <c r="M979" s="53">
        <v>70</v>
      </c>
      <c r="N979" s="342">
        <v>400</v>
      </c>
      <c r="O979" s="53">
        <v>1</v>
      </c>
      <c r="P979" s="53">
        <f t="shared" si="247"/>
        <v>400</v>
      </c>
      <c r="Q979" s="53"/>
      <c r="R979" s="53">
        <v>400</v>
      </c>
      <c r="S979" s="53">
        <f t="shared" si="243"/>
        <v>0</v>
      </c>
      <c r="T979" s="83">
        <f t="shared" si="244"/>
        <v>1234.2857142857142</v>
      </c>
      <c r="U979" s="84">
        <f t="shared" si="245"/>
        <v>0</v>
      </c>
      <c r="V979" s="84">
        <f t="shared" si="246"/>
        <v>0</v>
      </c>
      <c r="W979" s="84">
        <v>0</v>
      </c>
      <c r="X979" s="255">
        <f>A979+K979+L979+V979+W979</f>
        <v>46153</v>
      </c>
    </row>
    <row r="980" spans="1:24" hidden="1" x14ac:dyDescent="0.35">
      <c r="A980" s="55">
        <f t="shared" si="241"/>
        <v>46153</v>
      </c>
      <c r="B980" s="55"/>
      <c r="C980" s="345"/>
      <c r="D980" s="55"/>
      <c r="E980" s="47" t="s">
        <v>1563</v>
      </c>
      <c r="F980" s="69" t="s">
        <v>1498</v>
      </c>
      <c r="G980" s="69"/>
      <c r="H980" s="66">
        <v>11037</v>
      </c>
      <c r="I980" s="967" t="s">
        <v>5609</v>
      </c>
      <c r="J980" s="77" t="s">
        <v>140</v>
      </c>
      <c r="K980" s="91">
        <v>0</v>
      </c>
      <c r="L980" s="91">
        <v>0</v>
      </c>
      <c r="M980" s="53">
        <v>70</v>
      </c>
      <c r="N980" s="342">
        <v>2550</v>
      </c>
      <c r="O980" s="53">
        <v>1</v>
      </c>
      <c r="P980" s="53">
        <f t="shared" si="247"/>
        <v>2550</v>
      </c>
      <c r="Q980" s="53"/>
      <c r="R980" s="53">
        <v>2550</v>
      </c>
      <c r="S980" s="53">
        <f t="shared" si="243"/>
        <v>0</v>
      </c>
      <c r="T980" s="83">
        <f t="shared" si="244"/>
        <v>1234.2857142857142</v>
      </c>
      <c r="U980" s="84">
        <f t="shared" si="245"/>
        <v>0</v>
      </c>
      <c r="V980" s="84">
        <f t="shared" si="246"/>
        <v>0</v>
      </c>
      <c r="W980" s="84">
        <v>0</v>
      </c>
      <c r="X980" s="255">
        <f>A980+K980+L980+V980+W980</f>
        <v>46153</v>
      </c>
    </row>
    <row r="981" spans="1:24" hidden="1" x14ac:dyDescent="0.35">
      <c r="A981" s="55">
        <f t="shared" si="241"/>
        <v>46153</v>
      </c>
      <c r="B981" s="55"/>
      <c r="C981" s="345"/>
      <c r="D981" s="55"/>
      <c r="E981" s="47" t="s">
        <v>1563</v>
      </c>
      <c r="F981" s="69" t="s">
        <v>647</v>
      </c>
      <c r="G981" s="69"/>
      <c r="H981" s="66">
        <v>11162</v>
      </c>
      <c r="I981" s="967" t="s">
        <v>1301</v>
      </c>
      <c r="J981" s="77" t="s">
        <v>140</v>
      </c>
      <c r="K981" s="91">
        <v>0</v>
      </c>
      <c r="L981" s="91">
        <v>0</v>
      </c>
      <c r="M981" s="53">
        <v>70</v>
      </c>
      <c r="N981" s="342">
        <v>300</v>
      </c>
      <c r="O981" s="53">
        <v>1</v>
      </c>
      <c r="P981" s="53">
        <f t="shared" si="247"/>
        <v>300</v>
      </c>
      <c r="Q981" s="53"/>
      <c r="R981" s="53">
        <v>300</v>
      </c>
      <c r="S981" s="53">
        <f t="shared" si="243"/>
        <v>0</v>
      </c>
      <c r="T981" s="83">
        <f t="shared" si="244"/>
        <v>1234.2857142857142</v>
      </c>
      <c r="U981" s="84">
        <f t="shared" si="245"/>
        <v>0</v>
      </c>
      <c r="V981" s="84">
        <f t="shared" si="246"/>
        <v>0</v>
      </c>
      <c r="W981" s="84">
        <v>0</v>
      </c>
      <c r="X981" s="255">
        <f>A981+K981+L981+V981+W981</f>
        <v>46153</v>
      </c>
    </row>
    <row r="982" spans="1:24" ht="26.5" hidden="1" x14ac:dyDescent="0.35">
      <c r="A982" s="55">
        <f t="shared" si="241"/>
        <v>46153</v>
      </c>
      <c r="B982" s="55"/>
      <c r="C982" s="345"/>
      <c r="D982" s="55"/>
      <c r="E982" s="47" t="s">
        <v>4270</v>
      </c>
      <c r="F982" s="82" t="s">
        <v>1158</v>
      </c>
      <c r="G982" s="82"/>
      <c r="H982" s="98" t="s">
        <v>5618</v>
      </c>
      <c r="I982" s="82" t="s">
        <v>292</v>
      </c>
      <c r="J982" s="100" t="s">
        <v>140</v>
      </c>
      <c r="K982" s="91">
        <v>0</v>
      </c>
      <c r="L982" s="91">
        <v>0</v>
      </c>
      <c r="M982" s="92">
        <v>120</v>
      </c>
      <c r="N982" s="92">
        <v>1000</v>
      </c>
      <c r="O982" s="92">
        <v>2</v>
      </c>
      <c r="P982" s="92">
        <f t="shared" si="247"/>
        <v>500</v>
      </c>
      <c r="Q982" s="92"/>
      <c r="R982" s="92">
        <v>500</v>
      </c>
      <c r="S982" s="92">
        <f t="shared" si="243"/>
        <v>0</v>
      </c>
      <c r="T982" s="102">
        <f t="shared" si="244"/>
        <v>1440</v>
      </c>
      <c r="U982" s="101">
        <f t="shared" si="245"/>
        <v>0</v>
      </c>
      <c r="V982" s="101">
        <f t="shared" si="246"/>
        <v>0</v>
      </c>
      <c r="W982" s="101">
        <v>0</v>
      </c>
      <c r="X982" s="55">
        <f>A982+K982+V982+W982+L982</f>
        <v>46153</v>
      </c>
    </row>
    <row r="983" spans="1:24" ht="26.5" hidden="1" x14ac:dyDescent="0.35">
      <c r="A983" s="55">
        <f t="shared" si="241"/>
        <v>46153</v>
      </c>
      <c r="B983" s="55"/>
      <c r="C983" s="345"/>
      <c r="D983" s="55"/>
      <c r="E983" s="47" t="s">
        <v>4270</v>
      </c>
      <c r="F983" s="82" t="s">
        <v>1160</v>
      </c>
      <c r="G983" s="82"/>
      <c r="H983" s="98" t="s">
        <v>5619</v>
      </c>
      <c r="I983" s="82" t="s">
        <v>292</v>
      </c>
      <c r="J983" s="100" t="s">
        <v>140</v>
      </c>
      <c r="K983" s="91">
        <v>0</v>
      </c>
      <c r="L983" s="91">
        <v>0</v>
      </c>
      <c r="M983" s="92">
        <v>120</v>
      </c>
      <c r="N983" s="92">
        <v>2016</v>
      </c>
      <c r="O983" s="92">
        <v>2</v>
      </c>
      <c r="P983" s="92">
        <f t="shared" si="247"/>
        <v>1008</v>
      </c>
      <c r="Q983" s="92"/>
      <c r="R983" s="92">
        <v>1008</v>
      </c>
      <c r="S983" s="92">
        <f t="shared" si="243"/>
        <v>0</v>
      </c>
      <c r="T983" s="102">
        <f t="shared" si="244"/>
        <v>1440</v>
      </c>
      <c r="U983" s="101">
        <f t="shared" si="245"/>
        <v>0</v>
      </c>
      <c r="V983" s="101">
        <f t="shared" si="246"/>
        <v>0</v>
      </c>
      <c r="W983" s="101">
        <v>0</v>
      </c>
      <c r="X983" s="55">
        <f>A983+K983+V983+W983+L983</f>
        <v>46153</v>
      </c>
    </row>
    <row r="984" spans="1:24" ht="26.5" hidden="1" x14ac:dyDescent="0.35">
      <c r="A984" s="55">
        <f t="shared" si="241"/>
        <v>46153</v>
      </c>
      <c r="B984" s="55"/>
      <c r="C984" s="345"/>
      <c r="D984" s="55"/>
      <c r="E984" s="47" t="s">
        <v>4270</v>
      </c>
      <c r="F984" s="82" t="s">
        <v>633</v>
      </c>
      <c r="G984" s="82"/>
      <c r="H984" s="98" t="s">
        <v>5620</v>
      </c>
      <c r="I984" s="82" t="s">
        <v>292</v>
      </c>
      <c r="J984" s="100" t="s">
        <v>140</v>
      </c>
      <c r="K984" s="91">
        <v>0</v>
      </c>
      <c r="L984" s="91">
        <v>0</v>
      </c>
      <c r="M984" s="92">
        <v>120</v>
      </c>
      <c r="N984" s="92">
        <v>600</v>
      </c>
      <c r="O984" s="92">
        <v>2</v>
      </c>
      <c r="P984" s="92">
        <f t="shared" si="247"/>
        <v>300</v>
      </c>
      <c r="Q984" s="92"/>
      <c r="R984" s="92">
        <v>300</v>
      </c>
      <c r="S984" s="92">
        <f t="shared" si="243"/>
        <v>0</v>
      </c>
      <c r="T984" s="102">
        <f t="shared" si="244"/>
        <v>1440</v>
      </c>
      <c r="U984" s="101">
        <f t="shared" si="245"/>
        <v>0</v>
      </c>
      <c r="V984" s="101">
        <f t="shared" si="246"/>
        <v>0</v>
      </c>
      <c r="W984" s="101">
        <v>0</v>
      </c>
      <c r="X984" s="55">
        <f>A984+K984+V984+W984+L984</f>
        <v>46153</v>
      </c>
    </row>
    <row r="985" spans="1:24" hidden="1" x14ac:dyDescent="0.35">
      <c r="A985" s="55">
        <f t="shared" si="241"/>
        <v>46153</v>
      </c>
      <c r="B985" s="55"/>
      <c r="C985" s="345"/>
      <c r="D985" s="55"/>
      <c r="E985" s="47" t="s">
        <v>1563</v>
      </c>
      <c r="F985" s="69" t="s">
        <v>657</v>
      </c>
      <c r="G985" s="69"/>
      <c r="H985" s="66">
        <v>11239</v>
      </c>
      <c r="I985" s="967" t="s">
        <v>1443</v>
      </c>
      <c r="J985" s="77" t="s">
        <v>140</v>
      </c>
      <c r="K985" s="91">
        <v>0</v>
      </c>
      <c r="L985" s="91">
        <v>0</v>
      </c>
      <c r="M985" s="53">
        <v>70</v>
      </c>
      <c r="N985" s="342">
        <v>500</v>
      </c>
      <c r="O985" s="53">
        <v>1</v>
      </c>
      <c r="P985" s="53">
        <f t="shared" si="247"/>
        <v>500</v>
      </c>
      <c r="Q985" s="53"/>
      <c r="R985" s="53">
        <v>500</v>
      </c>
      <c r="S985" s="53">
        <f t="shared" si="243"/>
        <v>0</v>
      </c>
      <c r="T985" s="83">
        <f t="shared" si="244"/>
        <v>1234.2857142857142</v>
      </c>
      <c r="U985" s="84">
        <f t="shared" si="245"/>
        <v>0</v>
      </c>
      <c r="V985" s="84">
        <f t="shared" si="246"/>
        <v>0</v>
      </c>
      <c r="W985" s="84">
        <v>0</v>
      </c>
      <c r="X985" s="255">
        <f>A985+K985+L985+V985+W985</f>
        <v>46153</v>
      </c>
    </row>
    <row r="986" spans="1:24" hidden="1" x14ac:dyDescent="0.35">
      <c r="A986" s="55">
        <f t="shared" si="241"/>
        <v>46153</v>
      </c>
      <c r="B986" s="55"/>
      <c r="C986" s="345"/>
      <c r="D986" s="55"/>
      <c r="E986" s="47" t="s">
        <v>1563</v>
      </c>
      <c r="F986" s="48" t="s">
        <v>633</v>
      </c>
      <c r="G986" s="48"/>
      <c r="H986" s="1012" t="s">
        <v>5621</v>
      </c>
      <c r="I986" s="97" t="s">
        <v>1855</v>
      </c>
      <c r="J986" s="170" t="s">
        <v>140</v>
      </c>
      <c r="K986" s="91">
        <v>0</v>
      </c>
      <c r="L986" s="91">
        <v>0</v>
      </c>
      <c r="M986" s="92">
        <v>60</v>
      </c>
      <c r="N986" s="92">
        <v>6000</v>
      </c>
      <c r="O986" s="92">
        <v>1</v>
      </c>
      <c r="P986" s="92">
        <f t="shared" si="247"/>
        <v>6000</v>
      </c>
      <c r="Q986" s="92"/>
      <c r="R986" s="92">
        <v>6000</v>
      </c>
      <c r="S986" s="92">
        <f t="shared" si="243"/>
        <v>0</v>
      </c>
      <c r="T986" s="102">
        <f t="shared" si="244"/>
        <v>1440</v>
      </c>
      <c r="U986" s="101">
        <f t="shared" si="245"/>
        <v>0</v>
      </c>
      <c r="V986" s="101">
        <f t="shared" si="246"/>
        <v>0</v>
      </c>
      <c r="W986" s="101">
        <v>0</v>
      </c>
      <c r="X986" s="55">
        <f>A986+K986+L986+V986+W986</f>
        <v>46153</v>
      </c>
    </row>
    <row r="987" spans="1:24" hidden="1" x14ac:dyDescent="0.35">
      <c r="A987" s="55">
        <f t="shared" si="241"/>
        <v>46153</v>
      </c>
      <c r="B987" s="55"/>
      <c r="C987" s="345"/>
      <c r="D987" s="55"/>
      <c r="E987" s="47" t="s">
        <v>1563</v>
      </c>
      <c r="F987" s="98" t="s">
        <v>1520</v>
      </c>
      <c r="G987" s="98"/>
      <c r="H987" s="98" t="s">
        <v>5622</v>
      </c>
      <c r="I987" s="82" t="s">
        <v>5623</v>
      </c>
      <c r="J987" s="100" t="s">
        <v>140</v>
      </c>
      <c r="K987" s="91">
        <v>0</v>
      </c>
      <c r="L987" s="91">
        <v>0</v>
      </c>
      <c r="M987" s="92">
        <v>30</v>
      </c>
      <c r="N987" s="92">
        <v>800</v>
      </c>
      <c r="O987" s="92">
        <v>1</v>
      </c>
      <c r="P987" s="92">
        <f t="shared" si="247"/>
        <v>800</v>
      </c>
      <c r="Q987" s="92"/>
      <c r="R987" s="92">
        <v>800</v>
      </c>
      <c r="S987" s="102">
        <f t="shared" si="243"/>
        <v>0</v>
      </c>
      <c r="T987" s="102">
        <f t="shared" si="244"/>
        <v>2880</v>
      </c>
      <c r="U987" s="101">
        <f t="shared" si="245"/>
        <v>0</v>
      </c>
      <c r="V987" s="101">
        <f t="shared" si="246"/>
        <v>0</v>
      </c>
      <c r="W987" s="101">
        <v>0</v>
      </c>
      <c r="X987" s="55">
        <f t="shared" ref="X987:X996" si="249">A987+K987+V987+W987+L987</f>
        <v>46153</v>
      </c>
    </row>
    <row r="988" spans="1:24" hidden="1" x14ac:dyDescent="0.35">
      <c r="A988" s="55">
        <f t="shared" si="241"/>
        <v>46153</v>
      </c>
      <c r="B988" s="55"/>
      <c r="C988" s="345"/>
      <c r="D988" s="55"/>
      <c r="E988" s="47" t="s">
        <v>1563</v>
      </c>
      <c r="F988" s="98" t="s">
        <v>1520</v>
      </c>
      <c r="G988" s="98"/>
      <c r="H988" s="98" t="s">
        <v>5624</v>
      </c>
      <c r="I988" s="82" t="s">
        <v>5625</v>
      </c>
      <c r="J988" s="100" t="s">
        <v>140</v>
      </c>
      <c r="K988" s="91">
        <v>0</v>
      </c>
      <c r="L988" s="91">
        <v>0</v>
      </c>
      <c r="M988" s="92">
        <v>30</v>
      </c>
      <c r="N988" s="92">
        <v>800</v>
      </c>
      <c r="O988" s="92">
        <v>1</v>
      </c>
      <c r="P988" s="92">
        <f t="shared" si="247"/>
        <v>800</v>
      </c>
      <c r="Q988" s="92"/>
      <c r="R988" s="92">
        <v>800</v>
      </c>
      <c r="S988" s="102">
        <f t="shared" si="243"/>
        <v>0</v>
      </c>
      <c r="T988" s="102">
        <f t="shared" si="244"/>
        <v>2880</v>
      </c>
      <c r="U988" s="101">
        <f t="shared" si="245"/>
        <v>0</v>
      </c>
      <c r="V988" s="101">
        <f t="shared" si="246"/>
        <v>0</v>
      </c>
      <c r="W988" s="101">
        <v>0</v>
      </c>
      <c r="X988" s="55">
        <f t="shared" si="249"/>
        <v>46153</v>
      </c>
    </row>
    <row r="989" spans="1:24" hidden="1" x14ac:dyDescent="0.35">
      <c r="A989" s="55">
        <f t="shared" ref="A989:A1048" si="250">X988</f>
        <v>46153</v>
      </c>
      <c r="B989" s="55"/>
      <c r="C989" s="345"/>
      <c r="D989" s="55"/>
      <c r="E989" s="47" t="s">
        <v>1563</v>
      </c>
      <c r="F989" s="98" t="s">
        <v>1520</v>
      </c>
      <c r="G989" s="98"/>
      <c r="H989" s="98" t="s">
        <v>5626</v>
      </c>
      <c r="I989" s="82" t="s">
        <v>5627</v>
      </c>
      <c r="J989" s="100" t="s">
        <v>140</v>
      </c>
      <c r="K989" s="91">
        <v>0</v>
      </c>
      <c r="L989" s="91">
        <v>0</v>
      </c>
      <c r="M989" s="92">
        <v>30</v>
      </c>
      <c r="N989" s="92">
        <v>800</v>
      </c>
      <c r="O989" s="92">
        <v>1</v>
      </c>
      <c r="P989" s="92">
        <f t="shared" si="247"/>
        <v>800</v>
      </c>
      <c r="Q989" s="92"/>
      <c r="R989" s="92">
        <v>800</v>
      </c>
      <c r="S989" s="102">
        <f t="shared" si="243"/>
        <v>0</v>
      </c>
      <c r="T989" s="102">
        <f t="shared" si="244"/>
        <v>2880</v>
      </c>
      <c r="U989" s="101">
        <f t="shared" si="245"/>
        <v>0</v>
      </c>
      <c r="V989" s="101">
        <f t="shared" si="246"/>
        <v>0</v>
      </c>
      <c r="W989" s="101">
        <v>0</v>
      </c>
      <c r="X989" s="55">
        <f t="shared" si="249"/>
        <v>46153</v>
      </c>
    </row>
    <row r="990" spans="1:24" hidden="1" x14ac:dyDescent="0.35">
      <c r="A990" s="55">
        <f t="shared" si="250"/>
        <v>46153</v>
      </c>
      <c r="B990" s="55"/>
      <c r="C990" s="345"/>
      <c r="D990" s="55"/>
      <c r="E990" s="47" t="s">
        <v>1563</v>
      </c>
      <c r="F990" s="98" t="s">
        <v>1520</v>
      </c>
      <c r="G990" s="98"/>
      <c r="H990" s="98" t="s">
        <v>5628</v>
      </c>
      <c r="I990" s="82" t="s">
        <v>5629</v>
      </c>
      <c r="J990" s="100" t="s">
        <v>140</v>
      </c>
      <c r="K990" s="91">
        <v>0</v>
      </c>
      <c r="L990" s="91">
        <v>0</v>
      </c>
      <c r="M990" s="92">
        <v>30</v>
      </c>
      <c r="N990" s="92">
        <v>800</v>
      </c>
      <c r="O990" s="92">
        <v>1</v>
      </c>
      <c r="P990" s="92">
        <f t="shared" si="247"/>
        <v>800</v>
      </c>
      <c r="Q990" s="92"/>
      <c r="R990" s="92">
        <v>800</v>
      </c>
      <c r="S990" s="102">
        <f t="shared" si="243"/>
        <v>0</v>
      </c>
      <c r="T990" s="102">
        <f t="shared" si="244"/>
        <v>2880</v>
      </c>
      <c r="U990" s="101">
        <f t="shared" si="245"/>
        <v>0</v>
      </c>
      <c r="V990" s="101">
        <f t="shared" si="246"/>
        <v>0</v>
      </c>
      <c r="W990" s="101">
        <v>0</v>
      </c>
      <c r="X990" s="55">
        <f t="shared" si="249"/>
        <v>46153</v>
      </c>
    </row>
    <row r="991" spans="1:24" hidden="1" x14ac:dyDescent="0.35">
      <c r="A991" s="55">
        <f t="shared" si="250"/>
        <v>46153</v>
      </c>
      <c r="B991" s="55"/>
      <c r="C991" s="345"/>
      <c r="D991" s="55"/>
      <c r="E991" s="47" t="s">
        <v>1563</v>
      </c>
      <c r="F991" s="98" t="s">
        <v>1520</v>
      </c>
      <c r="G991" s="98"/>
      <c r="H991" s="98" t="s">
        <v>5630</v>
      </c>
      <c r="I991" s="82" t="s">
        <v>5631</v>
      </c>
      <c r="J991" s="100" t="s">
        <v>140</v>
      </c>
      <c r="K991" s="91">
        <v>0</v>
      </c>
      <c r="L991" s="91">
        <v>0</v>
      </c>
      <c r="M991" s="92">
        <v>30</v>
      </c>
      <c r="N991" s="92">
        <v>800</v>
      </c>
      <c r="O991" s="92">
        <v>1</v>
      </c>
      <c r="P991" s="92">
        <f t="shared" si="247"/>
        <v>800</v>
      </c>
      <c r="Q991" s="92"/>
      <c r="R991" s="92">
        <v>800</v>
      </c>
      <c r="S991" s="102">
        <f t="shared" si="243"/>
        <v>0</v>
      </c>
      <c r="T991" s="102">
        <f t="shared" si="244"/>
        <v>2880</v>
      </c>
      <c r="U991" s="101">
        <f t="shared" si="245"/>
        <v>0</v>
      </c>
      <c r="V991" s="101">
        <f t="shared" si="246"/>
        <v>0</v>
      </c>
      <c r="W991" s="101">
        <v>0</v>
      </c>
      <c r="X991" s="55">
        <f t="shared" si="249"/>
        <v>46153</v>
      </c>
    </row>
    <row r="992" spans="1:24" hidden="1" x14ac:dyDescent="0.35">
      <c r="A992" s="55">
        <f t="shared" si="250"/>
        <v>46153</v>
      </c>
      <c r="B992" s="55"/>
      <c r="C992" s="345"/>
      <c r="D992" s="55"/>
      <c r="E992" s="47" t="s">
        <v>1563</v>
      </c>
      <c r="F992" s="98" t="s">
        <v>1520</v>
      </c>
      <c r="G992" s="98"/>
      <c r="H992" s="98" t="s">
        <v>5632</v>
      </c>
      <c r="I992" s="82" t="s">
        <v>5633</v>
      </c>
      <c r="J992" s="100" t="s">
        <v>140</v>
      </c>
      <c r="K992" s="91">
        <v>0</v>
      </c>
      <c r="L992" s="91">
        <v>0</v>
      </c>
      <c r="M992" s="92">
        <v>50</v>
      </c>
      <c r="N992" s="92">
        <v>400</v>
      </c>
      <c r="O992" s="92">
        <v>2</v>
      </c>
      <c r="P992" s="92">
        <f t="shared" si="247"/>
        <v>200</v>
      </c>
      <c r="Q992" s="92"/>
      <c r="R992" s="92">
        <v>200</v>
      </c>
      <c r="S992" s="102">
        <f t="shared" si="243"/>
        <v>0</v>
      </c>
      <c r="T992" s="102">
        <f t="shared" si="244"/>
        <v>3456</v>
      </c>
      <c r="U992" s="101">
        <f t="shared" si="245"/>
        <v>0</v>
      </c>
      <c r="V992" s="101">
        <f t="shared" si="246"/>
        <v>0</v>
      </c>
      <c r="W992" s="101">
        <v>0</v>
      </c>
      <c r="X992" s="55">
        <f t="shared" si="249"/>
        <v>46153</v>
      </c>
    </row>
    <row r="993" spans="1:24" hidden="1" x14ac:dyDescent="0.35">
      <c r="A993" s="55">
        <f t="shared" si="250"/>
        <v>46153</v>
      </c>
      <c r="B993" s="55"/>
      <c r="C993" s="345"/>
      <c r="D993" s="55"/>
      <c r="E993" s="47" t="s">
        <v>1563</v>
      </c>
      <c r="F993" s="98" t="s">
        <v>1520</v>
      </c>
      <c r="G993" s="98"/>
      <c r="H993" s="98" t="s">
        <v>5634</v>
      </c>
      <c r="I993" s="82" t="s">
        <v>5635</v>
      </c>
      <c r="J993" s="100" t="s">
        <v>140</v>
      </c>
      <c r="K993" s="91">
        <v>0</v>
      </c>
      <c r="L993" s="91">
        <v>0</v>
      </c>
      <c r="M993" s="92">
        <v>50</v>
      </c>
      <c r="N993" s="92">
        <v>400</v>
      </c>
      <c r="O993" s="92">
        <v>2</v>
      </c>
      <c r="P993" s="92">
        <f t="shared" si="247"/>
        <v>200</v>
      </c>
      <c r="Q993" s="92"/>
      <c r="R993" s="92">
        <v>200</v>
      </c>
      <c r="S993" s="102">
        <f t="shared" si="243"/>
        <v>0</v>
      </c>
      <c r="T993" s="102">
        <f t="shared" si="244"/>
        <v>3456</v>
      </c>
      <c r="U993" s="101">
        <f t="shared" si="245"/>
        <v>0</v>
      </c>
      <c r="V993" s="101">
        <f t="shared" si="246"/>
        <v>0</v>
      </c>
      <c r="W993" s="101">
        <v>0</v>
      </c>
      <c r="X993" s="55">
        <f t="shared" si="249"/>
        <v>46153</v>
      </c>
    </row>
    <row r="994" spans="1:24" hidden="1" x14ac:dyDescent="0.35">
      <c r="A994" s="55">
        <f t="shared" si="250"/>
        <v>46153</v>
      </c>
      <c r="B994" s="55"/>
      <c r="C994" s="345"/>
      <c r="D994" s="55"/>
      <c r="E994" s="47" t="s">
        <v>1563</v>
      </c>
      <c r="F994" s="98" t="s">
        <v>1520</v>
      </c>
      <c r="G994" s="98"/>
      <c r="H994" s="98" t="s">
        <v>5636</v>
      </c>
      <c r="I994" s="82" t="s">
        <v>5637</v>
      </c>
      <c r="J994" s="100" t="s">
        <v>140</v>
      </c>
      <c r="K994" s="91">
        <v>0</v>
      </c>
      <c r="L994" s="91">
        <v>0</v>
      </c>
      <c r="M994" s="92">
        <v>50</v>
      </c>
      <c r="N994" s="92">
        <v>400</v>
      </c>
      <c r="O994" s="92">
        <v>2</v>
      </c>
      <c r="P994" s="92">
        <f t="shared" si="247"/>
        <v>200</v>
      </c>
      <c r="Q994" s="92"/>
      <c r="R994" s="92">
        <v>200</v>
      </c>
      <c r="S994" s="102">
        <f t="shared" si="243"/>
        <v>0</v>
      </c>
      <c r="T994" s="102">
        <f t="shared" si="244"/>
        <v>3456</v>
      </c>
      <c r="U994" s="101">
        <f t="shared" si="245"/>
        <v>0</v>
      </c>
      <c r="V994" s="101">
        <f t="shared" si="246"/>
        <v>0</v>
      </c>
      <c r="W994" s="101">
        <v>0</v>
      </c>
      <c r="X994" s="55">
        <f t="shared" si="249"/>
        <v>46153</v>
      </c>
    </row>
    <row r="995" spans="1:24" hidden="1" x14ac:dyDescent="0.35">
      <c r="A995" s="55">
        <f t="shared" si="250"/>
        <v>46153</v>
      </c>
      <c r="B995" s="55"/>
      <c r="C995" s="345"/>
      <c r="D995" s="55"/>
      <c r="E995" s="47" t="s">
        <v>1563</v>
      </c>
      <c r="F995" s="98" t="s">
        <v>1520</v>
      </c>
      <c r="G995" s="98"/>
      <c r="H995" s="98" t="s">
        <v>5638</v>
      </c>
      <c r="I995" s="82" t="s">
        <v>5639</v>
      </c>
      <c r="J995" s="100" t="s">
        <v>140</v>
      </c>
      <c r="K995" s="91">
        <v>0</v>
      </c>
      <c r="L995" s="91">
        <v>0</v>
      </c>
      <c r="M995" s="92">
        <v>50</v>
      </c>
      <c r="N995" s="92">
        <v>400</v>
      </c>
      <c r="O995" s="92">
        <v>2</v>
      </c>
      <c r="P995" s="92">
        <f t="shared" si="247"/>
        <v>200</v>
      </c>
      <c r="Q995" s="92"/>
      <c r="R995" s="92">
        <v>200</v>
      </c>
      <c r="S995" s="102">
        <f t="shared" si="243"/>
        <v>0</v>
      </c>
      <c r="T995" s="102">
        <f t="shared" si="244"/>
        <v>3456</v>
      </c>
      <c r="U995" s="101">
        <f t="shared" si="245"/>
        <v>0</v>
      </c>
      <c r="V995" s="101">
        <f t="shared" si="246"/>
        <v>0</v>
      </c>
      <c r="W995" s="101">
        <v>0</v>
      </c>
      <c r="X995" s="55">
        <f t="shared" si="249"/>
        <v>46153</v>
      </c>
    </row>
    <row r="996" spans="1:24" hidden="1" x14ac:dyDescent="0.35">
      <c r="A996" s="55">
        <f t="shared" si="250"/>
        <v>46153</v>
      </c>
      <c r="B996" s="55"/>
      <c r="C996" s="345"/>
      <c r="D996" s="55"/>
      <c r="E996" s="47" t="s">
        <v>2775</v>
      </c>
      <c r="F996" s="82" t="s">
        <v>5640</v>
      </c>
      <c r="G996" s="82"/>
      <c r="H996" s="107" t="s">
        <v>5641</v>
      </c>
      <c r="I996" s="82" t="s">
        <v>1566</v>
      </c>
      <c r="J996" s="100" t="s">
        <v>140</v>
      </c>
      <c r="K996" s="91">
        <v>0</v>
      </c>
      <c r="L996" s="91">
        <v>0</v>
      </c>
      <c r="M996" s="92">
        <v>100</v>
      </c>
      <c r="N996" s="92">
        <v>1500</v>
      </c>
      <c r="O996" s="92">
        <v>1</v>
      </c>
      <c r="P996" s="92">
        <f t="shared" si="247"/>
        <v>1500</v>
      </c>
      <c r="Q996" s="92"/>
      <c r="R996" s="92">
        <v>1500</v>
      </c>
      <c r="S996" s="92">
        <f t="shared" si="243"/>
        <v>0</v>
      </c>
      <c r="T996" s="102">
        <f t="shared" si="244"/>
        <v>864</v>
      </c>
      <c r="U996" s="101">
        <f t="shared" si="245"/>
        <v>0</v>
      </c>
      <c r="V996" s="101">
        <f t="shared" si="246"/>
        <v>0</v>
      </c>
      <c r="W996" s="101">
        <v>0</v>
      </c>
      <c r="X996" s="55">
        <f t="shared" si="249"/>
        <v>46153</v>
      </c>
    </row>
    <row r="997" spans="1:24" hidden="1" x14ac:dyDescent="0.35">
      <c r="A997" s="55">
        <f t="shared" si="250"/>
        <v>46153</v>
      </c>
      <c r="B997" s="55"/>
      <c r="C997" s="345"/>
      <c r="D997" s="55"/>
      <c r="E997" s="47" t="s">
        <v>2775</v>
      </c>
      <c r="F997" s="82" t="s">
        <v>5640</v>
      </c>
      <c r="G997" s="82"/>
      <c r="H997" s="107" t="s">
        <v>5642</v>
      </c>
      <c r="I997" s="82" t="s">
        <v>1803</v>
      </c>
      <c r="J997" s="100" t="s">
        <v>140</v>
      </c>
      <c r="K997" s="91">
        <v>0</v>
      </c>
      <c r="L997" s="91">
        <v>0</v>
      </c>
      <c r="M997" s="92">
        <v>60</v>
      </c>
      <c r="N997" s="92">
        <v>1500</v>
      </c>
      <c r="O997" s="92">
        <v>1</v>
      </c>
      <c r="P997" s="92">
        <f t="shared" si="247"/>
        <v>1500</v>
      </c>
      <c r="Q997" s="92"/>
      <c r="R997" s="92">
        <v>1500</v>
      </c>
      <c r="S997" s="92">
        <f t="shared" si="243"/>
        <v>0</v>
      </c>
      <c r="T997" s="102">
        <f t="shared" si="244"/>
        <v>1440</v>
      </c>
      <c r="U997" s="101">
        <f t="shared" si="245"/>
        <v>0</v>
      </c>
      <c r="V997" s="101">
        <f t="shared" si="246"/>
        <v>0</v>
      </c>
      <c r="W997" s="101">
        <v>0</v>
      </c>
      <c r="X997" s="55">
        <f>A997+K997+L997+V997+W997</f>
        <v>46153</v>
      </c>
    </row>
    <row r="998" spans="1:24" hidden="1" x14ac:dyDescent="0.35">
      <c r="A998" s="55">
        <f t="shared" si="250"/>
        <v>46153</v>
      </c>
      <c r="B998" s="55"/>
      <c r="C998" s="345"/>
      <c r="D998" s="55"/>
      <c r="E998" s="296" t="s">
        <v>1872</v>
      </c>
      <c r="F998" s="349" t="s">
        <v>1801</v>
      </c>
      <c r="G998" s="349"/>
      <c r="H998" s="349">
        <v>11595</v>
      </c>
      <c r="I998" s="297" t="s">
        <v>5643</v>
      </c>
      <c r="J998" s="351" t="s">
        <v>140</v>
      </c>
      <c r="K998" s="352">
        <v>0</v>
      </c>
      <c r="L998" s="352">
        <v>0</v>
      </c>
      <c r="M998" s="353">
        <v>60</v>
      </c>
      <c r="N998" s="353">
        <v>2520</v>
      </c>
      <c r="O998" s="353">
        <v>1</v>
      </c>
      <c r="P998" s="353">
        <f t="shared" si="247"/>
        <v>2520</v>
      </c>
      <c r="Q998" s="353"/>
      <c r="R998" s="353">
        <v>2520</v>
      </c>
      <c r="S998" s="353">
        <f t="shared" si="243"/>
        <v>0</v>
      </c>
      <c r="T998" s="353">
        <f t="shared" si="244"/>
        <v>1440</v>
      </c>
      <c r="U998" s="352">
        <f t="shared" si="245"/>
        <v>0</v>
      </c>
      <c r="V998" s="352">
        <f t="shared" si="246"/>
        <v>0</v>
      </c>
      <c r="W998" s="352">
        <v>0</v>
      </c>
      <c r="X998" s="308">
        <f t="shared" ref="X998:X1003" si="251">A998+K998+V998+W998+L998</f>
        <v>46153</v>
      </c>
    </row>
    <row r="999" spans="1:24" hidden="1" x14ac:dyDescent="0.35">
      <c r="A999" s="55">
        <f t="shared" si="250"/>
        <v>46153</v>
      </c>
      <c r="B999" s="55"/>
      <c r="C999" s="345"/>
      <c r="D999" s="55"/>
      <c r="E999" s="47" t="s">
        <v>1872</v>
      </c>
      <c r="F999" s="82" t="s">
        <v>1564</v>
      </c>
      <c r="G999" s="82"/>
      <c r="H999" s="452">
        <v>11729</v>
      </c>
      <c r="I999" s="82" t="s">
        <v>5643</v>
      </c>
      <c r="J999" s="51" t="s">
        <v>140</v>
      </c>
      <c r="K999" s="91">
        <v>0</v>
      </c>
      <c r="L999" s="91">
        <v>0</v>
      </c>
      <c r="M999" s="92">
        <v>30</v>
      </c>
      <c r="N999" s="92">
        <v>2940</v>
      </c>
      <c r="O999" s="92">
        <v>1</v>
      </c>
      <c r="P999" s="92">
        <f t="shared" si="247"/>
        <v>2940</v>
      </c>
      <c r="Q999" s="92"/>
      <c r="R999" s="92">
        <v>2940</v>
      </c>
      <c r="S999" s="92">
        <f t="shared" si="243"/>
        <v>0</v>
      </c>
      <c r="T999" s="92">
        <f t="shared" si="244"/>
        <v>2880</v>
      </c>
      <c r="U999" s="91">
        <f t="shared" si="245"/>
        <v>0</v>
      </c>
      <c r="V999" s="91">
        <f t="shared" si="246"/>
        <v>0</v>
      </c>
      <c r="W999" s="91">
        <v>0</v>
      </c>
      <c r="X999" s="55">
        <f t="shared" si="251"/>
        <v>46153</v>
      </c>
    </row>
    <row r="1000" spans="1:24" hidden="1" x14ac:dyDescent="0.35">
      <c r="A1000" s="55">
        <f t="shared" si="250"/>
        <v>46153</v>
      </c>
      <c r="B1000" s="55"/>
      <c r="C1000" s="345"/>
      <c r="D1000" s="55"/>
      <c r="E1000" s="296" t="s">
        <v>5593</v>
      </c>
      <c r="F1000" s="366" t="s">
        <v>14</v>
      </c>
      <c r="G1000" s="366"/>
      <c r="H1000" s="298"/>
      <c r="I1000" s="499" t="s">
        <v>1644</v>
      </c>
      <c r="J1000" s="300" t="s">
        <v>140</v>
      </c>
      <c r="K1000" s="352">
        <v>0</v>
      </c>
      <c r="L1000" s="352">
        <v>0</v>
      </c>
      <c r="M1000" s="353">
        <v>60</v>
      </c>
      <c r="N1000" s="353">
        <v>50</v>
      </c>
      <c r="O1000" s="353">
        <v>2</v>
      </c>
      <c r="P1000" s="353">
        <f t="shared" si="247"/>
        <v>25</v>
      </c>
      <c r="Q1000" s="353"/>
      <c r="R1000" s="302">
        <v>25</v>
      </c>
      <c r="S1000" s="353">
        <f t="shared" si="243"/>
        <v>0</v>
      </c>
      <c r="T1000" s="302">
        <f t="shared" si="244"/>
        <v>2880</v>
      </c>
      <c r="U1000" s="301">
        <f t="shared" si="245"/>
        <v>0</v>
      </c>
      <c r="V1000" s="301">
        <f t="shared" si="246"/>
        <v>0</v>
      </c>
      <c r="W1000" s="301">
        <v>0</v>
      </c>
      <c r="X1000" s="308">
        <f t="shared" si="251"/>
        <v>46153</v>
      </c>
    </row>
    <row r="1001" spans="1:24" hidden="1" x14ac:dyDescent="0.35">
      <c r="A1001" s="55">
        <f t="shared" si="250"/>
        <v>46153</v>
      </c>
      <c r="B1001" s="55"/>
      <c r="C1001" s="345"/>
      <c r="D1001" s="55"/>
      <c r="E1001" s="296" t="s">
        <v>5593</v>
      </c>
      <c r="F1001" s="366" t="s">
        <v>14</v>
      </c>
      <c r="G1001" s="366"/>
      <c r="H1001" s="298"/>
      <c r="I1001" s="499" t="s">
        <v>1644</v>
      </c>
      <c r="J1001" s="300" t="s">
        <v>140</v>
      </c>
      <c r="K1001" s="352">
        <v>0</v>
      </c>
      <c r="L1001" s="352">
        <v>0</v>
      </c>
      <c r="M1001" s="353">
        <v>60</v>
      </c>
      <c r="N1001" s="353">
        <v>50</v>
      </c>
      <c r="O1001" s="353">
        <v>2</v>
      </c>
      <c r="P1001" s="353">
        <f t="shared" si="247"/>
        <v>25</v>
      </c>
      <c r="Q1001" s="353"/>
      <c r="R1001" s="302">
        <v>25</v>
      </c>
      <c r="S1001" s="353">
        <f t="shared" si="243"/>
        <v>0</v>
      </c>
      <c r="T1001" s="302">
        <f t="shared" si="244"/>
        <v>2880</v>
      </c>
      <c r="U1001" s="301">
        <f t="shared" si="245"/>
        <v>0</v>
      </c>
      <c r="V1001" s="301">
        <f t="shared" si="246"/>
        <v>0</v>
      </c>
      <c r="W1001" s="301">
        <v>0</v>
      </c>
      <c r="X1001" s="308">
        <f t="shared" si="251"/>
        <v>46153</v>
      </c>
    </row>
    <row r="1002" spans="1:24" s="109" customFormat="1" ht="13" hidden="1" x14ac:dyDescent="0.3">
      <c r="A1002" s="55">
        <f t="shared" si="250"/>
        <v>46153</v>
      </c>
      <c r="B1002" s="55"/>
      <c r="C1002" s="345"/>
      <c r="D1002" s="55"/>
      <c r="E1002" s="47" t="s">
        <v>1563</v>
      </c>
      <c r="F1002" s="82"/>
      <c r="G1002" s="82"/>
      <c r="H1002" s="452">
        <v>11969</v>
      </c>
      <c r="I1002" s="104" t="s">
        <v>4601</v>
      </c>
      <c r="J1002" s="51" t="s">
        <v>140</v>
      </c>
      <c r="K1002" s="91">
        <v>0</v>
      </c>
      <c r="L1002" s="91">
        <v>0</v>
      </c>
      <c r="M1002" s="92">
        <v>60</v>
      </c>
      <c r="N1002" s="92">
        <v>5000</v>
      </c>
      <c r="O1002" s="92">
        <v>1</v>
      </c>
      <c r="P1002" s="92">
        <f t="shared" si="247"/>
        <v>5000</v>
      </c>
      <c r="Q1002" s="92"/>
      <c r="R1002" s="92">
        <v>5000</v>
      </c>
      <c r="S1002" s="92">
        <f t="shared" si="243"/>
        <v>0</v>
      </c>
      <c r="T1002" s="92">
        <f t="shared" si="244"/>
        <v>1440</v>
      </c>
      <c r="U1002" s="91">
        <f t="shared" si="245"/>
        <v>0</v>
      </c>
      <c r="V1002" s="91">
        <f t="shared" si="246"/>
        <v>0</v>
      </c>
      <c r="W1002" s="91">
        <v>0</v>
      </c>
      <c r="X1002" s="55">
        <f t="shared" si="251"/>
        <v>46153</v>
      </c>
    </row>
    <row r="1003" spans="1:24" s="109" customFormat="1" ht="13" hidden="1" x14ac:dyDescent="0.3">
      <c r="A1003" s="55">
        <f t="shared" si="250"/>
        <v>46153</v>
      </c>
      <c r="B1003" s="55"/>
      <c r="C1003" s="345"/>
      <c r="D1003" s="55"/>
      <c r="E1003" s="47" t="s">
        <v>1563</v>
      </c>
      <c r="F1003" s="82" t="s">
        <v>711</v>
      </c>
      <c r="G1003" s="82"/>
      <c r="H1003" s="98" t="s">
        <v>5644</v>
      </c>
      <c r="I1003" s="453" t="s">
        <v>5610</v>
      </c>
      <c r="J1003" s="51" t="s">
        <v>140</v>
      </c>
      <c r="K1003" s="91">
        <v>0</v>
      </c>
      <c r="L1003" s="91">
        <v>0</v>
      </c>
      <c r="M1003" s="92">
        <v>84</v>
      </c>
      <c r="N1003" s="92">
        <v>500</v>
      </c>
      <c r="O1003" s="92">
        <v>1</v>
      </c>
      <c r="P1003" s="102">
        <f t="shared" si="247"/>
        <v>500</v>
      </c>
      <c r="Q1003" s="102"/>
      <c r="R1003" s="92">
        <v>500</v>
      </c>
      <c r="S1003" s="92">
        <f t="shared" si="243"/>
        <v>0</v>
      </c>
      <c r="T1003" s="92">
        <f t="shared" si="244"/>
        <v>1028.5714285714284</v>
      </c>
      <c r="U1003" s="91">
        <f t="shared" si="245"/>
        <v>0</v>
      </c>
      <c r="V1003" s="91">
        <f t="shared" si="246"/>
        <v>0</v>
      </c>
      <c r="W1003" s="91">
        <v>0</v>
      </c>
      <c r="X1003" s="55">
        <f t="shared" si="251"/>
        <v>46153</v>
      </c>
    </row>
    <row r="1004" spans="1:24" s="109" customFormat="1" ht="13" hidden="1" x14ac:dyDescent="0.3">
      <c r="A1004" s="55">
        <f t="shared" si="250"/>
        <v>46153</v>
      </c>
      <c r="B1004" s="55"/>
      <c r="C1004" s="345"/>
      <c r="D1004" s="55"/>
      <c r="E1004" s="47" t="s">
        <v>1563</v>
      </c>
      <c r="F1004" s="82" t="s">
        <v>711</v>
      </c>
      <c r="G1004" s="82"/>
      <c r="H1004" s="108">
        <v>11987</v>
      </c>
      <c r="I1004" s="97" t="s">
        <v>1443</v>
      </c>
      <c r="J1004" s="77" t="s">
        <v>140</v>
      </c>
      <c r="K1004" s="91">
        <v>0</v>
      </c>
      <c r="L1004" s="91">
        <v>0</v>
      </c>
      <c r="M1004" s="92">
        <v>70</v>
      </c>
      <c r="N1004" s="345">
        <v>500</v>
      </c>
      <c r="O1004" s="92">
        <v>1</v>
      </c>
      <c r="P1004" s="92">
        <f t="shared" si="247"/>
        <v>500</v>
      </c>
      <c r="Q1004" s="92"/>
      <c r="R1004" s="92">
        <v>500</v>
      </c>
      <c r="S1004" s="92">
        <f t="shared" si="243"/>
        <v>0</v>
      </c>
      <c r="T1004" s="102">
        <f t="shared" si="244"/>
        <v>1234.2857142857142</v>
      </c>
      <c r="U1004" s="101">
        <f t="shared" si="245"/>
        <v>0</v>
      </c>
      <c r="V1004" s="101">
        <f t="shared" si="246"/>
        <v>0</v>
      </c>
      <c r="W1004" s="101">
        <v>0</v>
      </c>
      <c r="X1004" s="255">
        <f>A1004+K1004+L1004+V1004+W1004</f>
        <v>46153</v>
      </c>
    </row>
    <row r="1005" spans="1:24" s="109" customFormat="1" ht="26" hidden="1" x14ac:dyDescent="0.3">
      <c r="A1005" s="55">
        <f t="shared" si="250"/>
        <v>46153</v>
      </c>
      <c r="B1005" s="55"/>
      <c r="C1005" s="345"/>
      <c r="D1005" s="55"/>
      <c r="E1005" s="47" t="s">
        <v>1563</v>
      </c>
      <c r="F1005" s="69" t="s">
        <v>4895</v>
      </c>
      <c r="G1005" s="69"/>
      <c r="H1005" s="340" t="s">
        <v>5645</v>
      </c>
      <c r="I1005" s="82" t="s">
        <v>5646</v>
      </c>
      <c r="J1005" s="100" t="s">
        <v>140</v>
      </c>
      <c r="K1005" s="91">
        <v>0</v>
      </c>
      <c r="L1005" s="91">
        <v>0</v>
      </c>
      <c r="M1005" s="92">
        <v>85</v>
      </c>
      <c r="N1005" s="92">
        <v>150</v>
      </c>
      <c r="O1005" s="92">
        <v>1</v>
      </c>
      <c r="P1005" s="92">
        <f t="shared" si="247"/>
        <v>150</v>
      </c>
      <c r="Q1005" s="92"/>
      <c r="R1005" s="92">
        <v>150</v>
      </c>
      <c r="S1005" s="92">
        <f t="shared" ref="S1005:S1043" si="252">P1005-R1005</f>
        <v>0</v>
      </c>
      <c r="T1005" s="102">
        <f t="shared" ref="T1005:T1035" si="253">((3600/M1005)*O1005)*24</f>
        <v>1016.4705882352941</v>
      </c>
      <c r="U1005" s="101">
        <f t="shared" ref="U1005:U1035" si="254">(P1005-R1005)*M1005/3600</f>
        <v>0</v>
      </c>
      <c r="V1005" s="101">
        <f t="shared" ref="V1005:V1035" si="255">(P1005-R1005)*M1005/3600/24</f>
        <v>0</v>
      </c>
      <c r="W1005" s="101">
        <v>0</v>
      </c>
      <c r="X1005" s="55">
        <f>A1005+K1005+V1005+W1005+L1005</f>
        <v>46153</v>
      </c>
    </row>
    <row r="1006" spans="1:24" s="109" customFormat="1" ht="13" hidden="1" x14ac:dyDescent="0.3">
      <c r="A1006" s="55">
        <f t="shared" si="250"/>
        <v>46153</v>
      </c>
      <c r="B1006" s="55"/>
      <c r="C1006" s="345"/>
      <c r="D1006" s="55"/>
      <c r="E1006" s="47" t="s">
        <v>1563</v>
      </c>
      <c r="F1006" s="97" t="s">
        <v>3479</v>
      </c>
      <c r="G1006" s="97"/>
      <c r="H1006" s="1012" t="s">
        <v>5647</v>
      </c>
      <c r="I1006" s="97" t="s">
        <v>1855</v>
      </c>
      <c r="J1006" s="170" t="s">
        <v>140</v>
      </c>
      <c r="K1006" s="91">
        <v>0</v>
      </c>
      <c r="L1006" s="91">
        <v>0</v>
      </c>
      <c r="M1006" s="92">
        <v>60</v>
      </c>
      <c r="N1006" s="92">
        <v>9000</v>
      </c>
      <c r="O1006" s="92">
        <v>1</v>
      </c>
      <c r="P1006" s="92">
        <f t="shared" si="247"/>
        <v>9000</v>
      </c>
      <c r="Q1006" s="92"/>
      <c r="R1006" s="92">
        <v>9000</v>
      </c>
      <c r="S1006" s="92">
        <f t="shared" si="252"/>
        <v>0</v>
      </c>
      <c r="T1006" s="102">
        <f t="shared" si="253"/>
        <v>1440</v>
      </c>
      <c r="U1006" s="101">
        <f t="shared" si="254"/>
        <v>0</v>
      </c>
      <c r="V1006" s="101">
        <f t="shared" si="255"/>
        <v>0</v>
      </c>
      <c r="W1006" s="101">
        <v>0</v>
      </c>
      <c r="X1006" s="55">
        <f>A1006+K1006+L1006+V1006+W1006</f>
        <v>46153</v>
      </c>
    </row>
    <row r="1007" spans="1:24" hidden="1" x14ac:dyDescent="0.35">
      <c r="A1007" s="55">
        <f t="shared" si="250"/>
        <v>46153</v>
      </c>
      <c r="B1007" s="55"/>
      <c r="C1007" s="345"/>
      <c r="D1007" s="55"/>
      <c r="E1007" s="47" t="s">
        <v>1563</v>
      </c>
      <c r="F1007" s="97" t="s">
        <v>1814</v>
      </c>
      <c r="G1007" s="97"/>
      <c r="H1007" s="108">
        <v>11997</v>
      </c>
      <c r="I1007" s="82" t="s">
        <v>5643</v>
      </c>
      <c r="J1007" s="51" t="s">
        <v>140</v>
      </c>
      <c r="K1007" s="91">
        <v>0</v>
      </c>
      <c r="L1007" s="91">
        <v>0</v>
      </c>
      <c r="M1007" s="92">
        <v>30</v>
      </c>
      <c r="N1007" s="92">
        <v>1030</v>
      </c>
      <c r="O1007" s="92">
        <v>1</v>
      </c>
      <c r="P1007" s="92">
        <f t="shared" si="247"/>
        <v>1030</v>
      </c>
      <c r="Q1007" s="92"/>
      <c r="R1007" s="92">
        <v>1030</v>
      </c>
      <c r="S1007" s="92">
        <f t="shared" si="252"/>
        <v>0</v>
      </c>
      <c r="T1007" s="92">
        <f t="shared" si="253"/>
        <v>2880</v>
      </c>
      <c r="U1007" s="91">
        <f t="shared" si="254"/>
        <v>0</v>
      </c>
      <c r="V1007" s="91">
        <f t="shared" si="255"/>
        <v>0</v>
      </c>
      <c r="W1007" s="91">
        <v>0</v>
      </c>
      <c r="X1007" s="55">
        <f>A1007+K1007+V1007+W1007+L1007</f>
        <v>46153</v>
      </c>
    </row>
    <row r="1008" spans="1:24" hidden="1" x14ac:dyDescent="0.35">
      <c r="A1008" s="55">
        <f t="shared" si="250"/>
        <v>46153</v>
      </c>
      <c r="B1008" s="55"/>
      <c r="C1008" s="345"/>
      <c r="D1008" s="55"/>
      <c r="E1008" s="47" t="s">
        <v>1563</v>
      </c>
      <c r="F1008" s="97" t="s">
        <v>3479</v>
      </c>
      <c r="G1008" s="97"/>
      <c r="H1008" s="1012" t="s">
        <v>5648</v>
      </c>
      <c r="I1008" s="97" t="s">
        <v>1855</v>
      </c>
      <c r="J1008" s="170" t="s">
        <v>140</v>
      </c>
      <c r="K1008" s="91">
        <v>0</v>
      </c>
      <c r="L1008" s="91">
        <v>0</v>
      </c>
      <c r="M1008" s="92">
        <v>60</v>
      </c>
      <c r="N1008" s="92">
        <v>7500</v>
      </c>
      <c r="O1008" s="92">
        <v>1</v>
      </c>
      <c r="P1008" s="92">
        <f t="shared" si="247"/>
        <v>7500</v>
      </c>
      <c r="Q1008" s="92"/>
      <c r="R1008" s="92">
        <v>7500</v>
      </c>
      <c r="S1008" s="92">
        <f t="shared" si="252"/>
        <v>0</v>
      </c>
      <c r="T1008" s="102">
        <f t="shared" si="253"/>
        <v>1440</v>
      </c>
      <c r="U1008" s="101">
        <f t="shared" si="254"/>
        <v>0</v>
      </c>
      <c r="V1008" s="101">
        <f t="shared" si="255"/>
        <v>0</v>
      </c>
      <c r="W1008" s="101">
        <v>0</v>
      </c>
      <c r="X1008" s="55">
        <f>A1008+K1008+L1008+V1008+W1008</f>
        <v>46153</v>
      </c>
    </row>
    <row r="1009" spans="1:24" hidden="1" x14ac:dyDescent="0.35">
      <c r="A1009" s="55">
        <f t="shared" si="250"/>
        <v>46153</v>
      </c>
      <c r="B1009" s="55"/>
      <c r="C1009" s="345"/>
      <c r="D1009" s="55"/>
      <c r="E1009" s="47" t="s">
        <v>1563</v>
      </c>
      <c r="F1009" s="97" t="s">
        <v>3479</v>
      </c>
      <c r="G1009" s="97"/>
      <c r="H1009" s="1012" t="s">
        <v>5649</v>
      </c>
      <c r="I1009" s="97" t="s">
        <v>1855</v>
      </c>
      <c r="J1009" s="170" t="s">
        <v>140</v>
      </c>
      <c r="K1009" s="91">
        <v>0</v>
      </c>
      <c r="L1009" s="91">
        <v>0</v>
      </c>
      <c r="M1009" s="92">
        <v>60</v>
      </c>
      <c r="N1009" s="92">
        <v>5000</v>
      </c>
      <c r="O1009" s="92">
        <v>1</v>
      </c>
      <c r="P1009" s="92">
        <f t="shared" si="247"/>
        <v>5000</v>
      </c>
      <c r="Q1009" s="92"/>
      <c r="R1009" s="92">
        <v>5000</v>
      </c>
      <c r="S1009" s="92">
        <f t="shared" si="252"/>
        <v>0</v>
      </c>
      <c r="T1009" s="102">
        <f t="shared" si="253"/>
        <v>1440</v>
      </c>
      <c r="U1009" s="101">
        <f t="shared" si="254"/>
        <v>0</v>
      </c>
      <c r="V1009" s="101">
        <f t="shared" si="255"/>
        <v>0</v>
      </c>
      <c r="W1009" s="101">
        <v>0</v>
      </c>
      <c r="X1009" s="55">
        <f>A1009+K1009+L1009+V1009+W1009</f>
        <v>46153</v>
      </c>
    </row>
    <row r="1010" spans="1:24" hidden="1" x14ac:dyDescent="0.35">
      <c r="A1010" s="55">
        <f t="shared" si="250"/>
        <v>46153</v>
      </c>
      <c r="B1010" s="55"/>
      <c r="C1010" s="345"/>
      <c r="D1010" s="55"/>
      <c r="E1010" s="47" t="s">
        <v>1563</v>
      </c>
      <c r="F1010" s="82" t="s">
        <v>257</v>
      </c>
      <c r="G1010" s="82"/>
      <c r="H1010" s="98" t="s">
        <v>5650</v>
      </c>
      <c r="I1010" s="453" t="s">
        <v>1445</v>
      </c>
      <c r="J1010" s="51" t="s">
        <v>140</v>
      </c>
      <c r="K1010" s="91">
        <v>0</v>
      </c>
      <c r="L1010" s="91">
        <v>0</v>
      </c>
      <c r="M1010" s="92">
        <v>84</v>
      </c>
      <c r="N1010" s="92">
        <v>250</v>
      </c>
      <c r="O1010" s="92">
        <v>1</v>
      </c>
      <c r="P1010" s="102">
        <f t="shared" ref="P1010:P1043" si="256">N1010/O1010</f>
        <v>250</v>
      </c>
      <c r="Q1010" s="102"/>
      <c r="R1010" s="92">
        <v>250</v>
      </c>
      <c r="S1010" s="92">
        <f t="shared" si="252"/>
        <v>0</v>
      </c>
      <c r="T1010" s="92">
        <f t="shared" si="253"/>
        <v>1028.5714285714284</v>
      </c>
      <c r="U1010" s="91">
        <f t="shared" si="254"/>
        <v>0</v>
      </c>
      <c r="V1010" s="91">
        <f t="shared" si="255"/>
        <v>0</v>
      </c>
      <c r="W1010" s="91">
        <v>0</v>
      </c>
      <c r="X1010" s="55">
        <f t="shared" ref="X1010:X1017" si="257">A1010+K1010+V1010+W1010+L1010</f>
        <v>46153</v>
      </c>
    </row>
    <row r="1011" spans="1:24" hidden="1" x14ac:dyDescent="0.35">
      <c r="A1011" s="55">
        <f t="shared" si="250"/>
        <v>46153</v>
      </c>
      <c r="B1011" s="55"/>
      <c r="C1011" s="345"/>
      <c r="D1011" s="55"/>
      <c r="E1011" s="47" t="s">
        <v>1563</v>
      </c>
      <c r="F1011" s="82" t="s">
        <v>257</v>
      </c>
      <c r="G1011" s="82"/>
      <c r="H1011" s="98" t="s">
        <v>5651</v>
      </c>
      <c r="I1011" s="453" t="s">
        <v>5652</v>
      </c>
      <c r="J1011" s="51" t="s">
        <v>140</v>
      </c>
      <c r="K1011" s="91">
        <v>0</v>
      </c>
      <c r="L1011" s="91">
        <v>0</v>
      </c>
      <c r="M1011" s="92">
        <v>84</v>
      </c>
      <c r="N1011" s="92">
        <v>250</v>
      </c>
      <c r="O1011" s="92">
        <v>1</v>
      </c>
      <c r="P1011" s="102">
        <f t="shared" si="256"/>
        <v>250</v>
      </c>
      <c r="Q1011" s="102"/>
      <c r="R1011" s="92">
        <v>250</v>
      </c>
      <c r="S1011" s="92">
        <f t="shared" si="252"/>
        <v>0</v>
      </c>
      <c r="T1011" s="92">
        <f t="shared" si="253"/>
        <v>1028.5714285714284</v>
      </c>
      <c r="U1011" s="91">
        <f t="shared" si="254"/>
        <v>0</v>
      </c>
      <c r="V1011" s="91">
        <f t="shared" si="255"/>
        <v>0</v>
      </c>
      <c r="W1011" s="91">
        <v>0</v>
      </c>
      <c r="X1011" s="55">
        <f t="shared" si="257"/>
        <v>46153</v>
      </c>
    </row>
    <row r="1012" spans="1:24" hidden="1" x14ac:dyDescent="0.35">
      <c r="A1012" s="55">
        <f t="shared" si="250"/>
        <v>46153</v>
      </c>
      <c r="B1012" s="55"/>
      <c r="C1012" s="345"/>
      <c r="D1012" s="55"/>
      <c r="E1012" s="47" t="s">
        <v>1563</v>
      </c>
      <c r="F1012" s="82" t="s">
        <v>257</v>
      </c>
      <c r="G1012" s="82"/>
      <c r="H1012" s="98" t="s">
        <v>5653</v>
      </c>
      <c r="I1012" s="453" t="s">
        <v>5608</v>
      </c>
      <c r="J1012" s="51" t="s">
        <v>140</v>
      </c>
      <c r="K1012" s="91">
        <v>0</v>
      </c>
      <c r="L1012" s="91">
        <v>0</v>
      </c>
      <c r="M1012" s="92">
        <v>84</v>
      </c>
      <c r="N1012" s="92">
        <v>250</v>
      </c>
      <c r="O1012" s="92">
        <v>1</v>
      </c>
      <c r="P1012" s="102">
        <f t="shared" si="256"/>
        <v>250</v>
      </c>
      <c r="Q1012" s="102"/>
      <c r="R1012" s="92">
        <v>250</v>
      </c>
      <c r="S1012" s="92">
        <f t="shared" si="252"/>
        <v>0</v>
      </c>
      <c r="T1012" s="92">
        <f t="shared" si="253"/>
        <v>1028.5714285714284</v>
      </c>
      <c r="U1012" s="91">
        <f t="shared" si="254"/>
        <v>0</v>
      </c>
      <c r="V1012" s="91">
        <f t="shared" si="255"/>
        <v>0</v>
      </c>
      <c r="W1012" s="91">
        <v>0</v>
      </c>
      <c r="X1012" s="55">
        <f t="shared" si="257"/>
        <v>46153</v>
      </c>
    </row>
    <row r="1013" spans="1:24" hidden="1" x14ac:dyDescent="0.35">
      <c r="A1013" s="55">
        <f t="shared" si="250"/>
        <v>46153</v>
      </c>
      <c r="B1013" s="55"/>
      <c r="C1013" s="345"/>
      <c r="D1013" s="55"/>
      <c r="E1013" s="47" t="s">
        <v>1563</v>
      </c>
      <c r="F1013" s="97" t="s">
        <v>5654</v>
      </c>
      <c r="G1013" s="97"/>
      <c r="H1013" s="98" t="s">
        <v>5655</v>
      </c>
      <c r="I1013" s="82" t="s">
        <v>2846</v>
      </c>
      <c r="J1013" s="51" t="s">
        <v>140</v>
      </c>
      <c r="K1013" s="91">
        <v>0</v>
      </c>
      <c r="L1013" s="91">
        <v>0</v>
      </c>
      <c r="M1013" s="92">
        <v>73</v>
      </c>
      <c r="N1013" s="92">
        <v>6000</v>
      </c>
      <c r="O1013" s="92">
        <v>1</v>
      </c>
      <c r="P1013" s="92">
        <f t="shared" si="256"/>
        <v>6000</v>
      </c>
      <c r="Q1013" s="92"/>
      <c r="R1013" s="92">
        <v>6000</v>
      </c>
      <c r="S1013" s="92">
        <f t="shared" si="252"/>
        <v>0</v>
      </c>
      <c r="T1013" s="92">
        <f t="shared" si="253"/>
        <v>1183.5616438356165</v>
      </c>
      <c r="U1013" s="91">
        <f t="shared" si="254"/>
        <v>0</v>
      </c>
      <c r="V1013" s="91">
        <f t="shared" si="255"/>
        <v>0</v>
      </c>
      <c r="W1013" s="101">
        <v>0</v>
      </c>
      <c r="X1013" s="55">
        <f t="shared" si="257"/>
        <v>46153</v>
      </c>
    </row>
    <row r="1014" spans="1:24" ht="26.5" hidden="1" x14ac:dyDescent="0.35">
      <c r="A1014" s="55">
        <f t="shared" si="250"/>
        <v>46153</v>
      </c>
      <c r="B1014" s="55"/>
      <c r="C1014" s="345"/>
      <c r="D1014" s="55"/>
      <c r="E1014" s="47" t="s">
        <v>1563</v>
      </c>
      <c r="F1014" s="69" t="s">
        <v>1237</v>
      </c>
      <c r="G1014" s="69"/>
      <c r="H1014" s="340" t="s">
        <v>5656</v>
      </c>
      <c r="I1014" s="82" t="s">
        <v>5657</v>
      </c>
      <c r="J1014" s="100" t="s">
        <v>140</v>
      </c>
      <c r="K1014" s="91">
        <v>0</v>
      </c>
      <c r="L1014" s="91">
        <v>0</v>
      </c>
      <c r="M1014" s="92">
        <v>85</v>
      </c>
      <c r="N1014" s="92">
        <v>650</v>
      </c>
      <c r="O1014" s="92">
        <v>1</v>
      </c>
      <c r="P1014" s="92">
        <f t="shared" si="256"/>
        <v>650</v>
      </c>
      <c r="Q1014" s="92"/>
      <c r="R1014" s="92">
        <v>650</v>
      </c>
      <c r="S1014" s="92">
        <f t="shared" si="252"/>
        <v>0</v>
      </c>
      <c r="T1014" s="102">
        <f t="shared" si="253"/>
        <v>1016.4705882352941</v>
      </c>
      <c r="U1014" s="101">
        <f t="shared" si="254"/>
        <v>0</v>
      </c>
      <c r="V1014" s="101">
        <f t="shared" si="255"/>
        <v>0</v>
      </c>
      <c r="W1014" s="101">
        <v>0</v>
      </c>
      <c r="X1014" s="55">
        <f t="shared" si="257"/>
        <v>46153</v>
      </c>
    </row>
    <row r="1015" spans="1:24" ht="26.5" hidden="1" x14ac:dyDescent="0.35">
      <c r="A1015" s="55">
        <f t="shared" si="250"/>
        <v>46153</v>
      </c>
      <c r="B1015" s="55"/>
      <c r="C1015" s="345"/>
      <c r="D1015" s="55"/>
      <c r="E1015" s="47" t="s">
        <v>1563</v>
      </c>
      <c r="F1015" s="69" t="s">
        <v>1237</v>
      </c>
      <c r="G1015" s="69"/>
      <c r="H1015" s="340" t="s">
        <v>5658</v>
      </c>
      <c r="I1015" s="82" t="s">
        <v>5659</v>
      </c>
      <c r="J1015" s="100" t="s">
        <v>140</v>
      </c>
      <c r="K1015" s="91">
        <v>0</v>
      </c>
      <c r="L1015" s="91">
        <v>0</v>
      </c>
      <c r="M1015" s="92">
        <v>85</v>
      </c>
      <c r="N1015" s="92">
        <v>250</v>
      </c>
      <c r="O1015" s="92">
        <v>1</v>
      </c>
      <c r="P1015" s="92">
        <f t="shared" si="256"/>
        <v>250</v>
      </c>
      <c r="Q1015" s="92"/>
      <c r="R1015" s="92">
        <v>250</v>
      </c>
      <c r="S1015" s="92">
        <f t="shared" si="252"/>
        <v>0</v>
      </c>
      <c r="T1015" s="102">
        <f t="shared" si="253"/>
        <v>1016.4705882352941</v>
      </c>
      <c r="U1015" s="101">
        <f t="shared" si="254"/>
        <v>0</v>
      </c>
      <c r="V1015" s="101">
        <f t="shared" si="255"/>
        <v>0</v>
      </c>
      <c r="W1015" s="101">
        <v>0</v>
      </c>
      <c r="X1015" s="55">
        <f t="shared" si="257"/>
        <v>46153</v>
      </c>
    </row>
    <row r="1016" spans="1:24" hidden="1" x14ac:dyDescent="0.35">
      <c r="A1016" s="55">
        <f t="shared" si="250"/>
        <v>46153</v>
      </c>
      <c r="B1016" s="55"/>
      <c r="C1016" s="345"/>
      <c r="D1016" s="55"/>
      <c r="E1016" s="47" t="s">
        <v>1563</v>
      </c>
      <c r="F1016" s="82" t="s">
        <v>1237</v>
      </c>
      <c r="G1016" s="82"/>
      <c r="H1016" s="98" t="s">
        <v>5660</v>
      </c>
      <c r="I1016" s="453" t="s">
        <v>5661</v>
      </c>
      <c r="J1016" s="51" t="s">
        <v>140</v>
      </c>
      <c r="K1016" s="91">
        <v>0</v>
      </c>
      <c r="L1016" s="91">
        <v>0</v>
      </c>
      <c r="M1016" s="92">
        <v>84</v>
      </c>
      <c r="N1016" s="92">
        <v>250</v>
      </c>
      <c r="O1016" s="92">
        <v>1</v>
      </c>
      <c r="P1016" s="102">
        <f t="shared" si="256"/>
        <v>250</v>
      </c>
      <c r="Q1016" s="102"/>
      <c r="R1016" s="92">
        <v>250</v>
      </c>
      <c r="S1016" s="92">
        <f t="shared" si="252"/>
        <v>0</v>
      </c>
      <c r="T1016" s="92">
        <f t="shared" si="253"/>
        <v>1028.5714285714284</v>
      </c>
      <c r="U1016" s="91">
        <f t="shared" si="254"/>
        <v>0</v>
      </c>
      <c r="V1016" s="91">
        <f t="shared" si="255"/>
        <v>0</v>
      </c>
      <c r="W1016" s="91">
        <v>0</v>
      </c>
      <c r="X1016" s="55">
        <f t="shared" si="257"/>
        <v>46153</v>
      </c>
    </row>
    <row r="1017" spans="1:24" hidden="1" x14ac:dyDescent="0.35">
      <c r="A1017" s="55">
        <f t="shared" si="250"/>
        <v>46153</v>
      </c>
      <c r="B1017" s="55"/>
      <c r="C1017" s="345"/>
      <c r="D1017" s="55"/>
      <c r="E1017" s="47" t="s">
        <v>1563</v>
      </c>
      <c r="F1017" s="82" t="s">
        <v>1237</v>
      </c>
      <c r="G1017" s="82"/>
      <c r="H1017" s="98" t="s">
        <v>5662</v>
      </c>
      <c r="I1017" s="453" t="s">
        <v>5663</v>
      </c>
      <c r="J1017" s="51" t="s">
        <v>140</v>
      </c>
      <c r="K1017" s="91">
        <v>0</v>
      </c>
      <c r="L1017" s="91">
        <v>0</v>
      </c>
      <c r="M1017" s="92">
        <v>60</v>
      </c>
      <c r="N1017" s="92">
        <v>650</v>
      </c>
      <c r="O1017" s="92">
        <v>1</v>
      </c>
      <c r="P1017" s="102">
        <f t="shared" si="256"/>
        <v>650</v>
      </c>
      <c r="Q1017" s="102"/>
      <c r="R1017" s="92">
        <v>650</v>
      </c>
      <c r="S1017" s="92">
        <f t="shared" si="252"/>
        <v>0</v>
      </c>
      <c r="T1017" s="92">
        <f t="shared" si="253"/>
        <v>1440</v>
      </c>
      <c r="U1017" s="91">
        <f t="shared" si="254"/>
        <v>0</v>
      </c>
      <c r="V1017" s="91">
        <f t="shared" si="255"/>
        <v>0</v>
      </c>
      <c r="W1017" s="91">
        <v>0</v>
      </c>
      <c r="X1017" s="55">
        <f t="shared" si="257"/>
        <v>46153</v>
      </c>
    </row>
    <row r="1018" spans="1:24" hidden="1" x14ac:dyDescent="0.35">
      <c r="A1018" s="55">
        <f t="shared" si="250"/>
        <v>46153</v>
      </c>
      <c r="B1018" s="55"/>
      <c r="C1018" s="345"/>
      <c r="D1018" s="55"/>
      <c r="E1018" s="47" t="s">
        <v>1563</v>
      </c>
      <c r="F1018" s="82" t="s">
        <v>220</v>
      </c>
      <c r="G1018" s="82"/>
      <c r="H1018" s="107" t="s">
        <v>5664</v>
      </c>
      <c r="I1018" s="106" t="s">
        <v>4305</v>
      </c>
      <c r="J1018" s="51" t="s">
        <v>140</v>
      </c>
      <c r="K1018" s="91">
        <v>0</v>
      </c>
      <c r="L1018" s="91">
        <v>0</v>
      </c>
      <c r="M1018" s="92">
        <v>50</v>
      </c>
      <c r="N1018" s="92">
        <v>1500</v>
      </c>
      <c r="O1018" s="92">
        <v>1</v>
      </c>
      <c r="P1018" s="92">
        <f t="shared" si="256"/>
        <v>1500</v>
      </c>
      <c r="Q1018" s="92"/>
      <c r="R1018" s="92">
        <v>1500</v>
      </c>
      <c r="S1018" s="92">
        <f t="shared" si="252"/>
        <v>0</v>
      </c>
      <c r="T1018" s="92">
        <f t="shared" si="253"/>
        <v>1728</v>
      </c>
      <c r="U1018" s="91">
        <f t="shared" si="254"/>
        <v>0</v>
      </c>
      <c r="V1018" s="91">
        <f t="shared" si="255"/>
        <v>0</v>
      </c>
      <c r="W1018" s="91">
        <v>0</v>
      </c>
      <c r="X1018" s="55">
        <f>A1018+K1018+L1018+V1018+W1018</f>
        <v>46153</v>
      </c>
    </row>
    <row r="1019" spans="1:24" hidden="1" x14ac:dyDescent="0.35">
      <c r="A1019" s="55">
        <f t="shared" si="250"/>
        <v>46153</v>
      </c>
      <c r="B1019" s="55"/>
      <c r="C1019" s="345"/>
      <c r="D1019" s="55"/>
      <c r="E1019" s="47" t="s">
        <v>1563</v>
      </c>
      <c r="F1019" s="82" t="s">
        <v>4607</v>
      </c>
      <c r="G1019" s="82"/>
      <c r="H1019" s="107" t="s">
        <v>5665</v>
      </c>
      <c r="I1019" s="82" t="s">
        <v>5666</v>
      </c>
      <c r="J1019" s="100" t="s">
        <v>140</v>
      </c>
      <c r="K1019" s="91">
        <v>0</v>
      </c>
      <c r="L1019" s="91">
        <v>0</v>
      </c>
      <c r="M1019" s="92">
        <v>90</v>
      </c>
      <c r="N1019" s="92">
        <v>1200</v>
      </c>
      <c r="O1019" s="92">
        <v>1</v>
      </c>
      <c r="P1019" s="92">
        <f t="shared" si="256"/>
        <v>1200</v>
      </c>
      <c r="Q1019" s="92"/>
      <c r="R1019" s="102">
        <v>1200</v>
      </c>
      <c r="S1019" s="92">
        <f t="shared" si="252"/>
        <v>0</v>
      </c>
      <c r="T1019" s="102">
        <f t="shared" si="253"/>
        <v>960</v>
      </c>
      <c r="U1019" s="101">
        <f t="shared" si="254"/>
        <v>0</v>
      </c>
      <c r="V1019" s="101">
        <f t="shared" si="255"/>
        <v>0</v>
      </c>
      <c r="W1019" s="101">
        <v>0</v>
      </c>
      <c r="X1019" s="915">
        <f>A1019+V1019+W1019</f>
        <v>46153</v>
      </c>
    </row>
    <row r="1020" spans="1:24" hidden="1" x14ac:dyDescent="0.35">
      <c r="A1020" s="55">
        <f t="shared" si="250"/>
        <v>46153</v>
      </c>
      <c r="B1020" s="55"/>
      <c r="C1020" s="345"/>
      <c r="D1020" s="55"/>
      <c r="E1020" s="419" t="s">
        <v>1563</v>
      </c>
      <c r="F1020" s="97" t="s">
        <v>900</v>
      </c>
      <c r="G1020" s="97"/>
      <c r="H1020" s="334" t="s">
        <v>5667</v>
      </c>
      <c r="I1020" s="97" t="s">
        <v>1855</v>
      </c>
      <c r="J1020" s="170" t="s">
        <v>140</v>
      </c>
      <c r="K1020" s="91">
        <v>0</v>
      </c>
      <c r="L1020" s="91">
        <v>0</v>
      </c>
      <c r="M1020" s="92">
        <v>60</v>
      </c>
      <c r="N1020" s="92">
        <v>6600</v>
      </c>
      <c r="O1020" s="92">
        <v>1</v>
      </c>
      <c r="P1020" s="92">
        <f t="shared" si="256"/>
        <v>6600</v>
      </c>
      <c r="Q1020" s="92"/>
      <c r="R1020" s="92">
        <v>6600</v>
      </c>
      <c r="S1020" s="92">
        <f t="shared" si="252"/>
        <v>0</v>
      </c>
      <c r="T1020" s="102">
        <f t="shared" si="253"/>
        <v>1440</v>
      </c>
      <c r="U1020" s="101">
        <f t="shared" si="254"/>
        <v>0</v>
      </c>
      <c r="V1020" s="101">
        <f t="shared" si="255"/>
        <v>0</v>
      </c>
      <c r="W1020" s="101">
        <v>0</v>
      </c>
      <c r="X1020" s="55">
        <f>A1020+K1020+L1020+V1020+W1020</f>
        <v>46153</v>
      </c>
    </row>
    <row r="1021" spans="1:24" hidden="1" x14ac:dyDescent="0.35">
      <c r="A1021" s="55">
        <f t="shared" si="250"/>
        <v>46153</v>
      </c>
      <c r="B1021" s="55"/>
      <c r="C1021" s="345"/>
      <c r="D1021" s="55"/>
      <c r="E1021" s="47" t="s">
        <v>1563</v>
      </c>
      <c r="F1021" s="82" t="s">
        <v>5668</v>
      </c>
      <c r="G1021" s="82"/>
      <c r="H1021" s="107" t="s">
        <v>5669</v>
      </c>
      <c r="I1021" s="82" t="s">
        <v>1566</v>
      </c>
      <c r="J1021" s="100" t="s">
        <v>140</v>
      </c>
      <c r="K1021" s="91">
        <v>0</v>
      </c>
      <c r="L1021" s="91">
        <v>0</v>
      </c>
      <c r="M1021" s="92">
        <v>100</v>
      </c>
      <c r="N1021" s="92">
        <v>720</v>
      </c>
      <c r="O1021" s="92">
        <v>1</v>
      </c>
      <c r="P1021" s="92">
        <f t="shared" si="256"/>
        <v>720</v>
      </c>
      <c r="Q1021" s="92"/>
      <c r="R1021" s="92">
        <v>720</v>
      </c>
      <c r="S1021" s="92">
        <f t="shared" si="252"/>
        <v>0</v>
      </c>
      <c r="T1021" s="102">
        <f t="shared" si="253"/>
        <v>864</v>
      </c>
      <c r="U1021" s="101">
        <f t="shared" si="254"/>
        <v>0</v>
      </c>
      <c r="V1021" s="101">
        <f t="shared" si="255"/>
        <v>0</v>
      </c>
      <c r="W1021" s="101">
        <v>0</v>
      </c>
      <c r="X1021" s="55">
        <f>A1021+K1021+V1021+W1021+L1021</f>
        <v>46153</v>
      </c>
    </row>
    <row r="1022" spans="1:24" hidden="1" x14ac:dyDescent="0.35">
      <c r="A1022" s="55">
        <f t="shared" si="250"/>
        <v>46153</v>
      </c>
      <c r="B1022" s="55"/>
      <c r="C1022" s="345"/>
      <c r="D1022" s="55"/>
      <c r="E1022" s="47" t="s">
        <v>1872</v>
      </c>
      <c r="F1022" s="82" t="s">
        <v>1603</v>
      </c>
      <c r="G1022" s="82"/>
      <c r="H1022" s="452">
        <v>12372</v>
      </c>
      <c r="I1022" s="82" t="s">
        <v>5643</v>
      </c>
      <c r="J1022" s="51" t="s">
        <v>140</v>
      </c>
      <c r="K1022" s="91">
        <v>0</v>
      </c>
      <c r="L1022" s="91">
        <v>0</v>
      </c>
      <c r="M1022" s="92">
        <v>45</v>
      </c>
      <c r="N1022" s="92">
        <v>4000</v>
      </c>
      <c r="O1022" s="92">
        <v>1</v>
      </c>
      <c r="P1022" s="92">
        <f t="shared" si="256"/>
        <v>4000</v>
      </c>
      <c r="Q1022" s="92"/>
      <c r="R1022" s="92">
        <v>4000</v>
      </c>
      <c r="S1022" s="92">
        <f t="shared" si="252"/>
        <v>0</v>
      </c>
      <c r="T1022" s="92">
        <f t="shared" si="253"/>
        <v>1920</v>
      </c>
      <c r="U1022" s="91">
        <f t="shared" si="254"/>
        <v>0</v>
      </c>
      <c r="V1022" s="91">
        <f t="shared" si="255"/>
        <v>0</v>
      </c>
      <c r="W1022" s="91">
        <v>0</v>
      </c>
      <c r="X1022" s="55">
        <f>A1022+K1022+V1022+W1022+L1022</f>
        <v>46153</v>
      </c>
    </row>
    <row r="1023" spans="1:24" hidden="1" x14ac:dyDescent="0.35">
      <c r="A1023" s="55">
        <f t="shared" si="250"/>
        <v>46153</v>
      </c>
      <c r="B1023" s="55"/>
      <c r="C1023" s="345"/>
      <c r="D1023" s="55"/>
      <c r="E1023" s="47" t="s">
        <v>1563</v>
      </c>
      <c r="F1023" s="97" t="s">
        <v>1860</v>
      </c>
      <c r="G1023" s="97"/>
      <c r="H1023" s="98" t="s">
        <v>5670</v>
      </c>
      <c r="I1023" s="97" t="s">
        <v>1855</v>
      </c>
      <c r="J1023" s="170" t="s">
        <v>140</v>
      </c>
      <c r="K1023" s="91">
        <v>0</v>
      </c>
      <c r="L1023" s="91">
        <v>0</v>
      </c>
      <c r="M1023" s="92">
        <v>60</v>
      </c>
      <c r="N1023" s="92">
        <v>9800</v>
      </c>
      <c r="O1023" s="92">
        <v>1</v>
      </c>
      <c r="P1023" s="92">
        <f t="shared" si="256"/>
        <v>9800</v>
      </c>
      <c r="Q1023" s="92"/>
      <c r="R1023" s="92">
        <v>9800</v>
      </c>
      <c r="S1023" s="92">
        <f t="shared" si="252"/>
        <v>0</v>
      </c>
      <c r="T1023" s="102">
        <f t="shared" si="253"/>
        <v>1440</v>
      </c>
      <c r="U1023" s="101">
        <f t="shared" si="254"/>
        <v>0</v>
      </c>
      <c r="V1023" s="101">
        <f t="shared" si="255"/>
        <v>0</v>
      </c>
      <c r="W1023" s="101">
        <v>0</v>
      </c>
      <c r="X1023" s="55">
        <f>A1023+K1023+L1023+V1023+W1023</f>
        <v>46153</v>
      </c>
    </row>
    <row r="1024" spans="1:24" ht="26.5" hidden="1" x14ac:dyDescent="0.35">
      <c r="A1024" s="55">
        <f t="shared" si="250"/>
        <v>46153</v>
      </c>
      <c r="B1024" s="55"/>
      <c r="C1024" s="345"/>
      <c r="D1024" s="55"/>
      <c r="E1024" s="47" t="s">
        <v>1563</v>
      </c>
      <c r="F1024" s="69" t="s">
        <v>5671</v>
      </c>
      <c r="G1024" s="69"/>
      <c r="H1024" s="340" t="s">
        <v>5672</v>
      </c>
      <c r="I1024" s="82" t="s">
        <v>5673</v>
      </c>
      <c r="J1024" s="100" t="s">
        <v>140</v>
      </c>
      <c r="K1024" s="91">
        <v>0</v>
      </c>
      <c r="L1024" s="91">
        <v>0</v>
      </c>
      <c r="M1024" s="92">
        <v>85</v>
      </c>
      <c r="N1024" s="92">
        <v>500</v>
      </c>
      <c r="O1024" s="92">
        <v>1</v>
      </c>
      <c r="P1024" s="92">
        <f t="shared" si="256"/>
        <v>500</v>
      </c>
      <c r="Q1024" s="92"/>
      <c r="R1024" s="92">
        <v>500</v>
      </c>
      <c r="S1024" s="92">
        <f t="shared" si="252"/>
        <v>0</v>
      </c>
      <c r="T1024" s="102">
        <f t="shared" si="253"/>
        <v>1016.4705882352941</v>
      </c>
      <c r="U1024" s="101">
        <f t="shared" si="254"/>
        <v>0</v>
      </c>
      <c r="V1024" s="101">
        <f t="shared" si="255"/>
        <v>0</v>
      </c>
      <c r="W1024" s="101">
        <v>0</v>
      </c>
      <c r="X1024" s="55">
        <f t="shared" ref="X1024:X1029" si="258">A1024+K1024+V1024+W1024+L1024</f>
        <v>46153</v>
      </c>
    </row>
    <row r="1025" spans="1:24" hidden="1" x14ac:dyDescent="0.35">
      <c r="A1025" s="55">
        <f t="shared" si="250"/>
        <v>46153</v>
      </c>
      <c r="B1025" s="55"/>
      <c r="C1025" s="345"/>
      <c r="D1025" s="55"/>
      <c r="E1025" s="47" t="s">
        <v>1563</v>
      </c>
      <c r="F1025" s="82" t="s">
        <v>290</v>
      </c>
      <c r="G1025" s="82"/>
      <c r="H1025" s="107" t="s">
        <v>5674</v>
      </c>
      <c r="I1025" s="97" t="s">
        <v>143</v>
      </c>
      <c r="J1025" s="51" t="s">
        <v>140</v>
      </c>
      <c r="K1025" s="91">
        <v>0</v>
      </c>
      <c r="L1025" s="91">
        <v>0</v>
      </c>
      <c r="M1025" s="92">
        <v>100</v>
      </c>
      <c r="N1025" s="92">
        <v>4000</v>
      </c>
      <c r="O1025" s="92">
        <v>1</v>
      </c>
      <c r="P1025" s="92">
        <f t="shared" si="256"/>
        <v>4000</v>
      </c>
      <c r="Q1025" s="92"/>
      <c r="R1025" s="92">
        <v>4000</v>
      </c>
      <c r="S1025" s="92">
        <f t="shared" si="252"/>
        <v>0</v>
      </c>
      <c r="T1025" s="92">
        <f t="shared" si="253"/>
        <v>864</v>
      </c>
      <c r="U1025" s="91">
        <f t="shared" si="254"/>
        <v>0</v>
      </c>
      <c r="V1025" s="91">
        <f t="shared" si="255"/>
        <v>0</v>
      </c>
      <c r="W1025" s="91">
        <v>0</v>
      </c>
      <c r="X1025" s="55">
        <f t="shared" si="258"/>
        <v>46153</v>
      </c>
    </row>
    <row r="1026" spans="1:24" ht="26.5" hidden="1" x14ac:dyDescent="0.35">
      <c r="A1026" s="55">
        <f t="shared" si="250"/>
        <v>46153</v>
      </c>
      <c r="B1026" s="55"/>
      <c r="C1026" s="345"/>
      <c r="D1026" s="55"/>
      <c r="E1026" s="590" t="s">
        <v>4494</v>
      </c>
      <c r="F1026" s="69"/>
      <c r="G1026" s="69"/>
      <c r="H1026" s="340" t="s">
        <v>5675</v>
      </c>
      <c r="I1026" s="82" t="s">
        <v>5673</v>
      </c>
      <c r="J1026" s="100" t="s">
        <v>140</v>
      </c>
      <c r="K1026" s="91">
        <v>0</v>
      </c>
      <c r="L1026" s="91">
        <v>0</v>
      </c>
      <c r="M1026" s="92">
        <v>85</v>
      </c>
      <c r="N1026" s="92">
        <v>200</v>
      </c>
      <c r="O1026" s="92">
        <v>1</v>
      </c>
      <c r="P1026" s="92">
        <f t="shared" si="256"/>
        <v>200</v>
      </c>
      <c r="Q1026" s="92"/>
      <c r="R1026" s="92">
        <v>200</v>
      </c>
      <c r="S1026" s="92">
        <f t="shared" si="252"/>
        <v>0</v>
      </c>
      <c r="T1026" s="102">
        <f t="shared" si="253"/>
        <v>1016.4705882352941</v>
      </c>
      <c r="U1026" s="101">
        <f t="shared" si="254"/>
        <v>0</v>
      </c>
      <c r="V1026" s="101">
        <f t="shared" si="255"/>
        <v>0</v>
      </c>
      <c r="W1026" s="101">
        <v>0</v>
      </c>
      <c r="X1026" s="55">
        <f t="shared" si="258"/>
        <v>46153</v>
      </c>
    </row>
    <row r="1027" spans="1:24" hidden="1" x14ac:dyDescent="0.35">
      <c r="A1027" s="55">
        <f t="shared" si="250"/>
        <v>46153</v>
      </c>
      <c r="B1027" s="55"/>
      <c r="C1027" s="345"/>
      <c r="D1027" s="55"/>
      <c r="E1027" s="47" t="s">
        <v>1563</v>
      </c>
      <c r="F1027" s="82" t="s">
        <v>314</v>
      </c>
      <c r="G1027" s="82" t="s">
        <v>315</v>
      </c>
      <c r="H1027" s="107" t="s">
        <v>5676</v>
      </c>
      <c r="I1027" s="97" t="s">
        <v>143</v>
      </c>
      <c r="J1027" s="51" t="s">
        <v>140</v>
      </c>
      <c r="K1027" s="91">
        <v>0</v>
      </c>
      <c r="L1027" s="91">
        <v>0</v>
      </c>
      <c r="M1027" s="92">
        <v>80</v>
      </c>
      <c r="N1027" s="92">
        <f>14000</f>
        <v>14000</v>
      </c>
      <c r="O1027" s="92">
        <v>1</v>
      </c>
      <c r="P1027" s="92">
        <f t="shared" si="256"/>
        <v>14000</v>
      </c>
      <c r="Q1027" s="92"/>
      <c r="R1027" s="92">
        <v>14000</v>
      </c>
      <c r="S1027" s="92">
        <f t="shared" si="252"/>
        <v>0</v>
      </c>
      <c r="T1027" s="92">
        <f t="shared" si="253"/>
        <v>1080</v>
      </c>
      <c r="U1027" s="91">
        <f t="shared" si="254"/>
        <v>0</v>
      </c>
      <c r="V1027" s="91">
        <f t="shared" si="255"/>
        <v>0</v>
      </c>
      <c r="W1027" s="91">
        <v>0</v>
      </c>
      <c r="X1027" s="55">
        <f t="shared" si="258"/>
        <v>46153</v>
      </c>
    </row>
    <row r="1028" spans="1:24" hidden="1" x14ac:dyDescent="0.35">
      <c r="A1028" s="55">
        <f t="shared" si="250"/>
        <v>46153</v>
      </c>
      <c r="B1028" s="55"/>
      <c r="C1028" s="345"/>
      <c r="D1028" s="55"/>
      <c r="E1028" s="47" t="s">
        <v>1563</v>
      </c>
      <c r="F1028" s="82" t="s">
        <v>314</v>
      </c>
      <c r="G1028" s="82" t="s">
        <v>315</v>
      </c>
      <c r="H1028" s="107" t="s">
        <v>5677</v>
      </c>
      <c r="I1028" s="97" t="s">
        <v>143</v>
      </c>
      <c r="J1028" s="51" t="s">
        <v>140</v>
      </c>
      <c r="K1028" s="91">
        <v>0</v>
      </c>
      <c r="L1028" s="91">
        <v>0</v>
      </c>
      <c r="M1028" s="92">
        <v>85</v>
      </c>
      <c r="N1028" s="92">
        <f>5460</f>
        <v>5460</v>
      </c>
      <c r="O1028" s="92">
        <v>1</v>
      </c>
      <c r="P1028" s="92">
        <f t="shared" si="256"/>
        <v>5460</v>
      </c>
      <c r="Q1028" s="92"/>
      <c r="R1028" s="92">
        <v>5460</v>
      </c>
      <c r="S1028" s="92">
        <f t="shared" si="252"/>
        <v>0</v>
      </c>
      <c r="T1028" s="92">
        <f t="shared" si="253"/>
        <v>1016.4705882352941</v>
      </c>
      <c r="U1028" s="91">
        <f t="shared" si="254"/>
        <v>0</v>
      </c>
      <c r="V1028" s="91">
        <f t="shared" si="255"/>
        <v>0</v>
      </c>
      <c r="W1028" s="91">
        <v>0</v>
      </c>
      <c r="X1028" s="55">
        <f t="shared" si="258"/>
        <v>46153</v>
      </c>
    </row>
    <row r="1029" spans="1:24" hidden="1" x14ac:dyDescent="0.35">
      <c r="A1029" s="46">
        <f t="shared" si="250"/>
        <v>46153</v>
      </c>
      <c r="B1029" s="46"/>
      <c r="C1029" s="260"/>
      <c r="D1029" s="46"/>
      <c r="E1029" s="47" t="s">
        <v>1563</v>
      </c>
      <c r="F1029" s="82" t="s">
        <v>4451</v>
      </c>
      <c r="G1029" s="82" t="s">
        <v>780</v>
      </c>
      <c r="H1029" s="107" t="s">
        <v>5678</v>
      </c>
      <c r="I1029" s="97" t="s">
        <v>143</v>
      </c>
      <c r="J1029" s="51" t="s">
        <v>140</v>
      </c>
      <c r="K1029" s="91">
        <v>0</v>
      </c>
      <c r="L1029" s="91">
        <v>0</v>
      </c>
      <c r="M1029" s="92">
        <v>85</v>
      </c>
      <c r="N1029" s="94">
        <v>20916</v>
      </c>
      <c r="O1029" s="92">
        <v>1</v>
      </c>
      <c r="P1029" s="94">
        <f t="shared" si="256"/>
        <v>20916</v>
      </c>
      <c r="Q1029" s="94"/>
      <c r="R1029" s="92">
        <v>20916</v>
      </c>
      <c r="S1029" s="92">
        <f t="shared" si="252"/>
        <v>0</v>
      </c>
      <c r="T1029" s="92">
        <f t="shared" si="253"/>
        <v>1016.4705882352941</v>
      </c>
      <c r="U1029" s="91">
        <f t="shared" si="254"/>
        <v>0</v>
      </c>
      <c r="V1029" s="91">
        <f t="shared" si="255"/>
        <v>0</v>
      </c>
      <c r="W1029" s="91">
        <v>0</v>
      </c>
      <c r="X1029" s="55">
        <f t="shared" si="258"/>
        <v>46153</v>
      </c>
    </row>
    <row r="1030" spans="1:24" ht="26.5" hidden="1" x14ac:dyDescent="0.35">
      <c r="A1030" s="46">
        <f t="shared" si="250"/>
        <v>46153</v>
      </c>
      <c r="B1030" s="46"/>
      <c r="C1030" s="260"/>
      <c r="D1030" s="46"/>
      <c r="E1030" s="47" t="s">
        <v>1563</v>
      </c>
      <c r="F1030" s="97"/>
      <c r="G1030" s="97" t="s">
        <v>2810</v>
      </c>
      <c r="H1030" s="98" t="s">
        <v>2811</v>
      </c>
      <c r="I1030" s="97" t="s">
        <v>2812</v>
      </c>
      <c r="J1030" s="170" t="s">
        <v>140</v>
      </c>
      <c r="K1030" s="91">
        <v>0</v>
      </c>
      <c r="L1030" s="91">
        <v>0</v>
      </c>
      <c r="M1030" s="92">
        <v>60</v>
      </c>
      <c r="N1030" s="94">
        <v>12000</v>
      </c>
      <c r="O1030" s="92">
        <v>1</v>
      </c>
      <c r="P1030" s="94">
        <f t="shared" si="256"/>
        <v>12000</v>
      </c>
      <c r="Q1030" s="94"/>
      <c r="R1030" s="92">
        <v>12000</v>
      </c>
      <c r="S1030" s="92">
        <f t="shared" si="252"/>
        <v>0</v>
      </c>
      <c r="T1030" s="102">
        <f t="shared" si="253"/>
        <v>1440</v>
      </c>
      <c r="U1030" s="101">
        <f t="shared" si="254"/>
        <v>0</v>
      </c>
      <c r="V1030" s="101">
        <f t="shared" si="255"/>
        <v>0</v>
      </c>
      <c r="W1030" s="101">
        <v>0</v>
      </c>
      <c r="X1030" s="55">
        <f>A1030+K1030+L1030+V1030+W1030</f>
        <v>46153</v>
      </c>
    </row>
    <row r="1031" spans="1:24" s="118" customFormat="1" hidden="1" x14ac:dyDescent="0.35">
      <c r="A1031" s="46">
        <f t="shared" si="250"/>
        <v>46153</v>
      </c>
      <c r="B1031" s="46"/>
      <c r="C1031" s="260"/>
      <c r="D1031" s="46"/>
      <c r="E1031" s="47" t="s">
        <v>1563</v>
      </c>
      <c r="F1031" s="82" t="s">
        <v>1875</v>
      </c>
      <c r="G1031" s="82" t="s">
        <v>359</v>
      </c>
      <c r="H1031" s="107" t="s">
        <v>5679</v>
      </c>
      <c r="I1031" s="82" t="s">
        <v>1573</v>
      </c>
      <c r="J1031" s="100" t="s">
        <v>140</v>
      </c>
      <c r="K1031" s="91">
        <v>0</v>
      </c>
      <c r="L1031" s="91">
        <v>0</v>
      </c>
      <c r="M1031" s="92">
        <v>100</v>
      </c>
      <c r="N1031" s="94">
        <v>2000</v>
      </c>
      <c r="O1031" s="253">
        <v>1</v>
      </c>
      <c r="P1031" s="94">
        <f t="shared" si="256"/>
        <v>2000</v>
      </c>
      <c r="Q1031" s="94"/>
      <c r="R1031" s="92">
        <v>2000</v>
      </c>
      <c r="S1031" s="92">
        <f t="shared" si="252"/>
        <v>0</v>
      </c>
      <c r="T1031" s="173">
        <f t="shared" si="253"/>
        <v>864</v>
      </c>
      <c r="U1031" s="101">
        <f t="shared" si="254"/>
        <v>0</v>
      </c>
      <c r="V1031" s="101">
        <f t="shared" si="255"/>
        <v>0</v>
      </c>
      <c r="W1031" s="101">
        <v>0</v>
      </c>
      <c r="X1031" s="55">
        <f t="shared" ref="X1031:X1037" si="259">A1031+K1031+V1031+W1031+L1031</f>
        <v>46153</v>
      </c>
    </row>
    <row r="1032" spans="1:24" hidden="1" x14ac:dyDescent="0.35">
      <c r="A1032" s="46">
        <f t="shared" si="250"/>
        <v>46153</v>
      </c>
      <c r="B1032" s="46"/>
      <c r="C1032" s="260"/>
      <c r="D1032" s="46"/>
      <c r="E1032" s="47" t="s">
        <v>1563</v>
      </c>
      <c r="F1032" s="82" t="s">
        <v>4762</v>
      </c>
      <c r="G1032" s="82" t="s">
        <v>359</v>
      </c>
      <c r="H1032" s="107" t="s">
        <v>5680</v>
      </c>
      <c r="I1032" s="97" t="s">
        <v>143</v>
      </c>
      <c r="J1032" s="51" t="s">
        <v>140</v>
      </c>
      <c r="K1032" s="91">
        <v>0</v>
      </c>
      <c r="L1032" s="91">
        <v>0</v>
      </c>
      <c r="M1032" s="92">
        <v>85</v>
      </c>
      <c r="N1032" s="94">
        <v>522</v>
      </c>
      <c r="O1032" s="92">
        <v>1</v>
      </c>
      <c r="P1032" s="94">
        <f t="shared" si="256"/>
        <v>522</v>
      </c>
      <c r="Q1032" s="94"/>
      <c r="R1032" s="92">
        <v>522</v>
      </c>
      <c r="S1032" s="92">
        <f t="shared" si="252"/>
        <v>0</v>
      </c>
      <c r="T1032" s="92">
        <f t="shared" si="253"/>
        <v>1016.4705882352941</v>
      </c>
      <c r="U1032" s="91">
        <f t="shared" si="254"/>
        <v>0</v>
      </c>
      <c r="V1032" s="91">
        <f t="shared" si="255"/>
        <v>0</v>
      </c>
      <c r="W1032" s="91">
        <v>0</v>
      </c>
      <c r="X1032" s="55">
        <f t="shared" si="259"/>
        <v>46153</v>
      </c>
    </row>
    <row r="1033" spans="1:24" hidden="1" x14ac:dyDescent="0.35">
      <c r="A1033" s="46">
        <f t="shared" si="250"/>
        <v>46153</v>
      </c>
      <c r="B1033" s="46"/>
      <c r="C1033" s="260"/>
      <c r="D1033" s="46"/>
      <c r="E1033" s="47" t="s">
        <v>1563</v>
      </c>
      <c r="F1033" s="82" t="s">
        <v>1291</v>
      </c>
      <c r="G1033" s="82" t="s">
        <v>359</v>
      </c>
      <c r="H1033" s="107" t="s">
        <v>5681</v>
      </c>
      <c r="I1033" s="97" t="s">
        <v>143</v>
      </c>
      <c r="J1033" s="51" t="s">
        <v>140</v>
      </c>
      <c r="K1033" s="91">
        <v>0</v>
      </c>
      <c r="L1033" s="91">
        <v>0</v>
      </c>
      <c r="M1033" s="92">
        <v>85</v>
      </c>
      <c r="N1033" s="94">
        <v>4662</v>
      </c>
      <c r="O1033" s="92">
        <v>1</v>
      </c>
      <c r="P1033" s="94">
        <f t="shared" si="256"/>
        <v>4662</v>
      </c>
      <c r="Q1033" s="94"/>
      <c r="R1033" s="92">
        <v>4662</v>
      </c>
      <c r="S1033" s="92">
        <f t="shared" si="252"/>
        <v>0</v>
      </c>
      <c r="T1033" s="92">
        <f t="shared" si="253"/>
        <v>1016.4705882352941</v>
      </c>
      <c r="U1033" s="91">
        <f t="shared" si="254"/>
        <v>0</v>
      </c>
      <c r="V1033" s="91">
        <f t="shared" si="255"/>
        <v>0</v>
      </c>
      <c r="W1033" s="91">
        <v>0</v>
      </c>
      <c r="X1033" s="55">
        <f t="shared" si="259"/>
        <v>46153</v>
      </c>
    </row>
    <row r="1034" spans="1:24" hidden="1" x14ac:dyDescent="0.35">
      <c r="A1034" s="46">
        <f t="shared" si="250"/>
        <v>46153</v>
      </c>
      <c r="B1034" s="46"/>
      <c r="C1034" s="260"/>
      <c r="D1034" s="46"/>
      <c r="E1034" s="47" t="s">
        <v>1563</v>
      </c>
      <c r="F1034" s="82" t="s">
        <v>1293</v>
      </c>
      <c r="G1034" s="82" t="s">
        <v>830</v>
      </c>
      <c r="H1034" s="107" t="s">
        <v>5682</v>
      </c>
      <c r="I1034" s="97" t="s">
        <v>143</v>
      </c>
      <c r="J1034" s="51" t="s">
        <v>140</v>
      </c>
      <c r="K1034" s="91">
        <v>0</v>
      </c>
      <c r="L1034" s="91">
        <v>0</v>
      </c>
      <c r="M1034" s="92">
        <v>85</v>
      </c>
      <c r="N1034" s="94">
        <v>6481</v>
      </c>
      <c r="O1034" s="92">
        <v>1</v>
      </c>
      <c r="P1034" s="94">
        <f t="shared" si="256"/>
        <v>6481</v>
      </c>
      <c r="Q1034" s="94"/>
      <c r="R1034" s="92">
        <v>6481</v>
      </c>
      <c r="S1034" s="92">
        <f t="shared" si="252"/>
        <v>0</v>
      </c>
      <c r="T1034" s="92">
        <f t="shared" si="253"/>
        <v>1016.4705882352941</v>
      </c>
      <c r="U1034" s="91">
        <f t="shared" si="254"/>
        <v>0</v>
      </c>
      <c r="V1034" s="91">
        <f t="shared" si="255"/>
        <v>0</v>
      </c>
      <c r="W1034" s="91">
        <v>0</v>
      </c>
      <c r="X1034" s="55">
        <f t="shared" si="259"/>
        <v>46153</v>
      </c>
    </row>
    <row r="1035" spans="1:24" s="487" customFormat="1" hidden="1" x14ac:dyDescent="0.35">
      <c r="A1035" s="46">
        <f t="shared" si="250"/>
        <v>46153</v>
      </c>
      <c r="B1035" s="46"/>
      <c r="C1035" s="260"/>
      <c r="D1035" s="46"/>
      <c r="E1035" s="47" t="s">
        <v>1563</v>
      </c>
      <c r="F1035" s="82" t="s">
        <v>2835</v>
      </c>
      <c r="G1035" s="82" t="s">
        <v>839</v>
      </c>
      <c r="H1035" s="107" t="s">
        <v>5683</v>
      </c>
      <c r="I1035" s="97" t="s">
        <v>143</v>
      </c>
      <c r="J1035" s="51" t="s">
        <v>140</v>
      </c>
      <c r="K1035" s="91">
        <v>0</v>
      </c>
      <c r="L1035" s="91">
        <v>0</v>
      </c>
      <c r="M1035" s="92">
        <v>85</v>
      </c>
      <c r="N1035" s="94">
        <v>5025</v>
      </c>
      <c r="O1035" s="92">
        <v>1</v>
      </c>
      <c r="P1035" s="94">
        <f t="shared" si="256"/>
        <v>5025</v>
      </c>
      <c r="Q1035" s="94"/>
      <c r="R1035" s="92">
        <v>5025</v>
      </c>
      <c r="S1035" s="92">
        <f t="shared" si="252"/>
        <v>0</v>
      </c>
      <c r="T1035" s="92">
        <f t="shared" si="253"/>
        <v>1016.4705882352941</v>
      </c>
      <c r="U1035" s="91">
        <f t="shared" si="254"/>
        <v>0</v>
      </c>
      <c r="V1035" s="91">
        <f t="shared" si="255"/>
        <v>0</v>
      </c>
      <c r="W1035" s="91">
        <v>0</v>
      </c>
      <c r="X1035" s="55">
        <f t="shared" si="259"/>
        <v>46153</v>
      </c>
    </row>
    <row r="1036" spans="1:24" s="511" customFormat="1" hidden="1" x14ac:dyDescent="0.35">
      <c r="A1036" s="46">
        <f t="shared" si="250"/>
        <v>46153</v>
      </c>
      <c r="B1036" s="46">
        <v>46059</v>
      </c>
      <c r="C1036" s="260">
        <f t="shared" ref="C1036:C1043" si="260">B1036-A1036</f>
        <v>-94</v>
      </c>
      <c r="D1036" s="260"/>
      <c r="E1036" s="47" t="s">
        <v>1563</v>
      </c>
      <c r="F1036" s="82" t="s">
        <v>1564</v>
      </c>
      <c r="G1036" s="82" t="s">
        <v>839</v>
      </c>
      <c r="H1036" s="108">
        <v>13412</v>
      </c>
      <c r="I1036" s="82" t="s">
        <v>1578</v>
      </c>
      <c r="J1036" s="51" t="s">
        <v>140</v>
      </c>
      <c r="K1036" s="91">
        <v>0</v>
      </c>
      <c r="L1036" s="91">
        <v>0</v>
      </c>
      <c r="M1036" s="92">
        <v>120</v>
      </c>
      <c r="N1036" s="94">
        <v>10000</v>
      </c>
      <c r="O1036" s="253">
        <v>1</v>
      </c>
      <c r="P1036" s="94">
        <f t="shared" si="256"/>
        <v>10000</v>
      </c>
      <c r="Q1036" s="181">
        <v>0.8</v>
      </c>
      <c r="R1036" s="92">
        <v>10000</v>
      </c>
      <c r="S1036" s="103">
        <f t="shared" si="252"/>
        <v>0</v>
      </c>
      <c r="T1036" s="173">
        <f t="shared" ref="T1036:T1048" si="261">((3600/M1036)*O1036)*24*Q1036</f>
        <v>576</v>
      </c>
      <c r="U1036" s="101">
        <f t="shared" ref="U1036:U1043" si="262">(P1036-R1036)*M1036/3600/Q1036</f>
        <v>0</v>
      </c>
      <c r="V1036" s="101">
        <f t="shared" ref="V1036:V1043" si="263">U1036/24</f>
        <v>0</v>
      </c>
      <c r="W1036" s="101">
        <v>0</v>
      </c>
      <c r="X1036" s="55">
        <f t="shared" si="259"/>
        <v>46153</v>
      </c>
    </row>
    <row r="1037" spans="1:24" s="511" customFormat="1" hidden="1" x14ac:dyDescent="0.35">
      <c r="A1037" s="46">
        <f t="shared" si="250"/>
        <v>46153</v>
      </c>
      <c r="B1037" s="46">
        <v>46059</v>
      </c>
      <c r="C1037" s="260">
        <f t="shared" si="260"/>
        <v>-94</v>
      </c>
      <c r="D1037" s="260"/>
      <c r="E1037" s="47" t="s">
        <v>1563</v>
      </c>
      <c r="F1037" s="82" t="s">
        <v>5684</v>
      </c>
      <c r="G1037" s="82" t="s">
        <v>5685</v>
      </c>
      <c r="H1037" s="108">
        <v>13616</v>
      </c>
      <c r="I1037" s="82" t="s">
        <v>1578</v>
      </c>
      <c r="J1037" s="51" t="s">
        <v>140</v>
      </c>
      <c r="K1037" s="91">
        <v>0</v>
      </c>
      <c r="L1037" s="91">
        <v>0</v>
      </c>
      <c r="M1037" s="92">
        <v>120</v>
      </c>
      <c r="N1037" s="94">
        <v>5000</v>
      </c>
      <c r="O1037" s="253">
        <v>1</v>
      </c>
      <c r="P1037" s="94">
        <f t="shared" si="256"/>
        <v>5000</v>
      </c>
      <c r="Q1037" s="181">
        <v>0.8</v>
      </c>
      <c r="R1037" s="92">
        <v>5000</v>
      </c>
      <c r="S1037" s="103">
        <f t="shared" si="252"/>
        <v>0</v>
      </c>
      <c r="T1037" s="173">
        <f t="shared" si="261"/>
        <v>576</v>
      </c>
      <c r="U1037" s="101">
        <f t="shared" si="262"/>
        <v>0</v>
      </c>
      <c r="V1037" s="101">
        <f t="shared" si="263"/>
        <v>0</v>
      </c>
      <c r="W1037" s="101">
        <v>0</v>
      </c>
      <c r="X1037" s="55">
        <f t="shared" si="259"/>
        <v>46153</v>
      </c>
    </row>
    <row r="1038" spans="1:24" s="511" customFormat="1" hidden="1" x14ac:dyDescent="0.35">
      <c r="A1038" s="46">
        <f t="shared" si="250"/>
        <v>46153</v>
      </c>
      <c r="B1038" s="46">
        <f>'[3]Factory A'!W1141</f>
        <v>0</v>
      </c>
      <c r="C1038" s="260">
        <f t="shared" si="260"/>
        <v>-46153</v>
      </c>
      <c r="D1038" s="260"/>
      <c r="E1038" s="47" t="s">
        <v>1563</v>
      </c>
      <c r="F1038" s="82" t="s">
        <v>843</v>
      </c>
      <c r="G1038" s="82" t="s">
        <v>839</v>
      </c>
      <c r="H1038" s="107" t="s">
        <v>1889</v>
      </c>
      <c r="I1038" s="82" t="s">
        <v>1573</v>
      </c>
      <c r="J1038" s="100" t="s">
        <v>140</v>
      </c>
      <c r="K1038" s="101">
        <v>0</v>
      </c>
      <c r="L1038" s="91">
        <v>0</v>
      </c>
      <c r="M1038" s="92">
        <v>100</v>
      </c>
      <c r="N1038" s="94">
        <v>500</v>
      </c>
      <c r="O1038" s="253">
        <v>1</v>
      </c>
      <c r="P1038" s="94">
        <f t="shared" si="256"/>
        <v>500</v>
      </c>
      <c r="Q1038" s="181">
        <v>0.8</v>
      </c>
      <c r="R1038" s="92">
        <v>500</v>
      </c>
      <c r="S1038" s="102">
        <f t="shared" si="252"/>
        <v>0</v>
      </c>
      <c r="T1038" s="173">
        <f t="shared" si="261"/>
        <v>691.2</v>
      </c>
      <c r="U1038" s="101">
        <f t="shared" si="262"/>
        <v>0</v>
      </c>
      <c r="V1038" s="101">
        <f t="shared" si="263"/>
        <v>0</v>
      </c>
      <c r="W1038" s="101">
        <v>0</v>
      </c>
      <c r="X1038" s="55">
        <f>A1038+K1038+L1038+V1038+W1038</f>
        <v>46153</v>
      </c>
    </row>
    <row r="1039" spans="1:24" s="511" customFormat="1" hidden="1" x14ac:dyDescent="0.35">
      <c r="A1039" s="46">
        <f t="shared" si="250"/>
        <v>46153</v>
      </c>
      <c r="B1039" s="46">
        <f>X1038</f>
        <v>46153</v>
      </c>
      <c r="C1039" s="180">
        <f t="shared" si="260"/>
        <v>0</v>
      </c>
      <c r="D1039" s="180"/>
      <c r="E1039" s="47" t="s">
        <v>1563</v>
      </c>
      <c r="F1039" s="82" t="s">
        <v>859</v>
      </c>
      <c r="G1039" s="82" t="s">
        <v>386</v>
      </c>
      <c r="H1039" s="107" t="s">
        <v>5686</v>
      </c>
      <c r="I1039" s="82" t="s">
        <v>1573</v>
      </c>
      <c r="J1039" s="100" t="s">
        <v>140</v>
      </c>
      <c r="K1039" s="101">
        <v>0</v>
      </c>
      <c r="L1039" s="91">
        <v>0</v>
      </c>
      <c r="M1039" s="92">
        <v>100</v>
      </c>
      <c r="N1039" s="94">
        <v>2000</v>
      </c>
      <c r="O1039" s="253">
        <v>1</v>
      </c>
      <c r="P1039" s="94">
        <f t="shared" si="256"/>
        <v>2000</v>
      </c>
      <c r="Q1039" s="181">
        <v>0.8</v>
      </c>
      <c r="R1039" s="92">
        <v>2000</v>
      </c>
      <c r="S1039" s="102">
        <f t="shared" si="252"/>
        <v>0</v>
      </c>
      <c r="T1039" s="173">
        <f t="shared" si="261"/>
        <v>691.2</v>
      </c>
      <c r="U1039" s="101">
        <f t="shared" si="262"/>
        <v>0</v>
      </c>
      <c r="V1039" s="101">
        <f t="shared" si="263"/>
        <v>0</v>
      </c>
      <c r="W1039" s="101">
        <v>0</v>
      </c>
      <c r="X1039" s="55">
        <f>A1039+K1039+L1039+V1039+W1039</f>
        <v>46153</v>
      </c>
    </row>
    <row r="1040" spans="1:24" s="511" customFormat="1" ht="26.5" hidden="1" x14ac:dyDescent="0.35">
      <c r="A1040" s="46">
        <f t="shared" si="250"/>
        <v>46153</v>
      </c>
      <c r="B1040" s="46">
        <v>46084</v>
      </c>
      <c r="C1040" s="260">
        <f t="shared" si="260"/>
        <v>-69</v>
      </c>
      <c r="D1040" s="260"/>
      <c r="E1040" s="590" t="s">
        <v>1563</v>
      </c>
      <c r="F1040" s="69" t="s">
        <v>392</v>
      </c>
      <c r="G1040" s="69" t="s">
        <v>386</v>
      </c>
      <c r="H1040" s="340" t="s">
        <v>2848</v>
      </c>
      <c r="I1040" s="82" t="s">
        <v>4254</v>
      </c>
      <c r="J1040" s="100" t="s">
        <v>140</v>
      </c>
      <c r="K1040" s="91">
        <v>0</v>
      </c>
      <c r="L1040" s="91">
        <v>0</v>
      </c>
      <c r="M1040" s="92">
        <v>85</v>
      </c>
      <c r="N1040" s="94">
        <f>15000-5400</f>
        <v>9600</v>
      </c>
      <c r="O1040" s="92">
        <v>1</v>
      </c>
      <c r="P1040" s="94">
        <f t="shared" si="256"/>
        <v>9600</v>
      </c>
      <c r="Q1040" s="181">
        <v>0.8</v>
      </c>
      <c r="R1040" s="92">
        <v>9600</v>
      </c>
      <c r="S1040" s="102">
        <f t="shared" si="252"/>
        <v>0</v>
      </c>
      <c r="T1040" s="173">
        <f t="shared" si="261"/>
        <v>813.17647058823536</v>
      </c>
      <c r="U1040" s="101">
        <f t="shared" si="262"/>
        <v>0</v>
      </c>
      <c r="V1040" s="101">
        <f t="shared" si="263"/>
        <v>0</v>
      </c>
      <c r="W1040" s="101">
        <v>0</v>
      </c>
      <c r="X1040" s="55">
        <f t="shared" ref="X1040:X1048" si="264">A1040+K1040+V1040+W1040+L1040</f>
        <v>46153</v>
      </c>
    </row>
    <row r="1041" spans="1:24" s="511" customFormat="1" ht="26.5" hidden="1" x14ac:dyDescent="0.35">
      <c r="A1041" s="71">
        <f t="shared" si="250"/>
        <v>46153</v>
      </c>
      <c r="B1041" s="71">
        <v>46087</v>
      </c>
      <c r="C1041" s="260">
        <f t="shared" si="260"/>
        <v>-66</v>
      </c>
      <c r="D1041" s="260" t="s">
        <v>2673</v>
      </c>
      <c r="E1041" s="47" t="s">
        <v>1684</v>
      </c>
      <c r="F1041" s="82" t="s">
        <v>4301</v>
      </c>
      <c r="G1041" s="82" t="s">
        <v>386</v>
      </c>
      <c r="H1041" s="107" t="s">
        <v>5687</v>
      </c>
      <c r="I1041" s="82" t="s">
        <v>1611</v>
      </c>
      <c r="J1041" s="100" t="s">
        <v>140</v>
      </c>
      <c r="K1041" s="91">
        <v>0</v>
      </c>
      <c r="L1041" s="91">
        <v>0</v>
      </c>
      <c r="M1041" s="92">
        <v>60</v>
      </c>
      <c r="N1041" s="94">
        <v>10000</v>
      </c>
      <c r="O1041" s="92">
        <v>1</v>
      </c>
      <c r="P1041" s="94">
        <f t="shared" si="256"/>
        <v>10000</v>
      </c>
      <c r="Q1041" s="181">
        <v>0.8</v>
      </c>
      <c r="R1041" s="92">
        <v>10000</v>
      </c>
      <c r="S1041" s="102">
        <f t="shared" si="252"/>
        <v>0</v>
      </c>
      <c r="T1041" s="173">
        <f t="shared" si="261"/>
        <v>1152</v>
      </c>
      <c r="U1041" s="101">
        <f t="shared" si="262"/>
        <v>0</v>
      </c>
      <c r="V1041" s="101">
        <f t="shared" si="263"/>
        <v>0</v>
      </c>
      <c r="W1041" s="101">
        <v>0</v>
      </c>
      <c r="X1041" s="55">
        <f t="shared" si="264"/>
        <v>46153</v>
      </c>
    </row>
    <row r="1042" spans="1:24" s="511" customFormat="1" ht="26.5" hidden="1" x14ac:dyDescent="0.35">
      <c r="A1042" s="71">
        <f t="shared" si="250"/>
        <v>46153</v>
      </c>
      <c r="B1042" s="71">
        <v>46097</v>
      </c>
      <c r="C1042" s="260">
        <f t="shared" si="260"/>
        <v>-56</v>
      </c>
      <c r="D1042" s="260" t="s">
        <v>2673</v>
      </c>
      <c r="E1042" s="47" t="s">
        <v>1684</v>
      </c>
      <c r="F1042" s="82" t="s">
        <v>4273</v>
      </c>
      <c r="G1042" s="82" t="s">
        <v>839</v>
      </c>
      <c r="H1042" s="107" t="s">
        <v>5688</v>
      </c>
      <c r="I1042" s="82" t="s">
        <v>1611</v>
      </c>
      <c r="J1042" s="100" t="s">
        <v>140</v>
      </c>
      <c r="K1042" s="91">
        <v>0</v>
      </c>
      <c r="L1042" s="91">
        <v>0</v>
      </c>
      <c r="M1042" s="92">
        <v>60</v>
      </c>
      <c r="N1042" s="94">
        <f>35000-15000</f>
        <v>20000</v>
      </c>
      <c r="O1042" s="92">
        <v>1</v>
      </c>
      <c r="P1042" s="94">
        <f t="shared" si="256"/>
        <v>20000</v>
      </c>
      <c r="Q1042" s="181">
        <v>0.8</v>
      </c>
      <c r="R1042" s="92">
        <v>20000</v>
      </c>
      <c r="S1042" s="102">
        <f t="shared" si="252"/>
        <v>0</v>
      </c>
      <c r="T1042" s="173">
        <f t="shared" si="261"/>
        <v>1152</v>
      </c>
      <c r="U1042" s="101">
        <f t="shared" si="262"/>
        <v>0</v>
      </c>
      <c r="V1042" s="101">
        <f t="shared" si="263"/>
        <v>0</v>
      </c>
      <c r="W1042" s="101">
        <v>0</v>
      </c>
      <c r="X1042" s="55">
        <f t="shared" si="264"/>
        <v>46153</v>
      </c>
    </row>
    <row r="1043" spans="1:24" s="121" customFormat="1" ht="26.5" hidden="1" x14ac:dyDescent="0.35">
      <c r="A1043" s="71">
        <f t="shared" si="250"/>
        <v>46153</v>
      </c>
      <c r="B1043" s="71">
        <v>46120</v>
      </c>
      <c r="C1043" s="260">
        <f t="shared" si="260"/>
        <v>-33</v>
      </c>
      <c r="D1043" s="260"/>
      <c r="E1043" s="47" t="s">
        <v>1684</v>
      </c>
      <c r="F1043" s="82" t="s">
        <v>4273</v>
      </c>
      <c r="G1043" s="82" t="s">
        <v>839</v>
      </c>
      <c r="H1043" s="107" t="s">
        <v>5688</v>
      </c>
      <c r="I1043" s="82" t="s">
        <v>1611</v>
      </c>
      <c r="J1043" s="100" t="s">
        <v>140</v>
      </c>
      <c r="K1043" s="91">
        <v>0</v>
      </c>
      <c r="L1043" s="91">
        <v>0</v>
      </c>
      <c r="M1043" s="92">
        <v>43</v>
      </c>
      <c r="N1043" s="94">
        <v>15000</v>
      </c>
      <c r="O1043" s="92">
        <v>1</v>
      </c>
      <c r="P1043" s="94">
        <f t="shared" si="256"/>
        <v>15000</v>
      </c>
      <c r="Q1043" s="181">
        <v>0.8</v>
      </c>
      <c r="R1043" s="92">
        <v>15000</v>
      </c>
      <c r="S1043" s="102">
        <f t="shared" si="252"/>
        <v>0</v>
      </c>
      <c r="T1043" s="173">
        <f t="shared" si="261"/>
        <v>1607.4418604651164</v>
      </c>
      <c r="U1043" s="101">
        <f t="shared" si="262"/>
        <v>0</v>
      </c>
      <c r="V1043" s="101">
        <f t="shared" si="263"/>
        <v>0</v>
      </c>
      <c r="W1043" s="101">
        <v>0</v>
      </c>
      <c r="X1043" s="55">
        <f t="shared" si="264"/>
        <v>46153</v>
      </c>
    </row>
    <row r="1044" spans="1:24" s="121" customFormat="1" hidden="1" x14ac:dyDescent="0.35">
      <c r="A1044" s="71">
        <f t="shared" si="250"/>
        <v>46153</v>
      </c>
      <c r="B1044" s="46">
        <v>46121</v>
      </c>
      <c r="C1044" s="180">
        <f>B1044-A1044</f>
        <v>-32</v>
      </c>
      <c r="D1044" s="260" t="s">
        <v>2673</v>
      </c>
      <c r="E1044" s="119" t="s">
        <v>4336</v>
      </c>
      <c r="F1044" s="97" t="s">
        <v>2682</v>
      </c>
      <c r="G1044" s="97" t="s">
        <v>411</v>
      </c>
      <c r="H1044" s="49" t="s">
        <v>5689</v>
      </c>
      <c r="I1044" s="82" t="s">
        <v>5690</v>
      </c>
      <c r="J1044" s="51" t="s">
        <v>140</v>
      </c>
      <c r="K1044" s="91">
        <v>0</v>
      </c>
      <c r="L1044" s="91">
        <v>0</v>
      </c>
      <c r="M1044" s="92">
        <v>45</v>
      </c>
      <c r="N1044" s="94">
        <v>10800</v>
      </c>
      <c r="O1044" s="92">
        <v>2</v>
      </c>
      <c r="P1044" s="94">
        <f>N1044/O1044</f>
        <v>5400</v>
      </c>
      <c r="Q1044" s="181">
        <v>0.8</v>
      </c>
      <c r="R1044" s="182">
        <v>5400</v>
      </c>
      <c r="S1044" s="102">
        <f>P1044-R1044</f>
        <v>0</v>
      </c>
      <c r="T1044" s="173">
        <f t="shared" si="261"/>
        <v>3072</v>
      </c>
      <c r="U1044" s="101">
        <f>(P1044-R1044)*M1044/3600/Q1044</f>
        <v>0</v>
      </c>
      <c r="V1044" s="101">
        <f>U1044/24</f>
        <v>0</v>
      </c>
      <c r="W1044" s="101">
        <v>0</v>
      </c>
      <c r="X1044" s="55">
        <f>A1044+K1044+L1044+V1044+W1044</f>
        <v>46153</v>
      </c>
    </row>
    <row r="1045" spans="1:24" s="186" customFormat="1" hidden="1" x14ac:dyDescent="0.35">
      <c r="A1045" s="123">
        <f>X1044</f>
        <v>46153</v>
      </c>
      <c r="B1045" s="137">
        <v>46127</v>
      </c>
      <c r="C1045" s="183">
        <f>B1045-A1045</f>
        <v>-26</v>
      </c>
      <c r="D1045" s="137"/>
      <c r="E1045" s="183" t="s">
        <v>4270</v>
      </c>
      <c r="F1045" s="159" t="s">
        <v>1917</v>
      </c>
      <c r="G1045" s="159" t="s">
        <v>411</v>
      </c>
      <c r="H1045" s="467">
        <v>14015</v>
      </c>
      <c r="I1045" s="159" t="s">
        <v>5643</v>
      </c>
      <c r="J1045" s="128" t="s">
        <v>140</v>
      </c>
      <c r="K1045" s="129">
        <v>0</v>
      </c>
      <c r="L1045" s="129">
        <v>0</v>
      </c>
      <c r="M1045" s="130">
        <v>45</v>
      </c>
      <c r="N1045" s="131">
        <v>7500</v>
      </c>
      <c r="O1045" s="130">
        <v>2</v>
      </c>
      <c r="P1045" s="131">
        <f>N1045/O1045</f>
        <v>3750</v>
      </c>
      <c r="Q1045" s="185">
        <v>0.8</v>
      </c>
      <c r="R1045" s="176">
        <v>3750</v>
      </c>
      <c r="S1045" s="164">
        <f>P1045-R1045</f>
        <v>0</v>
      </c>
      <c r="T1045" s="168">
        <f t="shared" si="261"/>
        <v>3072</v>
      </c>
      <c r="U1045" s="163">
        <f>(P1045-R1045)*M1045/3600/Q1045</f>
        <v>0</v>
      </c>
      <c r="V1045" s="163">
        <f>U1045/24</f>
        <v>0</v>
      </c>
      <c r="W1045" s="163">
        <v>0</v>
      </c>
      <c r="X1045" s="137">
        <f>A1045+K1045+V1045+W1045+L1045</f>
        <v>46153</v>
      </c>
    </row>
    <row r="1046" spans="1:24" s="186" customFormat="1" hidden="1" x14ac:dyDescent="0.35">
      <c r="A1046" s="123">
        <f t="shared" ref="A1046" si="265">X1045</f>
        <v>46153</v>
      </c>
      <c r="B1046" s="123">
        <v>46139</v>
      </c>
      <c r="C1046" s="183">
        <f>B1046-A1046</f>
        <v>-14</v>
      </c>
      <c r="D1046" s="190"/>
      <c r="E1046" s="158" t="s">
        <v>4336</v>
      </c>
      <c r="F1046" s="125" t="s">
        <v>1681</v>
      </c>
      <c r="G1046" s="125" t="s">
        <v>414</v>
      </c>
      <c r="H1046" s="262" t="s">
        <v>5691</v>
      </c>
      <c r="I1046" s="159" t="s">
        <v>5690</v>
      </c>
      <c r="J1046" s="128" t="s">
        <v>140</v>
      </c>
      <c r="K1046" s="129">
        <v>0</v>
      </c>
      <c r="L1046" s="129">
        <v>0</v>
      </c>
      <c r="M1046" s="130">
        <v>45</v>
      </c>
      <c r="N1046" s="131">
        <v>10800</v>
      </c>
      <c r="O1046" s="130">
        <v>2</v>
      </c>
      <c r="P1046" s="131">
        <f>N1046/O1046</f>
        <v>5400</v>
      </c>
      <c r="Q1046" s="185">
        <v>0.8</v>
      </c>
      <c r="R1046" s="176">
        <v>5400</v>
      </c>
      <c r="S1046" s="164">
        <f>P1046-R1046</f>
        <v>0</v>
      </c>
      <c r="T1046" s="168">
        <f t="shared" si="261"/>
        <v>3072</v>
      </c>
      <c r="U1046" s="163">
        <f>(P1046-R1046)*M1046/3600/Q1046</f>
        <v>0</v>
      </c>
      <c r="V1046" s="163">
        <f>U1046/24</f>
        <v>0</v>
      </c>
      <c r="W1046" s="163">
        <v>0</v>
      </c>
      <c r="X1046" s="137">
        <f>A1046+K1046+L1046+V1046+W1046</f>
        <v>46153</v>
      </c>
    </row>
    <row r="1047" spans="1:24" s="202" customFormat="1" ht="26.5" x14ac:dyDescent="0.35">
      <c r="A1047" s="193">
        <f>X1046</f>
        <v>46153</v>
      </c>
      <c r="B1047" s="192">
        <v>46120</v>
      </c>
      <c r="C1047" s="194">
        <f t="shared" ref="C1047:C1048" si="266">B1047-A1047</f>
        <v>-33</v>
      </c>
      <c r="D1047" s="194" t="s">
        <v>5692</v>
      </c>
      <c r="E1047" s="195" t="s">
        <v>1684</v>
      </c>
      <c r="F1047" s="196" t="s">
        <v>5693</v>
      </c>
      <c r="G1047" s="196" t="s">
        <v>411</v>
      </c>
      <c r="H1047" s="524" t="s">
        <v>5694</v>
      </c>
      <c r="I1047" s="196" t="s">
        <v>1611</v>
      </c>
      <c r="J1047" s="114" t="s">
        <v>140</v>
      </c>
      <c r="K1047" s="482">
        <v>0</v>
      </c>
      <c r="L1047" s="482">
        <v>0</v>
      </c>
      <c r="M1047" s="199">
        <v>43</v>
      </c>
      <c r="N1047" s="483">
        <f>20000-4026</f>
        <v>15974</v>
      </c>
      <c r="O1047" s="199">
        <v>1</v>
      </c>
      <c r="P1047" s="483">
        <f t="shared" ref="P1047:P1048" si="267">N1047/O1047</f>
        <v>15974</v>
      </c>
      <c r="Q1047" s="198">
        <v>0.8</v>
      </c>
      <c r="R1047" s="199">
        <v>8331</v>
      </c>
      <c r="S1047" s="116">
        <f t="shared" ref="S1047:S1048" si="268">P1047-R1047</f>
        <v>7643</v>
      </c>
      <c r="T1047" s="200">
        <f t="shared" si="261"/>
        <v>1607.4418604651164</v>
      </c>
      <c r="U1047" s="115">
        <f t="shared" ref="U1047:U1048" si="269">(P1047-R1047)*M1047/3600/Q1047</f>
        <v>114.11423611111111</v>
      </c>
      <c r="V1047" s="115">
        <f t="shared" ref="V1047:V1048" si="270">U1047/24</f>
        <v>4.754759837962963</v>
      </c>
      <c r="W1047" s="115">
        <v>0</v>
      </c>
      <c r="X1047" s="201">
        <f t="shared" si="264"/>
        <v>46157.754759837961</v>
      </c>
    </row>
    <row r="1048" spans="1:24" s="487" customFormat="1" ht="26.5" x14ac:dyDescent="0.35">
      <c r="A1048" s="384">
        <f t="shared" si="250"/>
        <v>46157.754759837961</v>
      </c>
      <c r="B1048" s="384">
        <v>46120</v>
      </c>
      <c r="C1048" s="286">
        <f t="shared" si="266"/>
        <v>-37.754759837960592</v>
      </c>
      <c r="D1048" s="286" t="s">
        <v>5692</v>
      </c>
      <c r="E1048" s="204" t="s">
        <v>1684</v>
      </c>
      <c r="F1048" s="205" t="s">
        <v>5693</v>
      </c>
      <c r="G1048" s="205" t="s">
        <v>411</v>
      </c>
      <c r="H1048" s="485" t="s">
        <v>5695</v>
      </c>
      <c r="I1048" s="205" t="s">
        <v>1611</v>
      </c>
      <c r="J1048" s="310" t="s">
        <v>140</v>
      </c>
      <c r="K1048" s="208">
        <v>0</v>
      </c>
      <c r="L1048" s="208">
        <v>0</v>
      </c>
      <c r="M1048" s="209">
        <v>43</v>
      </c>
      <c r="N1048" s="210">
        <v>19860</v>
      </c>
      <c r="O1048" s="209">
        <v>1</v>
      </c>
      <c r="P1048" s="210">
        <f t="shared" si="267"/>
        <v>19860</v>
      </c>
      <c r="Q1048" s="293">
        <v>0.8</v>
      </c>
      <c r="R1048" s="209"/>
      <c r="S1048" s="290">
        <f t="shared" si="268"/>
        <v>19860</v>
      </c>
      <c r="T1048" s="294">
        <f t="shared" si="261"/>
        <v>1607.4418604651164</v>
      </c>
      <c r="U1048" s="289">
        <f t="shared" si="269"/>
        <v>296.52083333333331</v>
      </c>
      <c r="V1048" s="289">
        <f t="shared" si="270"/>
        <v>12.355034722222221</v>
      </c>
      <c r="W1048" s="289">
        <v>0</v>
      </c>
      <c r="X1048" s="212">
        <f t="shared" si="264"/>
        <v>46170.10979456018</v>
      </c>
    </row>
    <row r="1049" spans="1:24" s="487" customFormat="1" x14ac:dyDescent="0.35">
      <c r="A1049" s="384"/>
      <c r="B1049" s="384"/>
      <c r="C1049" s="286"/>
      <c r="D1049" s="286"/>
      <c r="E1049" s="204"/>
      <c r="F1049" s="205"/>
      <c r="G1049" s="205"/>
      <c r="H1049" s="485"/>
      <c r="I1049" s="205"/>
      <c r="J1049" s="310"/>
      <c r="K1049" s="208"/>
      <c r="L1049" s="208"/>
      <c r="M1049" s="209"/>
      <c r="N1049" s="210"/>
      <c r="O1049" s="209"/>
      <c r="P1049" s="210"/>
      <c r="Q1049" s="293"/>
      <c r="R1049" s="209"/>
      <c r="S1049" s="290"/>
      <c r="T1049" s="294"/>
      <c r="U1049" s="289"/>
      <c r="V1049" s="289"/>
      <c r="W1049" s="289"/>
      <c r="X1049" s="212"/>
    </row>
    <row r="1050" spans="1:24" ht="45" x14ac:dyDescent="0.8">
      <c r="A1050" s="35" t="s">
        <v>1872</v>
      </c>
      <c r="B1050" s="35"/>
      <c r="C1050" s="787"/>
      <c r="D1050" s="35"/>
      <c r="E1050" s="36"/>
      <c r="F1050" s="213"/>
      <c r="G1050" s="213"/>
      <c r="H1050" s="311" t="s">
        <v>4269</v>
      </c>
      <c r="I1050" s="214"/>
      <c r="J1050" s="40"/>
      <c r="K1050" s="41"/>
      <c r="L1050" s="41"/>
      <c r="M1050" s="42"/>
      <c r="N1050" s="43"/>
      <c r="O1050" s="44"/>
      <c r="P1050" s="44"/>
      <c r="Q1050" s="44"/>
      <c r="R1050" s="43"/>
      <c r="S1050" s="44"/>
      <c r="T1050" s="44"/>
      <c r="U1050" s="44"/>
      <c r="V1050" s="44"/>
      <c r="W1050" s="44"/>
      <c r="X1050" s="45"/>
    </row>
    <row r="1051" spans="1:24" hidden="1" x14ac:dyDescent="0.35">
      <c r="A1051" s="46">
        <f>S7</f>
        <v>46153</v>
      </c>
      <c r="B1051" s="46"/>
      <c r="C1051" s="260"/>
      <c r="D1051" s="46"/>
      <c r="E1051" s="47" t="s">
        <v>1872</v>
      </c>
      <c r="F1051" s="542" t="s">
        <v>5696</v>
      </c>
      <c r="G1051" s="542"/>
      <c r="H1051" s="49" t="s">
        <v>5697</v>
      </c>
      <c r="I1051" s="82" t="s">
        <v>5698</v>
      </c>
      <c r="J1051" s="100" t="s">
        <v>140</v>
      </c>
      <c r="K1051" s="52">
        <v>0</v>
      </c>
      <c r="L1051" s="52">
        <v>0</v>
      </c>
      <c r="M1051" s="53">
        <v>70</v>
      </c>
      <c r="N1051" s="53">
        <v>200</v>
      </c>
      <c r="O1051" s="53">
        <v>1</v>
      </c>
      <c r="P1051" s="53">
        <f>N1051/O1051</f>
        <v>200</v>
      </c>
      <c r="Q1051" s="53"/>
      <c r="R1051" s="83">
        <v>200</v>
      </c>
      <c r="S1051" s="53">
        <f>P1051-R1051</f>
        <v>0</v>
      </c>
      <c r="T1051" s="83">
        <f>((3600/M1051)*O1051)*24</f>
        <v>1234.2857142857142</v>
      </c>
      <c r="U1051" s="84">
        <f>(P1051-R1051)*M1051/3600</f>
        <v>0</v>
      </c>
      <c r="V1051" s="84">
        <f>(P1051-R1051)*M1051/3600/24</f>
        <v>0</v>
      </c>
      <c r="W1051" s="84"/>
      <c r="X1051" s="55">
        <f t="shared" ref="X1051:X1114" si="271">A1051+K1051+L1051+V1051+W1051</f>
        <v>46153</v>
      </c>
    </row>
    <row r="1052" spans="1:24" hidden="1" x14ac:dyDescent="0.35">
      <c r="A1052" s="46">
        <f t="shared" ref="A1052:A1115" si="272">X1051</f>
        <v>46153</v>
      </c>
      <c r="B1052" s="46"/>
      <c r="C1052" s="260"/>
      <c r="D1052" s="46"/>
      <c r="E1052" s="47" t="s">
        <v>1872</v>
      </c>
      <c r="F1052" s="542" t="s">
        <v>144</v>
      </c>
      <c r="G1052" s="542"/>
      <c r="H1052" s="49" t="s">
        <v>5699</v>
      </c>
      <c r="I1052" s="82" t="s">
        <v>5700</v>
      </c>
      <c r="J1052" s="100" t="s">
        <v>140</v>
      </c>
      <c r="K1052" s="52">
        <v>0</v>
      </c>
      <c r="L1052" s="52">
        <v>0</v>
      </c>
      <c r="M1052" s="53">
        <v>70</v>
      </c>
      <c r="N1052" s="53">
        <v>200</v>
      </c>
      <c r="O1052" s="53">
        <v>1</v>
      </c>
      <c r="P1052" s="53">
        <v>200</v>
      </c>
      <c r="Q1052" s="53"/>
      <c r="R1052" s="83">
        <v>200</v>
      </c>
      <c r="S1052" s="53">
        <f>P1052-R1052</f>
        <v>0</v>
      </c>
      <c r="T1052" s="83">
        <f>((3600/M1052)*O1052)*24</f>
        <v>1234.2857142857142</v>
      </c>
      <c r="U1052" s="84">
        <f>(P1052-R1052)*M1052/3600</f>
        <v>0</v>
      </c>
      <c r="V1052" s="84">
        <f>(P1052-R1052)*M1052/3600/24</f>
        <v>0</v>
      </c>
      <c r="W1052" s="84">
        <v>0</v>
      </c>
      <c r="X1052" s="55">
        <f t="shared" si="271"/>
        <v>46153</v>
      </c>
    </row>
    <row r="1053" spans="1:24" hidden="1" x14ac:dyDescent="0.35">
      <c r="A1053" s="46">
        <f t="shared" si="272"/>
        <v>46153</v>
      </c>
      <c r="B1053" s="46"/>
      <c r="C1053" s="260"/>
      <c r="D1053" s="46"/>
      <c r="E1053" s="47" t="s">
        <v>1872</v>
      </c>
      <c r="F1053" s="62" t="s">
        <v>1362</v>
      </c>
      <c r="G1053" s="62"/>
      <c r="H1053" s="49" t="s">
        <v>1362</v>
      </c>
      <c r="I1053" s="82" t="s">
        <v>5701</v>
      </c>
      <c r="J1053" s="100" t="s">
        <v>140</v>
      </c>
      <c r="K1053" s="52">
        <v>0</v>
      </c>
      <c r="L1053" s="52">
        <v>0</v>
      </c>
      <c r="M1053" s="53">
        <v>70</v>
      </c>
      <c r="N1053" s="53">
        <v>20</v>
      </c>
      <c r="O1053" s="53">
        <v>1</v>
      </c>
      <c r="P1053" s="53">
        <f t="shared" ref="P1053:P1071" si="273">N1053/O1053</f>
        <v>20</v>
      </c>
      <c r="Q1053" s="53"/>
      <c r="R1053" s="83">
        <v>20</v>
      </c>
      <c r="S1053" s="53">
        <f>P1053-R1053</f>
        <v>0</v>
      </c>
      <c r="T1053" s="83">
        <f>((3600/M1053)*O1053)*24</f>
        <v>1234.2857142857142</v>
      </c>
      <c r="U1053" s="84">
        <f>(P1053-R1053)*M1053/3600</f>
        <v>0</v>
      </c>
      <c r="V1053" s="84">
        <f>(P1053-R1053)*M1053/3600/24</f>
        <v>0</v>
      </c>
      <c r="W1053" s="84">
        <v>0</v>
      </c>
      <c r="X1053" s="55">
        <f t="shared" si="271"/>
        <v>46153</v>
      </c>
    </row>
    <row r="1054" spans="1:24" hidden="1" x14ac:dyDescent="0.35">
      <c r="A1054" s="46">
        <f t="shared" si="272"/>
        <v>46153</v>
      </c>
      <c r="B1054" s="46"/>
      <c r="C1054" s="260"/>
      <c r="D1054" s="46"/>
      <c r="E1054" s="47" t="s">
        <v>1872</v>
      </c>
      <c r="F1054" s="48" t="s">
        <v>5702</v>
      </c>
      <c r="G1054" s="48"/>
      <c r="H1054" s="216" t="s">
        <v>5703</v>
      </c>
      <c r="I1054" s="82" t="s">
        <v>1807</v>
      </c>
      <c r="J1054" s="100" t="s">
        <v>140</v>
      </c>
      <c r="K1054" s="52">
        <v>0</v>
      </c>
      <c r="L1054" s="52">
        <v>0</v>
      </c>
      <c r="M1054" s="53">
        <v>250</v>
      </c>
      <c r="N1054" s="53">
        <v>400</v>
      </c>
      <c r="O1054" s="53">
        <v>1</v>
      </c>
      <c r="P1054" s="53">
        <f t="shared" si="273"/>
        <v>400</v>
      </c>
      <c r="Q1054" s="53"/>
      <c r="R1054" s="53">
        <v>400</v>
      </c>
      <c r="S1054" s="53">
        <v>0</v>
      </c>
      <c r="T1054" s="83">
        <v>345.6</v>
      </c>
      <c r="U1054" s="84">
        <v>0</v>
      </c>
      <c r="V1054" s="84">
        <v>0</v>
      </c>
      <c r="W1054" s="84">
        <v>0</v>
      </c>
      <c r="X1054" s="55">
        <f t="shared" si="271"/>
        <v>46153</v>
      </c>
    </row>
    <row r="1055" spans="1:24" hidden="1" x14ac:dyDescent="0.35">
      <c r="A1055" s="46">
        <f t="shared" si="272"/>
        <v>46153</v>
      </c>
      <c r="B1055" s="46"/>
      <c r="C1055" s="260"/>
      <c r="D1055" s="46"/>
      <c r="E1055" s="47" t="s">
        <v>1872</v>
      </c>
      <c r="F1055" s="62" t="s">
        <v>14</v>
      </c>
      <c r="G1055" s="62"/>
      <c r="H1055" s="49" t="s">
        <v>14</v>
      </c>
      <c r="I1055" s="82" t="s">
        <v>5601</v>
      </c>
      <c r="J1055" s="100" t="s">
        <v>140</v>
      </c>
      <c r="K1055" s="52">
        <v>0</v>
      </c>
      <c r="L1055" s="52">
        <v>0</v>
      </c>
      <c r="M1055" s="53">
        <v>65</v>
      </c>
      <c r="N1055" s="53">
        <v>50</v>
      </c>
      <c r="O1055" s="53">
        <v>2</v>
      </c>
      <c r="P1055" s="53">
        <f t="shared" si="273"/>
        <v>25</v>
      </c>
      <c r="Q1055" s="53"/>
      <c r="R1055" s="53"/>
      <c r="S1055" s="53">
        <f t="shared" ref="S1055:S1082" si="274">P1055-R1055</f>
        <v>25</v>
      </c>
      <c r="T1055" s="83">
        <f t="shared" ref="T1055:T1082" si="275">((3600/M1055)*O1055)*24</f>
        <v>2658.4615384615386</v>
      </c>
      <c r="U1055" s="84">
        <f t="shared" ref="U1055:U1082" si="276">(P1055-R1055)*M1055/3600</f>
        <v>0.4513888888888889</v>
      </c>
      <c r="V1055" s="84">
        <f t="shared" ref="V1055:V1082" si="277">(P1055-R1055)*M1055/3600/24</f>
        <v>1.8807870370370371E-2</v>
      </c>
      <c r="W1055" s="84">
        <v>0</v>
      </c>
      <c r="X1055" s="55">
        <f t="shared" si="271"/>
        <v>46153.018807870372</v>
      </c>
    </row>
    <row r="1056" spans="1:24" hidden="1" x14ac:dyDescent="0.35">
      <c r="A1056" s="46">
        <f t="shared" si="272"/>
        <v>46153.018807870372</v>
      </c>
      <c r="B1056" s="46"/>
      <c r="C1056" s="260"/>
      <c r="D1056" s="46"/>
      <c r="E1056" s="47" t="s">
        <v>1872</v>
      </c>
      <c r="F1056" s="57" t="s">
        <v>55</v>
      </c>
      <c r="G1056" s="57"/>
      <c r="H1056" s="49" t="s">
        <v>5704</v>
      </c>
      <c r="I1056" s="82" t="s">
        <v>5601</v>
      </c>
      <c r="J1056" s="100" t="s">
        <v>140</v>
      </c>
      <c r="K1056" s="52">
        <v>0</v>
      </c>
      <c r="L1056" s="52">
        <v>0</v>
      </c>
      <c r="M1056" s="53">
        <v>65</v>
      </c>
      <c r="N1056" s="53">
        <v>2500</v>
      </c>
      <c r="O1056" s="53">
        <v>2</v>
      </c>
      <c r="P1056" s="53">
        <f t="shared" si="273"/>
        <v>1250</v>
      </c>
      <c r="Q1056" s="53"/>
      <c r="R1056" s="53">
        <v>1250</v>
      </c>
      <c r="S1056" s="53">
        <f t="shared" si="274"/>
        <v>0</v>
      </c>
      <c r="T1056" s="83">
        <f t="shared" si="275"/>
        <v>2658.4615384615386</v>
      </c>
      <c r="U1056" s="84">
        <f t="shared" si="276"/>
        <v>0</v>
      </c>
      <c r="V1056" s="84">
        <f t="shared" si="277"/>
        <v>0</v>
      </c>
      <c r="W1056" s="84">
        <v>0</v>
      </c>
      <c r="X1056" s="55">
        <f t="shared" si="271"/>
        <v>46153.018807870372</v>
      </c>
    </row>
    <row r="1057" spans="1:24" ht="29" hidden="1" x14ac:dyDescent="0.35">
      <c r="A1057" s="46">
        <f t="shared" si="272"/>
        <v>46153.018807870372</v>
      </c>
      <c r="B1057" s="46"/>
      <c r="C1057" s="260"/>
      <c r="D1057" s="46"/>
      <c r="E1057" s="47" t="s">
        <v>1872</v>
      </c>
      <c r="F1057" s="48" t="s">
        <v>4518</v>
      </c>
      <c r="G1057" s="48"/>
      <c r="H1057" s="59" t="s">
        <v>5705</v>
      </c>
      <c r="I1057" s="82" t="s">
        <v>1864</v>
      </c>
      <c r="J1057" s="100" t="s">
        <v>140</v>
      </c>
      <c r="K1057" s="52">
        <v>0</v>
      </c>
      <c r="L1057" s="52">
        <v>0</v>
      </c>
      <c r="M1057" s="53">
        <v>90</v>
      </c>
      <c r="N1057" s="53">
        <v>4000</v>
      </c>
      <c r="O1057" s="53">
        <v>2</v>
      </c>
      <c r="P1057" s="53">
        <f t="shared" si="273"/>
        <v>2000</v>
      </c>
      <c r="Q1057" s="53"/>
      <c r="R1057" s="83">
        <v>2000</v>
      </c>
      <c r="S1057" s="53">
        <f t="shared" si="274"/>
        <v>0</v>
      </c>
      <c r="T1057" s="83">
        <f t="shared" si="275"/>
        <v>1920</v>
      </c>
      <c r="U1057" s="84">
        <f t="shared" si="276"/>
        <v>0</v>
      </c>
      <c r="V1057" s="84">
        <f t="shared" si="277"/>
        <v>0</v>
      </c>
      <c r="W1057" s="84">
        <v>0</v>
      </c>
      <c r="X1057" s="55">
        <f t="shared" si="271"/>
        <v>46153.018807870372</v>
      </c>
    </row>
    <row r="1058" spans="1:24" hidden="1" x14ac:dyDescent="0.35">
      <c r="A1058" s="46">
        <f t="shared" si="272"/>
        <v>46153.018807870372</v>
      </c>
      <c r="B1058" s="46"/>
      <c r="C1058" s="260"/>
      <c r="D1058" s="46"/>
      <c r="E1058" s="47" t="s">
        <v>1872</v>
      </c>
      <c r="F1058" s="56" t="s">
        <v>1708</v>
      </c>
      <c r="G1058" s="56"/>
      <c r="H1058" s="49" t="s">
        <v>5706</v>
      </c>
      <c r="I1058" s="99" t="s">
        <v>1807</v>
      </c>
      <c r="J1058" s="100" t="s">
        <v>140</v>
      </c>
      <c r="K1058" s="52">
        <v>0</v>
      </c>
      <c r="L1058" s="52">
        <v>0</v>
      </c>
      <c r="M1058" s="53">
        <v>250</v>
      </c>
      <c r="N1058" s="53">
        <v>420</v>
      </c>
      <c r="O1058" s="53">
        <v>1</v>
      </c>
      <c r="P1058" s="53">
        <f t="shared" si="273"/>
        <v>420</v>
      </c>
      <c r="Q1058" s="53"/>
      <c r="R1058" s="53">
        <v>420</v>
      </c>
      <c r="S1058" s="53">
        <f t="shared" si="274"/>
        <v>0</v>
      </c>
      <c r="T1058" s="83">
        <f t="shared" si="275"/>
        <v>345.6</v>
      </c>
      <c r="U1058" s="84">
        <f t="shared" si="276"/>
        <v>0</v>
      </c>
      <c r="V1058" s="84">
        <f t="shared" si="277"/>
        <v>0</v>
      </c>
      <c r="W1058" s="84">
        <v>0</v>
      </c>
      <c r="X1058" s="55">
        <f t="shared" si="271"/>
        <v>46153.018807870372</v>
      </c>
    </row>
    <row r="1059" spans="1:24" ht="29" hidden="1" x14ac:dyDescent="0.35">
      <c r="A1059" s="46">
        <f>X1058</f>
        <v>46153.018807870372</v>
      </c>
      <c r="B1059" s="46"/>
      <c r="C1059" s="260"/>
      <c r="D1059" s="46"/>
      <c r="E1059" s="47" t="s">
        <v>1872</v>
      </c>
      <c r="F1059" s="56" t="s">
        <v>177</v>
      </c>
      <c r="G1059" s="56"/>
      <c r="H1059" s="49" t="s">
        <v>5707</v>
      </c>
      <c r="I1059" s="99" t="s">
        <v>5708</v>
      </c>
      <c r="J1059" s="100" t="s">
        <v>140</v>
      </c>
      <c r="K1059" s="52">
        <v>0</v>
      </c>
      <c r="L1059" s="52">
        <v>0</v>
      </c>
      <c r="M1059" s="83">
        <v>260</v>
      </c>
      <c r="N1059" s="83">
        <v>405</v>
      </c>
      <c r="O1059" s="83">
        <v>1</v>
      </c>
      <c r="P1059" s="53">
        <f t="shared" si="273"/>
        <v>405</v>
      </c>
      <c r="Q1059" s="53"/>
      <c r="R1059" s="83">
        <v>405</v>
      </c>
      <c r="S1059" s="83">
        <f t="shared" si="274"/>
        <v>0</v>
      </c>
      <c r="T1059" s="83">
        <f t="shared" si="275"/>
        <v>332.30769230769232</v>
      </c>
      <c r="U1059" s="84">
        <f t="shared" si="276"/>
        <v>0</v>
      </c>
      <c r="V1059" s="84">
        <f t="shared" si="277"/>
        <v>0</v>
      </c>
      <c r="W1059" s="84">
        <v>0</v>
      </c>
      <c r="X1059" s="55">
        <f t="shared" si="271"/>
        <v>46153.018807870372</v>
      </c>
    </row>
    <row r="1060" spans="1:24" hidden="1" x14ac:dyDescent="0.35">
      <c r="A1060" s="46">
        <f t="shared" si="272"/>
        <v>46153.018807870372</v>
      </c>
      <c r="B1060" s="46"/>
      <c r="C1060" s="260"/>
      <c r="D1060" s="46"/>
      <c r="E1060" s="47" t="s">
        <v>1872</v>
      </c>
      <c r="F1060" s="57" t="s">
        <v>5709</v>
      </c>
      <c r="G1060" s="57"/>
      <c r="H1060" s="49" t="s">
        <v>5710</v>
      </c>
      <c r="I1060" s="82" t="s">
        <v>4308</v>
      </c>
      <c r="J1060" s="100" t="s">
        <v>140</v>
      </c>
      <c r="K1060" s="52">
        <v>0</v>
      </c>
      <c r="L1060" s="52">
        <v>0</v>
      </c>
      <c r="M1060" s="53">
        <v>250</v>
      </c>
      <c r="N1060" s="53">
        <v>850</v>
      </c>
      <c r="O1060" s="53">
        <v>1</v>
      </c>
      <c r="P1060" s="53">
        <f t="shared" si="273"/>
        <v>850</v>
      </c>
      <c r="Q1060" s="53"/>
      <c r="R1060" s="53">
        <v>850</v>
      </c>
      <c r="S1060" s="53">
        <f t="shared" si="274"/>
        <v>0</v>
      </c>
      <c r="T1060" s="83">
        <f t="shared" si="275"/>
        <v>345.6</v>
      </c>
      <c r="U1060" s="84">
        <f t="shared" si="276"/>
        <v>0</v>
      </c>
      <c r="V1060" s="84">
        <f t="shared" si="277"/>
        <v>0</v>
      </c>
      <c r="W1060" s="84">
        <v>0</v>
      </c>
      <c r="X1060" s="55">
        <f t="shared" si="271"/>
        <v>46153.018807870372</v>
      </c>
    </row>
    <row r="1061" spans="1:24" hidden="1" x14ac:dyDescent="0.35">
      <c r="A1061" s="46">
        <f t="shared" si="272"/>
        <v>46153.018807870372</v>
      </c>
      <c r="B1061" s="46"/>
      <c r="C1061" s="260"/>
      <c r="D1061" s="46"/>
      <c r="E1061" s="47" t="s">
        <v>1872</v>
      </c>
      <c r="F1061" s="57" t="s">
        <v>5711</v>
      </c>
      <c r="G1061" s="57"/>
      <c r="H1061" s="49" t="s">
        <v>5712</v>
      </c>
      <c r="I1061" s="82" t="s">
        <v>4308</v>
      </c>
      <c r="J1061" s="100" t="s">
        <v>140</v>
      </c>
      <c r="K1061" s="52">
        <v>0</v>
      </c>
      <c r="L1061" s="52">
        <v>0</v>
      </c>
      <c r="M1061" s="53">
        <v>250</v>
      </c>
      <c r="N1061" s="53">
        <v>1000</v>
      </c>
      <c r="O1061" s="53">
        <v>1</v>
      </c>
      <c r="P1061" s="53">
        <f t="shared" si="273"/>
        <v>1000</v>
      </c>
      <c r="Q1061" s="53"/>
      <c r="R1061" s="53">
        <v>1000</v>
      </c>
      <c r="S1061" s="53">
        <f t="shared" si="274"/>
        <v>0</v>
      </c>
      <c r="T1061" s="83">
        <f t="shared" si="275"/>
        <v>345.6</v>
      </c>
      <c r="U1061" s="84">
        <f t="shared" si="276"/>
        <v>0</v>
      </c>
      <c r="V1061" s="84">
        <f t="shared" si="277"/>
        <v>0</v>
      </c>
      <c r="W1061" s="84">
        <v>0</v>
      </c>
      <c r="X1061" s="55">
        <f t="shared" si="271"/>
        <v>46153.018807870372</v>
      </c>
    </row>
    <row r="1062" spans="1:24" hidden="1" x14ac:dyDescent="0.35">
      <c r="A1062" s="46">
        <f t="shared" si="272"/>
        <v>46153.018807870372</v>
      </c>
      <c r="B1062" s="46"/>
      <c r="C1062" s="260"/>
      <c r="D1062" s="46"/>
      <c r="E1062" s="47" t="s">
        <v>1872</v>
      </c>
      <c r="F1062" s="48" t="s">
        <v>1321</v>
      </c>
      <c r="G1062" s="48"/>
      <c r="H1062" s="66" t="s">
        <v>1321</v>
      </c>
      <c r="I1062" s="106" t="s">
        <v>5713</v>
      </c>
      <c r="J1062" s="100" t="s">
        <v>140</v>
      </c>
      <c r="K1062" s="52">
        <v>0</v>
      </c>
      <c r="L1062" s="52">
        <v>0</v>
      </c>
      <c r="M1062" s="53">
        <v>62</v>
      </c>
      <c r="N1062" s="53">
        <v>30</v>
      </c>
      <c r="O1062" s="53">
        <v>16</v>
      </c>
      <c r="P1062" s="53">
        <f t="shared" si="273"/>
        <v>1.875</v>
      </c>
      <c r="Q1062" s="53"/>
      <c r="R1062" s="53">
        <v>2</v>
      </c>
      <c r="S1062" s="53">
        <f t="shared" si="274"/>
        <v>-0.125</v>
      </c>
      <c r="T1062" s="83">
        <f t="shared" si="275"/>
        <v>22296.774193548386</v>
      </c>
      <c r="U1062" s="84">
        <f t="shared" si="276"/>
        <v>-2.1527777777777778E-3</v>
      </c>
      <c r="V1062" s="84">
        <f t="shared" si="277"/>
        <v>-8.9699074074074073E-5</v>
      </c>
      <c r="W1062" s="84">
        <v>0</v>
      </c>
      <c r="X1062" s="55">
        <f t="shared" si="271"/>
        <v>46153.018718171297</v>
      </c>
    </row>
    <row r="1063" spans="1:24" hidden="1" x14ac:dyDescent="0.35">
      <c r="A1063" s="46">
        <f t="shared" si="272"/>
        <v>46153.018718171297</v>
      </c>
      <c r="B1063" s="46"/>
      <c r="C1063" s="260"/>
      <c r="D1063" s="46"/>
      <c r="E1063" s="47" t="s">
        <v>1872</v>
      </c>
      <c r="F1063" s="56" t="s">
        <v>5714</v>
      </c>
      <c r="G1063" s="56"/>
      <c r="H1063" s="49" t="s">
        <v>5715</v>
      </c>
      <c r="I1063" s="99" t="s">
        <v>5708</v>
      </c>
      <c r="J1063" s="100" t="s">
        <v>140</v>
      </c>
      <c r="K1063" s="52">
        <v>0</v>
      </c>
      <c r="L1063" s="52">
        <v>0</v>
      </c>
      <c r="M1063" s="83">
        <v>260</v>
      </c>
      <c r="N1063" s="83">
        <v>120</v>
      </c>
      <c r="O1063" s="83">
        <v>1</v>
      </c>
      <c r="P1063" s="53">
        <f t="shared" si="273"/>
        <v>120</v>
      </c>
      <c r="Q1063" s="53"/>
      <c r="R1063" s="83">
        <v>120</v>
      </c>
      <c r="S1063" s="83">
        <f t="shared" si="274"/>
        <v>0</v>
      </c>
      <c r="T1063" s="83">
        <f t="shared" si="275"/>
        <v>332.30769230769232</v>
      </c>
      <c r="U1063" s="84">
        <f t="shared" si="276"/>
        <v>0</v>
      </c>
      <c r="V1063" s="84">
        <f t="shared" si="277"/>
        <v>0</v>
      </c>
      <c r="W1063" s="84">
        <v>0</v>
      </c>
      <c r="X1063" s="55">
        <f t="shared" si="271"/>
        <v>46153.018718171297</v>
      </c>
    </row>
    <row r="1064" spans="1:24" hidden="1" x14ac:dyDescent="0.35">
      <c r="A1064" s="46">
        <f t="shared" si="272"/>
        <v>46153.018718171297</v>
      </c>
      <c r="B1064" s="46"/>
      <c r="C1064" s="260"/>
      <c r="D1064" s="46"/>
      <c r="E1064" s="47" t="s">
        <v>1872</v>
      </c>
      <c r="F1064" s="62" t="s">
        <v>511</v>
      </c>
      <c r="G1064" s="62"/>
      <c r="H1064" s="59" t="s">
        <v>5716</v>
      </c>
      <c r="I1064" s="82" t="s">
        <v>4674</v>
      </c>
      <c r="J1064" s="100" t="s">
        <v>140</v>
      </c>
      <c r="K1064" s="52">
        <v>0</v>
      </c>
      <c r="L1064" s="52">
        <v>0</v>
      </c>
      <c r="M1064" s="53">
        <v>55</v>
      </c>
      <c r="N1064" s="53">
        <v>3000</v>
      </c>
      <c r="O1064" s="53">
        <v>1</v>
      </c>
      <c r="P1064" s="53">
        <f t="shared" si="273"/>
        <v>3000</v>
      </c>
      <c r="Q1064" s="53"/>
      <c r="R1064" s="53">
        <v>3000</v>
      </c>
      <c r="S1064" s="53">
        <f t="shared" si="274"/>
        <v>0</v>
      </c>
      <c r="T1064" s="83">
        <f t="shared" si="275"/>
        <v>1570.909090909091</v>
      </c>
      <c r="U1064" s="84">
        <f t="shared" si="276"/>
        <v>0</v>
      </c>
      <c r="V1064" s="84">
        <f t="shared" si="277"/>
        <v>0</v>
      </c>
      <c r="W1064" s="84">
        <v>0</v>
      </c>
      <c r="X1064" s="55">
        <f t="shared" si="271"/>
        <v>46153.018718171297</v>
      </c>
    </row>
    <row r="1065" spans="1:24" ht="29" hidden="1" x14ac:dyDescent="0.35">
      <c r="A1065" s="46">
        <f t="shared" si="272"/>
        <v>46153.018718171297</v>
      </c>
      <c r="B1065" s="46"/>
      <c r="C1065" s="260"/>
      <c r="D1065" s="46"/>
      <c r="E1065" s="47" t="s">
        <v>1872</v>
      </c>
      <c r="F1065" s="57" t="s">
        <v>652</v>
      </c>
      <c r="G1065" s="57"/>
      <c r="H1065" s="49" t="s">
        <v>5717</v>
      </c>
      <c r="I1065" s="82" t="s">
        <v>4515</v>
      </c>
      <c r="J1065" s="100" t="s">
        <v>140</v>
      </c>
      <c r="K1065" s="52">
        <v>0</v>
      </c>
      <c r="L1065" s="52">
        <v>0</v>
      </c>
      <c r="M1065" s="53">
        <v>95</v>
      </c>
      <c r="N1065" s="53">
        <v>5110</v>
      </c>
      <c r="O1065" s="53">
        <v>2</v>
      </c>
      <c r="P1065" s="53">
        <f t="shared" si="273"/>
        <v>2555</v>
      </c>
      <c r="Q1065" s="53"/>
      <c r="R1065" s="53">
        <v>2555</v>
      </c>
      <c r="S1065" s="53">
        <f t="shared" si="274"/>
        <v>0</v>
      </c>
      <c r="T1065" s="83">
        <f t="shared" si="275"/>
        <v>1818.9473684210525</v>
      </c>
      <c r="U1065" s="84">
        <f t="shared" si="276"/>
        <v>0</v>
      </c>
      <c r="V1065" s="84">
        <f t="shared" si="277"/>
        <v>0</v>
      </c>
      <c r="W1065" s="84">
        <v>0</v>
      </c>
      <c r="X1065" s="55">
        <f t="shared" si="271"/>
        <v>46153.018718171297</v>
      </c>
    </row>
    <row r="1066" spans="1:24" hidden="1" x14ac:dyDescent="0.35">
      <c r="A1066" s="46">
        <f t="shared" si="272"/>
        <v>46153.018718171297</v>
      </c>
      <c r="B1066" s="46"/>
      <c r="C1066" s="260"/>
      <c r="D1066" s="46"/>
      <c r="E1066" s="47" t="s">
        <v>4540</v>
      </c>
      <c r="F1066" s="56" t="s">
        <v>3860</v>
      </c>
      <c r="G1066" s="56"/>
      <c r="H1066" s="49" t="s">
        <v>5718</v>
      </c>
      <c r="I1066" s="85" t="s">
        <v>5719</v>
      </c>
      <c r="J1066" s="100" t="s">
        <v>140</v>
      </c>
      <c r="K1066" s="52">
        <v>0</v>
      </c>
      <c r="L1066" s="52">
        <v>0</v>
      </c>
      <c r="M1066" s="53">
        <v>45</v>
      </c>
      <c r="N1066" s="53">
        <v>5000</v>
      </c>
      <c r="O1066" s="53">
        <v>1</v>
      </c>
      <c r="P1066" s="53">
        <f t="shared" si="273"/>
        <v>5000</v>
      </c>
      <c r="Q1066" s="53"/>
      <c r="R1066" s="53">
        <v>5000</v>
      </c>
      <c r="S1066" s="53">
        <f t="shared" si="274"/>
        <v>0</v>
      </c>
      <c r="T1066" s="83">
        <f t="shared" si="275"/>
        <v>1920</v>
      </c>
      <c r="U1066" s="84">
        <f t="shared" si="276"/>
        <v>0</v>
      </c>
      <c r="V1066" s="84">
        <f t="shared" si="277"/>
        <v>0</v>
      </c>
      <c r="W1066" s="84">
        <v>0</v>
      </c>
      <c r="X1066" s="55">
        <f t="shared" si="271"/>
        <v>46153.018718171297</v>
      </c>
    </row>
    <row r="1067" spans="1:24" ht="29" hidden="1" x14ac:dyDescent="0.35">
      <c r="A1067" s="46">
        <f t="shared" si="272"/>
        <v>46153.018718171297</v>
      </c>
      <c r="B1067" s="46"/>
      <c r="C1067" s="260"/>
      <c r="D1067" s="46"/>
      <c r="E1067" s="47" t="s">
        <v>1872</v>
      </c>
      <c r="F1067" s="48" t="s">
        <v>652</v>
      </c>
      <c r="G1067" s="48"/>
      <c r="H1067" s="66">
        <v>9552</v>
      </c>
      <c r="I1067" s="69" t="s">
        <v>5580</v>
      </c>
      <c r="J1067" s="100" t="s">
        <v>140</v>
      </c>
      <c r="K1067" s="52">
        <v>0</v>
      </c>
      <c r="L1067" s="52">
        <v>0</v>
      </c>
      <c r="M1067" s="53">
        <v>58</v>
      </c>
      <c r="N1067" s="53">
        <v>600</v>
      </c>
      <c r="O1067" s="53">
        <v>1</v>
      </c>
      <c r="P1067" s="53">
        <f t="shared" si="273"/>
        <v>600</v>
      </c>
      <c r="Q1067" s="53"/>
      <c r="R1067" s="53">
        <v>600</v>
      </c>
      <c r="S1067" s="53">
        <f t="shared" si="274"/>
        <v>0</v>
      </c>
      <c r="T1067" s="83">
        <f t="shared" si="275"/>
        <v>1489.655172413793</v>
      </c>
      <c r="U1067" s="84">
        <f t="shared" si="276"/>
        <v>0</v>
      </c>
      <c r="V1067" s="84">
        <f t="shared" si="277"/>
        <v>0</v>
      </c>
      <c r="W1067" s="84">
        <v>0</v>
      </c>
      <c r="X1067" s="55">
        <f t="shared" si="271"/>
        <v>46153.018718171297</v>
      </c>
    </row>
    <row r="1068" spans="1:24" ht="29" hidden="1" x14ac:dyDescent="0.35">
      <c r="A1068" s="46">
        <f t="shared" si="272"/>
        <v>46153.018718171297</v>
      </c>
      <c r="B1068" s="46"/>
      <c r="C1068" s="260"/>
      <c r="D1068" s="46"/>
      <c r="E1068" s="47" t="s">
        <v>1872</v>
      </c>
      <c r="F1068" s="57" t="s">
        <v>652</v>
      </c>
      <c r="G1068" s="57"/>
      <c r="H1068" s="49" t="s">
        <v>5720</v>
      </c>
      <c r="I1068" s="82" t="s">
        <v>5601</v>
      </c>
      <c r="J1068" s="100" t="s">
        <v>140</v>
      </c>
      <c r="K1068" s="52">
        <v>0</v>
      </c>
      <c r="L1068" s="52">
        <v>0</v>
      </c>
      <c r="M1068" s="53">
        <v>65</v>
      </c>
      <c r="N1068" s="53">
        <v>600</v>
      </c>
      <c r="O1068" s="53">
        <v>2</v>
      </c>
      <c r="P1068" s="53">
        <f t="shared" si="273"/>
        <v>300</v>
      </c>
      <c r="Q1068" s="53"/>
      <c r="R1068" s="53">
        <v>300</v>
      </c>
      <c r="S1068" s="53">
        <f t="shared" si="274"/>
        <v>0</v>
      </c>
      <c r="T1068" s="83">
        <f t="shared" si="275"/>
        <v>2658.4615384615386</v>
      </c>
      <c r="U1068" s="84">
        <f t="shared" si="276"/>
        <v>0</v>
      </c>
      <c r="V1068" s="84">
        <f t="shared" si="277"/>
        <v>0</v>
      </c>
      <c r="W1068" s="84">
        <v>0</v>
      </c>
      <c r="X1068" s="55">
        <f t="shared" si="271"/>
        <v>46153.018718171297</v>
      </c>
    </row>
    <row r="1069" spans="1:24" ht="29" hidden="1" x14ac:dyDescent="0.35">
      <c r="A1069" s="46">
        <f t="shared" si="272"/>
        <v>46153.018718171297</v>
      </c>
      <c r="B1069" s="46"/>
      <c r="C1069" s="260"/>
      <c r="D1069" s="46"/>
      <c r="E1069" s="47" t="s">
        <v>1872</v>
      </c>
      <c r="F1069" s="57" t="s">
        <v>1058</v>
      </c>
      <c r="G1069" s="57"/>
      <c r="H1069" s="49" t="s">
        <v>5721</v>
      </c>
      <c r="I1069" s="82" t="s">
        <v>5722</v>
      </c>
      <c r="J1069" s="100" t="s">
        <v>140</v>
      </c>
      <c r="K1069" s="52">
        <v>0</v>
      </c>
      <c r="L1069" s="52">
        <v>0</v>
      </c>
      <c r="M1069" s="53">
        <v>45</v>
      </c>
      <c r="N1069" s="53">
        <v>21000</v>
      </c>
      <c r="O1069" s="53">
        <v>2</v>
      </c>
      <c r="P1069" s="53">
        <f t="shared" si="273"/>
        <v>10500</v>
      </c>
      <c r="Q1069" s="53"/>
      <c r="R1069" s="53">
        <v>10500</v>
      </c>
      <c r="S1069" s="53">
        <f t="shared" si="274"/>
        <v>0</v>
      </c>
      <c r="T1069" s="83">
        <f t="shared" si="275"/>
        <v>3840</v>
      </c>
      <c r="U1069" s="84">
        <f t="shared" si="276"/>
        <v>0</v>
      </c>
      <c r="V1069" s="84">
        <f t="shared" si="277"/>
        <v>0</v>
      </c>
      <c r="W1069" s="84">
        <v>0</v>
      </c>
      <c r="X1069" s="55">
        <f t="shared" si="271"/>
        <v>46153.018718171297</v>
      </c>
    </row>
    <row r="1070" spans="1:24" ht="26.5" hidden="1" x14ac:dyDescent="0.35">
      <c r="A1070" s="46">
        <f t="shared" si="272"/>
        <v>46153.018718171297</v>
      </c>
      <c r="B1070" s="46"/>
      <c r="C1070" s="260"/>
      <c r="D1070" s="46"/>
      <c r="E1070" s="47" t="s">
        <v>1872</v>
      </c>
      <c r="F1070" s="48" t="s">
        <v>5723</v>
      </c>
      <c r="G1070" s="48"/>
      <c r="H1070" s="49" t="s">
        <v>5724</v>
      </c>
      <c r="I1070" s="97" t="s">
        <v>5725</v>
      </c>
      <c r="J1070" s="97" t="s">
        <v>140</v>
      </c>
      <c r="K1070" s="52">
        <v>0</v>
      </c>
      <c r="L1070" s="52">
        <v>0</v>
      </c>
      <c r="M1070" s="53">
        <v>80</v>
      </c>
      <c r="N1070" s="53">
        <v>4000</v>
      </c>
      <c r="O1070" s="53">
        <v>1</v>
      </c>
      <c r="P1070" s="53">
        <f t="shared" si="273"/>
        <v>4000</v>
      </c>
      <c r="Q1070" s="53"/>
      <c r="R1070" s="53">
        <v>4000</v>
      </c>
      <c r="S1070" s="53">
        <f t="shared" si="274"/>
        <v>0</v>
      </c>
      <c r="T1070" s="83">
        <f t="shared" si="275"/>
        <v>1080</v>
      </c>
      <c r="U1070" s="84">
        <f t="shared" si="276"/>
        <v>0</v>
      </c>
      <c r="V1070" s="84">
        <f t="shared" si="277"/>
        <v>0</v>
      </c>
      <c r="W1070" s="84">
        <v>0</v>
      </c>
      <c r="X1070" s="55">
        <f t="shared" si="271"/>
        <v>46153.018718171297</v>
      </c>
    </row>
    <row r="1071" spans="1:24" ht="26.5" hidden="1" x14ac:dyDescent="0.35">
      <c r="A1071" s="46">
        <f t="shared" si="272"/>
        <v>46153.018718171297</v>
      </c>
      <c r="B1071" s="46"/>
      <c r="C1071" s="260"/>
      <c r="D1071" s="46"/>
      <c r="E1071" s="47" t="s">
        <v>1872</v>
      </c>
      <c r="F1071" s="48" t="s">
        <v>5726</v>
      </c>
      <c r="G1071" s="48"/>
      <c r="H1071" s="49" t="s">
        <v>5727</v>
      </c>
      <c r="I1071" s="97" t="s">
        <v>5725</v>
      </c>
      <c r="J1071" s="97" t="s">
        <v>140</v>
      </c>
      <c r="K1071" s="52">
        <v>0</v>
      </c>
      <c r="L1071" s="52">
        <v>0</v>
      </c>
      <c r="M1071" s="53">
        <v>80</v>
      </c>
      <c r="N1071" s="53">
        <v>2506</v>
      </c>
      <c r="O1071" s="53">
        <v>1</v>
      </c>
      <c r="P1071" s="53">
        <f t="shared" si="273"/>
        <v>2506</v>
      </c>
      <c r="Q1071" s="53"/>
      <c r="R1071" s="53">
        <v>2506</v>
      </c>
      <c r="S1071" s="53">
        <f t="shared" si="274"/>
        <v>0</v>
      </c>
      <c r="T1071" s="83">
        <f t="shared" si="275"/>
        <v>1080</v>
      </c>
      <c r="U1071" s="84">
        <f t="shared" si="276"/>
        <v>0</v>
      </c>
      <c r="V1071" s="84">
        <f t="shared" si="277"/>
        <v>0</v>
      </c>
      <c r="W1071" s="84">
        <v>0</v>
      </c>
      <c r="X1071" s="55">
        <f t="shared" si="271"/>
        <v>46153.018718171297</v>
      </c>
    </row>
    <row r="1072" spans="1:24" hidden="1" x14ac:dyDescent="0.35">
      <c r="A1072" s="46">
        <f t="shared" si="272"/>
        <v>46153.018718171297</v>
      </c>
      <c r="B1072" s="46"/>
      <c r="C1072" s="260"/>
      <c r="D1072" s="46"/>
      <c r="E1072" s="296" t="s">
        <v>1872</v>
      </c>
      <c r="F1072" s="397" t="s">
        <v>1362</v>
      </c>
      <c r="G1072" s="397"/>
      <c r="H1072" s="850" t="s">
        <v>14</v>
      </c>
      <c r="I1072" s="874" t="s">
        <v>5728</v>
      </c>
      <c r="J1072" s="300" t="s">
        <v>140</v>
      </c>
      <c r="K1072" s="52">
        <v>0</v>
      </c>
      <c r="L1072" s="52">
        <v>0</v>
      </c>
      <c r="M1072" s="400">
        <v>120</v>
      </c>
      <c r="N1072" s="400">
        <v>50</v>
      </c>
      <c r="O1072" s="400">
        <v>1</v>
      </c>
      <c r="P1072" s="400">
        <v>50</v>
      </c>
      <c r="Q1072" s="400"/>
      <c r="R1072" s="400">
        <v>50</v>
      </c>
      <c r="S1072" s="400">
        <f t="shared" si="274"/>
        <v>0</v>
      </c>
      <c r="T1072" s="579">
        <f t="shared" si="275"/>
        <v>720</v>
      </c>
      <c r="U1072" s="583">
        <f t="shared" si="276"/>
        <v>0</v>
      </c>
      <c r="V1072" s="583">
        <f t="shared" si="277"/>
        <v>0</v>
      </c>
      <c r="W1072" s="583">
        <v>0</v>
      </c>
      <c r="X1072" s="55">
        <f t="shared" si="271"/>
        <v>46153.018718171297</v>
      </c>
    </row>
    <row r="1073" spans="1:24" hidden="1" x14ac:dyDescent="0.35">
      <c r="A1073" s="46">
        <f t="shared" si="272"/>
        <v>46153.018718171297</v>
      </c>
      <c r="B1073" s="46"/>
      <c r="C1073" s="260"/>
      <c r="D1073" s="46"/>
      <c r="E1073" s="296" t="s">
        <v>1872</v>
      </c>
      <c r="F1073" s="397" t="s">
        <v>1362</v>
      </c>
      <c r="G1073" s="397"/>
      <c r="H1073" s="850" t="s">
        <v>14</v>
      </c>
      <c r="I1073" s="874" t="s">
        <v>5729</v>
      </c>
      <c r="J1073" s="300" t="s">
        <v>140</v>
      </c>
      <c r="K1073" s="52">
        <v>0</v>
      </c>
      <c r="L1073" s="52">
        <v>0</v>
      </c>
      <c r="M1073" s="400">
        <v>120</v>
      </c>
      <c r="N1073" s="400">
        <v>50</v>
      </c>
      <c r="O1073" s="400">
        <v>1</v>
      </c>
      <c r="P1073" s="400">
        <v>50</v>
      </c>
      <c r="Q1073" s="400"/>
      <c r="R1073" s="400">
        <v>50</v>
      </c>
      <c r="S1073" s="400">
        <f t="shared" si="274"/>
        <v>0</v>
      </c>
      <c r="T1073" s="579">
        <f t="shared" si="275"/>
        <v>720</v>
      </c>
      <c r="U1073" s="583">
        <f t="shared" si="276"/>
        <v>0</v>
      </c>
      <c r="V1073" s="583">
        <f t="shared" si="277"/>
        <v>0</v>
      </c>
      <c r="W1073" s="583">
        <v>0</v>
      </c>
      <c r="X1073" s="55">
        <f t="shared" si="271"/>
        <v>46153.018718171297</v>
      </c>
    </row>
    <row r="1074" spans="1:24" ht="26.5" hidden="1" x14ac:dyDescent="0.35">
      <c r="A1074" s="46">
        <f t="shared" si="272"/>
        <v>46153.018718171297</v>
      </c>
      <c r="B1074" s="46"/>
      <c r="C1074" s="260"/>
      <c r="D1074" s="46"/>
      <c r="E1074" s="47" t="s">
        <v>4999</v>
      </c>
      <c r="F1074" s="82" t="s">
        <v>543</v>
      </c>
      <c r="G1074" s="82"/>
      <c r="H1074" s="49" t="s">
        <v>5730</v>
      </c>
      <c r="I1074" s="82" t="s">
        <v>5690</v>
      </c>
      <c r="J1074" s="100" t="s">
        <v>140</v>
      </c>
      <c r="K1074" s="52">
        <v>0</v>
      </c>
      <c r="L1074" s="52">
        <v>0</v>
      </c>
      <c r="M1074" s="53">
        <v>45</v>
      </c>
      <c r="N1074" s="53">
        <v>5400</v>
      </c>
      <c r="O1074" s="53">
        <v>2</v>
      </c>
      <c r="P1074" s="53">
        <f t="shared" ref="P1074:P1082" si="278">N1074/O1074</f>
        <v>2700</v>
      </c>
      <c r="Q1074" s="53"/>
      <c r="R1074" s="53">
        <v>2700</v>
      </c>
      <c r="S1074" s="53">
        <f t="shared" si="274"/>
        <v>0</v>
      </c>
      <c r="T1074" s="83">
        <f t="shared" si="275"/>
        <v>3840</v>
      </c>
      <c r="U1074" s="84">
        <f t="shared" si="276"/>
        <v>0</v>
      </c>
      <c r="V1074" s="84">
        <f t="shared" si="277"/>
        <v>0</v>
      </c>
      <c r="W1074" s="84">
        <v>0</v>
      </c>
      <c r="X1074" s="55">
        <f t="shared" si="271"/>
        <v>46153.018718171297</v>
      </c>
    </row>
    <row r="1075" spans="1:24" hidden="1" x14ac:dyDescent="0.35">
      <c r="A1075" s="46">
        <f t="shared" si="272"/>
        <v>46153.018718171297</v>
      </c>
      <c r="B1075" s="46"/>
      <c r="C1075" s="260"/>
      <c r="D1075" s="46"/>
      <c r="E1075" s="47" t="s">
        <v>1872</v>
      </c>
      <c r="F1075" s="56" t="s">
        <v>5731</v>
      </c>
      <c r="G1075" s="56"/>
      <c r="H1075" s="49" t="s">
        <v>5732</v>
      </c>
      <c r="I1075" s="99" t="s">
        <v>5708</v>
      </c>
      <c r="J1075" s="100" t="s">
        <v>140</v>
      </c>
      <c r="K1075" s="52">
        <v>0</v>
      </c>
      <c r="L1075" s="52">
        <v>0</v>
      </c>
      <c r="M1075" s="83">
        <v>260</v>
      </c>
      <c r="N1075" s="83">
        <v>590</v>
      </c>
      <c r="O1075" s="83">
        <v>1</v>
      </c>
      <c r="P1075" s="53">
        <f t="shared" si="278"/>
        <v>590</v>
      </c>
      <c r="Q1075" s="53"/>
      <c r="R1075" s="83">
        <v>590</v>
      </c>
      <c r="S1075" s="83">
        <f t="shared" si="274"/>
        <v>0</v>
      </c>
      <c r="T1075" s="83">
        <f t="shared" si="275"/>
        <v>332.30769230769232</v>
      </c>
      <c r="U1075" s="84">
        <f t="shared" si="276"/>
        <v>0</v>
      </c>
      <c r="V1075" s="84">
        <f t="shared" si="277"/>
        <v>0</v>
      </c>
      <c r="W1075" s="84">
        <v>0</v>
      </c>
      <c r="X1075" s="55">
        <f t="shared" si="271"/>
        <v>46153.018718171297</v>
      </c>
    </row>
    <row r="1076" spans="1:24" hidden="1" x14ac:dyDescent="0.35">
      <c r="A1076" s="46">
        <f t="shared" si="272"/>
        <v>46153.018718171297</v>
      </c>
      <c r="B1076" s="46"/>
      <c r="C1076" s="260"/>
      <c r="D1076" s="46"/>
      <c r="E1076" s="47" t="s">
        <v>1872</v>
      </c>
      <c r="F1076" s="82" t="s">
        <v>1438</v>
      </c>
      <c r="G1076" s="82"/>
      <c r="H1076" s="49" t="s">
        <v>5733</v>
      </c>
      <c r="I1076" s="82" t="s">
        <v>5690</v>
      </c>
      <c r="J1076" s="100" t="s">
        <v>140</v>
      </c>
      <c r="K1076" s="52">
        <v>0</v>
      </c>
      <c r="L1076" s="52">
        <v>0</v>
      </c>
      <c r="M1076" s="53">
        <v>45</v>
      </c>
      <c r="N1076" s="53">
        <v>10800</v>
      </c>
      <c r="O1076" s="53">
        <v>2</v>
      </c>
      <c r="P1076" s="53">
        <f t="shared" si="278"/>
        <v>5400</v>
      </c>
      <c r="Q1076" s="53"/>
      <c r="R1076" s="53">
        <v>5400</v>
      </c>
      <c r="S1076" s="53">
        <f t="shared" si="274"/>
        <v>0</v>
      </c>
      <c r="T1076" s="83">
        <f t="shared" si="275"/>
        <v>3840</v>
      </c>
      <c r="U1076" s="84">
        <f t="shared" si="276"/>
        <v>0</v>
      </c>
      <c r="V1076" s="84">
        <f t="shared" si="277"/>
        <v>0</v>
      </c>
      <c r="W1076" s="84">
        <v>0</v>
      </c>
      <c r="X1076" s="55">
        <f t="shared" si="271"/>
        <v>46153.018718171297</v>
      </c>
    </row>
    <row r="1077" spans="1:24" ht="26.5" hidden="1" x14ac:dyDescent="0.35">
      <c r="A1077" s="46">
        <f t="shared" si="272"/>
        <v>46153.018718171297</v>
      </c>
      <c r="B1077" s="46"/>
      <c r="C1077" s="260"/>
      <c r="D1077" s="46"/>
      <c r="E1077" s="47" t="s">
        <v>1872</v>
      </c>
      <c r="F1077" s="97" t="s">
        <v>555</v>
      </c>
      <c r="G1077" s="97"/>
      <c r="H1077" s="59" t="s">
        <v>5734</v>
      </c>
      <c r="I1077" s="855" t="s">
        <v>4324</v>
      </c>
      <c r="J1077" s="100" t="s">
        <v>140</v>
      </c>
      <c r="K1077" s="52">
        <v>0</v>
      </c>
      <c r="L1077" s="52">
        <v>0</v>
      </c>
      <c r="M1077" s="53">
        <v>120</v>
      </c>
      <c r="N1077" s="53">
        <v>200</v>
      </c>
      <c r="O1077" s="53">
        <v>1</v>
      </c>
      <c r="P1077" s="53">
        <f t="shared" si="278"/>
        <v>200</v>
      </c>
      <c r="Q1077" s="53"/>
      <c r="R1077" s="53">
        <v>200</v>
      </c>
      <c r="S1077" s="53">
        <f t="shared" si="274"/>
        <v>0</v>
      </c>
      <c r="T1077" s="83">
        <f t="shared" si="275"/>
        <v>720</v>
      </c>
      <c r="U1077" s="84">
        <f t="shared" si="276"/>
        <v>0</v>
      </c>
      <c r="V1077" s="84">
        <f t="shared" si="277"/>
        <v>0</v>
      </c>
      <c r="W1077" s="84">
        <v>0</v>
      </c>
      <c r="X1077" s="55">
        <f t="shared" si="271"/>
        <v>46153.018718171297</v>
      </c>
    </row>
    <row r="1078" spans="1:24" ht="26.5" hidden="1" x14ac:dyDescent="0.35">
      <c r="A1078" s="46">
        <f t="shared" si="272"/>
        <v>46153.018718171297</v>
      </c>
      <c r="B1078" s="46"/>
      <c r="C1078" s="260"/>
      <c r="D1078" s="46"/>
      <c r="E1078" s="47" t="s">
        <v>1872</v>
      </c>
      <c r="F1078" s="97" t="s">
        <v>555</v>
      </c>
      <c r="G1078" s="97"/>
      <c r="H1078" s="59" t="s">
        <v>5735</v>
      </c>
      <c r="I1078" s="855" t="s">
        <v>4884</v>
      </c>
      <c r="J1078" s="100" t="s">
        <v>140</v>
      </c>
      <c r="K1078" s="52">
        <v>0</v>
      </c>
      <c r="L1078" s="52">
        <v>0</v>
      </c>
      <c r="M1078" s="53">
        <v>120</v>
      </c>
      <c r="N1078" s="53">
        <v>200</v>
      </c>
      <c r="O1078" s="53">
        <v>1</v>
      </c>
      <c r="P1078" s="53">
        <f t="shared" si="278"/>
        <v>200</v>
      </c>
      <c r="Q1078" s="53"/>
      <c r="R1078" s="53">
        <v>200</v>
      </c>
      <c r="S1078" s="53">
        <f t="shared" si="274"/>
        <v>0</v>
      </c>
      <c r="T1078" s="83">
        <f t="shared" si="275"/>
        <v>720</v>
      </c>
      <c r="U1078" s="84">
        <f t="shared" si="276"/>
        <v>0</v>
      </c>
      <c r="V1078" s="84">
        <f t="shared" si="277"/>
        <v>0</v>
      </c>
      <c r="W1078" s="84">
        <v>0</v>
      </c>
      <c r="X1078" s="55">
        <f t="shared" si="271"/>
        <v>46153.018718171297</v>
      </c>
    </row>
    <row r="1079" spans="1:24" ht="26.5" hidden="1" x14ac:dyDescent="0.35">
      <c r="A1079" s="46">
        <f t="shared" si="272"/>
        <v>46153.018718171297</v>
      </c>
      <c r="B1079" s="46"/>
      <c r="C1079" s="260"/>
      <c r="D1079" s="46"/>
      <c r="E1079" s="47" t="s">
        <v>1872</v>
      </c>
      <c r="F1079" s="97" t="s">
        <v>555</v>
      </c>
      <c r="G1079" s="97"/>
      <c r="H1079" s="59" t="s">
        <v>5736</v>
      </c>
      <c r="I1079" s="697" t="s">
        <v>4387</v>
      </c>
      <c r="J1079" s="100" t="s">
        <v>140</v>
      </c>
      <c r="K1079" s="52">
        <v>0</v>
      </c>
      <c r="L1079" s="52">
        <v>0</v>
      </c>
      <c r="M1079" s="53">
        <v>45</v>
      </c>
      <c r="N1079" s="53">
        <v>16300</v>
      </c>
      <c r="O1079" s="53">
        <v>1</v>
      </c>
      <c r="P1079" s="53">
        <f t="shared" si="278"/>
        <v>16300</v>
      </c>
      <c r="Q1079" s="53"/>
      <c r="R1079" s="53">
        <v>16300</v>
      </c>
      <c r="S1079" s="53">
        <f t="shared" si="274"/>
        <v>0</v>
      </c>
      <c r="T1079" s="83">
        <f t="shared" si="275"/>
        <v>1920</v>
      </c>
      <c r="U1079" s="84">
        <f t="shared" si="276"/>
        <v>0</v>
      </c>
      <c r="V1079" s="84">
        <f t="shared" si="277"/>
        <v>0</v>
      </c>
      <c r="W1079" s="84">
        <v>0</v>
      </c>
      <c r="X1079" s="55">
        <f t="shared" si="271"/>
        <v>46153.018718171297</v>
      </c>
    </row>
    <row r="1080" spans="1:24" hidden="1" x14ac:dyDescent="0.35">
      <c r="A1080" s="46">
        <f t="shared" si="272"/>
        <v>46153.018718171297</v>
      </c>
      <c r="B1080" s="46"/>
      <c r="C1080" s="260"/>
      <c r="D1080" s="46"/>
      <c r="E1080" s="47" t="s">
        <v>1872</v>
      </c>
      <c r="F1080" s="82" t="s">
        <v>187</v>
      </c>
      <c r="G1080" s="82"/>
      <c r="H1080" s="49" t="s">
        <v>5737</v>
      </c>
      <c r="I1080" s="82" t="s">
        <v>5690</v>
      </c>
      <c r="J1080" s="100" t="s">
        <v>140</v>
      </c>
      <c r="K1080" s="52">
        <v>0</v>
      </c>
      <c r="L1080" s="52">
        <v>0</v>
      </c>
      <c r="M1080" s="53">
        <v>45</v>
      </c>
      <c r="N1080" s="53">
        <v>10800</v>
      </c>
      <c r="O1080" s="53">
        <v>2</v>
      </c>
      <c r="P1080" s="53">
        <f t="shared" si="278"/>
        <v>5400</v>
      </c>
      <c r="Q1080" s="53"/>
      <c r="R1080" s="53">
        <v>5400</v>
      </c>
      <c r="S1080" s="53">
        <f t="shared" si="274"/>
        <v>0</v>
      </c>
      <c r="T1080" s="83">
        <f t="shared" si="275"/>
        <v>3840</v>
      </c>
      <c r="U1080" s="84">
        <f t="shared" si="276"/>
        <v>0</v>
      </c>
      <c r="V1080" s="84">
        <f t="shared" si="277"/>
        <v>0</v>
      </c>
      <c r="W1080" s="84">
        <v>0</v>
      </c>
      <c r="X1080" s="55">
        <f t="shared" si="271"/>
        <v>46153.018718171297</v>
      </c>
    </row>
    <row r="1081" spans="1:24" ht="26.5" hidden="1" x14ac:dyDescent="0.35">
      <c r="A1081" s="46">
        <f t="shared" si="272"/>
        <v>46153.018718171297</v>
      </c>
      <c r="B1081" s="46"/>
      <c r="C1081" s="260"/>
      <c r="D1081" s="46"/>
      <c r="E1081" s="47" t="s">
        <v>1872</v>
      </c>
      <c r="F1081" s="97" t="s">
        <v>555</v>
      </c>
      <c r="G1081" s="97"/>
      <c r="H1081" s="59" t="s">
        <v>5735</v>
      </c>
      <c r="I1081" s="855" t="s">
        <v>4884</v>
      </c>
      <c r="J1081" s="100" t="s">
        <v>140</v>
      </c>
      <c r="K1081" s="52">
        <v>0</v>
      </c>
      <c r="L1081" s="52">
        <v>0</v>
      </c>
      <c r="M1081" s="53">
        <v>120</v>
      </c>
      <c r="N1081" s="53">
        <v>8400</v>
      </c>
      <c r="O1081" s="53">
        <v>1</v>
      </c>
      <c r="P1081" s="53">
        <f t="shared" si="278"/>
        <v>8400</v>
      </c>
      <c r="Q1081" s="53"/>
      <c r="R1081" s="53">
        <v>8400</v>
      </c>
      <c r="S1081" s="53">
        <f t="shared" si="274"/>
        <v>0</v>
      </c>
      <c r="T1081" s="83">
        <f t="shared" si="275"/>
        <v>720</v>
      </c>
      <c r="U1081" s="84">
        <f t="shared" si="276"/>
        <v>0</v>
      </c>
      <c r="V1081" s="84">
        <f t="shared" si="277"/>
        <v>0</v>
      </c>
      <c r="W1081" s="84">
        <v>0</v>
      </c>
      <c r="X1081" s="55">
        <f t="shared" si="271"/>
        <v>46153.018718171297</v>
      </c>
    </row>
    <row r="1082" spans="1:24" hidden="1" x14ac:dyDescent="0.35">
      <c r="A1082" s="46">
        <f t="shared" si="272"/>
        <v>46153.018718171297</v>
      </c>
      <c r="B1082" s="46"/>
      <c r="C1082" s="260"/>
      <c r="D1082" s="46"/>
      <c r="E1082" s="296" t="s">
        <v>1872</v>
      </c>
      <c r="F1082" s="577" t="s">
        <v>1362</v>
      </c>
      <c r="G1082" s="577"/>
      <c r="H1082" s="927" t="s">
        <v>1362</v>
      </c>
      <c r="I1082" s="297" t="s">
        <v>5738</v>
      </c>
      <c r="J1082" s="300" t="s">
        <v>140</v>
      </c>
      <c r="K1082" s="52">
        <v>0</v>
      </c>
      <c r="L1082" s="52">
        <v>0</v>
      </c>
      <c r="M1082" s="400">
        <v>45</v>
      </c>
      <c r="N1082" s="400">
        <v>30</v>
      </c>
      <c r="O1082" s="400">
        <v>1</v>
      </c>
      <c r="P1082" s="400">
        <f t="shared" si="278"/>
        <v>30</v>
      </c>
      <c r="Q1082" s="400"/>
      <c r="R1082" s="400">
        <v>30</v>
      </c>
      <c r="S1082" s="400">
        <f t="shared" si="274"/>
        <v>0</v>
      </c>
      <c r="T1082" s="579">
        <f t="shared" si="275"/>
        <v>1920</v>
      </c>
      <c r="U1082" s="583">
        <f t="shared" si="276"/>
        <v>0</v>
      </c>
      <c r="V1082" s="583">
        <f t="shared" si="277"/>
        <v>0</v>
      </c>
      <c r="W1082" s="583">
        <v>0</v>
      </c>
      <c r="X1082" s="55">
        <f t="shared" si="271"/>
        <v>46153.018718171297</v>
      </c>
    </row>
    <row r="1083" spans="1:24" hidden="1" x14ac:dyDescent="0.35">
      <c r="A1083" s="46">
        <f t="shared" si="272"/>
        <v>46153.018718171297</v>
      </c>
      <c r="B1083" s="46"/>
      <c r="C1083" s="260"/>
      <c r="D1083" s="46"/>
      <c r="E1083" s="296" t="s">
        <v>1872</v>
      </c>
      <c r="F1083" s="577" t="s">
        <v>1362</v>
      </c>
      <c r="G1083" s="577"/>
      <c r="H1083" s="927" t="s">
        <v>1362</v>
      </c>
      <c r="I1083" s="297" t="s">
        <v>5738</v>
      </c>
      <c r="J1083" s="300" t="s">
        <v>140</v>
      </c>
      <c r="K1083" s="399">
        <v>0</v>
      </c>
      <c r="L1083" s="399">
        <v>0</v>
      </c>
      <c r="M1083" s="400">
        <v>45</v>
      </c>
      <c r="N1083" s="400">
        <v>30</v>
      </c>
      <c r="O1083" s="400">
        <v>1</v>
      </c>
      <c r="P1083" s="400">
        <v>20</v>
      </c>
      <c r="Q1083" s="400"/>
      <c r="R1083" s="400">
        <v>20</v>
      </c>
      <c r="S1083" s="400">
        <v>0</v>
      </c>
      <c r="T1083" s="579">
        <v>1920</v>
      </c>
      <c r="U1083" s="583">
        <v>0</v>
      </c>
      <c r="V1083" s="583">
        <v>0</v>
      </c>
      <c r="W1083" s="583">
        <v>0</v>
      </c>
      <c r="X1083" s="55">
        <f t="shared" si="271"/>
        <v>46153.018718171297</v>
      </c>
    </row>
    <row r="1084" spans="1:24" hidden="1" x14ac:dyDescent="0.35">
      <c r="A1084" s="46">
        <f t="shared" si="272"/>
        <v>46153.018718171297</v>
      </c>
      <c r="B1084" s="46"/>
      <c r="C1084" s="260"/>
      <c r="D1084" s="46"/>
      <c r="E1084" s="296" t="s">
        <v>1872</v>
      </c>
      <c r="F1084" s="577" t="s">
        <v>1362</v>
      </c>
      <c r="G1084" s="577"/>
      <c r="H1084" s="927" t="s">
        <v>1362</v>
      </c>
      <c r="I1084" s="297" t="s">
        <v>5739</v>
      </c>
      <c r="J1084" s="300" t="s">
        <v>140</v>
      </c>
      <c r="K1084" s="399">
        <v>0</v>
      </c>
      <c r="L1084" s="399">
        <v>0</v>
      </c>
      <c r="M1084" s="400">
        <v>45</v>
      </c>
      <c r="N1084" s="400">
        <v>30</v>
      </c>
      <c r="O1084" s="400">
        <v>1</v>
      </c>
      <c r="P1084" s="400">
        <v>20</v>
      </c>
      <c r="Q1084" s="400"/>
      <c r="R1084" s="400">
        <v>20</v>
      </c>
      <c r="S1084" s="400">
        <v>0</v>
      </c>
      <c r="T1084" s="579">
        <v>1920</v>
      </c>
      <c r="U1084" s="583">
        <v>0</v>
      </c>
      <c r="V1084" s="583">
        <v>0</v>
      </c>
      <c r="W1084" s="583">
        <v>0</v>
      </c>
      <c r="X1084" s="55">
        <f t="shared" si="271"/>
        <v>46153.018718171297</v>
      </c>
    </row>
    <row r="1085" spans="1:24" s="1013" customFormat="1" ht="29" hidden="1" x14ac:dyDescent="0.3">
      <c r="A1085" s="46">
        <f t="shared" si="272"/>
        <v>46153.018718171297</v>
      </c>
      <c r="B1085" s="46"/>
      <c r="C1085" s="260"/>
      <c r="D1085" s="46"/>
      <c r="E1085" s="419" t="s">
        <v>1872</v>
      </c>
      <c r="F1085" s="871" t="s">
        <v>202</v>
      </c>
      <c r="G1085" s="871"/>
      <c r="H1085" s="326" t="s">
        <v>5740</v>
      </c>
      <c r="I1085" s="220" t="s">
        <v>5690</v>
      </c>
      <c r="J1085" s="420" t="s">
        <v>140</v>
      </c>
      <c r="K1085" s="421">
        <v>0</v>
      </c>
      <c r="L1085" s="421">
        <v>0</v>
      </c>
      <c r="M1085" s="422">
        <v>45</v>
      </c>
      <c r="N1085" s="422">
        <v>10800</v>
      </c>
      <c r="O1085" s="422">
        <v>2</v>
      </c>
      <c r="P1085" s="422">
        <f t="shared" ref="P1085:P1148" si="279">N1085/O1085</f>
        <v>5400</v>
      </c>
      <c r="Q1085" s="422"/>
      <c r="R1085" s="422">
        <v>5400</v>
      </c>
      <c r="S1085" s="422">
        <f t="shared" ref="S1085:S1145" si="280">P1085-R1085</f>
        <v>0</v>
      </c>
      <c r="T1085" s="422">
        <f t="shared" ref="T1085:T1148" si="281">((3600/M1085)*O1085)*24</f>
        <v>3840</v>
      </c>
      <c r="U1085" s="421">
        <f t="shared" ref="U1085:U1148" si="282">(P1085-R1085)*M1085/3600</f>
        <v>0</v>
      </c>
      <c r="V1085" s="421">
        <f t="shared" ref="V1085:V1148" si="283">(P1085-R1085)*M1085/3600/24</f>
        <v>0</v>
      </c>
      <c r="W1085" s="421">
        <v>0</v>
      </c>
      <c r="X1085" s="55">
        <f t="shared" si="271"/>
        <v>46153.018718171297</v>
      </c>
    </row>
    <row r="1086" spans="1:24" s="221" customFormat="1" hidden="1" x14ac:dyDescent="0.35">
      <c r="A1086" s="46">
        <f t="shared" si="272"/>
        <v>46153.018718171297</v>
      </c>
      <c r="B1086" s="46"/>
      <c r="C1086" s="260"/>
      <c r="D1086" s="46"/>
      <c r="E1086" s="47" t="s">
        <v>5741</v>
      </c>
      <c r="F1086" s="48" t="s">
        <v>271</v>
      </c>
      <c r="G1086" s="48"/>
      <c r="H1086" s="59" t="s">
        <v>5742</v>
      </c>
      <c r="I1086" s="106" t="s">
        <v>4305</v>
      </c>
      <c r="J1086" s="51" t="s">
        <v>140</v>
      </c>
      <c r="K1086" s="52">
        <v>0</v>
      </c>
      <c r="L1086" s="52">
        <v>0</v>
      </c>
      <c r="M1086" s="53">
        <v>50</v>
      </c>
      <c r="N1086" s="53">
        <v>1000</v>
      </c>
      <c r="O1086" s="53">
        <v>1</v>
      </c>
      <c r="P1086" s="53">
        <f t="shared" si="279"/>
        <v>1000</v>
      </c>
      <c r="Q1086" s="53"/>
      <c r="R1086" s="53">
        <v>1000</v>
      </c>
      <c r="S1086" s="53">
        <f t="shared" si="280"/>
        <v>0</v>
      </c>
      <c r="T1086" s="53">
        <f t="shared" si="281"/>
        <v>1728</v>
      </c>
      <c r="U1086" s="52">
        <f t="shared" si="282"/>
        <v>0</v>
      </c>
      <c r="V1086" s="52">
        <f t="shared" si="283"/>
        <v>0</v>
      </c>
      <c r="W1086" s="52">
        <v>0</v>
      </c>
      <c r="X1086" s="55">
        <f t="shared" si="271"/>
        <v>46153.018718171297</v>
      </c>
    </row>
    <row r="1087" spans="1:24" hidden="1" x14ac:dyDescent="0.35">
      <c r="A1087" s="46">
        <f t="shared" si="272"/>
        <v>46153.018718171297</v>
      </c>
      <c r="B1087" s="46"/>
      <c r="C1087" s="260"/>
      <c r="D1087" s="46"/>
      <c r="E1087" s="47" t="s">
        <v>1872</v>
      </c>
      <c r="F1087" s="57" t="s">
        <v>4878</v>
      </c>
      <c r="G1087" s="57"/>
      <c r="H1087" s="49" t="s">
        <v>5743</v>
      </c>
      <c r="I1087" s="82" t="s">
        <v>5601</v>
      </c>
      <c r="J1087" s="100" t="s">
        <v>140</v>
      </c>
      <c r="K1087" s="52">
        <v>0</v>
      </c>
      <c r="L1087" s="52">
        <v>0</v>
      </c>
      <c r="M1087" s="53">
        <v>65</v>
      </c>
      <c r="N1087" s="53">
        <v>3000</v>
      </c>
      <c r="O1087" s="53">
        <v>2</v>
      </c>
      <c r="P1087" s="53">
        <f t="shared" si="279"/>
        <v>1500</v>
      </c>
      <c r="Q1087" s="53"/>
      <c r="R1087" s="53">
        <v>1500</v>
      </c>
      <c r="S1087" s="53">
        <f t="shared" si="280"/>
        <v>0</v>
      </c>
      <c r="T1087" s="83">
        <f t="shared" si="281"/>
        <v>2658.4615384615386</v>
      </c>
      <c r="U1087" s="84">
        <f t="shared" si="282"/>
        <v>0</v>
      </c>
      <c r="V1087" s="84">
        <f t="shared" si="283"/>
        <v>0</v>
      </c>
      <c r="W1087" s="84">
        <v>0</v>
      </c>
      <c r="X1087" s="55">
        <f t="shared" si="271"/>
        <v>46153.018718171297</v>
      </c>
    </row>
    <row r="1088" spans="1:24" hidden="1" x14ac:dyDescent="0.35">
      <c r="A1088" s="46">
        <f t="shared" si="272"/>
        <v>46153.018718171297</v>
      </c>
      <c r="B1088" s="46"/>
      <c r="C1088" s="260"/>
      <c r="D1088" s="46"/>
      <c r="E1088" s="47" t="s">
        <v>1872</v>
      </c>
      <c r="F1088" s="97" t="s">
        <v>5744</v>
      </c>
      <c r="G1088" s="97"/>
      <c r="H1088" s="59" t="s">
        <v>5745</v>
      </c>
      <c r="I1088" s="697" t="s">
        <v>4387</v>
      </c>
      <c r="J1088" s="100" t="s">
        <v>140</v>
      </c>
      <c r="K1088" s="52">
        <v>0</v>
      </c>
      <c r="L1088" s="52">
        <v>0</v>
      </c>
      <c r="M1088" s="53">
        <v>45</v>
      </c>
      <c r="N1088" s="53">
        <v>500</v>
      </c>
      <c r="O1088" s="53">
        <v>1</v>
      </c>
      <c r="P1088" s="53">
        <f t="shared" si="279"/>
        <v>500</v>
      </c>
      <c r="Q1088" s="53"/>
      <c r="R1088" s="53">
        <v>500</v>
      </c>
      <c r="S1088" s="53">
        <f t="shared" si="280"/>
        <v>0</v>
      </c>
      <c r="T1088" s="83">
        <f t="shared" si="281"/>
        <v>1920</v>
      </c>
      <c r="U1088" s="84">
        <f t="shared" si="282"/>
        <v>0</v>
      </c>
      <c r="V1088" s="84">
        <f t="shared" si="283"/>
        <v>0</v>
      </c>
      <c r="W1088" s="84">
        <v>0</v>
      </c>
      <c r="X1088" s="55">
        <f t="shared" si="271"/>
        <v>46153.018718171297</v>
      </c>
    </row>
    <row r="1089" spans="1:24" hidden="1" x14ac:dyDescent="0.35">
      <c r="A1089" s="46">
        <f t="shared" si="272"/>
        <v>46153.018718171297</v>
      </c>
      <c r="B1089" s="46"/>
      <c r="C1089" s="260"/>
      <c r="D1089" s="46"/>
      <c r="E1089" s="47" t="s">
        <v>4999</v>
      </c>
      <c r="F1089" s="82" t="s">
        <v>1749</v>
      </c>
      <c r="G1089" s="82"/>
      <c r="H1089" s="49" t="s">
        <v>5746</v>
      </c>
      <c r="I1089" s="82" t="s">
        <v>5690</v>
      </c>
      <c r="J1089" s="100" t="s">
        <v>140</v>
      </c>
      <c r="K1089" s="52">
        <v>0</v>
      </c>
      <c r="L1089" s="52">
        <v>0</v>
      </c>
      <c r="M1089" s="53">
        <v>45</v>
      </c>
      <c r="N1089" s="53">
        <v>1000</v>
      </c>
      <c r="O1089" s="53">
        <v>2</v>
      </c>
      <c r="P1089" s="53">
        <f t="shared" si="279"/>
        <v>500</v>
      </c>
      <c r="Q1089" s="53"/>
      <c r="R1089" s="53">
        <v>500</v>
      </c>
      <c r="S1089" s="53">
        <f t="shared" si="280"/>
        <v>0</v>
      </c>
      <c r="T1089" s="83">
        <f t="shared" si="281"/>
        <v>3840</v>
      </c>
      <c r="U1089" s="84">
        <f t="shared" si="282"/>
        <v>0</v>
      </c>
      <c r="V1089" s="84">
        <f t="shared" si="283"/>
        <v>0</v>
      </c>
      <c r="W1089" s="84">
        <v>0</v>
      </c>
      <c r="X1089" s="55">
        <f t="shared" si="271"/>
        <v>46153.018718171297</v>
      </c>
    </row>
    <row r="1090" spans="1:24" hidden="1" x14ac:dyDescent="0.35">
      <c r="A1090" s="46">
        <f t="shared" si="272"/>
        <v>46153.018718171297</v>
      </c>
      <c r="B1090" s="46"/>
      <c r="C1090" s="260"/>
      <c r="D1090" s="46"/>
      <c r="E1090" s="47" t="s">
        <v>4999</v>
      </c>
      <c r="F1090" s="82" t="s">
        <v>5747</v>
      </c>
      <c r="G1090" s="82"/>
      <c r="H1090" s="49" t="s">
        <v>5748</v>
      </c>
      <c r="I1090" s="82" t="s">
        <v>5690</v>
      </c>
      <c r="J1090" s="100" t="s">
        <v>140</v>
      </c>
      <c r="K1090" s="52">
        <v>0</v>
      </c>
      <c r="L1090" s="52">
        <v>0</v>
      </c>
      <c r="M1090" s="53">
        <v>45</v>
      </c>
      <c r="N1090" s="53">
        <v>1500</v>
      </c>
      <c r="O1090" s="53">
        <v>2</v>
      </c>
      <c r="P1090" s="53">
        <f t="shared" si="279"/>
        <v>750</v>
      </c>
      <c r="Q1090" s="53"/>
      <c r="R1090" s="53">
        <v>750</v>
      </c>
      <c r="S1090" s="53">
        <f t="shared" si="280"/>
        <v>0</v>
      </c>
      <c r="T1090" s="83">
        <f t="shared" si="281"/>
        <v>3840</v>
      </c>
      <c r="U1090" s="84">
        <f t="shared" si="282"/>
        <v>0</v>
      </c>
      <c r="V1090" s="84">
        <f t="shared" si="283"/>
        <v>0</v>
      </c>
      <c r="W1090" s="84">
        <v>0</v>
      </c>
      <c r="X1090" s="55">
        <f t="shared" si="271"/>
        <v>46153.018718171297</v>
      </c>
    </row>
    <row r="1091" spans="1:24" hidden="1" x14ac:dyDescent="0.35">
      <c r="A1091" s="46">
        <f t="shared" si="272"/>
        <v>46153.018718171297</v>
      </c>
      <c r="B1091" s="46"/>
      <c r="C1091" s="260"/>
      <c r="D1091" s="46"/>
      <c r="E1091" s="296" t="s">
        <v>1872</v>
      </c>
      <c r="F1091" s="366" t="s">
        <v>14</v>
      </c>
      <c r="G1091" s="366"/>
      <c r="H1091" s="366" t="s">
        <v>14</v>
      </c>
      <c r="I1091" s="874" t="s">
        <v>4324</v>
      </c>
      <c r="J1091" s="300" t="s">
        <v>140</v>
      </c>
      <c r="K1091" s="399">
        <v>0.25</v>
      </c>
      <c r="L1091" s="399">
        <v>0.2</v>
      </c>
      <c r="M1091" s="400">
        <v>120</v>
      </c>
      <c r="N1091" s="400">
        <v>50</v>
      </c>
      <c r="O1091" s="400">
        <v>1</v>
      </c>
      <c r="P1091" s="400">
        <f t="shared" si="279"/>
        <v>50</v>
      </c>
      <c r="Q1091" s="400"/>
      <c r="R1091" s="400"/>
      <c r="S1091" s="400">
        <f t="shared" si="280"/>
        <v>50</v>
      </c>
      <c r="T1091" s="579">
        <f t="shared" si="281"/>
        <v>720</v>
      </c>
      <c r="U1091" s="583">
        <f t="shared" si="282"/>
        <v>1.6666666666666667</v>
      </c>
      <c r="V1091" s="583">
        <f t="shared" si="283"/>
        <v>6.9444444444444448E-2</v>
      </c>
      <c r="W1091" s="583">
        <v>0</v>
      </c>
      <c r="X1091" s="55">
        <f t="shared" si="271"/>
        <v>46153.53816261574</v>
      </c>
    </row>
    <row r="1092" spans="1:24" ht="29" hidden="1" x14ac:dyDescent="0.35">
      <c r="A1092" s="46">
        <f t="shared" si="272"/>
        <v>46153.53816261574</v>
      </c>
      <c r="B1092" s="46"/>
      <c r="C1092" s="260"/>
      <c r="D1092" s="46"/>
      <c r="E1092" s="47" t="s">
        <v>1872</v>
      </c>
      <c r="F1092" s="57" t="s">
        <v>165</v>
      </c>
      <c r="G1092" s="57"/>
      <c r="H1092" s="108">
        <v>10739</v>
      </c>
      <c r="I1092" s="855" t="s">
        <v>4324</v>
      </c>
      <c r="J1092" s="100" t="s">
        <v>140</v>
      </c>
      <c r="K1092" s="52">
        <v>0</v>
      </c>
      <c r="L1092" s="52">
        <v>0</v>
      </c>
      <c r="M1092" s="53">
        <v>120</v>
      </c>
      <c r="N1092" s="53">
        <v>2000</v>
      </c>
      <c r="O1092" s="53">
        <v>1</v>
      </c>
      <c r="P1092" s="53">
        <f t="shared" si="279"/>
        <v>2000</v>
      </c>
      <c r="Q1092" s="53"/>
      <c r="R1092" s="53">
        <v>2000</v>
      </c>
      <c r="S1092" s="53">
        <f t="shared" si="280"/>
        <v>0</v>
      </c>
      <c r="T1092" s="83">
        <f t="shared" si="281"/>
        <v>720</v>
      </c>
      <c r="U1092" s="84">
        <f t="shared" si="282"/>
        <v>0</v>
      </c>
      <c r="V1092" s="84">
        <f t="shared" si="283"/>
        <v>0</v>
      </c>
      <c r="W1092" s="84">
        <v>0</v>
      </c>
      <c r="X1092" s="55">
        <f t="shared" si="271"/>
        <v>46153.53816261574</v>
      </c>
    </row>
    <row r="1093" spans="1:24" ht="29" hidden="1" x14ac:dyDescent="0.35">
      <c r="A1093" s="46">
        <f t="shared" si="272"/>
        <v>46153.53816261574</v>
      </c>
      <c r="B1093" s="46"/>
      <c r="C1093" s="260"/>
      <c r="D1093" s="46"/>
      <c r="E1093" s="47" t="s">
        <v>1872</v>
      </c>
      <c r="F1093" s="57" t="s">
        <v>165</v>
      </c>
      <c r="G1093" s="57"/>
      <c r="H1093" s="108">
        <v>10739</v>
      </c>
      <c r="I1093" s="855" t="s">
        <v>4324</v>
      </c>
      <c r="J1093" s="100" t="s">
        <v>140</v>
      </c>
      <c r="K1093" s="52">
        <v>0</v>
      </c>
      <c r="L1093" s="52">
        <v>0</v>
      </c>
      <c r="M1093" s="53">
        <v>120</v>
      </c>
      <c r="N1093" s="53">
        <v>8000</v>
      </c>
      <c r="O1093" s="53">
        <v>1</v>
      </c>
      <c r="P1093" s="53">
        <f t="shared" si="279"/>
        <v>8000</v>
      </c>
      <c r="Q1093" s="53"/>
      <c r="R1093" s="53">
        <v>8000</v>
      </c>
      <c r="S1093" s="53">
        <f t="shared" si="280"/>
        <v>0</v>
      </c>
      <c r="T1093" s="83">
        <f t="shared" si="281"/>
        <v>720</v>
      </c>
      <c r="U1093" s="84">
        <f t="shared" si="282"/>
        <v>0</v>
      </c>
      <c r="V1093" s="84">
        <f t="shared" si="283"/>
        <v>0</v>
      </c>
      <c r="W1093" s="84">
        <v>0</v>
      </c>
      <c r="X1093" s="55">
        <f t="shared" si="271"/>
        <v>46153.53816261574</v>
      </c>
    </row>
    <row r="1094" spans="1:24" s="543" customFormat="1" hidden="1" x14ac:dyDescent="0.35">
      <c r="A1094" s="46">
        <f t="shared" si="272"/>
        <v>46153.53816261574</v>
      </c>
      <c r="B1094" s="46"/>
      <c r="C1094" s="260"/>
      <c r="D1094" s="46"/>
      <c r="E1094" s="47" t="s">
        <v>1872</v>
      </c>
      <c r="F1094" s="97" t="s">
        <v>4563</v>
      </c>
      <c r="G1094" s="97"/>
      <c r="H1094" s="49" t="s">
        <v>5749</v>
      </c>
      <c r="I1094" s="220" t="s">
        <v>5690</v>
      </c>
      <c r="J1094" s="51" t="s">
        <v>140</v>
      </c>
      <c r="K1094" s="52">
        <v>0</v>
      </c>
      <c r="L1094" s="52">
        <v>0</v>
      </c>
      <c r="M1094" s="53">
        <v>45</v>
      </c>
      <c r="N1094" s="53">
        <v>2500</v>
      </c>
      <c r="O1094" s="53">
        <v>2</v>
      </c>
      <c r="P1094" s="53">
        <f t="shared" si="279"/>
        <v>1250</v>
      </c>
      <c r="Q1094" s="53"/>
      <c r="R1094" s="53">
        <v>1250</v>
      </c>
      <c r="S1094" s="53">
        <f t="shared" si="280"/>
        <v>0</v>
      </c>
      <c r="T1094" s="53">
        <f t="shared" si="281"/>
        <v>3840</v>
      </c>
      <c r="U1094" s="52">
        <f t="shared" si="282"/>
        <v>0</v>
      </c>
      <c r="V1094" s="52">
        <f t="shared" si="283"/>
        <v>0</v>
      </c>
      <c r="W1094" s="52">
        <v>0</v>
      </c>
      <c r="X1094" s="55">
        <f t="shared" si="271"/>
        <v>46153.53816261574</v>
      </c>
    </row>
    <row r="1095" spans="1:24" s="543" customFormat="1" ht="26.5" hidden="1" x14ac:dyDescent="0.35">
      <c r="A1095" s="46">
        <f t="shared" si="272"/>
        <v>46153.53816261574</v>
      </c>
      <c r="B1095" s="46"/>
      <c r="C1095" s="260"/>
      <c r="D1095" s="46"/>
      <c r="E1095" s="47" t="s">
        <v>1872</v>
      </c>
      <c r="F1095" s="97" t="s">
        <v>165</v>
      </c>
      <c r="G1095" s="97"/>
      <c r="H1095" s="49" t="s">
        <v>5750</v>
      </c>
      <c r="I1095" s="220" t="s">
        <v>5690</v>
      </c>
      <c r="J1095" s="51" t="s">
        <v>140</v>
      </c>
      <c r="K1095" s="52">
        <v>0</v>
      </c>
      <c r="L1095" s="52">
        <v>0</v>
      </c>
      <c r="M1095" s="53">
        <v>45</v>
      </c>
      <c r="N1095" s="53">
        <v>10800</v>
      </c>
      <c r="O1095" s="53">
        <v>2</v>
      </c>
      <c r="P1095" s="53">
        <f t="shared" si="279"/>
        <v>5400</v>
      </c>
      <c r="Q1095" s="53"/>
      <c r="R1095" s="53">
        <v>5400</v>
      </c>
      <c r="S1095" s="53">
        <f t="shared" si="280"/>
        <v>0</v>
      </c>
      <c r="T1095" s="53">
        <f t="shared" si="281"/>
        <v>3840</v>
      </c>
      <c r="U1095" s="52">
        <f t="shared" si="282"/>
        <v>0</v>
      </c>
      <c r="V1095" s="52">
        <f t="shared" si="283"/>
        <v>0</v>
      </c>
      <c r="W1095" s="52">
        <v>0</v>
      </c>
      <c r="X1095" s="55">
        <f t="shared" si="271"/>
        <v>46153.53816261574</v>
      </c>
    </row>
    <row r="1096" spans="1:24" hidden="1" x14ac:dyDescent="0.35">
      <c r="A1096" s="46">
        <f t="shared" si="272"/>
        <v>46153.53816261574</v>
      </c>
      <c r="B1096" s="46"/>
      <c r="C1096" s="260"/>
      <c r="D1096" s="46"/>
      <c r="E1096" s="47" t="s">
        <v>1872</v>
      </c>
      <c r="F1096" s="82" t="s">
        <v>271</v>
      </c>
      <c r="G1096" s="82"/>
      <c r="H1096" s="107" t="s">
        <v>5751</v>
      </c>
      <c r="I1096" s="106" t="s">
        <v>4305</v>
      </c>
      <c r="J1096" s="51" t="s">
        <v>140</v>
      </c>
      <c r="K1096" s="91">
        <v>0</v>
      </c>
      <c r="L1096" s="91">
        <v>0</v>
      </c>
      <c r="M1096" s="92">
        <v>50</v>
      </c>
      <c r="N1096" s="92">
        <v>1000</v>
      </c>
      <c r="O1096" s="92">
        <v>1</v>
      </c>
      <c r="P1096" s="92">
        <f t="shared" si="279"/>
        <v>1000</v>
      </c>
      <c r="Q1096" s="92"/>
      <c r="R1096" s="92">
        <v>1000</v>
      </c>
      <c r="S1096" s="92">
        <f t="shared" si="280"/>
        <v>0</v>
      </c>
      <c r="T1096" s="92">
        <f t="shared" si="281"/>
        <v>1728</v>
      </c>
      <c r="U1096" s="91">
        <f t="shared" si="282"/>
        <v>0</v>
      </c>
      <c r="V1096" s="91">
        <f t="shared" si="283"/>
        <v>0</v>
      </c>
      <c r="W1096" s="91">
        <v>0</v>
      </c>
      <c r="X1096" s="55">
        <f t="shared" si="271"/>
        <v>46153.53816261574</v>
      </c>
    </row>
    <row r="1097" spans="1:24" hidden="1" x14ac:dyDescent="0.35">
      <c r="A1097" s="46">
        <f t="shared" si="272"/>
        <v>46153.53816261574</v>
      </c>
      <c r="B1097" s="46"/>
      <c r="C1097" s="260"/>
      <c r="D1097" s="46"/>
      <c r="E1097" s="47" t="s">
        <v>1872</v>
      </c>
      <c r="F1097" s="97" t="s">
        <v>5430</v>
      </c>
      <c r="G1097" s="97"/>
      <c r="H1097" s="107" t="s">
        <v>5752</v>
      </c>
      <c r="I1097" s="697" t="s">
        <v>4387</v>
      </c>
      <c r="J1097" s="100" t="s">
        <v>140</v>
      </c>
      <c r="K1097" s="91">
        <v>0</v>
      </c>
      <c r="L1097" s="91">
        <v>0</v>
      </c>
      <c r="M1097" s="92">
        <v>45</v>
      </c>
      <c r="N1097" s="92">
        <v>3500</v>
      </c>
      <c r="O1097" s="92">
        <v>1</v>
      </c>
      <c r="P1097" s="92">
        <f t="shared" si="279"/>
        <v>3500</v>
      </c>
      <c r="Q1097" s="92"/>
      <c r="R1097" s="92">
        <v>3500</v>
      </c>
      <c r="S1097" s="92">
        <f t="shared" si="280"/>
        <v>0</v>
      </c>
      <c r="T1097" s="102">
        <f t="shared" si="281"/>
        <v>1920</v>
      </c>
      <c r="U1097" s="101">
        <f t="shared" si="282"/>
        <v>0</v>
      </c>
      <c r="V1097" s="101">
        <f t="shared" si="283"/>
        <v>0</v>
      </c>
      <c r="W1097" s="101">
        <v>0</v>
      </c>
      <c r="X1097" s="55">
        <f t="shared" si="271"/>
        <v>46153.53816261574</v>
      </c>
    </row>
    <row r="1098" spans="1:24" hidden="1" x14ac:dyDescent="0.35">
      <c r="A1098" s="46">
        <f t="shared" si="272"/>
        <v>46153.53816261574</v>
      </c>
      <c r="B1098" s="46"/>
      <c r="C1098" s="260"/>
      <c r="D1098" s="46"/>
      <c r="E1098" s="296" t="s">
        <v>1872</v>
      </c>
      <c r="F1098" s="1014" t="s">
        <v>14</v>
      </c>
      <c r="G1098" s="1014"/>
      <c r="H1098" s="1014" t="s">
        <v>14</v>
      </c>
      <c r="I1098" s="366" t="s">
        <v>5753</v>
      </c>
      <c r="J1098" s="300" t="s">
        <v>140</v>
      </c>
      <c r="K1098" s="301">
        <v>0</v>
      </c>
      <c r="L1098" s="301">
        <v>0</v>
      </c>
      <c r="M1098" s="302">
        <v>50</v>
      </c>
      <c r="N1098" s="302">
        <v>258</v>
      </c>
      <c r="O1098" s="302">
        <v>6</v>
      </c>
      <c r="P1098" s="353">
        <f t="shared" si="279"/>
        <v>43</v>
      </c>
      <c r="Q1098" s="353"/>
      <c r="R1098" s="302">
        <v>43</v>
      </c>
      <c r="S1098" s="302">
        <f t="shared" si="280"/>
        <v>0</v>
      </c>
      <c r="T1098" s="302">
        <f t="shared" si="281"/>
        <v>10368</v>
      </c>
      <c r="U1098" s="301">
        <f t="shared" si="282"/>
        <v>0</v>
      </c>
      <c r="V1098" s="301">
        <f t="shared" si="283"/>
        <v>0</v>
      </c>
      <c r="W1098" s="301">
        <v>0</v>
      </c>
      <c r="X1098" s="55">
        <f t="shared" si="271"/>
        <v>46153.53816261574</v>
      </c>
    </row>
    <row r="1099" spans="1:24" hidden="1" x14ac:dyDescent="0.35">
      <c r="A1099" s="46">
        <f t="shared" si="272"/>
        <v>46153.53816261574</v>
      </c>
      <c r="B1099" s="46"/>
      <c r="C1099" s="260"/>
      <c r="D1099" s="46"/>
      <c r="E1099" s="47" t="s">
        <v>1872</v>
      </c>
      <c r="F1099" s="99" t="s">
        <v>5754</v>
      </c>
      <c r="G1099" s="99"/>
      <c r="H1099" s="98" t="s">
        <v>5755</v>
      </c>
      <c r="I1099" s="97" t="s">
        <v>5708</v>
      </c>
      <c r="J1099" s="100" t="s">
        <v>140</v>
      </c>
      <c r="K1099" s="101">
        <v>0</v>
      </c>
      <c r="L1099" s="101">
        <v>0</v>
      </c>
      <c r="M1099" s="102">
        <v>260</v>
      </c>
      <c r="N1099" s="102">
        <v>540</v>
      </c>
      <c r="O1099" s="102">
        <v>1</v>
      </c>
      <c r="P1099" s="92">
        <f t="shared" si="279"/>
        <v>540</v>
      </c>
      <c r="Q1099" s="92"/>
      <c r="R1099" s="102">
        <v>540</v>
      </c>
      <c r="S1099" s="102">
        <f t="shared" si="280"/>
        <v>0</v>
      </c>
      <c r="T1099" s="102">
        <f t="shared" si="281"/>
        <v>332.30769230769232</v>
      </c>
      <c r="U1099" s="101">
        <f t="shared" si="282"/>
        <v>0</v>
      </c>
      <c r="V1099" s="101">
        <f t="shared" si="283"/>
        <v>0</v>
      </c>
      <c r="W1099" s="101">
        <v>0</v>
      </c>
      <c r="X1099" s="55">
        <f t="shared" si="271"/>
        <v>46153.53816261574</v>
      </c>
    </row>
    <row r="1100" spans="1:24" hidden="1" x14ac:dyDescent="0.35">
      <c r="A1100" s="46">
        <f t="shared" si="272"/>
        <v>46153.53816261574</v>
      </c>
      <c r="B1100" s="46"/>
      <c r="C1100" s="260"/>
      <c r="D1100" s="46"/>
      <c r="E1100" s="47" t="s">
        <v>1872</v>
      </c>
      <c r="F1100" s="82" t="s">
        <v>4744</v>
      </c>
      <c r="G1100" s="82"/>
      <c r="H1100" s="98" t="s">
        <v>5756</v>
      </c>
      <c r="I1100" s="97" t="s">
        <v>5708</v>
      </c>
      <c r="J1100" s="100" t="s">
        <v>140</v>
      </c>
      <c r="K1100" s="101">
        <v>0</v>
      </c>
      <c r="L1100" s="101">
        <v>0</v>
      </c>
      <c r="M1100" s="102">
        <v>260</v>
      </c>
      <c r="N1100" s="102">
        <v>600</v>
      </c>
      <c r="O1100" s="102">
        <v>1</v>
      </c>
      <c r="P1100" s="92">
        <f t="shared" si="279"/>
        <v>600</v>
      </c>
      <c r="Q1100" s="92"/>
      <c r="R1100" s="102">
        <v>600</v>
      </c>
      <c r="S1100" s="102">
        <f t="shared" si="280"/>
        <v>0</v>
      </c>
      <c r="T1100" s="102">
        <f t="shared" si="281"/>
        <v>332.30769230769232</v>
      </c>
      <c r="U1100" s="101">
        <f t="shared" si="282"/>
        <v>0</v>
      </c>
      <c r="V1100" s="101">
        <f t="shared" si="283"/>
        <v>0</v>
      </c>
      <c r="W1100" s="101">
        <v>0</v>
      </c>
      <c r="X1100" s="55">
        <f t="shared" si="271"/>
        <v>46153.53816261574</v>
      </c>
    </row>
    <row r="1101" spans="1:24" ht="26.5" hidden="1" x14ac:dyDescent="0.35">
      <c r="A1101" s="46">
        <f t="shared" si="272"/>
        <v>46153.53816261574</v>
      </c>
      <c r="B1101" s="46"/>
      <c r="C1101" s="260"/>
      <c r="D1101" s="46"/>
      <c r="E1101" s="47" t="s">
        <v>1872</v>
      </c>
      <c r="F1101" s="82" t="s">
        <v>501</v>
      </c>
      <c r="G1101" s="82"/>
      <c r="H1101" s="98" t="s">
        <v>5757</v>
      </c>
      <c r="I1101" s="97" t="s">
        <v>5708</v>
      </c>
      <c r="J1101" s="100" t="s">
        <v>140</v>
      </c>
      <c r="K1101" s="101">
        <v>0</v>
      </c>
      <c r="L1101" s="101">
        <v>0</v>
      </c>
      <c r="M1101" s="102">
        <v>260</v>
      </c>
      <c r="N1101" s="102">
        <v>300</v>
      </c>
      <c r="O1101" s="102">
        <v>1</v>
      </c>
      <c r="P1101" s="92">
        <f t="shared" si="279"/>
        <v>300</v>
      </c>
      <c r="Q1101" s="92"/>
      <c r="R1101" s="102">
        <v>300</v>
      </c>
      <c r="S1101" s="102">
        <f t="shared" si="280"/>
        <v>0</v>
      </c>
      <c r="T1101" s="102">
        <f t="shared" si="281"/>
        <v>332.30769230769232</v>
      </c>
      <c r="U1101" s="101">
        <f t="shared" si="282"/>
        <v>0</v>
      </c>
      <c r="V1101" s="101">
        <f t="shared" si="283"/>
        <v>0</v>
      </c>
      <c r="W1101" s="101">
        <v>0</v>
      </c>
      <c r="X1101" s="55">
        <f t="shared" si="271"/>
        <v>46153.53816261574</v>
      </c>
    </row>
    <row r="1102" spans="1:24" hidden="1" x14ac:dyDescent="0.35">
      <c r="A1102" s="46">
        <f t="shared" si="272"/>
        <v>46153.53816261574</v>
      </c>
      <c r="B1102" s="46"/>
      <c r="C1102" s="260"/>
      <c r="D1102" s="46"/>
      <c r="E1102" s="47" t="s">
        <v>1872</v>
      </c>
      <c r="F1102" s="97" t="s">
        <v>1166</v>
      </c>
      <c r="G1102" s="97"/>
      <c r="H1102" s="98" t="s">
        <v>5758</v>
      </c>
      <c r="I1102" s="220" t="s">
        <v>5690</v>
      </c>
      <c r="J1102" s="51" t="s">
        <v>140</v>
      </c>
      <c r="K1102" s="91">
        <v>0</v>
      </c>
      <c r="L1102" s="91">
        <v>0</v>
      </c>
      <c r="M1102" s="92">
        <v>45</v>
      </c>
      <c r="N1102" s="92">
        <v>10800</v>
      </c>
      <c r="O1102" s="92">
        <v>2</v>
      </c>
      <c r="P1102" s="92">
        <f t="shared" si="279"/>
        <v>5400</v>
      </c>
      <c r="Q1102" s="92"/>
      <c r="R1102" s="92">
        <v>5400</v>
      </c>
      <c r="S1102" s="92">
        <f t="shared" si="280"/>
        <v>0</v>
      </c>
      <c r="T1102" s="92">
        <f t="shared" si="281"/>
        <v>3840</v>
      </c>
      <c r="U1102" s="91">
        <f t="shared" si="282"/>
        <v>0</v>
      </c>
      <c r="V1102" s="91">
        <f t="shared" si="283"/>
        <v>0</v>
      </c>
      <c r="W1102" s="91">
        <v>0</v>
      </c>
      <c r="X1102" s="55">
        <f t="shared" si="271"/>
        <v>46153.53816261574</v>
      </c>
    </row>
    <row r="1103" spans="1:24" hidden="1" x14ac:dyDescent="0.35">
      <c r="A1103" s="46">
        <f t="shared" si="272"/>
        <v>46153.53816261574</v>
      </c>
      <c r="B1103" s="46"/>
      <c r="C1103" s="260"/>
      <c r="D1103" s="46"/>
      <c r="E1103" s="47" t="s">
        <v>1872</v>
      </c>
      <c r="F1103" s="97" t="s">
        <v>1517</v>
      </c>
      <c r="G1103" s="97"/>
      <c r="H1103" s="98" t="s">
        <v>5759</v>
      </c>
      <c r="I1103" s="220" t="s">
        <v>5690</v>
      </c>
      <c r="J1103" s="51" t="s">
        <v>140</v>
      </c>
      <c r="K1103" s="91">
        <v>0</v>
      </c>
      <c r="L1103" s="91">
        <v>0</v>
      </c>
      <c r="M1103" s="92">
        <v>45</v>
      </c>
      <c r="N1103" s="92">
        <v>10800</v>
      </c>
      <c r="O1103" s="92">
        <v>2</v>
      </c>
      <c r="P1103" s="92">
        <f t="shared" si="279"/>
        <v>5400</v>
      </c>
      <c r="Q1103" s="92"/>
      <c r="R1103" s="92">
        <v>5400</v>
      </c>
      <c r="S1103" s="92">
        <f t="shared" si="280"/>
        <v>0</v>
      </c>
      <c r="T1103" s="92">
        <f t="shared" si="281"/>
        <v>3840</v>
      </c>
      <c r="U1103" s="91">
        <f t="shared" si="282"/>
        <v>0</v>
      </c>
      <c r="V1103" s="91">
        <f t="shared" si="283"/>
        <v>0</v>
      </c>
      <c r="W1103" s="91">
        <v>0</v>
      </c>
      <c r="X1103" s="55">
        <f t="shared" si="271"/>
        <v>46153.53816261574</v>
      </c>
    </row>
    <row r="1104" spans="1:24" hidden="1" x14ac:dyDescent="0.35">
      <c r="A1104" s="46">
        <f t="shared" si="272"/>
        <v>46153.53816261574</v>
      </c>
      <c r="B1104" s="46"/>
      <c r="C1104" s="260"/>
      <c r="D1104" s="46"/>
      <c r="E1104" s="47" t="s">
        <v>1872</v>
      </c>
      <c r="F1104" s="97" t="s">
        <v>636</v>
      </c>
      <c r="G1104" s="97"/>
      <c r="H1104" s="98" t="s">
        <v>5760</v>
      </c>
      <c r="I1104" s="82" t="s">
        <v>4292</v>
      </c>
      <c r="J1104" s="100" t="s">
        <v>140</v>
      </c>
      <c r="K1104" s="91">
        <v>0</v>
      </c>
      <c r="L1104" s="91">
        <v>0</v>
      </c>
      <c r="M1104" s="92">
        <v>45</v>
      </c>
      <c r="N1104" s="92">
        <v>12600</v>
      </c>
      <c r="O1104" s="92">
        <v>2</v>
      </c>
      <c r="P1104" s="92">
        <f t="shared" si="279"/>
        <v>6300</v>
      </c>
      <c r="Q1104" s="92"/>
      <c r="R1104" s="92">
        <v>6300</v>
      </c>
      <c r="S1104" s="92">
        <f t="shared" si="280"/>
        <v>0</v>
      </c>
      <c r="T1104" s="102">
        <f t="shared" si="281"/>
        <v>3840</v>
      </c>
      <c r="U1104" s="101">
        <f t="shared" si="282"/>
        <v>0</v>
      </c>
      <c r="V1104" s="101">
        <f t="shared" si="283"/>
        <v>0</v>
      </c>
      <c r="W1104" s="101">
        <v>0</v>
      </c>
      <c r="X1104" s="55">
        <f t="shared" si="271"/>
        <v>46153.53816261574</v>
      </c>
    </row>
    <row r="1105" spans="1:24" hidden="1" x14ac:dyDescent="0.35">
      <c r="A1105" s="46">
        <f t="shared" si="272"/>
        <v>46153.53816261574</v>
      </c>
      <c r="B1105" s="46"/>
      <c r="C1105" s="260"/>
      <c r="D1105" s="46"/>
      <c r="E1105" s="47" t="s">
        <v>1872</v>
      </c>
      <c r="F1105" s="97" t="s">
        <v>5761</v>
      </c>
      <c r="G1105" s="97"/>
      <c r="H1105" s="107" t="s">
        <v>5762</v>
      </c>
      <c r="I1105" s="697" t="s">
        <v>5763</v>
      </c>
      <c r="J1105" s="100" t="s">
        <v>140</v>
      </c>
      <c r="K1105" s="91">
        <v>0</v>
      </c>
      <c r="L1105" s="91">
        <v>0</v>
      </c>
      <c r="M1105" s="92">
        <v>45</v>
      </c>
      <c r="N1105" s="92">
        <v>500</v>
      </c>
      <c r="O1105" s="92">
        <v>1</v>
      </c>
      <c r="P1105" s="92">
        <f t="shared" si="279"/>
        <v>500</v>
      </c>
      <c r="Q1105" s="92"/>
      <c r="R1105" s="92">
        <v>500</v>
      </c>
      <c r="S1105" s="92">
        <f t="shared" si="280"/>
        <v>0</v>
      </c>
      <c r="T1105" s="102">
        <f t="shared" si="281"/>
        <v>1920</v>
      </c>
      <c r="U1105" s="101">
        <f t="shared" si="282"/>
        <v>0</v>
      </c>
      <c r="V1105" s="101">
        <f t="shared" si="283"/>
        <v>0</v>
      </c>
      <c r="W1105" s="101">
        <v>0</v>
      </c>
      <c r="X1105" s="55">
        <f t="shared" si="271"/>
        <v>46153.53816261574</v>
      </c>
    </row>
    <row r="1106" spans="1:24" hidden="1" x14ac:dyDescent="0.35">
      <c r="A1106" s="46">
        <f t="shared" si="272"/>
        <v>46153.53816261574</v>
      </c>
      <c r="B1106" s="46"/>
      <c r="C1106" s="260"/>
      <c r="D1106" s="46"/>
      <c r="E1106" s="47" t="s">
        <v>1872</v>
      </c>
      <c r="F1106" s="82" t="s">
        <v>1160</v>
      </c>
      <c r="G1106" s="82"/>
      <c r="H1106" s="107" t="s">
        <v>5764</v>
      </c>
      <c r="I1106" s="82" t="s">
        <v>1864</v>
      </c>
      <c r="J1106" s="100" t="s">
        <v>140</v>
      </c>
      <c r="K1106" s="91">
        <v>0</v>
      </c>
      <c r="L1106" s="91">
        <v>0</v>
      </c>
      <c r="M1106" s="92">
        <v>90</v>
      </c>
      <c r="N1106" s="92">
        <v>9000</v>
      </c>
      <c r="O1106" s="92">
        <v>2</v>
      </c>
      <c r="P1106" s="92">
        <f t="shared" si="279"/>
        <v>4500</v>
      </c>
      <c r="Q1106" s="92"/>
      <c r="R1106" s="102">
        <v>4500</v>
      </c>
      <c r="S1106" s="92">
        <f t="shared" si="280"/>
        <v>0</v>
      </c>
      <c r="T1106" s="102">
        <f t="shared" si="281"/>
        <v>1920</v>
      </c>
      <c r="U1106" s="101">
        <f t="shared" si="282"/>
        <v>0</v>
      </c>
      <c r="V1106" s="101">
        <f t="shared" si="283"/>
        <v>0</v>
      </c>
      <c r="W1106" s="101">
        <v>0</v>
      </c>
      <c r="X1106" s="55">
        <f t="shared" si="271"/>
        <v>46153.53816261574</v>
      </c>
    </row>
    <row r="1107" spans="1:24" hidden="1" x14ac:dyDescent="0.35">
      <c r="A1107" s="46">
        <f t="shared" si="272"/>
        <v>46153.53816261574</v>
      </c>
      <c r="B1107" s="46"/>
      <c r="C1107" s="260"/>
      <c r="D1107" s="46"/>
      <c r="E1107" s="47" t="s">
        <v>1872</v>
      </c>
      <c r="F1107" s="57" t="s">
        <v>633</v>
      </c>
      <c r="G1107" s="57"/>
      <c r="H1107" s="108">
        <v>11286</v>
      </c>
      <c r="I1107" s="855" t="s">
        <v>4324</v>
      </c>
      <c r="J1107" s="100" t="s">
        <v>140</v>
      </c>
      <c r="K1107" s="52">
        <v>0</v>
      </c>
      <c r="L1107" s="52">
        <v>0</v>
      </c>
      <c r="M1107" s="53">
        <v>120</v>
      </c>
      <c r="N1107" s="53">
        <v>6000</v>
      </c>
      <c r="O1107" s="53">
        <v>1</v>
      </c>
      <c r="P1107" s="53">
        <f t="shared" si="279"/>
        <v>6000</v>
      </c>
      <c r="Q1107" s="53"/>
      <c r="R1107" s="53">
        <v>6000</v>
      </c>
      <c r="S1107" s="53">
        <f t="shared" si="280"/>
        <v>0</v>
      </c>
      <c r="T1107" s="83">
        <f t="shared" si="281"/>
        <v>720</v>
      </c>
      <c r="U1107" s="84">
        <f t="shared" si="282"/>
        <v>0</v>
      </c>
      <c r="V1107" s="84">
        <f t="shared" si="283"/>
        <v>0</v>
      </c>
      <c r="W1107" s="84">
        <v>0</v>
      </c>
      <c r="X1107" s="55">
        <f t="shared" si="271"/>
        <v>46153.53816261574</v>
      </c>
    </row>
    <row r="1108" spans="1:24" ht="26.5" hidden="1" x14ac:dyDescent="0.35">
      <c r="A1108" s="46">
        <f t="shared" si="272"/>
        <v>46153.53816261574</v>
      </c>
      <c r="B1108" s="46"/>
      <c r="C1108" s="260"/>
      <c r="D1108" s="46"/>
      <c r="E1108" s="47" t="s">
        <v>1872</v>
      </c>
      <c r="F1108" s="97" t="s">
        <v>1058</v>
      </c>
      <c r="G1108" s="97"/>
      <c r="H1108" s="98" t="s">
        <v>5765</v>
      </c>
      <c r="I1108" s="220" t="s">
        <v>5690</v>
      </c>
      <c r="J1108" s="51" t="s">
        <v>140</v>
      </c>
      <c r="K1108" s="91">
        <v>0</v>
      </c>
      <c r="L1108" s="91">
        <v>0</v>
      </c>
      <c r="M1108" s="92">
        <v>45</v>
      </c>
      <c r="N1108" s="92">
        <v>10800</v>
      </c>
      <c r="O1108" s="92">
        <v>2</v>
      </c>
      <c r="P1108" s="92">
        <f t="shared" si="279"/>
        <v>5400</v>
      </c>
      <c r="Q1108" s="92"/>
      <c r="R1108" s="92">
        <v>5400</v>
      </c>
      <c r="S1108" s="92">
        <f t="shared" si="280"/>
        <v>0</v>
      </c>
      <c r="T1108" s="92">
        <f t="shared" si="281"/>
        <v>3840</v>
      </c>
      <c r="U1108" s="91">
        <f t="shared" si="282"/>
        <v>0</v>
      </c>
      <c r="V1108" s="91">
        <f t="shared" si="283"/>
        <v>0</v>
      </c>
      <c r="W1108" s="91">
        <v>0</v>
      </c>
      <c r="X1108" s="55">
        <f t="shared" si="271"/>
        <v>46153.53816261574</v>
      </c>
    </row>
    <row r="1109" spans="1:24" hidden="1" x14ac:dyDescent="0.35">
      <c r="A1109" s="46">
        <f t="shared" si="272"/>
        <v>46153.53816261574</v>
      </c>
      <c r="B1109" s="46"/>
      <c r="C1109" s="260"/>
      <c r="D1109" s="46"/>
      <c r="E1109" s="47" t="s">
        <v>4540</v>
      </c>
      <c r="F1109" s="48" t="s">
        <v>5766</v>
      </c>
      <c r="G1109" s="48"/>
      <c r="H1109" s="49" t="s">
        <v>5767</v>
      </c>
      <c r="I1109" s="82" t="s">
        <v>4515</v>
      </c>
      <c r="J1109" s="100" t="s">
        <v>140</v>
      </c>
      <c r="K1109" s="52">
        <v>0</v>
      </c>
      <c r="L1109" s="52">
        <v>0</v>
      </c>
      <c r="M1109" s="53">
        <v>95</v>
      </c>
      <c r="N1109" s="53">
        <v>7000</v>
      </c>
      <c r="O1109" s="53">
        <v>2</v>
      </c>
      <c r="P1109" s="53">
        <f t="shared" si="279"/>
        <v>3500</v>
      </c>
      <c r="Q1109" s="53"/>
      <c r="R1109" s="53">
        <v>3500</v>
      </c>
      <c r="S1109" s="53">
        <f t="shared" si="280"/>
        <v>0</v>
      </c>
      <c r="T1109" s="83">
        <f t="shared" si="281"/>
        <v>1818.9473684210525</v>
      </c>
      <c r="U1109" s="84">
        <f t="shared" si="282"/>
        <v>0</v>
      </c>
      <c r="V1109" s="84">
        <f t="shared" si="283"/>
        <v>0</v>
      </c>
      <c r="W1109" s="84">
        <v>0</v>
      </c>
      <c r="X1109" s="55">
        <f t="shared" si="271"/>
        <v>46153.53816261574</v>
      </c>
    </row>
    <row r="1110" spans="1:24" hidden="1" x14ac:dyDescent="0.35">
      <c r="A1110" s="46">
        <f t="shared" si="272"/>
        <v>46153.53816261574</v>
      </c>
      <c r="B1110" s="46"/>
      <c r="C1110" s="260"/>
      <c r="D1110" s="46"/>
      <c r="E1110" s="47" t="s">
        <v>4540</v>
      </c>
      <c r="F1110" s="452" t="s">
        <v>1801</v>
      </c>
      <c r="G1110" s="452"/>
      <c r="H1110" s="452">
        <v>11593</v>
      </c>
      <c r="I1110" s="82" t="s">
        <v>1649</v>
      </c>
      <c r="J1110" s="51" t="s">
        <v>140</v>
      </c>
      <c r="K1110" s="91">
        <v>0</v>
      </c>
      <c r="L1110" s="91">
        <v>0</v>
      </c>
      <c r="M1110" s="92">
        <v>60</v>
      </c>
      <c r="N1110" s="92">
        <v>2520</v>
      </c>
      <c r="O1110" s="92">
        <v>1</v>
      </c>
      <c r="P1110" s="92">
        <f t="shared" si="279"/>
        <v>2520</v>
      </c>
      <c r="Q1110" s="92"/>
      <c r="R1110" s="92">
        <v>2520</v>
      </c>
      <c r="S1110" s="92">
        <f t="shared" si="280"/>
        <v>0</v>
      </c>
      <c r="T1110" s="92">
        <f t="shared" si="281"/>
        <v>1440</v>
      </c>
      <c r="U1110" s="91">
        <f t="shared" si="282"/>
        <v>0</v>
      </c>
      <c r="V1110" s="91">
        <f t="shared" si="283"/>
        <v>0</v>
      </c>
      <c r="W1110" s="91">
        <v>0</v>
      </c>
      <c r="X1110" s="55">
        <f t="shared" si="271"/>
        <v>46153.53816261574</v>
      </c>
    </row>
    <row r="1111" spans="1:24" hidden="1" x14ac:dyDescent="0.35">
      <c r="A1111" s="46">
        <f t="shared" si="272"/>
        <v>46153.53816261574</v>
      </c>
      <c r="B1111" s="46"/>
      <c r="C1111" s="260"/>
      <c r="D1111" s="46"/>
      <c r="E1111" s="47" t="s">
        <v>1872</v>
      </c>
      <c r="F1111" s="220" t="s">
        <v>1801</v>
      </c>
      <c r="G1111" s="220"/>
      <c r="H1111" s="452">
        <v>11699</v>
      </c>
      <c r="I1111" s="82" t="s">
        <v>4290</v>
      </c>
      <c r="J1111" s="51" t="s">
        <v>140</v>
      </c>
      <c r="K1111" s="91">
        <v>0</v>
      </c>
      <c r="L1111" s="91">
        <v>0</v>
      </c>
      <c r="M1111" s="92">
        <v>30</v>
      </c>
      <c r="N1111" s="92">
        <v>2520</v>
      </c>
      <c r="O1111" s="92">
        <v>1</v>
      </c>
      <c r="P1111" s="92">
        <f t="shared" si="279"/>
        <v>2520</v>
      </c>
      <c r="Q1111" s="92"/>
      <c r="R1111" s="92">
        <v>2520</v>
      </c>
      <c r="S1111" s="92">
        <f t="shared" si="280"/>
        <v>0</v>
      </c>
      <c r="T1111" s="92">
        <f t="shared" si="281"/>
        <v>2880</v>
      </c>
      <c r="U1111" s="91">
        <f t="shared" si="282"/>
        <v>0</v>
      </c>
      <c r="V1111" s="91">
        <f t="shared" si="283"/>
        <v>0</v>
      </c>
      <c r="W1111" s="91">
        <v>0</v>
      </c>
      <c r="X1111" s="55">
        <f t="shared" si="271"/>
        <v>46153.53816261574</v>
      </c>
    </row>
    <row r="1112" spans="1:24" hidden="1" x14ac:dyDescent="0.35">
      <c r="A1112" s="46">
        <f t="shared" si="272"/>
        <v>46153.53816261574</v>
      </c>
      <c r="B1112" s="46"/>
      <c r="C1112" s="260"/>
      <c r="D1112" s="46"/>
      <c r="E1112" s="47" t="s">
        <v>1563</v>
      </c>
      <c r="F1112" s="82" t="s">
        <v>1564</v>
      </c>
      <c r="G1112" s="82"/>
      <c r="H1112" s="452">
        <v>11713</v>
      </c>
      <c r="I1112" s="82" t="s">
        <v>4290</v>
      </c>
      <c r="J1112" s="51" t="s">
        <v>140</v>
      </c>
      <c r="K1112" s="91">
        <v>0</v>
      </c>
      <c r="L1112" s="91">
        <v>0</v>
      </c>
      <c r="M1112" s="92">
        <v>30</v>
      </c>
      <c r="N1112" s="92">
        <v>2940</v>
      </c>
      <c r="O1112" s="92">
        <v>1</v>
      </c>
      <c r="P1112" s="92">
        <f t="shared" si="279"/>
        <v>2940</v>
      </c>
      <c r="Q1112" s="92"/>
      <c r="R1112" s="92">
        <v>2940</v>
      </c>
      <c r="S1112" s="92">
        <f t="shared" si="280"/>
        <v>0</v>
      </c>
      <c r="T1112" s="92">
        <f t="shared" si="281"/>
        <v>2880</v>
      </c>
      <c r="U1112" s="91">
        <f t="shared" si="282"/>
        <v>0</v>
      </c>
      <c r="V1112" s="91">
        <f t="shared" si="283"/>
        <v>0</v>
      </c>
      <c r="W1112" s="91">
        <v>0</v>
      </c>
      <c r="X1112" s="55">
        <f t="shared" si="271"/>
        <v>46153.53816261574</v>
      </c>
    </row>
    <row r="1113" spans="1:24" hidden="1" x14ac:dyDescent="0.35">
      <c r="A1113" s="46">
        <f t="shared" si="272"/>
        <v>46153.53816261574</v>
      </c>
      <c r="B1113" s="46"/>
      <c r="C1113" s="260"/>
      <c r="D1113" s="46"/>
      <c r="E1113" s="296" t="s">
        <v>4656</v>
      </c>
      <c r="F1113" s="298"/>
      <c r="G1113" s="298"/>
      <c r="H1113" s="298"/>
      <c r="I1113" s="1015" t="s">
        <v>5768</v>
      </c>
      <c r="J1113" s="300" t="s">
        <v>140</v>
      </c>
      <c r="K1113" s="352">
        <v>0</v>
      </c>
      <c r="L1113" s="352">
        <v>0</v>
      </c>
      <c r="M1113" s="353">
        <v>45</v>
      </c>
      <c r="N1113" s="353">
        <v>10</v>
      </c>
      <c r="O1113" s="353">
        <v>1</v>
      </c>
      <c r="P1113" s="353">
        <f t="shared" si="279"/>
        <v>10</v>
      </c>
      <c r="Q1113" s="353"/>
      <c r="R1113" s="302">
        <v>10</v>
      </c>
      <c r="S1113" s="353">
        <f t="shared" si="280"/>
        <v>0</v>
      </c>
      <c r="T1113" s="302">
        <f t="shared" si="281"/>
        <v>1920</v>
      </c>
      <c r="U1113" s="301">
        <f t="shared" si="282"/>
        <v>0</v>
      </c>
      <c r="V1113" s="301">
        <f t="shared" si="283"/>
        <v>0</v>
      </c>
      <c r="W1113" s="301">
        <v>0</v>
      </c>
      <c r="X1113" s="55">
        <f t="shared" si="271"/>
        <v>46153.53816261574</v>
      </c>
    </row>
    <row r="1114" spans="1:24" hidden="1" x14ac:dyDescent="0.35">
      <c r="A1114" s="46">
        <f t="shared" si="272"/>
        <v>46153.53816261574</v>
      </c>
      <c r="B1114" s="46"/>
      <c r="C1114" s="260"/>
      <c r="D1114" s="46"/>
      <c r="E1114" s="296" t="s">
        <v>4656</v>
      </c>
      <c r="F1114" s="298"/>
      <c r="G1114" s="298"/>
      <c r="H1114" s="298"/>
      <c r="I1114" s="1015" t="s">
        <v>5769</v>
      </c>
      <c r="J1114" s="300" t="s">
        <v>140</v>
      </c>
      <c r="K1114" s="352">
        <v>0</v>
      </c>
      <c r="L1114" s="352">
        <v>0</v>
      </c>
      <c r="M1114" s="353">
        <v>120</v>
      </c>
      <c r="N1114" s="353">
        <v>10</v>
      </c>
      <c r="O1114" s="353">
        <v>1</v>
      </c>
      <c r="P1114" s="353">
        <f t="shared" si="279"/>
        <v>10</v>
      </c>
      <c r="Q1114" s="353"/>
      <c r="R1114" s="302">
        <v>10</v>
      </c>
      <c r="S1114" s="353">
        <f t="shared" si="280"/>
        <v>0</v>
      </c>
      <c r="T1114" s="302">
        <f t="shared" si="281"/>
        <v>720</v>
      </c>
      <c r="U1114" s="301">
        <f t="shared" si="282"/>
        <v>0</v>
      </c>
      <c r="V1114" s="301">
        <f t="shared" si="283"/>
        <v>0</v>
      </c>
      <c r="W1114" s="301">
        <v>0</v>
      </c>
      <c r="X1114" s="55">
        <f t="shared" si="271"/>
        <v>46153.53816261574</v>
      </c>
    </row>
    <row r="1115" spans="1:24" hidden="1" x14ac:dyDescent="0.35">
      <c r="A1115" s="46">
        <f t="shared" si="272"/>
        <v>46153.53816261574</v>
      </c>
      <c r="B1115" s="46"/>
      <c r="C1115" s="260"/>
      <c r="D1115" s="46"/>
      <c r="E1115" s="47" t="s">
        <v>1872</v>
      </c>
      <c r="F1115" s="97" t="s">
        <v>714</v>
      </c>
      <c r="G1115" s="97"/>
      <c r="H1115" s="98" t="s">
        <v>5770</v>
      </c>
      <c r="I1115" s="220" t="s">
        <v>5690</v>
      </c>
      <c r="J1115" s="51" t="s">
        <v>140</v>
      </c>
      <c r="K1115" s="91">
        <v>0</v>
      </c>
      <c r="L1115" s="91">
        <v>0</v>
      </c>
      <c r="M1115" s="92">
        <v>45</v>
      </c>
      <c r="N1115" s="92">
        <v>15750</v>
      </c>
      <c r="O1115" s="92">
        <v>2</v>
      </c>
      <c r="P1115" s="92">
        <f t="shared" si="279"/>
        <v>7875</v>
      </c>
      <c r="Q1115" s="92"/>
      <c r="R1115" s="92">
        <v>7875</v>
      </c>
      <c r="S1115" s="92">
        <f t="shared" si="280"/>
        <v>0</v>
      </c>
      <c r="T1115" s="92">
        <f t="shared" si="281"/>
        <v>3840</v>
      </c>
      <c r="U1115" s="91">
        <f t="shared" si="282"/>
        <v>0</v>
      </c>
      <c r="V1115" s="91">
        <f t="shared" si="283"/>
        <v>0</v>
      </c>
      <c r="W1115" s="91">
        <v>0</v>
      </c>
      <c r="X1115" s="55">
        <f t="shared" ref="X1115:X1134" si="284">A1115+K1115+L1115+V1115+W1115</f>
        <v>46153.53816261574</v>
      </c>
    </row>
    <row r="1116" spans="1:24" hidden="1" x14ac:dyDescent="0.35">
      <c r="A1116" s="46">
        <f t="shared" ref="A1116:A1151" si="285">X1115</f>
        <v>46153.53816261574</v>
      </c>
      <c r="B1116" s="46"/>
      <c r="C1116" s="260"/>
      <c r="D1116" s="46"/>
      <c r="E1116" s="47" t="s">
        <v>4540</v>
      </c>
      <c r="F1116" s="82" t="s">
        <v>4905</v>
      </c>
      <c r="G1116" s="82"/>
      <c r="H1116" s="49" t="s">
        <v>5771</v>
      </c>
      <c r="I1116" s="82" t="s">
        <v>4515</v>
      </c>
      <c r="J1116" s="100" t="s">
        <v>140</v>
      </c>
      <c r="K1116" s="52">
        <v>0</v>
      </c>
      <c r="L1116" s="52">
        <v>0</v>
      </c>
      <c r="M1116" s="53">
        <v>95</v>
      </c>
      <c r="N1116" s="53">
        <v>7500</v>
      </c>
      <c r="O1116" s="53">
        <v>2</v>
      </c>
      <c r="P1116" s="53">
        <f t="shared" si="279"/>
        <v>3750</v>
      </c>
      <c r="Q1116" s="53"/>
      <c r="R1116" s="53">
        <v>3750</v>
      </c>
      <c r="S1116" s="53">
        <f t="shared" si="280"/>
        <v>0</v>
      </c>
      <c r="T1116" s="83">
        <f t="shared" si="281"/>
        <v>1818.9473684210525</v>
      </c>
      <c r="U1116" s="84">
        <f t="shared" si="282"/>
        <v>0</v>
      </c>
      <c r="V1116" s="84">
        <f t="shared" si="283"/>
        <v>0</v>
      </c>
      <c r="W1116" s="84">
        <v>0</v>
      </c>
      <c r="X1116" s="55">
        <f t="shared" si="284"/>
        <v>46153.53816261574</v>
      </c>
    </row>
    <row r="1117" spans="1:24" hidden="1" x14ac:dyDescent="0.35">
      <c r="A1117" s="46">
        <f t="shared" si="285"/>
        <v>46153.53816261574</v>
      </c>
      <c r="B1117" s="46"/>
      <c r="C1117" s="260"/>
      <c r="D1117" s="46"/>
      <c r="E1117" s="47" t="s">
        <v>4540</v>
      </c>
      <c r="F1117" s="97" t="s">
        <v>1814</v>
      </c>
      <c r="G1117" s="97"/>
      <c r="H1117" s="452">
        <v>11995</v>
      </c>
      <c r="I1117" s="82" t="s">
        <v>1830</v>
      </c>
      <c r="J1117" s="51" t="s">
        <v>140</v>
      </c>
      <c r="K1117" s="52">
        <v>0</v>
      </c>
      <c r="L1117" s="52">
        <v>0</v>
      </c>
      <c r="M1117" s="92">
        <v>40</v>
      </c>
      <c r="N1117" s="92">
        <f>2430-1400</f>
        <v>1030</v>
      </c>
      <c r="O1117" s="92">
        <v>1</v>
      </c>
      <c r="P1117" s="92">
        <f t="shared" si="279"/>
        <v>1030</v>
      </c>
      <c r="Q1117" s="92"/>
      <c r="R1117" s="92">
        <v>1030</v>
      </c>
      <c r="S1117" s="92">
        <f t="shared" si="280"/>
        <v>0</v>
      </c>
      <c r="T1117" s="92">
        <f t="shared" si="281"/>
        <v>2160</v>
      </c>
      <c r="U1117" s="91">
        <f t="shared" si="282"/>
        <v>0</v>
      </c>
      <c r="V1117" s="91">
        <f t="shared" si="283"/>
        <v>0</v>
      </c>
      <c r="W1117" s="91">
        <v>0</v>
      </c>
      <c r="X1117" s="55">
        <f t="shared" si="284"/>
        <v>46153.53816261574</v>
      </c>
    </row>
    <row r="1118" spans="1:24" s="418" customFormat="1" hidden="1" x14ac:dyDescent="0.35">
      <c r="A1118" s="46">
        <f t="shared" si="285"/>
        <v>46153.53816261574</v>
      </c>
      <c r="B1118" s="46"/>
      <c r="C1118" s="260"/>
      <c r="D1118" s="46"/>
      <c r="E1118" s="47" t="s">
        <v>1872</v>
      </c>
      <c r="F1118" s="82" t="s">
        <v>5772</v>
      </c>
      <c r="G1118" s="82"/>
      <c r="H1118" s="98" t="s">
        <v>5773</v>
      </c>
      <c r="I1118" s="99" t="s">
        <v>5774</v>
      </c>
      <c r="J1118" s="100" t="s">
        <v>140</v>
      </c>
      <c r="K1118" s="52">
        <v>0</v>
      </c>
      <c r="L1118" s="52">
        <v>0</v>
      </c>
      <c r="M1118" s="92">
        <v>65</v>
      </c>
      <c r="N1118" s="92">
        <v>1000</v>
      </c>
      <c r="O1118" s="92">
        <v>2</v>
      </c>
      <c r="P1118" s="92">
        <f t="shared" si="279"/>
        <v>500</v>
      </c>
      <c r="Q1118" s="92"/>
      <c r="R1118" s="102">
        <v>500</v>
      </c>
      <c r="S1118" s="92">
        <f t="shared" si="280"/>
        <v>0</v>
      </c>
      <c r="T1118" s="102">
        <f t="shared" si="281"/>
        <v>2658.4615384615386</v>
      </c>
      <c r="U1118" s="101">
        <f t="shared" si="282"/>
        <v>0</v>
      </c>
      <c r="V1118" s="101">
        <f t="shared" si="283"/>
        <v>0</v>
      </c>
      <c r="W1118" s="101">
        <v>0</v>
      </c>
      <c r="X1118" s="55">
        <f t="shared" si="284"/>
        <v>46153.53816261574</v>
      </c>
    </row>
    <row r="1119" spans="1:24" hidden="1" x14ac:dyDescent="0.35">
      <c r="A1119" s="46">
        <f t="shared" si="285"/>
        <v>46153.53816261574</v>
      </c>
      <c r="B1119" s="46"/>
      <c r="C1119" s="260"/>
      <c r="D1119" s="46"/>
      <c r="E1119" s="296" t="s">
        <v>1872</v>
      </c>
      <c r="F1119" s="297" t="s">
        <v>14</v>
      </c>
      <c r="G1119" s="297"/>
      <c r="H1119" s="349" t="s">
        <v>1362</v>
      </c>
      <c r="I1119" s="350" t="s">
        <v>4601</v>
      </c>
      <c r="J1119" s="351" t="s">
        <v>140</v>
      </c>
      <c r="K1119" s="52">
        <v>0</v>
      </c>
      <c r="L1119" s="52">
        <v>0</v>
      </c>
      <c r="M1119" s="353">
        <v>60</v>
      </c>
      <c r="N1119" s="353">
        <v>50</v>
      </c>
      <c r="O1119" s="353">
        <v>1</v>
      </c>
      <c r="P1119" s="353">
        <f t="shared" si="279"/>
        <v>50</v>
      </c>
      <c r="Q1119" s="353"/>
      <c r="R1119" s="353">
        <v>50</v>
      </c>
      <c r="S1119" s="353">
        <f t="shared" si="280"/>
        <v>0</v>
      </c>
      <c r="T1119" s="353">
        <f t="shared" si="281"/>
        <v>1440</v>
      </c>
      <c r="U1119" s="352">
        <f t="shared" si="282"/>
        <v>0</v>
      </c>
      <c r="V1119" s="352">
        <f t="shared" si="283"/>
        <v>0</v>
      </c>
      <c r="W1119" s="352">
        <v>0</v>
      </c>
      <c r="X1119" s="55">
        <f t="shared" si="284"/>
        <v>46153.53816261574</v>
      </c>
    </row>
    <row r="1120" spans="1:24" hidden="1" x14ac:dyDescent="0.35">
      <c r="A1120" s="46">
        <f t="shared" si="285"/>
        <v>46153.53816261574</v>
      </c>
      <c r="B1120" s="46"/>
      <c r="C1120" s="260"/>
      <c r="D1120" s="46"/>
      <c r="E1120" s="47" t="s">
        <v>4540</v>
      </c>
      <c r="F1120" s="97" t="s">
        <v>1814</v>
      </c>
      <c r="G1120" s="97"/>
      <c r="H1120" s="452">
        <v>12045</v>
      </c>
      <c r="I1120" s="82" t="s">
        <v>1830</v>
      </c>
      <c r="J1120" s="51" t="s">
        <v>140</v>
      </c>
      <c r="K1120" s="52">
        <v>0</v>
      </c>
      <c r="L1120" s="52">
        <v>0</v>
      </c>
      <c r="M1120" s="92">
        <v>40</v>
      </c>
      <c r="N1120" s="92">
        <v>1000</v>
      </c>
      <c r="O1120" s="92">
        <v>1</v>
      </c>
      <c r="P1120" s="92">
        <f t="shared" si="279"/>
        <v>1000</v>
      </c>
      <c r="Q1120" s="92"/>
      <c r="R1120" s="92">
        <v>1000</v>
      </c>
      <c r="S1120" s="92">
        <f t="shared" si="280"/>
        <v>0</v>
      </c>
      <c r="T1120" s="92">
        <f t="shared" si="281"/>
        <v>2160</v>
      </c>
      <c r="U1120" s="91">
        <f t="shared" si="282"/>
        <v>0</v>
      </c>
      <c r="V1120" s="91">
        <f t="shared" si="283"/>
        <v>0</v>
      </c>
      <c r="W1120" s="91">
        <v>0</v>
      </c>
      <c r="X1120" s="55">
        <f t="shared" si="284"/>
        <v>46153.53816261574</v>
      </c>
    </row>
    <row r="1121" spans="1:24" hidden="1" x14ac:dyDescent="0.35">
      <c r="A1121" s="46">
        <f t="shared" si="285"/>
        <v>46153.53816261574</v>
      </c>
      <c r="B1121" s="46"/>
      <c r="C1121" s="260"/>
      <c r="D1121" s="46"/>
      <c r="E1121" s="296" t="s">
        <v>1872</v>
      </c>
      <c r="F1121" s="297" t="s">
        <v>14</v>
      </c>
      <c r="G1121" s="297"/>
      <c r="H1121" s="349" t="s">
        <v>1362</v>
      </c>
      <c r="I1121" s="1016" t="s">
        <v>5763</v>
      </c>
      <c r="J1121" s="300" t="s">
        <v>140</v>
      </c>
      <c r="K1121" s="52">
        <v>0</v>
      </c>
      <c r="L1121" s="52">
        <v>0</v>
      </c>
      <c r="M1121" s="353">
        <v>45</v>
      </c>
      <c r="N1121" s="353">
        <v>50</v>
      </c>
      <c r="O1121" s="353">
        <v>1</v>
      </c>
      <c r="P1121" s="353">
        <f t="shared" si="279"/>
        <v>50</v>
      </c>
      <c r="Q1121" s="353"/>
      <c r="R1121" s="353">
        <v>50</v>
      </c>
      <c r="S1121" s="353">
        <f t="shared" si="280"/>
        <v>0</v>
      </c>
      <c r="T1121" s="302">
        <f t="shared" si="281"/>
        <v>1920</v>
      </c>
      <c r="U1121" s="301">
        <f t="shared" si="282"/>
        <v>0</v>
      </c>
      <c r="V1121" s="301">
        <f t="shared" si="283"/>
        <v>0</v>
      </c>
      <c r="W1121" s="301">
        <v>0</v>
      </c>
      <c r="X1121" s="55">
        <f t="shared" si="284"/>
        <v>46153.53816261574</v>
      </c>
    </row>
    <row r="1122" spans="1:24" hidden="1" x14ac:dyDescent="0.35">
      <c r="A1122" s="46">
        <f t="shared" si="285"/>
        <v>46153.53816261574</v>
      </c>
      <c r="B1122" s="46"/>
      <c r="C1122" s="260"/>
      <c r="D1122" s="46"/>
      <c r="E1122" s="47" t="s">
        <v>1872</v>
      </c>
      <c r="F1122" s="97" t="s">
        <v>1801</v>
      </c>
      <c r="G1122" s="97"/>
      <c r="H1122" s="98" t="s">
        <v>5775</v>
      </c>
      <c r="I1122" s="82" t="s">
        <v>1635</v>
      </c>
      <c r="J1122" s="51" t="s">
        <v>140</v>
      </c>
      <c r="K1122" s="52">
        <v>0</v>
      </c>
      <c r="L1122" s="52">
        <v>0</v>
      </c>
      <c r="M1122" s="92">
        <v>68</v>
      </c>
      <c r="N1122" s="92">
        <v>3000</v>
      </c>
      <c r="O1122" s="92">
        <v>1</v>
      </c>
      <c r="P1122" s="92">
        <f t="shared" si="279"/>
        <v>3000</v>
      </c>
      <c r="Q1122" s="92"/>
      <c r="R1122" s="92">
        <v>3000</v>
      </c>
      <c r="S1122" s="92">
        <f t="shared" si="280"/>
        <v>0</v>
      </c>
      <c r="T1122" s="92">
        <f t="shared" si="281"/>
        <v>1270.5882352941176</v>
      </c>
      <c r="U1122" s="91">
        <f t="shared" si="282"/>
        <v>0</v>
      </c>
      <c r="V1122" s="91">
        <f t="shared" si="283"/>
        <v>0</v>
      </c>
      <c r="W1122" s="91">
        <v>0</v>
      </c>
      <c r="X1122" s="55">
        <f t="shared" si="284"/>
        <v>46153.53816261574</v>
      </c>
    </row>
    <row r="1123" spans="1:24" hidden="1" x14ac:dyDescent="0.35">
      <c r="A1123" s="46">
        <f t="shared" si="285"/>
        <v>46153.53816261574</v>
      </c>
      <c r="B1123" s="46"/>
      <c r="C1123" s="260"/>
      <c r="D1123" s="46"/>
      <c r="E1123" s="47" t="s">
        <v>1872</v>
      </c>
      <c r="F1123" s="97" t="s">
        <v>900</v>
      </c>
      <c r="G1123" s="97"/>
      <c r="H1123" s="98" t="s">
        <v>5776</v>
      </c>
      <c r="I1123" s="82" t="s">
        <v>1635</v>
      </c>
      <c r="J1123" s="51" t="s">
        <v>140</v>
      </c>
      <c r="K1123" s="52">
        <v>0</v>
      </c>
      <c r="L1123" s="52">
        <v>0</v>
      </c>
      <c r="M1123" s="92">
        <v>68</v>
      </c>
      <c r="N1123" s="92">
        <v>2500</v>
      </c>
      <c r="O1123" s="92">
        <v>1</v>
      </c>
      <c r="P1123" s="92">
        <f t="shared" si="279"/>
        <v>2500</v>
      </c>
      <c r="Q1123" s="92"/>
      <c r="R1123" s="92">
        <v>2500</v>
      </c>
      <c r="S1123" s="92">
        <f t="shared" si="280"/>
        <v>0</v>
      </c>
      <c r="T1123" s="92">
        <f t="shared" si="281"/>
        <v>1270.5882352941176</v>
      </c>
      <c r="U1123" s="91">
        <f t="shared" si="282"/>
        <v>0</v>
      </c>
      <c r="V1123" s="91">
        <f t="shared" si="283"/>
        <v>0</v>
      </c>
      <c r="W1123" s="91">
        <v>0</v>
      </c>
      <c r="X1123" s="55">
        <f t="shared" si="284"/>
        <v>46153.53816261574</v>
      </c>
    </row>
    <row r="1124" spans="1:24" hidden="1" x14ac:dyDescent="0.35">
      <c r="A1124" s="46">
        <f t="shared" si="285"/>
        <v>46153.53816261574</v>
      </c>
      <c r="B1124" s="46"/>
      <c r="C1124" s="260"/>
      <c r="D1124" s="46"/>
      <c r="E1124" s="47" t="s">
        <v>1872</v>
      </c>
      <c r="F1124" s="99" t="s">
        <v>5777</v>
      </c>
      <c r="G1124" s="99"/>
      <c r="H1124" s="98" t="s">
        <v>5778</v>
      </c>
      <c r="I1124" s="220" t="s">
        <v>4308</v>
      </c>
      <c r="J1124" s="100" t="s">
        <v>140</v>
      </c>
      <c r="K1124" s="52">
        <v>0</v>
      </c>
      <c r="L1124" s="52">
        <v>0</v>
      </c>
      <c r="M1124" s="92">
        <v>250</v>
      </c>
      <c r="N1124" s="92">
        <v>1000</v>
      </c>
      <c r="O1124" s="92">
        <v>1</v>
      </c>
      <c r="P1124" s="92">
        <f t="shared" si="279"/>
        <v>1000</v>
      </c>
      <c r="Q1124" s="92"/>
      <c r="R1124" s="92">
        <v>1000</v>
      </c>
      <c r="S1124" s="102">
        <f t="shared" si="280"/>
        <v>0</v>
      </c>
      <c r="T1124" s="102">
        <f t="shared" si="281"/>
        <v>345.6</v>
      </c>
      <c r="U1124" s="101">
        <f t="shared" si="282"/>
        <v>0</v>
      </c>
      <c r="V1124" s="101">
        <f t="shared" si="283"/>
        <v>0</v>
      </c>
      <c r="W1124" s="101">
        <v>0</v>
      </c>
      <c r="X1124" s="55">
        <f t="shared" si="284"/>
        <v>46153.53816261574</v>
      </c>
    </row>
    <row r="1125" spans="1:24" hidden="1" x14ac:dyDescent="0.35">
      <c r="A1125" s="46">
        <f t="shared" si="285"/>
        <v>46153.53816261574</v>
      </c>
      <c r="B1125" s="46"/>
      <c r="C1125" s="260"/>
      <c r="D1125" s="46"/>
      <c r="E1125" s="47" t="s">
        <v>1872</v>
      </c>
      <c r="F1125" s="99" t="s">
        <v>5779</v>
      </c>
      <c r="G1125" s="99"/>
      <c r="H1125" s="98" t="s">
        <v>5780</v>
      </c>
      <c r="I1125" s="220" t="s">
        <v>4308</v>
      </c>
      <c r="J1125" s="100" t="s">
        <v>140</v>
      </c>
      <c r="K1125" s="52">
        <v>0</v>
      </c>
      <c r="L1125" s="52">
        <v>0</v>
      </c>
      <c r="M1125" s="92">
        <v>250</v>
      </c>
      <c r="N1125" s="92">
        <v>1000</v>
      </c>
      <c r="O1125" s="92">
        <v>1</v>
      </c>
      <c r="P1125" s="92">
        <f t="shared" si="279"/>
        <v>1000</v>
      </c>
      <c r="Q1125" s="92"/>
      <c r="R1125" s="92">
        <v>1000</v>
      </c>
      <c r="S1125" s="102">
        <f t="shared" si="280"/>
        <v>0</v>
      </c>
      <c r="T1125" s="102">
        <f t="shared" si="281"/>
        <v>345.6</v>
      </c>
      <c r="U1125" s="101">
        <f t="shared" si="282"/>
        <v>0</v>
      </c>
      <c r="V1125" s="101">
        <f t="shared" si="283"/>
        <v>0</v>
      </c>
      <c r="W1125" s="101">
        <v>0</v>
      </c>
      <c r="X1125" s="55">
        <f t="shared" si="284"/>
        <v>46153.53816261574</v>
      </c>
    </row>
    <row r="1126" spans="1:24" hidden="1" x14ac:dyDescent="0.35">
      <c r="A1126" s="46">
        <f t="shared" si="285"/>
        <v>46153.53816261574</v>
      </c>
      <c r="B1126" s="46"/>
      <c r="C1126" s="260"/>
      <c r="D1126" s="46"/>
      <c r="E1126" s="47" t="s">
        <v>1872</v>
      </c>
      <c r="F1126" s="82" t="s">
        <v>4607</v>
      </c>
      <c r="G1126" s="82"/>
      <c r="H1126" s="340" t="s">
        <v>5781</v>
      </c>
      <c r="I1126" s="82" t="s">
        <v>5782</v>
      </c>
      <c r="J1126" s="100" t="s">
        <v>140</v>
      </c>
      <c r="K1126" s="91">
        <v>0</v>
      </c>
      <c r="L1126" s="91">
        <v>0</v>
      </c>
      <c r="M1126" s="92">
        <v>40</v>
      </c>
      <c r="N1126" s="92">
        <v>1200</v>
      </c>
      <c r="O1126" s="92">
        <v>1</v>
      </c>
      <c r="P1126" s="92">
        <f t="shared" si="279"/>
        <v>1200</v>
      </c>
      <c r="Q1126" s="92"/>
      <c r="R1126" s="92">
        <v>1200</v>
      </c>
      <c r="S1126" s="92">
        <f t="shared" si="280"/>
        <v>0</v>
      </c>
      <c r="T1126" s="102">
        <f t="shared" si="281"/>
        <v>2160</v>
      </c>
      <c r="U1126" s="101">
        <f t="shared" si="282"/>
        <v>0</v>
      </c>
      <c r="V1126" s="101">
        <f t="shared" si="283"/>
        <v>0</v>
      </c>
      <c r="W1126" s="101">
        <v>0</v>
      </c>
      <c r="X1126" s="55">
        <f t="shared" si="284"/>
        <v>46153.53816261574</v>
      </c>
    </row>
    <row r="1127" spans="1:24" hidden="1" x14ac:dyDescent="0.35">
      <c r="A1127" s="46">
        <f t="shared" si="285"/>
        <v>46153.53816261574</v>
      </c>
      <c r="B1127" s="46"/>
      <c r="C1127" s="260"/>
      <c r="D1127" s="46"/>
      <c r="E1127" s="47" t="s">
        <v>4656</v>
      </c>
      <c r="F1127" s="82" t="s">
        <v>5668</v>
      </c>
      <c r="G1127" s="82"/>
      <c r="H1127" s="107" t="s">
        <v>5783</v>
      </c>
      <c r="I1127" s="82" t="s">
        <v>1803</v>
      </c>
      <c r="J1127" s="100" t="s">
        <v>140</v>
      </c>
      <c r="K1127" s="91">
        <v>0</v>
      </c>
      <c r="L1127" s="91">
        <v>0</v>
      </c>
      <c r="M1127" s="92">
        <v>55</v>
      </c>
      <c r="N1127" s="92">
        <v>720</v>
      </c>
      <c r="O1127" s="92">
        <v>1</v>
      </c>
      <c r="P1127" s="92">
        <f t="shared" si="279"/>
        <v>720</v>
      </c>
      <c r="Q1127" s="92"/>
      <c r="R1127" s="92">
        <v>720</v>
      </c>
      <c r="S1127" s="92">
        <f t="shared" si="280"/>
        <v>0</v>
      </c>
      <c r="T1127" s="102">
        <f t="shared" si="281"/>
        <v>1570.909090909091</v>
      </c>
      <c r="U1127" s="101">
        <f t="shared" si="282"/>
        <v>0</v>
      </c>
      <c r="V1127" s="101">
        <f t="shared" si="283"/>
        <v>0</v>
      </c>
      <c r="W1127" s="101">
        <v>0</v>
      </c>
      <c r="X1127" s="55">
        <f t="shared" si="284"/>
        <v>46153.53816261574</v>
      </c>
    </row>
    <row r="1128" spans="1:24" hidden="1" x14ac:dyDescent="0.35">
      <c r="A1128" s="46">
        <f t="shared" si="285"/>
        <v>46153.53816261574</v>
      </c>
      <c r="B1128" s="46"/>
      <c r="C1128" s="260"/>
      <c r="D1128" s="46"/>
      <c r="E1128" s="47" t="s">
        <v>1563</v>
      </c>
      <c r="F1128" s="82" t="s">
        <v>1603</v>
      </c>
      <c r="G1128" s="82"/>
      <c r="H1128" s="108">
        <v>12334</v>
      </c>
      <c r="I1128" s="82" t="s">
        <v>4290</v>
      </c>
      <c r="J1128" s="51" t="s">
        <v>140</v>
      </c>
      <c r="K1128" s="91">
        <v>0</v>
      </c>
      <c r="L1128" s="91">
        <v>0</v>
      </c>
      <c r="M1128" s="92">
        <v>60</v>
      </c>
      <c r="N1128" s="92">
        <v>4000</v>
      </c>
      <c r="O1128" s="92">
        <v>1</v>
      </c>
      <c r="P1128" s="92">
        <f t="shared" si="279"/>
        <v>4000</v>
      </c>
      <c r="Q1128" s="92"/>
      <c r="R1128" s="92">
        <v>4000</v>
      </c>
      <c r="S1128" s="92">
        <f t="shared" si="280"/>
        <v>0</v>
      </c>
      <c r="T1128" s="92">
        <f t="shared" si="281"/>
        <v>1440</v>
      </c>
      <c r="U1128" s="91">
        <f t="shared" si="282"/>
        <v>0</v>
      </c>
      <c r="V1128" s="91">
        <f t="shared" si="283"/>
        <v>0</v>
      </c>
      <c r="W1128" s="91">
        <v>0</v>
      </c>
      <c r="X1128" s="55">
        <f t="shared" si="284"/>
        <v>46153.53816261574</v>
      </c>
    </row>
    <row r="1129" spans="1:24" hidden="1" x14ac:dyDescent="0.35">
      <c r="A1129" s="46">
        <f t="shared" si="285"/>
        <v>46153.53816261574</v>
      </c>
      <c r="B1129" s="46"/>
      <c r="C1129" s="260"/>
      <c r="D1129" s="46"/>
      <c r="E1129" s="47" t="s">
        <v>1872</v>
      </c>
      <c r="F1129" s="82" t="s">
        <v>3493</v>
      </c>
      <c r="G1129" s="82"/>
      <c r="H1129" s="107" t="s">
        <v>5784</v>
      </c>
      <c r="I1129" s="71" t="s">
        <v>5785</v>
      </c>
      <c r="J1129" s="100" t="s">
        <v>140</v>
      </c>
      <c r="K1129" s="91">
        <v>0</v>
      </c>
      <c r="L1129" s="91">
        <v>0</v>
      </c>
      <c r="M1129" s="92">
        <v>90</v>
      </c>
      <c r="N1129" s="92">
        <v>7200</v>
      </c>
      <c r="O1129" s="92">
        <v>1</v>
      </c>
      <c r="P1129" s="92">
        <f t="shared" si="279"/>
        <v>7200</v>
      </c>
      <c r="Q1129" s="92"/>
      <c r="R1129" s="102">
        <v>7200</v>
      </c>
      <c r="S1129" s="92">
        <f t="shared" si="280"/>
        <v>0</v>
      </c>
      <c r="T1129" s="102">
        <f t="shared" si="281"/>
        <v>960</v>
      </c>
      <c r="U1129" s="101">
        <f t="shared" si="282"/>
        <v>0</v>
      </c>
      <c r="V1129" s="101">
        <f t="shared" si="283"/>
        <v>0</v>
      </c>
      <c r="W1129" s="101">
        <v>0</v>
      </c>
      <c r="X1129" s="55">
        <f t="shared" si="284"/>
        <v>46153.53816261574</v>
      </c>
    </row>
    <row r="1130" spans="1:24" hidden="1" x14ac:dyDescent="0.35">
      <c r="A1130" s="46">
        <f t="shared" si="285"/>
        <v>46153.53816261574</v>
      </c>
      <c r="B1130" s="46"/>
      <c r="C1130" s="260"/>
      <c r="D1130" s="46"/>
      <c r="E1130" s="47" t="s">
        <v>1872</v>
      </c>
      <c r="F1130" s="82" t="s">
        <v>3493</v>
      </c>
      <c r="G1130" s="82"/>
      <c r="H1130" s="107" t="s">
        <v>5786</v>
      </c>
      <c r="I1130" s="71" t="s">
        <v>5785</v>
      </c>
      <c r="J1130" s="100" t="s">
        <v>140</v>
      </c>
      <c r="K1130" s="91">
        <v>0</v>
      </c>
      <c r="L1130" s="91">
        <v>0</v>
      </c>
      <c r="M1130" s="92">
        <v>90</v>
      </c>
      <c r="N1130" s="92">
        <v>1200</v>
      </c>
      <c r="O1130" s="92">
        <v>2</v>
      </c>
      <c r="P1130" s="92">
        <f t="shared" si="279"/>
        <v>600</v>
      </c>
      <c r="Q1130" s="92"/>
      <c r="R1130" s="102">
        <v>600</v>
      </c>
      <c r="S1130" s="92">
        <f t="shared" si="280"/>
        <v>0</v>
      </c>
      <c r="T1130" s="102">
        <f t="shared" si="281"/>
        <v>1920</v>
      </c>
      <c r="U1130" s="101">
        <f t="shared" si="282"/>
        <v>0</v>
      </c>
      <c r="V1130" s="101">
        <f t="shared" si="283"/>
        <v>0</v>
      </c>
      <c r="W1130" s="101">
        <v>0</v>
      </c>
      <c r="X1130" s="55">
        <f t="shared" si="284"/>
        <v>46153.53816261574</v>
      </c>
    </row>
    <row r="1131" spans="1:24" ht="26.5" hidden="1" x14ac:dyDescent="0.35">
      <c r="A1131" s="46">
        <f t="shared" si="285"/>
        <v>46153.53816261574</v>
      </c>
      <c r="B1131" s="46"/>
      <c r="C1131" s="260"/>
      <c r="D1131" s="46"/>
      <c r="E1131" s="47" t="s">
        <v>1872</v>
      </c>
      <c r="F1131" s="97" t="s">
        <v>1251</v>
      </c>
      <c r="G1131" s="97"/>
      <c r="H1131" s="107" t="s">
        <v>5787</v>
      </c>
      <c r="I1131" s="71" t="s">
        <v>4297</v>
      </c>
      <c r="J1131" s="100" t="s">
        <v>140</v>
      </c>
      <c r="K1131" s="91">
        <v>0</v>
      </c>
      <c r="L1131" s="91">
        <v>0</v>
      </c>
      <c r="M1131" s="92">
        <v>90</v>
      </c>
      <c r="N1131" s="92">
        <v>3000</v>
      </c>
      <c r="O1131" s="92">
        <v>1</v>
      </c>
      <c r="P1131" s="92">
        <f t="shared" si="279"/>
        <v>3000</v>
      </c>
      <c r="Q1131" s="92"/>
      <c r="R1131" s="92">
        <v>3000</v>
      </c>
      <c r="S1131" s="92">
        <f t="shared" si="280"/>
        <v>0</v>
      </c>
      <c r="T1131" s="102">
        <f t="shared" si="281"/>
        <v>960</v>
      </c>
      <c r="U1131" s="101">
        <f t="shared" si="282"/>
        <v>0</v>
      </c>
      <c r="V1131" s="101">
        <f t="shared" si="283"/>
        <v>0</v>
      </c>
      <c r="W1131" s="101">
        <v>0</v>
      </c>
      <c r="X1131" s="55">
        <f t="shared" si="284"/>
        <v>46153.53816261574</v>
      </c>
    </row>
    <row r="1132" spans="1:24" hidden="1" x14ac:dyDescent="0.35">
      <c r="A1132" s="46">
        <f t="shared" si="285"/>
        <v>46153.53816261574</v>
      </c>
      <c r="B1132" s="46"/>
      <c r="C1132" s="260"/>
      <c r="D1132" s="46"/>
      <c r="E1132" s="47" t="s">
        <v>1872</v>
      </c>
      <c r="F1132" s="97"/>
      <c r="G1132" s="97"/>
      <c r="H1132" s="107" t="s">
        <v>5788</v>
      </c>
      <c r="I1132" s="855" t="s">
        <v>4324</v>
      </c>
      <c r="J1132" s="100" t="s">
        <v>140</v>
      </c>
      <c r="K1132" s="91">
        <v>0</v>
      </c>
      <c r="L1132" s="91">
        <v>0</v>
      </c>
      <c r="M1132" s="92">
        <v>120</v>
      </c>
      <c r="N1132" s="92">
        <f>9100-952</f>
        <v>8148</v>
      </c>
      <c r="O1132" s="92">
        <v>1</v>
      </c>
      <c r="P1132" s="92">
        <f t="shared" si="279"/>
        <v>8148</v>
      </c>
      <c r="Q1132" s="92"/>
      <c r="R1132" s="92">
        <v>8148</v>
      </c>
      <c r="S1132" s="92">
        <f t="shared" si="280"/>
        <v>0</v>
      </c>
      <c r="T1132" s="102">
        <f t="shared" si="281"/>
        <v>720</v>
      </c>
      <c r="U1132" s="101">
        <f t="shared" si="282"/>
        <v>0</v>
      </c>
      <c r="V1132" s="101">
        <f t="shared" si="283"/>
        <v>0</v>
      </c>
      <c r="W1132" s="101">
        <v>0</v>
      </c>
      <c r="X1132" s="55">
        <f t="shared" si="284"/>
        <v>46153.53816261574</v>
      </c>
    </row>
    <row r="1133" spans="1:24" hidden="1" x14ac:dyDescent="0.35">
      <c r="A1133" s="46">
        <f t="shared" si="285"/>
        <v>46153.53816261574</v>
      </c>
      <c r="B1133" s="46"/>
      <c r="C1133" s="260"/>
      <c r="D1133" s="46"/>
      <c r="E1133" s="47" t="s">
        <v>1872</v>
      </c>
      <c r="F1133" s="82" t="s">
        <v>314</v>
      </c>
      <c r="G1133" s="82" t="s">
        <v>315</v>
      </c>
      <c r="H1133" s="107" t="s">
        <v>5789</v>
      </c>
      <c r="I1133" s="855" t="s">
        <v>4324</v>
      </c>
      <c r="J1133" s="100" t="s">
        <v>140</v>
      </c>
      <c r="K1133" s="91">
        <v>0</v>
      </c>
      <c r="L1133" s="91">
        <v>0</v>
      </c>
      <c r="M1133" s="92">
        <v>120</v>
      </c>
      <c r="N1133" s="92">
        <v>6000</v>
      </c>
      <c r="O1133" s="92">
        <v>1</v>
      </c>
      <c r="P1133" s="92">
        <f t="shared" si="279"/>
        <v>6000</v>
      </c>
      <c r="Q1133" s="92"/>
      <c r="R1133" s="92">
        <v>6000</v>
      </c>
      <c r="S1133" s="92">
        <f t="shared" si="280"/>
        <v>0</v>
      </c>
      <c r="T1133" s="102">
        <f t="shared" si="281"/>
        <v>720</v>
      </c>
      <c r="U1133" s="101">
        <f t="shared" si="282"/>
        <v>0</v>
      </c>
      <c r="V1133" s="101">
        <f t="shared" si="283"/>
        <v>0</v>
      </c>
      <c r="W1133" s="101">
        <v>0</v>
      </c>
      <c r="X1133" s="55">
        <f t="shared" si="284"/>
        <v>46153.53816261574</v>
      </c>
    </row>
    <row r="1134" spans="1:24" hidden="1" x14ac:dyDescent="0.35">
      <c r="A1134" s="46">
        <f t="shared" si="285"/>
        <v>46153.53816261574</v>
      </c>
      <c r="B1134" s="46"/>
      <c r="C1134" s="260"/>
      <c r="D1134" s="46"/>
      <c r="E1134" s="47" t="s">
        <v>1872</v>
      </c>
      <c r="F1134" s="97" t="s">
        <v>1625</v>
      </c>
      <c r="G1134" s="97" t="s">
        <v>315</v>
      </c>
      <c r="H1134" s="108">
        <v>12695</v>
      </c>
      <c r="I1134" s="82" t="s">
        <v>1649</v>
      </c>
      <c r="J1134" s="51" t="s">
        <v>140</v>
      </c>
      <c r="K1134" s="91">
        <v>0</v>
      </c>
      <c r="L1134" s="91">
        <v>0</v>
      </c>
      <c r="M1134" s="92">
        <v>60</v>
      </c>
      <c r="N1134" s="92">
        <v>3500</v>
      </c>
      <c r="O1134" s="92">
        <v>1</v>
      </c>
      <c r="P1134" s="92">
        <f t="shared" si="279"/>
        <v>3500</v>
      </c>
      <c r="Q1134" s="92"/>
      <c r="R1134" s="92">
        <v>3500</v>
      </c>
      <c r="S1134" s="92">
        <f t="shared" si="280"/>
        <v>0</v>
      </c>
      <c r="T1134" s="92">
        <f t="shared" si="281"/>
        <v>1440</v>
      </c>
      <c r="U1134" s="91">
        <f t="shared" si="282"/>
        <v>0</v>
      </c>
      <c r="V1134" s="91">
        <f t="shared" si="283"/>
        <v>0</v>
      </c>
      <c r="W1134" s="91">
        <v>0</v>
      </c>
      <c r="X1134" s="55">
        <f t="shared" si="284"/>
        <v>46153.53816261574</v>
      </c>
    </row>
    <row r="1135" spans="1:24" hidden="1" x14ac:dyDescent="0.35">
      <c r="A1135" s="138">
        <f t="shared" si="285"/>
        <v>46153.53816261574</v>
      </c>
      <c r="B1135" s="138"/>
      <c r="C1135" s="1017"/>
      <c r="D1135" s="138"/>
      <c r="E1135" s="244" t="s">
        <v>1563</v>
      </c>
      <c r="F1135" s="245" t="s">
        <v>1625</v>
      </c>
      <c r="G1135" s="245" t="s">
        <v>315</v>
      </c>
      <c r="H1135" s="1018">
        <v>12701</v>
      </c>
      <c r="I1135" s="140" t="s">
        <v>5643</v>
      </c>
      <c r="J1135" s="246" t="s">
        <v>140</v>
      </c>
      <c r="K1135" s="144">
        <v>0</v>
      </c>
      <c r="L1135" s="144">
        <v>0</v>
      </c>
      <c r="M1135" s="145">
        <v>50</v>
      </c>
      <c r="N1135" s="146">
        <v>3500</v>
      </c>
      <c r="O1135" s="145">
        <v>1</v>
      </c>
      <c r="P1135" s="146">
        <f t="shared" si="279"/>
        <v>3500</v>
      </c>
      <c r="Q1135" s="146"/>
      <c r="R1135" s="145">
        <v>3500</v>
      </c>
      <c r="S1135" s="145">
        <f t="shared" si="280"/>
        <v>0</v>
      </c>
      <c r="T1135" s="145">
        <f t="shared" si="281"/>
        <v>1728</v>
      </c>
      <c r="U1135" s="144">
        <f t="shared" si="282"/>
        <v>0</v>
      </c>
      <c r="V1135" s="144">
        <f t="shared" si="283"/>
        <v>0</v>
      </c>
      <c r="W1135" s="144">
        <v>0</v>
      </c>
      <c r="X1135" s="150">
        <f>A1135+K1135+V1135+W1135+L1135</f>
        <v>46153.53816261574</v>
      </c>
    </row>
    <row r="1136" spans="1:24" s="221" customFormat="1" hidden="1" x14ac:dyDescent="0.35">
      <c r="A1136" s="46">
        <f t="shared" si="285"/>
        <v>46153.53816261574</v>
      </c>
      <c r="B1136" s="46"/>
      <c r="C1136" s="260"/>
      <c r="D1136" s="46"/>
      <c r="E1136" s="47" t="s">
        <v>4384</v>
      </c>
      <c r="F1136" s="97" t="s">
        <v>1860</v>
      </c>
      <c r="G1136" s="97" t="s">
        <v>780</v>
      </c>
      <c r="H1136" s="98" t="s">
        <v>5790</v>
      </c>
      <c r="I1136" s="82" t="s">
        <v>3522</v>
      </c>
      <c r="J1136" s="51" t="s">
        <v>140</v>
      </c>
      <c r="K1136" s="91">
        <v>0</v>
      </c>
      <c r="L1136" s="91">
        <v>0</v>
      </c>
      <c r="M1136" s="92">
        <v>45</v>
      </c>
      <c r="N1136" s="94">
        <v>5000</v>
      </c>
      <c r="O1136" s="92">
        <v>1</v>
      </c>
      <c r="P1136" s="94">
        <f t="shared" si="279"/>
        <v>5000</v>
      </c>
      <c r="Q1136" s="94"/>
      <c r="R1136" s="92">
        <v>5000</v>
      </c>
      <c r="S1136" s="92">
        <f t="shared" si="280"/>
        <v>0</v>
      </c>
      <c r="T1136" s="92">
        <f t="shared" si="281"/>
        <v>1920</v>
      </c>
      <c r="U1136" s="91">
        <f t="shared" si="282"/>
        <v>0</v>
      </c>
      <c r="V1136" s="91">
        <f t="shared" si="283"/>
        <v>0</v>
      </c>
      <c r="W1136" s="91">
        <v>0</v>
      </c>
      <c r="X1136" s="55">
        <f>A1136+K1136+L1136+V1136+W1136</f>
        <v>46153.53816261574</v>
      </c>
    </row>
    <row r="1137" spans="1:24" hidden="1" x14ac:dyDescent="0.35">
      <c r="A1137" s="46">
        <f t="shared" si="285"/>
        <v>46153.53816261574</v>
      </c>
      <c r="B1137" s="46"/>
      <c r="C1137" s="260"/>
      <c r="D1137" s="46"/>
      <c r="E1137" s="47" t="s">
        <v>1872</v>
      </c>
      <c r="F1137" s="82" t="s">
        <v>5791</v>
      </c>
      <c r="G1137" s="82" t="s">
        <v>327</v>
      </c>
      <c r="H1137" s="107" t="s">
        <v>5792</v>
      </c>
      <c r="I1137" s="417" t="s">
        <v>4299</v>
      </c>
      <c r="J1137" s="100" t="s">
        <v>140</v>
      </c>
      <c r="K1137" s="91">
        <v>0</v>
      </c>
      <c r="L1137" s="91">
        <v>0</v>
      </c>
      <c r="M1137" s="92">
        <v>55</v>
      </c>
      <c r="N1137" s="94">
        <v>3000</v>
      </c>
      <c r="O1137" s="92">
        <v>1</v>
      </c>
      <c r="P1137" s="94">
        <f t="shared" si="279"/>
        <v>3000</v>
      </c>
      <c r="Q1137" s="94"/>
      <c r="R1137" s="92">
        <v>3000</v>
      </c>
      <c r="S1137" s="92">
        <f t="shared" si="280"/>
        <v>0</v>
      </c>
      <c r="T1137" s="102">
        <f t="shared" si="281"/>
        <v>1570.909090909091</v>
      </c>
      <c r="U1137" s="101">
        <f t="shared" si="282"/>
        <v>0</v>
      </c>
      <c r="V1137" s="101">
        <f t="shared" si="283"/>
        <v>0</v>
      </c>
      <c r="W1137" s="101">
        <v>0</v>
      </c>
      <c r="X1137" s="55">
        <f t="shared" ref="X1137:X1142" si="286">A1137+K1137+V1137+W1137+L1137</f>
        <v>46153.53816261574</v>
      </c>
    </row>
    <row r="1138" spans="1:24" hidden="1" x14ac:dyDescent="0.35">
      <c r="A1138" s="46">
        <f t="shared" si="285"/>
        <v>46153.53816261574</v>
      </c>
      <c r="B1138" s="46"/>
      <c r="C1138" s="260"/>
      <c r="D1138" s="46"/>
      <c r="E1138" s="47" t="s">
        <v>1872</v>
      </c>
      <c r="F1138" s="82" t="s">
        <v>5793</v>
      </c>
      <c r="G1138" s="82" t="s">
        <v>327</v>
      </c>
      <c r="H1138" s="107" t="s">
        <v>5794</v>
      </c>
      <c r="I1138" s="417" t="s">
        <v>4299</v>
      </c>
      <c r="J1138" s="100" t="s">
        <v>140</v>
      </c>
      <c r="K1138" s="91">
        <v>0</v>
      </c>
      <c r="L1138" s="91">
        <v>0</v>
      </c>
      <c r="M1138" s="92">
        <v>55</v>
      </c>
      <c r="N1138" s="94">
        <v>3000</v>
      </c>
      <c r="O1138" s="92">
        <v>1</v>
      </c>
      <c r="P1138" s="94">
        <f t="shared" si="279"/>
        <v>3000</v>
      </c>
      <c r="Q1138" s="94"/>
      <c r="R1138" s="92">
        <v>3000</v>
      </c>
      <c r="S1138" s="92">
        <f t="shared" si="280"/>
        <v>0</v>
      </c>
      <c r="T1138" s="102">
        <f t="shared" si="281"/>
        <v>1570.909090909091</v>
      </c>
      <c r="U1138" s="101">
        <f t="shared" si="282"/>
        <v>0</v>
      </c>
      <c r="V1138" s="101">
        <f t="shared" si="283"/>
        <v>0</v>
      </c>
      <c r="W1138" s="101">
        <v>0</v>
      </c>
      <c r="X1138" s="55">
        <f t="shared" si="286"/>
        <v>46153.53816261574</v>
      </c>
    </row>
    <row r="1139" spans="1:24" hidden="1" x14ac:dyDescent="0.35">
      <c r="A1139" s="46">
        <f t="shared" si="285"/>
        <v>46153.53816261574</v>
      </c>
      <c r="B1139" s="46"/>
      <c r="C1139" s="260"/>
      <c r="D1139" s="46"/>
      <c r="E1139" s="47" t="s">
        <v>1872</v>
      </c>
      <c r="F1139" s="82" t="s">
        <v>5795</v>
      </c>
      <c r="G1139" s="82" t="s">
        <v>327</v>
      </c>
      <c r="H1139" s="107" t="s">
        <v>5796</v>
      </c>
      <c r="I1139" s="417" t="s">
        <v>4299</v>
      </c>
      <c r="J1139" s="100" t="s">
        <v>140</v>
      </c>
      <c r="K1139" s="91">
        <v>0</v>
      </c>
      <c r="L1139" s="91">
        <v>0</v>
      </c>
      <c r="M1139" s="92">
        <v>55</v>
      </c>
      <c r="N1139" s="94">
        <v>3000</v>
      </c>
      <c r="O1139" s="92">
        <v>1</v>
      </c>
      <c r="P1139" s="94">
        <f t="shared" si="279"/>
        <v>3000</v>
      </c>
      <c r="Q1139" s="94"/>
      <c r="R1139" s="92">
        <v>3000</v>
      </c>
      <c r="S1139" s="92">
        <f t="shared" si="280"/>
        <v>0</v>
      </c>
      <c r="T1139" s="102">
        <f t="shared" si="281"/>
        <v>1570.909090909091</v>
      </c>
      <c r="U1139" s="101">
        <f t="shared" si="282"/>
        <v>0</v>
      </c>
      <c r="V1139" s="101">
        <f t="shared" si="283"/>
        <v>0</v>
      </c>
      <c r="W1139" s="101">
        <v>0</v>
      </c>
      <c r="X1139" s="55">
        <f t="shared" si="286"/>
        <v>46153.53816261574</v>
      </c>
    </row>
    <row r="1140" spans="1:24" hidden="1" x14ac:dyDescent="0.35">
      <c r="A1140" s="46">
        <f t="shared" si="285"/>
        <v>46153.53816261574</v>
      </c>
      <c r="B1140" s="46"/>
      <c r="C1140" s="260"/>
      <c r="D1140" s="46"/>
      <c r="E1140" s="47" t="s">
        <v>4651</v>
      </c>
      <c r="F1140" s="82" t="s">
        <v>355</v>
      </c>
      <c r="G1140" s="82" t="s">
        <v>327</v>
      </c>
      <c r="H1140" s="107" t="s">
        <v>1863</v>
      </c>
      <c r="I1140" s="82" t="s">
        <v>1864</v>
      </c>
      <c r="J1140" s="100" t="s">
        <v>140</v>
      </c>
      <c r="K1140" s="91">
        <v>0</v>
      </c>
      <c r="L1140" s="91">
        <v>0</v>
      </c>
      <c r="M1140" s="92">
        <v>90</v>
      </c>
      <c r="N1140" s="94">
        <f>35000-3000-12000</f>
        <v>20000</v>
      </c>
      <c r="O1140" s="92">
        <v>2</v>
      </c>
      <c r="P1140" s="94">
        <f t="shared" si="279"/>
        <v>10000</v>
      </c>
      <c r="Q1140" s="94"/>
      <c r="R1140" s="102">
        <v>10000</v>
      </c>
      <c r="S1140" s="92">
        <f t="shared" si="280"/>
        <v>0</v>
      </c>
      <c r="T1140" s="102">
        <f t="shared" si="281"/>
        <v>1920</v>
      </c>
      <c r="U1140" s="101">
        <f t="shared" si="282"/>
        <v>0</v>
      </c>
      <c r="V1140" s="101">
        <f t="shared" si="283"/>
        <v>0</v>
      </c>
      <c r="W1140" s="101">
        <v>0</v>
      </c>
      <c r="X1140" s="55">
        <f t="shared" si="286"/>
        <v>46153.53816261574</v>
      </c>
    </row>
    <row r="1141" spans="1:24" s="109" customFormat="1" ht="13" hidden="1" x14ac:dyDescent="0.3">
      <c r="A1141" s="46">
        <f t="shared" si="285"/>
        <v>46153.53816261574</v>
      </c>
      <c r="B1141" s="46"/>
      <c r="C1141" s="260"/>
      <c r="D1141" s="46"/>
      <c r="E1141" s="47" t="s">
        <v>1872</v>
      </c>
      <c r="F1141" s="82" t="s">
        <v>5797</v>
      </c>
      <c r="G1141" s="82" t="s">
        <v>792</v>
      </c>
      <c r="H1141" s="107" t="s">
        <v>5798</v>
      </c>
      <c r="I1141" s="417" t="s">
        <v>4299</v>
      </c>
      <c r="J1141" s="100" t="s">
        <v>140</v>
      </c>
      <c r="K1141" s="91">
        <v>0</v>
      </c>
      <c r="L1141" s="91">
        <v>0</v>
      </c>
      <c r="M1141" s="92">
        <v>55</v>
      </c>
      <c r="N1141" s="94">
        <v>9000</v>
      </c>
      <c r="O1141" s="92">
        <v>1</v>
      </c>
      <c r="P1141" s="94">
        <f t="shared" si="279"/>
        <v>9000</v>
      </c>
      <c r="Q1141" s="94"/>
      <c r="R1141" s="92">
        <v>9000</v>
      </c>
      <c r="S1141" s="92">
        <f t="shared" si="280"/>
        <v>0</v>
      </c>
      <c r="T1141" s="102">
        <f t="shared" si="281"/>
        <v>1570.909090909091</v>
      </c>
      <c r="U1141" s="101">
        <f t="shared" si="282"/>
        <v>0</v>
      </c>
      <c r="V1141" s="101">
        <f t="shared" si="283"/>
        <v>0</v>
      </c>
      <c r="W1141" s="101">
        <v>0</v>
      </c>
      <c r="X1141" s="55">
        <f t="shared" si="286"/>
        <v>46153.53816261574</v>
      </c>
    </row>
    <row r="1142" spans="1:24" s="500" customFormat="1" ht="13" hidden="1" x14ac:dyDescent="0.3">
      <c r="A1142" s="46">
        <f t="shared" si="285"/>
        <v>46153.53816261574</v>
      </c>
      <c r="B1142" s="46"/>
      <c r="C1142" s="260"/>
      <c r="D1142" s="46"/>
      <c r="E1142" s="810" t="s">
        <v>1872</v>
      </c>
      <c r="F1142" s="82" t="s">
        <v>900</v>
      </c>
      <c r="G1142" s="82" t="s">
        <v>792</v>
      </c>
      <c r="H1142" s="98" t="s">
        <v>4630</v>
      </c>
      <c r="I1142" s="82" t="s">
        <v>3491</v>
      </c>
      <c r="J1142" s="100" t="s">
        <v>140</v>
      </c>
      <c r="K1142" s="91">
        <v>0</v>
      </c>
      <c r="L1142" s="91">
        <v>0</v>
      </c>
      <c r="M1142" s="92">
        <v>110</v>
      </c>
      <c r="N1142" s="94">
        <v>10000</v>
      </c>
      <c r="O1142" s="253">
        <v>4</v>
      </c>
      <c r="P1142" s="94">
        <f t="shared" si="279"/>
        <v>2500</v>
      </c>
      <c r="Q1142" s="94"/>
      <c r="R1142" s="92">
        <v>2500</v>
      </c>
      <c r="S1142" s="92">
        <f t="shared" si="280"/>
        <v>0</v>
      </c>
      <c r="T1142" s="173">
        <f t="shared" si="281"/>
        <v>3141.818181818182</v>
      </c>
      <c r="U1142" s="101">
        <f t="shared" si="282"/>
        <v>0</v>
      </c>
      <c r="V1142" s="101">
        <f t="shared" si="283"/>
        <v>0</v>
      </c>
      <c r="W1142" s="101">
        <v>0</v>
      </c>
      <c r="X1142" s="696">
        <f t="shared" si="286"/>
        <v>46153.53816261574</v>
      </c>
    </row>
    <row r="1143" spans="1:24" s="109" customFormat="1" ht="13" hidden="1" x14ac:dyDescent="0.3">
      <c r="A1143" s="46">
        <f t="shared" si="285"/>
        <v>46153.53816261574</v>
      </c>
      <c r="B1143" s="46"/>
      <c r="C1143" s="260"/>
      <c r="D1143" s="46"/>
      <c r="E1143" s="47" t="s">
        <v>1872</v>
      </c>
      <c r="F1143" s="99" t="s">
        <v>4761</v>
      </c>
      <c r="G1143" s="99" t="s">
        <v>792</v>
      </c>
      <c r="H1143" s="98" t="s">
        <v>5799</v>
      </c>
      <c r="I1143" s="99" t="s">
        <v>5708</v>
      </c>
      <c r="J1143" s="100" t="s">
        <v>140</v>
      </c>
      <c r="K1143" s="91">
        <v>0</v>
      </c>
      <c r="L1143" s="91">
        <v>0</v>
      </c>
      <c r="M1143" s="102">
        <v>260</v>
      </c>
      <c r="N1143" s="103">
        <v>500</v>
      </c>
      <c r="O1143" s="102">
        <v>1</v>
      </c>
      <c r="P1143" s="94">
        <f t="shared" si="279"/>
        <v>500</v>
      </c>
      <c r="Q1143" s="94"/>
      <c r="R1143" s="102">
        <v>500</v>
      </c>
      <c r="S1143" s="102">
        <f t="shared" si="280"/>
        <v>0</v>
      </c>
      <c r="T1143" s="102">
        <f t="shared" si="281"/>
        <v>332.30769230769232</v>
      </c>
      <c r="U1143" s="101">
        <f t="shared" si="282"/>
        <v>0</v>
      </c>
      <c r="V1143" s="101">
        <f t="shared" si="283"/>
        <v>0</v>
      </c>
      <c r="W1143" s="101">
        <v>0</v>
      </c>
      <c r="X1143" s="55">
        <f>A1143+K1143+L1143+V1143+W1143</f>
        <v>46153.53816261574</v>
      </c>
    </row>
    <row r="1144" spans="1:24" s="1019" customFormat="1" ht="13" hidden="1" x14ac:dyDescent="0.3">
      <c r="A1144" s="46">
        <f t="shared" si="285"/>
        <v>46153.53816261574</v>
      </c>
      <c r="B1144" s="46"/>
      <c r="C1144" s="260"/>
      <c r="D1144" s="46"/>
      <c r="E1144" s="47" t="s">
        <v>1872</v>
      </c>
      <c r="F1144" s="99" t="s">
        <v>5800</v>
      </c>
      <c r="G1144" s="99" t="s">
        <v>792</v>
      </c>
      <c r="H1144" s="98" t="s">
        <v>5801</v>
      </c>
      <c r="I1144" s="99" t="s">
        <v>5708</v>
      </c>
      <c r="J1144" s="100" t="s">
        <v>140</v>
      </c>
      <c r="K1144" s="91">
        <v>0</v>
      </c>
      <c r="L1144" s="91">
        <v>0</v>
      </c>
      <c r="M1144" s="102">
        <v>260</v>
      </c>
      <c r="N1144" s="103">
        <v>1000</v>
      </c>
      <c r="O1144" s="102">
        <v>1</v>
      </c>
      <c r="P1144" s="94">
        <f t="shared" si="279"/>
        <v>1000</v>
      </c>
      <c r="Q1144" s="94"/>
      <c r="R1144" s="102">
        <v>1000</v>
      </c>
      <c r="S1144" s="102">
        <f t="shared" si="280"/>
        <v>0</v>
      </c>
      <c r="T1144" s="102">
        <f t="shared" si="281"/>
        <v>332.30769230769232</v>
      </c>
      <c r="U1144" s="101">
        <f t="shared" si="282"/>
        <v>0</v>
      </c>
      <c r="V1144" s="101">
        <f t="shared" si="283"/>
        <v>0</v>
      </c>
      <c r="W1144" s="101">
        <v>0</v>
      </c>
      <c r="X1144" s="55">
        <f>A1144+K1144+L1144+V1144+W1144</f>
        <v>46153.53816261574</v>
      </c>
    </row>
    <row r="1145" spans="1:24" s="109" customFormat="1" ht="13" hidden="1" x14ac:dyDescent="0.3">
      <c r="A1145" s="46">
        <f t="shared" si="285"/>
        <v>46153.53816261574</v>
      </c>
      <c r="B1145" s="46"/>
      <c r="C1145" s="260"/>
      <c r="D1145" s="46"/>
      <c r="E1145" s="47" t="s">
        <v>1872</v>
      </c>
      <c r="F1145" s="99" t="s">
        <v>5800</v>
      </c>
      <c r="G1145" s="99" t="s">
        <v>359</v>
      </c>
      <c r="H1145" s="98" t="s">
        <v>5802</v>
      </c>
      <c r="I1145" s="82" t="s">
        <v>4308</v>
      </c>
      <c r="J1145" s="100" t="s">
        <v>140</v>
      </c>
      <c r="K1145" s="91">
        <v>0</v>
      </c>
      <c r="L1145" s="91">
        <v>0</v>
      </c>
      <c r="M1145" s="92">
        <v>250</v>
      </c>
      <c r="N1145" s="94">
        <v>1500</v>
      </c>
      <c r="O1145" s="92">
        <v>1</v>
      </c>
      <c r="P1145" s="94">
        <f t="shared" si="279"/>
        <v>1500</v>
      </c>
      <c r="Q1145" s="94"/>
      <c r="R1145" s="92">
        <v>1500</v>
      </c>
      <c r="S1145" s="102">
        <f t="shared" si="280"/>
        <v>0</v>
      </c>
      <c r="T1145" s="102">
        <f t="shared" si="281"/>
        <v>345.6</v>
      </c>
      <c r="U1145" s="101">
        <f t="shared" si="282"/>
        <v>0</v>
      </c>
      <c r="V1145" s="101">
        <f t="shared" si="283"/>
        <v>0</v>
      </c>
      <c r="W1145" s="101">
        <v>0</v>
      </c>
      <c r="X1145" s="55">
        <f>A1145+K1145+L1145+V1145+W1145</f>
        <v>46153.53816261574</v>
      </c>
    </row>
    <row r="1146" spans="1:24" s="487" customFormat="1" hidden="1" x14ac:dyDescent="0.35">
      <c r="A1146" s="295">
        <f t="shared" si="285"/>
        <v>46153.53816261574</v>
      </c>
      <c r="B1146" s="295"/>
      <c r="C1146" s="979"/>
      <c r="D1146" s="295"/>
      <c r="E1146" s="296" t="s">
        <v>1872</v>
      </c>
      <c r="F1146" s="367" t="s">
        <v>14</v>
      </c>
      <c r="G1146" s="297"/>
      <c r="H1146" s="367" t="s">
        <v>14</v>
      </c>
      <c r="I1146" s="1020" t="s">
        <v>5803</v>
      </c>
      <c r="J1146" s="351"/>
      <c r="K1146" s="352">
        <v>0.25</v>
      </c>
      <c r="L1146" s="352">
        <v>0.2</v>
      </c>
      <c r="M1146" s="1021">
        <v>70</v>
      </c>
      <c r="N1146" s="353">
        <v>150</v>
      </c>
      <c r="O1146" s="353">
        <v>4</v>
      </c>
      <c r="P1146" s="353">
        <f t="shared" si="279"/>
        <v>37.5</v>
      </c>
      <c r="Q1146" s="353"/>
      <c r="R1146" s="353">
        <v>38</v>
      </c>
      <c r="S1146" s="353">
        <v>0</v>
      </c>
      <c r="T1146" s="353">
        <f t="shared" si="281"/>
        <v>4937.1428571428569</v>
      </c>
      <c r="U1146" s="352">
        <f t="shared" si="282"/>
        <v>-9.7222222222222224E-3</v>
      </c>
      <c r="V1146" s="352">
        <f t="shared" si="283"/>
        <v>-4.0509259259259258E-4</v>
      </c>
      <c r="W1146" s="352">
        <v>0</v>
      </c>
      <c r="X1146" s="308">
        <f>A1146+K1146+V1146+W1146+L1146</f>
        <v>46153.987757523144</v>
      </c>
    </row>
    <row r="1147" spans="1:24" s="109" customFormat="1" ht="13" hidden="1" x14ac:dyDescent="0.3">
      <c r="A1147" s="46">
        <f t="shared" si="285"/>
        <v>46153.987757523144</v>
      </c>
      <c r="B1147" s="46"/>
      <c r="C1147" s="260"/>
      <c r="D1147" s="46"/>
      <c r="E1147" s="47" t="s">
        <v>1872</v>
      </c>
      <c r="F1147" s="82" t="s">
        <v>1879</v>
      </c>
      <c r="G1147" s="82" t="s">
        <v>359</v>
      </c>
      <c r="H1147" s="98" t="s">
        <v>5804</v>
      </c>
      <c r="I1147" s="453" t="s">
        <v>4368</v>
      </c>
      <c r="J1147" s="51" t="s">
        <v>140</v>
      </c>
      <c r="K1147" s="91">
        <v>0</v>
      </c>
      <c r="L1147" s="91">
        <v>0</v>
      </c>
      <c r="M1147" s="92">
        <v>60</v>
      </c>
      <c r="N1147" s="94">
        <v>600</v>
      </c>
      <c r="O1147" s="92">
        <v>1</v>
      </c>
      <c r="P1147" s="94">
        <f t="shared" si="279"/>
        <v>600</v>
      </c>
      <c r="Q1147" s="94"/>
      <c r="R1147" s="92">
        <v>600</v>
      </c>
      <c r="S1147" s="92">
        <f t="shared" ref="S1147:S1157" si="287">P1147-R1147</f>
        <v>0</v>
      </c>
      <c r="T1147" s="92">
        <f t="shared" si="281"/>
        <v>1440</v>
      </c>
      <c r="U1147" s="91">
        <f t="shared" si="282"/>
        <v>0</v>
      </c>
      <c r="V1147" s="91">
        <f t="shared" si="283"/>
        <v>0</v>
      </c>
      <c r="W1147" s="91">
        <v>0</v>
      </c>
      <c r="X1147" s="55">
        <f>A1147+K1147+V1147+W1147+L1147</f>
        <v>46153.987757523144</v>
      </c>
    </row>
    <row r="1148" spans="1:24" s="109" customFormat="1" ht="13" hidden="1" x14ac:dyDescent="0.3">
      <c r="A1148" s="46">
        <f t="shared" si="285"/>
        <v>46153.987757523144</v>
      </c>
      <c r="B1148" s="46"/>
      <c r="C1148" s="260"/>
      <c r="D1148" s="46"/>
      <c r="E1148" s="47" t="s">
        <v>1872</v>
      </c>
      <c r="F1148" s="82" t="s">
        <v>1879</v>
      </c>
      <c r="G1148" s="82" t="s">
        <v>359</v>
      </c>
      <c r="H1148" s="98" t="s">
        <v>5805</v>
      </c>
      <c r="I1148" s="453" t="s">
        <v>5661</v>
      </c>
      <c r="J1148" s="51" t="s">
        <v>140</v>
      </c>
      <c r="K1148" s="91">
        <v>0</v>
      </c>
      <c r="L1148" s="91">
        <v>0</v>
      </c>
      <c r="M1148" s="92">
        <v>84</v>
      </c>
      <c r="N1148" s="94">
        <v>300</v>
      </c>
      <c r="O1148" s="92">
        <v>1</v>
      </c>
      <c r="P1148" s="103">
        <f t="shared" si="279"/>
        <v>300</v>
      </c>
      <c r="Q1148" s="103"/>
      <c r="R1148" s="92">
        <v>300</v>
      </c>
      <c r="S1148" s="92">
        <f t="shared" si="287"/>
        <v>0</v>
      </c>
      <c r="T1148" s="92">
        <f t="shared" si="281"/>
        <v>1028.5714285714284</v>
      </c>
      <c r="U1148" s="91">
        <f t="shared" si="282"/>
        <v>0</v>
      </c>
      <c r="V1148" s="91">
        <f t="shared" si="283"/>
        <v>0</v>
      </c>
      <c r="W1148" s="91">
        <v>0</v>
      </c>
      <c r="X1148" s="55">
        <f>A1148+K1148+V1148+W1148+L1148</f>
        <v>46153.987757523144</v>
      </c>
    </row>
    <row r="1149" spans="1:24" s="109" customFormat="1" ht="13" hidden="1" x14ac:dyDescent="0.3">
      <c r="A1149" s="46">
        <f t="shared" si="285"/>
        <v>46153.987757523144</v>
      </c>
      <c r="B1149" s="46"/>
      <c r="C1149" s="260"/>
      <c r="D1149" s="46"/>
      <c r="E1149" s="47" t="s">
        <v>1872</v>
      </c>
      <c r="F1149" s="82" t="s">
        <v>1879</v>
      </c>
      <c r="G1149" s="82" t="s">
        <v>359</v>
      </c>
      <c r="H1149" s="98" t="s">
        <v>5806</v>
      </c>
      <c r="I1149" s="453" t="s">
        <v>5663</v>
      </c>
      <c r="J1149" s="51" t="s">
        <v>140</v>
      </c>
      <c r="K1149" s="91">
        <v>0</v>
      </c>
      <c r="L1149" s="91">
        <v>0</v>
      </c>
      <c r="M1149" s="92">
        <v>60</v>
      </c>
      <c r="N1149" s="94">
        <v>250</v>
      </c>
      <c r="O1149" s="92">
        <v>1</v>
      </c>
      <c r="P1149" s="94">
        <f t="shared" ref="P1149:P1157" si="288">N1149/O1149</f>
        <v>250</v>
      </c>
      <c r="Q1149" s="94"/>
      <c r="R1149" s="92">
        <v>250</v>
      </c>
      <c r="S1149" s="92">
        <f t="shared" si="287"/>
        <v>0</v>
      </c>
      <c r="T1149" s="92">
        <f t="shared" ref="T1149:T1154" si="289">((3600/M1149)*O1149)*24</f>
        <v>1440</v>
      </c>
      <c r="U1149" s="91">
        <f t="shared" ref="U1149:U1154" si="290">(P1149-R1149)*M1149/3600</f>
        <v>0</v>
      </c>
      <c r="V1149" s="91">
        <f t="shared" ref="V1149:V1154" si="291">(P1149-R1149)*M1149/3600/24</f>
        <v>0</v>
      </c>
      <c r="W1149" s="91">
        <v>0</v>
      </c>
      <c r="X1149" s="55">
        <f>A1149+K1149+V1149+W1149+L1149</f>
        <v>46153.987757523144</v>
      </c>
    </row>
    <row r="1150" spans="1:24" s="118" customFormat="1" hidden="1" x14ac:dyDescent="0.35">
      <c r="A1150" s="46">
        <f t="shared" si="285"/>
        <v>46153.987757523144</v>
      </c>
      <c r="B1150" s="46"/>
      <c r="C1150" s="260"/>
      <c r="D1150" s="46"/>
      <c r="E1150" s="119" t="s">
        <v>4999</v>
      </c>
      <c r="F1150" s="803" t="s">
        <v>5807</v>
      </c>
      <c r="G1150" s="803" t="s">
        <v>359</v>
      </c>
      <c r="H1150" s="804" t="s">
        <v>5808</v>
      </c>
      <c r="I1150" s="805" t="s">
        <v>4363</v>
      </c>
      <c r="J1150" s="805" t="s">
        <v>140</v>
      </c>
      <c r="K1150" s="101">
        <v>0</v>
      </c>
      <c r="L1150" s="101">
        <v>0</v>
      </c>
      <c r="M1150" s="346">
        <v>15</v>
      </c>
      <c r="N1150" s="806">
        <f>6000*40</f>
        <v>240000</v>
      </c>
      <c r="O1150" s="807">
        <v>6</v>
      </c>
      <c r="P1150" s="806">
        <f t="shared" si="288"/>
        <v>40000</v>
      </c>
      <c r="Q1150" s="806"/>
      <c r="R1150" s="806">
        <v>40000</v>
      </c>
      <c r="S1150" s="806">
        <f t="shared" si="287"/>
        <v>0</v>
      </c>
      <c r="T1150" s="807">
        <f t="shared" si="289"/>
        <v>34560</v>
      </c>
      <c r="U1150" s="854">
        <f t="shared" si="290"/>
        <v>0</v>
      </c>
      <c r="V1150" s="101">
        <f t="shared" si="291"/>
        <v>0</v>
      </c>
      <c r="W1150" s="101">
        <v>0</v>
      </c>
      <c r="X1150" s="255">
        <f>A1150+K1150+L1150+V1150+W1150</f>
        <v>46153.987757523144</v>
      </c>
    </row>
    <row r="1151" spans="1:24" hidden="1" x14ac:dyDescent="0.35">
      <c r="A1151" s="46">
        <f t="shared" si="285"/>
        <v>46153.987757523144</v>
      </c>
      <c r="B1151" s="46"/>
      <c r="C1151" s="260"/>
      <c r="D1151" s="46"/>
      <c r="E1151" s="47" t="s">
        <v>1872</v>
      </c>
      <c r="F1151" s="99" t="s">
        <v>2821</v>
      </c>
      <c r="G1151" s="99" t="s">
        <v>359</v>
      </c>
      <c r="H1151" s="98" t="s">
        <v>5809</v>
      </c>
      <c r="I1151" s="99" t="s">
        <v>1807</v>
      </c>
      <c r="J1151" s="100" t="s">
        <v>140</v>
      </c>
      <c r="K1151" s="91">
        <v>0</v>
      </c>
      <c r="L1151" s="91">
        <v>0</v>
      </c>
      <c r="M1151" s="92">
        <v>250</v>
      </c>
      <c r="N1151" s="94">
        <v>420</v>
      </c>
      <c r="O1151" s="253">
        <v>1</v>
      </c>
      <c r="P1151" s="94">
        <f t="shared" si="288"/>
        <v>420</v>
      </c>
      <c r="Q1151" s="94"/>
      <c r="R1151" s="92">
        <v>420</v>
      </c>
      <c r="S1151" s="92">
        <f t="shared" si="287"/>
        <v>0</v>
      </c>
      <c r="T1151" s="173">
        <f t="shared" si="289"/>
        <v>345.6</v>
      </c>
      <c r="U1151" s="101">
        <f t="shared" si="290"/>
        <v>0</v>
      </c>
      <c r="V1151" s="101">
        <f t="shared" si="291"/>
        <v>0</v>
      </c>
      <c r="W1151" s="101">
        <v>0</v>
      </c>
      <c r="X1151" s="55">
        <f>A1151+K1151+V1151+W1151+L1151</f>
        <v>46153.987757523144</v>
      </c>
    </row>
    <row r="1152" spans="1:24" hidden="1" x14ac:dyDescent="0.35">
      <c r="A1152" s="46">
        <f>S7</f>
        <v>46153</v>
      </c>
      <c r="B1152" s="46"/>
      <c r="C1152" s="260"/>
      <c r="D1152" s="46"/>
      <c r="E1152" s="47" t="s">
        <v>4270</v>
      </c>
      <c r="F1152" s="82" t="s">
        <v>4271</v>
      </c>
      <c r="G1152" s="82" t="s">
        <v>830</v>
      </c>
      <c r="H1152" s="107" t="s">
        <v>5810</v>
      </c>
      <c r="I1152" s="417" t="s">
        <v>4299</v>
      </c>
      <c r="J1152" s="100" t="s">
        <v>140</v>
      </c>
      <c r="K1152" s="91">
        <v>0</v>
      </c>
      <c r="L1152" s="91">
        <v>0</v>
      </c>
      <c r="M1152" s="92">
        <v>55</v>
      </c>
      <c r="N1152" s="94">
        <v>11470</v>
      </c>
      <c r="O1152" s="92">
        <v>1</v>
      </c>
      <c r="P1152" s="94">
        <f t="shared" si="288"/>
        <v>11470</v>
      </c>
      <c r="Q1152" s="94"/>
      <c r="R1152" s="92">
        <v>11470</v>
      </c>
      <c r="S1152" s="92">
        <f t="shared" si="287"/>
        <v>0</v>
      </c>
      <c r="T1152" s="102">
        <f t="shared" si="289"/>
        <v>1570.909090909091</v>
      </c>
      <c r="U1152" s="101">
        <f t="shared" si="290"/>
        <v>0</v>
      </c>
      <c r="V1152" s="101">
        <f t="shared" si="291"/>
        <v>0</v>
      </c>
      <c r="W1152" s="101">
        <v>0</v>
      </c>
      <c r="X1152" s="55">
        <f>A1152+K1152+V1152+W1152+L1152</f>
        <v>46153</v>
      </c>
    </row>
    <row r="1153" spans="1:24" s="802" customFormat="1" ht="13" hidden="1" x14ac:dyDescent="0.3">
      <c r="A1153" s="46">
        <f t="shared" ref="A1153:A1159" si="292">X1152</f>
        <v>46153</v>
      </c>
      <c r="B1153" s="46"/>
      <c r="C1153" s="260"/>
      <c r="D1153" s="46"/>
      <c r="E1153" s="47" t="s">
        <v>1872</v>
      </c>
      <c r="F1153" s="82" t="s">
        <v>1603</v>
      </c>
      <c r="G1153" s="82"/>
      <c r="H1153" s="108">
        <v>13410</v>
      </c>
      <c r="I1153" s="82" t="s">
        <v>1649</v>
      </c>
      <c r="J1153" s="51" t="s">
        <v>140</v>
      </c>
      <c r="K1153" s="91">
        <v>0</v>
      </c>
      <c r="L1153" s="91">
        <v>0</v>
      </c>
      <c r="M1153" s="92">
        <v>60</v>
      </c>
      <c r="N1153" s="226">
        <v>8000</v>
      </c>
      <c r="O1153" s="92">
        <v>1</v>
      </c>
      <c r="P1153" s="94">
        <f t="shared" si="288"/>
        <v>8000</v>
      </c>
      <c r="Q1153" s="94"/>
      <c r="R1153" s="92">
        <v>8000</v>
      </c>
      <c r="S1153" s="92">
        <f t="shared" si="287"/>
        <v>0</v>
      </c>
      <c r="T1153" s="92">
        <f t="shared" si="289"/>
        <v>1440</v>
      </c>
      <c r="U1153" s="91">
        <f t="shared" si="290"/>
        <v>0</v>
      </c>
      <c r="V1153" s="91">
        <f t="shared" si="291"/>
        <v>0</v>
      </c>
      <c r="W1153" s="91">
        <v>0</v>
      </c>
      <c r="X1153" s="55">
        <f>A1153+K1153+V1153+W1153+L1153</f>
        <v>46153</v>
      </c>
    </row>
    <row r="1154" spans="1:24" s="121" customFormat="1" hidden="1" x14ac:dyDescent="0.35">
      <c r="A1154" s="46">
        <f t="shared" si="292"/>
        <v>46153</v>
      </c>
      <c r="B1154" s="46"/>
      <c r="C1154" s="260"/>
      <c r="D1154" s="46"/>
      <c r="E1154" s="47" t="s">
        <v>4999</v>
      </c>
      <c r="F1154" s="82"/>
      <c r="G1154" s="82" t="s">
        <v>839</v>
      </c>
      <c r="H1154" s="895">
        <v>13401</v>
      </c>
      <c r="I1154" s="82" t="s">
        <v>5643</v>
      </c>
      <c r="J1154" s="51" t="s">
        <v>140</v>
      </c>
      <c r="K1154" s="91">
        <v>0</v>
      </c>
      <c r="L1154" s="91">
        <v>0</v>
      </c>
      <c r="M1154" s="92">
        <v>50</v>
      </c>
      <c r="N1154" s="94">
        <v>10000</v>
      </c>
      <c r="O1154" s="102">
        <v>2</v>
      </c>
      <c r="P1154" s="94">
        <f t="shared" si="288"/>
        <v>5000</v>
      </c>
      <c r="Q1154" s="94"/>
      <c r="R1154" s="92">
        <v>5000</v>
      </c>
      <c r="S1154" s="92">
        <f t="shared" si="287"/>
        <v>0</v>
      </c>
      <c r="T1154" s="92">
        <f t="shared" si="289"/>
        <v>3456</v>
      </c>
      <c r="U1154" s="91">
        <f t="shared" si="290"/>
        <v>0</v>
      </c>
      <c r="V1154" s="91">
        <f t="shared" si="291"/>
        <v>0</v>
      </c>
      <c r="W1154" s="91">
        <v>0</v>
      </c>
      <c r="X1154" s="55">
        <f>A1154+K1154+V1154+W1154+L1154</f>
        <v>46153</v>
      </c>
    </row>
    <row r="1155" spans="1:24" s="802" customFormat="1" ht="13" hidden="1" x14ac:dyDescent="0.3">
      <c r="A1155" s="46">
        <f t="shared" si="292"/>
        <v>46153</v>
      </c>
      <c r="B1155" s="46">
        <v>46059</v>
      </c>
      <c r="C1155" s="260">
        <f>B1155-A1155</f>
        <v>-94</v>
      </c>
      <c r="D1155" s="260"/>
      <c r="E1155" s="47" t="s">
        <v>4999</v>
      </c>
      <c r="F1155" s="82" t="s">
        <v>2190</v>
      </c>
      <c r="G1155" s="82" t="s">
        <v>1900</v>
      </c>
      <c r="H1155" s="895">
        <v>13532</v>
      </c>
      <c r="I1155" s="82" t="s">
        <v>5643</v>
      </c>
      <c r="J1155" s="51" t="s">
        <v>140</v>
      </c>
      <c r="K1155" s="91">
        <v>0</v>
      </c>
      <c r="L1155" s="91">
        <v>0</v>
      </c>
      <c r="M1155" s="92">
        <v>50</v>
      </c>
      <c r="N1155" s="94">
        <v>5000</v>
      </c>
      <c r="O1155" s="102">
        <v>1</v>
      </c>
      <c r="P1155" s="94">
        <f t="shared" si="288"/>
        <v>5000</v>
      </c>
      <c r="Q1155" s="181">
        <v>0.8</v>
      </c>
      <c r="R1155" s="92">
        <v>5000</v>
      </c>
      <c r="S1155" s="103">
        <f t="shared" si="287"/>
        <v>0</v>
      </c>
      <c r="T1155" s="173">
        <f>((3600/M1155)*O1155)*24*Q1155</f>
        <v>1382.4</v>
      </c>
      <c r="U1155" s="101">
        <f>(P1155-R1155)*M1155/3600/Q1155</f>
        <v>0</v>
      </c>
      <c r="V1155" s="101">
        <f>U1155/24</f>
        <v>0</v>
      </c>
      <c r="W1155" s="101">
        <v>0</v>
      </c>
      <c r="X1155" s="55">
        <f>A1155+K1155+V1155+W1155+L1155</f>
        <v>46153</v>
      </c>
    </row>
    <row r="1156" spans="1:24" s="511" customFormat="1" hidden="1" x14ac:dyDescent="0.35">
      <c r="A1156" s="46">
        <f t="shared" si="292"/>
        <v>46153</v>
      </c>
      <c r="B1156" s="46">
        <v>46084</v>
      </c>
      <c r="C1156" s="260">
        <f>B1156-A1156</f>
        <v>-69</v>
      </c>
      <c r="D1156" s="260"/>
      <c r="E1156" s="47" t="s">
        <v>4999</v>
      </c>
      <c r="F1156" s="51"/>
      <c r="G1156" s="51" t="s">
        <v>386</v>
      </c>
      <c r="H1156" s="98" t="s">
        <v>5811</v>
      </c>
      <c r="I1156" s="855" t="s">
        <v>4884</v>
      </c>
      <c r="J1156" s="100" t="s">
        <v>140</v>
      </c>
      <c r="K1156" s="91">
        <v>0</v>
      </c>
      <c r="L1156" s="91">
        <v>0</v>
      </c>
      <c r="M1156" s="92">
        <v>135</v>
      </c>
      <c r="N1156" s="94">
        <v>15000</v>
      </c>
      <c r="O1156" s="94">
        <v>2</v>
      </c>
      <c r="P1156" s="94">
        <f t="shared" si="288"/>
        <v>7500</v>
      </c>
      <c r="Q1156" s="181">
        <v>0.8</v>
      </c>
      <c r="R1156" s="92">
        <v>7500</v>
      </c>
      <c r="S1156" s="103">
        <f t="shared" si="287"/>
        <v>0</v>
      </c>
      <c r="T1156" s="173">
        <f>((3600/M1156)*O1156)*24*Q1156</f>
        <v>1024</v>
      </c>
      <c r="U1156" s="101">
        <f>(P1156-R1156)*M1156/3600/Q1156</f>
        <v>0</v>
      </c>
      <c r="V1156" s="101">
        <f>U1156/24</f>
        <v>0</v>
      </c>
      <c r="W1156" s="101">
        <v>0</v>
      </c>
      <c r="X1156" s="55">
        <f>A1156+K1156+L1156+V1156+W1156</f>
        <v>46153</v>
      </c>
    </row>
    <row r="1157" spans="1:24" s="511" customFormat="1" ht="15" hidden="1" customHeight="1" x14ac:dyDescent="0.35">
      <c r="A1157" s="46">
        <f t="shared" si="292"/>
        <v>46153</v>
      </c>
      <c r="B1157" s="46">
        <v>46095</v>
      </c>
      <c r="C1157" s="260">
        <f>B1157-A1157</f>
        <v>-58</v>
      </c>
      <c r="D1157" s="260" t="s">
        <v>2673</v>
      </c>
      <c r="E1157" s="47" t="s">
        <v>4999</v>
      </c>
      <c r="F1157" s="51"/>
      <c r="G1157" s="51" t="s">
        <v>398</v>
      </c>
      <c r="H1157" s="98" t="s">
        <v>5812</v>
      </c>
      <c r="I1157" s="855" t="s">
        <v>4884</v>
      </c>
      <c r="J1157" s="100" t="s">
        <v>140</v>
      </c>
      <c r="K1157" s="91">
        <v>0</v>
      </c>
      <c r="L1157" s="91">
        <v>0</v>
      </c>
      <c r="M1157" s="92">
        <v>120</v>
      </c>
      <c r="N1157" s="94">
        <f>35000-21000</f>
        <v>14000</v>
      </c>
      <c r="O1157" s="94">
        <v>2</v>
      </c>
      <c r="P1157" s="94">
        <f t="shared" si="288"/>
        <v>7000</v>
      </c>
      <c r="Q1157" s="181">
        <v>0.8</v>
      </c>
      <c r="R1157" s="92">
        <v>7000</v>
      </c>
      <c r="S1157" s="103">
        <f t="shared" si="287"/>
        <v>0</v>
      </c>
      <c r="T1157" s="173">
        <f>((3600/M1157)*O1157)*24*Q1157</f>
        <v>1152</v>
      </c>
      <c r="U1157" s="101">
        <f>(P1157-R1157)*M1157/3600/Q1157</f>
        <v>0</v>
      </c>
      <c r="V1157" s="101">
        <f>U1157/24</f>
        <v>0</v>
      </c>
      <c r="W1157" s="101">
        <v>0</v>
      </c>
      <c r="X1157" s="55">
        <f>A1157+K1157+L1157+V1157+W1157</f>
        <v>46153</v>
      </c>
    </row>
    <row r="1158" spans="1:24" s="802" customFormat="1" ht="13" hidden="1" x14ac:dyDescent="0.3">
      <c r="A1158" s="71">
        <f t="shared" si="292"/>
        <v>46153</v>
      </c>
      <c r="B1158" s="71">
        <v>46120</v>
      </c>
      <c r="C1158" s="260">
        <f>B1158-A1158</f>
        <v>-33</v>
      </c>
      <c r="D1158" s="260"/>
      <c r="E1158" s="47" t="s">
        <v>4999</v>
      </c>
      <c r="F1158" s="51"/>
      <c r="G1158" s="51" t="s">
        <v>411</v>
      </c>
      <c r="H1158" s="98" t="s">
        <v>5812</v>
      </c>
      <c r="I1158" s="855" t="s">
        <v>4884</v>
      </c>
      <c r="J1158" s="100" t="s">
        <v>140</v>
      </c>
      <c r="K1158" s="91">
        <v>0</v>
      </c>
      <c r="L1158" s="91">
        <v>0</v>
      </c>
      <c r="M1158" s="92">
        <v>120</v>
      </c>
      <c r="N1158" s="94">
        <v>21000</v>
      </c>
      <c r="O1158" s="94">
        <v>2</v>
      </c>
      <c r="P1158" s="94">
        <f>N1158/O1158</f>
        <v>10500</v>
      </c>
      <c r="Q1158" s="181">
        <v>0.8</v>
      </c>
      <c r="R1158" s="92">
        <v>10500</v>
      </c>
      <c r="S1158" s="103">
        <f>P1158-R1158</f>
        <v>0</v>
      </c>
      <c r="T1158" s="173">
        <f>((3600/M1158)*O1158)*24*Q1158</f>
        <v>1152</v>
      </c>
      <c r="U1158" s="101">
        <f>(P1158-R1158)*M1158/3600/Q1158</f>
        <v>0</v>
      </c>
      <c r="V1158" s="101">
        <f>U1158/24</f>
        <v>0</v>
      </c>
      <c r="W1158" s="101">
        <v>0</v>
      </c>
      <c r="X1158" s="55">
        <f>A1158+K1158+L1158+V1158+W1158</f>
        <v>46153</v>
      </c>
    </row>
    <row r="1159" spans="1:24" s="500" customFormat="1" ht="25" customHeight="1" x14ac:dyDescent="0.3">
      <c r="A1159" s="192">
        <f t="shared" si="292"/>
        <v>46153</v>
      </c>
      <c r="B1159" s="192">
        <v>46137</v>
      </c>
      <c r="C1159" s="194">
        <f>B1159-A1159</f>
        <v>-16</v>
      </c>
      <c r="D1159" s="194"/>
      <c r="E1159" s="195" t="s">
        <v>4999</v>
      </c>
      <c r="F1159" s="383"/>
      <c r="G1159" s="383" t="s">
        <v>411</v>
      </c>
      <c r="H1159" s="113" t="s">
        <v>5812</v>
      </c>
      <c r="I1159" s="1022" t="s">
        <v>4884</v>
      </c>
      <c r="J1159" s="114" t="s">
        <v>140</v>
      </c>
      <c r="K1159" s="482">
        <v>0</v>
      </c>
      <c r="L1159" s="482">
        <v>0</v>
      </c>
      <c r="M1159" s="199">
        <v>120</v>
      </c>
      <c r="N1159" s="483">
        <v>23000</v>
      </c>
      <c r="O1159" s="483">
        <v>2</v>
      </c>
      <c r="P1159" s="483">
        <f>N1159/O1159</f>
        <v>11500</v>
      </c>
      <c r="Q1159" s="198">
        <v>0.8</v>
      </c>
      <c r="R1159" s="199">
        <v>5805</v>
      </c>
      <c r="S1159" s="117">
        <f>P1159-R1159</f>
        <v>5695</v>
      </c>
      <c r="T1159" s="200">
        <f>((3600/M1159)*O1159)*24*Q1159</f>
        <v>1152</v>
      </c>
      <c r="U1159" s="115">
        <f>(P1159-R1159)*M1159/3600/Q1159</f>
        <v>237.29166666666666</v>
      </c>
      <c r="V1159" s="115">
        <f>U1159/24</f>
        <v>9.8871527777777768</v>
      </c>
      <c r="W1159" s="115">
        <v>0</v>
      </c>
      <c r="X1159" s="201">
        <f>A1159+K1159+L1159+V1159+W1159</f>
        <v>46162.887152777781</v>
      </c>
    </row>
    <row r="1160" spans="1:24" s="109" customFormat="1" ht="25" customHeight="1" x14ac:dyDescent="0.3">
      <c r="A1160" s="271"/>
      <c r="B1160" s="271"/>
      <c r="C1160" s="576"/>
      <c r="D1160" s="576"/>
      <c r="E1160" s="273"/>
      <c r="F1160" s="562"/>
      <c r="G1160" s="562"/>
      <c r="H1160" s="276"/>
      <c r="I1160" s="1023"/>
      <c r="J1160" s="277"/>
      <c r="K1160" s="563"/>
      <c r="L1160" s="563"/>
      <c r="M1160" s="564"/>
      <c r="N1160" s="565"/>
      <c r="O1160" s="565"/>
      <c r="P1160" s="565"/>
      <c r="Q1160" s="282"/>
      <c r="R1160" s="564"/>
      <c r="S1160" s="280"/>
      <c r="T1160" s="284"/>
      <c r="U1160" s="278"/>
      <c r="V1160" s="278"/>
      <c r="W1160" s="278"/>
      <c r="X1160" s="285"/>
    </row>
    <row r="1161" spans="1:24" ht="25" customHeight="1" x14ac:dyDescent="0.8">
      <c r="A1161" s="35" t="s">
        <v>4656</v>
      </c>
      <c r="B1161" s="35"/>
      <c r="C1161" s="787"/>
      <c r="D1161" s="35"/>
      <c r="E1161" s="36"/>
      <c r="F1161" s="389"/>
      <c r="G1161" s="389"/>
      <c r="H1161" s="311" t="s">
        <v>4269</v>
      </c>
      <c r="I1161" s="214"/>
      <c r="J1161" s="707"/>
      <c r="K1161" s="41"/>
      <c r="L1161" s="41"/>
      <c r="M1161" s="42"/>
      <c r="N1161" s="43"/>
      <c r="O1161" s="44"/>
      <c r="P1161" s="44"/>
      <c r="Q1161" s="44"/>
      <c r="R1161" s="43"/>
      <c r="S1161" s="44"/>
      <c r="T1161" s="44"/>
      <c r="U1161" s="44"/>
      <c r="V1161" s="44"/>
      <c r="W1161" s="44" t="s">
        <v>2250</v>
      </c>
      <c r="X1161" s="45"/>
    </row>
    <row r="1162" spans="1:24" ht="25" hidden="1" customHeight="1" x14ac:dyDescent="0.35">
      <c r="A1162" s="46">
        <f>S7</f>
        <v>46153</v>
      </c>
      <c r="B1162" s="46"/>
      <c r="C1162" s="260"/>
      <c r="D1162" s="46"/>
      <c r="E1162" s="47" t="s">
        <v>4656</v>
      </c>
      <c r="F1162" s="48"/>
      <c r="G1162" s="48"/>
      <c r="H1162" s="49"/>
      <c r="I1162" s="82" t="s">
        <v>5813</v>
      </c>
      <c r="J1162" s="100"/>
      <c r="K1162" s="52">
        <v>0</v>
      </c>
      <c r="L1162" s="52">
        <v>0</v>
      </c>
      <c r="M1162" s="53">
        <v>60</v>
      </c>
      <c r="N1162" s="53">
        <v>250</v>
      </c>
      <c r="O1162" s="53">
        <v>1</v>
      </c>
      <c r="P1162" s="53">
        <f>N1162/O1162</f>
        <v>250</v>
      </c>
      <c r="Q1162" s="53"/>
      <c r="R1162" s="53">
        <v>0</v>
      </c>
      <c r="S1162" s="53">
        <f t="shared" ref="S1162:S1225" si="293">P1162-R1162</f>
        <v>250</v>
      </c>
      <c r="T1162" s="83">
        <f t="shared" ref="T1162:T1225" si="294">((3600/M1162)*O1162)*24</f>
        <v>1440</v>
      </c>
      <c r="U1162" s="84">
        <f t="shared" ref="U1162:U1225" si="295">(P1162-R1162)*M1162/3600</f>
        <v>4.166666666666667</v>
      </c>
      <c r="V1162" s="84">
        <v>0</v>
      </c>
      <c r="W1162" s="84">
        <v>0</v>
      </c>
      <c r="X1162" s="55">
        <f>A1162+K1162+L1162+V1162+W1162</f>
        <v>46153</v>
      </c>
    </row>
    <row r="1163" spans="1:24" ht="25" hidden="1" customHeight="1" x14ac:dyDescent="0.35">
      <c r="A1163" s="46">
        <f t="shared" ref="A1163:A1226" si="296">X1162</f>
        <v>46153</v>
      </c>
      <c r="B1163" s="46"/>
      <c r="C1163" s="260"/>
      <c r="D1163" s="46"/>
      <c r="E1163" s="47" t="s">
        <v>4656</v>
      </c>
      <c r="F1163" s="48" t="s">
        <v>5814</v>
      </c>
      <c r="G1163" s="48"/>
      <c r="H1163" s="49">
        <v>6539</v>
      </c>
      <c r="I1163" s="82" t="s">
        <v>4657</v>
      </c>
      <c r="J1163" s="100"/>
      <c r="K1163" s="52">
        <v>0</v>
      </c>
      <c r="L1163" s="52">
        <v>0</v>
      </c>
      <c r="M1163" s="53">
        <v>45</v>
      </c>
      <c r="N1163" s="53">
        <v>1200</v>
      </c>
      <c r="O1163" s="53">
        <v>1</v>
      </c>
      <c r="P1163" s="53">
        <v>1211</v>
      </c>
      <c r="Q1163" s="53"/>
      <c r="R1163" s="53">
        <v>1211</v>
      </c>
      <c r="S1163" s="53">
        <f t="shared" si="293"/>
        <v>0</v>
      </c>
      <c r="T1163" s="83">
        <f t="shared" si="294"/>
        <v>1920</v>
      </c>
      <c r="U1163" s="84">
        <f t="shared" si="295"/>
        <v>0</v>
      </c>
      <c r="V1163" s="84">
        <f t="shared" ref="V1163:V1226" si="297">(P1163-R1163)*M1163/3600/24</f>
        <v>0</v>
      </c>
      <c r="W1163" s="84">
        <v>0</v>
      </c>
      <c r="X1163" s="55">
        <f t="shared" ref="X1163:X1226" si="298">A1163+K1163+V1163+W1163+L1163</f>
        <v>46153</v>
      </c>
    </row>
    <row r="1164" spans="1:24" ht="25" hidden="1" customHeight="1" x14ac:dyDescent="0.35">
      <c r="A1164" s="46">
        <f t="shared" si="296"/>
        <v>46153</v>
      </c>
      <c r="B1164" s="46"/>
      <c r="C1164" s="260"/>
      <c r="D1164" s="46"/>
      <c r="E1164" s="47" t="s">
        <v>4656</v>
      </c>
      <c r="F1164" s="48" t="s">
        <v>5815</v>
      </c>
      <c r="G1164" s="48"/>
      <c r="H1164" s="49" t="s">
        <v>5816</v>
      </c>
      <c r="I1164" s="82" t="s">
        <v>5817</v>
      </c>
      <c r="J1164" s="100"/>
      <c r="K1164" s="52">
        <v>0</v>
      </c>
      <c r="L1164" s="52">
        <v>0</v>
      </c>
      <c r="M1164" s="53">
        <v>80</v>
      </c>
      <c r="N1164" s="53">
        <v>2000</v>
      </c>
      <c r="O1164" s="53">
        <v>1</v>
      </c>
      <c r="P1164" s="53">
        <v>2050</v>
      </c>
      <c r="Q1164" s="53"/>
      <c r="R1164" s="53">
        <v>2050</v>
      </c>
      <c r="S1164" s="53">
        <f t="shared" si="293"/>
        <v>0</v>
      </c>
      <c r="T1164" s="83">
        <f t="shared" si="294"/>
        <v>1080</v>
      </c>
      <c r="U1164" s="84">
        <f t="shared" si="295"/>
        <v>0</v>
      </c>
      <c r="V1164" s="84">
        <f t="shared" si="297"/>
        <v>0</v>
      </c>
      <c r="W1164" s="84">
        <v>0</v>
      </c>
      <c r="X1164" s="55">
        <f t="shared" si="298"/>
        <v>46153</v>
      </c>
    </row>
    <row r="1165" spans="1:24" ht="25" hidden="1" customHeight="1" x14ac:dyDescent="0.35">
      <c r="A1165" s="46">
        <f t="shared" si="296"/>
        <v>46153</v>
      </c>
      <c r="B1165" s="46"/>
      <c r="C1165" s="260"/>
      <c r="D1165" s="46"/>
      <c r="E1165" s="47" t="s">
        <v>4321</v>
      </c>
      <c r="F1165" s="57" t="s">
        <v>5818</v>
      </c>
      <c r="G1165" s="57"/>
      <c r="H1165" s="49" t="s">
        <v>5819</v>
      </c>
      <c r="I1165" s="82" t="s">
        <v>5820</v>
      </c>
      <c r="J1165" s="100"/>
      <c r="K1165" s="52">
        <v>0</v>
      </c>
      <c r="L1165" s="52">
        <v>0</v>
      </c>
      <c r="M1165" s="53">
        <v>100</v>
      </c>
      <c r="N1165" s="53">
        <v>2000</v>
      </c>
      <c r="O1165" s="53">
        <v>1</v>
      </c>
      <c r="P1165" s="53">
        <f>N1165/O1165</f>
        <v>2000</v>
      </c>
      <c r="Q1165" s="53"/>
      <c r="R1165" s="53">
        <v>2000</v>
      </c>
      <c r="S1165" s="53">
        <f t="shared" si="293"/>
        <v>0</v>
      </c>
      <c r="T1165" s="83">
        <f t="shared" si="294"/>
        <v>864</v>
      </c>
      <c r="U1165" s="84">
        <f t="shared" si="295"/>
        <v>0</v>
      </c>
      <c r="V1165" s="84">
        <f t="shared" si="297"/>
        <v>0</v>
      </c>
      <c r="W1165" s="84">
        <v>0</v>
      </c>
      <c r="X1165" s="55">
        <f t="shared" si="298"/>
        <v>46153</v>
      </c>
    </row>
    <row r="1166" spans="1:24" hidden="1" x14ac:dyDescent="0.35">
      <c r="A1166" s="46">
        <f t="shared" si="296"/>
        <v>46153</v>
      </c>
      <c r="B1166" s="46"/>
      <c r="C1166" s="260"/>
      <c r="D1166" s="46"/>
      <c r="E1166" s="47" t="s">
        <v>4321</v>
      </c>
      <c r="F1166" s="57" t="s">
        <v>5821</v>
      </c>
      <c r="G1166" s="57"/>
      <c r="H1166" s="49" t="s">
        <v>5819</v>
      </c>
      <c r="I1166" s="82" t="s">
        <v>5820</v>
      </c>
      <c r="J1166" s="100"/>
      <c r="K1166" s="52">
        <v>0</v>
      </c>
      <c r="L1166" s="52">
        <v>0</v>
      </c>
      <c r="M1166" s="53">
        <v>100</v>
      </c>
      <c r="N1166" s="53">
        <v>3000</v>
      </c>
      <c r="O1166" s="53">
        <v>1</v>
      </c>
      <c r="P1166" s="53">
        <f>N1166/O1166</f>
        <v>3000</v>
      </c>
      <c r="Q1166" s="53"/>
      <c r="R1166" s="53">
        <v>3000</v>
      </c>
      <c r="S1166" s="53">
        <f t="shared" si="293"/>
        <v>0</v>
      </c>
      <c r="T1166" s="83">
        <f t="shared" si="294"/>
        <v>864</v>
      </c>
      <c r="U1166" s="84">
        <f t="shared" si="295"/>
        <v>0</v>
      </c>
      <c r="V1166" s="84">
        <f t="shared" si="297"/>
        <v>0</v>
      </c>
      <c r="W1166" s="84">
        <v>0</v>
      </c>
      <c r="X1166" s="55">
        <f t="shared" si="298"/>
        <v>46153</v>
      </c>
    </row>
    <row r="1167" spans="1:24" hidden="1" x14ac:dyDescent="0.35">
      <c r="A1167" s="46">
        <f t="shared" si="296"/>
        <v>46153</v>
      </c>
      <c r="B1167" s="46"/>
      <c r="C1167" s="260"/>
      <c r="D1167" s="46"/>
      <c r="E1167" s="47" t="s">
        <v>4321</v>
      </c>
      <c r="F1167" s="57" t="s">
        <v>5822</v>
      </c>
      <c r="G1167" s="57"/>
      <c r="H1167" s="49" t="s">
        <v>5819</v>
      </c>
      <c r="I1167" s="82" t="s">
        <v>5820</v>
      </c>
      <c r="J1167" s="100"/>
      <c r="K1167" s="52">
        <v>0</v>
      </c>
      <c r="L1167" s="52">
        <v>0</v>
      </c>
      <c r="M1167" s="53">
        <v>100</v>
      </c>
      <c r="N1167" s="53">
        <v>2500</v>
      </c>
      <c r="O1167" s="53">
        <v>1</v>
      </c>
      <c r="P1167" s="53">
        <v>2795</v>
      </c>
      <c r="Q1167" s="53"/>
      <c r="R1167" s="53">
        <f>-3000+5795</f>
        <v>2795</v>
      </c>
      <c r="S1167" s="53">
        <f t="shared" si="293"/>
        <v>0</v>
      </c>
      <c r="T1167" s="83">
        <f t="shared" si="294"/>
        <v>864</v>
      </c>
      <c r="U1167" s="84">
        <f t="shared" si="295"/>
        <v>0</v>
      </c>
      <c r="V1167" s="84">
        <f t="shared" si="297"/>
        <v>0</v>
      </c>
      <c r="W1167" s="84">
        <v>0</v>
      </c>
      <c r="X1167" s="55">
        <f t="shared" si="298"/>
        <v>46153</v>
      </c>
    </row>
    <row r="1168" spans="1:24" ht="29" hidden="1" x14ac:dyDescent="0.35">
      <c r="A1168" s="46">
        <f t="shared" si="296"/>
        <v>46153</v>
      </c>
      <c r="B1168" s="46"/>
      <c r="C1168" s="260"/>
      <c r="D1168" s="46"/>
      <c r="E1168" s="47" t="s">
        <v>4321</v>
      </c>
      <c r="F1168" s="57" t="s">
        <v>5823</v>
      </c>
      <c r="G1168" s="57"/>
      <c r="H1168" s="59" t="s">
        <v>5824</v>
      </c>
      <c r="I1168" s="82" t="s">
        <v>5820</v>
      </c>
      <c r="J1168" s="100"/>
      <c r="K1168" s="52">
        <v>0</v>
      </c>
      <c r="L1168" s="52">
        <v>0</v>
      </c>
      <c r="M1168" s="53">
        <v>100</v>
      </c>
      <c r="N1168" s="53">
        <v>11000</v>
      </c>
      <c r="O1168" s="53">
        <v>1</v>
      </c>
      <c r="P1168" s="53">
        <f>N1168/O1168</f>
        <v>11000</v>
      </c>
      <c r="Q1168" s="53"/>
      <c r="R1168" s="53">
        <v>11000</v>
      </c>
      <c r="S1168" s="53">
        <f t="shared" si="293"/>
        <v>0</v>
      </c>
      <c r="T1168" s="83">
        <f t="shared" si="294"/>
        <v>864</v>
      </c>
      <c r="U1168" s="84">
        <f t="shared" si="295"/>
        <v>0</v>
      </c>
      <c r="V1168" s="84">
        <f t="shared" si="297"/>
        <v>0</v>
      </c>
      <c r="W1168" s="84">
        <v>0</v>
      </c>
      <c r="X1168" s="55">
        <f t="shared" si="298"/>
        <v>46153</v>
      </c>
    </row>
    <row r="1169" spans="1:24" ht="29" hidden="1" x14ac:dyDescent="0.35">
      <c r="A1169" s="46">
        <f t="shared" si="296"/>
        <v>46153</v>
      </c>
      <c r="B1169" s="46"/>
      <c r="C1169" s="260"/>
      <c r="D1169" s="46"/>
      <c r="E1169" s="47" t="s">
        <v>4321</v>
      </c>
      <c r="F1169" s="57" t="s">
        <v>3440</v>
      </c>
      <c r="G1169" s="57"/>
      <c r="H1169" s="49" t="s">
        <v>5824</v>
      </c>
      <c r="I1169" s="82" t="s">
        <v>5820</v>
      </c>
      <c r="J1169" s="100"/>
      <c r="K1169" s="52">
        <v>0</v>
      </c>
      <c r="L1169" s="52">
        <v>0</v>
      </c>
      <c r="M1169" s="53">
        <v>100</v>
      </c>
      <c r="N1169" s="53">
        <v>4000</v>
      </c>
      <c r="O1169" s="53">
        <v>1</v>
      </c>
      <c r="P1169" s="53">
        <v>1616</v>
      </c>
      <c r="Q1169" s="53"/>
      <c r="R1169" s="53">
        <v>1616</v>
      </c>
      <c r="S1169" s="53">
        <f t="shared" si="293"/>
        <v>0</v>
      </c>
      <c r="T1169" s="83">
        <f t="shared" si="294"/>
        <v>864</v>
      </c>
      <c r="U1169" s="84">
        <f t="shared" si="295"/>
        <v>0</v>
      </c>
      <c r="V1169" s="84">
        <f t="shared" si="297"/>
        <v>0</v>
      </c>
      <c r="W1169" s="84">
        <v>0</v>
      </c>
      <c r="X1169" s="55">
        <f t="shared" si="298"/>
        <v>46153</v>
      </c>
    </row>
    <row r="1170" spans="1:24" hidden="1" x14ac:dyDescent="0.35">
      <c r="A1170" s="46">
        <f t="shared" si="296"/>
        <v>46153</v>
      </c>
      <c r="B1170" s="46"/>
      <c r="C1170" s="260"/>
      <c r="D1170" s="46"/>
      <c r="E1170" s="47"/>
      <c r="F1170" s="56" t="s">
        <v>1362</v>
      </c>
      <c r="G1170" s="56"/>
      <c r="H1170" s="49" t="s">
        <v>1362</v>
      </c>
      <c r="I1170" s="82" t="s">
        <v>5825</v>
      </c>
      <c r="J1170" s="100"/>
      <c r="K1170" s="52">
        <v>0</v>
      </c>
      <c r="L1170" s="52">
        <v>0</v>
      </c>
      <c r="M1170" s="53">
        <v>60</v>
      </c>
      <c r="N1170" s="53">
        <v>20</v>
      </c>
      <c r="O1170" s="53">
        <v>1</v>
      </c>
      <c r="P1170" s="53">
        <f>N1170/O1170</f>
        <v>20</v>
      </c>
      <c r="Q1170" s="53"/>
      <c r="R1170" s="53">
        <v>20</v>
      </c>
      <c r="S1170" s="53">
        <f t="shared" si="293"/>
        <v>0</v>
      </c>
      <c r="T1170" s="83">
        <f t="shared" si="294"/>
        <v>1440</v>
      </c>
      <c r="U1170" s="84">
        <f t="shared" si="295"/>
        <v>0</v>
      </c>
      <c r="V1170" s="84">
        <f t="shared" si="297"/>
        <v>0</v>
      </c>
      <c r="W1170" s="84">
        <v>0</v>
      </c>
      <c r="X1170" s="55">
        <f t="shared" si="298"/>
        <v>46153</v>
      </c>
    </row>
    <row r="1171" spans="1:24" hidden="1" x14ac:dyDescent="0.35">
      <c r="A1171" s="46">
        <f t="shared" si="296"/>
        <v>46153</v>
      </c>
      <c r="B1171" s="46"/>
      <c r="C1171" s="260"/>
      <c r="D1171" s="46"/>
      <c r="E1171" s="47"/>
      <c r="F1171" s="56" t="s">
        <v>5826</v>
      </c>
      <c r="G1171" s="56"/>
      <c r="H1171" s="49" t="s">
        <v>5827</v>
      </c>
      <c r="I1171" s="82" t="s">
        <v>5825</v>
      </c>
      <c r="J1171" s="100"/>
      <c r="K1171" s="52">
        <v>0</v>
      </c>
      <c r="L1171" s="52">
        <v>0</v>
      </c>
      <c r="M1171" s="53">
        <v>60</v>
      </c>
      <c r="N1171" s="53">
        <v>20000</v>
      </c>
      <c r="O1171" s="53">
        <v>1</v>
      </c>
      <c r="P1171" s="53">
        <v>20164</v>
      </c>
      <c r="Q1171" s="53"/>
      <c r="R1171" s="53">
        <v>20164</v>
      </c>
      <c r="S1171" s="53">
        <f t="shared" si="293"/>
        <v>0</v>
      </c>
      <c r="T1171" s="83">
        <f t="shared" si="294"/>
        <v>1440</v>
      </c>
      <c r="U1171" s="84">
        <f t="shared" si="295"/>
        <v>0</v>
      </c>
      <c r="V1171" s="84">
        <f t="shared" si="297"/>
        <v>0</v>
      </c>
      <c r="W1171" s="84">
        <v>0</v>
      </c>
      <c r="X1171" s="55">
        <f t="shared" si="298"/>
        <v>46153</v>
      </c>
    </row>
    <row r="1172" spans="1:24" hidden="1" x14ac:dyDescent="0.35">
      <c r="A1172" s="46">
        <f t="shared" si="296"/>
        <v>46153</v>
      </c>
      <c r="B1172" s="46"/>
      <c r="C1172" s="260"/>
      <c r="D1172" s="46"/>
      <c r="E1172" s="47" t="s">
        <v>4656</v>
      </c>
      <c r="F1172" s="48" t="s">
        <v>4497</v>
      </c>
      <c r="G1172" s="48"/>
      <c r="H1172" s="49" t="s">
        <v>5828</v>
      </c>
      <c r="I1172" s="82" t="s">
        <v>5829</v>
      </c>
      <c r="J1172" s="100"/>
      <c r="K1172" s="52">
        <v>0</v>
      </c>
      <c r="L1172" s="52">
        <v>0</v>
      </c>
      <c r="M1172" s="53">
        <v>45</v>
      </c>
      <c r="N1172" s="53">
        <v>500</v>
      </c>
      <c r="O1172" s="53">
        <v>1</v>
      </c>
      <c r="P1172" s="53">
        <v>589</v>
      </c>
      <c r="Q1172" s="53"/>
      <c r="R1172" s="53">
        <v>589</v>
      </c>
      <c r="S1172" s="53">
        <f t="shared" si="293"/>
        <v>0</v>
      </c>
      <c r="T1172" s="83">
        <f t="shared" si="294"/>
        <v>1920</v>
      </c>
      <c r="U1172" s="84">
        <f t="shared" si="295"/>
        <v>0</v>
      </c>
      <c r="V1172" s="84">
        <f t="shared" si="297"/>
        <v>0</v>
      </c>
      <c r="W1172" s="84">
        <v>0</v>
      </c>
      <c r="X1172" s="55">
        <f t="shared" si="298"/>
        <v>46153</v>
      </c>
    </row>
    <row r="1173" spans="1:24" hidden="1" x14ac:dyDescent="0.35">
      <c r="A1173" s="46">
        <f t="shared" si="296"/>
        <v>46153</v>
      </c>
      <c r="B1173" s="46"/>
      <c r="C1173" s="260"/>
      <c r="D1173" s="46"/>
      <c r="E1173" s="47" t="s">
        <v>4656</v>
      </c>
      <c r="F1173" s="48" t="s">
        <v>2712</v>
      </c>
      <c r="G1173" s="48"/>
      <c r="H1173" s="49" t="s">
        <v>5830</v>
      </c>
      <c r="I1173" s="82" t="s">
        <v>4657</v>
      </c>
      <c r="J1173" s="100"/>
      <c r="K1173" s="52">
        <v>0</v>
      </c>
      <c r="L1173" s="52">
        <v>0</v>
      </c>
      <c r="M1173" s="53">
        <v>45</v>
      </c>
      <c r="N1173" s="53">
        <v>6000</v>
      </c>
      <c r="O1173" s="53">
        <v>1</v>
      </c>
      <c r="P1173" s="53">
        <v>5146</v>
      </c>
      <c r="Q1173" s="53"/>
      <c r="R1173" s="53">
        <f>3000+2146</f>
        <v>5146</v>
      </c>
      <c r="S1173" s="53">
        <f t="shared" si="293"/>
        <v>0</v>
      </c>
      <c r="T1173" s="83">
        <f t="shared" si="294"/>
        <v>1920</v>
      </c>
      <c r="U1173" s="84">
        <f t="shared" si="295"/>
        <v>0</v>
      </c>
      <c r="V1173" s="84">
        <f t="shared" si="297"/>
        <v>0</v>
      </c>
      <c r="W1173" s="84">
        <v>0</v>
      </c>
      <c r="X1173" s="55">
        <f t="shared" si="298"/>
        <v>46153</v>
      </c>
    </row>
    <row r="1174" spans="1:24" hidden="1" x14ac:dyDescent="0.35">
      <c r="A1174" s="46">
        <f t="shared" si="296"/>
        <v>46153</v>
      </c>
      <c r="B1174" s="46"/>
      <c r="C1174" s="260"/>
      <c r="D1174" s="46"/>
      <c r="E1174" s="47"/>
      <c r="F1174" s="57"/>
      <c r="G1174" s="57"/>
      <c r="H1174" s="49" t="s">
        <v>5831</v>
      </c>
      <c r="I1174" s="453" t="s">
        <v>5832</v>
      </c>
      <c r="J1174" s="100"/>
      <c r="K1174" s="52">
        <v>0</v>
      </c>
      <c r="L1174" s="52">
        <v>0</v>
      </c>
      <c r="M1174" s="53">
        <v>65</v>
      </c>
      <c r="N1174" s="53">
        <v>600</v>
      </c>
      <c r="O1174" s="53">
        <v>1</v>
      </c>
      <c r="P1174" s="53">
        <v>610</v>
      </c>
      <c r="Q1174" s="53"/>
      <c r="R1174" s="53">
        <v>610</v>
      </c>
      <c r="S1174" s="53">
        <f t="shared" si="293"/>
        <v>0</v>
      </c>
      <c r="T1174" s="83">
        <f t="shared" si="294"/>
        <v>1329.2307692307693</v>
      </c>
      <c r="U1174" s="84">
        <f t="shared" si="295"/>
        <v>0</v>
      </c>
      <c r="V1174" s="84">
        <f t="shared" si="297"/>
        <v>0</v>
      </c>
      <c r="W1174" s="84">
        <v>0</v>
      </c>
      <c r="X1174" s="55">
        <f t="shared" si="298"/>
        <v>46153</v>
      </c>
    </row>
    <row r="1175" spans="1:24" hidden="1" x14ac:dyDescent="0.35">
      <c r="A1175" s="46">
        <f t="shared" si="296"/>
        <v>46153</v>
      </c>
      <c r="B1175" s="46"/>
      <c r="C1175" s="260"/>
      <c r="D1175" s="46"/>
      <c r="E1175" s="47"/>
      <c r="F1175" s="57"/>
      <c r="G1175" s="57"/>
      <c r="H1175" s="49" t="s">
        <v>5833</v>
      </c>
      <c r="I1175" s="453" t="s">
        <v>5834</v>
      </c>
      <c r="J1175" s="100"/>
      <c r="K1175" s="52">
        <v>0</v>
      </c>
      <c r="L1175" s="52">
        <v>0</v>
      </c>
      <c r="M1175" s="53">
        <v>65</v>
      </c>
      <c r="N1175" s="53">
        <v>50</v>
      </c>
      <c r="O1175" s="53">
        <v>1</v>
      </c>
      <c r="P1175" s="53">
        <f>N1175/O1175</f>
        <v>50</v>
      </c>
      <c r="Q1175" s="53"/>
      <c r="R1175" s="53">
        <v>50</v>
      </c>
      <c r="S1175" s="53">
        <f t="shared" si="293"/>
        <v>0</v>
      </c>
      <c r="T1175" s="83">
        <f t="shared" si="294"/>
        <v>1329.2307692307693</v>
      </c>
      <c r="U1175" s="84">
        <f t="shared" si="295"/>
        <v>0</v>
      </c>
      <c r="V1175" s="84">
        <f t="shared" si="297"/>
        <v>0</v>
      </c>
      <c r="W1175" s="84">
        <v>0</v>
      </c>
      <c r="X1175" s="55">
        <f t="shared" si="298"/>
        <v>46153</v>
      </c>
    </row>
    <row r="1176" spans="1:24" hidden="1" x14ac:dyDescent="0.35">
      <c r="A1176" s="46">
        <f t="shared" si="296"/>
        <v>46153</v>
      </c>
      <c r="B1176" s="46"/>
      <c r="C1176" s="260"/>
      <c r="D1176" s="46"/>
      <c r="E1176" s="47" t="s">
        <v>4656</v>
      </c>
      <c r="F1176" s="57"/>
      <c r="G1176" s="57"/>
      <c r="H1176" s="49" t="s">
        <v>5835</v>
      </c>
      <c r="I1176" s="82" t="s">
        <v>5836</v>
      </c>
      <c r="J1176" s="100"/>
      <c r="K1176" s="52">
        <v>0</v>
      </c>
      <c r="L1176" s="52">
        <v>0</v>
      </c>
      <c r="M1176" s="53">
        <v>80</v>
      </c>
      <c r="N1176" s="53">
        <v>7000</v>
      </c>
      <c r="O1176" s="53">
        <v>1</v>
      </c>
      <c r="P1176" s="53">
        <v>6241</v>
      </c>
      <c r="Q1176" s="53"/>
      <c r="R1176" s="53">
        <v>6241</v>
      </c>
      <c r="S1176" s="53">
        <f t="shared" si="293"/>
        <v>0</v>
      </c>
      <c r="T1176" s="83">
        <f t="shared" si="294"/>
        <v>1080</v>
      </c>
      <c r="U1176" s="84">
        <f t="shared" si="295"/>
        <v>0</v>
      </c>
      <c r="V1176" s="84">
        <f t="shared" si="297"/>
        <v>0</v>
      </c>
      <c r="W1176" s="84">
        <v>0</v>
      </c>
      <c r="X1176" s="55">
        <f t="shared" si="298"/>
        <v>46153</v>
      </c>
    </row>
    <row r="1177" spans="1:24" hidden="1" x14ac:dyDescent="0.35">
      <c r="A1177" s="46">
        <f t="shared" si="296"/>
        <v>46153</v>
      </c>
      <c r="B1177" s="46"/>
      <c r="C1177" s="260"/>
      <c r="D1177" s="46"/>
      <c r="E1177" s="47" t="s">
        <v>4321</v>
      </c>
      <c r="F1177" s="48"/>
      <c r="G1177" s="48"/>
      <c r="H1177" s="49" t="s">
        <v>5837</v>
      </c>
      <c r="I1177" s="82" t="s">
        <v>5838</v>
      </c>
      <c r="J1177" s="100"/>
      <c r="K1177" s="52">
        <v>0</v>
      </c>
      <c r="L1177" s="52">
        <v>0</v>
      </c>
      <c r="M1177" s="53">
        <v>130</v>
      </c>
      <c r="N1177" s="53">
        <v>450</v>
      </c>
      <c r="O1177" s="53">
        <v>1</v>
      </c>
      <c r="P1177" s="53">
        <v>500</v>
      </c>
      <c r="Q1177" s="53"/>
      <c r="R1177" s="53">
        <v>500</v>
      </c>
      <c r="S1177" s="53">
        <f t="shared" si="293"/>
        <v>0</v>
      </c>
      <c r="T1177" s="83">
        <f t="shared" si="294"/>
        <v>664.61538461538464</v>
      </c>
      <c r="U1177" s="84">
        <f t="shared" si="295"/>
        <v>0</v>
      </c>
      <c r="V1177" s="84">
        <f t="shared" si="297"/>
        <v>0</v>
      </c>
      <c r="W1177" s="84">
        <v>0</v>
      </c>
      <c r="X1177" s="55">
        <f t="shared" si="298"/>
        <v>46153</v>
      </c>
    </row>
    <row r="1178" spans="1:24" hidden="1" x14ac:dyDescent="0.35">
      <c r="A1178" s="46">
        <f t="shared" si="296"/>
        <v>46153</v>
      </c>
      <c r="B1178" s="46"/>
      <c r="C1178" s="260"/>
      <c r="D1178" s="46"/>
      <c r="E1178" s="47" t="s">
        <v>4656</v>
      </c>
      <c r="F1178" s="48" t="s">
        <v>101</v>
      </c>
      <c r="G1178" s="48"/>
      <c r="H1178" s="49" t="s">
        <v>5839</v>
      </c>
      <c r="I1178" s="82" t="s">
        <v>5817</v>
      </c>
      <c r="J1178" s="100"/>
      <c r="K1178" s="52">
        <v>0</v>
      </c>
      <c r="L1178" s="52">
        <v>0</v>
      </c>
      <c r="M1178" s="53">
        <v>80</v>
      </c>
      <c r="N1178" s="53">
        <v>2000</v>
      </c>
      <c r="O1178" s="53">
        <v>1</v>
      </c>
      <c r="P1178" s="53">
        <v>2030</v>
      </c>
      <c r="Q1178" s="53"/>
      <c r="R1178" s="53">
        <v>2030</v>
      </c>
      <c r="S1178" s="53">
        <f t="shared" si="293"/>
        <v>0</v>
      </c>
      <c r="T1178" s="83">
        <f t="shared" si="294"/>
        <v>1080</v>
      </c>
      <c r="U1178" s="84">
        <f t="shared" si="295"/>
        <v>0</v>
      </c>
      <c r="V1178" s="84">
        <f t="shared" si="297"/>
        <v>0</v>
      </c>
      <c r="W1178" s="84">
        <v>0</v>
      </c>
      <c r="X1178" s="55">
        <f t="shared" si="298"/>
        <v>46153</v>
      </c>
    </row>
    <row r="1179" spans="1:24" hidden="1" x14ac:dyDescent="0.35">
      <c r="A1179" s="46">
        <f t="shared" si="296"/>
        <v>46153</v>
      </c>
      <c r="B1179" s="46"/>
      <c r="C1179" s="260"/>
      <c r="D1179" s="46"/>
      <c r="E1179" s="47" t="s">
        <v>4790</v>
      </c>
      <c r="F1179" s="48" t="s">
        <v>1336</v>
      </c>
      <c r="G1179" s="48"/>
      <c r="H1179" s="49" t="s">
        <v>5840</v>
      </c>
      <c r="I1179" s="82" t="s">
        <v>5841</v>
      </c>
      <c r="J1179" s="100"/>
      <c r="K1179" s="52">
        <v>0</v>
      </c>
      <c r="L1179" s="52">
        <v>0</v>
      </c>
      <c r="M1179" s="53">
        <v>50</v>
      </c>
      <c r="N1179" s="53">
        <v>6000</v>
      </c>
      <c r="O1179" s="53">
        <v>1</v>
      </c>
      <c r="P1179" s="53">
        <f>N1179/O1179</f>
        <v>6000</v>
      </c>
      <c r="Q1179" s="53"/>
      <c r="R1179" s="53">
        <v>6000</v>
      </c>
      <c r="S1179" s="53">
        <f t="shared" si="293"/>
        <v>0</v>
      </c>
      <c r="T1179" s="83">
        <f t="shared" si="294"/>
        <v>1728</v>
      </c>
      <c r="U1179" s="84">
        <f t="shared" si="295"/>
        <v>0</v>
      </c>
      <c r="V1179" s="84">
        <f t="shared" si="297"/>
        <v>0</v>
      </c>
      <c r="W1179" s="84">
        <v>0</v>
      </c>
      <c r="X1179" s="55">
        <f t="shared" si="298"/>
        <v>46153</v>
      </c>
    </row>
    <row r="1180" spans="1:24" hidden="1" x14ac:dyDescent="0.35">
      <c r="A1180" s="46">
        <f t="shared" si="296"/>
        <v>46153</v>
      </c>
      <c r="B1180" s="46"/>
      <c r="C1180" s="260"/>
      <c r="D1180" s="46"/>
      <c r="E1180" s="47" t="s">
        <v>4656</v>
      </c>
      <c r="F1180" s="48"/>
      <c r="G1180" s="48"/>
      <c r="H1180" s="49" t="s">
        <v>5842</v>
      </c>
      <c r="I1180" s="82" t="s">
        <v>5843</v>
      </c>
      <c r="J1180" s="100"/>
      <c r="K1180" s="52">
        <v>0</v>
      </c>
      <c r="L1180" s="52">
        <v>0</v>
      </c>
      <c r="M1180" s="53">
        <v>60</v>
      </c>
      <c r="N1180" s="53">
        <v>2000</v>
      </c>
      <c r="O1180" s="53">
        <v>1</v>
      </c>
      <c r="P1180" s="53">
        <f>N1180/O1180</f>
        <v>2000</v>
      </c>
      <c r="Q1180" s="53"/>
      <c r="R1180" s="53">
        <v>2000</v>
      </c>
      <c r="S1180" s="53">
        <f t="shared" si="293"/>
        <v>0</v>
      </c>
      <c r="T1180" s="83">
        <f t="shared" si="294"/>
        <v>1440</v>
      </c>
      <c r="U1180" s="84">
        <f t="shared" si="295"/>
        <v>0</v>
      </c>
      <c r="V1180" s="84">
        <f t="shared" si="297"/>
        <v>0</v>
      </c>
      <c r="W1180" s="84">
        <v>0</v>
      </c>
      <c r="X1180" s="55">
        <f t="shared" si="298"/>
        <v>46153</v>
      </c>
    </row>
    <row r="1181" spans="1:24" hidden="1" x14ac:dyDescent="0.35">
      <c r="A1181" s="46">
        <f t="shared" si="296"/>
        <v>46153</v>
      </c>
      <c r="B1181" s="46"/>
      <c r="C1181" s="260"/>
      <c r="D1181" s="46"/>
      <c r="E1181" s="47" t="s">
        <v>4656</v>
      </c>
      <c r="F1181" s="1024" t="s">
        <v>4513</v>
      </c>
      <c r="G1181" s="1024"/>
      <c r="H1181" s="49" t="s">
        <v>5844</v>
      </c>
      <c r="I1181" s="82" t="s">
        <v>5845</v>
      </c>
      <c r="J1181" s="100" t="s">
        <v>140</v>
      </c>
      <c r="K1181" s="52">
        <v>0</v>
      </c>
      <c r="L1181" s="52">
        <v>0</v>
      </c>
      <c r="M1181" s="53">
        <v>80</v>
      </c>
      <c r="N1181" s="53">
        <v>3200</v>
      </c>
      <c r="O1181" s="53">
        <v>2</v>
      </c>
      <c r="P1181" s="53">
        <f>N1181/O1181</f>
        <v>1600</v>
      </c>
      <c r="Q1181" s="53"/>
      <c r="R1181" s="53">
        <v>1600</v>
      </c>
      <c r="S1181" s="53">
        <f t="shared" si="293"/>
        <v>0</v>
      </c>
      <c r="T1181" s="83">
        <f t="shared" si="294"/>
        <v>2160</v>
      </c>
      <c r="U1181" s="84">
        <f t="shared" si="295"/>
        <v>0</v>
      </c>
      <c r="V1181" s="84">
        <f t="shared" si="297"/>
        <v>0</v>
      </c>
      <c r="W1181" s="84">
        <v>0</v>
      </c>
      <c r="X1181" s="55">
        <f t="shared" si="298"/>
        <v>46153</v>
      </c>
    </row>
    <row r="1182" spans="1:24" hidden="1" x14ac:dyDescent="0.35">
      <c r="A1182" s="46">
        <f t="shared" si="296"/>
        <v>46153</v>
      </c>
      <c r="B1182" s="46"/>
      <c r="C1182" s="260"/>
      <c r="D1182" s="46"/>
      <c r="E1182" s="47" t="str">
        <f>A1161</f>
        <v>H270</v>
      </c>
      <c r="F1182" s="62" t="s">
        <v>271</v>
      </c>
      <c r="G1182" s="62"/>
      <c r="H1182" s="59" t="s">
        <v>5846</v>
      </c>
      <c r="I1182" s="82" t="s">
        <v>4668</v>
      </c>
      <c r="J1182" s="100" t="s">
        <v>140</v>
      </c>
      <c r="K1182" s="52">
        <v>0</v>
      </c>
      <c r="L1182" s="52">
        <v>0</v>
      </c>
      <c r="M1182" s="53">
        <v>15</v>
      </c>
      <c r="N1182" s="53">
        <v>300000</v>
      </c>
      <c r="O1182" s="53">
        <v>6</v>
      </c>
      <c r="P1182" s="53">
        <v>47173</v>
      </c>
      <c r="Q1182" s="53"/>
      <c r="R1182" s="53">
        <v>47521</v>
      </c>
      <c r="S1182" s="53">
        <f t="shared" si="293"/>
        <v>-348</v>
      </c>
      <c r="T1182" s="83">
        <f t="shared" si="294"/>
        <v>34560</v>
      </c>
      <c r="U1182" s="84">
        <f t="shared" si="295"/>
        <v>-1.45</v>
      </c>
      <c r="V1182" s="84">
        <f t="shared" si="297"/>
        <v>-6.0416666666666667E-2</v>
      </c>
      <c r="W1182" s="84">
        <v>0</v>
      </c>
      <c r="X1182" s="55">
        <f t="shared" si="298"/>
        <v>46152.939583333333</v>
      </c>
    </row>
    <row r="1183" spans="1:24" hidden="1" x14ac:dyDescent="0.35">
      <c r="A1183" s="46">
        <f t="shared" si="296"/>
        <v>46152.939583333333</v>
      </c>
      <c r="B1183" s="46"/>
      <c r="C1183" s="260"/>
      <c r="D1183" s="46"/>
      <c r="E1183" s="47" t="str">
        <f>A1161</f>
        <v>H270</v>
      </c>
      <c r="F1183" s="48" t="s">
        <v>5847</v>
      </c>
      <c r="G1183" s="48"/>
      <c r="H1183" s="59" t="s">
        <v>5848</v>
      </c>
      <c r="I1183" s="82" t="s">
        <v>5849</v>
      </c>
      <c r="J1183" s="100" t="s">
        <v>140</v>
      </c>
      <c r="K1183" s="52">
        <v>0</v>
      </c>
      <c r="L1183" s="52">
        <v>0</v>
      </c>
      <c r="M1183" s="53">
        <v>55</v>
      </c>
      <c r="N1183" s="53">
        <v>2000</v>
      </c>
      <c r="O1183" s="53">
        <v>1</v>
      </c>
      <c r="P1183" s="53">
        <f t="shared" ref="P1183:P1246" si="299">N1183/O1183</f>
        <v>2000</v>
      </c>
      <c r="Q1183" s="53"/>
      <c r="R1183" s="53">
        <v>2000</v>
      </c>
      <c r="S1183" s="53">
        <f t="shared" si="293"/>
        <v>0</v>
      </c>
      <c r="T1183" s="83">
        <f t="shared" si="294"/>
        <v>1570.909090909091</v>
      </c>
      <c r="U1183" s="84">
        <f t="shared" si="295"/>
        <v>0</v>
      </c>
      <c r="V1183" s="84">
        <f t="shared" si="297"/>
        <v>0</v>
      </c>
      <c r="W1183" s="84">
        <v>0</v>
      </c>
      <c r="X1183" s="55">
        <f t="shared" si="298"/>
        <v>46152.939583333333</v>
      </c>
    </row>
    <row r="1184" spans="1:24" hidden="1" x14ac:dyDescent="0.35">
      <c r="A1184" s="46">
        <f t="shared" si="296"/>
        <v>46152.939583333333</v>
      </c>
      <c r="B1184" s="46"/>
      <c r="C1184" s="260"/>
      <c r="D1184" s="46"/>
      <c r="E1184" s="296" t="s">
        <v>4656</v>
      </c>
      <c r="F1184" s="404" t="s">
        <v>14</v>
      </c>
      <c r="G1184" s="404"/>
      <c r="H1184" s="927" t="s">
        <v>1362</v>
      </c>
      <c r="I1184" s="297" t="s">
        <v>5850</v>
      </c>
      <c r="J1184" s="300" t="s">
        <v>140</v>
      </c>
      <c r="K1184" s="399">
        <v>0</v>
      </c>
      <c r="L1184" s="399">
        <v>0</v>
      </c>
      <c r="M1184" s="400">
        <v>30</v>
      </c>
      <c r="N1184" s="400">
        <v>50</v>
      </c>
      <c r="O1184" s="400">
        <v>1</v>
      </c>
      <c r="P1184" s="400">
        <f t="shared" si="299"/>
        <v>50</v>
      </c>
      <c r="Q1184" s="400"/>
      <c r="R1184" s="400"/>
      <c r="S1184" s="400">
        <f t="shared" si="293"/>
        <v>50</v>
      </c>
      <c r="T1184" s="579">
        <f t="shared" si="294"/>
        <v>2880</v>
      </c>
      <c r="U1184" s="583">
        <f t="shared" si="295"/>
        <v>0.41666666666666669</v>
      </c>
      <c r="V1184" s="583">
        <f t="shared" si="297"/>
        <v>1.7361111111111112E-2</v>
      </c>
      <c r="W1184" s="583">
        <v>0</v>
      </c>
      <c r="X1184" s="55">
        <f t="shared" si="298"/>
        <v>46152.956944444442</v>
      </c>
    </row>
    <row r="1185" spans="1:24" hidden="1" x14ac:dyDescent="0.35">
      <c r="A1185" s="46">
        <f t="shared" si="296"/>
        <v>46152.956944444442</v>
      </c>
      <c r="B1185" s="46"/>
      <c r="C1185" s="260"/>
      <c r="D1185" s="46"/>
      <c r="E1185" s="296" t="s">
        <v>1896</v>
      </c>
      <c r="F1185" s="577" t="s">
        <v>1362</v>
      </c>
      <c r="G1185" s="577"/>
      <c r="H1185" s="850" t="s">
        <v>1362</v>
      </c>
      <c r="I1185" s="297" t="s">
        <v>5851</v>
      </c>
      <c r="J1185" s="300" t="s">
        <v>140</v>
      </c>
      <c r="K1185" s="399">
        <v>0</v>
      </c>
      <c r="L1185" s="399">
        <v>0</v>
      </c>
      <c r="M1185" s="400">
        <v>90</v>
      </c>
      <c r="N1185" s="400">
        <v>50</v>
      </c>
      <c r="O1185" s="400">
        <v>1</v>
      </c>
      <c r="P1185" s="400">
        <f t="shared" si="299"/>
        <v>50</v>
      </c>
      <c r="Q1185" s="400"/>
      <c r="R1185" s="579"/>
      <c r="S1185" s="400">
        <f t="shared" si="293"/>
        <v>50</v>
      </c>
      <c r="T1185" s="579">
        <f t="shared" si="294"/>
        <v>960</v>
      </c>
      <c r="U1185" s="583">
        <f t="shared" si="295"/>
        <v>1.25</v>
      </c>
      <c r="V1185" s="583">
        <f t="shared" si="297"/>
        <v>5.2083333333333336E-2</v>
      </c>
      <c r="W1185" s="583">
        <v>0</v>
      </c>
      <c r="X1185" s="55">
        <f t="shared" si="298"/>
        <v>46153.009027777778</v>
      </c>
    </row>
    <row r="1186" spans="1:24" ht="29" hidden="1" x14ac:dyDescent="0.35">
      <c r="A1186" s="46">
        <f t="shared" si="296"/>
        <v>46153.009027777778</v>
      </c>
      <c r="B1186" s="46"/>
      <c r="C1186" s="260"/>
      <c r="D1186" s="46"/>
      <c r="E1186" s="47" t="s">
        <v>4656</v>
      </c>
      <c r="F1186" s="57" t="s">
        <v>165</v>
      </c>
      <c r="G1186" s="57"/>
      <c r="H1186" s="49" t="s">
        <v>5852</v>
      </c>
      <c r="I1186" s="85" t="s">
        <v>5853</v>
      </c>
      <c r="J1186" s="100" t="s">
        <v>140</v>
      </c>
      <c r="K1186" s="52">
        <v>0</v>
      </c>
      <c r="L1186" s="52">
        <v>0</v>
      </c>
      <c r="M1186" s="53">
        <v>60</v>
      </c>
      <c r="N1186" s="53">
        <v>2236</v>
      </c>
      <c r="O1186" s="53">
        <v>1</v>
      </c>
      <c r="P1186" s="53">
        <f t="shared" si="299"/>
        <v>2236</v>
      </c>
      <c r="Q1186" s="53"/>
      <c r="R1186" s="83">
        <v>2236</v>
      </c>
      <c r="S1186" s="53">
        <f t="shared" si="293"/>
        <v>0</v>
      </c>
      <c r="T1186" s="83">
        <f t="shared" si="294"/>
        <v>1440</v>
      </c>
      <c r="U1186" s="84">
        <f t="shared" si="295"/>
        <v>0</v>
      </c>
      <c r="V1186" s="84">
        <f t="shared" si="297"/>
        <v>0</v>
      </c>
      <c r="W1186" s="84">
        <v>0</v>
      </c>
      <c r="X1186" s="55">
        <f t="shared" si="298"/>
        <v>46153.009027777778</v>
      </c>
    </row>
    <row r="1187" spans="1:24" ht="29" hidden="1" x14ac:dyDescent="0.35">
      <c r="A1187" s="46">
        <f t="shared" si="296"/>
        <v>46153.009027777778</v>
      </c>
      <c r="B1187" s="46"/>
      <c r="C1187" s="260"/>
      <c r="D1187" s="46"/>
      <c r="E1187" s="47" t="s">
        <v>4651</v>
      </c>
      <c r="F1187" s="57" t="s">
        <v>177</v>
      </c>
      <c r="G1187" s="57"/>
      <c r="H1187" s="59" t="s">
        <v>5854</v>
      </c>
      <c r="I1187" s="82" t="s">
        <v>5855</v>
      </c>
      <c r="J1187" s="100" t="s">
        <v>140</v>
      </c>
      <c r="K1187" s="52">
        <v>0</v>
      </c>
      <c r="L1187" s="52">
        <v>0</v>
      </c>
      <c r="M1187" s="53">
        <v>15</v>
      </c>
      <c r="N1187" s="53">
        <v>66000</v>
      </c>
      <c r="O1187" s="53">
        <v>4</v>
      </c>
      <c r="P1187" s="53">
        <f t="shared" si="299"/>
        <v>16500</v>
      </c>
      <c r="Q1187" s="53"/>
      <c r="R1187" s="53">
        <v>16500</v>
      </c>
      <c r="S1187" s="53">
        <f t="shared" si="293"/>
        <v>0</v>
      </c>
      <c r="T1187" s="83">
        <f t="shared" si="294"/>
        <v>23040</v>
      </c>
      <c r="U1187" s="84">
        <f t="shared" si="295"/>
        <v>0</v>
      </c>
      <c r="V1187" s="84">
        <f t="shared" si="297"/>
        <v>0</v>
      </c>
      <c r="W1187" s="84">
        <v>0</v>
      </c>
      <c r="X1187" s="55">
        <f t="shared" si="298"/>
        <v>46153.009027777778</v>
      </c>
    </row>
    <row r="1188" spans="1:24" ht="29" hidden="1" x14ac:dyDescent="0.35">
      <c r="A1188" s="46">
        <f t="shared" si="296"/>
        <v>46153.009027777778</v>
      </c>
      <c r="B1188" s="46"/>
      <c r="C1188" s="260"/>
      <c r="D1188" s="46"/>
      <c r="E1188" s="47" t="s">
        <v>4656</v>
      </c>
      <c r="F1188" s="48" t="s">
        <v>5856</v>
      </c>
      <c r="G1188" s="48"/>
      <c r="H1188" s="59" t="s">
        <v>5857</v>
      </c>
      <c r="I1188" s="82" t="s">
        <v>5858</v>
      </c>
      <c r="J1188" s="100" t="s">
        <v>140</v>
      </c>
      <c r="K1188" s="52">
        <v>0</v>
      </c>
      <c r="L1188" s="52">
        <v>0</v>
      </c>
      <c r="M1188" s="53">
        <v>130</v>
      </c>
      <c r="N1188" s="53">
        <v>450</v>
      </c>
      <c r="O1188" s="53">
        <v>1</v>
      </c>
      <c r="P1188" s="53">
        <f t="shared" si="299"/>
        <v>450</v>
      </c>
      <c r="Q1188" s="53"/>
      <c r="R1188" s="53">
        <v>450</v>
      </c>
      <c r="S1188" s="53">
        <f t="shared" si="293"/>
        <v>0</v>
      </c>
      <c r="T1188" s="83">
        <f t="shared" si="294"/>
        <v>664.61538461538464</v>
      </c>
      <c r="U1188" s="84">
        <f t="shared" si="295"/>
        <v>0</v>
      </c>
      <c r="V1188" s="84">
        <f t="shared" si="297"/>
        <v>0</v>
      </c>
      <c r="W1188" s="84">
        <v>0</v>
      </c>
      <c r="X1188" s="55">
        <f t="shared" si="298"/>
        <v>46153.009027777778</v>
      </c>
    </row>
    <row r="1189" spans="1:24" ht="29" hidden="1" x14ac:dyDescent="0.35">
      <c r="A1189" s="46">
        <f t="shared" si="296"/>
        <v>46153.009027777778</v>
      </c>
      <c r="B1189" s="46"/>
      <c r="C1189" s="260"/>
      <c r="D1189" s="46"/>
      <c r="E1189" s="47" t="s">
        <v>4656</v>
      </c>
      <c r="F1189" s="57" t="s">
        <v>652</v>
      </c>
      <c r="G1189" s="57"/>
      <c r="H1189" s="59" t="s">
        <v>5859</v>
      </c>
      <c r="I1189" s="491" t="s">
        <v>4363</v>
      </c>
      <c r="J1189" s="100" t="s">
        <v>140</v>
      </c>
      <c r="K1189" s="52">
        <v>0</v>
      </c>
      <c r="L1189" s="52">
        <v>0</v>
      </c>
      <c r="M1189" s="53">
        <v>15</v>
      </c>
      <c r="N1189" s="53">
        <v>180000</v>
      </c>
      <c r="O1189" s="53">
        <v>4</v>
      </c>
      <c r="P1189" s="53">
        <f t="shared" si="299"/>
        <v>45000</v>
      </c>
      <c r="Q1189" s="53"/>
      <c r="R1189" s="53">
        <v>45000</v>
      </c>
      <c r="S1189" s="53">
        <f t="shared" si="293"/>
        <v>0</v>
      </c>
      <c r="T1189" s="83">
        <f t="shared" si="294"/>
        <v>23040</v>
      </c>
      <c r="U1189" s="84">
        <f t="shared" si="295"/>
        <v>0</v>
      </c>
      <c r="V1189" s="84">
        <f t="shared" si="297"/>
        <v>0</v>
      </c>
      <c r="W1189" s="84">
        <v>0</v>
      </c>
      <c r="X1189" s="55">
        <f t="shared" si="298"/>
        <v>46153.009027777778</v>
      </c>
    </row>
    <row r="1190" spans="1:24" hidden="1" x14ac:dyDescent="0.35">
      <c r="A1190" s="46">
        <f t="shared" si="296"/>
        <v>46153.009027777778</v>
      </c>
      <c r="B1190" s="46"/>
      <c r="C1190" s="260"/>
      <c r="D1190" s="46"/>
      <c r="E1190" s="47" t="s">
        <v>4656</v>
      </c>
      <c r="F1190" s="57" t="s">
        <v>511</v>
      </c>
      <c r="G1190" s="57"/>
      <c r="H1190" s="59" t="s">
        <v>5860</v>
      </c>
      <c r="I1190" s="1011" t="s">
        <v>4342</v>
      </c>
      <c r="J1190" s="100" t="s">
        <v>140</v>
      </c>
      <c r="K1190" s="52">
        <v>0</v>
      </c>
      <c r="L1190" s="52">
        <v>0</v>
      </c>
      <c r="M1190" s="53">
        <v>15</v>
      </c>
      <c r="N1190" s="53">
        <v>2500</v>
      </c>
      <c r="O1190" s="53">
        <v>1</v>
      </c>
      <c r="P1190" s="53">
        <f t="shared" si="299"/>
        <v>2500</v>
      </c>
      <c r="Q1190" s="53"/>
      <c r="R1190" s="53">
        <v>2500</v>
      </c>
      <c r="S1190" s="53">
        <f t="shared" si="293"/>
        <v>0</v>
      </c>
      <c r="T1190" s="83">
        <f t="shared" si="294"/>
        <v>5760</v>
      </c>
      <c r="U1190" s="84">
        <f t="shared" si="295"/>
        <v>0</v>
      </c>
      <c r="V1190" s="84">
        <f t="shared" si="297"/>
        <v>0</v>
      </c>
      <c r="W1190" s="84">
        <v>0</v>
      </c>
      <c r="X1190" s="55">
        <f t="shared" si="298"/>
        <v>46153.009027777778</v>
      </c>
    </row>
    <row r="1191" spans="1:24" ht="29" hidden="1" x14ac:dyDescent="0.35">
      <c r="A1191" s="46">
        <f t="shared" si="296"/>
        <v>46153.009027777778</v>
      </c>
      <c r="B1191" s="46"/>
      <c r="C1191" s="260"/>
      <c r="D1191" s="46"/>
      <c r="E1191" s="47" t="s">
        <v>4656</v>
      </c>
      <c r="F1191" s="48" t="s">
        <v>652</v>
      </c>
      <c r="G1191" s="48"/>
      <c r="H1191" s="59" t="s">
        <v>5861</v>
      </c>
      <c r="I1191" s="71" t="s">
        <v>5785</v>
      </c>
      <c r="J1191" s="100" t="s">
        <v>140</v>
      </c>
      <c r="K1191" s="52">
        <v>0</v>
      </c>
      <c r="L1191" s="52">
        <v>0</v>
      </c>
      <c r="M1191" s="53">
        <v>90</v>
      </c>
      <c r="N1191" s="53">
        <v>6000</v>
      </c>
      <c r="O1191" s="53">
        <v>2</v>
      </c>
      <c r="P1191" s="53">
        <f t="shared" si="299"/>
        <v>3000</v>
      </c>
      <c r="Q1191" s="53"/>
      <c r="R1191" s="83">
        <v>3000</v>
      </c>
      <c r="S1191" s="53">
        <f t="shared" si="293"/>
        <v>0</v>
      </c>
      <c r="T1191" s="83">
        <f t="shared" si="294"/>
        <v>1920</v>
      </c>
      <c r="U1191" s="84">
        <f t="shared" si="295"/>
        <v>0</v>
      </c>
      <c r="V1191" s="84">
        <f t="shared" si="297"/>
        <v>0</v>
      </c>
      <c r="W1191" s="84">
        <v>0</v>
      </c>
      <c r="X1191" s="55">
        <f t="shared" si="298"/>
        <v>46153.009027777778</v>
      </c>
    </row>
    <row r="1192" spans="1:24" hidden="1" x14ac:dyDescent="0.35">
      <c r="A1192" s="46">
        <f t="shared" si="296"/>
        <v>46153.009027777778</v>
      </c>
      <c r="B1192" s="46"/>
      <c r="C1192" s="260"/>
      <c r="D1192" s="46"/>
      <c r="E1192" s="47" t="s">
        <v>4656</v>
      </c>
      <c r="F1192" s="56" t="s">
        <v>1723</v>
      </c>
      <c r="G1192" s="56"/>
      <c r="H1192" s="49" t="s">
        <v>5862</v>
      </c>
      <c r="I1192" s="99" t="s">
        <v>5708</v>
      </c>
      <c r="J1192" s="100" t="s">
        <v>140</v>
      </c>
      <c r="K1192" s="84">
        <v>0</v>
      </c>
      <c r="L1192" s="84">
        <v>0</v>
      </c>
      <c r="M1192" s="83">
        <v>260</v>
      </c>
      <c r="N1192" s="83">
        <v>700</v>
      </c>
      <c r="O1192" s="83">
        <v>1</v>
      </c>
      <c r="P1192" s="53">
        <f t="shared" si="299"/>
        <v>700</v>
      </c>
      <c r="Q1192" s="53"/>
      <c r="R1192" s="83">
        <v>700</v>
      </c>
      <c r="S1192" s="83">
        <f t="shared" si="293"/>
        <v>0</v>
      </c>
      <c r="T1192" s="83">
        <f t="shared" si="294"/>
        <v>332.30769230769232</v>
      </c>
      <c r="U1192" s="84">
        <f t="shared" si="295"/>
        <v>0</v>
      </c>
      <c r="V1192" s="84">
        <f t="shared" si="297"/>
        <v>0</v>
      </c>
      <c r="W1192" s="84">
        <v>0</v>
      </c>
      <c r="X1192" s="55">
        <f t="shared" si="298"/>
        <v>46153.009027777778</v>
      </c>
    </row>
    <row r="1193" spans="1:24" hidden="1" x14ac:dyDescent="0.35">
      <c r="A1193" s="46">
        <f t="shared" si="296"/>
        <v>46153.009027777778</v>
      </c>
      <c r="B1193" s="46"/>
      <c r="C1193" s="260"/>
      <c r="D1193" s="46"/>
      <c r="E1193" s="47" t="s">
        <v>4656</v>
      </c>
      <c r="F1193" s="97" t="s">
        <v>4541</v>
      </c>
      <c r="G1193" s="97"/>
      <c r="H1193" s="107" t="s">
        <v>5863</v>
      </c>
      <c r="I1193" s="71" t="s">
        <v>5785</v>
      </c>
      <c r="J1193" s="100" t="s">
        <v>140</v>
      </c>
      <c r="K1193" s="91">
        <v>0</v>
      </c>
      <c r="L1193" s="91">
        <v>0</v>
      </c>
      <c r="M1193" s="92">
        <v>90</v>
      </c>
      <c r="N1193" s="92">
        <v>14000</v>
      </c>
      <c r="O1193" s="92">
        <v>2</v>
      </c>
      <c r="P1193" s="92">
        <f t="shared" si="299"/>
        <v>7000</v>
      </c>
      <c r="Q1193" s="92"/>
      <c r="R1193" s="102">
        <v>7000</v>
      </c>
      <c r="S1193" s="92">
        <f t="shared" si="293"/>
        <v>0</v>
      </c>
      <c r="T1193" s="102">
        <f t="shared" si="294"/>
        <v>1920</v>
      </c>
      <c r="U1193" s="101">
        <f t="shared" si="295"/>
        <v>0</v>
      </c>
      <c r="V1193" s="101">
        <f t="shared" si="297"/>
        <v>0</v>
      </c>
      <c r="W1193" s="101">
        <v>0</v>
      </c>
      <c r="X1193" s="55">
        <f t="shared" si="298"/>
        <v>46153.009027777778</v>
      </c>
    </row>
    <row r="1194" spans="1:24" hidden="1" x14ac:dyDescent="0.35">
      <c r="A1194" s="46">
        <f t="shared" si="296"/>
        <v>46153.009027777778</v>
      </c>
      <c r="B1194" s="46"/>
      <c r="C1194" s="260"/>
      <c r="D1194" s="46"/>
      <c r="E1194" s="47" t="s">
        <v>4656</v>
      </c>
      <c r="F1194" s="82" t="s">
        <v>541</v>
      </c>
      <c r="G1194" s="82"/>
      <c r="H1194" s="98" t="s">
        <v>5864</v>
      </c>
      <c r="I1194" s="82" t="s">
        <v>5865</v>
      </c>
      <c r="J1194" s="100" t="s">
        <v>140</v>
      </c>
      <c r="K1194" s="91">
        <v>0</v>
      </c>
      <c r="L1194" s="91">
        <v>0</v>
      </c>
      <c r="M1194" s="92">
        <v>45</v>
      </c>
      <c r="N1194" s="92">
        <v>500</v>
      </c>
      <c r="O1194" s="92">
        <v>1</v>
      </c>
      <c r="P1194" s="92">
        <f t="shared" si="299"/>
        <v>500</v>
      </c>
      <c r="Q1194" s="92"/>
      <c r="R1194" s="92">
        <v>500</v>
      </c>
      <c r="S1194" s="92">
        <f t="shared" si="293"/>
        <v>0</v>
      </c>
      <c r="T1194" s="102">
        <f t="shared" si="294"/>
        <v>1920</v>
      </c>
      <c r="U1194" s="101">
        <f t="shared" si="295"/>
        <v>0</v>
      </c>
      <c r="V1194" s="101">
        <f t="shared" si="297"/>
        <v>0</v>
      </c>
      <c r="W1194" s="101">
        <v>0</v>
      </c>
      <c r="X1194" s="55">
        <f t="shared" si="298"/>
        <v>46153.009027777778</v>
      </c>
    </row>
    <row r="1195" spans="1:24" hidden="1" x14ac:dyDescent="0.35">
      <c r="A1195" s="46">
        <f t="shared" si="296"/>
        <v>46153.009027777778</v>
      </c>
      <c r="B1195" s="46"/>
      <c r="C1195" s="260"/>
      <c r="D1195" s="46"/>
      <c r="E1195" s="47" t="s">
        <v>4656</v>
      </c>
      <c r="F1195" s="97" t="s">
        <v>5866</v>
      </c>
      <c r="G1195" s="97"/>
      <c r="H1195" s="107" t="s">
        <v>5867</v>
      </c>
      <c r="I1195" s="491" t="s">
        <v>4363</v>
      </c>
      <c r="J1195" s="100" t="s">
        <v>140</v>
      </c>
      <c r="K1195" s="91">
        <v>0</v>
      </c>
      <c r="L1195" s="91">
        <v>0</v>
      </c>
      <c r="M1195" s="92">
        <v>15</v>
      </c>
      <c r="N1195" s="92">
        <v>78000</v>
      </c>
      <c r="O1195" s="92">
        <v>6</v>
      </c>
      <c r="P1195" s="92">
        <f t="shared" si="299"/>
        <v>13000</v>
      </c>
      <c r="Q1195" s="92"/>
      <c r="R1195" s="92">
        <v>13000</v>
      </c>
      <c r="S1195" s="92">
        <f t="shared" si="293"/>
        <v>0</v>
      </c>
      <c r="T1195" s="102">
        <f t="shared" si="294"/>
        <v>34560</v>
      </c>
      <c r="U1195" s="101">
        <f t="shared" si="295"/>
        <v>0</v>
      </c>
      <c r="V1195" s="101">
        <f t="shared" si="297"/>
        <v>0</v>
      </c>
      <c r="W1195" s="101">
        <v>0</v>
      </c>
      <c r="X1195" s="55">
        <f t="shared" si="298"/>
        <v>46153.009027777778</v>
      </c>
    </row>
    <row r="1196" spans="1:24" hidden="1" x14ac:dyDescent="0.35">
      <c r="A1196" s="46">
        <f t="shared" si="296"/>
        <v>46153.009027777778</v>
      </c>
      <c r="B1196" s="46"/>
      <c r="C1196" s="260"/>
      <c r="D1196" s="46"/>
      <c r="E1196" s="74" t="s">
        <v>4656</v>
      </c>
      <c r="F1196" s="69" t="s">
        <v>5868</v>
      </c>
      <c r="G1196" s="69"/>
      <c r="H1196" s="105" t="s">
        <v>5869</v>
      </c>
      <c r="I1196" s="491" t="s">
        <v>4363</v>
      </c>
      <c r="J1196" s="491" t="s">
        <v>140</v>
      </c>
      <c r="K1196" s="110">
        <v>0</v>
      </c>
      <c r="L1196" s="110">
        <v>0</v>
      </c>
      <c r="M1196" s="427">
        <v>15</v>
      </c>
      <c r="N1196" s="427">
        <f>78000</f>
        <v>78000</v>
      </c>
      <c r="O1196" s="427">
        <v>4</v>
      </c>
      <c r="P1196" s="427">
        <f t="shared" si="299"/>
        <v>19500</v>
      </c>
      <c r="Q1196" s="427"/>
      <c r="R1196" s="427">
        <v>19500</v>
      </c>
      <c r="S1196" s="427">
        <f t="shared" si="293"/>
        <v>0</v>
      </c>
      <c r="T1196" s="677">
        <f t="shared" si="294"/>
        <v>23040</v>
      </c>
      <c r="U1196" s="601">
        <f t="shared" si="295"/>
        <v>0</v>
      </c>
      <c r="V1196" s="601">
        <f t="shared" si="297"/>
        <v>0</v>
      </c>
      <c r="W1196" s="601">
        <v>0</v>
      </c>
      <c r="X1196" s="55">
        <f t="shared" si="298"/>
        <v>46153.009027777778</v>
      </c>
    </row>
    <row r="1197" spans="1:24" ht="26.5" hidden="1" x14ac:dyDescent="0.35">
      <c r="A1197" s="46">
        <f t="shared" si="296"/>
        <v>46153.009027777778</v>
      </c>
      <c r="B1197" s="46"/>
      <c r="C1197" s="260"/>
      <c r="D1197" s="46"/>
      <c r="E1197" s="47" t="s">
        <v>4656</v>
      </c>
      <c r="F1197" s="97" t="s">
        <v>1084</v>
      </c>
      <c r="G1197" s="97"/>
      <c r="H1197" s="107" t="s">
        <v>5870</v>
      </c>
      <c r="I1197" s="71" t="s">
        <v>5785</v>
      </c>
      <c r="J1197" s="100" t="s">
        <v>140</v>
      </c>
      <c r="K1197" s="110">
        <v>0</v>
      </c>
      <c r="L1197" s="110">
        <v>0</v>
      </c>
      <c r="M1197" s="92">
        <v>90</v>
      </c>
      <c r="N1197" s="92">
        <v>7000</v>
      </c>
      <c r="O1197" s="92">
        <v>2</v>
      </c>
      <c r="P1197" s="92">
        <f t="shared" si="299"/>
        <v>3500</v>
      </c>
      <c r="Q1197" s="92"/>
      <c r="R1197" s="102">
        <v>3500</v>
      </c>
      <c r="S1197" s="92">
        <f t="shared" si="293"/>
        <v>0</v>
      </c>
      <c r="T1197" s="102">
        <f t="shared" si="294"/>
        <v>1920</v>
      </c>
      <c r="U1197" s="101">
        <f t="shared" si="295"/>
        <v>0</v>
      </c>
      <c r="V1197" s="101">
        <f t="shared" si="297"/>
        <v>0</v>
      </c>
      <c r="W1197" s="101">
        <v>0</v>
      </c>
      <c r="X1197" s="55">
        <f t="shared" si="298"/>
        <v>46153.009027777778</v>
      </c>
    </row>
    <row r="1198" spans="1:24" hidden="1" x14ac:dyDescent="0.35">
      <c r="A1198" s="46">
        <f t="shared" si="296"/>
        <v>46153.009027777778</v>
      </c>
      <c r="B1198" s="46"/>
      <c r="C1198" s="260"/>
      <c r="D1198" s="46"/>
      <c r="E1198" s="47" t="s">
        <v>4656</v>
      </c>
      <c r="F1198" s="97" t="s">
        <v>4547</v>
      </c>
      <c r="G1198" s="97"/>
      <c r="H1198" s="107" t="s">
        <v>5871</v>
      </c>
      <c r="I1198" s="71" t="s">
        <v>5785</v>
      </c>
      <c r="J1198" s="100" t="s">
        <v>140</v>
      </c>
      <c r="K1198" s="110">
        <v>0</v>
      </c>
      <c r="L1198" s="110">
        <v>0</v>
      </c>
      <c r="M1198" s="92">
        <v>90</v>
      </c>
      <c r="N1198" s="92">
        <v>8000</v>
      </c>
      <c r="O1198" s="92">
        <v>2</v>
      </c>
      <c r="P1198" s="92">
        <f t="shared" si="299"/>
        <v>4000</v>
      </c>
      <c r="Q1198" s="92"/>
      <c r="R1198" s="102">
        <v>4000</v>
      </c>
      <c r="S1198" s="92">
        <f t="shared" si="293"/>
        <v>0</v>
      </c>
      <c r="T1198" s="102">
        <f t="shared" si="294"/>
        <v>1920</v>
      </c>
      <c r="U1198" s="101">
        <f t="shared" si="295"/>
        <v>0</v>
      </c>
      <c r="V1198" s="101">
        <f t="shared" si="297"/>
        <v>0</v>
      </c>
      <c r="W1198" s="101">
        <v>0</v>
      </c>
      <c r="X1198" s="55">
        <f t="shared" si="298"/>
        <v>46153.009027777778</v>
      </c>
    </row>
    <row r="1199" spans="1:24" hidden="1" x14ac:dyDescent="0.35">
      <c r="A1199" s="46">
        <f t="shared" si="296"/>
        <v>46153.009027777778</v>
      </c>
      <c r="B1199" s="46"/>
      <c r="C1199" s="260"/>
      <c r="D1199" s="46"/>
      <c r="E1199" s="1025" t="s">
        <v>4656</v>
      </c>
      <c r="F1199" s="1026" t="s">
        <v>5872</v>
      </c>
      <c r="G1199" s="1026"/>
      <c r="H1199" s="1027" t="s">
        <v>5873</v>
      </c>
      <c r="I1199" s="1028" t="s">
        <v>4363</v>
      </c>
      <c r="J1199" s="1028" t="s">
        <v>140</v>
      </c>
      <c r="K1199" s="1029">
        <v>0</v>
      </c>
      <c r="L1199" s="1029">
        <v>0</v>
      </c>
      <c r="M1199" s="1030">
        <v>15</v>
      </c>
      <c r="N1199" s="1030">
        <f>72000</f>
        <v>72000</v>
      </c>
      <c r="O1199" s="1030">
        <v>4</v>
      </c>
      <c r="P1199" s="1030">
        <f t="shared" si="299"/>
        <v>18000</v>
      </c>
      <c r="Q1199" s="1030"/>
      <c r="R1199" s="1030">
        <v>18000</v>
      </c>
      <c r="S1199" s="1030">
        <f t="shared" si="293"/>
        <v>0</v>
      </c>
      <c r="T1199" s="1031">
        <f t="shared" si="294"/>
        <v>23040</v>
      </c>
      <c r="U1199" s="1032">
        <f t="shared" si="295"/>
        <v>0</v>
      </c>
      <c r="V1199" s="1032">
        <f t="shared" si="297"/>
        <v>0</v>
      </c>
      <c r="W1199" s="1032">
        <v>0</v>
      </c>
      <c r="X1199" s="55">
        <f t="shared" si="298"/>
        <v>46153.009027777778</v>
      </c>
    </row>
    <row r="1200" spans="1:24" ht="26.5" hidden="1" x14ac:dyDescent="0.35">
      <c r="A1200" s="46">
        <f t="shared" si="296"/>
        <v>46153.009027777778</v>
      </c>
      <c r="B1200" s="46"/>
      <c r="C1200" s="260"/>
      <c r="D1200" s="46"/>
      <c r="E1200" s="47" t="s">
        <v>4656</v>
      </c>
      <c r="F1200" s="97" t="s">
        <v>555</v>
      </c>
      <c r="G1200" s="97"/>
      <c r="H1200" s="59" t="s">
        <v>5734</v>
      </c>
      <c r="I1200" s="855" t="s">
        <v>4324</v>
      </c>
      <c r="J1200" s="100" t="s">
        <v>140</v>
      </c>
      <c r="K1200" s="52">
        <v>0</v>
      </c>
      <c r="L1200" s="52">
        <v>0</v>
      </c>
      <c r="M1200" s="53">
        <v>120</v>
      </c>
      <c r="N1200" s="53">
        <v>8400</v>
      </c>
      <c r="O1200" s="53">
        <v>1</v>
      </c>
      <c r="P1200" s="53">
        <f t="shared" si="299"/>
        <v>8400</v>
      </c>
      <c r="Q1200" s="53"/>
      <c r="R1200" s="53">
        <v>8400</v>
      </c>
      <c r="S1200" s="53">
        <f t="shared" si="293"/>
        <v>0</v>
      </c>
      <c r="T1200" s="83">
        <f t="shared" si="294"/>
        <v>720</v>
      </c>
      <c r="U1200" s="84">
        <f t="shared" si="295"/>
        <v>0</v>
      </c>
      <c r="V1200" s="84">
        <f t="shared" si="297"/>
        <v>0</v>
      </c>
      <c r="W1200" s="84">
        <v>0</v>
      </c>
      <c r="X1200" s="55">
        <f t="shared" si="298"/>
        <v>46153.009027777778</v>
      </c>
    </row>
    <row r="1201" spans="1:24" hidden="1" x14ac:dyDescent="0.35">
      <c r="A1201" s="46">
        <f t="shared" si="296"/>
        <v>46153.009027777778</v>
      </c>
      <c r="B1201" s="46"/>
      <c r="C1201" s="260"/>
      <c r="D1201" s="46"/>
      <c r="E1201" s="47" t="s">
        <v>4656</v>
      </c>
      <c r="F1201" s="62" t="s">
        <v>187</v>
      </c>
      <c r="G1201" s="62"/>
      <c r="H1201" s="59" t="s">
        <v>5874</v>
      </c>
      <c r="I1201" s="82" t="s">
        <v>4674</v>
      </c>
      <c r="J1201" s="100" t="s">
        <v>140</v>
      </c>
      <c r="K1201" s="52">
        <v>0</v>
      </c>
      <c r="L1201" s="52">
        <v>0</v>
      </c>
      <c r="M1201" s="53">
        <v>55</v>
      </c>
      <c r="N1201" s="53">
        <v>2000</v>
      </c>
      <c r="O1201" s="53">
        <v>1</v>
      </c>
      <c r="P1201" s="53">
        <f t="shared" si="299"/>
        <v>2000</v>
      </c>
      <c r="Q1201" s="53"/>
      <c r="R1201" s="53">
        <v>2000</v>
      </c>
      <c r="S1201" s="53">
        <f t="shared" si="293"/>
        <v>0</v>
      </c>
      <c r="T1201" s="83">
        <f t="shared" si="294"/>
        <v>1570.909090909091</v>
      </c>
      <c r="U1201" s="84">
        <f t="shared" si="295"/>
        <v>0</v>
      </c>
      <c r="V1201" s="84">
        <f t="shared" si="297"/>
        <v>0</v>
      </c>
      <c r="W1201" s="84">
        <v>0</v>
      </c>
      <c r="X1201" s="55">
        <f t="shared" si="298"/>
        <v>46153.009027777778</v>
      </c>
    </row>
    <row r="1202" spans="1:24" ht="29" hidden="1" x14ac:dyDescent="0.35">
      <c r="A1202" s="46">
        <f t="shared" si="296"/>
        <v>46153.009027777778</v>
      </c>
      <c r="B1202" s="46"/>
      <c r="C1202" s="260"/>
      <c r="D1202" s="46"/>
      <c r="E1202" s="47" t="s">
        <v>2775</v>
      </c>
      <c r="F1202" s="59" t="s">
        <v>898</v>
      </c>
      <c r="G1202" s="59"/>
      <c r="H1202" s="59" t="s">
        <v>5875</v>
      </c>
      <c r="I1202" s="82" t="s">
        <v>5855</v>
      </c>
      <c r="J1202" s="100" t="s">
        <v>140</v>
      </c>
      <c r="K1202" s="52">
        <v>0</v>
      </c>
      <c r="L1202" s="52">
        <v>0</v>
      </c>
      <c r="M1202" s="53">
        <v>15</v>
      </c>
      <c r="N1202" s="53">
        <f>6000*25</f>
        <v>150000</v>
      </c>
      <c r="O1202" s="53">
        <v>4</v>
      </c>
      <c r="P1202" s="53">
        <f t="shared" si="299"/>
        <v>37500</v>
      </c>
      <c r="Q1202" s="53"/>
      <c r="R1202" s="53">
        <v>37500</v>
      </c>
      <c r="S1202" s="53">
        <f t="shared" si="293"/>
        <v>0</v>
      </c>
      <c r="T1202" s="83">
        <f t="shared" si="294"/>
        <v>23040</v>
      </c>
      <c r="U1202" s="84">
        <f t="shared" si="295"/>
        <v>0</v>
      </c>
      <c r="V1202" s="84">
        <f t="shared" si="297"/>
        <v>0</v>
      </c>
      <c r="W1202" s="84">
        <v>0</v>
      </c>
      <c r="X1202" s="55">
        <f t="shared" si="298"/>
        <v>46153.009027777778</v>
      </c>
    </row>
    <row r="1203" spans="1:24" ht="29" hidden="1" x14ac:dyDescent="0.35">
      <c r="A1203" s="46">
        <f t="shared" si="296"/>
        <v>46153.009027777778</v>
      </c>
      <c r="B1203" s="46"/>
      <c r="C1203" s="260"/>
      <c r="D1203" s="46"/>
      <c r="E1203" s="47" t="s">
        <v>2775</v>
      </c>
      <c r="F1203" s="59" t="s">
        <v>202</v>
      </c>
      <c r="G1203" s="59"/>
      <c r="H1203" s="59" t="s">
        <v>5876</v>
      </c>
      <c r="I1203" s="82" t="s">
        <v>5877</v>
      </c>
      <c r="J1203" s="100" t="s">
        <v>140</v>
      </c>
      <c r="K1203" s="52">
        <v>0</v>
      </c>
      <c r="L1203" s="52">
        <v>0</v>
      </c>
      <c r="M1203" s="53">
        <v>15</v>
      </c>
      <c r="N1203" s="53">
        <f>6000*8</f>
        <v>48000</v>
      </c>
      <c r="O1203" s="53">
        <v>4</v>
      </c>
      <c r="P1203" s="53">
        <f t="shared" si="299"/>
        <v>12000</v>
      </c>
      <c r="Q1203" s="53"/>
      <c r="R1203" s="53">
        <v>12000</v>
      </c>
      <c r="S1203" s="53">
        <f t="shared" si="293"/>
        <v>0</v>
      </c>
      <c r="T1203" s="83">
        <f t="shared" si="294"/>
        <v>23040</v>
      </c>
      <c r="U1203" s="84">
        <f t="shared" si="295"/>
        <v>0</v>
      </c>
      <c r="V1203" s="84">
        <f t="shared" si="297"/>
        <v>0</v>
      </c>
      <c r="W1203" s="84"/>
      <c r="X1203" s="55">
        <f t="shared" si="298"/>
        <v>46153.009027777778</v>
      </c>
    </row>
    <row r="1204" spans="1:24" hidden="1" x14ac:dyDescent="0.35">
      <c r="A1204" s="46">
        <f t="shared" si="296"/>
        <v>46153.009027777778</v>
      </c>
      <c r="B1204" s="46"/>
      <c r="C1204" s="260"/>
      <c r="D1204" s="46"/>
      <c r="E1204" s="47" t="s">
        <v>4656</v>
      </c>
      <c r="F1204" s="99" t="s">
        <v>1372</v>
      </c>
      <c r="G1204" s="99"/>
      <c r="H1204" s="107" t="s">
        <v>5878</v>
      </c>
      <c r="I1204" s="100" t="s">
        <v>4363</v>
      </c>
      <c r="J1204" s="100" t="s">
        <v>140</v>
      </c>
      <c r="K1204" s="91">
        <v>0</v>
      </c>
      <c r="L1204" s="91">
        <v>0</v>
      </c>
      <c r="M1204" s="92">
        <v>15</v>
      </c>
      <c r="N1204" s="92">
        <f>6000*24</f>
        <v>144000</v>
      </c>
      <c r="O1204" s="92">
        <v>6</v>
      </c>
      <c r="P1204" s="92">
        <f t="shared" si="299"/>
        <v>24000</v>
      </c>
      <c r="Q1204" s="92"/>
      <c r="R1204" s="92">
        <v>24000</v>
      </c>
      <c r="S1204" s="92">
        <f t="shared" si="293"/>
        <v>0</v>
      </c>
      <c r="T1204" s="102">
        <f t="shared" si="294"/>
        <v>34560</v>
      </c>
      <c r="U1204" s="101">
        <f t="shared" si="295"/>
        <v>0</v>
      </c>
      <c r="V1204" s="101">
        <f t="shared" si="297"/>
        <v>0</v>
      </c>
      <c r="W1204" s="101">
        <v>0</v>
      </c>
      <c r="X1204" s="55">
        <f t="shared" si="298"/>
        <v>46153.009027777778</v>
      </c>
    </row>
    <row r="1205" spans="1:24" hidden="1" x14ac:dyDescent="0.35">
      <c r="A1205" s="46">
        <f t="shared" si="296"/>
        <v>46153.009027777778</v>
      </c>
      <c r="B1205" s="46"/>
      <c r="C1205" s="260"/>
      <c r="D1205" s="46"/>
      <c r="E1205" s="296" t="s">
        <v>4656</v>
      </c>
      <c r="F1205" s="499" t="s">
        <v>14</v>
      </c>
      <c r="G1205" s="499"/>
      <c r="H1205" s="499" t="s">
        <v>14</v>
      </c>
      <c r="I1205" s="683" t="s">
        <v>5785</v>
      </c>
      <c r="J1205" s="300" t="s">
        <v>140</v>
      </c>
      <c r="K1205" s="352">
        <v>0</v>
      </c>
      <c r="L1205" s="352">
        <v>0</v>
      </c>
      <c r="M1205" s="353">
        <v>90</v>
      </c>
      <c r="N1205" s="353">
        <v>50</v>
      </c>
      <c r="O1205" s="353">
        <v>2</v>
      </c>
      <c r="P1205" s="353">
        <f t="shared" si="299"/>
        <v>25</v>
      </c>
      <c r="Q1205" s="353"/>
      <c r="R1205" s="353">
        <v>25</v>
      </c>
      <c r="S1205" s="353">
        <f t="shared" si="293"/>
        <v>0</v>
      </c>
      <c r="T1205" s="302">
        <f t="shared" si="294"/>
        <v>1920</v>
      </c>
      <c r="U1205" s="301">
        <f t="shared" si="295"/>
        <v>0</v>
      </c>
      <c r="V1205" s="301">
        <f t="shared" si="297"/>
        <v>0</v>
      </c>
      <c r="W1205" s="301">
        <v>0</v>
      </c>
      <c r="X1205" s="55">
        <f t="shared" si="298"/>
        <v>46153.009027777778</v>
      </c>
    </row>
    <row r="1206" spans="1:24" hidden="1" x14ac:dyDescent="0.35">
      <c r="A1206" s="46">
        <f t="shared" si="296"/>
        <v>46153.009027777778</v>
      </c>
      <c r="B1206" s="46"/>
      <c r="C1206" s="260"/>
      <c r="D1206" s="46"/>
      <c r="E1206" s="47" t="s">
        <v>4656</v>
      </c>
      <c r="F1206" s="99" t="s">
        <v>5273</v>
      </c>
      <c r="G1206" s="99"/>
      <c r="H1206" s="99" t="s">
        <v>5879</v>
      </c>
      <c r="I1206" s="71" t="s">
        <v>5785</v>
      </c>
      <c r="J1206" s="100" t="s">
        <v>140</v>
      </c>
      <c r="K1206" s="91">
        <v>0</v>
      </c>
      <c r="L1206" s="91">
        <v>0</v>
      </c>
      <c r="M1206" s="92">
        <v>90</v>
      </c>
      <c r="N1206" s="92">
        <v>500</v>
      </c>
      <c r="O1206" s="92">
        <v>2</v>
      </c>
      <c r="P1206" s="92">
        <f t="shared" si="299"/>
        <v>250</v>
      </c>
      <c r="Q1206" s="92"/>
      <c r="R1206" s="92">
        <v>250</v>
      </c>
      <c r="S1206" s="92">
        <f t="shared" si="293"/>
        <v>0</v>
      </c>
      <c r="T1206" s="102">
        <f t="shared" si="294"/>
        <v>1920</v>
      </c>
      <c r="U1206" s="101">
        <f t="shared" si="295"/>
        <v>0</v>
      </c>
      <c r="V1206" s="101">
        <f t="shared" si="297"/>
        <v>0</v>
      </c>
      <c r="W1206" s="101">
        <v>0</v>
      </c>
      <c r="X1206" s="55">
        <f t="shared" si="298"/>
        <v>46153.009027777778</v>
      </c>
    </row>
    <row r="1207" spans="1:24" hidden="1" x14ac:dyDescent="0.35">
      <c r="A1207" s="46">
        <f t="shared" si="296"/>
        <v>46153.009027777778</v>
      </c>
      <c r="B1207" s="46"/>
      <c r="C1207" s="260"/>
      <c r="D1207" s="46"/>
      <c r="E1207" s="47" t="s">
        <v>4656</v>
      </c>
      <c r="F1207" s="48" t="s">
        <v>5880</v>
      </c>
      <c r="G1207" s="48"/>
      <c r="H1207" s="59" t="s">
        <v>5881</v>
      </c>
      <c r="I1207" s="82" t="s">
        <v>1803</v>
      </c>
      <c r="J1207" s="100" t="s">
        <v>140</v>
      </c>
      <c r="K1207" s="52">
        <v>0</v>
      </c>
      <c r="L1207" s="52">
        <v>0</v>
      </c>
      <c r="M1207" s="53">
        <v>55</v>
      </c>
      <c r="N1207" s="53">
        <v>960</v>
      </c>
      <c r="O1207" s="53">
        <v>1</v>
      </c>
      <c r="P1207" s="53">
        <f t="shared" si="299"/>
        <v>960</v>
      </c>
      <c r="Q1207" s="53"/>
      <c r="R1207" s="53">
        <v>960</v>
      </c>
      <c r="S1207" s="53">
        <f t="shared" si="293"/>
        <v>0</v>
      </c>
      <c r="T1207" s="83">
        <f t="shared" si="294"/>
        <v>1570.909090909091</v>
      </c>
      <c r="U1207" s="84">
        <f t="shared" si="295"/>
        <v>0</v>
      </c>
      <c r="V1207" s="84">
        <f t="shared" si="297"/>
        <v>0</v>
      </c>
      <c r="W1207" s="101">
        <v>0</v>
      </c>
      <c r="X1207" s="55">
        <f t="shared" si="298"/>
        <v>46153.009027777778</v>
      </c>
    </row>
    <row r="1208" spans="1:24" ht="26.5" hidden="1" x14ac:dyDescent="0.35">
      <c r="A1208" s="46">
        <f t="shared" si="296"/>
        <v>46153.009027777778</v>
      </c>
      <c r="B1208" s="46"/>
      <c r="C1208" s="260"/>
      <c r="D1208" s="46"/>
      <c r="E1208" s="47" t="s">
        <v>4656</v>
      </c>
      <c r="F1208" s="99" t="s">
        <v>177</v>
      </c>
      <c r="G1208" s="99"/>
      <c r="H1208" s="107" t="s">
        <v>5882</v>
      </c>
      <c r="I1208" s="100" t="s">
        <v>4363</v>
      </c>
      <c r="J1208" s="100" t="s">
        <v>140</v>
      </c>
      <c r="K1208" s="91">
        <v>0</v>
      </c>
      <c r="L1208" s="91">
        <v>0</v>
      </c>
      <c r="M1208" s="92">
        <v>15</v>
      </c>
      <c r="N1208" s="92">
        <f>6000*45</f>
        <v>270000</v>
      </c>
      <c r="O1208" s="92">
        <v>6</v>
      </c>
      <c r="P1208" s="92">
        <f t="shared" si="299"/>
        <v>45000</v>
      </c>
      <c r="Q1208" s="92"/>
      <c r="R1208" s="92">
        <v>45000</v>
      </c>
      <c r="S1208" s="92">
        <f t="shared" si="293"/>
        <v>0</v>
      </c>
      <c r="T1208" s="102">
        <f t="shared" si="294"/>
        <v>34560</v>
      </c>
      <c r="U1208" s="101">
        <f t="shared" si="295"/>
        <v>0</v>
      </c>
      <c r="V1208" s="101">
        <f t="shared" si="297"/>
        <v>0</v>
      </c>
      <c r="W1208" s="101">
        <v>0</v>
      </c>
      <c r="X1208" s="55">
        <f t="shared" si="298"/>
        <v>46153.009027777778</v>
      </c>
    </row>
    <row r="1209" spans="1:24" ht="26.5" hidden="1" x14ac:dyDescent="0.35">
      <c r="A1209" s="46">
        <f t="shared" si="296"/>
        <v>46153.009027777778</v>
      </c>
      <c r="B1209" s="46"/>
      <c r="C1209" s="260"/>
      <c r="D1209" s="46"/>
      <c r="E1209" s="47" t="s">
        <v>4656</v>
      </c>
      <c r="F1209" s="69" t="s">
        <v>610</v>
      </c>
      <c r="G1209" s="69"/>
      <c r="H1209" s="107" t="s">
        <v>5883</v>
      </c>
      <c r="I1209" s="82" t="s">
        <v>4339</v>
      </c>
      <c r="J1209" s="100" t="s">
        <v>140</v>
      </c>
      <c r="K1209" s="91">
        <v>0</v>
      </c>
      <c r="L1209" s="91">
        <v>0</v>
      </c>
      <c r="M1209" s="92">
        <v>55</v>
      </c>
      <c r="N1209" s="92">
        <v>2500</v>
      </c>
      <c r="O1209" s="92">
        <v>1</v>
      </c>
      <c r="P1209" s="92">
        <f t="shared" si="299"/>
        <v>2500</v>
      </c>
      <c r="Q1209" s="92"/>
      <c r="R1209" s="92">
        <v>2500</v>
      </c>
      <c r="S1209" s="92">
        <f t="shared" si="293"/>
        <v>0</v>
      </c>
      <c r="T1209" s="102">
        <f t="shared" si="294"/>
        <v>1570.909090909091</v>
      </c>
      <c r="U1209" s="101">
        <f t="shared" si="295"/>
        <v>0</v>
      </c>
      <c r="V1209" s="101">
        <f t="shared" si="297"/>
        <v>0</v>
      </c>
      <c r="W1209" s="101">
        <v>0</v>
      </c>
      <c r="X1209" s="55">
        <f t="shared" si="298"/>
        <v>46153.009027777778</v>
      </c>
    </row>
    <row r="1210" spans="1:24" hidden="1" x14ac:dyDescent="0.35">
      <c r="A1210" s="46">
        <f t="shared" si="296"/>
        <v>46153.009027777778</v>
      </c>
      <c r="B1210" s="46"/>
      <c r="C1210" s="260"/>
      <c r="D1210" s="46"/>
      <c r="E1210" s="47" t="s">
        <v>4656</v>
      </c>
      <c r="F1210" s="82" t="s">
        <v>1166</v>
      </c>
      <c r="G1210" s="82"/>
      <c r="H1210" s="98" t="s">
        <v>5884</v>
      </c>
      <c r="I1210" s="82" t="s">
        <v>5865</v>
      </c>
      <c r="J1210" s="100" t="s">
        <v>140</v>
      </c>
      <c r="K1210" s="91">
        <v>0</v>
      </c>
      <c r="L1210" s="91">
        <v>0</v>
      </c>
      <c r="M1210" s="92">
        <v>45</v>
      </c>
      <c r="N1210" s="92">
        <v>500</v>
      </c>
      <c r="O1210" s="92">
        <v>1</v>
      </c>
      <c r="P1210" s="92">
        <f t="shared" si="299"/>
        <v>500</v>
      </c>
      <c r="Q1210" s="92"/>
      <c r="R1210" s="92">
        <v>500</v>
      </c>
      <c r="S1210" s="92">
        <f t="shared" si="293"/>
        <v>0</v>
      </c>
      <c r="T1210" s="102">
        <f t="shared" si="294"/>
        <v>1920</v>
      </c>
      <c r="U1210" s="101">
        <f t="shared" si="295"/>
        <v>0</v>
      </c>
      <c r="V1210" s="101">
        <f t="shared" si="297"/>
        <v>0</v>
      </c>
      <c r="W1210" s="101">
        <v>0</v>
      </c>
      <c r="X1210" s="55">
        <f t="shared" si="298"/>
        <v>46153.009027777778</v>
      </c>
    </row>
    <row r="1211" spans="1:24" hidden="1" x14ac:dyDescent="0.35">
      <c r="A1211" s="46">
        <f t="shared" si="296"/>
        <v>46153.009027777778</v>
      </c>
      <c r="B1211" s="46"/>
      <c r="C1211" s="260"/>
      <c r="D1211" s="46"/>
      <c r="E1211" s="47" t="s">
        <v>4656</v>
      </c>
      <c r="F1211" s="82" t="s">
        <v>5885</v>
      </c>
      <c r="G1211" s="82"/>
      <c r="H1211" s="59" t="s">
        <v>5886</v>
      </c>
      <c r="I1211" s="82" t="s">
        <v>1803</v>
      </c>
      <c r="J1211" s="100" t="s">
        <v>140</v>
      </c>
      <c r="K1211" s="52">
        <v>0</v>
      </c>
      <c r="L1211" s="52">
        <v>0</v>
      </c>
      <c r="M1211" s="53">
        <v>60</v>
      </c>
      <c r="N1211" s="53">
        <v>2112</v>
      </c>
      <c r="O1211" s="53">
        <v>1</v>
      </c>
      <c r="P1211" s="53">
        <f t="shared" si="299"/>
        <v>2112</v>
      </c>
      <c r="Q1211" s="53"/>
      <c r="R1211" s="53">
        <v>2112</v>
      </c>
      <c r="S1211" s="53">
        <f t="shared" si="293"/>
        <v>0</v>
      </c>
      <c r="T1211" s="83">
        <f t="shared" si="294"/>
        <v>1440</v>
      </c>
      <c r="U1211" s="84">
        <f t="shared" si="295"/>
        <v>0</v>
      </c>
      <c r="V1211" s="84">
        <f t="shared" si="297"/>
        <v>0</v>
      </c>
      <c r="W1211" s="84">
        <v>0</v>
      </c>
      <c r="X1211" s="55">
        <f t="shared" si="298"/>
        <v>46153.009027777778</v>
      </c>
    </row>
    <row r="1212" spans="1:24" ht="26.5" hidden="1" x14ac:dyDescent="0.35">
      <c r="A1212" s="46">
        <f t="shared" si="296"/>
        <v>46153.009027777778</v>
      </c>
      <c r="B1212" s="46"/>
      <c r="C1212" s="260"/>
      <c r="D1212" s="46"/>
      <c r="E1212" s="47" t="s">
        <v>4656</v>
      </c>
      <c r="F1212" s="99" t="s">
        <v>501</v>
      </c>
      <c r="G1212" s="99"/>
      <c r="H1212" s="107" t="s">
        <v>5887</v>
      </c>
      <c r="I1212" s="100" t="s">
        <v>4363</v>
      </c>
      <c r="J1212" s="100" t="s">
        <v>140</v>
      </c>
      <c r="K1212" s="91">
        <v>0</v>
      </c>
      <c r="L1212" s="91">
        <v>0</v>
      </c>
      <c r="M1212" s="92">
        <v>15</v>
      </c>
      <c r="N1212" s="92">
        <f>6000*45</f>
        <v>270000</v>
      </c>
      <c r="O1212" s="92">
        <v>6</v>
      </c>
      <c r="P1212" s="92">
        <f t="shared" si="299"/>
        <v>45000</v>
      </c>
      <c r="Q1212" s="92"/>
      <c r="R1212" s="92">
        <v>45000</v>
      </c>
      <c r="S1212" s="92">
        <f t="shared" si="293"/>
        <v>0</v>
      </c>
      <c r="T1212" s="102">
        <f t="shared" si="294"/>
        <v>34560</v>
      </c>
      <c r="U1212" s="101">
        <f t="shared" si="295"/>
        <v>0</v>
      </c>
      <c r="V1212" s="101">
        <f t="shared" si="297"/>
        <v>0</v>
      </c>
      <c r="W1212" s="101">
        <v>0</v>
      </c>
      <c r="X1212" s="55">
        <f t="shared" si="298"/>
        <v>46153.009027777778</v>
      </c>
    </row>
    <row r="1213" spans="1:24" hidden="1" x14ac:dyDescent="0.35">
      <c r="A1213" s="46">
        <f t="shared" si="296"/>
        <v>46153.009027777778</v>
      </c>
      <c r="B1213" s="46"/>
      <c r="C1213" s="260"/>
      <c r="D1213" s="46"/>
      <c r="E1213" s="296" t="s">
        <v>4656</v>
      </c>
      <c r="F1213" s="298" t="s">
        <v>14</v>
      </c>
      <c r="G1213" s="298"/>
      <c r="H1213" s="298" t="s">
        <v>14</v>
      </c>
      <c r="I1213" s="297" t="s">
        <v>5888</v>
      </c>
      <c r="J1213" s="300" t="s">
        <v>140</v>
      </c>
      <c r="K1213" s="352">
        <v>0</v>
      </c>
      <c r="L1213" s="352">
        <v>0</v>
      </c>
      <c r="M1213" s="353">
        <v>53</v>
      </c>
      <c r="N1213" s="353">
        <v>720</v>
      </c>
      <c r="O1213" s="353">
        <v>4</v>
      </c>
      <c r="P1213" s="353">
        <f t="shared" si="299"/>
        <v>180</v>
      </c>
      <c r="Q1213" s="353"/>
      <c r="R1213" s="353">
        <v>180</v>
      </c>
      <c r="S1213" s="302">
        <f t="shared" si="293"/>
        <v>0</v>
      </c>
      <c r="T1213" s="302">
        <f t="shared" si="294"/>
        <v>6520.7547169811323</v>
      </c>
      <c r="U1213" s="301">
        <f t="shared" si="295"/>
        <v>0</v>
      </c>
      <c r="V1213" s="301">
        <f t="shared" si="297"/>
        <v>0</v>
      </c>
      <c r="W1213" s="301">
        <v>0</v>
      </c>
      <c r="X1213" s="55">
        <f t="shared" si="298"/>
        <v>46153.009027777778</v>
      </c>
    </row>
    <row r="1214" spans="1:24" hidden="1" x14ac:dyDescent="0.35">
      <c r="A1214" s="46">
        <f t="shared" si="296"/>
        <v>46153.009027777778</v>
      </c>
      <c r="B1214" s="46"/>
      <c r="C1214" s="260"/>
      <c r="D1214" s="46"/>
      <c r="E1214" s="296" t="s">
        <v>4656</v>
      </c>
      <c r="F1214" s="298" t="s">
        <v>14</v>
      </c>
      <c r="G1214" s="298"/>
      <c r="H1214" s="298" t="s">
        <v>14</v>
      </c>
      <c r="I1214" s="297" t="s">
        <v>5889</v>
      </c>
      <c r="J1214" s="300" t="s">
        <v>140</v>
      </c>
      <c r="K1214" s="352">
        <v>0</v>
      </c>
      <c r="L1214" s="352">
        <v>0</v>
      </c>
      <c r="M1214" s="353">
        <v>53</v>
      </c>
      <c r="N1214" s="353">
        <v>720</v>
      </c>
      <c r="O1214" s="353">
        <v>4</v>
      </c>
      <c r="P1214" s="353">
        <f t="shared" si="299"/>
        <v>180</v>
      </c>
      <c r="Q1214" s="353"/>
      <c r="R1214" s="353">
        <v>180</v>
      </c>
      <c r="S1214" s="302">
        <f t="shared" si="293"/>
        <v>0</v>
      </c>
      <c r="T1214" s="302">
        <f t="shared" si="294"/>
        <v>6520.7547169811323</v>
      </c>
      <c r="U1214" s="301">
        <f t="shared" si="295"/>
        <v>0</v>
      </c>
      <c r="V1214" s="301">
        <f t="shared" si="297"/>
        <v>0</v>
      </c>
      <c r="W1214" s="301">
        <v>0</v>
      </c>
      <c r="X1214" s="55">
        <f t="shared" si="298"/>
        <v>46153.009027777778</v>
      </c>
    </row>
    <row r="1215" spans="1:24" hidden="1" x14ac:dyDescent="0.35">
      <c r="A1215" s="46">
        <f t="shared" si="296"/>
        <v>46153.009027777778</v>
      </c>
      <c r="B1215" s="46"/>
      <c r="C1215" s="260"/>
      <c r="D1215" s="46"/>
      <c r="E1215" s="47" t="s">
        <v>4656</v>
      </c>
      <c r="F1215" s="97" t="s">
        <v>5761</v>
      </c>
      <c r="G1215" s="97"/>
      <c r="H1215" s="107" t="s">
        <v>5890</v>
      </c>
      <c r="I1215" s="697" t="s">
        <v>5763</v>
      </c>
      <c r="J1215" s="100" t="s">
        <v>140</v>
      </c>
      <c r="K1215" s="91">
        <v>0</v>
      </c>
      <c r="L1215" s="91">
        <v>0</v>
      </c>
      <c r="M1215" s="92">
        <v>45</v>
      </c>
      <c r="N1215" s="92">
        <v>500</v>
      </c>
      <c r="O1215" s="92">
        <v>1</v>
      </c>
      <c r="P1215" s="92">
        <f t="shared" si="299"/>
        <v>500</v>
      </c>
      <c r="Q1215" s="92"/>
      <c r="R1215" s="92">
        <v>500</v>
      </c>
      <c r="S1215" s="92">
        <f t="shared" si="293"/>
        <v>0</v>
      </c>
      <c r="T1215" s="102">
        <f t="shared" si="294"/>
        <v>1920</v>
      </c>
      <c r="U1215" s="101">
        <f t="shared" si="295"/>
        <v>0</v>
      </c>
      <c r="V1215" s="101">
        <f t="shared" si="297"/>
        <v>0</v>
      </c>
      <c r="W1215" s="101">
        <v>0</v>
      </c>
      <c r="X1215" s="55">
        <f t="shared" si="298"/>
        <v>46153.009027777778</v>
      </c>
    </row>
    <row r="1216" spans="1:24" hidden="1" x14ac:dyDescent="0.35">
      <c r="A1216" s="46">
        <f t="shared" si="296"/>
        <v>46153.009027777778</v>
      </c>
      <c r="B1216" s="46"/>
      <c r="C1216" s="260"/>
      <c r="D1216" s="46"/>
      <c r="E1216" s="47" t="s">
        <v>4656</v>
      </c>
      <c r="F1216" s="82" t="s">
        <v>5891</v>
      </c>
      <c r="G1216" s="82"/>
      <c r="H1216" s="59" t="s">
        <v>5892</v>
      </c>
      <c r="I1216" s="82" t="s">
        <v>1803</v>
      </c>
      <c r="J1216" s="100" t="s">
        <v>140</v>
      </c>
      <c r="K1216" s="52">
        <v>0</v>
      </c>
      <c r="L1216" s="52">
        <v>0</v>
      </c>
      <c r="M1216" s="53">
        <v>60</v>
      </c>
      <c r="N1216" s="53">
        <v>2112</v>
      </c>
      <c r="O1216" s="53">
        <v>1</v>
      </c>
      <c r="P1216" s="53">
        <f t="shared" si="299"/>
        <v>2112</v>
      </c>
      <c r="Q1216" s="53"/>
      <c r="R1216" s="53">
        <v>2112</v>
      </c>
      <c r="S1216" s="53">
        <f t="shared" si="293"/>
        <v>0</v>
      </c>
      <c r="T1216" s="83">
        <f t="shared" si="294"/>
        <v>1440</v>
      </c>
      <c r="U1216" s="84">
        <f t="shared" si="295"/>
        <v>0</v>
      </c>
      <c r="V1216" s="84">
        <f t="shared" si="297"/>
        <v>0</v>
      </c>
      <c r="W1216" s="84">
        <v>0</v>
      </c>
      <c r="X1216" s="55">
        <f t="shared" si="298"/>
        <v>46153.009027777778</v>
      </c>
    </row>
    <row r="1217" spans="1:24" hidden="1" x14ac:dyDescent="0.35">
      <c r="A1217" s="46">
        <f t="shared" si="296"/>
        <v>46153.009027777778</v>
      </c>
      <c r="B1217" s="46"/>
      <c r="C1217" s="260"/>
      <c r="D1217" s="46"/>
      <c r="E1217" s="47" t="s">
        <v>4656</v>
      </c>
      <c r="F1217" s="82" t="s">
        <v>1788</v>
      </c>
      <c r="G1217" s="82"/>
      <c r="H1217" s="59" t="s">
        <v>5893</v>
      </c>
      <c r="I1217" s="82" t="s">
        <v>1803</v>
      </c>
      <c r="J1217" s="100" t="s">
        <v>140</v>
      </c>
      <c r="K1217" s="52">
        <v>0</v>
      </c>
      <c r="L1217" s="52">
        <v>0</v>
      </c>
      <c r="M1217" s="53">
        <v>60</v>
      </c>
      <c r="N1217" s="53">
        <v>2112</v>
      </c>
      <c r="O1217" s="53">
        <v>1</v>
      </c>
      <c r="P1217" s="53">
        <f t="shared" si="299"/>
        <v>2112</v>
      </c>
      <c r="Q1217" s="53"/>
      <c r="R1217" s="53">
        <v>2112</v>
      </c>
      <c r="S1217" s="53">
        <f t="shared" si="293"/>
        <v>0</v>
      </c>
      <c r="T1217" s="83">
        <f t="shared" si="294"/>
        <v>1440</v>
      </c>
      <c r="U1217" s="84">
        <f t="shared" si="295"/>
        <v>0</v>
      </c>
      <c r="V1217" s="84">
        <f t="shared" si="297"/>
        <v>0</v>
      </c>
      <c r="W1217" s="84">
        <v>0</v>
      </c>
      <c r="X1217" s="55">
        <f t="shared" si="298"/>
        <v>46153.009027777778</v>
      </c>
    </row>
    <row r="1218" spans="1:24" hidden="1" x14ac:dyDescent="0.35">
      <c r="A1218" s="46">
        <f t="shared" si="296"/>
        <v>46153.009027777778</v>
      </c>
      <c r="B1218" s="46"/>
      <c r="C1218" s="260"/>
      <c r="D1218" s="46"/>
      <c r="E1218" s="47" t="s">
        <v>4656</v>
      </c>
      <c r="F1218" s="82" t="s">
        <v>5894</v>
      </c>
      <c r="G1218" s="82"/>
      <c r="H1218" s="107" t="s">
        <v>5895</v>
      </c>
      <c r="I1218" s="82" t="s">
        <v>1803</v>
      </c>
      <c r="J1218" s="100" t="s">
        <v>140</v>
      </c>
      <c r="K1218" s="91">
        <v>0</v>
      </c>
      <c r="L1218" s="91">
        <v>0</v>
      </c>
      <c r="M1218" s="92">
        <v>60</v>
      </c>
      <c r="N1218" s="92">
        <v>2600</v>
      </c>
      <c r="O1218" s="92">
        <v>1</v>
      </c>
      <c r="P1218" s="92">
        <f t="shared" si="299"/>
        <v>2600</v>
      </c>
      <c r="Q1218" s="92"/>
      <c r="R1218" s="92">
        <v>2600</v>
      </c>
      <c r="S1218" s="92">
        <f t="shared" si="293"/>
        <v>0</v>
      </c>
      <c r="T1218" s="102">
        <f t="shared" si="294"/>
        <v>1440</v>
      </c>
      <c r="U1218" s="101">
        <f t="shared" si="295"/>
        <v>0</v>
      </c>
      <c r="V1218" s="101">
        <f t="shared" si="297"/>
        <v>0</v>
      </c>
      <c r="W1218" s="101">
        <v>0</v>
      </c>
      <c r="X1218" s="55">
        <f t="shared" si="298"/>
        <v>46153.009027777778</v>
      </c>
    </row>
    <row r="1219" spans="1:24" hidden="1" x14ac:dyDescent="0.35">
      <c r="A1219" s="46">
        <f t="shared" si="296"/>
        <v>46153.009027777778</v>
      </c>
      <c r="B1219" s="46"/>
      <c r="C1219" s="260"/>
      <c r="D1219" s="46"/>
      <c r="E1219" s="47" t="s">
        <v>4656</v>
      </c>
      <c r="F1219" s="98" t="s">
        <v>1520</v>
      </c>
      <c r="G1219" s="98"/>
      <c r="H1219" s="98" t="s">
        <v>5896</v>
      </c>
      <c r="I1219" s="82" t="s">
        <v>5897</v>
      </c>
      <c r="J1219" s="100" t="s">
        <v>140</v>
      </c>
      <c r="K1219" s="91">
        <v>0</v>
      </c>
      <c r="L1219" s="91">
        <v>0</v>
      </c>
      <c r="M1219" s="92">
        <v>45</v>
      </c>
      <c r="N1219" s="92">
        <v>800</v>
      </c>
      <c r="O1219" s="92">
        <v>1</v>
      </c>
      <c r="P1219" s="92">
        <f t="shared" si="299"/>
        <v>800</v>
      </c>
      <c r="Q1219" s="92"/>
      <c r="R1219" s="92">
        <v>800</v>
      </c>
      <c r="S1219" s="102">
        <f t="shared" si="293"/>
        <v>0</v>
      </c>
      <c r="T1219" s="102">
        <f t="shared" si="294"/>
        <v>1920</v>
      </c>
      <c r="U1219" s="101">
        <f t="shared" si="295"/>
        <v>0</v>
      </c>
      <c r="V1219" s="101">
        <f t="shared" si="297"/>
        <v>0</v>
      </c>
      <c r="W1219" s="101">
        <v>0</v>
      </c>
      <c r="X1219" s="55">
        <f t="shared" si="298"/>
        <v>46153.009027777778</v>
      </c>
    </row>
    <row r="1220" spans="1:24" hidden="1" x14ac:dyDescent="0.35">
      <c r="A1220" s="46">
        <f t="shared" si="296"/>
        <v>46153.009027777778</v>
      </c>
      <c r="B1220" s="46"/>
      <c r="C1220" s="260"/>
      <c r="D1220" s="46"/>
      <c r="E1220" s="47" t="s">
        <v>4656</v>
      </c>
      <c r="F1220" s="98" t="s">
        <v>1520</v>
      </c>
      <c r="G1220" s="98"/>
      <c r="H1220" s="98" t="s">
        <v>5898</v>
      </c>
      <c r="I1220" s="265" t="s">
        <v>5899</v>
      </c>
      <c r="J1220" s="100" t="s">
        <v>140</v>
      </c>
      <c r="K1220" s="91">
        <v>0</v>
      </c>
      <c r="L1220" s="91">
        <v>0</v>
      </c>
      <c r="M1220" s="92">
        <v>45</v>
      </c>
      <c r="N1220" s="92">
        <v>800</v>
      </c>
      <c r="O1220" s="92">
        <v>1</v>
      </c>
      <c r="P1220" s="92">
        <f t="shared" si="299"/>
        <v>800</v>
      </c>
      <c r="Q1220" s="92"/>
      <c r="R1220" s="92">
        <v>800</v>
      </c>
      <c r="S1220" s="102">
        <f t="shared" si="293"/>
        <v>0</v>
      </c>
      <c r="T1220" s="102">
        <f t="shared" si="294"/>
        <v>1920</v>
      </c>
      <c r="U1220" s="101">
        <f t="shared" si="295"/>
        <v>0</v>
      </c>
      <c r="V1220" s="101">
        <f t="shared" si="297"/>
        <v>0</v>
      </c>
      <c r="W1220" s="101">
        <v>0</v>
      </c>
      <c r="X1220" s="55">
        <f t="shared" si="298"/>
        <v>46153.009027777778</v>
      </c>
    </row>
    <row r="1221" spans="1:24" hidden="1" x14ac:dyDescent="0.35">
      <c r="A1221" s="46">
        <f t="shared" si="296"/>
        <v>46153.009027777778</v>
      </c>
      <c r="B1221" s="46"/>
      <c r="C1221" s="260"/>
      <c r="D1221" s="46"/>
      <c r="E1221" s="47" t="s">
        <v>4656</v>
      </c>
      <c r="F1221" s="98" t="s">
        <v>1520</v>
      </c>
      <c r="G1221" s="98"/>
      <c r="H1221" s="98" t="s">
        <v>5900</v>
      </c>
      <c r="I1221" s="265" t="s">
        <v>5901</v>
      </c>
      <c r="J1221" s="100" t="s">
        <v>140</v>
      </c>
      <c r="K1221" s="91">
        <v>0</v>
      </c>
      <c r="L1221" s="91">
        <v>0</v>
      </c>
      <c r="M1221" s="92">
        <v>45</v>
      </c>
      <c r="N1221" s="92">
        <v>800</v>
      </c>
      <c r="O1221" s="92">
        <v>1</v>
      </c>
      <c r="P1221" s="92">
        <f t="shared" si="299"/>
        <v>800</v>
      </c>
      <c r="Q1221" s="92"/>
      <c r="R1221" s="92">
        <v>800</v>
      </c>
      <c r="S1221" s="102">
        <f t="shared" si="293"/>
        <v>0</v>
      </c>
      <c r="T1221" s="102">
        <f t="shared" si="294"/>
        <v>1920</v>
      </c>
      <c r="U1221" s="101">
        <f t="shared" si="295"/>
        <v>0</v>
      </c>
      <c r="V1221" s="101">
        <f t="shared" si="297"/>
        <v>0</v>
      </c>
      <c r="W1221" s="101">
        <v>0</v>
      </c>
      <c r="X1221" s="55">
        <f t="shared" si="298"/>
        <v>46153.009027777778</v>
      </c>
    </row>
    <row r="1222" spans="1:24" hidden="1" x14ac:dyDescent="0.35">
      <c r="A1222" s="46">
        <f t="shared" si="296"/>
        <v>46153.009027777778</v>
      </c>
      <c r="B1222" s="46"/>
      <c r="C1222" s="260"/>
      <c r="D1222" s="46"/>
      <c r="E1222" s="47" t="s">
        <v>4656</v>
      </c>
      <c r="F1222" s="98" t="s">
        <v>1520</v>
      </c>
      <c r="G1222" s="98"/>
      <c r="H1222" s="98" t="s">
        <v>5902</v>
      </c>
      <c r="I1222" s="316" t="s">
        <v>5768</v>
      </c>
      <c r="J1222" s="100" t="s">
        <v>140</v>
      </c>
      <c r="K1222" s="91">
        <v>0</v>
      </c>
      <c r="L1222" s="91">
        <v>0</v>
      </c>
      <c r="M1222" s="92">
        <v>45</v>
      </c>
      <c r="N1222" s="92">
        <v>800</v>
      </c>
      <c r="O1222" s="92">
        <v>1</v>
      </c>
      <c r="P1222" s="92">
        <f t="shared" si="299"/>
        <v>800</v>
      </c>
      <c r="Q1222" s="92"/>
      <c r="R1222" s="92">
        <v>800</v>
      </c>
      <c r="S1222" s="102">
        <f t="shared" si="293"/>
        <v>0</v>
      </c>
      <c r="T1222" s="102">
        <f t="shared" si="294"/>
        <v>1920</v>
      </c>
      <c r="U1222" s="101">
        <f t="shared" si="295"/>
        <v>0</v>
      </c>
      <c r="V1222" s="101">
        <f t="shared" si="297"/>
        <v>0</v>
      </c>
      <c r="W1222" s="101">
        <v>0</v>
      </c>
      <c r="X1222" s="55">
        <f t="shared" si="298"/>
        <v>46153.009027777778</v>
      </c>
    </row>
    <row r="1223" spans="1:24" hidden="1" x14ac:dyDescent="0.35">
      <c r="A1223" s="46">
        <f t="shared" si="296"/>
        <v>46153.009027777778</v>
      </c>
      <c r="B1223" s="46"/>
      <c r="C1223" s="260"/>
      <c r="D1223" s="46"/>
      <c r="E1223" s="47" t="s">
        <v>4656</v>
      </c>
      <c r="F1223" s="98" t="s">
        <v>1520</v>
      </c>
      <c r="G1223" s="98"/>
      <c r="H1223" s="98" t="s">
        <v>5903</v>
      </c>
      <c r="I1223" s="265" t="s">
        <v>5904</v>
      </c>
      <c r="J1223" s="100" t="s">
        <v>140</v>
      </c>
      <c r="K1223" s="91">
        <v>0</v>
      </c>
      <c r="L1223" s="91">
        <v>0</v>
      </c>
      <c r="M1223" s="92">
        <v>120</v>
      </c>
      <c r="N1223" s="92">
        <v>800</v>
      </c>
      <c r="O1223" s="92">
        <v>1</v>
      </c>
      <c r="P1223" s="92">
        <f t="shared" si="299"/>
        <v>800</v>
      </c>
      <c r="Q1223" s="92"/>
      <c r="R1223" s="92">
        <v>800</v>
      </c>
      <c r="S1223" s="102">
        <f t="shared" si="293"/>
        <v>0</v>
      </c>
      <c r="T1223" s="102">
        <f t="shared" si="294"/>
        <v>720</v>
      </c>
      <c r="U1223" s="101">
        <f t="shared" si="295"/>
        <v>0</v>
      </c>
      <c r="V1223" s="101">
        <f t="shared" si="297"/>
        <v>0</v>
      </c>
      <c r="W1223" s="101">
        <v>0</v>
      </c>
      <c r="X1223" s="55">
        <f t="shared" si="298"/>
        <v>46153.009027777778</v>
      </c>
    </row>
    <row r="1224" spans="1:24" hidden="1" x14ac:dyDescent="0.35">
      <c r="A1224" s="46">
        <f t="shared" si="296"/>
        <v>46153.009027777778</v>
      </c>
      <c r="B1224" s="46"/>
      <c r="C1224" s="260"/>
      <c r="D1224" s="46"/>
      <c r="E1224" s="47" t="s">
        <v>4656</v>
      </c>
      <c r="F1224" s="98" t="s">
        <v>1520</v>
      </c>
      <c r="G1224" s="98"/>
      <c r="H1224" s="98" t="s">
        <v>5905</v>
      </c>
      <c r="I1224" s="82" t="s">
        <v>5906</v>
      </c>
      <c r="J1224" s="100" t="s">
        <v>140</v>
      </c>
      <c r="K1224" s="91">
        <v>0</v>
      </c>
      <c r="L1224" s="91">
        <v>0</v>
      </c>
      <c r="M1224" s="92">
        <v>120</v>
      </c>
      <c r="N1224" s="92">
        <v>800</v>
      </c>
      <c r="O1224" s="92">
        <v>1</v>
      </c>
      <c r="P1224" s="92">
        <f t="shared" si="299"/>
        <v>800</v>
      </c>
      <c r="Q1224" s="92"/>
      <c r="R1224" s="92">
        <v>800</v>
      </c>
      <c r="S1224" s="102">
        <f t="shared" si="293"/>
        <v>0</v>
      </c>
      <c r="T1224" s="102">
        <f t="shared" si="294"/>
        <v>720</v>
      </c>
      <c r="U1224" s="101">
        <f t="shared" si="295"/>
        <v>0</v>
      </c>
      <c r="V1224" s="101">
        <f t="shared" si="297"/>
        <v>0</v>
      </c>
      <c r="W1224" s="101">
        <v>0</v>
      </c>
      <c r="X1224" s="55">
        <f t="shared" si="298"/>
        <v>46153.009027777778</v>
      </c>
    </row>
    <row r="1225" spans="1:24" hidden="1" x14ac:dyDescent="0.35">
      <c r="A1225" s="46">
        <f t="shared" si="296"/>
        <v>46153.009027777778</v>
      </c>
      <c r="B1225" s="46"/>
      <c r="C1225" s="260"/>
      <c r="D1225" s="46"/>
      <c r="E1225" s="47" t="s">
        <v>4656</v>
      </c>
      <c r="F1225" s="98" t="s">
        <v>1520</v>
      </c>
      <c r="G1225" s="98"/>
      <c r="H1225" s="98" t="s">
        <v>5907</v>
      </c>
      <c r="I1225" s="265" t="s">
        <v>5908</v>
      </c>
      <c r="J1225" s="100" t="s">
        <v>140</v>
      </c>
      <c r="K1225" s="91">
        <v>0</v>
      </c>
      <c r="L1225" s="91">
        <v>0</v>
      </c>
      <c r="M1225" s="92">
        <v>120</v>
      </c>
      <c r="N1225" s="92">
        <v>800</v>
      </c>
      <c r="O1225" s="92">
        <v>1</v>
      </c>
      <c r="P1225" s="92">
        <f t="shared" si="299"/>
        <v>800</v>
      </c>
      <c r="Q1225" s="92"/>
      <c r="R1225" s="92">
        <v>800</v>
      </c>
      <c r="S1225" s="102">
        <f t="shared" si="293"/>
        <v>0</v>
      </c>
      <c r="T1225" s="102">
        <f t="shared" si="294"/>
        <v>720</v>
      </c>
      <c r="U1225" s="101">
        <f t="shared" si="295"/>
        <v>0</v>
      </c>
      <c r="V1225" s="101">
        <f t="shared" si="297"/>
        <v>0</v>
      </c>
      <c r="W1225" s="101">
        <v>0</v>
      </c>
      <c r="X1225" s="55">
        <f t="shared" si="298"/>
        <v>46153.009027777778</v>
      </c>
    </row>
    <row r="1226" spans="1:24" hidden="1" x14ac:dyDescent="0.35">
      <c r="A1226" s="46">
        <f t="shared" si="296"/>
        <v>46153.009027777778</v>
      </c>
      <c r="B1226" s="46"/>
      <c r="C1226" s="260"/>
      <c r="D1226" s="46"/>
      <c r="E1226" s="47" t="s">
        <v>4656</v>
      </c>
      <c r="F1226" s="98" t="s">
        <v>1520</v>
      </c>
      <c r="G1226" s="98"/>
      <c r="H1226" s="98" t="s">
        <v>5909</v>
      </c>
      <c r="I1226" s="316" t="s">
        <v>5769</v>
      </c>
      <c r="J1226" s="100" t="s">
        <v>140</v>
      </c>
      <c r="K1226" s="91">
        <v>0</v>
      </c>
      <c r="L1226" s="91">
        <v>0</v>
      </c>
      <c r="M1226" s="92">
        <v>120</v>
      </c>
      <c r="N1226" s="92">
        <v>800</v>
      </c>
      <c r="O1226" s="92">
        <v>1</v>
      </c>
      <c r="P1226" s="92">
        <f t="shared" si="299"/>
        <v>800</v>
      </c>
      <c r="Q1226" s="92"/>
      <c r="R1226" s="92">
        <v>800</v>
      </c>
      <c r="S1226" s="102">
        <f t="shared" ref="S1226:S1289" si="300">P1226-R1226</f>
        <v>0</v>
      </c>
      <c r="T1226" s="102">
        <f t="shared" ref="T1226:T1282" si="301">((3600/M1226)*O1226)*24</f>
        <v>720</v>
      </c>
      <c r="U1226" s="101">
        <f t="shared" ref="U1226:U1282" si="302">(P1226-R1226)*M1226/3600</f>
        <v>0</v>
      </c>
      <c r="V1226" s="101">
        <f t="shared" si="297"/>
        <v>0</v>
      </c>
      <c r="W1226" s="101">
        <v>0</v>
      </c>
      <c r="X1226" s="55">
        <f t="shared" si="298"/>
        <v>46153.009027777778</v>
      </c>
    </row>
    <row r="1227" spans="1:24" hidden="1" x14ac:dyDescent="0.35">
      <c r="A1227" s="46">
        <f t="shared" ref="A1227:A1271" si="303">X1226</f>
        <v>46153.009027777778</v>
      </c>
      <c r="B1227" s="46"/>
      <c r="C1227" s="260"/>
      <c r="D1227" s="46"/>
      <c r="E1227" s="47" t="s">
        <v>4656</v>
      </c>
      <c r="F1227" s="98" t="s">
        <v>1520</v>
      </c>
      <c r="G1227" s="98"/>
      <c r="H1227" s="98" t="s">
        <v>5910</v>
      </c>
      <c r="I1227" s="265" t="s">
        <v>5911</v>
      </c>
      <c r="J1227" s="100" t="s">
        <v>140</v>
      </c>
      <c r="K1227" s="91">
        <v>0</v>
      </c>
      <c r="L1227" s="91">
        <v>0</v>
      </c>
      <c r="M1227" s="92">
        <v>80</v>
      </c>
      <c r="N1227" s="92">
        <v>800</v>
      </c>
      <c r="O1227" s="92">
        <v>1</v>
      </c>
      <c r="P1227" s="92">
        <f t="shared" si="299"/>
        <v>800</v>
      </c>
      <c r="Q1227" s="92"/>
      <c r="R1227" s="92">
        <v>800</v>
      </c>
      <c r="S1227" s="102">
        <f t="shared" si="300"/>
        <v>0</v>
      </c>
      <c r="T1227" s="102">
        <f t="shared" si="301"/>
        <v>1080</v>
      </c>
      <c r="U1227" s="101">
        <f t="shared" si="302"/>
        <v>0</v>
      </c>
      <c r="V1227" s="101">
        <f t="shared" ref="V1227:V1282" si="304">(P1227-R1227)*M1227/3600/24</f>
        <v>0</v>
      </c>
      <c r="W1227" s="101">
        <v>0</v>
      </c>
      <c r="X1227" s="55">
        <f t="shared" ref="X1227:X1274" si="305">A1227+K1227+V1227+W1227+L1227</f>
        <v>46153.009027777778</v>
      </c>
    </row>
    <row r="1228" spans="1:24" hidden="1" x14ac:dyDescent="0.35">
      <c r="A1228" s="46">
        <f t="shared" si="303"/>
        <v>46153.009027777778</v>
      </c>
      <c r="B1228" s="46"/>
      <c r="C1228" s="260"/>
      <c r="D1228" s="46"/>
      <c r="E1228" s="47" t="s">
        <v>4656</v>
      </c>
      <c r="F1228" s="98" t="s">
        <v>1520</v>
      </c>
      <c r="G1228" s="98"/>
      <c r="H1228" s="98" t="s">
        <v>5912</v>
      </c>
      <c r="I1228" s="265" t="s">
        <v>5913</v>
      </c>
      <c r="J1228" s="100" t="s">
        <v>140</v>
      </c>
      <c r="K1228" s="91">
        <v>0</v>
      </c>
      <c r="L1228" s="91">
        <v>0</v>
      </c>
      <c r="M1228" s="92">
        <v>120</v>
      </c>
      <c r="N1228" s="92">
        <v>800</v>
      </c>
      <c r="O1228" s="92">
        <v>1</v>
      </c>
      <c r="P1228" s="92">
        <f t="shared" si="299"/>
        <v>800</v>
      </c>
      <c r="Q1228" s="92"/>
      <c r="R1228" s="92">
        <v>800</v>
      </c>
      <c r="S1228" s="102">
        <f t="shared" si="300"/>
        <v>0</v>
      </c>
      <c r="T1228" s="102">
        <f t="shared" si="301"/>
        <v>720</v>
      </c>
      <c r="U1228" s="101">
        <f t="shared" si="302"/>
        <v>0</v>
      </c>
      <c r="V1228" s="101">
        <f t="shared" si="304"/>
        <v>0</v>
      </c>
      <c r="W1228" s="101">
        <v>0</v>
      </c>
      <c r="X1228" s="55">
        <f t="shared" si="305"/>
        <v>46153.009027777778</v>
      </c>
    </row>
    <row r="1229" spans="1:24" hidden="1" x14ac:dyDescent="0.35">
      <c r="A1229" s="46">
        <f t="shared" si="303"/>
        <v>46153.009027777778</v>
      </c>
      <c r="B1229" s="46"/>
      <c r="C1229" s="260"/>
      <c r="D1229" s="46"/>
      <c r="E1229" s="47" t="s">
        <v>4656</v>
      </c>
      <c r="F1229" s="99" t="s">
        <v>271</v>
      </c>
      <c r="G1229" s="99"/>
      <c r="H1229" s="108">
        <v>11449</v>
      </c>
      <c r="I1229" s="220" t="s">
        <v>5708</v>
      </c>
      <c r="J1229" s="100" t="s">
        <v>140</v>
      </c>
      <c r="K1229" s="91">
        <v>0</v>
      </c>
      <c r="L1229" s="91">
        <v>0</v>
      </c>
      <c r="M1229" s="92">
        <v>260</v>
      </c>
      <c r="N1229" s="92">
        <v>1200</v>
      </c>
      <c r="O1229" s="92">
        <v>1</v>
      </c>
      <c r="P1229" s="92">
        <f t="shared" si="299"/>
        <v>1200</v>
      </c>
      <c r="Q1229" s="92"/>
      <c r="R1229" s="92">
        <v>1200</v>
      </c>
      <c r="S1229" s="92">
        <f t="shared" si="300"/>
        <v>0</v>
      </c>
      <c r="T1229" s="102">
        <f t="shared" si="301"/>
        <v>332.30769230769232</v>
      </c>
      <c r="U1229" s="101">
        <f t="shared" si="302"/>
        <v>0</v>
      </c>
      <c r="V1229" s="101">
        <f t="shared" si="304"/>
        <v>0</v>
      </c>
      <c r="W1229" s="101">
        <v>0</v>
      </c>
      <c r="X1229" s="55">
        <f t="shared" si="305"/>
        <v>46153.009027777778</v>
      </c>
    </row>
    <row r="1230" spans="1:24" hidden="1" x14ac:dyDescent="0.35">
      <c r="A1230" s="46">
        <f t="shared" si="303"/>
        <v>46153.009027777778</v>
      </c>
      <c r="B1230" s="46"/>
      <c r="C1230" s="260"/>
      <c r="D1230" s="46"/>
      <c r="E1230" s="47" t="s">
        <v>4656</v>
      </c>
      <c r="F1230" s="99" t="s">
        <v>271</v>
      </c>
      <c r="G1230" s="99"/>
      <c r="H1230" s="98" t="s">
        <v>5914</v>
      </c>
      <c r="I1230" s="220" t="s">
        <v>4308</v>
      </c>
      <c r="J1230" s="100" t="s">
        <v>140</v>
      </c>
      <c r="K1230" s="91">
        <v>0</v>
      </c>
      <c r="L1230" s="91">
        <v>0</v>
      </c>
      <c r="M1230" s="92">
        <v>250</v>
      </c>
      <c r="N1230" s="92">
        <v>900</v>
      </c>
      <c r="O1230" s="92">
        <v>1</v>
      </c>
      <c r="P1230" s="92">
        <f t="shared" si="299"/>
        <v>900</v>
      </c>
      <c r="Q1230" s="92"/>
      <c r="R1230" s="92">
        <v>900</v>
      </c>
      <c r="S1230" s="102">
        <f t="shared" si="300"/>
        <v>0</v>
      </c>
      <c r="T1230" s="102">
        <f t="shared" si="301"/>
        <v>345.6</v>
      </c>
      <c r="U1230" s="101">
        <f t="shared" si="302"/>
        <v>0</v>
      </c>
      <c r="V1230" s="101">
        <f t="shared" si="304"/>
        <v>0</v>
      </c>
      <c r="W1230" s="101">
        <v>0</v>
      </c>
      <c r="X1230" s="55">
        <f t="shared" si="305"/>
        <v>46153.009027777778</v>
      </c>
    </row>
    <row r="1231" spans="1:24" ht="26.5" hidden="1" x14ac:dyDescent="0.35">
      <c r="A1231" s="46">
        <f t="shared" si="303"/>
        <v>46153.009027777778</v>
      </c>
      <c r="B1231" s="46"/>
      <c r="C1231" s="260"/>
      <c r="D1231" s="46"/>
      <c r="E1231" s="47" t="s">
        <v>4656</v>
      </c>
      <c r="F1231" s="99" t="s">
        <v>1549</v>
      </c>
      <c r="G1231" s="99"/>
      <c r="H1231" s="107" t="s">
        <v>5915</v>
      </c>
      <c r="I1231" s="85" t="s">
        <v>5916</v>
      </c>
      <c r="J1231" s="100" t="s">
        <v>140</v>
      </c>
      <c r="K1231" s="91">
        <v>0</v>
      </c>
      <c r="L1231" s="91">
        <v>0</v>
      </c>
      <c r="M1231" s="92">
        <v>60</v>
      </c>
      <c r="N1231" s="92">
        <v>1500</v>
      </c>
      <c r="O1231" s="92">
        <v>1</v>
      </c>
      <c r="P1231" s="92">
        <f t="shared" si="299"/>
        <v>1500</v>
      </c>
      <c r="Q1231" s="92"/>
      <c r="R1231" s="102">
        <v>1500</v>
      </c>
      <c r="S1231" s="92">
        <f t="shared" si="300"/>
        <v>0</v>
      </c>
      <c r="T1231" s="102">
        <f t="shared" si="301"/>
        <v>1440</v>
      </c>
      <c r="U1231" s="101">
        <f t="shared" si="302"/>
        <v>0</v>
      </c>
      <c r="V1231" s="101">
        <f t="shared" si="304"/>
        <v>0</v>
      </c>
      <c r="W1231" s="101">
        <v>0</v>
      </c>
      <c r="X1231" s="55">
        <f t="shared" si="305"/>
        <v>46153.009027777778</v>
      </c>
    </row>
    <row r="1232" spans="1:24" ht="26.5" hidden="1" x14ac:dyDescent="0.35">
      <c r="A1232" s="46">
        <f t="shared" si="303"/>
        <v>46153.009027777778</v>
      </c>
      <c r="B1232" s="46"/>
      <c r="C1232" s="260"/>
      <c r="D1232" s="46"/>
      <c r="E1232" s="47" t="s">
        <v>4656</v>
      </c>
      <c r="F1232" s="99" t="s">
        <v>1211</v>
      </c>
      <c r="G1232" s="99"/>
      <c r="H1232" s="107" t="s">
        <v>5917</v>
      </c>
      <c r="I1232" s="85" t="s">
        <v>5916</v>
      </c>
      <c r="J1232" s="100" t="s">
        <v>140</v>
      </c>
      <c r="K1232" s="91">
        <v>0</v>
      </c>
      <c r="L1232" s="91">
        <v>0</v>
      </c>
      <c r="M1232" s="92">
        <v>60</v>
      </c>
      <c r="N1232" s="92">
        <v>1000</v>
      </c>
      <c r="O1232" s="92">
        <v>1</v>
      </c>
      <c r="P1232" s="92">
        <f t="shared" si="299"/>
        <v>1000</v>
      </c>
      <c r="Q1232" s="92"/>
      <c r="R1232" s="102">
        <v>1000</v>
      </c>
      <c r="S1232" s="92">
        <f t="shared" si="300"/>
        <v>0</v>
      </c>
      <c r="T1232" s="102">
        <f t="shared" si="301"/>
        <v>1440</v>
      </c>
      <c r="U1232" s="101">
        <f t="shared" si="302"/>
        <v>0</v>
      </c>
      <c r="V1232" s="101">
        <f t="shared" si="304"/>
        <v>0</v>
      </c>
      <c r="W1232" s="101">
        <v>0</v>
      </c>
      <c r="X1232" s="55">
        <f t="shared" si="305"/>
        <v>46153.009027777778</v>
      </c>
    </row>
    <row r="1233" spans="1:24" hidden="1" x14ac:dyDescent="0.35">
      <c r="A1233" s="46">
        <f t="shared" si="303"/>
        <v>46153.009027777778</v>
      </c>
      <c r="B1233" s="46"/>
      <c r="C1233" s="260"/>
      <c r="D1233" s="46"/>
      <c r="E1233" s="47" t="s">
        <v>4656</v>
      </c>
      <c r="F1233" s="69" t="s">
        <v>224</v>
      </c>
      <c r="G1233" s="69"/>
      <c r="H1233" s="340" t="s">
        <v>5918</v>
      </c>
      <c r="I1233" s="82" t="s">
        <v>4368</v>
      </c>
      <c r="J1233" s="100" t="s">
        <v>140</v>
      </c>
      <c r="K1233" s="91">
        <v>0</v>
      </c>
      <c r="L1233" s="91">
        <v>0</v>
      </c>
      <c r="M1233" s="92">
        <v>85</v>
      </c>
      <c r="N1233" s="92">
        <v>150</v>
      </c>
      <c r="O1233" s="92">
        <v>1</v>
      </c>
      <c r="P1233" s="92">
        <f t="shared" si="299"/>
        <v>150</v>
      </c>
      <c r="Q1233" s="92"/>
      <c r="R1233" s="92">
        <v>150</v>
      </c>
      <c r="S1233" s="92">
        <f t="shared" si="300"/>
        <v>0</v>
      </c>
      <c r="T1233" s="102">
        <f t="shared" si="301"/>
        <v>1016.4705882352941</v>
      </c>
      <c r="U1233" s="101">
        <f t="shared" si="302"/>
        <v>0</v>
      </c>
      <c r="V1233" s="101">
        <f t="shared" si="304"/>
        <v>0</v>
      </c>
      <c r="W1233" s="101">
        <v>0</v>
      </c>
      <c r="X1233" s="55">
        <f t="shared" si="305"/>
        <v>46153.009027777778</v>
      </c>
    </row>
    <row r="1234" spans="1:24" hidden="1" x14ac:dyDescent="0.35">
      <c r="A1234" s="46">
        <f t="shared" si="303"/>
        <v>46153.009027777778</v>
      </c>
      <c r="B1234" s="46"/>
      <c r="C1234" s="260"/>
      <c r="D1234" s="46"/>
      <c r="E1234" s="47" t="s">
        <v>4656</v>
      </c>
      <c r="F1234" s="69" t="s">
        <v>5919</v>
      </c>
      <c r="G1234" s="69"/>
      <c r="H1234" s="340" t="s">
        <v>5920</v>
      </c>
      <c r="I1234" s="82" t="s">
        <v>5661</v>
      </c>
      <c r="J1234" s="100" t="s">
        <v>140</v>
      </c>
      <c r="K1234" s="91">
        <v>0</v>
      </c>
      <c r="L1234" s="91">
        <v>0</v>
      </c>
      <c r="M1234" s="92">
        <v>85</v>
      </c>
      <c r="N1234" s="92">
        <v>500</v>
      </c>
      <c r="O1234" s="92">
        <v>1</v>
      </c>
      <c r="P1234" s="92">
        <f t="shared" si="299"/>
        <v>500</v>
      </c>
      <c r="Q1234" s="92"/>
      <c r="R1234" s="92">
        <v>500</v>
      </c>
      <c r="S1234" s="92">
        <f t="shared" si="300"/>
        <v>0</v>
      </c>
      <c r="T1234" s="102">
        <f t="shared" si="301"/>
        <v>1016.4705882352941</v>
      </c>
      <c r="U1234" s="101">
        <f t="shared" si="302"/>
        <v>0</v>
      </c>
      <c r="V1234" s="101">
        <f t="shared" si="304"/>
        <v>0</v>
      </c>
      <c r="W1234" s="101">
        <v>0</v>
      </c>
      <c r="X1234" s="55">
        <f t="shared" si="305"/>
        <v>46153.009027777778</v>
      </c>
    </row>
    <row r="1235" spans="1:24" hidden="1" x14ac:dyDescent="0.35">
      <c r="A1235" s="46">
        <f t="shared" si="303"/>
        <v>46153.009027777778</v>
      </c>
      <c r="B1235" s="46"/>
      <c r="C1235" s="260"/>
      <c r="D1235" s="46"/>
      <c r="E1235" s="47" t="s">
        <v>4656</v>
      </c>
      <c r="F1235" s="82" t="s">
        <v>1564</v>
      </c>
      <c r="G1235" s="82"/>
      <c r="H1235" s="452">
        <v>11712</v>
      </c>
      <c r="I1235" s="82" t="s">
        <v>1649</v>
      </c>
      <c r="J1235" s="51" t="s">
        <v>140</v>
      </c>
      <c r="K1235" s="91">
        <v>0</v>
      </c>
      <c r="L1235" s="91">
        <v>0</v>
      </c>
      <c r="M1235" s="92">
        <v>60</v>
      </c>
      <c r="N1235" s="92">
        <v>2940</v>
      </c>
      <c r="O1235" s="92">
        <v>1</v>
      </c>
      <c r="P1235" s="92">
        <f t="shared" si="299"/>
        <v>2940</v>
      </c>
      <c r="Q1235" s="92"/>
      <c r="R1235" s="92">
        <v>2940</v>
      </c>
      <c r="S1235" s="92">
        <f t="shared" si="300"/>
        <v>0</v>
      </c>
      <c r="T1235" s="92">
        <f t="shared" si="301"/>
        <v>1440</v>
      </c>
      <c r="U1235" s="91">
        <f t="shared" si="302"/>
        <v>0</v>
      </c>
      <c r="V1235" s="91">
        <f t="shared" si="304"/>
        <v>0</v>
      </c>
      <c r="W1235" s="91">
        <v>0</v>
      </c>
      <c r="X1235" s="55">
        <f t="shared" si="305"/>
        <v>46153.009027777778</v>
      </c>
    </row>
    <row r="1236" spans="1:24" hidden="1" x14ac:dyDescent="0.35">
      <c r="A1236" s="46">
        <f t="shared" si="303"/>
        <v>46153.009027777778</v>
      </c>
      <c r="B1236" s="46"/>
      <c r="C1236" s="260"/>
      <c r="D1236" s="46"/>
      <c r="E1236" s="47" t="s">
        <v>4656</v>
      </c>
      <c r="F1236" s="99" t="s">
        <v>5921</v>
      </c>
      <c r="G1236" s="99"/>
      <c r="H1236" s="98" t="s">
        <v>5922</v>
      </c>
      <c r="I1236" s="220" t="s">
        <v>4308</v>
      </c>
      <c r="J1236" s="100" t="s">
        <v>140</v>
      </c>
      <c r="K1236" s="91">
        <v>0</v>
      </c>
      <c r="L1236" s="91">
        <v>0</v>
      </c>
      <c r="M1236" s="92">
        <v>250</v>
      </c>
      <c r="N1236" s="92">
        <v>500</v>
      </c>
      <c r="O1236" s="92">
        <v>1</v>
      </c>
      <c r="P1236" s="92">
        <f t="shared" si="299"/>
        <v>500</v>
      </c>
      <c r="Q1236" s="92"/>
      <c r="R1236" s="92">
        <v>500</v>
      </c>
      <c r="S1236" s="102">
        <f t="shared" si="300"/>
        <v>0</v>
      </c>
      <c r="T1236" s="102">
        <f t="shared" si="301"/>
        <v>345.6</v>
      </c>
      <c r="U1236" s="101">
        <f t="shared" si="302"/>
        <v>0</v>
      </c>
      <c r="V1236" s="101">
        <f t="shared" si="304"/>
        <v>0</v>
      </c>
      <c r="W1236" s="101">
        <v>0</v>
      </c>
      <c r="X1236" s="55">
        <f t="shared" si="305"/>
        <v>46153.009027777778</v>
      </c>
    </row>
    <row r="1237" spans="1:24" hidden="1" x14ac:dyDescent="0.35">
      <c r="A1237" s="46">
        <f t="shared" si="303"/>
        <v>46153.009027777778</v>
      </c>
      <c r="B1237" s="46"/>
      <c r="C1237" s="260"/>
      <c r="D1237" s="46"/>
      <c r="E1237" s="47" t="s">
        <v>4656</v>
      </c>
      <c r="F1237" s="82"/>
      <c r="G1237" s="82"/>
      <c r="H1237" s="452"/>
      <c r="I1237" s="104" t="s">
        <v>4601</v>
      </c>
      <c r="J1237" s="51" t="s">
        <v>140</v>
      </c>
      <c r="K1237" s="91">
        <v>0</v>
      </c>
      <c r="L1237" s="91">
        <v>0</v>
      </c>
      <c r="M1237" s="92">
        <v>60</v>
      </c>
      <c r="N1237" s="92">
        <v>4000</v>
      </c>
      <c r="O1237" s="92">
        <v>1</v>
      </c>
      <c r="P1237" s="92">
        <f t="shared" si="299"/>
        <v>4000</v>
      </c>
      <c r="Q1237" s="92"/>
      <c r="R1237" s="92">
        <v>4000</v>
      </c>
      <c r="S1237" s="92">
        <f t="shared" si="300"/>
        <v>0</v>
      </c>
      <c r="T1237" s="92">
        <f t="shared" si="301"/>
        <v>1440</v>
      </c>
      <c r="U1237" s="91">
        <f t="shared" si="302"/>
        <v>0</v>
      </c>
      <c r="V1237" s="91">
        <f t="shared" si="304"/>
        <v>0</v>
      </c>
      <c r="W1237" s="91">
        <v>0</v>
      </c>
      <c r="X1237" s="55">
        <f t="shared" si="305"/>
        <v>46153.009027777778</v>
      </c>
    </row>
    <row r="1238" spans="1:24" hidden="1" x14ac:dyDescent="0.35">
      <c r="A1238" s="46">
        <f t="shared" si="303"/>
        <v>46153.009027777778</v>
      </c>
      <c r="B1238" s="46"/>
      <c r="C1238" s="260"/>
      <c r="D1238" s="46"/>
      <c r="E1238" s="47" t="s">
        <v>4656</v>
      </c>
      <c r="F1238" s="82" t="s">
        <v>4905</v>
      </c>
      <c r="G1238" s="82"/>
      <c r="H1238" s="107" t="s">
        <v>5923</v>
      </c>
      <c r="I1238" s="82" t="s">
        <v>1864</v>
      </c>
      <c r="J1238" s="100" t="s">
        <v>140</v>
      </c>
      <c r="K1238" s="91">
        <v>0</v>
      </c>
      <c r="L1238" s="91">
        <v>0</v>
      </c>
      <c r="M1238" s="92">
        <v>90</v>
      </c>
      <c r="N1238" s="92">
        <v>7500</v>
      </c>
      <c r="O1238" s="92">
        <v>2</v>
      </c>
      <c r="P1238" s="92">
        <f t="shared" si="299"/>
        <v>3750</v>
      </c>
      <c r="Q1238" s="92"/>
      <c r="R1238" s="102">
        <v>3750</v>
      </c>
      <c r="S1238" s="92">
        <f t="shared" si="300"/>
        <v>0</v>
      </c>
      <c r="T1238" s="102">
        <f t="shared" si="301"/>
        <v>1920</v>
      </c>
      <c r="U1238" s="101">
        <f t="shared" si="302"/>
        <v>0</v>
      </c>
      <c r="V1238" s="101">
        <f t="shared" si="304"/>
        <v>0</v>
      </c>
      <c r="W1238" s="101">
        <v>0</v>
      </c>
      <c r="X1238" s="55">
        <f t="shared" si="305"/>
        <v>46153.009027777778</v>
      </c>
    </row>
    <row r="1239" spans="1:24" hidden="1" x14ac:dyDescent="0.35">
      <c r="A1239" s="46">
        <f t="shared" si="303"/>
        <v>46153.009027777778</v>
      </c>
      <c r="B1239" s="46"/>
      <c r="C1239" s="260"/>
      <c r="D1239" s="46"/>
      <c r="E1239" s="47" t="s">
        <v>4656</v>
      </c>
      <c r="F1239" s="82" t="s">
        <v>5283</v>
      </c>
      <c r="G1239" s="82"/>
      <c r="H1239" s="107" t="s">
        <v>5924</v>
      </c>
      <c r="I1239" s="82" t="s">
        <v>1864</v>
      </c>
      <c r="J1239" s="100" t="s">
        <v>140</v>
      </c>
      <c r="K1239" s="91">
        <v>0</v>
      </c>
      <c r="L1239" s="91">
        <v>0</v>
      </c>
      <c r="M1239" s="92">
        <v>90</v>
      </c>
      <c r="N1239" s="92">
        <v>3000</v>
      </c>
      <c r="O1239" s="92">
        <v>2</v>
      </c>
      <c r="P1239" s="92">
        <f t="shared" si="299"/>
        <v>1500</v>
      </c>
      <c r="Q1239" s="92"/>
      <c r="R1239" s="102">
        <v>1500</v>
      </c>
      <c r="S1239" s="92">
        <f t="shared" si="300"/>
        <v>0</v>
      </c>
      <c r="T1239" s="102">
        <f t="shared" si="301"/>
        <v>1920</v>
      </c>
      <c r="U1239" s="101">
        <f t="shared" si="302"/>
        <v>0</v>
      </c>
      <c r="V1239" s="101">
        <f t="shared" si="304"/>
        <v>0</v>
      </c>
      <c r="W1239" s="101">
        <v>0</v>
      </c>
      <c r="X1239" s="55">
        <f t="shared" si="305"/>
        <v>46153.009027777778</v>
      </c>
    </row>
    <row r="1240" spans="1:24" hidden="1" x14ac:dyDescent="0.35">
      <c r="A1240" s="46">
        <f t="shared" si="303"/>
        <v>46153.009027777778</v>
      </c>
      <c r="B1240" s="46"/>
      <c r="C1240" s="260"/>
      <c r="D1240" s="46"/>
      <c r="E1240" s="47" t="s">
        <v>4656</v>
      </c>
      <c r="F1240" s="99" t="s">
        <v>5921</v>
      </c>
      <c r="G1240" s="99"/>
      <c r="H1240" s="98" t="s">
        <v>5922</v>
      </c>
      <c r="I1240" s="220" t="s">
        <v>4308</v>
      </c>
      <c r="J1240" s="100" t="s">
        <v>140</v>
      </c>
      <c r="K1240" s="91">
        <v>0</v>
      </c>
      <c r="L1240" s="91">
        <v>0</v>
      </c>
      <c r="M1240" s="92">
        <v>250</v>
      </c>
      <c r="N1240" s="92">
        <v>640</v>
      </c>
      <c r="O1240" s="92">
        <v>1</v>
      </c>
      <c r="P1240" s="92">
        <f t="shared" si="299"/>
        <v>640</v>
      </c>
      <c r="Q1240" s="92"/>
      <c r="R1240" s="92">
        <v>640</v>
      </c>
      <c r="S1240" s="102">
        <f t="shared" si="300"/>
        <v>0</v>
      </c>
      <c r="T1240" s="102">
        <f t="shared" si="301"/>
        <v>345.6</v>
      </c>
      <c r="U1240" s="101">
        <f t="shared" si="302"/>
        <v>0</v>
      </c>
      <c r="V1240" s="101">
        <f t="shared" si="304"/>
        <v>0</v>
      </c>
      <c r="W1240" s="101">
        <v>0</v>
      </c>
      <c r="X1240" s="55">
        <f t="shared" si="305"/>
        <v>46153.009027777778</v>
      </c>
    </row>
    <row r="1241" spans="1:24" hidden="1" x14ac:dyDescent="0.35">
      <c r="A1241" s="46">
        <f t="shared" si="303"/>
        <v>46153.009027777778</v>
      </c>
      <c r="B1241" s="46"/>
      <c r="C1241" s="260"/>
      <c r="D1241" s="46"/>
      <c r="E1241" s="47" t="s">
        <v>4656</v>
      </c>
      <c r="F1241" s="99" t="s">
        <v>5921</v>
      </c>
      <c r="G1241" s="99"/>
      <c r="H1241" s="98" t="s">
        <v>5925</v>
      </c>
      <c r="I1241" s="220" t="s">
        <v>4308</v>
      </c>
      <c r="J1241" s="100" t="s">
        <v>140</v>
      </c>
      <c r="K1241" s="91">
        <v>0</v>
      </c>
      <c r="L1241" s="91">
        <v>0</v>
      </c>
      <c r="M1241" s="92">
        <v>250</v>
      </c>
      <c r="N1241" s="92">
        <v>500</v>
      </c>
      <c r="O1241" s="92">
        <v>1</v>
      </c>
      <c r="P1241" s="92">
        <f t="shared" si="299"/>
        <v>500</v>
      </c>
      <c r="Q1241" s="92"/>
      <c r="R1241" s="92">
        <v>500</v>
      </c>
      <c r="S1241" s="102">
        <f t="shared" si="300"/>
        <v>0</v>
      </c>
      <c r="T1241" s="102">
        <f t="shared" si="301"/>
        <v>345.6</v>
      </c>
      <c r="U1241" s="101">
        <f t="shared" si="302"/>
        <v>0</v>
      </c>
      <c r="V1241" s="101">
        <f t="shared" si="304"/>
        <v>0</v>
      </c>
      <c r="W1241" s="101">
        <v>0</v>
      </c>
      <c r="X1241" s="55">
        <f t="shared" si="305"/>
        <v>46153.009027777778</v>
      </c>
    </row>
    <row r="1242" spans="1:24" ht="39.5" hidden="1" x14ac:dyDescent="0.35">
      <c r="A1242" s="46">
        <f t="shared" si="303"/>
        <v>46153.009027777778</v>
      </c>
      <c r="B1242" s="46"/>
      <c r="C1242" s="260"/>
      <c r="D1242" s="46"/>
      <c r="E1242" s="47" t="s">
        <v>4656</v>
      </c>
      <c r="F1242" s="82" t="s">
        <v>265</v>
      </c>
      <c r="G1242" s="82"/>
      <c r="H1242" s="107" t="s">
        <v>5926</v>
      </c>
      <c r="I1242" s="85" t="s">
        <v>5927</v>
      </c>
      <c r="J1242" s="100" t="s">
        <v>140</v>
      </c>
      <c r="K1242" s="91">
        <v>0</v>
      </c>
      <c r="L1242" s="91">
        <v>0</v>
      </c>
      <c r="M1242" s="92">
        <v>60</v>
      </c>
      <c r="N1242" s="92">
        <v>3000</v>
      </c>
      <c r="O1242" s="92">
        <v>1</v>
      </c>
      <c r="P1242" s="92">
        <f t="shared" si="299"/>
        <v>3000</v>
      </c>
      <c r="Q1242" s="92"/>
      <c r="R1242" s="102">
        <v>3000</v>
      </c>
      <c r="S1242" s="92">
        <f t="shared" si="300"/>
        <v>0</v>
      </c>
      <c r="T1242" s="102">
        <f t="shared" si="301"/>
        <v>1440</v>
      </c>
      <c r="U1242" s="101">
        <f t="shared" si="302"/>
        <v>0</v>
      </c>
      <c r="V1242" s="101">
        <f t="shared" si="304"/>
        <v>0</v>
      </c>
      <c r="W1242" s="101">
        <v>0</v>
      </c>
      <c r="X1242" s="55">
        <f t="shared" si="305"/>
        <v>46153.009027777778</v>
      </c>
    </row>
    <row r="1243" spans="1:24" hidden="1" x14ac:dyDescent="0.35">
      <c r="A1243" s="46">
        <f t="shared" si="303"/>
        <v>46153.009027777778</v>
      </c>
      <c r="B1243" s="46"/>
      <c r="C1243" s="260"/>
      <c r="D1243" s="46"/>
      <c r="E1243" s="47" t="s">
        <v>4656</v>
      </c>
      <c r="F1243" s="82" t="s">
        <v>900</v>
      </c>
      <c r="G1243" s="82"/>
      <c r="H1243" s="108">
        <v>12145</v>
      </c>
      <c r="I1243" s="82" t="s">
        <v>4582</v>
      </c>
      <c r="J1243" s="51" t="s">
        <v>140</v>
      </c>
      <c r="K1243" s="91">
        <v>0</v>
      </c>
      <c r="L1243" s="91">
        <v>0</v>
      </c>
      <c r="M1243" s="92">
        <v>50</v>
      </c>
      <c r="N1243" s="92">
        <f>2940*4</f>
        <v>11760</v>
      </c>
      <c r="O1243" s="92">
        <v>4</v>
      </c>
      <c r="P1243" s="92">
        <f t="shared" si="299"/>
        <v>2940</v>
      </c>
      <c r="Q1243" s="92"/>
      <c r="R1243" s="92">
        <v>2940</v>
      </c>
      <c r="S1243" s="92">
        <f t="shared" si="300"/>
        <v>0</v>
      </c>
      <c r="T1243" s="92">
        <f t="shared" si="301"/>
        <v>6912</v>
      </c>
      <c r="U1243" s="91">
        <f t="shared" si="302"/>
        <v>0</v>
      </c>
      <c r="V1243" s="91">
        <f t="shared" si="304"/>
        <v>0</v>
      </c>
      <c r="W1243" s="91">
        <v>0</v>
      </c>
      <c r="X1243" s="55">
        <f t="shared" si="305"/>
        <v>46153.009027777778</v>
      </c>
    </row>
    <row r="1244" spans="1:24" hidden="1" x14ac:dyDescent="0.35">
      <c r="A1244" s="46">
        <f t="shared" si="303"/>
        <v>46153.009027777778</v>
      </c>
      <c r="B1244" s="46"/>
      <c r="C1244" s="260"/>
      <c r="D1244" s="46"/>
      <c r="E1244" s="47" t="s">
        <v>4656</v>
      </c>
      <c r="F1244" s="97" t="s">
        <v>1814</v>
      </c>
      <c r="G1244" s="97"/>
      <c r="H1244" s="108">
        <v>12202</v>
      </c>
      <c r="I1244" s="82" t="s">
        <v>5643</v>
      </c>
      <c r="J1244" s="51" t="s">
        <v>140</v>
      </c>
      <c r="K1244" s="91">
        <v>0</v>
      </c>
      <c r="L1244" s="91">
        <v>0</v>
      </c>
      <c r="M1244" s="92">
        <v>30</v>
      </c>
      <c r="N1244" s="92">
        <v>1500</v>
      </c>
      <c r="O1244" s="92">
        <v>1</v>
      </c>
      <c r="P1244" s="92">
        <f t="shared" si="299"/>
        <v>1500</v>
      </c>
      <c r="Q1244" s="92"/>
      <c r="R1244" s="92">
        <v>1500</v>
      </c>
      <c r="S1244" s="92">
        <f t="shared" si="300"/>
        <v>0</v>
      </c>
      <c r="T1244" s="92">
        <f t="shared" si="301"/>
        <v>2880</v>
      </c>
      <c r="U1244" s="91">
        <f t="shared" si="302"/>
        <v>0</v>
      </c>
      <c r="V1244" s="91">
        <f t="shared" si="304"/>
        <v>0</v>
      </c>
      <c r="W1244" s="91">
        <v>0</v>
      </c>
      <c r="X1244" s="55">
        <f t="shared" si="305"/>
        <v>46153.009027777778</v>
      </c>
    </row>
    <row r="1245" spans="1:24" ht="26" hidden="1" x14ac:dyDescent="0.35">
      <c r="A1245" s="46">
        <f t="shared" si="303"/>
        <v>46153.009027777778</v>
      </c>
      <c r="B1245" s="46"/>
      <c r="C1245" s="260"/>
      <c r="D1245" s="46"/>
      <c r="E1245" s="47" t="s">
        <v>4656</v>
      </c>
      <c r="F1245" s="99" t="s">
        <v>265</v>
      </c>
      <c r="G1245" s="99"/>
      <c r="H1245" s="107" t="s">
        <v>5928</v>
      </c>
      <c r="I1245" s="220" t="s">
        <v>2816</v>
      </c>
      <c r="J1245" s="100" t="s">
        <v>140</v>
      </c>
      <c r="K1245" s="91">
        <v>0</v>
      </c>
      <c r="L1245" s="91">
        <v>0</v>
      </c>
      <c r="M1245" s="92">
        <v>60</v>
      </c>
      <c r="N1245" s="92">
        <v>3000</v>
      </c>
      <c r="O1245" s="92">
        <v>1</v>
      </c>
      <c r="P1245" s="92">
        <f t="shared" si="299"/>
        <v>3000</v>
      </c>
      <c r="Q1245" s="92"/>
      <c r="R1245" s="92">
        <v>3000</v>
      </c>
      <c r="S1245" s="92">
        <f t="shared" si="300"/>
        <v>0</v>
      </c>
      <c r="T1245" s="102">
        <f t="shared" si="301"/>
        <v>1440</v>
      </c>
      <c r="U1245" s="101">
        <f t="shared" si="302"/>
        <v>0</v>
      </c>
      <c r="V1245" s="101">
        <f t="shared" si="304"/>
        <v>0</v>
      </c>
      <c r="W1245" s="101">
        <v>0</v>
      </c>
      <c r="X1245" s="55">
        <f t="shared" si="305"/>
        <v>46153.009027777778</v>
      </c>
    </row>
    <row r="1246" spans="1:24" hidden="1" x14ac:dyDescent="0.35">
      <c r="A1246" s="46">
        <f t="shared" si="303"/>
        <v>46153.009027777778</v>
      </c>
      <c r="B1246" s="46"/>
      <c r="C1246" s="260"/>
      <c r="D1246" s="46"/>
      <c r="E1246" s="47" t="s">
        <v>4656</v>
      </c>
      <c r="F1246" s="97" t="s">
        <v>900</v>
      </c>
      <c r="G1246" s="97"/>
      <c r="H1246" s="98" t="s">
        <v>5929</v>
      </c>
      <c r="I1246" s="82" t="s">
        <v>4294</v>
      </c>
      <c r="J1246" s="100"/>
      <c r="K1246" s="91">
        <v>0</v>
      </c>
      <c r="L1246" s="91">
        <v>0</v>
      </c>
      <c r="M1246" s="92">
        <v>60</v>
      </c>
      <c r="N1246" s="92">
        <f>2172*2</f>
        <v>4344</v>
      </c>
      <c r="O1246" s="92">
        <v>2</v>
      </c>
      <c r="P1246" s="92">
        <f t="shared" si="299"/>
        <v>2172</v>
      </c>
      <c r="Q1246" s="92"/>
      <c r="R1246" s="92">
        <v>2172</v>
      </c>
      <c r="S1246" s="92">
        <f t="shared" si="300"/>
        <v>0</v>
      </c>
      <c r="T1246" s="102">
        <f t="shared" si="301"/>
        <v>2880</v>
      </c>
      <c r="U1246" s="101">
        <f t="shared" si="302"/>
        <v>0</v>
      </c>
      <c r="V1246" s="101">
        <f t="shared" si="304"/>
        <v>0</v>
      </c>
      <c r="W1246" s="101">
        <v>0</v>
      </c>
      <c r="X1246" s="55">
        <f t="shared" si="305"/>
        <v>46153.009027777778</v>
      </c>
    </row>
    <row r="1247" spans="1:24" hidden="1" x14ac:dyDescent="0.35">
      <c r="A1247" s="46">
        <f t="shared" si="303"/>
        <v>46153.009027777778</v>
      </c>
      <c r="B1247" s="46"/>
      <c r="C1247" s="260"/>
      <c r="D1247" s="46"/>
      <c r="E1247" s="296" t="s">
        <v>4656</v>
      </c>
      <c r="F1247" s="366" t="s">
        <v>14</v>
      </c>
      <c r="G1247" s="366"/>
      <c r="H1247" s="298" t="s">
        <v>14</v>
      </c>
      <c r="I1247" s="297" t="s">
        <v>5930</v>
      </c>
      <c r="J1247" s="351" t="s">
        <v>140</v>
      </c>
      <c r="K1247" s="352">
        <v>0</v>
      </c>
      <c r="L1247" s="352">
        <v>0</v>
      </c>
      <c r="M1247" s="353">
        <v>50</v>
      </c>
      <c r="N1247" s="353">
        <v>32</v>
      </c>
      <c r="O1247" s="353">
        <v>1</v>
      </c>
      <c r="P1247" s="353">
        <f t="shared" ref="P1247:P1294" si="306">N1247/O1247</f>
        <v>32</v>
      </c>
      <c r="Q1247" s="353"/>
      <c r="R1247" s="353">
        <v>32</v>
      </c>
      <c r="S1247" s="353">
        <f t="shared" si="300"/>
        <v>0</v>
      </c>
      <c r="T1247" s="353">
        <f t="shared" si="301"/>
        <v>1728</v>
      </c>
      <c r="U1247" s="352">
        <f t="shared" si="302"/>
        <v>0</v>
      </c>
      <c r="V1247" s="352">
        <f t="shared" si="304"/>
        <v>0</v>
      </c>
      <c r="W1247" s="352">
        <v>0</v>
      </c>
      <c r="X1247" s="55">
        <f t="shared" si="305"/>
        <v>46153.009027777778</v>
      </c>
    </row>
    <row r="1248" spans="1:24" hidden="1" x14ac:dyDescent="0.35">
      <c r="A1248" s="46">
        <f t="shared" si="303"/>
        <v>46153.009027777778</v>
      </c>
      <c r="B1248" s="46"/>
      <c r="C1248" s="260"/>
      <c r="D1248" s="46"/>
      <c r="E1248" s="47" t="s">
        <v>4656</v>
      </c>
      <c r="F1248" s="82" t="s">
        <v>5931</v>
      </c>
      <c r="G1248" s="82"/>
      <c r="H1248" s="98" t="s">
        <v>5932</v>
      </c>
      <c r="I1248" s="82" t="s">
        <v>4515</v>
      </c>
      <c r="J1248" s="100" t="s">
        <v>140</v>
      </c>
      <c r="K1248" s="91">
        <v>0</v>
      </c>
      <c r="L1248" s="91">
        <v>0</v>
      </c>
      <c r="M1248" s="92">
        <v>95</v>
      </c>
      <c r="N1248" s="92">
        <v>4800</v>
      </c>
      <c r="O1248" s="92">
        <v>2</v>
      </c>
      <c r="P1248" s="92">
        <f t="shared" si="306"/>
        <v>2400</v>
      </c>
      <c r="Q1248" s="92"/>
      <c r="R1248" s="92">
        <v>2400</v>
      </c>
      <c r="S1248" s="92">
        <f t="shared" si="300"/>
        <v>0</v>
      </c>
      <c r="T1248" s="102">
        <f t="shared" si="301"/>
        <v>1818.9473684210525</v>
      </c>
      <c r="U1248" s="101">
        <f t="shared" si="302"/>
        <v>0</v>
      </c>
      <c r="V1248" s="101">
        <f t="shared" si="304"/>
        <v>0</v>
      </c>
      <c r="W1248" s="101">
        <v>0</v>
      </c>
      <c r="X1248" s="55">
        <f t="shared" si="305"/>
        <v>46153.009027777778</v>
      </c>
    </row>
    <row r="1249" spans="1:24" hidden="1" x14ac:dyDescent="0.35">
      <c r="A1249" s="46">
        <f t="shared" si="303"/>
        <v>46153.009027777778</v>
      </c>
      <c r="B1249" s="46"/>
      <c r="C1249" s="260"/>
      <c r="D1249" s="46"/>
      <c r="E1249" s="47" t="s">
        <v>4656</v>
      </c>
      <c r="F1249" s="82" t="s">
        <v>1603</v>
      </c>
      <c r="G1249" s="82"/>
      <c r="H1249" s="108">
        <v>12333</v>
      </c>
      <c r="I1249" s="82" t="s">
        <v>1649</v>
      </c>
      <c r="J1249" s="51" t="s">
        <v>140</v>
      </c>
      <c r="K1249" s="91">
        <v>0</v>
      </c>
      <c r="L1249" s="91">
        <v>0</v>
      </c>
      <c r="M1249" s="92">
        <v>60</v>
      </c>
      <c r="N1249" s="92">
        <v>4000</v>
      </c>
      <c r="O1249" s="92">
        <v>1</v>
      </c>
      <c r="P1249" s="92">
        <f t="shared" si="306"/>
        <v>4000</v>
      </c>
      <c r="Q1249" s="92"/>
      <c r="R1249" s="92">
        <v>4000</v>
      </c>
      <c r="S1249" s="92">
        <f t="shared" si="300"/>
        <v>0</v>
      </c>
      <c r="T1249" s="92">
        <f t="shared" si="301"/>
        <v>1440</v>
      </c>
      <c r="U1249" s="91">
        <f t="shared" si="302"/>
        <v>0</v>
      </c>
      <c r="V1249" s="91">
        <f t="shared" si="304"/>
        <v>0</v>
      </c>
      <c r="W1249" s="91">
        <v>0</v>
      </c>
      <c r="X1249" s="55">
        <f t="shared" si="305"/>
        <v>46153.009027777778</v>
      </c>
    </row>
    <row r="1250" spans="1:24" hidden="1" x14ac:dyDescent="0.35">
      <c r="A1250" s="46">
        <f t="shared" si="303"/>
        <v>46153.009027777778</v>
      </c>
      <c r="B1250" s="46"/>
      <c r="C1250" s="260"/>
      <c r="D1250" s="46"/>
      <c r="E1250" s="47" t="s">
        <v>4656</v>
      </c>
      <c r="F1250" s="82" t="s">
        <v>1603</v>
      </c>
      <c r="G1250" s="82"/>
      <c r="H1250" s="108">
        <v>12342</v>
      </c>
      <c r="I1250" s="82" t="s">
        <v>1830</v>
      </c>
      <c r="J1250" s="51" t="s">
        <v>140</v>
      </c>
      <c r="K1250" s="91">
        <v>0</v>
      </c>
      <c r="L1250" s="91">
        <v>0</v>
      </c>
      <c r="M1250" s="92">
        <v>40</v>
      </c>
      <c r="N1250" s="92">
        <v>4000</v>
      </c>
      <c r="O1250" s="92">
        <v>1</v>
      </c>
      <c r="P1250" s="92">
        <f t="shared" si="306"/>
        <v>4000</v>
      </c>
      <c r="Q1250" s="92"/>
      <c r="R1250" s="92">
        <v>4000</v>
      </c>
      <c r="S1250" s="92">
        <f t="shared" si="300"/>
        <v>0</v>
      </c>
      <c r="T1250" s="92">
        <f t="shared" si="301"/>
        <v>2160</v>
      </c>
      <c r="U1250" s="91">
        <f t="shared" si="302"/>
        <v>0</v>
      </c>
      <c r="V1250" s="91">
        <f t="shared" si="304"/>
        <v>0</v>
      </c>
      <c r="W1250" s="91">
        <v>0</v>
      </c>
      <c r="X1250" s="55">
        <f t="shared" si="305"/>
        <v>46153.009027777778</v>
      </c>
    </row>
    <row r="1251" spans="1:24" s="109" customFormat="1" ht="13" hidden="1" x14ac:dyDescent="0.3">
      <c r="A1251" s="46">
        <f t="shared" si="303"/>
        <v>46153.009027777778</v>
      </c>
      <c r="B1251" s="46"/>
      <c r="C1251" s="260"/>
      <c r="D1251" s="46"/>
      <c r="E1251" s="47" t="s">
        <v>4656</v>
      </c>
      <c r="F1251" s="82" t="s">
        <v>4607</v>
      </c>
      <c r="G1251" s="82"/>
      <c r="H1251" s="107" t="s">
        <v>5933</v>
      </c>
      <c r="I1251" s="82" t="s">
        <v>4570</v>
      </c>
      <c r="J1251" s="100" t="s">
        <v>140</v>
      </c>
      <c r="K1251" s="91">
        <v>0</v>
      </c>
      <c r="L1251" s="91">
        <v>0</v>
      </c>
      <c r="M1251" s="92">
        <v>90</v>
      </c>
      <c r="N1251" s="92">
        <v>1300</v>
      </c>
      <c r="O1251" s="92">
        <v>1</v>
      </c>
      <c r="P1251" s="92">
        <f t="shared" si="306"/>
        <v>1300</v>
      </c>
      <c r="Q1251" s="92"/>
      <c r="R1251" s="102">
        <v>1300</v>
      </c>
      <c r="S1251" s="92">
        <f t="shared" si="300"/>
        <v>0</v>
      </c>
      <c r="T1251" s="102">
        <f t="shared" si="301"/>
        <v>960</v>
      </c>
      <c r="U1251" s="101">
        <f t="shared" si="302"/>
        <v>0</v>
      </c>
      <c r="V1251" s="101">
        <f t="shared" si="304"/>
        <v>0</v>
      </c>
      <c r="W1251" s="101">
        <v>0</v>
      </c>
      <c r="X1251" s="55">
        <f t="shared" si="305"/>
        <v>46153.009027777778</v>
      </c>
    </row>
    <row r="1252" spans="1:24" hidden="1" x14ac:dyDescent="0.35">
      <c r="A1252" s="46">
        <f t="shared" si="303"/>
        <v>46153.009027777778</v>
      </c>
      <c r="B1252" s="46"/>
      <c r="C1252" s="260"/>
      <c r="D1252" s="46"/>
      <c r="E1252" s="47" t="s">
        <v>4656</v>
      </c>
      <c r="F1252" s="82" t="s">
        <v>1257</v>
      </c>
      <c r="G1252" s="82"/>
      <c r="H1252" s="107" t="s">
        <v>5934</v>
      </c>
      <c r="I1252" s="82" t="s">
        <v>1803</v>
      </c>
      <c r="J1252" s="100" t="s">
        <v>140</v>
      </c>
      <c r="K1252" s="91">
        <v>0</v>
      </c>
      <c r="L1252" s="91">
        <v>0</v>
      </c>
      <c r="M1252" s="92">
        <v>55</v>
      </c>
      <c r="N1252" s="92">
        <v>2000</v>
      </c>
      <c r="O1252" s="92">
        <v>1</v>
      </c>
      <c r="P1252" s="92">
        <f t="shared" si="306"/>
        <v>2000</v>
      </c>
      <c r="Q1252" s="92"/>
      <c r="R1252" s="92">
        <v>2000</v>
      </c>
      <c r="S1252" s="92">
        <f t="shared" si="300"/>
        <v>0</v>
      </c>
      <c r="T1252" s="102">
        <f t="shared" si="301"/>
        <v>1570.909090909091</v>
      </c>
      <c r="U1252" s="101">
        <f t="shared" si="302"/>
        <v>0</v>
      </c>
      <c r="V1252" s="101">
        <f t="shared" si="304"/>
        <v>0</v>
      </c>
      <c r="W1252" s="101">
        <v>0</v>
      </c>
      <c r="X1252" s="55">
        <f t="shared" si="305"/>
        <v>46153.009027777778</v>
      </c>
    </row>
    <row r="1253" spans="1:24" hidden="1" x14ac:dyDescent="0.35">
      <c r="A1253" s="46">
        <f t="shared" si="303"/>
        <v>46153.009027777778</v>
      </c>
      <c r="B1253" s="46"/>
      <c r="C1253" s="260"/>
      <c r="D1253" s="46"/>
      <c r="E1253" s="47" t="s">
        <v>1563</v>
      </c>
      <c r="F1253" s="82" t="s">
        <v>1609</v>
      </c>
      <c r="G1253" s="82"/>
      <c r="H1253" s="107" t="s">
        <v>5935</v>
      </c>
      <c r="I1253" s="417" t="s">
        <v>4299</v>
      </c>
      <c r="J1253" s="100" t="s">
        <v>140</v>
      </c>
      <c r="K1253" s="91">
        <v>0</v>
      </c>
      <c r="L1253" s="91">
        <v>0</v>
      </c>
      <c r="M1253" s="92">
        <v>55</v>
      </c>
      <c r="N1253" s="92">
        <v>1000</v>
      </c>
      <c r="O1253" s="92">
        <v>1</v>
      </c>
      <c r="P1253" s="92">
        <f t="shared" si="306"/>
        <v>1000</v>
      </c>
      <c r="Q1253" s="92"/>
      <c r="R1253" s="92">
        <v>1000</v>
      </c>
      <c r="S1253" s="92">
        <f t="shared" si="300"/>
        <v>0</v>
      </c>
      <c r="T1253" s="102">
        <f t="shared" si="301"/>
        <v>1570.909090909091</v>
      </c>
      <c r="U1253" s="101">
        <f t="shared" si="302"/>
        <v>0</v>
      </c>
      <c r="V1253" s="101">
        <f t="shared" si="304"/>
        <v>0</v>
      </c>
      <c r="W1253" s="101">
        <v>0</v>
      </c>
      <c r="X1253" s="55">
        <f t="shared" si="305"/>
        <v>46153.009027777778</v>
      </c>
    </row>
    <row r="1254" spans="1:24" hidden="1" x14ac:dyDescent="0.35">
      <c r="A1254" s="46">
        <f t="shared" si="303"/>
        <v>46153.009027777778</v>
      </c>
      <c r="B1254" s="46"/>
      <c r="C1254" s="260"/>
      <c r="D1254" s="46"/>
      <c r="E1254" s="47" t="s">
        <v>4656</v>
      </c>
      <c r="F1254" s="82" t="s">
        <v>5671</v>
      </c>
      <c r="G1254" s="82"/>
      <c r="H1254" s="98" t="s">
        <v>5936</v>
      </c>
      <c r="I1254" s="265" t="s">
        <v>5661</v>
      </c>
      <c r="J1254" s="51" t="s">
        <v>140</v>
      </c>
      <c r="K1254" s="91">
        <v>0</v>
      </c>
      <c r="L1254" s="91">
        <v>0</v>
      </c>
      <c r="M1254" s="92">
        <v>60</v>
      </c>
      <c r="N1254" s="92">
        <v>500</v>
      </c>
      <c r="O1254" s="92">
        <v>1</v>
      </c>
      <c r="P1254" s="102">
        <f t="shared" si="306"/>
        <v>500</v>
      </c>
      <c r="Q1254" s="102"/>
      <c r="R1254" s="92">
        <v>500</v>
      </c>
      <c r="S1254" s="92">
        <f t="shared" si="300"/>
        <v>0</v>
      </c>
      <c r="T1254" s="92">
        <f t="shared" si="301"/>
        <v>1440</v>
      </c>
      <c r="U1254" s="91">
        <f t="shared" si="302"/>
        <v>0</v>
      </c>
      <c r="V1254" s="91">
        <f t="shared" si="304"/>
        <v>0</v>
      </c>
      <c r="W1254" s="91">
        <v>0</v>
      </c>
      <c r="X1254" s="55">
        <f t="shared" si="305"/>
        <v>46153.009027777778</v>
      </c>
    </row>
    <row r="1255" spans="1:24" hidden="1" x14ac:dyDescent="0.35">
      <c r="A1255" s="46">
        <f t="shared" si="303"/>
        <v>46153.009027777778</v>
      </c>
      <c r="B1255" s="46"/>
      <c r="C1255" s="260"/>
      <c r="D1255" s="46"/>
      <c r="E1255" s="296" t="s">
        <v>4656</v>
      </c>
      <c r="F1255" s="366" t="s">
        <v>14</v>
      </c>
      <c r="G1255" s="366"/>
      <c r="H1255" s="298" t="s">
        <v>14</v>
      </c>
      <c r="I1255" s="297" t="s">
        <v>5930</v>
      </c>
      <c r="J1255" s="351" t="s">
        <v>140</v>
      </c>
      <c r="K1255" s="352">
        <v>0</v>
      </c>
      <c r="L1255" s="352">
        <v>0</v>
      </c>
      <c r="M1255" s="353">
        <v>50</v>
      </c>
      <c r="N1255" s="353">
        <v>50</v>
      </c>
      <c r="O1255" s="353">
        <v>1</v>
      </c>
      <c r="P1255" s="353">
        <f t="shared" si="306"/>
        <v>50</v>
      </c>
      <c r="Q1255" s="353"/>
      <c r="R1255" s="353">
        <v>50</v>
      </c>
      <c r="S1255" s="353">
        <f t="shared" si="300"/>
        <v>0</v>
      </c>
      <c r="T1255" s="353">
        <f t="shared" si="301"/>
        <v>1728</v>
      </c>
      <c r="U1255" s="352">
        <f t="shared" si="302"/>
        <v>0</v>
      </c>
      <c r="V1255" s="352">
        <f t="shared" si="304"/>
        <v>0</v>
      </c>
      <c r="W1255" s="352">
        <v>0</v>
      </c>
      <c r="X1255" s="55">
        <f t="shared" si="305"/>
        <v>46153.009027777778</v>
      </c>
    </row>
    <row r="1256" spans="1:24" hidden="1" x14ac:dyDescent="0.35">
      <c r="A1256" s="46">
        <f t="shared" si="303"/>
        <v>46153.009027777778</v>
      </c>
      <c r="B1256" s="46"/>
      <c r="C1256" s="260"/>
      <c r="D1256" s="46"/>
      <c r="E1256" s="47" t="s">
        <v>4656</v>
      </c>
      <c r="F1256" s="97" t="s">
        <v>5937</v>
      </c>
      <c r="G1256" s="97"/>
      <c r="H1256" s="98" t="s">
        <v>5938</v>
      </c>
      <c r="I1256" s="82" t="s">
        <v>5939</v>
      </c>
      <c r="J1256" s="51" t="s">
        <v>140</v>
      </c>
      <c r="K1256" s="91">
        <v>0</v>
      </c>
      <c r="L1256" s="91">
        <v>0</v>
      </c>
      <c r="M1256" s="92">
        <v>45</v>
      </c>
      <c r="N1256" s="92">
        <v>25000</v>
      </c>
      <c r="O1256" s="92">
        <v>1</v>
      </c>
      <c r="P1256" s="92">
        <f t="shared" si="306"/>
        <v>25000</v>
      </c>
      <c r="Q1256" s="92"/>
      <c r="R1256" s="92">
        <v>25000</v>
      </c>
      <c r="S1256" s="92">
        <f t="shared" si="300"/>
        <v>0</v>
      </c>
      <c r="T1256" s="92">
        <f t="shared" si="301"/>
        <v>1920</v>
      </c>
      <c r="U1256" s="91">
        <f t="shared" si="302"/>
        <v>0</v>
      </c>
      <c r="V1256" s="91">
        <f t="shared" si="304"/>
        <v>0</v>
      </c>
      <c r="W1256" s="91">
        <v>0</v>
      </c>
      <c r="X1256" s="55">
        <f t="shared" si="305"/>
        <v>46153.009027777778</v>
      </c>
    </row>
    <row r="1257" spans="1:24" hidden="1" x14ac:dyDescent="0.35">
      <c r="A1257" s="46">
        <f t="shared" si="303"/>
        <v>46153.009027777778</v>
      </c>
      <c r="B1257" s="46"/>
      <c r="C1257" s="260"/>
      <c r="D1257" s="46"/>
      <c r="E1257" s="47" t="s">
        <v>4656</v>
      </c>
      <c r="F1257" s="97" t="s">
        <v>5940</v>
      </c>
      <c r="G1257" s="97"/>
      <c r="H1257" s="98" t="s">
        <v>5941</v>
      </c>
      <c r="I1257" s="82" t="s">
        <v>5939</v>
      </c>
      <c r="J1257" s="51" t="s">
        <v>140</v>
      </c>
      <c r="K1257" s="91">
        <v>0</v>
      </c>
      <c r="L1257" s="91">
        <v>0</v>
      </c>
      <c r="M1257" s="92">
        <v>45</v>
      </c>
      <c r="N1257" s="92">
        <v>8000</v>
      </c>
      <c r="O1257" s="92">
        <v>1</v>
      </c>
      <c r="P1257" s="92">
        <f t="shared" si="306"/>
        <v>8000</v>
      </c>
      <c r="Q1257" s="92"/>
      <c r="R1257" s="92">
        <v>8000</v>
      </c>
      <c r="S1257" s="92">
        <f t="shared" si="300"/>
        <v>0</v>
      </c>
      <c r="T1257" s="92">
        <f t="shared" si="301"/>
        <v>1920</v>
      </c>
      <c r="U1257" s="91">
        <f t="shared" si="302"/>
        <v>0</v>
      </c>
      <c r="V1257" s="91">
        <f t="shared" si="304"/>
        <v>0</v>
      </c>
      <c r="W1257" s="91">
        <v>0</v>
      </c>
      <c r="X1257" s="55">
        <f t="shared" si="305"/>
        <v>46153.009027777778</v>
      </c>
    </row>
    <row r="1258" spans="1:24" hidden="1" x14ac:dyDescent="0.35">
      <c r="A1258" s="46">
        <f t="shared" si="303"/>
        <v>46153.009027777778</v>
      </c>
      <c r="B1258" s="46"/>
      <c r="C1258" s="260"/>
      <c r="D1258" s="46"/>
      <c r="E1258" s="47" t="s">
        <v>4656</v>
      </c>
      <c r="F1258" s="82" t="s">
        <v>802</v>
      </c>
      <c r="G1258" s="82"/>
      <c r="H1258" s="107" t="s">
        <v>5942</v>
      </c>
      <c r="I1258" s="69" t="s">
        <v>5943</v>
      </c>
      <c r="J1258" s="100" t="s">
        <v>140</v>
      </c>
      <c r="K1258" s="91">
        <v>0</v>
      </c>
      <c r="L1258" s="91">
        <v>0</v>
      </c>
      <c r="M1258" s="92">
        <v>180</v>
      </c>
      <c r="N1258" s="92">
        <v>240</v>
      </c>
      <c r="O1258" s="92">
        <v>1</v>
      </c>
      <c r="P1258" s="92">
        <f t="shared" si="306"/>
        <v>240</v>
      </c>
      <c r="Q1258" s="92"/>
      <c r="R1258" s="92">
        <v>240</v>
      </c>
      <c r="S1258" s="92">
        <f t="shared" si="300"/>
        <v>0</v>
      </c>
      <c r="T1258" s="102">
        <f t="shared" si="301"/>
        <v>480</v>
      </c>
      <c r="U1258" s="101">
        <f t="shared" si="302"/>
        <v>0</v>
      </c>
      <c r="V1258" s="101">
        <f t="shared" si="304"/>
        <v>0</v>
      </c>
      <c r="W1258" s="101">
        <v>0</v>
      </c>
      <c r="X1258" s="55">
        <f t="shared" si="305"/>
        <v>46153.009027777778</v>
      </c>
    </row>
    <row r="1259" spans="1:24" hidden="1" x14ac:dyDescent="0.35">
      <c r="A1259" s="46">
        <f t="shared" si="303"/>
        <v>46153.009027777778</v>
      </c>
      <c r="B1259" s="46"/>
      <c r="C1259" s="260"/>
      <c r="D1259" s="46"/>
      <c r="E1259" s="47" t="s">
        <v>4656</v>
      </c>
      <c r="F1259" s="97" t="s">
        <v>5944</v>
      </c>
      <c r="G1259" s="97"/>
      <c r="H1259" s="98" t="s">
        <v>5945</v>
      </c>
      <c r="I1259" s="82" t="s">
        <v>5939</v>
      </c>
      <c r="J1259" s="51" t="s">
        <v>140</v>
      </c>
      <c r="K1259" s="91">
        <v>0</v>
      </c>
      <c r="L1259" s="91">
        <v>0</v>
      </c>
      <c r="M1259" s="92">
        <v>45</v>
      </c>
      <c r="N1259" s="92">
        <v>12000</v>
      </c>
      <c r="O1259" s="92">
        <v>1</v>
      </c>
      <c r="P1259" s="92">
        <f t="shared" si="306"/>
        <v>12000</v>
      </c>
      <c r="Q1259" s="92"/>
      <c r="R1259" s="92">
        <v>12000</v>
      </c>
      <c r="S1259" s="92">
        <f t="shared" si="300"/>
        <v>0</v>
      </c>
      <c r="T1259" s="92">
        <f t="shared" si="301"/>
        <v>1920</v>
      </c>
      <c r="U1259" s="91">
        <f t="shared" si="302"/>
        <v>0</v>
      </c>
      <c r="V1259" s="91">
        <f t="shared" si="304"/>
        <v>0</v>
      </c>
      <c r="W1259" s="91">
        <v>0</v>
      </c>
      <c r="X1259" s="55">
        <f t="shared" si="305"/>
        <v>46153.009027777778</v>
      </c>
    </row>
    <row r="1260" spans="1:24" hidden="1" x14ac:dyDescent="0.35">
      <c r="A1260" s="46">
        <f t="shared" si="303"/>
        <v>46153.009027777778</v>
      </c>
      <c r="B1260" s="46"/>
      <c r="C1260" s="260"/>
      <c r="D1260" s="46"/>
      <c r="E1260" s="47" t="s">
        <v>4656</v>
      </c>
      <c r="F1260" s="82" t="s">
        <v>5946</v>
      </c>
      <c r="G1260" s="82"/>
      <c r="H1260" s="107" t="s">
        <v>5947</v>
      </c>
      <c r="I1260" s="417" t="s">
        <v>4299</v>
      </c>
      <c r="J1260" s="100" t="s">
        <v>140</v>
      </c>
      <c r="K1260" s="91">
        <v>0</v>
      </c>
      <c r="L1260" s="91">
        <v>0</v>
      </c>
      <c r="M1260" s="92">
        <v>55</v>
      </c>
      <c r="N1260" s="92">
        <v>2500</v>
      </c>
      <c r="O1260" s="92">
        <v>1</v>
      </c>
      <c r="P1260" s="92">
        <f t="shared" si="306"/>
        <v>2500</v>
      </c>
      <c r="Q1260" s="92"/>
      <c r="R1260" s="92">
        <v>2500</v>
      </c>
      <c r="S1260" s="92">
        <f t="shared" si="300"/>
        <v>0</v>
      </c>
      <c r="T1260" s="102">
        <f t="shared" si="301"/>
        <v>1570.909090909091</v>
      </c>
      <c r="U1260" s="101">
        <f t="shared" si="302"/>
        <v>0</v>
      </c>
      <c r="V1260" s="101">
        <f t="shared" si="304"/>
        <v>0</v>
      </c>
      <c r="W1260" s="101">
        <v>0</v>
      </c>
      <c r="X1260" s="55">
        <f t="shared" si="305"/>
        <v>46153.009027777778</v>
      </c>
    </row>
    <row r="1261" spans="1:24" hidden="1" x14ac:dyDescent="0.35">
      <c r="A1261" s="46">
        <f t="shared" si="303"/>
        <v>46153.009027777778</v>
      </c>
      <c r="B1261" s="46"/>
      <c r="C1261" s="260"/>
      <c r="D1261" s="46"/>
      <c r="E1261" s="296" t="s">
        <v>4404</v>
      </c>
      <c r="F1261" s="577" t="s">
        <v>14</v>
      </c>
      <c r="G1261" s="577"/>
      <c r="H1261" s="398" t="s">
        <v>14</v>
      </c>
      <c r="I1261" s="297" t="s">
        <v>4405</v>
      </c>
      <c r="J1261" s="300"/>
      <c r="K1261" s="399">
        <v>0</v>
      </c>
      <c r="L1261" s="399">
        <v>0</v>
      </c>
      <c r="M1261" s="400">
        <v>30</v>
      </c>
      <c r="N1261" s="400">
        <v>50</v>
      </c>
      <c r="O1261" s="400">
        <v>8</v>
      </c>
      <c r="P1261" s="400">
        <f t="shared" si="306"/>
        <v>6.25</v>
      </c>
      <c r="Q1261" s="400"/>
      <c r="R1261" s="579">
        <v>6</v>
      </c>
      <c r="S1261" s="400">
        <f t="shared" si="300"/>
        <v>0.25</v>
      </c>
      <c r="T1261" s="579">
        <f t="shared" si="301"/>
        <v>23040</v>
      </c>
      <c r="U1261" s="583">
        <f t="shared" si="302"/>
        <v>2.0833333333333333E-3</v>
      </c>
      <c r="V1261" s="583">
        <f t="shared" si="304"/>
        <v>8.6805555555555559E-5</v>
      </c>
      <c r="W1261" s="583">
        <v>0</v>
      </c>
      <c r="X1261" s="55">
        <f t="shared" si="305"/>
        <v>46153.009114583336</v>
      </c>
    </row>
    <row r="1262" spans="1:24" hidden="1" x14ac:dyDescent="0.35">
      <c r="A1262" s="46">
        <f t="shared" si="303"/>
        <v>46153.009114583336</v>
      </c>
      <c r="B1262" s="46"/>
      <c r="C1262" s="260"/>
      <c r="D1262" s="46"/>
      <c r="E1262" s="47" t="s">
        <v>4656</v>
      </c>
      <c r="F1262" s="97" t="s">
        <v>5948</v>
      </c>
      <c r="G1262" s="82" t="s">
        <v>315</v>
      </c>
      <c r="H1262" s="98" t="s">
        <v>5949</v>
      </c>
      <c r="I1262" s="85" t="s">
        <v>4484</v>
      </c>
      <c r="J1262" s="100" t="s">
        <v>140</v>
      </c>
      <c r="K1262" s="91">
        <v>0</v>
      </c>
      <c r="L1262" s="91">
        <v>0</v>
      </c>
      <c r="M1262" s="92">
        <v>90</v>
      </c>
      <c r="N1262" s="92">
        <v>1000</v>
      </c>
      <c r="O1262" s="92">
        <v>1</v>
      </c>
      <c r="P1262" s="92">
        <f t="shared" si="306"/>
        <v>1000</v>
      </c>
      <c r="Q1262" s="92"/>
      <c r="R1262" s="102">
        <v>1000</v>
      </c>
      <c r="S1262" s="92">
        <f t="shared" si="300"/>
        <v>0</v>
      </c>
      <c r="T1262" s="102">
        <f t="shared" si="301"/>
        <v>960</v>
      </c>
      <c r="U1262" s="101">
        <f t="shared" si="302"/>
        <v>0</v>
      </c>
      <c r="V1262" s="101">
        <f t="shared" si="304"/>
        <v>0</v>
      </c>
      <c r="W1262" s="101">
        <v>0</v>
      </c>
      <c r="X1262" s="55">
        <f t="shared" si="305"/>
        <v>46153.009114583336</v>
      </c>
    </row>
    <row r="1263" spans="1:24" hidden="1" x14ac:dyDescent="0.35">
      <c r="A1263" s="46">
        <f t="shared" si="303"/>
        <v>46153.009114583336</v>
      </c>
      <c r="B1263" s="46"/>
      <c r="C1263" s="260"/>
      <c r="D1263" s="46"/>
      <c r="E1263" s="47" t="s">
        <v>4656</v>
      </c>
      <c r="F1263" s="97" t="s">
        <v>5948</v>
      </c>
      <c r="G1263" s="97" t="s">
        <v>315</v>
      </c>
      <c r="H1263" s="98" t="s">
        <v>5950</v>
      </c>
      <c r="I1263" s="85" t="s">
        <v>4332</v>
      </c>
      <c r="J1263" s="100" t="s">
        <v>140</v>
      </c>
      <c r="K1263" s="91">
        <v>0</v>
      </c>
      <c r="L1263" s="91">
        <v>0</v>
      </c>
      <c r="M1263" s="92">
        <v>90</v>
      </c>
      <c r="N1263" s="92">
        <v>500</v>
      </c>
      <c r="O1263" s="92">
        <v>1</v>
      </c>
      <c r="P1263" s="92">
        <f t="shared" si="306"/>
        <v>500</v>
      </c>
      <c r="Q1263" s="92"/>
      <c r="R1263" s="102">
        <v>500</v>
      </c>
      <c r="S1263" s="92">
        <f t="shared" si="300"/>
        <v>0</v>
      </c>
      <c r="T1263" s="102">
        <f t="shared" si="301"/>
        <v>960</v>
      </c>
      <c r="U1263" s="101">
        <f t="shared" si="302"/>
        <v>0</v>
      </c>
      <c r="V1263" s="101">
        <f t="shared" si="304"/>
        <v>0</v>
      </c>
      <c r="W1263" s="101">
        <v>0</v>
      </c>
      <c r="X1263" s="55">
        <f t="shared" si="305"/>
        <v>46153.009114583336</v>
      </c>
    </row>
    <row r="1264" spans="1:24" hidden="1" x14ac:dyDescent="0.35">
      <c r="A1264" s="46">
        <f t="shared" si="303"/>
        <v>46153.009114583336</v>
      </c>
      <c r="B1264" s="46"/>
      <c r="C1264" s="260"/>
      <c r="D1264" s="46"/>
      <c r="E1264" s="47" t="s">
        <v>4656</v>
      </c>
      <c r="F1264" s="97" t="s">
        <v>1625</v>
      </c>
      <c r="G1264" s="97" t="s">
        <v>315</v>
      </c>
      <c r="H1264" s="108">
        <v>12696</v>
      </c>
      <c r="I1264" s="82" t="s">
        <v>1830</v>
      </c>
      <c r="J1264" s="51" t="s">
        <v>140</v>
      </c>
      <c r="K1264" s="91">
        <v>0</v>
      </c>
      <c r="L1264" s="91">
        <v>0</v>
      </c>
      <c r="M1264" s="92">
        <v>50</v>
      </c>
      <c r="N1264" s="92">
        <v>3000</v>
      </c>
      <c r="O1264" s="92">
        <v>1</v>
      </c>
      <c r="P1264" s="92">
        <f t="shared" si="306"/>
        <v>3000</v>
      </c>
      <c r="Q1264" s="92"/>
      <c r="R1264" s="92">
        <v>3000</v>
      </c>
      <c r="S1264" s="92">
        <f t="shared" si="300"/>
        <v>0</v>
      </c>
      <c r="T1264" s="92">
        <f t="shared" si="301"/>
        <v>1728</v>
      </c>
      <c r="U1264" s="91">
        <f t="shared" si="302"/>
        <v>0</v>
      </c>
      <c r="V1264" s="91">
        <f t="shared" si="304"/>
        <v>0</v>
      </c>
      <c r="W1264" s="91">
        <v>0</v>
      </c>
      <c r="X1264" s="55">
        <f t="shared" si="305"/>
        <v>46153.009114583336</v>
      </c>
    </row>
    <row r="1265" spans="1:24" hidden="1" x14ac:dyDescent="0.35">
      <c r="A1265" s="46">
        <f t="shared" si="303"/>
        <v>46153.009114583336</v>
      </c>
      <c r="B1265" s="46"/>
      <c r="C1265" s="260"/>
      <c r="D1265" s="46"/>
      <c r="E1265" s="47" t="s">
        <v>4656</v>
      </c>
      <c r="F1265" s="69" t="s">
        <v>326</v>
      </c>
      <c r="G1265" s="82" t="s">
        <v>3513</v>
      </c>
      <c r="H1265" s="98" t="s">
        <v>3967</v>
      </c>
      <c r="I1265" s="265" t="s">
        <v>5661</v>
      </c>
      <c r="J1265" s="51" t="s">
        <v>140</v>
      </c>
      <c r="K1265" s="91">
        <v>0</v>
      </c>
      <c r="L1265" s="91">
        <v>0</v>
      </c>
      <c r="M1265" s="92">
        <v>60</v>
      </c>
      <c r="N1265" s="92">
        <v>250</v>
      </c>
      <c r="O1265" s="92">
        <v>1</v>
      </c>
      <c r="P1265" s="102">
        <f t="shared" si="306"/>
        <v>250</v>
      </c>
      <c r="Q1265" s="102"/>
      <c r="R1265" s="92">
        <v>250</v>
      </c>
      <c r="S1265" s="92">
        <f t="shared" si="300"/>
        <v>0</v>
      </c>
      <c r="T1265" s="92">
        <f t="shared" si="301"/>
        <v>1440</v>
      </c>
      <c r="U1265" s="91">
        <f t="shared" si="302"/>
        <v>0</v>
      </c>
      <c r="V1265" s="91">
        <f t="shared" si="304"/>
        <v>0</v>
      </c>
      <c r="W1265" s="91">
        <v>0</v>
      </c>
      <c r="X1265" s="55">
        <f t="shared" si="305"/>
        <v>46153.009114583336</v>
      </c>
    </row>
    <row r="1266" spans="1:24" s="588" customFormat="1" ht="13" hidden="1" x14ac:dyDescent="0.3">
      <c r="A1266" s="46">
        <f t="shared" si="303"/>
        <v>46153.009114583336</v>
      </c>
      <c r="B1266" s="46"/>
      <c r="C1266" s="260"/>
      <c r="D1266" s="46"/>
      <c r="E1266" s="47" t="s">
        <v>4656</v>
      </c>
      <c r="F1266" s="69" t="s">
        <v>2980</v>
      </c>
      <c r="G1266" s="82" t="s">
        <v>3513</v>
      </c>
      <c r="H1266" s="98" t="s">
        <v>5951</v>
      </c>
      <c r="I1266" s="265" t="s">
        <v>5952</v>
      </c>
      <c r="J1266" s="51" t="s">
        <v>140</v>
      </c>
      <c r="K1266" s="91">
        <v>0</v>
      </c>
      <c r="L1266" s="91">
        <v>0</v>
      </c>
      <c r="M1266" s="92">
        <v>60</v>
      </c>
      <c r="N1266" s="94">
        <v>5500</v>
      </c>
      <c r="O1266" s="92">
        <v>1</v>
      </c>
      <c r="P1266" s="103">
        <f t="shared" si="306"/>
        <v>5500</v>
      </c>
      <c r="Q1266" s="103"/>
      <c r="R1266" s="92">
        <v>5500</v>
      </c>
      <c r="S1266" s="92">
        <f t="shared" si="300"/>
        <v>0</v>
      </c>
      <c r="T1266" s="92">
        <f t="shared" si="301"/>
        <v>1440</v>
      </c>
      <c r="U1266" s="91">
        <f t="shared" si="302"/>
        <v>0</v>
      </c>
      <c r="V1266" s="91">
        <f t="shared" si="304"/>
        <v>0</v>
      </c>
      <c r="W1266" s="91">
        <v>0</v>
      </c>
      <c r="X1266" s="55">
        <f t="shared" si="305"/>
        <v>46153.009114583336</v>
      </c>
    </row>
    <row r="1267" spans="1:24" hidden="1" x14ac:dyDescent="0.35">
      <c r="A1267" s="46">
        <f t="shared" si="303"/>
        <v>46153.009114583336</v>
      </c>
      <c r="B1267" s="46"/>
      <c r="C1267" s="260"/>
      <c r="D1267" s="46"/>
      <c r="E1267" s="47" t="s">
        <v>4656</v>
      </c>
      <c r="F1267" s="69" t="s">
        <v>326</v>
      </c>
      <c r="G1267" s="82" t="s">
        <v>3513</v>
      </c>
      <c r="H1267" s="98" t="s">
        <v>5953</v>
      </c>
      <c r="I1267" s="265" t="s">
        <v>4366</v>
      </c>
      <c r="J1267" s="51" t="s">
        <v>140</v>
      </c>
      <c r="K1267" s="91">
        <v>0</v>
      </c>
      <c r="L1267" s="91">
        <v>0</v>
      </c>
      <c r="M1267" s="92">
        <v>60</v>
      </c>
      <c r="N1267" s="94">
        <v>250</v>
      </c>
      <c r="O1267" s="92">
        <v>1</v>
      </c>
      <c r="P1267" s="103">
        <f t="shared" si="306"/>
        <v>250</v>
      </c>
      <c r="Q1267" s="103"/>
      <c r="R1267" s="92">
        <v>250</v>
      </c>
      <c r="S1267" s="92">
        <f t="shared" si="300"/>
        <v>0</v>
      </c>
      <c r="T1267" s="92">
        <f t="shared" si="301"/>
        <v>1440</v>
      </c>
      <c r="U1267" s="91">
        <f t="shared" si="302"/>
        <v>0</v>
      </c>
      <c r="V1267" s="91">
        <f t="shared" si="304"/>
        <v>0</v>
      </c>
      <c r="W1267" s="91">
        <v>0</v>
      </c>
      <c r="X1267" s="55">
        <f t="shared" si="305"/>
        <v>46153.009114583336</v>
      </c>
    </row>
    <row r="1268" spans="1:24" hidden="1" x14ac:dyDescent="0.35">
      <c r="A1268" s="46">
        <f t="shared" si="303"/>
        <v>46153.009114583336</v>
      </c>
      <c r="B1268" s="46"/>
      <c r="C1268" s="260"/>
      <c r="D1268" s="46"/>
      <c r="E1268" s="47" t="s">
        <v>4656</v>
      </c>
      <c r="F1268" s="69" t="s">
        <v>331</v>
      </c>
      <c r="G1268" s="69" t="s">
        <v>3513</v>
      </c>
      <c r="H1268" s="340" t="s">
        <v>5954</v>
      </c>
      <c r="I1268" s="82" t="s">
        <v>4368</v>
      </c>
      <c r="J1268" s="100" t="s">
        <v>140</v>
      </c>
      <c r="K1268" s="91">
        <v>0</v>
      </c>
      <c r="L1268" s="91">
        <v>0</v>
      </c>
      <c r="M1268" s="92">
        <v>85</v>
      </c>
      <c r="N1268" s="344">
        <v>300</v>
      </c>
      <c r="O1268" s="92">
        <v>1</v>
      </c>
      <c r="P1268" s="94">
        <f t="shared" si="306"/>
        <v>300</v>
      </c>
      <c r="Q1268" s="94"/>
      <c r="R1268" s="92">
        <v>300</v>
      </c>
      <c r="S1268" s="92">
        <f t="shared" si="300"/>
        <v>0</v>
      </c>
      <c r="T1268" s="102">
        <f t="shared" si="301"/>
        <v>1016.4705882352941</v>
      </c>
      <c r="U1268" s="101">
        <f t="shared" si="302"/>
        <v>0</v>
      </c>
      <c r="V1268" s="101">
        <f t="shared" si="304"/>
        <v>0</v>
      </c>
      <c r="W1268" s="101">
        <v>0</v>
      </c>
      <c r="X1268" s="55">
        <f t="shared" si="305"/>
        <v>46153.009114583336</v>
      </c>
    </row>
    <row r="1269" spans="1:24" hidden="1" x14ac:dyDescent="0.35">
      <c r="A1269" s="46">
        <f t="shared" si="303"/>
        <v>46153.009114583336</v>
      </c>
      <c r="B1269" s="46"/>
      <c r="C1269" s="260"/>
      <c r="D1269" s="46"/>
      <c r="E1269" s="47" t="s">
        <v>4656</v>
      </c>
      <c r="F1269" s="97" t="s">
        <v>1583</v>
      </c>
      <c r="G1269" s="97" t="s">
        <v>3508</v>
      </c>
      <c r="H1269" s="98" t="s">
        <v>5955</v>
      </c>
      <c r="I1269" s="442" t="s">
        <v>1556</v>
      </c>
      <c r="J1269" s="100" t="s">
        <v>140</v>
      </c>
      <c r="K1269" s="91">
        <v>0</v>
      </c>
      <c r="L1269" s="91">
        <v>0</v>
      </c>
      <c r="M1269" s="92">
        <v>85</v>
      </c>
      <c r="N1269" s="94">
        <v>1000</v>
      </c>
      <c r="O1269" s="92">
        <v>2</v>
      </c>
      <c r="P1269" s="94">
        <f t="shared" si="306"/>
        <v>500</v>
      </c>
      <c r="Q1269" s="94"/>
      <c r="R1269" s="92">
        <v>500</v>
      </c>
      <c r="S1269" s="92">
        <f t="shared" si="300"/>
        <v>0</v>
      </c>
      <c r="T1269" s="102">
        <f t="shared" si="301"/>
        <v>2032.9411764705883</v>
      </c>
      <c r="U1269" s="101">
        <f t="shared" si="302"/>
        <v>0</v>
      </c>
      <c r="V1269" s="101">
        <f t="shared" si="304"/>
        <v>0</v>
      </c>
      <c r="W1269" s="101">
        <v>0</v>
      </c>
      <c r="X1269" s="55">
        <f t="shared" si="305"/>
        <v>46153.009114583336</v>
      </c>
    </row>
    <row r="1270" spans="1:24" hidden="1" x14ac:dyDescent="0.35">
      <c r="A1270" s="46">
        <f t="shared" si="303"/>
        <v>46153.009114583336</v>
      </c>
      <c r="B1270" s="46"/>
      <c r="C1270" s="260"/>
      <c r="D1270" s="46"/>
      <c r="E1270" s="47" t="s">
        <v>4656</v>
      </c>
      <c r="F1270" s="97" t="s">
        <v>1583</v>
      </c>
      <c r="G1270" s="97" t="s">
        <v>3508</v>
      </c>
      <c r="H1270" s="98" t="s">
        <v>5955</v>
      </c>
      <c r="I1270" s="442" t="s">
        <v>1556</v>
      </c>
      <c r="J1270" s="100" t="s">
        <v>140</v>
      </c>
      <c r="K1270" s="91">
        <v>0</v>
      </c>
      <c r="L1270" s="91">
        <v>0</v>
      </c>
      <c r="M1270" s="92">
        <v>85</v>
      </c>
      <c r="N1270" s="94">
        <v>2000</v>
      </c>
      <c r="O1270" s="92">
        <v>2</v>
      </c>
      <c r="P1270" s="94">
        <f t="shared" si="306"/>
        <v>1000</v>
      </c>
      <c r="Q1270" s="94"/>
      <c r="R1270" s="92">
        <v>1000</v>
      </c>
      <c r="S1270" s="92">
        <f t="shared" si="300"/>
        <v>0</v>
      </c>
      <c r="T1270" s="102">
        <f t="shared" si="301"/>
        <v>2032.9411764705883</v>
      </c>
      <c r="U1270" s="101">
        <f t="shared" si="302"/>
        <v>0</v>
      </c>
      <c r="V1270" s="101">
        <f t="shared" si="304"/>
        <v>0</v>
      </c>
      <c r="W1270" s="101">
        <v>0</v>
      </c>
      <c r="X1270" s="55">
        <f t="shared" si="305"/>
        <v>46153.009114583336</v>
      </c>
    </row>
    <row r="1271" spans="1:24" hidden="1" x14ac:dyDescent="0.35">
      <c r="A1271" s="46">
        <f t="shared" si="303"/>
        <v>46153.009114583336</v>
      </c>
      <c r="B1271" s="46"/>
      <c r="C1271" s="260"/>
      <c r="D1271" s="46"/>
      <c r="E1271" s="47" t="s">
        <v>4656</v>
      </c>
      <c r="F1271" s="97" t="s">
        <v>1583</v>
      </c>
      <c r="G1271" s="97" t="s">
        <v>3508</v>
      </c>
      <c r="H1271" s="98" t="s">
        <v>5956</v>
      </c>
      <c r="I1271" s="442" t="s">
        <v>1556</v>
      </c>
      <c r="J1271" s="100" t="s">
        <v>140</v>
      </c>
      <c r="K1271" s="91">
        <v>0</v>
      </c>
      <c r="L1271" s="91">
        <v>0</v>
      </c>
      <c r="M1271" s="92">
        <v>85</v>
      </c>
      <c r="N1271" s="94">
        <v>2000</v>
      </c>
      <c r="O1271" s="92">
        <v>2</v>
      </c>
      <c r="P1271" s="94">
        <f t="shared" si="306"/>
        <v>1000</v>
      </c>
      <c r="Q1271" s="94"/>
      <c r="R1271" s="92">
        <v>1000</v>
      </c>
      <c r="S1271" s="92">
        <f t="shared" si="300"/>
        <v>0</v>
      </c>
      <c r="T1271" s="102">
        <f t="shared" si="301"/>
        <v>2032.9411764705883</v>
      </c>
      <c r="U1271" s="101">
        <f t="shared" si="302"/>
        <v>0</v>
      </c>
      <c r="V1271" s="101">
        <f t="shared" si="304"/>
        <v>0</v>
      </c>
      <c r="W1271" s="101">
        <v>0</v>
      </c>
      <c r="X1271" s="55">
        <f t="shared" si="305"/>
        <v>46153.009114583336</v>
      </c>
    </row>
    <row r="1272" spans="1:24" hidden="1" x14ac:dyDescent="0.35">
      <c r="A1272" s="46">
        <f>X1269</f>
        <v>46153.009114583336</v>
      </c>
      <c r="B1272" s="46"/>
      <c r="C1272" s="260"/>
      <c r="D1272" s="46"/>
      <c r="E1272" s="47" t="s">
        <v>4656</v>
      </c>
      <c r="F1272" s="97" t="s">
        <v>1583</v>
      </c>
      <c r="G1272" s="97" t="s">
        <v>780</v>
      </c>
      <c r="H1272" s="98" t="s">
        <v>5957</v>
      </c>
      <c r="I1272" s="442" t="s">
        <v>1554</v>
      </c>
      <c r="J1272" s="100" t="s">
        <v>140</v>
      </c>
      <c r="K1272" s="91">
        <v>0</v>
      </c>
      <c r="L1272" s="91">
        <v>0</v>
      </c>
      <c r="M1272" s="92">
        <v>85</v>
      </c>
      <c r="N1272" s="94">
        <v>3000</v>
      </c>
      <c r="O1272" s="92">
        <v>2</v>
      </c>
      <c r="P1272" s="94">
        <f t="shared" si="306"/>
        <v>1500</v>
      </c>
      <c r="Q1272" s="94"/>
      <c r="R1272" s="92">
        <v>1500</v>
      </c>
      <c r="S1272" s="92">
        <f t="shared" si="300"/>
        <v>0</v>
      </c>
      <c r="T1272" s="102">
        <f t="shared" si="301"/>
        <v>2032.9411764705883</v>
      </c>
      <c r="U1272" s="101">
        <f t="shared" si="302"/>
        <v>0</v>
      </c>
      <c r="V1272" s="101">
        <f t="shared" si="304"/>
        <v>0</v>
      </c>
      <c r="W1272" s="101">
        <v>0</v>
      </c>
      <c r="X1272" s="55">
        <f t="shared" si="305"/>
        <v>46153.009114583336</v>
      </c>
    </row>
    <row r="1273" spans="1:24" hidden="1" x14ac:dyDescent="0.35">
      <c r="A1273" s="46">
        <f t="shared" ref="A1273:A1291" si="307">X1272</f>
        <v>46153.009114583336</v>
      </c>
      <c r="B1273" s="46"/>
      <c r="C1273" s="260"/>
      <c r="D1273" s="46"/>
      <c r="E1273" s="47" t="s">
        <v>4656</v>
      </c>
      <c r="F1273" s="97" t="s">
        <v>1583</v>
      </c>
      <c r="G1273" s="97" t="s">
        <v>780</v>
      </c>
      <c r="H1273" s="98" t="s">
        <v>5958</v>
      </c>
      <c r="I1273" s="442" t="s">
        <v>1554</v>
      </c>
      <c r="J1273" s="100" t="s">
        <v>140</v>
      </c>
      <c r="K1273" s="91">
        <v>0</v>
      </c>
      <c r="L1273" s="91">
        <v>0</v>
      </c>
      <c r="M1273" s="92">
        <v>85</v>
      </c>
      <c r="N1273" s="94">
        <v>2000</v>
      </c>
      <c r="O1273" s="92">
        <v>2</v>
      </c>
      <c r="P1273" s="94">
        <f t="shared" si="306"/>
        <v>1000</v>
      </c>
      <c r="Q1273" s="94"/>
      <c r="R1273" s="92">
        <v>1000</v>
      </c>
      <c r="S1273" s="92">
        <f t="shared" si="300"/>
        <v>0</v>
      </c>
      <c r="T1273" s="102">
        <f t="shared" si="301"/>
        <v>2032.9411764705883</v>
      </c>
      <c r="U1273" s="101">
        <f t="shared" si="302"/>
        <v>0</v>
      </c>
      <c r="V1273" s="101">
        <f t="shared" si="304"/>
        <v>0</v>
      </c>
      <c r="W1273" s="101">
        <v>0</v>
      </c>
      <c r="X1273" s="55">
        <f t="shared" si="305"/>
        <v>46153.009114583336</v>
      </c>
    </row>
    <row r="1274" spans="1:24" hidden="1" x14ac:dyDescent="0.35">
      <c r="A1274" s="123">
        <f t="shared" si="307"/>
        <v>46153.009114583336</v>
      </c>
      <c r="B1274" s="123"/>
      <c r="C1274" s="190"/>
      <c r="D1274" s="123"/>
      <c r="E1274" s="124" t="s">
        <v>4656</v>
      </c>
      <c r="F1274" s="501" t="s">
        <v>1865</v>
      </c>
      <c r="G1274" s="125" t="s">
        <v>327</v>
      </c>
      <c r="H1274" s="126" t="s">
        <v>5959</v>
      </c>
      <c r="I1274" s="187" t="s">
        <v>1807</v>
      </c>
      <c r="J1274" s="175" t="s">
        <v>140</v>
      </c>
      <c r="K1274" s="129">
        <v>0</v>
      </c>
      <c r="L1274" s="129">
        <v>0</v>
      </c>
      <c r="M1274" s="130">
        <v>250</v>
      </c>
      <c r="N1274" s="131">
        <v>300</v>
      </c>
      <c r="O1274" s="189">
        <v>1</v>
      </c>
      <c r="P1274" s="131">
        <f t="shared" si="306"/>
        <v>300</v>
      </c>
      <c r="Q1274" s="131"/>
      <c r="R1274" s="130">
        <v>300</v>
      </c>
      <c r="S1274" s="130">
        <f t="shared" si="300"/>
        <v>0</v>
      </c>
      <c r="T1274" s="168">
        <f t="shared" si="301"/>
        <v>345.6</v>
      </c>
      <c r="U1274" s="163">
        <f t="shared" si="302"/>
        <v>0</v>
      </c>
      <c r="V1274" s="163">
        <f t="shared" si="304"/>
        <v>0</v>
      </c>
      <c r="W1274" s="163">
        <v>0</v>
      </c>
      <c r="X1274" s="137">
        <f t="shared" si="305"/>
        <v>46153.009114583336</v>
      </c>
    </row>
    <row r="1275" spans="1:24" s="588" customFormat="1" ht="13" hidden="1" x14ac:dyDescent="0.3">
      <c r="A1275" s="46">
        <f t="shared" si="307"/>
        <v>46153.009114583336</v>
      </c>
      <c r="B1275" s="46"/>
      <c r="C1275" s="260"/>
      <c r="D1275" s="46"/>
      <c r="E1275" s="47" t="s">
        <v>4656</v>
      </c>
      <c r="F1275" s="97" t="s">
        <v>1603</v>
      </c>
      <c r="G1275" s="97" t="s">
        <v>327</v>
      </c>
      <c r="H1275" s="107" t="s">
        <v>4728</v>
      </c>
      <c r="I1275" s="855" t="s">
        <v>4324</v>
      </c>
      <c r="J1275" s="100" t="s">
        <v>140</v>
      </c>
      <c r="K1275" s="91">
        <v>0</v>
      </c>
      <c r="L1275" s="91">
        <v>0</v>
      </c>
      <c r="M1275" s="92">
        <v>120</v>
      </c>
      <c r="N1275" s="94">
        <v>8000</v>
      </c>
      <c r="O1275" s="92">
        <v>1</v>
      </c>
      <c r="P1275" s="94">
        <f t="shared" si="306"/>
        <v>8000</v>
      </c>
      <c r="Q1275" s="94"/>
      <c r="R1275" s="92">
        <v>8000</v>
      </c>
      <c r="S1275" s="92">
        <f t="shared" si="300"/>
        <v>0</v>
      </c>
      <c r="T1275" s="102">
        <f t="shared" si="301"/>
        <v>720</v>
      </c>
      <c r="U1275" s="101">
        <f t="shared" si="302"/>
        <v>0</v>
      </c>
      <c r="V1275" s="101">
        <f t="shared" si="304"/>
        <v>0</v>
      </c>
      <c r="W1275" s="101">
        <v>0</v>
      </c>
      <c r="X1275" s="55">
        <f>A1275+K1275+L1275+V1275+W1275</f>
        <v>46153.009114583336</v>
      </c>
    </row>
    <row r="1276" spans="1:24" s="588" customFormat="1" ht="13" hidden="1" x14ac:dyDescent="0.3">
      <c r="A1276" s="46">
        <f t="shared" si="307"/>
        <v>46153.009114583336</v>
      </c>
      <c r="B1276" s="46"/>
      <c r="C1276" s="260"/>
      <c r="D1276" s="46"/>
      <c r="E1276" s="47" t="s">
        <v>4656</v>
      </c>
      <c r="F1276" s="99" t="s">
        <v>5960</v>
      </c>
      <c r="G1276" s="99" t="s">
        <v>792</v>
      </c>
      <c r="H1276" s="98" t="s">
        <v>5961</v>
      </c>
      <c r="I1276" s="220" t="s">
        <v>4308</v>
      </c>
      <c r="J1276" s="100" t="s">
        <v>140</v>
      </c>
      <c r="K1276" s="91">
        <v>0</v>
      </c>
      <c r="L1276" s="91">
        <v>0</v>
      </c>
      <c r="M1276" s="92">
        <v>250</v>
      </c>
      <c r="N1276" s="94">
        <v>1500</v>
      </c>
      <c r="O1276" s="92">
        <v>1</v>
      </c>
      <c r="P1276" s="94">
        <f t="shared" si="306"/>
        <v>1500</v>
      </c>
      <c r="Q1276" s="94"/>
      <c r="R1276" s="92">
        <v>1500</v>
      </c>
      <c r="S1276" s="102">
        <f t="shared" si="300"/>
        <v>0</v>
      </c>
      <c r="T1276" s="102">
        <f t="shared" si="301"/>
        <v>345.6</v>
      </c>
      <c r="U1276" s="101">
        <f t="shared" si="302"/>
        <v>0</v>
      </c>
      <c r="V1276" s="101">
        <f t="shared" si="304"/>
        <v>0</v>
      </c>
      <c r="W1276" s="101">
        <v>0</v>
      </c>
      <c r="X1276" s="55">
        <f>A1276+K1276+V1276+W1276+L1276</f>
        <v>46153.009114583336</v>
      </c>
    </row>
    <row r="1277" spans="1:24" hidden="1" x14ac:dyDescent="0.35">
      <c r="A1277" s="46">
        <f t="shared" si="307"/>
        <v>46153.009114583336</v>
      </c>
      <c r="B1277" s="46"/>
      <c r="C1277" s="260"/>
      <c r="D1277" s="46"/>
      <c r="E1277" s="47" t="s">
        <v>4656</v>
      </c>
      <c r="F1277" s="82" t="s">
        <v>1640</v>
      </c>
      <c r="G1277" s="82" t="s">
        <v>792</v>
      </c>
      <c r="H1277" s="108">
        <v>13031</v>
      </c>
      <c r="I1277" s="82" t="s">
        <v>4290</v>
      </c>
      <c r="J1277" s="51" t="s">
        <v>140</v>
      </c>
      <c r="K1277" s="91">
        <v>0</v>
      </c>
      <c r="L1277" s="91">
        <v>0</v>
      </c>
      <c r="M1277" s="92">
        <v>60</v>
      </c>
      <c r="N1277" s="94">
        <f>5750-4640</f>
        <v>1110</v>
      </c>
      <c r="O1277" s="92">
        <v>1</v>
      </c>
      <c r="P1277" s="94">
        <f t="shared" si="306"/>
        <v>1110</v>
      </c>
      <c r="Q1277" s="94"/>
      <c r="R1277" s="92">
        <f>720+390</f>
        <v>1110</v>
      </c>
      <c r="S1277" s="92">
        <f t="shared" si="300"/>
        <v>0</v>
      </c>
      <c r="T1277" s="92">
        <f t="shared" si="301"/>
        <v>1440</v>
      </c>
      <c r="U1277" s="91">
        <f t="shared" si="302"/>
        <v>0</v>
      </c>
      <c r="V1277" s="91">
        <f t="shared" si="304"/>
        <v>0</v>
      </c>
      <c r="W1277" s="91">
        <v>0</v>
      </c>
      <c r="X1277" s="55">
        <f>A1277+K1277+L1277+V1277+W1277</f>
        <v>46153.009114583336</v>
      </c>
    </row>
    <row r="1278" spans="1:24" hidden="1" x14ac:dyDescent="0.35">
      <c r="A1278" s="46">
        <f t="shared" si="307"/>
        <v>46153.009114583336</v>
      </c>
      <c r="B1278" s="46"/>
      <c r="C1278" s="260"/>
      <c r="D1278" s="46"/>
      <c r="E1278" s="47" t="s">
        <v>4656</v>
      </c>
      <c r="F1278" s="82" t="s">
        <v>1640</v>
      </c>
      <c r="G1278" s="82" t="s">
        <v>792</v>
      </c>
      <c r="H1278" s="895">
        <v>13030</v>
      </c>
      <c r="I1278" s="82" t="s">
        <v>5643</v>
      </c>
      <c r="J1278" s="51" t="s">
        <v>140</v>
      </c>
      <c r="K1278" s="91">
        <v>0</v>
      </c>
      <c r="L1278" s="91">
        <v>0</v>
      </c>
      <c r="M1278" s="92">
        <v>50</v>
      </c>
      <c r="N1278" s="94">
        <v>1510</v>
      </c>
      <c r="O1278" s="1033">
        <v>2</v>
      </c>
      <c r="P1278" s="94">
        <f t="shared" si="306"/>
        <v>755</v>
      </c>
      <c r="Q1278" s="94"/>
      <c r="R1278" s="92">
        <v>755</v>
      </c>
      <c r="S1278" s="92">
        <f t="shared" si="300"/>
        <v>0</v>
      </c>
      <c r="T1278" s="92">
        <f t="shared" si="301"/>
        <v>3456</v>
      </c>
      <c r="U1278" s="91">
        <f t="shared" si="302"/>
        <v>0</v>
      </c>
      <c r="V1278" s="91">
        <f t="shared" si="304"/>
        <v>0</v>
      </c>
      <c r="W1278" s="91">
        <v>0</v>
      </c>
      <c r="X1278" s="55">
        <f>A1278+K1278+V1278+W1278+L1278</f>
        <v>46153.009114583336</v>
      </c>
    </row>
    <row r="1279" spans="1:24" hidden="1" x14ac:dyDescent="0.35">
      <c r="A1279" s="46">
        <f t="shared" si="307"/>
        <v>46153.009114583336</v>
      </c>
      <c r="B1279" s="46"/>
      <c r="C1279" s="260"/>
      <c r="D1279" s="46"/>
      <c r="E1279" s="47" t="s">
        <v>4656</v>
      </c>
      <c r="F1279" s="82" t="s">
        <v>1640</v>
      </c>
      <c r="G1279" s="82" t="s">
        <v>792</v>
      </c>
      <c r="H1279" s="108">
        <v>13031</v>
      </c>
      <c r="I1279" s="82" t="s">
        <v>4290</v>
      </c>
      <c r="J1279" s="51" t="s">
        <v>140</v>
      </c>
      <c r="K1279" s="91">
        <v>0</v>
      </c>
      <c r="L1279" s="91">
        <v>0</v>
      </c>
      <c r="M1279" s="92">
        <v>60</v>
      </c>
      <c r="N1279" s="94">
        <v>5750</v>
      </c>
      <c r="O1279" s="92">
        <v>1</v>
      </c>
      <c r="P1279" s="94">
        <f t="shared" si="306"/>
        <v>5750</v>
      </c>
      <c r="Q1279" s="94"/>
      <c r="R1279" s="92">
        <v>5750</v>
      </c>
      <c r="S1279" s="92">
        <f t="shared" si="300"/>
        <v>0</v>
      </c>
      <c r="T1279" s="92">
        <f t="shared" si="301"/>
        <v>1440</v>
      </c>
      <c r="U1279" s="91">
        <f t="shared" si="302"/>
        <v>0</v>
      </c>
      <c r="V1279" s="91">
        <f t="shared" si="304"/>
        <v>0</v>
      </c>
      <c r="W1279" s="91">
        <v>0</v>
      </c>
      <c r="X1279" s="55">
        <f>A1279+K1279+L1279+V1279+W1279</f>
        <v>46153.009114583336</v>
      </c>
    </row>
    <row r="1280" spans="1:24" s="109" customFormat="1" ht="13" hidden="1" x14ac:dyDescent="0.3">
      <c r="A1280" s="46">
        <f t="shared" si="307"/>
        <v>46153.009114583336</v>
      </c>
      <c r="B1280" s="46"/>
      <c r="C1280" s="260"/>
      <c r="D1280" s="46"/>
      <c r="E1280" s="47" t="s">
        <v>4656</v>
      </c>
      <c r="F1280" s="97" t="s">
        <v>1603</v>
      </c>
      <c r="G1280" s="97" t="s">
        <v>327</v>
      </c>
      <c r="H1280" s="107" t="s">
        <v>4728</v>
      </c>
      <c r="I1280" s="855" t="s">
        <v>4324</v>
      </c>
      <c r="J1280" s="100" t="s">
        <v>140</v>
      </c>
      <c r="K1280" s="91">
        <v>0</v>
      </c>
      <c r="L1280" s="91">
        <v>0</v>
      </c>
      <c r="M1280" s="345">
        <v>70</v>
      </c>
      <c r="N1280" s="94">
        <v>7000</v>
      </c>
      <c r="O1280" s="92">
        <v>1</v>
      </c>
      <c r="P1280" s="94">
        <f t="shared" si="306"/>
        <v>7000</v>
      </c>
      <c r="Q1280" s="94"/>
      <c r="R1280" s="92">
        <v>7000</v>
      </c>
      <c r="S1280" s="92">
        <f t="shared" si="300"/>
        <v>0</v>
      </c>
      <c r="T1280" s="102">
        <f t="shared" si="301"/>
        <v>1234.2857142857142</v>
      </c>
      <c r="U1280" s="101">
        <f t="shared" si="302"/>
        <v>0</v>
      </c>
      <c r="V1280" s="101">
        <f t="shared" si="304"/>
        <v>0</v>
      </c>
      <c r="W1280" s="101">
        <v>0</v>
      </c>
      <c r="X1280" s="55">
        <f>A1280+K1280+L1280+V1280+W1280</f>
        <v>46153.009114583336</v>
      </c>
    </row>
    <row r="1281" spans="1:24" hidden="1" x14ac:dyDescent="0.35">
      <c r="A1281" s="46">
        <f t="shared" si="307"/>
        <v>46153.009114583336</v>
      </c>
      <c r="B1281" s="46"/>
      <c r="C1281" s="260"/>
      <c r="D1281" s="46"/>
      <c r="E1281" s="47" t="s">
        <v>4656</v>
      </c>
      <c r="F1281" s="97" t="s">
        <v>5962</v>
      </c>
      <c r="G1281" s="97" t="s">
        <v>359</v>
      </c>
      <c r="H1281" s="98" t="s">
        <v>5963</v>
      </c>
      <c r="I1281" s="82" t="s">
        <v>5939</v>
      </c>
      <c r="J1281" s="51" t="s">
        <v>140</v>
      </c>
      <c r="K1281" s="91">
        <v>0</v>
      </c>
      <c r="L1281" s="91">
        <v>0</v>
      </c>
      <c r="M1281" s="346">
        <v>26</v>
      </c>
      <c r="N1281" s="94">
        <v>15000</v>
      </c>
      <c r="O1281" s="92">
        <v>1</v>
      </c>
      <c r="P1281" s="94">
        <f t="shared" si="306"/>
        <v>15000</v>
      </c>
      <c r="Q1281" s="94"/>
      <c r="R1281" s="92">
        <v>15000</v>
      </c>
      <c r="S1281" s="92">
        <f t="shared" si="300"/>
        <v>0</v>
      </c>
      <c r="T1281" s="92">
        <f t="shared" si="301"/>
        <v>3323.0769230769229</v>
      </c>
      <c r="U1281" s="91">
        <f t="shared" si="302"/>
        <v>0</v>
      </c>
      <c r="V1281" s="91">
        <f t="shared" si="304"/>
        <v>0</v>
      </c>
      <c r="W1281" s="91">
        <v>0</v>
      </c>
      <c r="X1281" s="55">
        <f>A1281+K1281+V1281+W1281+L1281</f>
        <v>46153.009114583336</v>
      </c>
    </row>
    <row r="1282" spans="1:24" s="121" customFormat="1" hidden="1" x14ac:dyDescent="0.35">
      <c r="A1282" s="46">
        <f t="shared" si="307"/>
        <v>46153.009114583336</v>
      </c>
      <c r="B1282" s="46"/>
      <c r="C1282" s="260"/>
      <c r="D1282" s="46"/>
      <c r="E1282" s="47" t="s">
        <v>4656</v>
      </c>
      <c r="F1282" s="82" t="s">
        <v>1640</v>
      </c>
      <c r="G1282" s="82" t="s">
        <v>792</v>
      </c>
      <c r="H1282" s="108">
        <v>13031</v>
      </c>
      <c r="I1282" s="82" t="s">
        <v>4290</v>
      </c>
      <c r="J1282" s="51" t="s">
        <v>140</v>
      </c>
      <c r="K1282" s="91">
        <v>0</v>
      </c>
      <c r="L1282" s="91">
        <v>0</v>
      </c>
      <c r="M1282" s="92">
        <v>60</v>
      </c>
      <c r="N1282" s="94">
        <v>3303</v>
      </c>
      <c r="O1282" s="92">
        <v>1</v>
      </c>
      <c r="P1282" s="94">
        <f t="shared" si="306"/>
        <v>3303</v>
      </c>
      <c r="Q1282" s="94"/>
      <c r="R1282" s="92">
        <v>3303</v>
      </c>
      <c r="S1282" s="92">
        <f t="shared" si="300"/>
        <v>0</v>
      </c>
      <c r="T1282" s="92">
        <f t="shared" si="301"/>
        <v>1440</v>
      </c>
      <c r="U1282" s="91">
        <f t="shared" si="302"/>
        <v>0</v>
      </c>
      <c r="V1282" s="91">
        <f t="shared" si="304"/>
        <v>0</v>
      </c>
      <c r="W1282" s="91">
        <v>0</v>
      </c>
      <c r="X1282" s="55">
        <f>A1282+K1282+L1282+V1282+W1282</f>
        <v>46153.009114583336</v>
      </c>
    </row>
    <row r="1283" spans="1:24" s="511" customFormat="1" hidden="1" x14ac:dyDescent="0.35">
      <c r="A1283" s="46">
        <f t="shared" si="307"/>
        <v>46153.009114583336</v>
      </c>
      <c r="B1283" s="46">
        <v>46059</v>
      </c>
      <c r="C1283" s="260">
        <f t="shared" ref="C1283:C1293" si="308">B1283-A1283</f>
        <v>-94.009114583335759</v>
      </c>
      <c r="D1283" s="260"/>
      <c r="E1283" s="47" t="s">
        <v>4656</v>
      </c>
      <c r="F1283" s="82" t="s">
        <v>1640</v>
      </c>
      <c r="G1283" s="82" t="s">
        <v>839</v>
      </c>
      <c r="H1283" s="108">
        <v>13409</v>
      </c>
      <c r="I1283" s="82" t="s">
        <v>4290</v>
      </c>
      <c r="J1283" s="51" t="s">
        <v>140</v>
      </c>
      <c r="K1283" s="91">
        <v>0</v>
      </c>
      <c r="L1283" s="91">
        <v>0</v>
      </c>
      <c r="M1283" s="92">
        <v>60</v>
      </c>
      <c r="N1283" s="94">
        <v>5750</v>
      </c>
      <c r="O1283" s="92">
        <v>1</v>
      </c>
      <c r="P1283" s="94">
        <f t="shared" si="306"/>
        <v>5750</v>
      </c>
      <c r="Q1283" s="181">
        <v>0.8</v>
      </c>
      <c r="R1283" s="92">
        <v>5750</v>
      </c>
      <c r="S1283" s="103">
        <f t="shared" si="300"/>
        <v>0</v>
      </c>
      <c r="T1283" s="173">
        <f t="shared" ref="T1283:T1294" si="309">((3600/M1283)*O1283)*24*Q1283</f>
        <v>1152</v>
      </c>
      <c r="U1283" s="101">
        <f t="shared" ref="U1283:U1294" si="310">(P1283-R1283)*M1283/3600/Q1283</f>
        <v>0</v>
      </c>
      <c r="V1283" s="101">
        <f t="shared" ref="V1283:V1294" si="311">U1283/24</f>
        <v>0</v>
      </c>
      <c r="W1283" s="101">
        <v>0</v>
      </c>
      <c r="X1283" s="55">
        <f>A1283+K1283+L1283+V1283+W1283</f>
        <v>46153.009114583336</v>
      </c>
    </row>
    <row r="1284" spans="1:24" s="121" customFormat="1" hidden="1" x14ac:dyDescent="0.35">
      <c r="A1284" s="46">
        <f t="shared" si="307"/>
        <v>46153.009114583336</v>
      </c>
      <c r="B1284" s="46">
        <v>46064</v>
      </c>
      <c r="C1284" s="180">
        <f t="shared" si="308"/>
        <v>-89.009114583335759</v>
      </c>
      <c r="D1284" s="180"/>
      <c r="E1284" s="119" t="s">
        <v>4656</v>
      </c>
      <c r="F1284" s="97" t="s">
        <v>5964</v>
      </c>
      <c r="G1284" s="97" t="s">
        <v>386</v>
      </c>
      <c r="H1284" s="98" t="s">
        <v>5965</v>
      </c>
      <c r="I1284" s="82" t="s">
        <v>4292</v>
      </c>
      <c r="J1284" s="100" t="s">
        <v>140</v>
      </c>
      <c r="K1284" s="101">
        <v>0</v>
      </c>
      <c r="L1284" s="101">
        <v>0</v>
      </c>
      <c r="M1284" s="102">
        <v>45</v>
      </c>
      <c r="N1284" s="103">
        <v>12600</v>
      </c>
      <c r="O1284" s="102">
        <v>2</v>
      </c>
      <c r="P1284" s="103">
        <f t="shared" si="306"/>
        <v>6300</v>
      </c>
      <c r="Q1284" s="181">
        <v>0.8</v>
      </c>
      <c r="R1284" s="103">
        <v>6300</v>
      </c>
      <c r="S1284" s="102">
        <f t="shared" si="300"/>
        <v>0</v>
      </c>
      <c r="T1284" s="173">
        <f t="shared" si="309"/>
        <v>3072</v>
      </c>
      <c r="U1284" s="101">
        <f t="shared" si="310"/>
        <v>0</v>
      </c>
      <c r="V1284" s="101">
        <f t="shared" si="311"/>
        <v>0</v>
      </c>
      <c r="W1284" s="101">
        <v>0</v>
      </c>
      <c r="X1284" s="55">
        <f>A1284+K1284+L1284+V1284+W1284</f>
        <v>46153.009114583336</v>
      </c>
    </row>
    <row r="1285" spans="1:24" s="202" customFormat="1" hidden="1" x14ac:dyDescent="0.35">
      <c r="A1285" s="295">
        <f t="shared" si="307"/>
        <v>46153.009114583336</v>
      </c>
      <c r="B1285" s="295">
        <v>46059</v>
      </c>
      <c r="C1285" s="576">
        <f t="shared" si="308"/>
        <v>-94.009114583335759</v>
      </c>
      <c r="D1285" s="576"/>
      <c r="E1285" s="296" t="s">
        <v>4656</v>
      </c>
      <c r="F1285" s="351" t="s">
        <v>14</v>
      </c>
      <c r="G1285" s="366" t="s">
        <v>14</v>
      </c>
      <c r="H1285" s="367" t="s">
        <v>14</v>
      </c>
      <c r="I1285" s="866" t="s">
        <v>4767</v>
      </c>
      <c r="J1285" s="351" t="s">
        <v>140</v>
      </c>
      <c r="K1285" s="352">
        <v>0</v>
      </c>
      <c r="L1285" s="352">
        <v>0</v>
      </c>
      <c r="M1285" s="353">
        <v>20</v>
      </c>
      <c r="N1285" s="354">
        <v>200</v>
      </c>
      <c r="O1285" s="353">
        <v>15</v>
      </c>
      <c r="P1285" s="354">
        <f t="shared" si="306"/>
        <v>13.333333333333334</v>
      </c>
      <c r="Q1285" s="305">
        <v>0.8</v>
      </c>
      <c r="R1285" s="302">
        <v>13</v>
      </c>
      <c r="S1285" s="302">
        <f t="shared" si="300"/>
        <v>0.33333333333333393</v>
      </c>
      <c r="T1285" s="307">
        <f t="shared" si="309"/>
        <v>51840</v>
      </c>
      <c r="U1285" s="301">
        <f t="shared" si="310"/>
        <v>2.314814814814819E-3</v>
      </c>
      <c r="V1285" s="301">
        <f t="shared" si="311"/>
        <v>9.6450617283950788E-5</v>
      </c>
      <c r="W1285" s="301">
        <v>0</v>
      </c>
      <c r="X1285" s="308">
        <f>A1285+K1285+L1285+V1285+W1285</f>
        <v>46153.009211033954</v>
      </c>
    </row>
    <row r="1286" spans="1:24" s="511" customFormat="1" hidden="1" x14ac:dyDescent="0.35">
      <c r="A1286" s="46">
        <f t="shared" si="307"/>
        <v>46153.009211033954</v>
      </c>
      <c r="B1286" s="46">
        <v>46061</v>
      </c>
      <c r="C1286" s="260">
        <f t="shared" si="308"/>
        <v>-92.009211033953761</v>
      </c>
      <c r="D1286" s="260"/>
      <c r="E1286" s="47" t="s">
        <v>4656</v>
      </c>
      <c r="F1286" s="69" t="s">
        <v>392</v>
      </c>
      <c r="G1286" s="69" t="s">
        <v>386</v>
      </c>
      <c r="H1286" s="340" t="s">
        <v>5966</v>
      </c>
      <c r="I1286" s="82" t="s">
        <v>5952</v>
      </c>
      <c r="J1286" s="100" t="s">
        <v>140</v>
      </c>
      <c r="K1286" s="91">
        <v>0</v>
      </c>
      <c r="L1286" s="91">
        <v>0</v>
      </c>
      <c r="M1286" s="345">
        <v>75</v>
      </c>
      <c r="N1286" s="94">
        <v>15000</v>
      </c>
      <c r="O1286" s="345">
        <v>1</v>
      </c>
      <c r="P1286" s="94">
        <f t="shared" si="306"/>
        <v>15000</v>
      </c>
      <c r="Q1286" s="181">
        <v>0.8</v>
      </c>
      <c r="R1286" s="92">
        <v>15000</v>
      </c>
      <c r="S1286" s="103">
        <f t="shared" si="300"/>
        <v>0</v>
      </c>
      <c r="T1286" s="173">
        <f t="shared" si="309"/>
        <v>921.6</v>
      </c>
      <c r="U1286" s="101">
        <f t="shared" si="310"/>
        <v>0</v>
      </c>
      <c r="V1286" s="101">
        <f t="shared" si="311"/>
        <v>0</v>
      </c>
      <c r="W1286" s="101">
        <v>0</v>
      </c>
      <c r="X1286" s="55">
        <f>A1286+K1286+V1286+W1286+L1286</f>
        <v>46153.009211033954</v>
      </c>
    </row>
    <row r="1287" spans="1:24" s="811" customFormat="1" hidden="1" x14ac:dyDescent="0.35">
      <c r="A1287" s="295">
        <f t="shared" si="307"/>
        <v>46153.009211033954</v>
      </c>
      <c r="B1287" s="295">
        <v>46084</v>
      </c>
      <c r="C1287" s="979">
        <f t="shared" si="308"/>
        <v>-69.009211033953761</v>
      </c>
      <c r="D1287" s="979"/>
      <c r="E1287" s="296" t="s">
        <v>4656</v>
      </c>
      <c r="F1287" s="351" t="s">
        <v>14</v>
      </c>
      <c r="G1287" s="366" t="s">
        <v>14</v>
      </c>
      <c r="H1287" s="367" t="s">
        <v>14</v>
      </c>
      <c r="I1287" s="866" t="s">
        <v>4767</v>
      </c>
      <c r="J1287" s="351" t="s">
        <v>140</v>
      </c>
      <c r="K1287" s="352">
        <v>0</v>
      </c>
      <c r="L1287" s="352">
        <v>0</v>
      </c>
      <c r="M1287" s="353">
        <v>20</v>
      </c>
      <c r="N1287" s="354">
        <v>200</v>
      </c>
      <c r="O1287" s="353">
        <v>15</v>
      </c>
      <c r="P1287" s="354">
        <f t="shared" si="306"/>
        <v>13.333333333333334</v>
      </c>
      <c r="Q1287" s="305">
        <v>0.8</v>
      </c>
      <c r="R1287" s="302">
        <v>13</v>
      </c>
      <c r="S1287" s="302">
        <f t="shared" si="300"/>
        <v>0.33333333333333393</v>
      </c>
      <c r="T1287" s="307">
        <f t="shared" si="309"/>
        <v>51840</v>
      </c>
      <c r="U1287" s="301">
        <f t="shared" si="310"/>
        <v>2.314814814814819E-3</v>
      </c>
      <c r="V1287" s="301">
        <f t="shared" si="311"/>
        <v>9.6450617283950788E-5</v>
      </c>
      <c r="W1287" s="301">
        <v>0</v>
      </c>
      <c r="X1287" s="308">
        <f>A1287+K1287+L1287+V1287+W1287</f>
        <v>46153.009307484572</v>
      </c>
    </row>
    <row r="1288" spans="1:24" s="121" customFormat="1" hidden="1" x14ac:dyDescent="0.35">
      <c r="A1288" s="46">
        <f t="shared" si="307"/>
        <v>46153.009307484572</v>
      </c>
      <c r="B1288" s="46">
        <v>46085</v>
      </c>
      <c r="C1288" s="260">
        <f t="shared" si="308"/>
        <v>-68.009307484571764</v>
      </c>
      <c r="D1288" s="260"/>
      <c r="E1288" s="47" t="s">
        <v>4656</v>
      </c>
      <c r="F1288" s="97" t="s">
        <v>355</v>
      </c>
      <c r="G1288" s="97" t="s">
        <v>839</v>
      </c>
      <c r="H1288" s="98" t="s">
        <v>4640</v>
      </c>
      <c r="I1288" s="82" t="s">
        <v>4774</v>
      </c>
      <c r="J1288" s="100" t="s">
        <v>140</v>
      </c>
      <c r="K1288" s="91">
        <v>0</v>
      </c>
      <c r="L1288" s="91">
        <v>0</v>
      </c>
      <c r="M1288" s="92">
        <v>90</v>
      </c>
      <c r="N1288" s="94">
        <f>15000-11296</f>
        <v>3704</v>
      </c>
      <c r="O1288" s="92">
        <v>2</v>
      </c>
      <c r="P1288" s="94">
        <f t="shared" si="306"/>
        <v>1852</v>
      </c>
      <c r="Q1288" s="181">
        <v>0.8</v>
      </c>
      <c r="R1288" s="92">
        <v>1852</v>
      </c>
      <c r="S1288" s="103">
        <f t="shared" si="300"/>
        <v>0</v>
      </c>
      <c r="T1288" s="173">
        <f t="shared" si="309"/>
        <v>1536</v>
      </c>
      <c r="U1288" s="101">
        <f t="shared" si="310"/>
        <v>0</v>
      </c>
      <c r="V1288" s="101">
        <f t="shared" si="311"/>
        <v>0</v>
      </c>
      <c r="W1288" s="101">
        <v>0</v>
      </c>
      <c r="X1288" s="55">
        <f>A1288+K1288+L1288+V1288+W1288</f>
        <v>46153.009307484572</v>
      </c>
    </row>
    <row r="1289" spans="1:24" s="121" customFormat="1" hidden="1" x14ac:dyDescent="0.35">
      <c r="A1289" s="71">
        <f t="shared" si="307"/>
        <v>46153.009307484572</v>
      </c>
      <c r="B1289" s="71">
        <v>46093</v>
      </c>
      <c r="C1289" s="260">
        <f t="shared" si="308"/>
        <v>-60.009307484571764</v>
      </c>
      <c r="D1289" s="71"/>
      <c r="E1289" s="119" t="s">
        <v>4656</v>
      </c>
      <c r="F1289" s="97" t="s">
        <v>1583</v>
      </c>
      <c r="G1289" s="97" t="s">
        <v>398</v>
      </c>
      <c r="H1289" s="98" t="s">
        <v>5967</v>
      </c>
      <c r="I1289" s="106" t="s">
        <v>1556</v>
      </c>
      <c r="J1289" s="100" t="s">
        <v>140</v>
      </c>
      <c r="K1289" s="101">
        <v>0</v>
      </c>
      <c r="L1289" s="101">
        <v>0</v>
      </c>
      <c r="M1289" s="102">
        <v>85</v>
      </c>
      <c r="N1289" s="103">
        <v>5000</v>
      </c>
      <c r="O1289" s="102">
        <v>2</v>
      </c>
      <c r="P1289" s="102">
        <f t="shared" si="306"/>
        <v>2500</v>
      </c>
      <c r="Q1289" s="181">
        <v>0.8</v>
      </c>
      <c r="R1289" s="103">
        <v>2500</v>
      </c>
      <c r="S1289" s="102">
        <f t="shared" si="300"/>
        <v>0</v>
      </c>
      <c r="T1289" s="173">
        <f t="shared" si="309"/>
        <v>1626.3529411764707</v>
      </c>
      <c r="U1289" s="101">
        <f t="shared" si="310"/>
        <v>0</v>
      </c>
      <c r="V1289" s="101">
        <f t="shared" si="311"/>
        <v>0</v>
      </c>
      <c r="W1289" s="101">
        <v>0</v>
      </c>
      <c r="X1289" s="255">
        <f t="shared" ref="X1289:X1294" si="312">A1289+K1289+V1289+W1289+L1289</f>
        <v>46153.009307484572</v>
      </c>
    </row>
    <row r="1290" spans="1:24" s="121" customFormat="1" hidden="1" x14ac:dyDescent="0.35">
      <c r="A1290" s="71">
        <f t="shared" si="307"/>
        <v>46153.009307484572</v>
      </c>
      <c r="B1290" s="71">
        <v>46099</v>
      </c>
      <c r="C1290" s="260">
        <f t="shared" si="308"/>
        <v>-54.009307484571764</v>
      </c>
      <c r="D1290" s="71"/>
      <c r="E1290" s="119" t="s">
        <v>4656</v>
      </c>
      <c r="F1290" s="97" t="s">
        <v>1583</v>
      </c>
      <c r="G1290" s="97" t="s">
        <v>398</v>
      </c>
      <c r="H1290" s="98" t="s">
        <v>5968</v>
      </c>
      <c r="I1290" s="106" t="s">
        <v>1554</v>
      </c>
      <c r="J1290" s="100" t="s">
        <v>140</v>
      </c>
      <c r="K1290" s="101">
        <v>0</v>
      </c>
      <c r="L1290" s="101">
        <v>0</v>
      </c>
      <c r="M1290" s="102">
        <v>85</v>
      </c>
      <c r="N1290" s="103">
        <v>5000</v>
      </c>
      <c r="O1290" s="102">
        <v>2</v>
      </c>
      <c r="P1290" s="102">
        <f t="shared" si="306"/>
        <v>2500</v>
      </c>
      <c r="Q1290" s="181">
        <v>0.8</v>
      </c>
      <c r="R1290" s="103">
        <v>2500</v>
      </c>
      <c r="S1290" s="102">
        <f t="shared" ref="S1290:S1294" si="313">P1290-R1290</f>
        <v>0</v>
      </c>
      <c r="T1290" s="173">
        <f t="shared" si="309"/>
        <v>1626.3529411764707</v>
      </c>
      <c r="U1290" s="101">
        <f t="shared" si="310"/>
        <v>0</v>
      </c>
      <c r="V1290" s="101">
        <f t="shared" si="311"/>
        <v>0</v>
      </c>
      <c r="W1290" s="101">
        <v>0</v>
      </c>
      <c r="X1290" s="255">
        <f t="shared" si="312"/>
        <v>46153.009307484572</v>
      </c>
    </row>
    <row r="1291" spans="1:24" s="186" customFormat="1" hidden="1" x14ac:dyDescent="0.35">
      <c r="A1291" s="161">
        <f t="shared" si="307"/>
        <v>46153.009307484572</v>
      </c>
      <c r="B1291" s="161">
        <v>46120</v>
      </c>
      <c r="C1291" s="183">
        <f t="shared" si="308"/>
        <v>-33.009307484571764</v>
      </c>
      <c r="D1291" s="183"/>
      <c r="E1291" s="124" t="s">
        <v>1684</v>
      </c>
      <c r="F1291" s="125" t="s">
        <v>4380</v>
      </c>
      <c r="G1291" s="159" t="s">
        <v>398</v>
      </c>
      <c r="H1291" s="188" t="s">
        <v>5969</v>
      </c>
      <c r="I1291" s="159" t="s">
        <v>1864</v>
      </c>
      <c r="J1291" s="175" t="s">
        <v>140</v>
      </c>
      <c r="K1291" s="129">
        <v>0</v>
      </c>
      <c r="L1291" s="129">
        <v>0</v>
      </c>
      <c r="M1291" s="130">
        <v>90</v>
      </c>
      <c r="N1291" s="131">
        <v>7000</v>
      </c>
      <c r="O1291" s="130">
        <v>2</v>
      </c>
      <c r="P1291" s="131">
        <f t="shared" si="306"/>
        <v>3500</v>
      </c>
      <c r="Q1291" s="185">
        <v>0.8</v>
      </c>
      <c r="R1291" s="164">
        <v>3500</v>
      </c>
      <c r="S1291" s="164">
        <f t="shared" si="313"/>
        <v>0</v>
      </c>
      <c r="T1291" s="168">
        <f t="shared" si="309"/>
        <v>1536</v>
      </c>
      <c r="U1291" s="163">
        <f t="shared" si="310"/>
        <v>0</v>
      </c>
      <c r="V1291" s="163">
        <f t="shared" si="311"/>
        <v>0</v>
      </c>
      <c r="W1291" s="163">
        <v>0</v>
      </c>
      <c r="X1291" s="137">
        <f t="shared" si="312"/>
        <v>46153.009307484572</v>
      </c>
    </row>
    <row r="1292" spans="1:24" s="511" customFormat="1" hidden="1" x14ac:dyDescent="0.35">
      <c r="A1292" s="46">
        <f>X1291</f>
        <v>46153.009307484572</v>
      </c>
      <c r="B1292" s="71">
        <v>46102</v>
      </c>
      <c r="C1292" s="180">
        <f t="shared" si="308"/>
        <v>-51.009307484571764</v>
      </c>
      <c r="D1292" s="180" t="s">
        <v>5970</v>
      </c>
      <c r="E1292" s="47" t="s">
        <v>4656</v>
      </c>
      <c r="F1292" s="97" t="s">
        <v>4380</v>
      </c>
      <c r="G1292" s="82" t="s">
        <v>398</v>
      </c>
      <c r="H1292" s="107" t="s">
        <v>5969</v>
      </c>
      <c r="I1292" s="82" t="s">
        <v>1864</v>
      </c>
      <c r="J1292" s="100" t="s">
        <v>140</v>
      </c>
      <c r="K1292" s="91">
        <v>0</v>
      </c>
      <c r="L1292" s="91">
        <v>0</v>
      </c>
      <c r="M1292" s="92">
        <v>40</v>
      </c>
      <c r="N1292" s="94">
        <f>30000-7000</f>
        <v>23000</v>
      </c>
      <c r="O1292" s="92">
        <v>2</v>
      </c>
      <c r="P1292" s="94">
        <f t="shared" si="306"/>
        <v>11500</v>
      </c>
      <c r="Q1292" s="181">
        <v>0.8</v>
      </c>
      <c r="R1292" s="102">
        <v>11500</v>
      </c>
      <c r="S1292" s="102">
        <f t="shared" si="313"/>
        <v>0</v>
      </c>
      <c r="T1292" s="173">
        <f>((3600/M1292)*O1292)*24*Q1292</f>
        <v>3456</v>
      </c>
      <c r="U1292" s="101">
        <f t="shared" si="310"/>
        <v>0</v>
      </c>
      <c r="V1292" s="101">
        <f t="shared" si="311"/>
        <v>0</v>
      </c>
      <c r="W1292" s="101">
        <v>0</v>
      </c>
      <c r="X1292" s="55">
        <f t="shared" si="312"/>
        <v>46153.009307484572</v>
      </c>
    </row>
    <row r="1293" spans="1:24" s="511" customFormat="1" hidden="1" x14ac:dyDescent="0.35">
      <c r="A1293" s="46">
        <f>X1292</f>
        <v>46153.009307484572</v>
      </c>
      <c r="B1293" s="71">
        <v>46120</v>
      </c>
      <c r="C1293" s="180">
        <f t="shared" si="308"/>
        <v>-33.009307484571764</v>
      </c>
      <c r="D1293" s="180" t="s">
        <v>5970</v>
      </c>
      <c r="E1293" s="47" t="s">
        <v>4656</v>
      </c>
      <c r="F1293" s="97" t="s">
        <v>4380</v>
      </c>
      <c r="G1293" s="82" t="s">
        <v>398</v>
      </c>
      <c r="H1293" s="107" t="s">
        <v>5969</v>
      </c>
      <c r="I1293" s="82" t="s">
        <v>1864</v>
      </c>
      <c r="J1293" s="100" t="s">
        <v>140</v>
      </c>
      <c r="K1293" s="91">
        <v>0</v>
      </c>
      <c r="L1293" s="91">
        <v>0</v>
      </c>
      <c r="M1293" s="92">
        <v>40</v>
      </c>
      <c r="N1293" s="94">
        <v>30585</v>
      </c>
      <c r="O1293" s="92">
        <v>2</v>
      </c>
      <c r="P1293" s="94">
        <f t="shared" si="306"/>
        <v>15292.5</v>
      </c>
      <c r="Q1293" s="181">
        <v>0.8</v>
      </c>
      <c r="R1293" s="102">
        <v>15293</v>
      </c>
      <c r="S1293" s="102">
        <f t="shared" si="313"/>
        <v>-0.5</v>
      </c>
      <c r="T1293" s="173">
        <f t="shared" si="309"/>
        <v>3456</v>
      </c>
      <c r="U1293" s="101">
        <f t="shared" si="310"/>
        <v>-6.9444444444444441E-3</v>
      </c>
      <c r="V1293" s="101">
        <f t="shared" si="311"/>
        <v>-2.8935185185185184E-4</v>
      </c>
      <c r="W1293" s="101">
        <v>0</v>
      </c>
      <c r="X1293" s="55">
        <f t="shared" si="312"/>
        <v>46153.009018132718</v>
      </c>
    </row>
    <row r="1294" spans="1:24" s="228" customFormat="1" hidden="1" x14ac:dyDescent="0.35">
      <c r="A1294" s="46">
        <f t="shared" ref="A1294:A1295" si="314">X1293</f>
        <v>46153.009018132718</v>
      </c>
      <c r="B1294" s="46">
        <v>46132</v>
      </c>
      <c r="C1294" s="260"/>
      <c r="D1294" s="46"/>
      <c r="E1294" s="47" t="s">
        <v>4656</v>
      </c>
      <c r="F1294" s="97" t="s">
        <v>1917</v>
      </c>
      <c r="G1294" s="97" t="s">
        <v>411</v>
      </c>
      <c r="H1294" s="108">
        <v>13986</v>
      </c>
      <c r="I1294" s="82" t="s">
        <v>1830</v>
      </c>
      <c r="J1294" s="51" t="s">
        <v>140</v>
      </c>
      <c r="K1294" s="91">
        <v>0</v>
      </c>
      <c r="L1294" s="91">
        <v>0</v>
      </c>
      <c r="M1294" s="92">
        <v>40</v>
      </c>
      <c r="N1294" s="94">
        <v>7500</v>
      </c>
      <c r="O1294" s="92">
        <v>1</v>
      </c>
      <c r="P1294" s="94">
        <f t="shared" si="306"/>
        <v>7500</v>
      </c>
      <c r="Q1294" s="181">
        <v>0.8</v>
      </c>
      <c r="R1294" s="102">
        <v>7500</v>
      </c>
      <c r="S1294" s="102">
        <f t="shared" si="313"/>
        <v>0</v>
      </c>
      <c r="T1294" s="173">
        <f t="shared" si="309"/>
        <v>1728</v>
      </c>
      <c r="U1294" s="101">
        <f t="shared" si="310"/>
        <v>0</v>
      </c>
      <c r="V1294" s="101">
        <f t="shared" si="311"/>
        <v>0</v>
      </c>
      <c r="W1294" s="101">
        <v>0</v>
      </c>
      <c r="X1294" s="55">
        <f t="shared" si="312"/>
        <v>46153.009018132718</v>
      </c>
    </row>
    <row r="1295" spans="1:24" s="202" customFormat="1" x14ac:dyDescent="0.35">
      <c r="A1295" s="193">
        <f t="shared" si="314"/>
        <v>46153.009018132718</v>
      </c>
      <c r="B1295" s="193">
        <v>46133</v>
      </c>
      <c r="C1295" s="267">
        <f>B1295-A1295</f>
        <v>-20.009018132717756</v>
      </c>
      <c r="D1295" s="267"/>
      <c r="E1295" s="111" t="s">
        <v>4656</v>
      </c>
      <c r="F1295" s="197" t="s">
        <v>5971</v>
      </c>
      <c r="G1295" s="196" t="s">
        <v>414</v>
      </c>
      <c r="H1295" s="113" t="s">
        <v>5972</v>
      </c>
      <c r="I1295" s="196" t="s">
        <v>4308</v>
      </c>
      <c r="J1295" s="114" t="s">
        <v>140</v>
      </c>
      <c r="K1295" s="482">
        <v>0</v>
      </c>
      <c r="L1295" s="482">
        <v>0</v>
      </c>
      <c r="M1295" s="199">
        <v>250</v>
      </c>
      <c r="N1295" s="483">
        <v>2000</v>
      </c>
      <c r="O1295" s="199">
        <v>1</v>
      </c>
      <c r="P1295" s="483">
        <f>N1295/O1295</f>
        <v>2000</v>
      </c>
      <c r="Q1295" s="198">
        <v>0.8</v>
      </c>
      <c r="R1295" s="199">
        <v>1917</v>
      </c>
      <c r="S1295" s="116">
        <f>P1295-R1295</f>
        <v>83</v>
      </c>
      <c r="T1295" s="200">
        <f>((3600/M1295)*O1295)*24*Q1295</f>
        <v>276.48</v>
      </c>
      <c r="U1295" s="115">
        <f>(P1295-R1295)*M1295/3600/Q1295</f>
        <v>7.2048611111111116</v>
      </c>
      <c r="V1295" s="115">
        <f>U1295/24</f>
        <v>0.30020254629629634</v>
      </c>
      <c r="W1295" s="115">
        <v>0</v>
      </c>
      <c r="X1295" s="201">
        <f>A1295+K1295+L1295+V1295+W1295</f>
        <v>46153.309220679017</v>
      </c>
    </row>
    <row r="1296" spans="1:24" s="89" customFormat="1" x14ac:dyDescent="0.35">
      <c r="A1296" s="203">
        <f>X1295</f>
        <v>46153.309220679017</v>
      </c>
      <c r="B1296" s="203">
        <v>46153</v>
      </c>
      <c r="C1296" s="267">
        <f>B1296-A1296</f>
        <v>-0.30922067901701666</v>
      </c>
      <c r="D1296" s="203"/>
      <c r="E1296" s="204" t="s">
        <v>4656</v>
      </c>
      <c r="F1296" s="488" t="s">
        <v>5973</v>
      </c>
      <c r="G1296" s="488" t="s">
        <v>414</v>
      </c>
      <c r="H1296" s="618">
        <v>14102</v>
      </c>
      <c r="I1296" s="205" t="s">
        <v>5708</v>
      </c>
      <c r="J1296" s="310" t="s">
        <v>140</v>
      </c>
      <c r="K1296" s="208">
        <v>0</v>
      </c>
      <c r="L1296" s="208">
        <v>0</v>
      </c>
      <c r="M1296" s="209">
        <v>260</v>
      </c>
      <c r="N1296" s="209">
        <v>1200</v>
      </c>
      <c r="O1296" s="209">
        <v>1</v>
      </c>
      <c r="P1296" s="209">
        <f>N1296/O1296</f>
        <v>1200</v>
      </c>
      <c r="Q1296" s="209"/>
      <c r="R1296" s="209">
        <v>1200</v>
      </c>
      <c r="S1296" s="209">
        <f>P1296-R1296</f>
        <v>0</v>
      </c>
      <c r="T1296" s="290">
        <f>((3600/M1296)*O1296)*24</f>
        <v>332.30769230769232</v>
      </c>
      <c r="U1296" s="289">
        <f>(P1296-R1296)*M1296/3600</f>
        <v>0</v>
      </c>
      <c r="V1296" s="289">
        <f>(P1296-R1296)*M1296/3600/24</f>
        <v>0</v>
      </c>
      <c r="W1296" s="289">
        <v>0</v>
      </c>
      <c r="X1296" s="212">
        <f>A1296+K1296+V1296+W1296+L1296</f>
        <v>46153.309220679017</v>
      </c>
    </row>
    <row r="1297" spans="1:24" s="89" customFormat="1" x14ac:dyDescent="0.35">
      <c r="A1297" s="203"/>
      <c r="B1297" s="203"/>
      <c r="C1297" s="286"/>
      <c r="D1297" s="203"/>
      <c r="E1297" s="204"/>
      <c r="F1297" s="488"/>
      <c r="G1297" s="488"/>
      <c r="H1297" s="618"/>
      <c r="I1297" s="1034"/>
      <c r="J1297" s="310"/>
      <c r="K1297" s="208"/>
      <c r="L1297" s="208"/>
      <c r="M1297" s="209"/>
      <c r="N1297" s="209"/>
      <c r="O1297" s="209"/>
      <c r="P1297" s="209"/>
      <c r="Q1297" s="209"/>
      <c r="R1297" s="209"/>
      <c r="S1297" s="209"/>
      <c r="T1297" s="290"/>
      <c r="U1297" s="289"/>
      <c r="V1297" s="289"/>
      <c r="W1297" s="289"/>
      <c r="X1297" s="212"/>
    </row>
    <row r="1298" spans="1:24" ht="45" x14ac:dyDescent="0.8">
      <c r="A1298" s="35" t="s">
        <v>3503</v>
      </c>
      <c r="B1298" s="35"/>
      <c r="C1298" s="787"/>
      <c r="D1298" s="35"/>
      <c r="E1298" s="36"/>
      <c r="F1298" s="37"/>
      <c r="G1298" s="37"/>
      <c r="H1298" s="311" t="s">
        <v>4269</v>
      </c>
      <c r="I1298" s="214"/>
      <c r="J1298" s="40"/>
      <c r="K1298" s="41"/>
      <c r="L1298" s="41"/>
      <c r="M1298" s="42"/>
      <c r="N1298" s="43"/>
      <c r="O1298" s="44"/>
      <c r="P1298" s="44"/>
      <c r="Q1298" s="44"/>
      <c r="R1298" s="43"/>
      <c r="S1298" s="44"/>
      <c r="T1298" s="44"/>
      <c r="U1298" s="44"/>
      <c r="V1298" s="44"/>
      <c r="W1298" s="44"/>
      <c r="X1298" s="45"/>
    </row>
    <row r="1299" spans="1:24" ht="29" hidden="1" x14ac:dyDescent="0.35">
      <c r="A1299" s="46">
        <f>S7</f>
        <v>46153</v>
      </c>
      <c r="B1299" s="46"/>
      <c r="C1299" s="260"/>
      <c r="D1299" s="46"/>
      <c r="E1299" s="47" t="s">
        <v>4824</v>
      </c>
      <c r="F1299" s="57" t="s">
        <v>5974</v>
      </c>
      <c r="G1299" s="57"/>
      <c r="H1299" s="49">
        <v>7470</v>
      </c>
      <c r="I1299" s="82" t="s">
        <v>5975</v>
      </c>
      <c r="J1299" s="100"/>
      <c r="K1299" s="52">
        <v>0</v>
      </c>
      <c r="L1299" s="52">
        <v>0</v>
      </c>
      <c r="M1299" s="53">
        <v>45</v>
      </c>
      <c r="N1299" s="53">
        <v>15000</v>
      </c>
      <c r="O1299" s="53">
        <v>2</v>
      </c>
      <c r="P1299" s="53">
        <v>6000</v>
      </c>
      <c r="Q1299" s="53"/>
      <c r="R1299" s="53">
        <v>6000</v>
      </c>
      <c r="S1299" s="53">
        <f t="shared" ref="S1299:S1362" si="315">P1299-R1299</f>
        <v>0</v>
      </c>
      <c r="T1299" s="83">
        <f t="shared" ref="T1299:T1362" si="316">((3600/M1299)*O1299)*24</f>
        <v>3840</v>
      </c>
      <c r="U1299" s="84">
        <f t="shared" ref="U1299:U1360" si="317">(P1299-R1299)*M1299/3600</f>
        <v>0</v>
      </c>
      <c r="V1299" s="84">
        <f t="shared" ref="V1299:V1362" si="318">(P1299-R1299)*M1299/3600/24</f>
        <v>0</v>
      </c>
      <c r="W1299" s="84">
        <v>0</v>
      </c>
      <c r="X1299" s="55">
        <f t="shared" ref="X1299:X1362" si="319">A1299+K1299+L1299+V1299+W1299</f>
        <v>46153</v>
      </c>
    </row>
    <row r="1300" spans="1:24" ht="29" hidden="1" x14ac:dyDescent="0.35">
      <c r="A1300" s="46">
        <f t="shared" ref="A1300:A1363" si="320">X1299</f>
        <v>46153</v>
      </c>
      <c r="B1300" s="46"/>
      <c r="C1300" s="260"/>
      <c r="D1300" s="46"/>
      <c r="E1300" s="47" t="s">
        <v>4824</v>
      </c>
      <c r="F1300" s="57" t="s">
        <v>5818</v>
      </c>
      <c r="G1300" s="57"/>
      <c r="H1300" s="49" t="s">
        <v>5976</v>
      </c>
      <c r="I1300" s="82" t="s">
        <v>3438</v>
      </c>
      <c r="J1300" s="491"/>
      <c r="K1300" s="52">
        <v>0</v>
      </c>
      <c r="L1300" s="52">
        <v>0</v>
      </c>
      <c r="M1300" s="53">
        <v>60</v>
      </c>
      <c r="N1300" s="53">
        <v>2000</v>
      </c>
      <c r="O1300" s="53">
        <v>1</v>
      </c>
      <c r="P1300" s="53">
        <f>N1300/O1300</f>
        <v>2000</v>
      </c>
      <c r="Q1300" s="53"/>
      <c r="R1300" s="53">
        <v>2000</v>
      </c>
      <c r="S1300" s="53">
        <f t="shared" si="315"/>
        <v>0</v>
      </c>
      <c r="T1300" s="83">
        <f t="shared" si="316"/>
        <v>1440</v>
      </c>
      <c r="U1300" s="84">
        <f t="shared" si="317"/>
        <v>0</v>
      </c>
      <c r="V1300" s="84">
        <f t="shared" si="318"/>
        <v>0</v>
      </c>
      <c r="W1300" s="84">
        <v>0</v>
      </c>
      <c r="X1300" s="55">
        <f t="shared" si="319"/>
        <v>46153</v>
      </c>
    </row>
    <row r="1301" spans="1:24" ht="29" hidden="1" x14ac:dyDescent="0.35">
      <c r="A1301" s="46">
        <f t="shared" si="320"/>
        <v>46153</v>
      </c>
      <c r="B1301" s="46"/>
      <c r="C1301" s="260"/>
      <c r="D1301" s="46"/>
      <c r="E1301" s="47" t="s">
        <v>4824</v>
      </c>
      <c r="F1301" s="57" t="s">
        <v>5821</v>
      </c>
      <c r="G1301" s="57"/>
      <c r="H1301" s="49" t="s">
        <v>5976</v>
      </c>
      <c r="I1301" s="82" t="s">
        <v>3438</v>
      </c>
      <c r="J1301" s="491"/>
      <c r="K1301" s="52">
        <v>0</v>
      </c>
      <c r="L1301" s="52">
        <v>0</v>
      </c>
      <c r="M1301" s="53">
        <v>60</v>
      </c>
      <c r="N1301" s="53">
        <v>2500</v>
      </c>
      <c r="O1301" s="53">
        <v>1</v>
      </c>
      <c r="P1301" s="53">
        <f>N1301/O1301</f>
        <v>2500</v>
      </c>
      <c r="Q1301" s="53"/>
      <c r="R1301" s="53">
        <v>2500</v>
      </c>
      <c r="S1301" s="53">
        <f t="shared" si="315"/>
        <v>0</v>
      </c>
      <c r="T1301" s="83">
        <f t="shared" si="316"/>
        <v>1440</v>
      </c>
      <c r="U1301" s="84">
        <f t="shared" si="317"/>
        <v>0</v>
      </c>
      <c r="V1301" s="84">
        <f t="shared" si="318"/>
        <v>0</v>
      </c>
      <c r="W1301" s="84">
        <v>0</v>
      </c>
      <c r="X1301" s="55">
        <f t="shared" si="319"/>
        <v>46153</v>
      </c>
    </row>
    <row r="1302" spans="1:24" ht="29" hidden="1" x14ac:dyDescent="0.35">
      <c r="A1302" s="46">
        <f t="shared" si="320"/>
        <v>46153</v>
      </c>
      <c r="B1302" s="46"/>
      <c r="C1302" s="260"/>
      <c r="D1302" s="46"/>
      <c r="E1302" s="47" t="s">
        <v>3435</v>
      </c>
      <c r="F1302" s="48" t="s">
        <v>5822</v>
      </c>
      <c r="G1302" s="48"/>
      <c r="H1302" s="49" t="s">
        <v>5976</v>
      </c>
      <c r="I1302" s="82" t="s">
        <v>3438</v>
      </c>
      <c r="J1302" s="491"/>
      <c r="K1302" s="52">
        <v>0</v>
      </c>
      <c r="L1302" s="52">
        <v>0</v>
      </c>
      <c r="M1302" s="53">
        <v>50</v>
      </c>
      <c r="N1302" s="53">
        <v>1799</v>
      </c>
      <c r="O1302" s="53">
        <v>1</v>
      </c>
      <c r="P1302" s="53">
        <f>N1302/O1302</f>
        <v>1799</v>
      </c>
      <c r="Q1302" s="53"/>
      <c r="R1302" s="53">
        <f>-2500+4299</f>
        <v>1799</v>
      </c>
      <c r="S1302" s="53">
        <f t="shared" si="315"/>
        <v>0</v>
      </c>
      <c r="T1302" s="83">
        <f t="shared" si="316"/>
        <v>1728</v>
      </c>
      <c r="U1302" s="84">
        <f t="shared" si="317"/>
        <v>0</v>
      </c>
      <c r="V1302" s="84">
        <f t="shared" si="318"/>
        <v>0</v>
      </c>
      <c r="W1302" s="84">
        <v>0</v>
      </c>
      <c r="X1302" s="55">
        <f t="shared" si="319"/>
        <v>46153</v>
      </c>
    </row>
    <row r="1303" spans="1:24" ht="29" hidden="1" x14ac:dyDescent="0.35">
      <c r="A1303" s="46">
        <f t="shared" si="320"/>
        <v>46153</v>
      </c>
      <c r="B1303" s="46"/>
      <c r="C1303" s="260"/>
      <c r="D1303" s="46"/>
      <c r="E1303" s="47" t="s">
        <v>3435</v>
      </c>
      <c r="F1303" s="48" t="s">
        <v>5822</v>
      </c>
      <c r="G1303" s="48"/>
      <c r="H1303" s="49" t="s">
        <v>5976</v>
      </c>
      <c r="I1303" s="82" t="s">
        <v>3438</v>
      </c>
      <c r="J1303" s="491"/>
      <c r="K1303" s="52">
        <v>0</v>
      </c>
      <c r="L1303" s="52">
        <v>0</v>
      </c>
      <c r="M1303" s="53">
        <v>50</v>
      </c>
      <c r="N1303" s="53">
        <v>1300</v>
      </c>
      <c r="O1303" s="53">
        <v>1</v>
      </c>
      <c r="P1303" s="53">
        <f>N1303/O1303</f>
        <v>1300</v>
      </c>
      <c r="Q1303" s="53"/>
      <c r="R1303" s="53">
        <v>1300</v>
      </c>
      <c r="S1303" s="53">
        <f t="shared" si="315"/>
        <v>0</v>
      </c>
      <c r="T1303" s="83">
        <f t="shared" si="316"/>
        <v>1728</v>
      </c>
      <c r="U1303" s="84">
        <f t="shared" si="317"/>
        <v>0</v>
      </c>
      <c r="V1303" s="84">
        <f t="shared" si="318"/>
        <v>0</v>
      </c>
      <c r="W1303" s="84">
        <v>0</v>
      </c>
      <c r="X1303" s="55">
        <f t="shared" si="319"/>
        <v>46153</v>
      </c>
    </row>
    <row r="1304" spans="1:24" ht="29" hidden="1" x14ac:dyDescent="0.35">
      <c r="A1304" s="46">
        <f t="shared" si="320"/>
        <v>46153</v>
      </c>
      <c r="B1304" s="46"/>
      <c r="C1304" s="260"/>
      <c r="D1304" s="46"/>
      <c r="E1304" s="47" t="s">
        <v>3435</v>
      </c>
      <c r="F1304" s="48" t="s">
        <v>3436</v>
      </c>
      <c r="G1304" s="48"/>
      <c r="H1304" s="49" t="s">
        <v>3437</v>
      </c>
      <c r="I1304" s="82" t="s">
        <v>3438</v>
      </c>
      <c r="J1304" s="491"/>
      <c r="K1304" s="52">
        <v>0</v>
      </c>
      <c r="L1304" s="52">
        <v>0</v>
      </c>
      <c r="M1304" s="53">
        <v>50</v>
      </c>
      <c r="N1304" s="53">
        <v>5100</v>
      </c>
      <c r="O1304" s="53">
        <v>1</v>
      </c>
      <c r="P1304" s="53">
        <v>3323</v>
      </c>
      <c r="Q1304" s="53"/>
      <c r="R1304" s="53">
        <v>3323</v>
      </c>
      <c r="S1304" s="53">
        <f t="shared" si="315"/>
        <v>0</v>
      </c>
      <c r="T1304" s="83">
        <f t="shared" si="316"/>
        <v>1728</v>
      </c>
      <c r="U1304" s="84">
        <f t="shared" si="317"/>
        <v>0</v>
      </c>
      <c r="V1304" s="84">
        <f t="shared" si="318"/>
        <v>0</v>
      </c>
      <c r="W1304" s="84">
        <v>0</v>
      </c>
      <c r="X1304" s="55">
        <f t="shared" si="319"/>
        <v>46153</v>
      </c>
    </row>
    <row r="1305" spans="1:24" hidden="1" x14ac:dyDescent="0.35">
      <c r="A1305" s="46">
        <f t="shared" si="320"/>
        <v>46153</v>
      </c>
      <c r="B1305" s="46"/>
      <c r="C1305" s="260"/>
      <c r="D1305" s="46"/>
      <c r="E1305" s="47"/>
      <c r="F1305" s="57" t="s">
        <v>2703</v>
      </c>
      <c r="G1305" s="57"/>
      <c r="H1305" s="49" t="s">
        <v>5977</v>
      </c>
      <c r="I1305" s="82" t="s">
        <v>5978</v>
      </c>
      <c r="J1305" s="100"/>
      <c r="K1305" s="52">
        <v>0</v>
      </c>
      <c r="L1305" s="52">
        <v>0</v>
      </c>
      <c r="M1305" s="53">
        <v>85</v>
      </c>
      <c r="N1305" s="53">
        <v>6000</v>
      </c>
      <c r="O1305" s="53">
        <v>2</v>
      </c>
      <c r="P1305" s="53">
        <v>3238</v>
      </c>
      <c r="Q1305" s="53"/>
      <c r="R1305" s="83">
        <v>3238</v>
      </c>
      <c r="S1305" s="53">
        <f t="shared" si="315"/>
        <v>0</v>
      </c>
      <c r="T1305" s="83">
        <f t="shared" si="316"/>
        <v>2032.9411764705883</v>
      </c>
      <c r="U1305" s="84">
        <f t="shared" si="317"/>
        <v>0</v>
      </c>
      <c r="V1305" s="84">
        <f t="shared" si="318"/>
        <v>0</v>
      </c>
      <c r="W1305" s="84">
        <v>0</v>
      </c>
      <c r="X1305" s="55">
        <f t="shared" si="319"/>
        <v>46153</v>
      </c>
    </row>
    <row r="1306" spans="1:24" hidden="1" x14ac:dyDescent="0.35">
      <c r="A1306" s="46">
        <f t="shared" si="320"/>
        <v>46153</v>
      </c>
      <c r="B1306" s="46"/>
      <c r="C1306" s="260"/>
      <c r="D1306" s="46"/>
      <c r="E1306" s="47" t="s">
        <v>3435</v>
      </c>
      <c r="F1306" s="48" t="s">
        <v>5979</v>
      </c>
      <c r="G1306" s="48"/>
      <c r="H1306" s="49" t="s">
        <v>5980</v>
      </c>
      <c r="I1306" s="82" t="s">
        <v>4789</v>
      </c>
      <c r="J1306" s="491"/>
      <c r="K1306" s="52">
        <v>0</v>
      </c>
      <c r="L1306" s="52">
        <v>0</v>
      </c>
      <c r="M1306" s="53">
        <v>45</v>
      </c>
      <c r="N1306" s="53">
        <v>3200</v>
      </c>
      <c r="O1306" s="53">
        <v>1</v>
      </c>
      <c r="P1306" s="53">
        <f>N1306/O1306</f>
        <v>3200</v>
      </c>
      <c r="Q1306" s="53"/>
      <c r="R1306" s="53">
        <v>3200</v>
      </c>
      <c r="S1306" s="53">
        <f t="shared" si="315"/>
        <v>0</v>
      </c>
      <c r="T1306" s="83">
        <f t="shared" si="316"/>
        <v>1920</v>
      </c>
      <c r="U1306" s="84">
        <f t="shared" si="317"/>
        <v>0</v>
      </c>
      <c r="V1306" s="84">
        <f t="shared" si="318"/>
        <v>0</v>
      </c>
      <c r="W1306" s="84">
        <v>0</v>
      </c>
      <c r="X1306" s="55">
        <f t="shared" si="319"/>
        <v>46153</v>
      </c>
    </row>
    <row r="1307" spans="1:24" hidden="1" x14ac:dyDescent="0.35">
      <c r="A1307" s="46">
        <f t="shared" si="320"/>
        <v>46153</v>
      </c>
      <c r="B1307" s="46"/>
      <c r="C1307" s="260"/>
      <c r="D1307" s="46"/>
      <c r="E1307" s="47" t="s">
        <v>3435</v>
      </c>
      <c r="F1307" s="56" t="s">
        <v>5981</v>
      </c>
      <c r="G1307" s="56"/>
      <c r="H1307" s="49" t="s">
        <v>5980</v>
      </c>
      <c r="I1307" s="82" t="s">
        <v>4789</v>
      </c>
      <c r="J1307" s="491"/>
      <c r="K1307" s="52">
        <v>0</v>
      </c>
      <c r="L1307" s="52">
        <v>0</v>
      </c>
      <c r="M1307" s="53">
        <v>45</v>
      </c>
      <c r="N1307" s="53">
        <v>500</v>
      </c>
      <c r="O1307" s="53">
        <v>1</v>
      </c>
      <c r="P1307" s="53">
        <v>781</v>
      </c>
      <c r="Q1307" s="53"/>
      <c r="R1307" s="53">
        <f>-3200+3981</f>
        <v>781</v>
      </c>
      <c r="S1307" s="53">
        <f t="shared" si="315"/>
        <v>0</v>
      </c>
      <c r="T1307" s="83">
        <f t="shared" si="316"/>
        <v>1920</v>
      </c>
      <c r="U1307" s="84">
        <f t="shared" si="317"/>
        <v>0</v>
      </c>
      <c r="V1307" s="84">
        <f t="shared" si="318"/>
        <v>0</v>
      </c>
      <c r="W1307" s="84">
        <v>0</v>
      </c>
      <c r="X1307" s="55">
        <f t="shared" si="319"/>
        <v>46153</v>
      </c>
    </row>
    <row r="1308" spans="1:24" ht="29" hidden="1" x14ac:dyDescent="0.35">
      <c r="A1308" s="46">
        <f t="shared" si="320"/>
        <v>46153</v>
      </c>
      <c r="B1308" s="46"/>
      <c r="C1308" s="260"/>
      <c r="D1308" s="46"/>
      <c r="E1308" s="47"/>
      <c r="F1308" s="56" t="s">
        <v>5982</v>
      </c>
      <c r="G1308" s="56"/>
      <c r="H1308" s="49" t="s">
        <v>5983</v>
      </c>
      <c r="I1308" s="82" t="s">
        <v>4394</v>
      </c>
      <c r="J1308" s="491"/>
      <c r="K1308" s="52">
        <v>0</v>
      </c>
      <c r="L1308" s="52">
        <v>0</v>
      </c>
      <c r="M1308" s="53">
        <v>110</v>
      </c>
      <c r="N1308" s="53">
        <v>6000</v>
      </c>
      <c r="O1308" s="53">
        <v>2</v>
      </c>
      <c r="P1308" s="53">
        <v>3142</v>
      </c>
      <c r="Q1308" s="53"/>
      <c r="R1308" s="53">
        <f>3020+122</f>
        <v>3142</v>
      </c>
      <c r="S1308" s="53">
        <f t="shared" si="315"/>
        <v>0</v>
      </c>
      <c r="T1308" s="83">
        <f t="shared" si="316"/>
        <v>1570.909090909091</v>
      </c>
      <c r="U1308" s="84">
        <f t="shared" si="317"/>
        <v>0</v>
      </c>
      <c r="V1308" s="84">
        <f t="shared" si="318"/>
        <v>0</v>
      </c>
      <c r="W1308" s="84">
        <v>0</v>
      </c>
      <c r="X1308" s="55">
        <f t="shared" si="319"/>
        <v>46153</v>
      </c>
    </row>
    <row r="1309" spans="1:24" ht="29" hidden="1" x14ac:dyDescent="0.35">
      <c r="A1309" s="46">
        <f t="shared" si="320"/>
        <v>46153</v>
      </c>
      <c r="B1309" s="46"/>
      <c r="C1309" s="260"/>
      <c r="D1309" s="46"/>
      <c r="E1309" s="47" t="s">
        <v>3435</v>
      </c>
      <c r="F1309" s="57" t="s">
        <v>948</v>
      </c>
      <c r="G1309" s="57"/>
      <c r="H1309" s="49" t="s">
        <v>5984</v>
      </c>
      <c r="I1309" s="99" t="s">
        <v>5985</v>
      </c>
      <c r="J1309" s="100"/>
      <c r="K1309" s="52">
        <v>0</v>
      </c>
      <c r="L1309" s="52">
        <v>0</v>
      </c>
      <c r="M1309" s="53">
        <v>40</v>
      </c>
      <c r="N1309" s="53">
        <v>9660</v>
      </c>
      <c r="O1309" s="53">
        <v>1</v>
      </c>
      <c r="P1309" s="53">
        <f>N1309/O1309</f>
        <v>9660</v>
      </c>
      <c r="Q1309" s="53"/>
      <c r="R1309" s="53">
        <v>9660</v>
      </c>
      <c r="S1309" s="53">
        <f t="shared" si="315"/>
        <v>0</v>
      </c>
      <c r="T1309" s="83">
        <f t="shared" si="316"/>
        <v>2160</v>
      </c>
      <c r="U1309" s="84">
        <f t="shared" si="317"/>
        <v>0</v>
      </c>
      <c r="V1309" s="84">
        <f t="shared" si="318"/>
        <v>0</v>
      </c>
      <c r="W1309" s="84">
        <v>0</v>
      </c>
      <c r="X1309" s="55">
        <f t="shared" si="319"/>
        <v>46153</v>
      </c>
    </row>
    <row r="1310" spans="1:24" ht="29" hidden="1" x14ac:dyDescent="0.35">
      <c r="A1310" s="46">
        <f t="shared" si="320"/>
        <v>46153</v>
      </c>
      <c r="B1310" s="46"/>
      <c r="C1310" s="260"/>
      <c r="D1310" s="46"/>
      <c r="E1310" s="47" t="s">
        <v>3435</v>
      </c>
      <c r="F1310" s="57" t="s">
        <v>5986</v>
      </c>
      <c r="G1310" s="57"/>
      <c r="H1310" s="49" t="s">
        <v>5987</v>
      </c>
      <c r="I1310" s="99" t="s">
        <v>4814</v>
      </c>
      <c r="J1310" s="100"/>
      <c r="K1310" s="52">
        <v>0</v>
      </c>
      <c r="L1310" s="52">
        <v>0</v>
      </c>
      <c r="M1310" s="53">
        <v>40</v>
      </c>
      <c r="N1310" s="53">
        <v>11600</v>
      </c>
      <c r="O1310" s="53">
        <v>1</v>
      </c>
      <c r="P1310" s="53">
        <v>5910</v>
      </c>
      <c r="Q1310" s="53"/>
      <c r="R1310" s="53">
        <v>5910</v>
      </c>
      <c r="S1310" s="53">
        <f t="shared" si="315"/>
        <v>0</v>
      </c>
      <c r="T1310" s="83">
        <f t="shared" si="316"/>
        <v>2160</v>
      </c>
      <c r="U1310" s="84">
        <f t="shared" si="317"/>
        <v>0</v>
      </c>
      <c r="V1310" s="84">
        <f t="shared" si="318"/>
        <v>0</v>
      </c>
      <c r="W1310" s="84">
        <v>0</v>
      </c>
      <c r="X1310" s="55">
        <f t="shared" si="319"/>
        <v>46153</v>
      </c>
    </row>
    <row r="1311" spans="1:24" hidden="1" x14ac:dyDescent="0.35">
      <c r="A1311" s="46">
        <f t="shared" si="320"/>
        <v>46153</v>
      </c>
      <c r="B1311" s="46"/>
      <c r="C1311" s="260"/>
      <c r="D1311" s="46"/>
      <c r="E1311" s="857" t="s">
        <v>4384</v>
      </c>
      <c r="F1311" s="62" t="s">
        <v>14</v>
      </c>
      <c r="G1311" s="62"/>
      <c r="H1311" s="49" t="s">
        <v>1362</v>
      </c>
      <c r="I1311" s="71" t="s">
        <v>5988</v>
      </c>
      <c r="J1311" s="100"/>
      <c r="K1311" s="52">
        <v>0</v>
      </c>
      <c r="L1311" s="52">
        <v>0</v>
      </c>
      <c r="M1311" s="53">
        <v>42</v>
      </c>
      <c r="N1311" s="53">
        <v>20</v>
      </c>
      <c r="O1311" s="53">
        <v>4</v>
      </c>
      <c r="P1311" s="53">
        <f>N1311/O1311</f>
        <v>5</v>
      </c>
      <c r="Q1311" s="53"/>
      <c r="R1311" s="53">
        <v>5</v>
      </c>
      <c r="S1311" s="53">
        <f t="shared" si="315"/>
        <v>0</v>
      </c>
      <c r="T1311" s="83">
        <f t="shared" si="316"/>
        <v>8228.5714285714275</v>
      </c>
      <c r="U1311" s="84">
        <f t="shared" si="317"/>
        <v>0</v>
      </c>
      <c r="V1311" s="84">
        <f t="shared" si="318"/>
        <v>0</v>
      </c>
      <c r="W1311" s="84">
        <v>0</v>
      </c>
      <c r="X1311" s="55">
        <f t="shared" si="319"/>
        <v>46153</v>
      </c>
    </row>
    <row r="1312" spans="1:24" ht="43.5" hidden="1" x14ac:dyDescent="0.35">
      <c r="A1312" s="46">
        <f t="shared" si="320"/>
        <v>46153</v>
      </c>
      <c r="B1312" s="46"/>
      <c r="C1312" s="260"/>
      <c r="D1312" s="46"/>
      <c r="E1312" s="857" t="s">
        <v>4384</v>
      </c>
      <c r="F1312" s="62" t="s">
        <v>4836</v>
      </c>
      <c r="G1312" s="62"/>
      <c r="H1312" s="49" t="s">
        <v>5989</v>
      </c>
      <c r="I1312" s="71" t="s">
        <v>5988</v>
      </c>
      <c r="J1312" s="100" t="s">
        <v>140</v>
      </c>
      <c r="K1312" s="52">
        <v>0</v>
      </c>
      <c r="L1312" s="52">
        <v>0</v>
      </c>
      <c r="M1312" s="53">
        <v>42</v>
      </c>
      <c r="N1312" s="53">
        <v>10000</v>
      </c>
      <c r="O1312" s="53">
        <v>4</v>
      </c>
      <c r="P1312" s="53">
        <f>N1312/O1312</f>
        <v>2500</v>
      </c>
      <c r="Q1312" s="53"/>
      <c r="R1312" s="53">
        <v>2500</v>
      </c>
      <c r="S1312" s="53">
        <f t="shared" si="315"/>
        <v>0</v>
      </c>
      <c r="T1312" s="83">
        <f t="shared" si="316"/>
        <v>8228.5714285714275</v>
      </c>
      <c r="U1312" s="84">
        <f t="shared" si="317"/>
        <v>0</v>
      </c>
      <c r="V1312" s="84">
        <f t="shared" si="318"/>
        <v>0</v>
      </c>
      <c r="W1312" s="84">
        <v>0</v>
      </c>
      <c r="X1312" s="55">
        <f t="shared" si="319"/>
        <v>46153</v>
      </c>
    </row>
    <row r="1313" spans="1:24" ht="39.5" hidden="1" x14ac:dyDescent="0.35">
      <c r="A1313" s="46">
        <f t="shared" si="320"/>
        <v>46153</v>
      </c>
      <c r="B1313" s="46"/>
      <c r="C1313" s="260"/>
      <c r="D1313" s="46"/>
      <c r="E1313" s="47" t="s">
        <v>4384</v>
      </c>
      <c r="F1313" s="62" t="s">
        <v>14</v>
      </c>
      <c r="G1313" s="62"/>
      <c r="H1313" s="49" t="s">
        <v>14</v>
      </c>
      <c r="I1313" s="69" t="s">
        <v>5990</v>
      </c>
      <c r="J1313" s="100" t="s">
        <v>140</v>
      </c>
      <c r="K1313" s="52">
        <v>0</v>
      </c>
      <c r="L1313" s="52">
        <v>0</v>
      </c>
      <c r="M1313" s="53">
        <v>98</v>
      </c>
      <c r="N1313" s="53">
        <v>20</v>
      </c>
      <c r="O1313" s="53">
        <v>1</v>
      </c>
      <c r="P1313" s="53">
        <f>N1313/O1313</f>
        <v>20</v>
      </c>
      <c r="Q1313" s="53"/>
      <c r="R1313" s="53">
        <v>20</v>
      </c>
      <c r="S1313" s="53">
        <f t="shared" si="315"/>
        <v>0</v>
      </c>
      <c r="T1313" s="83">
        <f t="shared" si="316"/>
        <v>881.63265306122457</v>
      </c>
      <c r="U1313" s="84">
        <f t="shared" si="317"/>
        <v>0</v>
      </c>
      <c r="V1313" s="84">
        <f t="shared" si="318"/>
        <v>0</v>
      </c>
      <c r="W1313" s="84">
        <v>0</v>
      </c>
      <c r="X1313" s="55">
        <f t="shared" si="319"/>
        <v>46153</v>
      </c>
    </row>
    <row r="1314" spans="1:24" ht="39.5" hidden="1" x14ac:dyDescent="0.35">
      <c r="A1314" s="46">
        <f t="shared" si="320"/>
        <v>46153</v>
      </c>
      <c r="B1314" s="46"/>
      <c r="C1314" s="260"/>
      <c r="D1314" s="46"/>
      <c r="E1314" s="47" t="s">
        <v>4384</v>
      </c>
      <c r="F1314" s="62" t="s">
        <v>900</v>
      </c>
      <c r="G1314" s="62"/>
      <c r="H1314" s="49" t="s">
        <v>5991</v>
      </c>
      <c r="I1314" s="69" t="s">
        <v>5990</v>
      </c>
      <c r="J1314" s="100" t="s">
        <v>140</v>
      </c>
      <c r="K1314" s="52">
        <v>0</v>
      </c>
      <c r="L1314" s="52">
        <v>0</v>
      </c>
      <c r="M1314" s="53">
        <v>98</v>
      </c>
      <c r="N1314" s="53">
        <v>2500</v>
      </c>
      <c r="O1314" s="53">
        <v>1</v>
      </c>
      <c r="P1314" s="53">
        <f>N1314/O1314</f>
        <v>2500</v>
      </c>
      <c r="Q1314" s="53"/>
      <c r="R1314" s="53">
        <v>2500</v>
      </c>
      <c r="S1314" s="53">
        <f t="shared" si="315"/>
        <v>0</v>
      </c>
      <c r="T1314" s="83">
        <f t="shared" si="316"/>
        <v>881.63265306122457</v>
      </c>
      <c r="U1314" s="84">
        <f t="shared" si="317"/>
        <v>0</v>
      </c>
      <c r="V1314" s="84">
        <f t="shared" si="318"/>
        <v>0</v>
      </c>
      <c r="W1314" s="84">
        <v>0</v>
      </c>
      <c r="X1314" s="55">
        <f t="shared" si="319"/>
        <v>46153</v>
      </c>
    </row>
    <row r="1315" spans="1:24" ht="29" hidden="1" x14ac:dyDescent="0.35">
      <c r="A1315" s="46">
        <f t="shared" si="320"/>
        <v>46153</v>
      </c>
      <c r="B1315" s="46"/>
      <c r="C1315" s="260"/>
      <c r="D1315" s="46"/>
      <c r="E1315" s="47" t="s">
        <v>4384</v>
      </c>
      <c r="F1315" s="48" t="s">
        <v>5992</v>
      </c>
      <c r="G1315" s="48"/>
      <c r="H1315" s="49" t="s">
        <v>5993</v>
      </c>
      <c r="I1315" s="82" t="s">
        <v>5994</v>
      </c>
      <c r="J1315" s="100" t="s">
        <v>140</v>
      </c>
      <c r="K1315" s="52">
        <v>0</v>
      </c>
      <c r="L1315" s="52">
        <v>0.2</v>
      </c>
      <c r="M1315" s="53">
        <v>50</v>
      </c>
      <c r="N1315" s="53">
        <v>4679</v>
      </c>
      <c r="O1315" s="53">
        <v>1</v>
      </c>
      <c r="P1315" s="53">
        <f>N1315/O1315</f>
        <v>4679</v>
      </c>
      <c r="Q1315" s="53"/>
      <c r="R1315" s="53">
        <v>4679</v>
      </c>
      <c r="S1315" s="53">
        <f t="shared" si="315"/>
        <v>0</v>
      </c>
      <c r="T1315" s="83">
        <f t="shared" si="316"/>
        <v>1728</v>
      </c>
      <c r="U1315" s="84">
        <f t="shared" si="317"/>
        <v>0</v>
      </c>
      <c r="V1315" s="84">
        <f t="shared" si="318"/>
        <v>0</v>
      </c>
      <c r="W1315" s="84">
        <v>0</v>
      </c>
      <c r="X1315" s="55">
        <f t="shared" si="319"/>
        <v>46153.2</v>
      </c>
    </row>
    <row r="1316" spans="1:24" hidden="1" x14ac:dyDescent="0.35">
      <c r="A1316" s="46">
        <f t="shared" si="320"/>
        <v>46153.2</v>
      </c>
      <c r="B1316" s="46"/>
      <c r="C1316" s="260"/>
      <c r="D1316" s="46"/>
      <c r="E1316" s="47" t="e">
        <f>[5]PIMMS!A1280</f>
        <v>#REF!</v>
      </c>
      <c r="F1316" s="48" t="s">
        <v>5995</v>
      </c>
      <c r="G1316" s="48"/>
      <c r="H1316" s="59" t="s">
        <v>5996</v>
      </c>
      <c r="I1316" s="71" t="s">
        <v>5997</v>
      </c>
      <c r="J1316" s="100" t="s">
        <v>140</v>
      </c>
      <c r="K1316" s="52">
        <v>0</v>
      </c>
      <c r="L1316" s="52">
        <v>0</v>
      </c>
      <c r="M1316" s="53">
        <v>45</v>
      </c>
      <c r="N1316" s="53">
        <v>140000</v>
      </c>
      <c r="O1316" s="53">
        <v>8</v>
      </c>
      <c r="P1316" s="53">
        <v>9490</v>
      </c>
      <c r="Q1316" s="53"/>
      <c r="R1316" s="53">
        <v>9490</v>
      </c>
      <c r="S1316" s="53">
        <f t="shared" si="315"/>
        <v>0</v>
      </c>
      <c r="T1316" s="83">
        <f t="shared" si="316"/>
        <v>15360</v>
      </c>
      <c r="U1316" s="84">
        <f t="shared" si="317"/>
        <v>0</v>
      </c>
      <c r="V1316" s="84">
        <f t="shared" si="318"/>
        <v>0</v>
      </c>
      <c r="W1316" s="84">
        <v>0</v>
      </c>
      <c r="X1316" s="55">
        <f t="shared" si="319"/>
        <v>46153.2</v>
      </c>
    </row>
    <row r="1317" spans="1:24" hidden="1" x14ac:dyDescent="0.35">
      <c r="A1317" s="46">
        <f t="shared" si="320"/>
        <v>46153.2</v>
      </c>
      <c r="B1317" s="46"/>
      <c r="C1317" s="260"/>
      <c r="D1317" s="46"/>
      <c r="E1317" s="47" t="e">
        <f>[5]PIMMS!A1280</f>
        <v>#REF!</v>
      </c>
      <c r="F1317" s="48" t="s">
        <v>5998</v>
      </c>
      <c r="G1317" s="48"/>
      <c r="H1317" s="59" t="s">
        <v>5999</v>
      </c>
      <c r="I1317" s="71" t="s">
        <v>5997</v>
      </c>
      <c r="J1317" s="100" t="s">
        <v>140</v>
      </c>
      <c r="K1317" s="52">
        <v>0</v>
      </c>
      <c r="L1317" s="52">
        <v>0</v>
      </c>
      <c r="M1317" s="53">
        <v>45</v>
      </c>
      <c r="N1317" s="53">
        <v>80000</v>
      </c>
      <c r="O1317" s="53">
        <v>8</v>
      </c>
      <c r="P1317" s="53">
        <f t="shared" ref="P1317:P1322" si="321">N1317/O1317</f>
        <v>10000</v>
      </c>
      <c r="Q1317" s="53"/>
      <c r="R1317" s="53">
        <v>10000</v>
      </c>
      <c r="S1317" s="53">
        <f t="shared" si="315"/>
        <v>0</v>
      </c>
      <c r="T1317" s="83">
        <f t="shared" si="316"/>
        <v>15360</v>
      </c>
      <c r="U1317" s="84">
        <f t="shared" si="317"/>
        <v>0</v>
      </c>
      <c r="V1317" s="84">
        <f t="shared" si="318"/>
        <v>0</v>
      </c>
      <c r="W1317" s="84">
        <v>0</v>
      </c>
      <c r="X1317" s="55">
        <f t="shared" si="319"/>
        <v>46153.2</v>
      </c>
    </row>
    <row r="1318" spans="1:24" ht="26.5" hidden="1" x14ac:dyDescent="0.35">
      <c r="A1318" s="46">
        <f t="shared" si="320"/>
        <v>46153.2</v>
      </c>
      <c r="B1318" s="46"/>
      <c r="C1318" s="260"/>
      <c r="D1318" s="46"/>
      <c r="E1318" s="47" t="s">
        <v>4384</v>
      </c>
      <c r="F1318" s="48" t="s">
        <v>6000</v>
      </c>
      <c r="G1318" s="48"/>
      <c r="H1318" s="59" t="s">
        <v>6001</v>
      </c>
      <c r="I1318" s="106" t="s">
        <v>6002</v>
      </c>
      <c r="J1318" s="100" t="s">
        <v>140</v>
      </c>
      <c r="K1318" s="52">
        <v>0</v>
      </c>
      <c r="L1318" s="52">
        <v>0</v>
      </c>
      <c r="M1318" s="53">
        <v>45</v>
      </c>
      <c r="N1318" s="53">
        <v>2000</v>
      </c>
      <c r="O1318" s="53">
        <v>1</v>
      </c>
      <c r="P1318" s="53">
        <f t="shared" si="321"/>
        <v>2000</v>
      </c>
      <c r="Q1318" s="53"/>
      <c r="R1318" s="53">
        <v>2000</v>
      </c>
      <c r="S1318" s="53">
        <f t="shared" si="315"/>
        <v>0</v>
      </c>
      <c r="T1318" s="83">
        <f t="shared" si="316"/>
        <v>1920</v>
      </c>
      <c r="U1318" s="84">
        <f t="shared" si="317"/>
        <v>0</v>
      </c>
      <c r="V1318" s="84">
        <f t="shared" si="318"/>
        <v>0</v>
      </c>
      <c r="W1318" s="84">
        <v>0</v>
      </c>
      <c r="X1318" s="55">
        <f t="shared" si="319"/>
        <v>46153.2</v>
      </c>
    </row>
    <row r="1319" spans="1:24" ht="29" hidden="1" x14ac:dyDescent="0.35">
      <c r="A1319" s="46">
        <f t="shared" si="320"/>
        <v>46153.2</v>
      </c>
      <c r="B1319" s="46"/>
      <c r="C1319" s="260"/>
      <c r="D1319" s="46"/>
      <c r="E1319" s="47" t="s">
        <v>1684</v>
      </c>
      <c r="F1319" s="48" t="s">
        <v>4625</v>
      </c>
      <c r="G1319" s="48"/>
      <c r="H1319" s="49" t="s">
        <v>6003</v>
      </c>
      <c r="I1319" s="99" t="s">
        <v>3473</v>
      </c>
      <c r="J1319" s="100" t="s">
        <v>140</v>
      </c>
      <c r="K1319" s="52">
        <v>0</v>
      </c>
      <c r="L1319" s="52">
        <v>0</v>
      </c>
      <c r="M1319" s="53">
        <v>40</v>
      </c>
      <c r="N1319" s="53">
        <v>8000</v>
      </c>
      <c r="O1319" s="53">
        <v>8</v>
      </c>
      <c r="P1319" s="53">
        <f t="shared" si="321"/>
        <v>1000</v>
      </c>
      <c r="Q1319" s="53"/>
      <c r="R1319" s="83">
        <v>1000</v>
      </c>
      <c r="S1319" s="53">
        <f t="shared" si="315"/>
        <v>0</v>
      </c>
      <c r="T1319" s="83">
        <f t="shared" si="316"/>
        <v>17280</v>
      </c>
      <c r="U1319" s="84">
        <f t="shared" si="317"/>
        <v>0</v>
      </c>
      <c r="V1319" s="84">
        <f t="shared" si="318"/>
        <v>0</v>
      </c>
      <c r="W1319" s="84">
        <v>0</v>
      </c>
      <c r="X1319" s="55">
        <f t="shared" si="319"/>
        <v>46153.2</v>
      </c>
    </row>
    <row r="1320" spans="1:24" ht="29" hidden="1" x14ac:dyDescent="0.35">
      <c r="A1320" s="46">
        <f t="shared" si="320"/>
        <v>46153.2</v>
      </c>
      <c r="B1320" s="46"/>
      <c r="C1320" s="260"/>
      <c r="D1320" s="46"/>
      <c r="E1320" s="47" t="s">
        <v>4384</v>
      </c>
      <c r="F1320" s="48" t="s">
        <v>177</v>
      </c>
      <c r="G1320" s="48"/>
      <c r="H1320" s="59" t="s">
        <v>6004</v>
      </c>
      <c r="I1320" s="82" t="s">
        <v>3528</v>
      </c>
      <c r="J1320" s="100" t="s">
        <v>140</v>
      </c>
      <c r="K1320" s="52">
        <v>0</v>
      </c>
      <c r="L1320" s="52">
        <v>0</v>
      </c>
      <c r="M1320" s="53">
        <v>45</v>
      </c>
      <c r="N1320" s="53">
        <v>5000</v>
      </c>
      <c r="O1320" s="53">
        <v>1</v>
      </c>
      <c r="P1320" s="53">
        <f t="shared" si="321"/>
        <v>5000</v>
      </c>
      <c r="Q1320" s="53"/>
      <c r="R1320" s="53">
        <v>5000</v>
      </c>
      <c r="S1320" s="53">
        <f t="shared" si="315"/>
        <v>0</v>
      </c>
      <c r="T1320" s="83">
        <f t="shared" si="316"/>
        <v>1920</v>
      </c>
      <c r="U1320" s="84">
        <f t="shared" si="317"/>
        <v>0</v>
      </c>
      <c r="V1320" s="84">
        <f t="shared" si="318"/>
        <v>0</v>
      </c>
      <c r="W1320" s="84">
        <v>0</v>
      </c>
      <c r="X1320" s="55">
        <f t="shared" si="319"/>
        <v>46153.2</v>
      </c>
    </row>
    <row r="1321" spans="1:24" ht="29" hidden="1" x14ac:dyDescent="0.35">
      <c r="A1321" s="46">
        <f t="shared" si="320"/>
        <v>46153.2</v>
      </c>
      <c r="B1321" s="46"/>
      <c r="C1321" s="260"/>
      <c r="D1321" s="46"/>
      <c r="E1321" s="47" t="s">
        <v>4384</v>
      </c>
      <c r="F1321" s="62" t="s">
        <v>6005</v>
      </c>
      <c r="G1321" s="62"/>
      <c r="H1321" s="49" t="s">
        <v>6006</v>
      </c>
      <c r="I1321" s="69" t="s">
        <v>6007</v>
      </c>
      <c r="J1321" s="100" t="s">
        <v>140</v>
      </c>
      <c r="K1321" s="84">
        <v>0</v>
      </c>
      <c r="L1321" s="52">
        <v>0</v>
      </c>
      <c r="M1321" s="83">
        <v>35</v>
      </c>
      <c r="N1321" s="83">
        <v>5000</v>
      </c>
      <c r="O1321" s="83">
        <v>2</v>
      </c>
      <c r="P1321" s="83">
        <f t="shared" si="321"/>
        <v>2500</v>
      </c>
      <c r="Q1321" s="83"/>
      <c r="R1321" s="83">
        <v>2500</v>
      </c>
      <c r="S1321" s="83">
        <f t="shared" si="315"/>
        <v>0</v>
      </c>
      <c r="T1321" s="83">
        <f t="shared" si="316"/>
        <v>4937.1428571428569</v>
      </c>
      <c r="U1321" s="84">
        <f t="shared" si="317"/>
        <v>0</v>
      </c>
      <c r="V1321" s="84">
        <f t="shared" si="318"/>
        <v>0</v>
      </c>
      <c r="W1321" s="84">
        <v>0</v>
      </c>
      <c r="X1321" s="55">
        <f t="shared" si="319"/>
        <v>46153.2</v>
      </c>
    </row>
    <row r="1322" spans="1:24" ht="29" hidden="1" x14ac:dyDescent="0.35">
      <c r="A1322" s="46">
        <f t="shared" si="320"/>
        <v>46153.2</v>
      </c>
      <c r="B1322" s="46"/>
      <c r="C1322" s="260"/>
      <c r="D1322" s="46"/>
      <c r="E1322" s="47" t="s">
        <v>4384</v>
      </c>
      <c r="F1322" s="48" t="s">
        <v>652</v>
      </c>
      <c r="G1322" s="48"/>
      <c r="H1322" s="59" t="s">
        <v>6008</v>
      </c>
      <c r="I1322" s="82" t="s">
        <v>3528</v>
      </c>
      <c r="J1322" s="100" t="s">
        <v>140</v>
      </c>
      <c r="K1322" s="52">
        <v>0</v>
      </c>
      <c r="L1322" s="52">
        <v>0</v>
      </c>
      <c r="M1322" s="53">
        <v>45</v>
      </c>
      <c r="N1322" s="53">
        <v>3500</v>
      </c>
      <c r="O1322" s="53">
        <v>1</v>
      </c>
      <c r="P1322" s="53">
        <f t="shared" si="321"/>
        <v>3500</v>
      </c>
      <c r="Q1322" s="53"/>
      <c r="R1322" s="53">
        <v>3500</v>
      </c>
      <c r="S1322" s="53">
        <f t="shared" si="315"/>
        <v>0</v>
      </c>
      <c r="T1322" s="83">
        <f t="shared" si="316"/>
        <v>1920</v>
      </c>
      <c r="U1322" s="84">
        <f t="shared" si="317"/>
        <v>0</v>
      </c>
      <c r="V1322" s="84">
        <f t="shared" si="318"/>
        <v>0</v>
      </c>
      <c r="W1322" s="84">
        <v>0</v>
      </c>
      <c r="X1322" s="55">
        <f t="shared" si="319"/>
        <v>46153.2</v>
      </c>
    </row>
    <row r="1323" spans="1:24" hidden="1" x14ac:dyDescent="0.35">
      <c r="A1323" s="46">
        <f t="shared" si="320"/>
        <v>46153.2</v>
      </c>
      <c r="B1323" s="46"/>
      <c r="C1323" s="260"/>
      <c r="D1323" s="46"/>
      <c r="E1323" s="419" t="s">
        <v>4384</v>
      </c>
      <c r="F1323" s="57" t="s">
        <v>6009</v>
      </c>
      <c r="G1323" s="57"/>
      <c r="H1323" s="49" t="s">
        <v>6010</v>
      </c>
      <c r="I1323" s="82" t="s">
        <v>4787</v>
      </c>
      <c r="J1323" s="1035" t="s">
        <v>140</v>
      </c>
      <c r="K1323" s="52">
        <v>0</v>
      </c>
      <c r="L1323" s="52">
        <v>0</v>
      </c>
      <c r="M1323" s="53">
        <v>60</v>
      </c>
      <c r="N1323" s="53">
        <v>20000</v>
      </c>
      <c r="O1323" s="53">
        <v>6</v>
      </c>
      <c r="P1323" s="53">
        <v>3693</v>
      </c>
      <c r="Q1323" s="53"/>
      <c r="R1323" s="53">
        <v>3693</v>
      </c>
      <c r="S1323" s="53">
        <f t="shared" si="315"/>
        <v>0</v>
      </c>
      <c r="T1323" s="83">
        <f t="shared" si="316"/>
        <v>8640</v>
      </c>
      <c r="U1323" s="84">
        <f t="shared" si="317"/>
        <v>0</v>
      </c>
      <c r="V1323" s="84">
        <f t="shared" si="318"/>
        <v>0</v>
      </c>
      <c r="W1323" s="84">
        <v>0</v>
      </c>
      <c r="X1323" s="55">
        <f t="shared" si="319"/>
        <v>46153.2</v>
      </c>
    </row>
    <row r="1324" spans="1:24" ht="29" hidden="1" x14ac:dyDescent="0.35">
      <c r="A1324" s="46">
        <f t="shared" si="320"/>
        <v>46153.2</v>
      </c>
      <c r="B1324" s="46"/>
      <c r="C1324" s="260"/>
      <c r="D1324" s="46"/>
      <c r="E1324" s="857" t="s">
        <v>4384</v>
      </c>
      <c r="F1324" s="62" t="s">
        <v>652</v>
      </c>
      <c r="G1324" s="62"/>
      <c r="H1324" s="49" t="s">
        <v>6011</v>
      </c>
      <c r="I1324" s="71" t="s">
        <v>5988</v>
      </c>
      <c r="J1324" s="100" t="s">
        <v>140</v>
      </c>
      <c r="K1324" s="52">
        <v>0</v>
      </c>
      <c r="L1324" s="52">
        <v>0</v>
      </c>
      <c r="M1324" s="53">
        <v>42</v>
      </c>
      <c r="N1324" s="53">
        <v>1000</v>
      </c>
      <c r="O1324" s="53">
        <v>4</v>
      </c>
      <c r="P1324" s="53">
        <f t="shared" ref="P1324:P1344" si="322">N1324/O1324</f>
        <v>250</v>
      </c>
      <c r="Q1324" s="53"/>
      <c r="R1324" s="53">
        <v>250</v>
      </c>
      <c r="S1324" s="53">
        <f t="shared" si="315"/>
        <v>0</v>
      </c>
      <c r="T1324" s="83">
        <f t="shared" si="316"/>
        <v>8228.5714285714275</v>
      </c>
      <c r="U1324" s="84">
        <f t="shared" si="317"/>
        <v>0</v>
      </c>
      <c r="V1324" s="84">
        <f t="shared" si="318"/>
        <v>0</v>
      </c>
      <c r="W1324" s="84">
        <v>0</v>
      </c>
      <c r="X1324" s="55">
        <f t="shared" si="319"/>
        <v>46153.2</v>
      </c>
    </row>
    <row r="1325" spans="1:24" ht="39.5" hidden="1" x14ac:dyDescent="0.35">
      <c r="A1325" s="46">
        <f t="shared" si="320"/>
        <v>46153.2</v>
      </c>
      <c r="B1325" s="46"/>
      <c r="C1325" s="260"/>
      <c r="D1325" s="46"/>
      <c r="E1325" s="47" t="s">
        <v>4384</v>
      </c>
      <c r="F1325" s="62" t="s">
        <v>652</v>
      </c>
      <c r="G1325" s="62"/>
      <c r="H1325" s="49" t="s">
        <v>6012</v>
      </c>
      <c r="I1325" s="69" t="s">
        <v>5990</v>
      </c>
      <c r="J1325" s="100" t="s">
        <v>140</v>
      </c>
      <c r="K1325" s="52">
        <v>0</v>
      </c>
      <c r="L1325" s="52">
        <v>0</v>
      </c>
      <c r="M1325" s="53">
        <v>98</v>
      </c>
      <c r="N1325" s="53">
        <v>1000</v>
      </c>
      <c r="O1325" s="53">
        <v>1</v>
      </c>
      <c r="P1325" s="53">
        <f t="shared" si="322"/>
        <v>1000</v>
      </c>
      <c r="Q1325" s="53"/>
      <c r="R1325" s="53">
        <v>1000</v>
      </c>
      <c r="S1325" s="53">
        <f t="shared" si="315"/>
        <v>0</v>
      </c>
      <c r="T1325" s="83">
        <f t="shared" si="316"/>
        <v>881.63265306122457</v>
      </c>
      <c r="U1325" s="84">
        <f t="shared" si="317"/>
        <v>0</v>
      </c>
      <c r="V1325" s="84">
        <f t="shared" si="318"/>
        <v>0</v>
      </c>
      <c r="W1325" s="84">
        <v>0</v>
      </c>
      <c r="X1325" s="55">
        <f t="shared" si="319"/>
        <v>46153.2</v>
      </c>
    </row>
    <row r="1326" spans="1:24" hidden="1" x14ac:dyDescent="0.35">
      <c r="A1326" s="46">
        <f t="shared" si="320"/>
        <v>46153.2</v>
      </c>
      <c r="B1326" s="46"/>
      <c r="C1326" s="260"/>
      <c r="D1326" s="46"/>
      <c r="E1326" s="47" t="s">
        <v>4384</v>
      </c>
      <c r="F1326" s="57" t="s">
        <v>6013</v>
      </c>
      <c r="G1326" s="57"/>
      <c r="H1326" s="49" t="s">
        <v>6014</v>
      </c>
      <c r="I1326" s="97" t="s">
        <v>6015</v>
      </c>
      <c r="J1326" s="100" t="s">
        <v>140</v>
      </c>
      <c r="K1326" s="52">
        <v>0</v>
      </c>
      <c r="L1326" s="52">
        <v>0</v>
      </c>
      <c r="M1326" s="53">
        <v>35</v>
      </c>
      <c r="N1326" s="53">
        <v>4000</v>
      </c>
      <c r="O1326" s="53">
        <v>2</v>
      </c>
      <c r="P1326" s="53">
        <f t="shared" si="322"/>
        <v>2000</v>
      </c>
      <c r="Q1326" s="53"/>
      <c r="R1326" s="53">
        <v>2000</v>
      </c>
      <c r="S1326" s="53">
        <f t="shared" si="315"/>
        <v>0</v>
      </c>
      <c r="T1326" s="83">
        <f t="shared" si="316"/>
        <v>4937.1428571428569</v>
      </c>
      <c r="U1326" s="84">
        <f t="shared" si="317"/>
        <v>0</v>
      </c>
      <c r="V1326" s="84">
        <f t="shared" si="318"/>
        <v>0</v>
      </c>
      <c r="W1326" s="84">
        <v>0</v>
      </c>
      <c r="X1326" s="55">
        <f t="shared" si="319"/>
        <v>46153.2</v>
      </c>
    </row>
    <row r="1327" spans="1:24" ht="39.5" hidden="1" x14ac:dyDescent="0.35">
      <c r="A1327" s="46">
        <f t="shared" si="320"/>
        <v>46153.2</v>
      </c>
      <c r="B1327" s="46"/>
      <c r="C1327" s="260"/>
      <c r="D1327" s="46"/>
      <c r="E1327" s="47" t="s">
        <v>4384</v>
      </c>
      <c r="F1327" s="48" t="s">
        <v>652</v>
      </c>
      <c r="G1327" s="48"/>
      <c r="H1327" s="49" t="s">
        <v>6016</v>
      </c>
      <c r="I1327" s="71" t="s">
        <v>3466</v>
      </c>
      <c r="J1327" s="100" t="s">
        <v>140</v>
      </c>
      <c r="K1327" s="52">
        <v>0</v>
      </c>
      <c r="L1327" s="52">
        <v>0</v>
      </c>
      <c r="M1327" s="53">
        <v>45</v>
      </c>
      <c r="N1327" s="53">
        <v>10000</v>
      </c>
      <c r="O1327" s="53">
        <v>2</v>
      </c>
      <c r="P1327" s="53">
        <f t="shared" si="322"/>
        <v>5000</v>
      </c>
      <c r="Q1327" s="53"/>
      <c r="R1327" s="53">
        <v>5000</v>
      </c>
      <c r="S1327" s="53">
        <f t="shared" si="315"/>
        <v>0</v>
      </c>
      <c r="T1327" s="83">
        <f t="shared" si="316"/>
        <v>3840</v>
      </c>
      <c r="U1327" s="84">
        <f t="shared" si="317"/>
        <v>0</v>
      </c>
      <c r="V1327" s="84">
        <f t="shared" si="318"/>
        <v>0</v>
      </c>
      <c r="W1327" s="84">
        <v>0</v>
      </c>
      <c r="X1327" s="55">
        <f t="shared" si="319"/>
        <v>46153.2</v>
      </c>
    </row>
    <row r="1328" spans="1:24" ht="39.5" hidden="1" x14ac:dyDescent="0.35">
      <c r="A1328" s="46">
        <f t="shared" si="320"/>
        <v>46153.2</v>
      </c>
      <c r="B1328" s="46"/>
      <c r="C1328" s="260"/>
      <c r="D1328" s="46"/>
      <c r="E1328" s="47" t="s">
        <v>4384</v>
      </c>
      <c r="F1328" s="48" t="s">
        <v>1058</v>
      </c>
      <c r="G1328" s="48"/>
      <c r="H1328" s="49" t="s">
        <v>6017</v>
      </c>
      <c r="I1328" s="71" t="s">
        <v>3466</v>
      </c>
      <c r="J1328" s="100" t="s">
        <v>140</v>
      </c>
      <c r="K1328" s="52">
        <v>0</v>
      </c>
      <c r="L1328" s="52">
        <v>0</v>
      </c>
      <c r="M1328" s="53">
        <v>45</v>
      </c>
      <c r="N1328" s="53">
        <v>20000</v>
      </c>
      <c r="O1328" s="53">
        <v>2</v>
      </c>
      <c r="P1328" s="53">
        <f t="shared" si="322"/>
        <v>10000</v>
      </c>
      <c r="Q1328" s="53"/>
      <c r="R1328" s="53">
        <v>10000</v>
      </c>
      <c r="S1328" s="53">
        <f t="shared" si="315"/>
        <v>0</v>
      </c>
      <c r="T1328" s="83">
        <f t="shared" si="316"/>
        <v>3840</v>
      </c>
      <c r="U1328" s="84">
        <f t="shared" si="317"/>
        <v>0</v>
      </c>
      <c r="V1328" s="84">
        <f t="shared" si="318"/>
        <v>0</v>
      </c>
      <c r="W1328" s="84">
        <v>0</v>
      </c>
      <c r="X1328" s="55">
        <f t="shared" si="319"/>
        <v>46153.2</v>
      </c>
    </row>
    <row r="1329" spans="1:24" ht="26.5" hidden="1" x14ac:dyDescent="0.35">
      <c r="A1329" s="46">
        <f t="shared" si="320"/>
        <v>46153.2</v>
      </c>
      <c r="B1329" s="46"/>
      <c r="C1329" s="260"/>
      <c r="D1329" s="46"/>
      <c r="E1329" s="1036" t="s">
        <v>4384</v>
      </c>
      <c r="F1329" s="97" t="s">
        <v>1076</v>
      </c>
      <c r="G1329" s="97"/>
      <c r="H1329" s="66" t="s">
        <v>6018</v>
      </c>
      <c r="I1329" s="97" t="s">
        <v>4838</v>
      </c>
      <c r="J1329" s="1037" t="s">
        <v>140</v>
      </c>
      <c r="K1329" s="52">
        <v>0</v>
      </c>
      <c r="L1329" s="52">
        <v>0</v>
      </c>
      <c r="M1329" s="53">
        <v>35</v>
      </c>
      <c r="N1329" s="53">
        <v>12000</v>
      </c>
      <c r="O1329" s="53">
        <v>2</v>
      </c>
      <c r="P1329" s="53">
        <f t="shared" si="322"/>
        <v>6000</v>
      </c>
      <c r="Q1329" s="53"/>
      <c r="R1329" s="53">
        <v>6000</v>
      </c>
      <c r="S1329" s="53">
        <f t="shared" si="315"/>
        <v>0</v>
      </c>
      <c r="T1329" s="83">
        <f t="shared" si="316"/>
        <v>4937.1428571428569</v>
      </c>
      <c r="U1329" s="84">
        <f t="shared" si="317"/>
        <v>0</v>
      </c>
      <c r="V1329" s="84">
        <f t="shared" si="318"/>
        <v>0</v>
      </c>
      <c r="W1329" s="84">
        <v>0</v>
      </c>
      <c r="X1329" s="55">
        <f t="shared" si="319"/>
        <v>46153.2</v>
      </c>
    </row>
    <row r="1330" spans="1:24" ht="26.5" hidden="1" x14ac:dyDescent="0.35">
      <c r="A1330" s="46">
        <f t="shared" si="320"/>
        <v>46153.2</v>
      </c>
      <c r="B1330" s="46"/>
      <c r="C1330" s="260"/>
      <c r="D1330" s="46"/>
      <c r="E1330" s="1036" t="s">
        <v>4384</v>
      </c>
      <c r="F1330" s="97" t="s">
        <v>1076</v>
      </c>
      <c r="G1330" s="97"/>
      <c r="H1330" s="66" t="s">
        <v>6019</v>
      </c>
      <c r="I1330" s="73" t="s">
        <v>5988</v>
      </c>
      <c r="J1330" s="1037" t="s">
        <v>140</v>
      </c>
      <c r="K1330" s="52">
        <v>0</v>
      </c>
      <c r="L1330" s="52">
        <v>0</v>
      </c>
      <c r="M1330" s="422">
        <v>42</v>
      </c>
      <c r="N1330" s="422">
        <v>20000</v>
      </c>
      <c r="O1330" s="422">
        <v>4</v>
      </c>
      <c r="P1330" s="53">
        <f t="shared" si="322"/>
        <v>5000</v>
      </c>
      <c r="Q1330" s="53"/>
      <c r="R1330" s="53">
        <v>5000</v>
      </c>
      <c r="S1330" s="53">
        <f t="shared" si="315"/>
        <v>0</v>
      </c>
      <c r="T1330" s="83">
        <f t="shared" si="316"/>
        <v>8228.5714285714275</v>
      </c>
      <c r="U1330" s="84">
        <f t="shared" si="317"/>
        <v>0</v>
      </c>
      <c r="V1330" s="84">
        <f t="shared" si="318"/>
        <v>0</v>
      </c>
      <c r="W1330" s="84">
        <v>0</v>
      </c>
      <c r="X1330" s="55">
        <f t="shared" si="319"/>
        <v>46153.2</v>
      </c>
    </row>
    <row r="1331" spans="1:24" ht="26.5" hidden="1" x14ac:dyDescent="0.35">
      <c r="A1331" s="46">
        <f t="shared" si="320"/>
        <v>46153.2</v>
      </c>
      <c r="B1331" s="46"/>
      <c r="C1331" s="260"/>
      <c r="D1331" s="46"/>
      <c r="E1331" s="47" t="s">
        <v>1896</v>
      </c>
      <c r="F1331" s="97" t="s">
        <v>555</v>
      </c>
      <c r="G1331" s="97"/>
      <c r="H1331" s="49" t="s">
        <v>6020</v>
      </c>
      <c r="I1331" s="82" t="s">
        <v>4294</v>
      </c>
      <c r="J1331" s="100" t="s">
        <v>140</v>
      </c>
      <c r="K1331" s="52">
        <v>0.25</v>
      </c>
      <c r="L1331" s="52">
        <v>0.2</v>
      </c>
      <c r="M1331" s="53">
        <v>60</v>
      </c>
      <c r="N1331" s="53">
        <v>10080</v>
      </c>
      <c r="O1331" s="53">
        <v>2</v>
      </c>
      <c r="P1331" s="83">
        <f t="shared" si="322"/>
        <v>5040</v>
      </c>
      <c r="Q1331" s="83"/>
      <c r="R1331" s="53">
        <v>5144</v>
      </c>
      <c r="S1331" s="53">
        <f t="shared" si="315"/>
        <v>-104</v>
      </c>
      <c r="T1331" s="83">
        <f t="shared" si="316"/>
        <v>2880</v>
      </c>
      <c r="U1331" s="84">
        <f t="shared" si="317"/>
        <v>-1.7333333333333334</v>
      </c>
      <c r="V1331" s="84">
        <f t="shared" si="318"/>
        <v>-7.2222222222222229E-2</v>
      </c>
      <c r="W1331" s="84">
        <v>0</v>
      </c>
      <c r="X1331" s="55">
        <f t="shared" si="319"/>
        <v>46153.577777777769</v>
      </c>
    </row>
    <row r="1332" spans="1:24" s="221" customFormat="1" hidden="1" x14ac:dyDescent="0.35">
      <c r="A1332" s="46">
        <f t="shared" si="320"/>
        <v>46153.577777777769</v>
      </c>
      <c r="B1332" s="46"/>
      <c r="C1332" s="260"/>
      <c r="D1332" s="46"/>
      <c r="E1332" s="47" t="s">
        <v>4384</v>
      </c>
      <c r="F1332" s="48" t="s">
        <v>6021</v>
      </c>
      <c r="G1332" s="48"/>
      <c r="H1332" s="107" t="s">
        <v>6022</v>
      </c>
      <c r="I1332" s="405" t="s">
        <v>6023</v>
      </c>
      <c r="J1332" s="100" t="s">
        <v>140</v>
      </c>
      <c r="K1332" s="52">
        <v>0</v>
      </c>
      <c r="L1332" s="52">
        <v>0</v>
      </c>
      <c r="M1332" s="53">
        <v>120</v>
      </c>
      <c r="N1332" s="53">
        <v>3000</v>
      </c>
      <c r="O1332" s="53">
        <v>1</v>
      </c>
      <c r="P1332" s="53">
        <f t="shared" si="322"/>
        <v>3000</v>
      </c>
      <c r="Q1332" s="53"/>
      <c r="R1332" s="53">
        <v>3000</v>
      </c>
      <c r="S1332" s="53">
        <f t="shared" si="315"/>
        <v>0</v>
      </c>
      <c r="T1332" s="83">
        <f t="shared" si="316"/>
        <v>720</v>
      </c>
      <c r="U1332" s="84">
        <f t="shared" si="317"/>
        <v>0</v>
      </c>
      <c r="V1332" s="84">
        <f t="shared" si="318"/>
        <v>0</v>
      </c>
      <c r="W1332" s="84">
        <v>0</v>
      </c>
      <c r="X1332" s="55">
        <f t="shared" si="319"/>
        <v>46153.577777777769</v>
      </c>
    </row>
    <row r="1333" spans="1:24" hidden="1" x14ac:dyDescent="0.35">
      <c r="A1333" s="46">
        <f t="shared" si="320"/>
        <v>46153.577777777769</v>
      </c>
      <c r="B1333" s="46"/>
      <c r="C1333" s="260"/>
      <c r="D1333" s="46"/>
      <c r="E1333" s="47" t="s">
        <v>4384</v>
      </c>
      <c r="F1333" s="82" t="s">
        <v>513</v>
      </c>
      <c r="G1333" s="82"/>
      <c r="H1333" s="98" t="s">
        <v>6024</v>
      </c>
      <c r="I1333" s="82" t="s">
        <v>4784</v>
      </c>
      <c r="J1333" s="97" t="s">
        <v>140</v>
      </c>
      <c r="K1333" s="91">
        <v>0</v>
      </c>
      <c r="L1333" s="91">
        <v>0</v>
      </c>
      <c r="M1333" s="92">
        <v>50</v>
      </c>
      <c r="N1333" s="92">
        <v>3000</v>
      </c>
      <c r="O1333" s="92">
        <v>1</v>
      </c>
      <c r="P1333" s="92">
        <f t="shared" si="322"/>
        <v>3000</v>
      </c>
      <c r="Q1333" s="92"/>
      <c r="R1333" s="92">
        <v>3000</v>
      </c>
      <c r="S1333" s="92">
        <f t="shared" si="315"/>
        <v>0</v>
      </c>
      <c r="T1333" s="102">
        <f t="shared" si="316"/>
        <v>1728</v>
      </c>
      <c r="U1333" s="101">
        <f t="shared" si="317"/>
        <v>0</v>
      </c>
      <c r="V1333" s="101">
        <f t="shared" si="318"/>
        <v>0</v>
      </c>
      <c r="W1333" s="101">
        <v>0</v>
      </c>
      <c r="X1333" s="55">
        <f t="shared" si="319"/>
        <v>46153.577777777769</v>
      </c>
    </row>
    <row r="1334" spans="1:24" hidden="1" x14ac:dyDescent="0.35">
      <c r="A1334" s="46">
        <f t="shared" si="320"/>
        <v>46153.577777777769</v>
      </c>
      <c r="B1334" s="46"/>
      <c r="C1334" s="260"/>
      <c r="D1334" s="46"/>
      <c r="E1334" s="47" t="s">
        <v>3503</v>
      </c>
      <c r="F1334" s="57" t="s">
        <v>4878</v>
      </c>
      <c r="G1334" s="57"/>
      <c r="H1334" s="49" t="s">
        <v>6025</v>
      </c>
      <c r="I1334" s="85" t="s">
        <v>6026</v>
      </c>
      <c r="J1334" s="100" t="s">
        <v>140</v>
      </c>
      <c r="K1334" s="52">
        <v>0</v>
      </c>
      <c r="L1334" s="52">
        <v>0</v>
      </c>
      <c r="M1334" s="53">
        <v>40</v>
      </c>
      <c r="N1334" s="53">
        <v>6000</v>
      </c>
      <c r="O1334" s="53">
        <v>2</v>
      </c>
      <c r="P1334" s="53">
        <f t="shared" si="322"/>
        <v>3000</v>
      </c>
      <c r="Q1334" s="53"/>
      <c r="R1334" s="83">
        <v>3000</v>
      </c>
      <c r="S1334" s="53">
        <f t="shared" si="315"/>
        <v>0</v>
      </c>
      <c r="T1334" s="83">
        <f t="shared" si="316"/>
        <v>4320</v>
      </c>
      <c r="U1334" s="84">
        <f t="shared" si="317"/>
        <v>0</v>
      </c>
      <c r="V1334" s="84">
        <f t="shared" si="318"/>
        <v>0</v>
      </c>
      <c r="W1334" s="84">
        <v>0</v>
      </c>
      <c r="X1334" s="55">
        <f t="shared" si="319"/>
        <v>46153.577777777769</v>
      </c>
    </row>
    <row r="1335" spans="1:24" hidden="1" x14ac:dyDescent="0.35">
      <c r="A1335" s="46">
        <f t="shared" si="320"/>
        <v>46153.577777777769</v>
      </c>
      <c r="B1335" s="46"/>
      <c r="C1335" s="260"/>
      <c r="D1335" s="46"/>
      <c r="E1335" s="47" t="s">
        <v>4384</v>
      </c>
      <c r="F1335" s="97" t="s">
        <v>2111</v>
      </c>
      <c r="G1335" s="97"/>
      <c r="H1335" s="98" t="s">
        <v>6027</v>
      </c>
      <c r="I1335" s="99" t="s">
        <v>4814</v>
      </c>
      <c r="J1335" s="100" t="s">
        <v>140</v>
      </c>
      <c r="K1335" s="91">
        <v>0</v>
      </c>
      <c r="L1335" s="91">
        <v>0</v>
      </c>
      <c r="M1335" s="92">
        <v>40</v>
      </c>
      <c r="N1335" s="92">
        <v>33200</v>
      </c>
      <c r="O1335" s="92">
        <v>1</v>
      </c>
      <c r="P1335" s="102">
        <f t="shared" si="322"/>
        <v>33200</v>
      </c>
      <c r="Q1335" s="102"/>
      <c r="R1335" s="92">
        <v>33200</v>
      </c>
      <c r="S1335" s="92">
        <f t="shared" si="315"/>
        <v>0</v>
      </c>
      <c r="T1335" s="102">
        <f t="shared" si="316"/>
        <v>2160</v>
      </c>
      <c r="U1335" s="101">
        <f t="shared" si="317"/>
        <v>0</v>
      </c>
      <c r="V1335" s="101">
        <f t="shared" si="318"/>
        <v>0</v>
      </c>
      <c r="W1335" s="101">
        <v>0</v>
      </c>
      <c r="X1335" s="55">
        <f t="shared" si="319"/>
        <v>46153.577777777769</v>
      </c>
    </row>
    <row r="1336" spans="1:24" ht="43.5" hidden="1" x14ac:dyDescent="0.35">
      <c r="A1336" s="46">
        <f t="shared" si="320"/>
        <v>46153.577777777769</v>
      </c>
      <c r="B1336" s="46"/>
      <c r="C1336" s="260"/>
      <c r="D1336" s="46"/>
      <c r="E1336" s="810" t="s">
        <v>4384</v>
      </c>
      <c r="F1336" s="48" t="s">
        <v>5272</v>
      </c>
      <c r="G1336" s="48"/>
      <c r="H1336" s="66" t="s">
        <v>6028</v>
      </c>
      <c r="I1336" s="82" t="s">
        <v>6029</v>
      </c>
      <c r="J1336" s="100" t="s">
        <v>140</v>
      </c>
      <c r="K1336" s="52">
        <v>0</v>
      </c>
      <c r="L1336" s="52">
        <v>0</v>
      </c>
      <c r="M1336" s="595">
        <v>43</v>
      </c>
      <c r="N1336" s="53">
        <v>800</v>
      </c>
      <c r="O1336" s="53">
        <v>1</v>
      </c>
      <c r="P1336" s="53">
        <f t="shared" si="322"/>
        <v>800</v>
      </c>
      <c r="Q1336" s="53"/>
      <c r="R1336" s="83">
        <v>800</v>
      </c>
      <c r="S1336" s="53">
        <f t="shared" si="315"/>
        <v>0</v>
      </c>
      <c r="T1336" s="83">
        <f t="shared" si="316"/>
        <v>2009.3023255813955</v>
      </c>
      <c r="U1336" s="84">
        <f t="shared" si="317"/>
        <v>0</v>
      </c>
      <c r="V1336" s="84">
        <f t="shared" si="318"/>
        <v>0</v>
      </c>
      <c r="W1336" s="84">
        <v>0</v>
      </c>
      <c r="X1336" s="55">
        <f t="shared" si="319"/>
        <v>46153.577777777769</v>
      </c>
    </row>
    <row r="1337" spans="1:24" hidden="1" x14ac:dyDescent="0.35">
      <c r="A1337" s="46">
        <f t="shared" si="320"/>
        <v>46153.577777777769</v>
      </c>
      <c r="B1337" s="46"/>
      <c r="C1337" s="260"/>
      <c r="D1337" s="46"/>
      <c r="E1337" s="857" t="s">
        <v>4384</v>
      </c>
      <c r="F1337" s="62" t="s">
        <v>14</v>
      </c>
      <c r="G1337" s="62"/>
      <c r="H1337" s="49" t="s">
        <v>1362</v>
      </c>
      <c r="I1337" s="71" t="s">
        <v>5988</v>
      </c>
      <c r="J1337" s="100"/>
      <c r="K1337" s="52">
        <v>0</v>
      </c>
      <c r="L1337" s="52">
        <v>0</v>
      </c>
      <c r="M1337" s="53">
        <v>42</v>
      </c>
      <c r="N1337" s="53">
        <v>20</v>
      </c>
      <c r="O1337" s="53">
        <v>4</v>
      </c>
      <c r="P1337" s="53">
        <f t="shared" si="322"/>
        <v>5</v>
      </c>
      <c r="Q1337" s="53"/>
      <c r="R1337" s="53">
        <v>5</v>
      </c>
      <c r="S1337" s="53">
        <f t="shared" si="315"/>
        <v>0</v>
      </c>
      <c r="T1337" s="83">
        <f t="shared" si="316"/>
        <v>8228.5714285714275</v>
      </c>
      <c r="U1337" s="84">
        <f t="shared" si="317"/>
        <v>0</v>
      </c>
      <c r="V1337" s="84">
        <f t="shared" si="318"/>
        <v>0</v>
      </c>
      <c r="W1337" s="84">
        <v>0</v>
      </c>
      <c r="X1337" s="55">
        <f t="shared" si="319"/>
        <v>46153.577777777769</v>
      </c>
    </row>
    <row r="1338" spans="1:24" hidden="1" x14ac:dyDescent="0.35">
      <c r="A1338" s="46">
        <f t="shared" si="320"/>
        <v>46153.577777777769</v>
      </c>
      <c r="B1338" s="46"/>
      <c r="C1338" s="260"/>
      <c r="D1338" s="46"/>
      <c r="E1338" s="47" t="s">
        <v>4384</v>
      </c>
      <c r="F1338" s="830" t="s">
        <v>6030</v>
      </c>
      <c r="G1338" s="830"/>
      <c r="H1338" s="66">
        <v>10697</v>
      </c>
      <c r="I1338" s="82" t="s">
        <v>6031</v>
      </c>
      <c r="J1338" s="100" t="s">
        <v>140</v>
      </c>
      <c r="K1338" s="52">
        <v>0</v>
      </c>
      <c r="L1338" s="52">
        <v>0</v>
      </c>
      <c r="M1338" s="53">
        <v>45</v>
      </c>
      <c r="N1338" s="53">
        <v>100</v>
      </c>
      <c r="O1338" s="53">
        <v>2</v>
      </c>
      <c r="P1338" s="53">
        <f t="shared" si="322"/>
        <v>50</v>
      </c>
      <c r="Q1338" s="53"/>
      <c r="R1338" s="53">
        <v>50</v>
      </c>
      <c r="S1338" s="53">
        <f t="shared" si="315"/>
        <v>0</v>
      </c>
      <c r="T1338" s="83">
        <f t="shared" si="316"/>
        <v>3840</v>
      </c>
      <c r="U1338" s="84">
        <f t="shared" si="317"/>
        <v>0</v>
      </c>
      <c r="V1338" s="84">
        <f t="shared" si="318"/>
        <v>0</v>
      </c>
      <c r="W1338" s="84">
        <v>0</v>
      </c>
      <c r="X1338" s="55">
        <f t="shared" si="319"/>
        <v>46153.577777777769</v>
      </c>
    </row>
    <row r="1339" spans="1:24" hidden="1" x14ac:dyDescent="0.35">
      <c r="A1339" s="46">
        <f t="shared" si="320"/>
        <v>46153.577777777769</v>
      </c>
      <c r="B1339" s="46"/>
      <c r="C1339" s="260"/>
      <c r="D1339" s="46"/>
      <c r="E1339" s="47" t="s">
        <v>4384</v>
      </c>
      <c r="F1339" s="830" t="s">
        <v>6030</v>
      </c>
      <c r="G1339" s="830"/>
      <c r="H1339" s="66">
        <v>10698</v>
      </c>
      <c r="I1339" s="82" t="s">
        <v>6032</v>
      </c>
      <c r="J1339" s="100" t="s">
        <v>140</v>
      </c>
      <c r="K1339" s="52">
        <v>0</v>
      </c>
      <c r="L1339" s="52">
        <v>0</v>
      </c>
      <c r="M1339" s="53">
        <v>45</v>
      </c>
      <c r="N1339" s="53">
        <v>100</v>
      </c>
      <c r="O1339" s="53">
        <v>2</v>
      </c>
      <c r="P1339" s="53">
        <f t="shared" si="322"/>
        <v>50</v>
      </c>
      <c r="Q1339" s="53"/>
      <c r="R1339" s="53">
        <v>50</v>
      </c>
      <c r="S1339" s="53">
        <f t="shared" si="315"/>
        <v>0</v>
      </c>
      <c r="T1339" s="83">
        <f t="shared" si="316"/>
        <v>3840</v>
      </c>
      <c r="U1339" s="84">
        <f t="shared" si="317"/>
        <v>0</v>
      </c>
      <c r="V1339" s="84">
        <f t="shared" si="318"/>
        <v>0</v>
      </c>
      <c r="W1339" s="84">
        <v>0</v>
      </c>
      <c r="X1339" s="55">
        <f t="shared" si="319"/>
        <v>46153.577777777769</v>
      </c>
    </row>
    <row r="1340" spans="1:24" hidden="1" x14ac:dyDescent="0.35">
      <c r="A1340" s="46">
        <f t="shared" si="320"/>
        <v>46153.577777777769</v>
      </c>
      <c r="B1340" s="46"/>
      <c r="C1340" s="260"/>
      <c r="D1340" s="46"/>
      <c r="E1340" s="47" t="s">
        <v>4384</v>
      </c>
      <c r="F1340" s="830" t="s">
        <v>6030</v>
      </c>
      <c r="G1340" s="830"/>
      <c r="H1340" s="66">
        <v>10699</v>
      </c>
      <c r="I1340" s="82" t="s">
        <v>6033</v>
      </c>
      <c r="J1340" s="100" t="s">
        <v>140</v>
      </c>
      <c r="K1340" s="52">
        <v>0</v>
      </c>
      <c r="L1340" s="52">
        <v>0</v>
      </c>
      <c r="M1340" s="53">
        <v>45</v>
      </c>
      <c r="N1340" s="53">
        <v>100</v>
      </c>
      <c r="O1340" s="53">
        <v>2</v>
      </c>
      <c r="P1340" s="53">
        <f t="shared" si="322"/>
        <v>50</v>
      </c>
      <c r="Q1340" s="53"/>
      <c r="R1340" s="53">
        <v>50</v>
      </c>
      <c r="S1340" s="53">
        <f t="shared" si="315"/>
        <v>0</v>
      </c>
      <c r="T1340" s="83">
        <f t="shared" si="316"/>
        <v>3840</v>
      </c>
      <c r="U1340" s="84">
        <f t="shared" si="317"/>
        <v>0</v>
      </c>
      <c r="V1340" s="84">
        <f t="shared" si="318"/>
        <v>0</v>
      </c>
      <c r="W1340" s="84">
        <v>0</v>
      </c>
      <c r="X1340" s="55">
        <f t="shared" si="319"/>
        <v>46153.577777777769</v>
      </c>
    </row>
    <row r="1341" spans="1:24" hidden="1" x14ac:dyDescent="0.35">
      <c r="A1341" s="46">
        <f t="shared" si="320"/>
        <v>46153.577777777769</v>
      </c>
      <c r="B1341" s="46"/>
      <c r="C1341" s="260"/>
      <c r="D1341" s="46"/>
      <c r="E1341" s="47" t="s">
        <v>4384</v>
      </c>
      <c r="F1341" s="830" t="s">
        <v>6030</v>
      </c>
      <c r="G1341" s="830"/>
      <c r="H1341" s="66">
        <v>10700</v>
      </c>
      <c r="I1341" s="82" t="s">
        <v>6034</v>
      </c>
      <c r="J1341" s="100" t="s">
        <v>140</v>
      </c>
      <c r="K1341" s="52">
        <v>0</v>
      </c>
      <c r="L1341" s="52">
        <v>0</v>
      </c>
      <c r="M1341" s="53">
        <v>45</v>
      </c>
      <c r="N1341" s="53">
        <v>600</v>
      </c>
      <c r="O1341" s="53">
        <v>2</v>
      </c>
      <c r="P1341" s="53">
        <f t="shared" si="322"/>
        <v>300</v>
      </c>
      <c r="Q1341" s="53"/>
      <c r="R1341" s="53">
        <v>300</v>
      </c>
      <c r="S1341" s="53">
        <f t="shared" si="315"/>
        <v>0</v>
      </c>
      <c r="T1341" s="83">
        <f t="shared" si="316"/>
        <v>3840</v>
      </c>
      <c r="U1341" s="84">
        <f t="shared" si="317"/>
        <v>0</v>
      </c>
      <c r="V1341" s="84">
        <f t="shared" si="318"/>
        <v>0</v>
      </c>
      <c r="W1341" s="84">
        <v>0</v>
      </c>
      <c r="X1341" s="55">
        <f t="shared" si="319"/>
        <v>46153.577777777769</v>
      </c>
    </row>
    <row r="1342" spans="1:24" hidden="1" x14ac:dyDescent="0.35">
      <c r="A1342" s="46">
        <f t="shared" si="320"/>
        <v>46153.577777777769</v>
      </c>
      <c r="B1342" s="46"/>
      <c r="C1342" s="260"/>
      <c r="D1342" s="46"/>
      <c r="E1342" s="47" t="s">
        <v>4384</v>
      </c>
      <c r="F1342" s="830" t="s">
        <v>6030</v>
      </c>
      <c r="G1342" s="830"/>
      <c r="H1342" s="66">
        <v>10701</v>
      </c>
      <c r="I1342" s="82" t="s">
        <v>6035</v>
      </c>
      <c r="J1342" s="100" t="s">
        <v>140</v>
      </c>
      <c r="K1342" s="52">
        <v>0</v>
      </c>
      <c r="L1342" s="52">
        <v>0</v>
      </c>
      <c r="M1342" s="53">
        <v>45</v>
      </c>
      <c r="N1342" s="53">
        <v>600</v>
      </c>
      <c r="O1342" s="53">
        <v>2</v>
      </c>
      <c r="P1342" s="53">
        <f t="shared" si="322"/>
        <v>300</v>
      </c>
      <c r="Q1342" s="53"/>
      <c r="R1342" s="53">
        <v>300</v>
      </c>
      <c r="S1342" s="53">
        <f t="shared" si="315"/>
        <v>0</v>
      </c>
      <c r="T1342" s="83">
        <f t="shared" si="316"/>
        <v>3840</v>
      </c>
      <c r="U1342" s="84">
        <f t="shared" si="317"/>
        <v>0</v>
      </c>
      <c r="V1342" s="84">
        <f t="shared" si="318"/>
        <v>0</v>
      </c>
      <c r="W1342" s="84">
        <v>0</v>
      </c>
      <c r="X1342" s="55">
        <f t="shared" si="319"/>
        <v>46153.577777777769</v>
      </c>
    </row>
    <row r="1343" spans="1:24" hidden="1" x14ac:dyDescent="0.35">
      <c r="A1343" s="46">
        <f t="shared" si="320"/>
        <v>46153.577777777769</v>
      </c>
      <c r="B1343" s="46"/>
      <c r="C1343" s="260"/>
      <c r="D1343" s="46"/>
      <c r="E1343" s="1038" t="s">
        <v>4384</v>
      </c>
      <c r="F1343" s="404" t="s">
        <v>14</v>
      </c>
      <c r="G1343" s="404"/>
      <c r="H1343" s="398" t="s">
        <v>1362</v>
      </c>
      <c r="I1343" s="683" t="s">
        <v>5988</v>
      </c>
      <c r="J1343" s="300"/>
      <c r="K1343" s="399">
        <v>0</v>
      </c>
      <c r="L1343" s="399">
        <v>0</v>
      </c>
      <c r="M1343" s="400">
        <v>42</v>
      </c>
      <c r="N1343" s="400">
        <v>20</v>
      </c>
      <c r="O1343" s="400">
        <v>4</v>
      </c>
      <c r="P1343" s="400">
        <f t="shared" si="322"/>
        <v>5</v>
      </c>
      <c r="Q1343" s="400"/>
      <c r="R1343" s="400">
        <v>5</v>
      </c>
      <c r="S1343" s="400">
        <f t="shared" si="315"/>
        <v>0</v>
      </c>
      <c r="T1343" s="579">
        <f t="shared" si="316"/>
        <v>8228.5714285714275</v>
      </c>
      <c r="U1343" s="583">
        <f t="shared" si="317"/>
        <v>0</v>
      </c>
      <c r="V1343" s="583">
        <f t="shared" si="318"/>
        <v>0</v>
      </c>
      <c r="W1343" s="583">
        <v>0</v>
      </c>
      <c r="X1343" s="55">
        <f t="shared" si="319"/>
        <v>46153.577777777769</v>
      </c>
    </row>
    <row r="1344" spans="1:24" hidden="1" x14ac:dyDescent="0.35">
      <c r="A1344" s="46">
        <f t="shared" si="320"/>
        <v>46153.577777777769</v>
      </c>
      <c r="B1344" s="46"/>
      <c r="C1344" s="260"/>
      <c r="D1344" s="46"/>
      <c r="E1344" s="296" t="s">
        <v>4384</v>
      </c>
      <c r="F1344" s="404" t="s">
        <v>14</v>
      </c>
      <c r="G1344" s="404"/>
      <c r="H1344" s="398" t="s">
        <v>1362</v>
      </c>
      <c r="I1344" s="297" t="s">
        <v>6034</v>
      </c>
      <c r="J1344" s="300" t="s">
        <v>140</v>
      </c>
      <c r="K1344" s="399">
        <v>0</v>
      </c>
      <c r="L1344" s="399">
        <v>0</v>
      </c>
      <c r="M1344" s="400">
        <v>45</v>
      </c>
      <c r="N1344" s="400">
        <v>50</v>
      </c>
      <c r="O1344" s="400">
        <v>2</v>
      </c>
      <c r="P1344" s="400">
        <f t="shared" si="322"/>
        <v>25</v>
      </c>
      <c r="Q1344" s="400"/>
      <c r="R1344" s="400">
        <v>25</v>
      </c>
      <c r="S1344" s="400">
        <f t="shared" si="315"/>
        <v>0</v>
      </c>
      <c r="T1344" s="579">
        <f t="shared" si="316"/>
        <v>3840</v>
      </c>
      <c r="U1344" s="583">
        <f t="shared" si="317"/>
        <v>0</v>
      </c>
      <c r="V1344" s="583">
        <f t="shared" si="318"/>
        <v>0</v>
      </c>
      <c r="W1344" s="583">
        <v>0</v>
      </c>
      <c r="X1344" s="55">
        <f t="shared" si="319"/>
        <v>46153.577777777769</v>
      </c>
    </row>
    <row r="1345" spans="1:24" s="221" customFormat="1" hidden="1" x14ac:dyDescent="0.35">
      <c r="A1345" s="46">
        <f t="shared" si="320"/>
        <v>46153.577777777769</v>
      </c>
      <c r="B1345" s="46"/>
      <c r="C1345" s="260"/>
      <c r="D1345" s="46"/>
      <c r="E1345" s="47" t="s">
        <v>4384</v>
      </c>
      <c r="F1345" s="57" t="s">
        <v>6036</v>
      </c>
      <c r="G1345" s="57"/>
      <c r="H1345" s="49" t="s">
        <v>6037</v>
      </c>
      <c r="I1345" s="82" t="s">
        <v>6038</v>
      </c>
      <c r="J1345" s="100" t="s">
        <v>140</v>
      </c>
      <c r="K1345" s="52">
        <v>0</v>
      </c>
      <c r="L1345" s="52">
        <v>0</v>
      </c>
      <c r="M1345" s="53">
        <v>45</v>
      </c>
      <c r="N1345" s="53">
        <v>1500</v>
      </c>
      <c r="O1345" s="53">
        <v>1</v>
      </c>
      <c r="P1345" s="53">
        <v>1500</v>
      </c>
      <c r="Q1345" s="53"/>
      <c r="R1345" s="83">
        <v>1500</v>
      </c>
      <c r="S1345" s="53">
        <f t="shared" si="315"/>
        <v>0</v>
      </c>
      <c r="T1345" s="83">
        <f t="shared" si="316"/>
        <v>1920</v>
      </c>
      <c r="U1345" s="84">
        <f t="shared" si="317"/>
        <v>0</v>
      </c>
      <c r="V1345" s="84">
        <f t="shared" si="318"/>
        <v>0</v>
      </c>
      <c r="W1345" s="84">
        <v>0</v>
      </c>
      <c r="X1345" s="55">
        <f t="shared" si="319"/>
        <v>46153.577777777769</v>
      </c>
    </row>
    <row r="1346" spans="1:24" s="221" customFormat="1" hidden="1" x14ac:dyDescent="0.35">
      <c r="A1346" s="46">
        <f t="shared" si="320"/>
        <v>46153.577777777769</v>
      </c>
      <c r="B1346" s="46"/>
      <c r="C1346" s="260"/>
      <c r="D1346" s="46"/>
      <c r="E1346" s="47" t="s">
        <v>3503</v>
      </c>
      <c r="F1346" s="48" t="s">
        <v>271</v>
      </c>
      <c r="G1346" s="48"/>
      <c r="H1346" s="49" t="s">
        <v>4876</v>
      </c>
      <c r="I1346" s="82" t="s">
        <v>4877</v>
      </c>
      <c r="J1346" s="100" t="s">
        <v>140</v>
      </c>
      <c r="K1346" s="52">
        <v>0</v>
      </c>
      <c r="L1346" s="52">
        <v>0</v>
      </c>
      <c r="M1346" s="53">
        <v>70</v>
      </c>
      <c r="N1346" s="53">
        <v>5000</v>
      </c>
      <c r="O1346" s="53">
        <v>1</v>
      </c>
      <c r="P1346" s="53">
        <f t="shared" ref="P1346:P1360" si="323">N1346/O1346</f>
        <v>5000</v>
      </c>
      <c r="Q1346" s="53"/>
      <c r="R1346" s="53">
        <v>5000</v>
      </c>
      <c r="S1346" s="53">
        <f t="shared" si="315"/>
        <v>0</v>
      </c>
      <c r="T1346" s="83">
        <f t="shared" si="316"/>
        <v>1234.2857142857142</v>
      </c>
      <c r="U1346" s="84">
        <f t="shared" si="317"/>
        <v>0</v>
      </c>
      <c r="V1346" s="84">
        <f t="shared" si="318"/>
        <v>0</v>
      </c>
      <c r="W1346" s="84">
        <v>0</v>
      </c>
      <c r="X1346" s="55">
        <f t="shared" si="319"/>
        <v>46153.577777777769</v>
      </c>
    </row>
    <row r="1347" spans="1:24" ht="26.5" hidden="1" x14ac:dyDescent="0.35">
      <c r="A1347" s="46">
        <f t="shared" si="320"/>
        <v>46153.577777777769</v>
      </c>
      <c r="B1347" s="46"/>
      <c r="C1347" s="260"/>
      <c r="D1347" s="46"/>
      <c r="E1347" s="857" t="s">
        <v>4384</v>
      </c>
      <c r="F1347" s="69" t="s">
        <v>165</v>
      </c>
      <c r="G1347" s="69"/>
      <c r="H1347" s="98" t="s">
        <v>6039</v>
      </c>
      <c r="I1347" s="71" t="s">
        <v>4636</v>
      </c>
      <c r="J1347" s="100"/>
      <c r="K1347" s="91">
        <v>0</v>
      </c>
      <c r="L1347" s="91">
        <v>0</v>
      </c>
      <c r="M1347" s="92">
        <v>42</v>
      </c>
      <c r="N1347" s="92">
        <f>8000*4</f>
        <v>32000</v>
      </c>
      <c r="O1347" s="92">
        <v>4</v>
      </c>
      <c r="P1347" s="92">
        <f t="shared" si="323"/>
        <v>8000</v>
      </c>
      <c r="Q1347" s="92"/>
      <c r="R1347" s="92">
        <v>8000</v>
      </c>
      <c r="S1347" s="92">
        <f t="shared" si="315"/>
        <v>0</v>
      </c>
      <c r="T1347" s="102">
        <f t="shared" si="316"/>
        <v>8228.5714285714275</v>
      </c>
      <c r="U1347" s="101">
        <f t="shared" si="317"/>
        <v>0</v>
      </c>
      <c r="V1347" s="101">
        <f t="shared" si="318"/>
        <v>0</v>
      </c>
      <c r="W1347" s="101">
        <v>0</v>
      </c>
      <c r="X1347" s="55">
        <f t="shared" si="319"/>
        <v>46153.577777777769</v>
      </c>
    </row>
    <row r="1348" spans="1:24" hidden="1" x14ac:dyDescent="0.35">
      <c r="A1348" s="46">
        <f t="shared" si="320"/>
        <v>46153.577777777769</v>
      </c>
      <c r="B1348" s="46"/>
      <c r="C1348" s="260"/>
      <c r="D1348" s="46"/>
      <c r="E1348" s="857" t="s">
        <v>4384</v>
      </c>
      <c r="F1348" s="82" t="s">
        <v>4744</v>
      </c>
      <c r="G1348" s="82"/>
      <c r="H1348" s="98" t="s">
        <v>6040</v>
      </c>
      <c r="I1348" s="71" t="s">
        <v>4636</v>
      </c>
      <c r="J1348" s="100"/>
      <c r="K1348" s="91">
        <v>0</v>
      </c>
      <c r="L1348" s="91">
        <v>0</v>
      </c>
      <c r="M1348" s="92">
        <v>42</v>
      </c>
      <c r="N1348" s="92">
        <v>4000</v>
      </c>
      <c r="O1348" s="92">
        <v>4</v>
      </c>
      <c r="P1348" s="92">
        <f t="shared" si="323"/>
        <v>1000</v>
      </c>
      <c r="Q1348" s="92"/>
      <c r="R1348" s="92">
        <v>1000</v>
      </c>
      <c r="S1348" s="92">
        <f t="shared" si="315"/>
        <v>0</v>
      </c>
      <c r="T1348" s="102">
        <f t="shared" si="316"/>
        <v>8228.5714285714275</v>
      </c>
      <c r="U1348" s="101">
        <f t="shared" si="317"/>
        <v>0</v>
      </c>
      <c r="V1348" s="101">
        <f t="shared" si="318"/>
        <v>0</v>
      </c>
      <c r="W1348" s="101">
        <v>0</v>
      </c>
      <c r="X1348" s="55">
        <f t="shared" si="319"/>
        <v>46153.577777777769</v>
      </c>
    </row>
    <row r="1349" spans="1:24" hidden="1" x14ac:dyDescent="0.35">
      <c r="A1349" s="46">
        <f t="shared" si="320"/>
        <v>46153.577777777769</v>
      </c>
      <c r="B1349" s="46"/>
      <c r="C1349" s="260"/>
      <c r="D1349" s="46"/>
      <c r="E1349" s="47" t="s">
        <v>4384</v>
      </c>
      <c r="F1349" s="57" t="s">
        <v>1147</v>
      </c>
      <c r="G1349" s="57"/>
      <c r="H1349" s="49" t="s">
        <v>6041</v>
      </c>
      <c r="I1349" s="99" t="s">
        <v>5985</v>
      </c>
      <c r="J1349" s="100" t="s">
        <v>140</v>
      </c>
      <c r="K1349" s="52">
        <v>0</v>
      </c>
      <c r="L1349" s="52">
        <v>0</v>
      </c>
      <c r="M1349" s="53">
        <v>40</v>
      </c>
      <c r="N1349" s="53">
        <v>10300</v>
      </c>
      <c r="O1349" s="53">
        <v>1</v>
      </c>
      <c r="P1349" s="53">
        <f t="shared" si="323"/>
        <v>10300</v>
      </c>
      <c r="Q1349" s="53"/>
      <c r="R1349" s="53">
        <v>10300</v>
      </c>
      <c r="S1349" s="53">
        <f t="shared" si="315"/>
        <v>0</v>
      </c>
      <c r="T1349" s="83">
        <f t="shared" si="316"/>
        <v>2160</v>
      </c>
      <c r="U1349" s="84">
        <f t="shared" si="317"/>
        <v>0</v>
      </c>
      <c r="V1349" s="84">
        <f t="shared" si="318"/>
        <v>0</v>
      </c>
      <c r="W1349" s="84">
        <v>0</v>
      </c>
      <c r="X1349" s="55">
        <f t="shared" si="319"/>
        <v>46153.577777777769</v>
      </c>
    </row>
    <row r="1350" spans="1:24" hidden="1" x14ac:dyDescent="0.35">
      <c r="A1350" s="46">
        <f t="shared" si="320"/>
        <v>46153.577777777769</v>
      </c>
      <c r="B1350" s="46"/>
      <c r="C1350" s="260"/>
      <c r="D1350" s="46"/>
      <c r="E1350" s="47" t="s">
        <v>4384</v>
      </c>
      <c r="F1350" s="48" t="s">
        <v>5439</v>
      </c>
      <c r="G1350" s="48"/>
      <c r="H1350" s="49" t="s">
        <v>6042</v>
      </c>
      <c r="I1350" s="697" t="s">
        <v>6043</v>
      </c>
      <c r="J1350" s="100"/>
      <c r="K1350" s="52">
        <v>0</v>
      </c>
      <c r="L1350" s="52">
        <v>0</v>
      </c>
      <c r="M1350" s="53">
        <v>40</v>
      </c>
      <c r="N1350" s="53">
        <v>1000</v>
      </c>
      <c r="O1350" s="53">
        <v>1</v>
      </c>
      <c r="P1350" s="53">
        <f t="shared" si="323"/>
        <v>1000</v>
      </c>
      <c r="Q1350" s="53"/>
      <c r="R1350" s="83">
        <v>1000</v>
      </c>
      <c r="S1350" s="53">
        <f t="shared" si="315"/>
        <v>0</v>
      </c>
      <c r="T1350" s="83">
        <f t="shared" si="316"/>
        <v>2160</v>
      </c>
      <c r="U1350" s="84">
        <f t="shared" si="317"/>
        <v>0</v>
      </c>
      <c r="V1350" s="84">
        <f t="shared" si="318"/>
        <v>0</v>
      </c>
      <c r="W1350" s="84">
        <v>0</v>
      </c>
      <c r="X1350" s="55">
        <f t="shared" si="319"/>
        <v>46153.577777777769</v>
      </c>
    </row>
    <row r="1351" spans="1:24" hidden="1" x14ac:dyDescent="0.35">
      <c r="A1351" s="46">
        <f t="shared" si="320"/>
        <v>46153.577777777769</v>
      </c>
      <c r="B1351" s="46"/>
      <c r="C1351" s="260"/>
      <c r="D1351" s="46"/>
      <c r="E1351" s="47" t="s">
        <v>4384</v>
      </c>
      <c r="F1351" s="97" t="s">
        <v>1517</v>
      </c>
      <c r="G1351" s="97"/>
      <c r="H1351" s="107" t="s">
        <v>6044</v>
      </c>
      <c r="I1351" s="1011" t="s">
        <v>4342</v>
      </c>
      <c r="J1351" s="100" t="s">
        <v>140</v>
      </c>
      <c r="K1351" s="91">
        <v>0</v>
      </c>
      <c r="L1351" s="91">
        <v>0</v>
      </c>
      <c r="M1351" s="92">
        <v>70</v>
      </c>
      <c r="N1351" s="92">
        <v>3000</v>
      </c>
      <c r="O1351" s="92">
        <v>1</v>
      </c>
      <c r="P1351" s="92">
        <f t="shared" si="323"/>
        <v>3000</v>
      </c>
      <c r="Q1351" s="92"/>
      <c r="R1351" s="92">
        <v>3000</v>
      </c>
      <c r="S1351" s="92">
        <f t="shared" si="315"/>
        <v>0</v>
      </c>
      <c r="T1351" s="102">
        <f t="shared" si="316"/>
        <v>1234.2857142857142</v>
      </c>
      <c r="U1351" s="101">
        <f t="shared" si="317"/>
        <v>0</v>
      </c>
      <c r="V1351" s="101">
        <f t="shared" si="318"/>
        <v>0</v>
      </c>
      <c r="W1351" s="101">
        <v>0</v>
      </c>
      <c r="X1351" s="55">
        <f t="shared" si="319"/>
        <v>46153.577777777769</v>
      </c>
    </row>
    <row r="1352" spans="1:24" hidden="1" x14ac:dyDescent="0.35">
      <c r="A1352" s="46">
        <f t="shared" si="320"/>
        <v>46153.577777777769</v>
      </c>
      <c r="B1352" s="46"/>
      <c r="C1352" s="260"/>
      <c r="D1352" s="46"/>
      <c r="E1352" s="74" t="s">
        <v>4384</v>
      </c>
      <c r="F1352" s="56" t="s">
        <v>6045</v>
      </c>
      <c r="G1352" s="56"/>
      <c r="H1352" s="49" t="s">
        <v>6046</v>
      </c>
      <c r="I1352" s="82" t="s">
        <v>4394</v>
      </c>
      <c r="J1352" s="491"/>
      <c r="K1352" s="52">
        <v>0</v>
      </c>
      <c r="L1352" s="52">
        <v>0</v>
      </c>
      <c r="M1352" s="53">
        <v>70</v>
      </c>
      <c r="N1352" s="53">
        <v>3000</v>
      </c>
      <c r="O1352" s="53">
        <v>2</v>
      </c>
      <c r="P1352" s="53">
        <f t="shared" si="323"/>
        <v>1500</v>
      </c>
      <c r="Q1352" s="53"/>
      <c r="R1352" s="53">
        <v>1500</v>
      </c>
      <c r="S1352" s="53">
        <f t="shared" si="315"/>
        <v>0</v>
      </c>
      <c r="T1352" s="83">
        <f t="shared" si="316"/>
        <v>2468.5714285714284</v>
      </c>
      <c r="U1352" s="84">
        <f t="shared" si="317"/>
        <v>0</v>
      </c>
      <c r="V1352" s="84">
        <f t="shared" si="318"/>
        <v>0</v>
      </c>
      <c r="W1352" s="84">
        <v>0</v>
      </c>
      <c r="X1352" s="55">
        <f t="shared" si="319"/>
        <v>46153.577777777769</v>
      </c>
    </row>
    <row r="1353" spans="1:24" hidden="1" x14ac:dyDescent="0.35">
      <c r="A1353" s="46">
        <f t="shared" si="320"/>
        <v>46153.577777777769</v>
      </c>
      <c r="B1353" s="46"/>
      <c r="C1353" s="260"/>
      <c r="D1353" s="46"/>
      <c r="E1353" s="47" t="s">
        <v>4758</v>
      </c>
      <c r="F1353" s="98" t="s">
        <v>1520</v>
      </c>
      <c r="G1353" s="98"/>
      <c r="H1353" s="98" t="s">
        <v>6047</v>
      </c>
      <c r="I1353" s="316" t="s">
        <v>6048</v>
      </c>
      <c r="J1353" s="100" t="s">
        <v>140</v>
      </c>
      <c r="K1353" s="91">
        <v>0</v>
      </c>
      <c r="L1353" s="91">
        <v>0</v>
      </c>
      <c r="M1353" s="92">
        <v>40</v>
      </c>
      <c r="N1353" s="92">
        <v>800</v>
      </c>
      <c r="O1353" s="92">
        <v>2</v>
      </c>
      <c r="P1353" s="92">
        <f t="shared" si="323"/>
        <v>400</v>
      </c>
      <c r="Q1353" s="92"/>
      <c r="R1353" s="92">
        <v>400</v>
      </c>
      <c r="S1353" s="102">
        <f t="shared" si="315"/>
        <v>0</v>
      </c>
      <c r="T1353" s="102">
        <f t="shared" si="316"/>
        <v>4320</v>
      </c>
      <c r="U1353" s="101">
        <f t="shared" si="317"/>
        <v>0</v>
      </c>
      <c r="V1353" s="101">
        <f t="shared" si="318"/>
        <v>0</v>
      </c>
      <c r="W1353" s="101">
        <v>0</v>
      </c>
      <c r="X1353" s="55">
        <f t="shared" si="319"/>
        <v>46153.577777777769</v>
      </c>
    </row>
    <row r="1354" spans="1:24" hidden="1" x14ac:dyDescent="0.35">
      <c r="A1354" s="46">
        <f t="shared" si="320"/>
        <v>46153.577777777769</v>
      </c>
      <c r="B1354" s="46"/>
      <c r="C1354" s="260"/>
      <c r="D1354" s="46"/>
      <c r="E1354" s="47" t="s">
        <v>4758</v>
      </c>
      <c r="F1354" s="98" t="s">
        <v>1520</v>
      </c>
      <c r="G1354" s="98"/>
      <c r="H1354" s="98" t="s">
        <v>6049</v>
      </c>
      <c r="I1354" s="316" t="s">
        <v>6050</v>
      </c>
      <c r="J1354" s="100" t="s">
        <v>140</v>
      </c>
      <c r="K1354" s="91">
        <v>0</v>
      </c>
      <c r="L1354" s="91">
        <v>0</v>
      </c>
      <c r="M1354" s="92">
        <v>40</v>
      </c>
      <c r="N1354" s="92">
        <v>800</v>
      </c>
      <c r="O1354" s="92">
        <v>2</v>
      </c>
      <c r="P1354" s="92">
        <f t="shared" si="323"/>
        <v>400</v>
      </c>
      <c r="Q1354" s="92"/>
      <c r="R1354" s="92">
        <v>400</v>
      </c>
      <c r="S1354" s="102">
        <f t="shared" si="315"/>
        <v>0</v>
      </c>
      <c r="T1354" s="102">
        <f t="shared" si="316"/>
        <v>4320</v>
      </c>
      <c r="U1354" s="101">
        <f t="shared" si="317"/>
        <v>0</v>
      </c>
      <c r="V1354" s="101">
        <f t="shared" si="318"/>
        <v>0</v>
      </c>
      <c r="W1354" s="101">
        <v>0</v>
      </c>
      <c r="X1354" s="55">
        <f t="shared" si="319"/>
        <v>46153.577777777769</v>
      </c>
    </row>
    <row r="1355" spans="1:24" hidden="1" x14ac:dyDescent="0.35">
      <c r="A1355" s="46">
        <f t="shared" si="320"/>
        <v>46153.577777777769</v>
      </c>
      <c r="B1355" s="46"/>
      <c r="C1355" s="260"/>
      <c r="D1355" s="46"/>
      <c r="E1355" s="47" t="s">
        <v>4384</v>
      </c>
      <c r="F1355" s="98" t="s">
        <v>1520</v>
      </c>
      <c r="G1355" s="98"/>
      <c r="H1355" s="98" t="s">
        <v>6051</v>
      </c>
      <c r="I1355" s="316" t="s">
        <v>6052</v>
      </c>
      <c r="J1355" s="100" t="s">
        <v>140</v>
      </c>
      <c r="K1355" s="91">
        <v>0</v>
      </c>
      <c r="L1355" s="91">
        <v>0</v>
      </c>
      <c r="M1355" s="92">
        <v>40</v>
      </c>
      <c r="N1355" s="92">
        <v>800</v>
      </c>
      <c r="O1355" s="92">
        <v>2</v>
      </c>
      <c r="P1355" s="92">
        <f t="shared" si="323"/>
        <v>400</v>
      </c>
      <c r="Q1355" s="92"/>
      <c r="R1355" s="92">
        <v>400</v>
      </c>
      <c r="S1355" s="102">
        <f t="shared" si="315"/>
        <v>0</v>
      </c>
      <c r="T1355" s="102">
        <f t="shared" si="316"/>
        <v>4320</v>
      </c>
      <c r="U1355" s="101">
        <f t="shared" si="317"/>
        <v>0</v>
      </c>
      <c r="V1355" s="101">
        <f t="shared" si="318"/>
        <v>0</v>
      </c>
      <c r="W1355" s="101">
        <v>0</v>
      </c>
      <c r="X1355" s="55">
        <f t="shared" si="319"/>
        <v>46153.577777777769</v>
      </c>
    </row>
    <row r="1356" spans="1:24" hidden="1" x14ac:dyDescent="0.35">
      <c r="A1356" s="46">
        <f t="shared" si="320"/>
        <v>46153.577777777769</v>
      </c>
      <c r="B1356" s="46"/>
      <c r="C1356" s="260"/>
      <c r="D1356" s="46"/>
      <c r="E1356" s="47" t="s">
        <v>4758</v>
      </c>
      <c r="F1356" s="98" t="s">
        <v>1520</v>
      </c>
      <c r="G1356" s="98"/>
      <c r="H1356" s="98" t="s">
        <v>6053</v>
      </c>
      <c r="I1356" s="316" t="s">
        <v>6054</v>
      </c>
      <c r="J1356" s="100" t="s">
        <v>140</v>
      </c>
      <c r="K1356" s="91">
        <v>0</v>
      </c>
      <c r="L1356" s="91">
        <v>0</v>
      </c>
      <c r="M1356" s="92">
        <v>40</v>
      </c>
      <c r="N1356" s="92">
        <v>800</v>
      </c>
      <c r="O1356" s="92">
        <v>2</v>
      </c>
      <c r="P1356" s="92">
        <f t="shared" si="323"/>
        <v>400</v>
      </c>
      <c r="Q1356" s="92"/>
      <c r="R1356" s="92">
        <v>400</v>
      </c>
      <c r="S1356" s="102">
        <f t="shared" si="315"/>
        <v>0</v>
      </c>
      <c r="T1356" s="102">
        <f t="shared" si="316"/>
        <v>4320</v>
      </c>
      <c r="U1356" s="101">
        <f t="shared" si="317"/>
        <v>0</v>
      </c>
      <c r="V1356" s="101">
        <f t="shared" si="318"/>
        <v>0</v>
      </c>
      <c r="W1356" s="101">
        <v>0</v>
      </c>
      <c r="X1356" s="55">
        <f t="shared" si="319"/>
        <v>46153.577777777769</v>
      </c>
    </row>
    <row r="1357" spans="1:24" hidden="1" x14ac:dyDescent="0.35">
      <c r="A1357" s="46">
        <f t="shared" si="320"/>
        <v>46153.577777777769</v>
      </c>
      <c r="B1357" s="46"/>
      <c r="C1357" s="260"/>
      <c r="D1357" s="46"/>
      <c r="E1357" s="47" t="s">
        <v>4758</v>
      </c>
      <c r="F1357" s="98" t="s">
        <v>1520</v>
      </c>
      <c r="G1357" s="98"/>
      <c r="H1357" s="98" t="s">
        <v>6055</v>
      </c>
      <c r="I1357" s="316" t="s">
        <v>6056</v>
      </c>
      <c r="J1357" s="100" t="s">
        <v>140</v>
      </c>
      <c r="K1357" s="91">
        <v>0</v>
      </c>
      <c r="L1357" s="91">
        <v>0</v>
      </c>
      <c r="M1357" s="92">
        <v>40</v>
      </c>
      <c r="N1357" s="92">
        <v>800</v>
      </c>
      <c r="O1357" s="92">
        <v>2</v>
      </c>
      <c r="P1357" s="92">
        <f t="shared" si="323"/>
        <v>400</v>
      </c>
      <c r="Q1357" s="92"/>
      <c r="R1357" s="92">
        <v>400</v>
      </c>
      <c r="S1357" s="102">
        <f t="shared" si="315"/>
        <v>0</v>
      </c>
      <c r="T1357" s="102">
        <f t="shared" si="316"/>
        <v>4320</v>
      </c>
      <c r="U1357" s="101">
        <f t="shared" si="317"/>
        <v>0</v>
      </c>
      <c r="V1357" s="101">
        <f t="shared" si="318"/>
        <v>0</v>
      </c>
      <c r="W1357" s="101">
        <v>0</v>
      </c>
      <c r="X1357" s="55">
        <f t="shared" si="319"/>
        <v>46153.577777777769</v>
      </c>
    </row>
    <row r="1358" spans="1:24" s="221" customFormat="1" hidden="1" x14ac:dyDescent="0.35">
      <c r="A1358" s="46">
        <f t="shared" si="320"/>
        <v>46153.577777777769</v>
      </c>
      <c r="B1358" s="46"/>
      <c r="C1358" s="260"/>
      <c r="D1358" s="46"/>
      <c r="E1358" s="47" t="s">
        <v>4395</v>
      </c>
      <c r="F1358" s="48" t="s">
        <v>633</v>
      </c>
      <c r="G1358" s="48"/>
      <c r="H1358" s="49" t="s">
        <v>6057</v>
      </c>
      <c r="I1358" s="69" t="s">
        <v>5037</v>
      </c>
      <c r="J1358" s="100" t="s">
        <v>140</v>
      </c>
      <c r="K1358" s="52">
        <v>0</v>
      </c>
      <c r="L1358" s="52">
        <v>0</v>
      </c>
      <c r="M1358" s="53">
        <v>35</v>
      </c>
      <c r="N1358" s="53">
        <v>6000</v>
      </c>
      <c r="O1358" s="53">
        <v>1</v>
      </c>
      <c r="P1358" s="53">
        <f t="shared" si="323"/>
        <v>6000</v>
      </c>
      <c r="Q1358" s="53"/>
      <c r="R1358" s="53">
        <v>6000</v>
      </c>
      <c r="S1358" s="53">
        <f t="shared" si="315"/>
        <v>0</v>
      </c>
      <c r="T1358" s="83">
        <f t="shared" si="316"/>
        <v>2468.5714285714284</v>
      </c>
      <c r="U1358" s="84">
        <f t="shared" si="317"/>
        <v>0</v>
      </c>
      <c r="V1358" s="84">
        <f t="shared" si="318"/>
        <v>0</v>
      </c>
      <c r="W1358" s="84">
        <v>0</v>
      </c>
      <c r="X1358" s="55">
        <f t="shared" si="319"/>
        <v>46153.577777777769</v>
      </c>
    </row>
    <row r="1359" spans="1:24" ht="26.5" hidden="1" x14ac:dyDescent="0.35">
      <c r="A1359" s="46">
        <f t="shared" si="320"/>
        <v>46153.577777777769</v>
      </c>
      <c r="B1359" s="46"/>
      <c r="C1359" s="260"/>
      <c r="D1359" s="46"/>
      <c r="E1359" s="419" t="s">
        <v>4384</v>
      </c>
      <c r="F1359" s="82" t="s">
        <v>1552</v>
      </c>
      <c r="G1359" s="82"/>
      <c r="H1359" s="98" t="s">
        <v>6058</v>
      </c>
      <c r="I1359" s="69" t="s">
        <v>4784</v>
      </c>
      <c r="J1359" s="100" t="s">
        <v>140</v>
      </c>
      <c r="K1359" s="91">
        <v>0</v>
      </c>
      <c r="L1359" s="91">
        <v>0</v>
      </c>
      <c r="M1359" s="92">
        <v>50</v>
      </c>
      <c r="N1359" s="92">
        <v>3000</v>
      </c>
      <c r="O1359" s="92">
        <v>1</v>
      </c>
      <c r="P1359" s="92">
        <f t="shared" si="323"/>
        <v>3000</v>
      </c>
      <c r="Q1359" s="92"/>
      <c r="R1359" s="92">
        <v>3000</v>
      </c>
      <c r="S1359" s="92">
        <f t="shared" si="315"/>
        <v>0</v>
      </c>
      <c r="T1359" s="102">
        <f t="shared" si="316"/>
        <v>1728</v>
      </c>
      <c r="U1359" s="101">
        <f t="shared" si="317"/>
        <v>0</v>
      </c>
      <c r="V1359" s="101">
        <f t="shared" si="318"/>
        <v>0</v>
      </c>
      <c r="W1359" s="101">
        <v>0</v>
      </c>
      <c r="X1359" s="55">
        <f t="shared" si="319"/>
        <v>46153.577777777769</v>
      </c>
    </row>
    <row r="1360" spans="1:24" hidden="1" x14ac:dyDescent="0.35">
      <c r="A1360" s="46">
        <f t="shared" si="320"/>
        <v>46153.577777777769</v>
      </c>
      <c r="B1360" s="46"/>
      <c r="C1360" s="260"/>
      <c r="D1360" s="46"/>
      <c r="E1360" s="296" t="s">
        <v>4384</v>
      </c>
      <c r="F1360" s="349" t="s">
        <v>1801</v>
      </c>
      <c r="G1360" s="349"/>
      <c r="H1360" s="349" t="s">
        <v>6059</v>
      </c>
      <c r="I1360" s="297" t="s">
        <v>4909</v>
      </c>
      <c r="J1360" s="351" t="s">
        <v>140</v>
      </c>
      <c r="K1360" s="352">
        <v>0</v>
      </c>
      <c r="L1360" s="352">
        <v>0</v>
      </c>
      <c r="M1360" s="353">
        <v>30</v>
      </c>
      <c r="N1360" s="353">
        <v>2520</v>
      </c>
      <c r="O1360" s="353">
        <v>1</v>
      </c>
      <c r="P1360" s="353">
        <f t="shared" si="323"/>
        <v>2520</v>
      </c>
      <c r="Q1360" s="353"/>
      <c r="R1360" s="353">
        <v>2520</v>
      </c>
      <c r="S1360" s="353">
        <f t="shared" si="315"/>
        <v>0</v>
      </c>
      <c r="T1360" s="353">
        <f t="shared" si="316"/>
        <v>2880</v>
      </c>
      <c r="U1360" s="352">
        <f t="shared" si="317"/>
        <v>0</v>
      </c>
      <c r="V1360" s="352">
        <f t="shared" si="318"/>
        <v>0</v>
      </c>
      <c r="W1360" s="352">
        <v>0</v>
      </c>
      <c r="X1360" s="55">
        <f t="shared" si="319"/>
        <v>46153.577777777769</v>
      </c>
    </row>
    <row r="1361" spans="1:24" hidden="1" x14ac:dyDescent="0.35">
      <c r="A1361" s="46">
        <f t="shared" si="320"/>
        <v>46153.577777777769</v>
      </c>
      <c r="B1361" s="46"/>
      <c r="C1361" s="260"/>
      <c r="D1361" s="46"/>
      <c r="E1361" s="47" t="s">
        <v>3635</v>
      </c>
      <c r="F1361" s="1039"/>
      <c r="G1361" s="1039"/>
      <c r="H1361" s="59" t="s">
        <v>6060</v>
      </c>
      <c r="I1361" s="82" t="s">
        <v>6061</v>
      </c>
      <c r="J1361" s="100"/>
      <c r="K1361" s="52">
        <v>0</v>
      </c>
      <c r="L1361" s="52">
        <v>0</v>
      </c>
      <c r="M1361" s="1040">
        <v>1.44</v>
      </c>
      <c r="N1361" s="53">
        <v>1000000</v>
      </c>
      <c r="O1361" s="53">
        <v>1</v>
      </c>
      <c r="P1361" s="53">
        <v>0</v>
      </c>
      <c r="Q1361" s="53"/>
      <c r="R1361" s="53">
        <v>0</v>
      </c>
      <c r="S1361" s="53">
        <f t="shared" si="315"/>
        <v>0</v>
      </c>
      <c r="T1361" s="83">
        <f t="shared" si="316"/>
        <v>60000</v>
      </c>
      <c r="U1361" s="84">
        <v>0</v>
      </c>
      <c r="V1361" s="84">
        <f t="shared" si="318"/>
        <v>0</v>
      </c>
      <c r="W1361" s="84">
        <v>0</v>
      </c>
      <c r="X1361" s="55">
        <f t="shared" si="319"/>
        <v>46153.577777777769</v>
      </c>
    </row>
    <row r="1362" spans="1:24" ht="15" hidden="1" customHeight="1" x14ac:dyDescent="0.35">
      <c r="A1362" s="46">
        <f t="shared" si="320"/>
        <v>46153.577777777769</v>
      </c>
      <c r="B1362" s="46"/>
      <c r="C1362" s="260"/>
      <c r="D1362" s="46"/>
      <c r="E1362" s="47" t="s">
        <v>3635</v>
      </c>
      <c r="F1362" s="48" t="s">
        <v>6062</v>
      </c>
      <c r="G1362" s="48"/>
      <c r="H1362" s="59" t="s">
        <v>6063</v>
      </c>
      <c r="I1362" s="82" t="s">
        <v>6064</v>
      </c>
      <c r="J1362" s="100"/>
      <c r="K1362" s="52">
        <v>0</v>
      </c>
      <c r="L1362" s="52">
        <v>0</v>
      </c>
      <c r="M1362" s="53">
        <v>20</v>
      </c>
      <c r="N1362" s="53">
        <v>14400</v>
      </c>
      <c r="O1362" s="53">
        <v>1</v>
      </c>
      <c r="P1362" s="53">
        <f>N1362/O1362</f>
        <v>14400</v>
      </c>
      <c r="Q1362" s="53"/>
      <c r="R1362" s="53">
        <v>14400</v>
      </c>
      <c r="S1362" s="53">
        <f t="shared" si="315"/>
        <v>0</v>
      </c>
      <c r="T1362" s="83">
        <f t="shared" si="316"/>
        <v>4320</v>
      </c>
      <c r="U1362" s="84">
        <f>(P1362-R1362)*M1362/3600</f>
        <v>0</v>
      </c>
      <c r="V1362" s="84">
        <f t="shared" si="318"/>
        <v>0</v>
      </c>
      <c r="W1362" s="84">
        <v>0</v>
      </c>
      <c r="X1362" s="55">
        <f t="shared" si="319"/>
        <v>46153.577777777769</v>
      </c>
    </row>
    <row r="1363" spans="1:24" ht="15" hidden="1" customHeight="1" x14ac:dyDescent="0.35">
      <c r="A1363" s="46">
        <f t="shared" si="320"/>
        <v>46153.577777777769</v>
      </c>
      <c r="B1363" s="46"/>
      <c r="C1363" s="260"/>
      <c r="D1363" s="46"/>
      <c r="E1363" s="47" t="s">
        <v>3635</v>
      </c>
      <c r="F1363" s="56" t="s">
        <v>6065</v>
      </c>
      <c r="G1363" s="56"/>
      <c r="H1363" s="59" t="s">
        <v>6066</v>
      </c>
      <c r="I1363" s="82" t="s">
        <v>6067</v>
      </c>
      <c r="J1363" s="100"/>
      <c r="K1363" s="52">
        <v>0</v>
      </c>
      <c r="L1363" s="52">
        <v>0</v>
      </c>
      <c r="M1363" s="53">
        <v>30</v>
      </c>
      <c r="N1363" s="53">
        <v>5400</v>
      </c>
      <c r="O1363" s="53">
        <v>1</v>
      </c>
      <c r="P1363" s="53">
        <f>N1363/O1363</f>
        <v>5400</v>
      </c>
      <c r="Q1363" s="53"/>
      <c r="R1363" s="53">
        <v>5400</v>
      </c>
      <c r="S1363" s="53">
        <f t="shared" ref="S1363:S1380" si="324">P1363-R1363</f>
        <v>0</v>
      </c>
      <c r="T1363" s="83">
        <f t="shared" ref="T1363:T1380" si="325">((3600/M1363)*O1363)*24</f>
        <v>2880</v>
      </c>
      <c r="U1363" s="84">
        <f>(P1363-R1363)*M1363/3600</f>
        <v>0</v>
      </c>
      <c r="V1363" s="84">
        <f t="shared" ref="V1363:V1380" si="326">(P1363-R1363)*M1363/3600/24</f>
        <v>0</v>
      </c>
      <c r="W1363" s="84">
        <v>0</v>
      </c>
      <c r="X1363" s="55">
        <f t="shared" ref="X1363:X1426" si="327">A1363+K1363+L1363+V1363+W1363</f>
        <v>46153.577777777769</v>
      </c>
    </row>
    <row r="1364" spans="1:24" ht="15" hidden="1" customHeight="1" x14ac:dyDescent="0.35">
      <c r="A1364" s="46">
        <f t="shared" ref="A1364:A1427" si="328">X1363</f>
        <v>46153.577777777769</v>
      </c>
      <c r="B1364" s="46"/>
      <c r="C1364" s="260"/>
      <c r="D1364" s="46"/>
      <c r="E1364" s="47" t="s">
        <v>3635</v>
      </c>
      <c r="F1364" s="1039" t="s">
        <v>6068</v>
      </c>
      <c r="G1364" s="1039"/>
      <c r="H1364" s="59" t="s">
        <v>6060</v>
      </c>
      <c r="I1364" s="82" t="s">
        <v>6061</v>
      </c>
      <c r="J1364" s="100"/>
      <c r="K1364" s="52">
        <v>0</v>
      </c>
      <c r="L1364" s="52">
        <v>0</v>
      </c>
      <c r="M1364" s="1040">
        <v>1.44</v>
      </c>
      <c r="N1364" s="53">
        <v>1000000</v>
      </c>
      <c r="O1364" s="53">
        <v>1</v>
      </c>
      <c r="P1364" s="53">
        <v>507100</v>
      </c>
      <c r="Q1364" s="53"/>
      <c r="R1364" s="53">
        <f>9000+9000+7200+15700+9000+5200+15300+12600+6300+9000+12600+14400+10800+14400+14400+16200+12600+14400+18000+14400+18000+18000+14400+18000+14400+5400+17100+12600+5400+6300+12600+13500+11700+13500+19800+17100+16200+8100+4500+8000+12000</f>
        <v>507100</v>
      </c>
      <c r="S1364" s="53">
        <f t="shared" si="324"/>
        <v>0</v>
      </c>
      <c r="T1364" s="83">
        <f t="shared" si="325"/>
        <v>60000</v>
      </c>
      <c r="U1364" s="84">
        <v>0</v>
      </c>
      <c r="V1364" s="84">
        <f t="shared" si="326"/>
        <v>0</v>
      </c>
      <c r="W1364" s="84">
        <v>0</v>
      </c>
      <c r="X1364" s="55">
        <f t="shared" si="327"/>
        <v>46153.577777777769</v>
      </c>
    </row>
    <row r="1365" spans="1:24" ht="15" hidden="1" customHeight="1" x14ac:dyDescent="0.35">
      <c r="A1365" s="46">
        <f t="shared" si="328"/>
        <v>46153.577777777769</v>
      </c>
      <c r="B1365" s="46"/>
      <c r="C1365" s="260"/>
      <c r="D1365" s="46"/>
      <c r="E1365" s="47" t="s">
        <v>3635</v>
      </c>
      <c r="F1365" s="48" t="s">
        <v>6069</v>
      </c>
      <c r="G1365" s="48"/>
      <c r="H1365" s="59" t="s">
        <v>6070</v>
      </c>
      <c r="I1365" s="82" t="s">
        <v>6071</v>
      </c>
      <c r="J1365" s="100"/>
      <c r="K1365" s="52">
        <v>0</v>
      </c>
      <c r="L1365" s="52">
        <v>0</v>
      </c>
      <c r="M1365" s="53">
        <v>20</v>
      </c>
      <c r="N1365" s="53">
        <v>16200</v>
      </c>
      <c r="O1365" s="53">
        <v>1</v>
      </c>
      <c r="P1365" s="53">
        <f t="shared" ref="P1365:P1372" si="329">N1365/O1365</f>
        <v>16200</v>
      </c>
      <c r="Q1365" s="53"/>
      <c r="R1365" s="53">
        <v>16200</v>
      </c>
      <c r="S1365" s="53">
        <f t="shared" si="324"/>
        <v>0</v>
      </c>
      <c r="T1365" s="83">
        <f t="shared" si="325"/>
        <v>4320</v>
      </c>
      <c r="U1365" s="84">
        <f t="shared" ref="U1365:U1380" si="330">(P1365-R1365)*M1365/3600</f>
        <v>0</v>
      </c>
      <c r="V1365" s="84">
        <f t="shared" si="326"/>
        <v>0</v>
      </c>
      <c r="W1365" s="84">
        <v>0</v>
      </c>
      <c r="X1365" s="55">
        <f t="shared" si="327"/>
        <v>46153.577777777769</v>
      </c>
    </row>
    <row r="1366" spans="1:24" ht="15" hidden="1" customHeight="1" x14ac:dyDescent="0.35">
      <c r="A1366" s="46">
        <f t="shared" si="328"/>
        <v>46153.577777777769</v>
      </c>
      <c r="B1366" s="46"/>
      <c r="C1366" s="260"/>
      <c r="D1366" s="46"/>
      <c r="E1366" s="47"/>
      <c r="F1366" s="48" t="s">
        <v>6072</v>
      </c>
      <c r="G1366" s="48"/>
      <c r="H1366" s="59" t="s">
        <v>6073</v>
      </c>
      <c r="I1366" s="82" t="s">
        <v>6074</v>
      </c>
      <c r="J1366" s="100"/>
      <c r="K1366" s="52">
        <v>0</v>
      </c>
      <c r="L1366" s="52">
        <v>0</v>
      </c>
      <c r="M1366" s="1040">
        <v>1.44</v>
      </c>
      <c r="N1366" s="53">
        <v>10800</v>
      </c>
      <c r="O1366" s="53">
        <v>1</v>
      </c>
      <c r="P1366" s="53">
        <f t="shared" si="329"/>
        <v>10800</v>
      </c>
      <c r="Q1366" s="53"/>
      <c r="R1366" s="53">
        <v>10800</v>
      </c>
      <c r="S1366" s="53">
        <f t="shared" si="324"/>
        <v>0</v>
      </c>
      <c r="T1366" s="83">
        <f t="shared" si="325"/>
        <v>60000</v>
      </c>
      <c r="U1366" s="84">
        <f t="shared" si="330"/>
        <v>0</v>
      </c>
      <c r="V1366" s="84">
        <f t="shared" si="326"/>
        <v>0</v>
      </c>
      <c r="W1366" s="84">
        <v>0</v>
      </c>
      <c r="X1366" s="55">
        <f t="shared" si="327"/>
        <v>46153.577777777769</v>
      </c>
    </row>
    <row r="1367" spans="1:24" ht="25" hidden="1" customHeight="1" x14ac:dyDescent="0.35">
      <c r="A1367" s="46">
        <f t="shared" si="328"/>
        <v>46153.577777777769</v>
      </c>
      <c r="B1367" s="46"/>
      <c r="C1367" s="260"/>
      <c r="D1367" s="46"/>
      <c r="E1367" s="47"/>
      <c r="F1367" s="48" t="s">
        <v>6075</v>
      </c>
      <c r="G1367" s="48"/>
      <c r="H1367" s="59" t="s">
        <v>6076</v>
      </c>
      <c r="I1367" s="82" t="s">
        <v>6067</v>
      </c>
      <c r="J1367" s="100"/>
      <c r="K1367" s="52">
        <v>0</v>
      </c>
      <c r="L1367" s="52">
        <v>0</v>
      </c>
      <c r="M1367" s="1040">
        <v>1.44</v>
      </c>
      <c r="N1367" s="53">
        <v>5400</v>
      </c>
      <c r="O1367" s="53">
        <v>1</v>
      </c>
      <c r="P1367" s="53">
        <f t="shared" si="329"/>
        <v>5400</v>
      </c>
      <c r="Q1367" s="53"/>
      <c r="R1367" s="53">
        <v>5400</v>
      </c>
      <c r="S1367" s="53">
        <f t="shared" si="324"/>
        <v>0</v>
      </c>
      <c r="T1367" s="83">
        <f t="shared" si="325"/>
        <v>60000</v>
      </c>
      <c r="U1367" s="84">
        <f t="shared" si="330"/>
        <v>0</v>
      </c>
      <c r="V1367" s="84">
        <f t="shared" si="326"/>
        <v>0</v>
      </c>
      <c r="W1367" s="84">
        <v>0</v>
      </c>
      <c r="X1367" s="55">
        <f t="shared" si="327"/>
        <v>46153.577777777769</v>
      </c>
    </row>
    <row r="1368" spans="1:24" ht="25" hidden="1" customHeight="1" x14ac:dyDescent="0.35">
      <c r="A1368" s="46">
        <f t="shared" si="328"/>
        <v>46153.577777777769</v>
      </c>
      <c r="B1368" s="46"/>
      <c r="C1368" s="260"/>
      <c r="D1368" s="46"/>
      <c r="E1368" s="47" t="s">
        <v>3635</v>
      </c>
      <c r="F1368" s="48" t="s">
        <v>414</v>
      </c>
      <c r="G1368" s="48"/>
      <c r="H1368" s="59" t="s">
        <v>6077</v>
      </c>
      <c r="I1368" s="82" t="s">
        <v>6071</v>
      </c>
      <c r="J1368" s="100"/>
      <c r="K1368" s="52">
        <v>0</v>
      </c>
      <c r="L1368" s="52">
        <v>0</v>
      </c>
      <c r="M1368" s="53">
        <v>20</v>
      </c>
      <c r="N1368" s="53">
        <v>14400</v>
      </c>
      <c r="O1368" s="53">
        <v>1</v>
      </c>
      <c r="P1368" s="53">
        <f t="shared" si="329"/>
        <v>14400</v>
      </c>
      <c r="Q1368" s="53"/>
      <c r="R1368" s="53">
        <v>14400</v>
      </c>
      <c r="S1368" s="53">
        <f t="shared" si="324"/>
        <v>0</v>
      </c>
      <c r="T1368" s="83">
        <f t="shared" si="325"/>
        <v>4320</v>
      </c>
      <c r="U1368" s="84">
        <f t="shared" si="330"/>
        <v>0</v>
      </c>
      <c r="V1368" s="84">
        <f t="shared" si="326"/>
        <v>0</v>
      </c>
      <c r="W1368" s="84">
        <v>0</v>
      </c>
      <c r="X1368" s="55">
        <f t="shared" si="327"/>
        <v>46153.577777777769</v>
      </c>
    </row>
    <row r="1369" spans="1:24" ht="25" hidden="1" customHeight="1" x14ac:dyDescent="0.35">
      <c r="A1369" s="46">
        <f t="shared" si="328"/>
        <v>46153.577777777769</v>
      </c>
      <c r="B1369" s="46"/>
      <c r="C1369" s="260"/>
      <c r="D1369" s="46"/>
      <c r="E1369" s="47" t="s">
        <v>3635</v>
      </c>
      <c r="F1369" s="57" t="s">
        <v>414</v>
      </c>
      <c r="G1369" s="57"/>
      <c r="H1369" s="49" t="s">
        <v>963</v>
      </c>
      <c r="I1369" s="97" t="s">
        <v>6078</v>
      </c>
      <c r="J1369" s="100"/>
      <c r="K1369" s="52">
        <v>0</v>
      </c>
      <c r="L1369" s="52">
        <v>0</v>
      </c>
      <c r="M1369" s="53">
        <v>20</v>
      </c>
      <c r="N1369" s="53">
        <v>5500</v>
      </c>
      <c r="O1369" s="53">
        <v>1</v>
      </c>
      <c r="P1369" s="53">
        <f t="shared" si="329"/>
        <v>5500</v>
      </c>
      <c r="Q1369" s="53"/>
      <c r="R1369" s="53">
        <v>5500</v>
      </c>
      <c r="S1369" s="53">
        <f t="shared" si="324"/>
        <v>0</v>
      </c>
      <c r="T1369" s="83">
        <f t="shared" si="325"/>
        <v>4320</v>
      </c>
      <c r="U1369" s="84">
        <f t="shared" si="330"/>
        <v>0</v>
      </c>
      <c r="V1369" s="84">
        <f t="shared" si="326"/>
        <v>0</v>
      </c>
      <c r="W1369" s="84">
        <v>0</v>
      </c>
      <c r="X1369" s="55">
        <f t="shared" si="327"/>
        <v>46153.577777777769</v>
      </c>
    </row>
    <row r="1370" spans="1:24" ht="25" hidden="1" customHeight="1" x14ac:dyDescent="0.35">
      <c r="A1370" s="46">
        <f t="shared" si="328"/>
        <v>46153.577777777769</v>
      </c>
      <c r="B1370" s="46"/>
      <c r="C1370" s="260"/>
      <c r="D1370" s="46"/>
      <c r="E1370" s="47" t="s">
        <v>3635</v>
      </c>
      <c r="F1370" s="48" t="s">
        <v>6079</v>
      </c>
      <c r="G1370" s="48"/>
      <c r="H1370" s="59" t="s">
        <v>6080</v>
      </c>
      <c r="I1370" s="82" t="s">
        <v>3648</v>
      </c>
      <c r="J1370" s="100"/>
      <c r="K1370" s="52">
        <v>0</v>
      </c>
      <c r="L1370" s="52">
        <v>0</v>
      </c>
      <c r="M1370" s="1040">
        <v>2</v>
      </c>
      <c r="N1370" s="53">
        <v>30600</v>
      </c>
      <c r="O1370" s="53">
        <v>1</v>
      </c>
      <c r="P1370" s="53">
        <f t="shared" si="329"/>
        <v>30600</v>
      </c>
      <c r="Q1370" s="53"/>
      <c r="R1370" s="53">
        <v>30600</v>
      </c>
      <c r="S1370" s="53">
        <f t="shared" si="324"/>
        <v>0</v>
      </c>
      <c r="T1370" s="83">
        <f t="shared" si="325"/>
        <v>43200</v>
      </c>
      <c r="U1370" s="84">
        <f t="shared" si="330"/>
        <v>0</v>
      </c>
      <c r="V1370" s="84">
        <f t="shared" si="326"/>
        <v>0</v>
      </c>
      <c r="W1370" s="84">
        <v>0</v>
      </c>
      <c r="X1370" s="55">
        <f t="shared" si="327"/>
        <v>46153.577777777769</v>
      </c>
    </row>
    <row r="1371" spans="1:24" hidden="1" x14ac:dyDescent="0.35">
      <c r="A1371" s="46">
        <f t="shared" si="328"/>
        <v>46153.577777777769</v>
      </c>
      <c r="B1371" s="46"/>
      <c r="C1371" s="260"/>
      <c r="D1371" s="46"/>
      <c r="E1371" s="47" t="s">
        <v>3635</v>
      </c>
      <c r="F1371" s="48" t="s">
        <v>6081</v>
      </c>
      <c r="G1371" s="48"/>
      <c r="H1371" s="59" t="s">
        <v>6080</v>
      </c>
      <c r="I1371" s="82" t="s">
        <v>3648</v>
      </c>
      <c r="J1371" s="100"/>
      <c r="K1371" s="52">
        <v>0</v>
      </c>
      <c r="L1371" s="52">
        <v>0</v>
      </c>
      <c r="M1371" s="1040">
        <v>2</v>
      </c>
      <c r="N1371" s="53">
        <v>5400</v>
      </c>
      <c r="O1371" s="53">
        <v>1</v>
      </c>
      <c r="P1371" s="53">
        <f t="shared" si="329"/>
        <v>5400</v>
      </c>
      <c r="Q1371" s="53"/>
      <c r="R1371" s="53">
        <v>5400</v>
      </c>
      <c r="S1371" s="53">
        <f t="shared" si="324"/>
        <v>0</v>
      </c>
      <c r="T1371" s="83">
        <f t="shared" si="325"/>
        <v>43200</v>
      </c>
      <c r="U1371" s="84">
        <f t="shared" si="330"/>
        <v>0</v>
      </c>
      <c r="V1371" s="84">
        <f t="shared" si="326"/>
        <v>0</v>
      </c>
      <c r="W1371" s="84">
        <v>0</v>
      </c>
      <c r="X1371" s="55">
        <f t="shared" si="327"/>
        <v>46153.577777777769</v>
      </c>
    </row>
    <row r="1372" spans="1:24" hidden="1" x14ac:dyDescent="0.35">
      <c r="A1372" s="46">
        <f t="shared" si="328"/>
        <v>46153.577777777769</v>
      </c>
      <c r="B1372" s="46"/>
      <c r="C1372" s="260"/>
      <c r="D1372" s="46"/>
      <c r="E1372" s="47" t="s">
        <v>3635</v>
      </c>
      <c r="F1372" s="48" t="s">
        <v>6082</v>
      </c>
      <c r="G1372" s="48"/>
      <c r="H1372" s="59" t="s">
        <v>6080</v>
      </c>
      <c r="I1372" s="82" t="s">
        <v>3648</v>
      </c>
      <c r="J1372" s="100"/>
      <c r="K1372" s="52">
        <v>0</v>
      </c>
      <c r="L1372" s="52">
        <v>0</v>
      </c>
      <c r="M1372" s="1040">
        <v>2</v>
      </c>
      <c r="N1372" s="53">
        <v>41400</v>
      </c>
      <c r="O1372" s="53">
        <v>1</v>
      </c>
      <c r="P1372" s="53">
        <f t="shared" si="329"/>
        <v>41400</v>
      </c>
      <c r="Q1372" s="53"/>
      <c r="R1372" s="53">
        <v>41400</v>
      </c>
      <c r="S1372" s="53">
        <f t="shared" si="324"/>
        <v>0</v>
      </c>
      <c r="T1372" s="83">
        <f t="shared" si="325"/>
        <v>43200</v>
      </c>
      <c r="U1372" s="84">
        <f t="shared" si="330"/>
        <v>0</v>
      </c>
      <c r="V1372" s="84">
        <f t="shared" si="326"/>
        <v>0</v>
      </c>
      <c r="W1372" s="84">
        <v>0</v>
      </c>
      <c r="X1372" s="55">
        <f t="shared" si="327"/>
        <v>46153.577777777769</v>
      </c>
    </row>
    <row r="1373" spans="1:24" hidden="1" x14ac:dyDescent="0.35">
      <c r="A1373" s="46">
        <f t="shared" si="328"/>
        <v>46153.577777777769</v>
      </c>
      <c r="B1373" s="46"/>
      <c r="C1373" s="260"/>
      <c r="D1373" s="46"/>
      <c r="E1373" s="47" t="s">
        <v>3635</v>
      </c>
      <c r="F1373" s="48" t="s">
        <v>6083</v>
      </c>
      <c r="G1373" s="48"/>
      <c r="H1373" s="59" t="s">
        <v>6080</v>
      </c>
      <c r="I1373" s="82" t="s">
        <v>3648</v>
      </c>
      <c r="J1373" s="100"/>
      <c r="K1373" s="52">
        <v>0</v>
      </c>
      <c r="L1373" s="52">
        <v>0</v>
      </c>
      <c r="M1373" s="1040">
        <v>2</v>
      </c>
      <c r="N1373" s="53">
        <v>100800</v>
      </c>
      <c r="O1373" s="53">
        <v>1</v>
      </c>
      <c r="P1373" s="53">
        <v>100800</v>
      </c>
      <c r="Q1373" s="53"/>
      <c r="R1373" s="53">
        <v>100800</v>
      </c>
      <c r="S1373" s="53">
        <f t="shared" si="324"/>
        <v>0</v>
      </c>
      <c r="T1373" s="83">
        <f t="shared" si="325"/>
        <v>43200</v>
      </c>
      <c r="U1373" s="84">
        <f t="shared" si="330"/>
        <v>0</v>
      </c>
      <c r="V1373" s="84">
        <f t="shared" si="326"/>
        <v>0</v>
      </c>
      <c r="W1373" s="84">
        <v>0</v>
      </c>
      <c r="X1373" s="55">
        <f t="shared" si="327"/>
        <v>46153.577777777769</v>
      </c>
    </row>
    <row r="1374" spans="1:24" hidden="1" x14ac:dyDescent="0.35">
      <c r="A1374" s="46">
        <f t="shared" si="328"/>
        <v>46153.577777777769</v>
      </c>
      <c r="B1374" s="46"/>
      <c r="C1374" s="260"/>
      <c r="D1374" s="46"/>
      <c r="E1374" s="47" t="s">
        <v>3635</v>
      </c>
      <c r="F1374" s="48" t="s">
        <v>6084</v>
      </c>
      <c r="G1374" s="48"/>
      <c r="H1374" s="59" t="s">
        <v>6080</v>
      </c>
      <c r="I1374" s="82" t="s">
        <v>3648</v>
      </c>
      <c r="J1374" s="100"/>
      <c r="K1374" s="52">
        <v>0</v>
      </c>
      <c r="L1374" s="52">
        <v>0</v>
      </c>
      <c r="M1374" s="1040">
        <v>2</v>
      </c>
      <c r="N1374" s="53">
        <v>50400</v>
      </c>
      <c r="O1374" s="53">
        <v>1</v>
      </c>
      <c r="P1374" s="53">
        <f t="shared" ref="P1374:P1380" si="331">N1374/O1374</f>
        <v>50400</v>
      </c>
      <c r="Q1374" s="53"/>
      <c r="R1374" s="53">
        <v>50400</v>
      </c>
      <c r="S1374" s="53">
        <f t="shared" si="324"/>
        <v>0</v>
      </c>
      <c r="T1374" s="83">
        <f t="shared" si="325"/>
        <v>43200</v>
      </c>
      <c r="U1374" s="84">
        <f t="shared" si="330"/>
        <v>0</v>
      </c>
      <c r="V1374" s="84">
        <f t="shared" si="326"/>
        <v>0</v>
      </c>
      <c r="W1374" s="84">
        <v>0</v>
      </c>
      <c r="X1374" s="55">
        <f t="shared" si="327"/>
        <v>46153.577777777769</v>
      </c>
    </row>
    <row r="1375" spans="1:24" hidden="1" x14ac:dyDescent="0.35">
      <c r="A1375" s="46">
        <f t="shared" si="328"/>
        <v>46153.577777777769</v>
      </c>
      <c r="B1375" s="46"/>
      <c r="C1375" s="260"/>
      <c r="D1375" s="46"/>
      <c r="E1375" s="47" t="s">
        <v>3635</v>
      </c>
      <c r="F1375" s="48" t="s">
        <v>6085</v>
      </c>
      <c r="G1375" s="48"/>
      <c r="H1375" s="59" t="s">
        <v>1340</v>
      </c>
      <c r="I1375" s="82" t="s">
        <v>3648</v>
      </c>
      <c r="J1375" s="100"/>
      <c r="K1375" s="52">
        <v>0</v>
      </c>
      <c r="L1375" s="52">
        <v>0</v>
      </c>
      <c r="M1375" s="1040">
        <v>2</v>
      </c>
      <c r="N1375" s="53">
        <v>50400</v>
      </c>
      <c r="O1375" s="53">
        <v>1</v>
      </c>
      <c r="P1375" s="53">
        <f t="shared" si="331"/>
        <v>50400</v>
      </c>
      <c r="Q1375" s="53"/>
      <c r="R1375" s="53">
        <v>50400</v>
      </c>
      <c r="S1375" s="53">
        <f t="shared" si="324"/>
        <v>0</v>
      </c>
      <c r="T1375" s="83">
        <f t="shared" si="325"/>
        <v>43200</v>
      </c>
      <c r="U1375" s="84">
        <f t="shared" si="330"/>
        <v>0</v>
      </c>
      <c r="V1375" s="84">
        <f t="shared" si="326"/>
        <v>0</v>
      </c>
      <c r="W1375" s="84">
        <v>0</v>
      </c>
      <c r="X1375" s="55">
        <f t="shared" si="327"/>
        <v>46153.577777777769</v>
      </c>
    </row>
    <row r="1376" spans="1:24" hidden="1" x14ac:dyDescent="0.35">
      <c r="A1376" s="46">
        <f t="shared" si="328"/>
        <v>46153.577777777769</v>
      </c>
      <c r="B1376" s="46"/>
      <c r="C1376" s="260"/>
      <c r="D1376" s="46"/>
      <c r="E1376" s="47" t="s">
        <v>3635</v>
      </c>
      <c r="F1376" s="48" t="s">
        <v>6086</v>
      </c>
      <c r="G1376" s="48"/>
      <c r="H1376" s="59" t="s">
        <v>1340</v>
      </c>
      <c r="I1376" s="82" t="s">
        <v>3648</v>
      </c>
      <c r="J1376" s="100"/>
      <c r="K1376" s="52">
        <v>0</v>
      </c>
      <c r="L1376" s="52">
        <v>0</v>
      </c>
      <c r="M1376" s="1040">
        <v>2</v>
      </c>
      <c r="N1376" s="53">
        <v>90000</v>
      </c>
      <c r="O1376" s="53">
        <v>1</v>
      </c>
      <c r="P1376" s="53">
        <f t="shared" si="331"/>
        <v>90000</v>
      </c>
      <c r="Q1376" s="53"/>
      <c r="R1376" s="53">
        <v>90000</v>
      </c>
      <c r="S1376" s="53">
        <f t="shared" si="324"/>
        <v>0</v>
      </c>
      <c r="T1376" s="83">
        <f t="shared" si="325"/>
        <v>43200</v>
      </c>
      <c r="U1376" s="84">
        <f t="shared" si="330"/>
        <v>0</v>
      </c>
      <c r="V1376" s="84">
        <f t="shared" si="326"/>
        <v>0</v>
      </c>
      <c r="W1376" s="84">
        <v>0</v>
      </c>
      <c r="X1376" s="55">
        <f t="shared" si="327"/>
        <v>46153.577777777769</v>
      </c>
    </row>
    <row r="1377" spans="1:24" hidden="1" x14ac:dyDescent="0.35">
      <c r="A1377" s="46">
        <f t="shared" si="328"/>
        <v>46153.577777777769</v>
      </c>
      <c r="B1377" s="46"/>
      <c r="C1377" s="260"/>
      <c r="D1377" s="46"/>
      <c r="E1377" s="47" t="s">
        <v>3635</v>
      </c>
      <c r="F1377" s="48" t="s">
        <v>6087</v>
      </c>
      <c r="G1377" s="48"/>
      <c r="H1377" s="59" t="s">
        <v>1340</v>
      </c>
      <c r="I1377" s="82" t="s">
        <v>3648</v>
      </c>
      <c r="J1377" s="100"/>
      <c r="K1377" s="52">
        <v>0</v>
      </c>
      <c r="L1377" s="52">
        <v>0</v>
      </c>
      <c r="M1377" s="1040">
        <v>2</v>
      </c>
      <c r="N1377" s="53">
        <v>548600</v>
      </c>
      <c r="O1377" s="53">
        <v>1</v>
      </c>
      <c r="P1377" s="53">
        <f t="shared" si="331"/>
        <v>548600</v>
      </c>
      <c r="Q1377" s="53"/>
      <c r="R1377" s="53">
        <v>548600</v>
      </c>
      <c r="S1377" s="53">
        <f t="shared" si="324"/>
        <v>0</v>
      </c>
      <c r="T1377" s="83">
        <f t="shared" si="325"/>
        <v>43200</v>
      </c>
      <c r="U1377" s="84">
        <f t="shared" si="330"/>
        <v>0</v>
      </c>
      <c r="V1377" s="84">
        <f t="shared" si="326"/>
        <v>0</v>
      </c>
      <c r="W1377" s="84">
        <v>0</v>
      </c>
      <c r="X1377" s="55">
        <f t="shared" si="327"/>
        <v>46153.577777777769</v>
      </c>
    </row>
    <row r="1378" spans="1:24" hidden="1" x14ac:dyDescent="0.35">
      <c r="A1378" s="46">
        <f t="shared" si="328"/>
        <v>46153.577777777769</v>
      </c>
      <c r="B1378" s="46"/>
      <c r="C1378" s="260"/>
      <c r="D1378" s="46"/>
      <c r="E1378" s="47" t="s">
        <v>3635</v>
      </c>
      <c r="F1378" s="48" t="s">
        <v>6088</v>
      </c>
      <c r="G1378" s="48"/>
      <c r="H1378" s="59" t="s">
        <v>6089</v>
      </c>
      <c r="I1378" s="82" t="s">
        <v>3648</v>
      </c>
      <c r="J1378" s="100"/>
      <c r="K1378" s="52">
        <v>0</v>
      </c>
      <c r="L1378" s="52">
        <v>0</v>
      </c>
      <c r="M1378" s="1040">
        <v>2</v>
      </c>
      <c r="N1378" s="53">
        <v>700000</v>
      </c>
      <c r="O1378" s="53">
        <v>1</v>
      </c>
      <c r="P1378" s="53">
        <f t="shared" si="331"/>
        <v>700000</v>
      </c>
      <c r="Q1378" s="53"/>
      <c r="R1378" s="53">
        <v>700000</v>
      </c>
      <c r="S1378" s="53">
        <f t="shared" si="324"/>
        <v>0</v>
      </c>
      <c r="T1378" s="83">
        <f t="shared" si="325"/>
        <v>43200</v>
      </c>
      <c r="U1378" s="84">
        <f t="shared" si="330"/>
        <v>0</v>
      </c>
      <c r="V1378" s="84">
        <f t="shared" si="326"/>
        <v>0</v>
      </c>
      <c r="W1378" s="84">
        <v>0</v>
      </c>
      <c r="X1378" s="55">
        <f t="shared" si="327"/>
        <v>46153.577777777769</v>
      </c>
    </row>
    <row r="1379" spans="1:24" hidden="1" x14ac:dyDescent="0.35">
      <c r="A1379" s="46">
        <f t="shared" si="328"/>
        <v>46153.577777777769</v>
      </c>
      <c r="B1379" s="46"/>
      <c r="C1379" s="260"/>
      <c r="D1379" s="46"/>
      <c r="E1379" s="47" t="s">
        <v>3635</v>
      </c>
      <c r="F1379" s="48" t="s">
        <v>6090</v>
      </c>
      <c r="G1379" s="48"/>
      <c r="H1379" s="59" t="s">
        <v>6091</v>
      </c>
      <c r="I1379" s="82" t="s">
        <v>6092</v>
      </c>
      <c r="J1379" s="100"/>
      <c r="K1379" s="52">
        <v>0</v>
      </c>
      <c r="L1379" s="52">
        <v>0</v>
      </c>
      <c r="M1379" s="1040">
        <v>2</v>
      </c>
      <c r="N1379" s="53">
        <v>21600</v>
      </c>
      <c r="O1379" s="53">
        <v>1</v>
      </c>
      <c r="P1379" s="53">
        <f t="shared" si="331"/>
        <v>21600</v>
      </c>
      <c r="Q1379" s="53"/>
      <c r="R1379" s="53">
        <v>21600</v>
      </c>
      <c r="S1379" s="53">
        <f t="shared" si="324"/>
        <v>0</v>
      </c>
      <c r="T1379" s="83">
        <f t="shared" si="325"/>
        <v>43200</v>
      </c>
      <c r="U1379" s="84">
        <f t="shared" si="330"/>
        <v>0</v>
      </c>
      <c r="V1379" s="84">
        <f t="shared" si="326"/>
        <v>0</v>
      </c>
      <c r="W1379" s="84">
        <v>0</v>
      </c>
      <c r="X1379" s="55">
        <f t="shared" si="327"/>
        <v>46153.577777777769</v>
      </c>
    </row>
    <row r="1380" spans="1:24" hidden="1" x14ac:dyDescent="0.35">
      <c r="A1380" s="46">
        <f t="shared" si="328"/>
        <v>46153.577777777769</v>
      </c>
      <c r="B1380" s="46"/>
      <c r="C1380" s="260"/>
      <c r="D1380" s="46"/>
      <c r="E1380" s="47" t="s">
        <v>3635</v>
      </c>
      <c r="F1380" s="48" t="s">
        <v>6093</v>
      </c>
      <c r="G1380" s="48"/>
      <c r="H1380" s="59" t="s">
        <v>6094</v>
      </c>
      <c r="I1380" s="82" t="s">
        <v>3642</v>
      </c>
      <c r="J1380" s="100"/>
      <c r="K1380" s="52">
        <v>0</v>
      </c>
      <c r="L1380" s="52">
        <v>0</v>
      </c>
      <c r="M1380" s="1040">
        <v>2</v>
      </c>
      <c r="N1380" s="53">
        <v>10800</v>
      </c>
      <c r="O1380" s="53">
        <v>1</v>
      </c>
      <c r="P1380" s="53">
        <f t="shared" si="331"/>
        <v>10800</v>
      </c>
      <c r="Q1380" s="53"/>
      <c r="R1380" s="53">
        <v>10800</v>
      </c>
      <c r="S1380" s="53">
        <f t="shared" si="324"/>
        <v>0</v>
      </c>
      <c r="T1380" s="83">
        <f t="shared" si="325"/>
        <v>43200</v>
      </c>
      <c r="U1380" s="84">
        <f t="shared" si="330"/>
        <v>0</v>
      </c>
      <c r="V1380" s="84">
        <f t="shared" si="326"/>
        <v>0</v>
      </c>
      <c r="W1380" s="84">
        <v>0</v>
      </c>
      <c r="X1380" s="55">
        <f t="shared" si="327"/>
        <v>46153.577777777769</v>
      </c>
    </row>
    <row r="1381" spans="1:24" hidden="1" x14ac:dyDescent="0.35">
      <c r="A1381" s="46">
        <f t="shared" si="328"/>
        <v>46153.577777777769</v>
      </c>
      <c r="B1381" s="46"/>
      <c r="C1381" s="260"/>
      <c r="D1381" s="46"/>
      <c r="E1381" s="47"/>
      <c r="F1381" s="48"/>
      <c r="G1381" s="48"/>
      <c r="H1381" s="49"/>
      <c r="I1381" s="82"/>
      <c r="J1381" s="100"/>
      <c r="K1381" s="52"/>
      <c r="L1381" s="52"/>
      <c r="M1381" s="1040"/>
      <c r="N1381" s="53"/>
      <c r="O1381" s="53"/>
      <c r="P1381" s="53"/>
      <c r="Q1381" s="53"/>
      <c r="R1381" s="53"/>
      <c r="S1381" s="53"/>
      <c r="T1381" s="83"/>
      <c r="U1381" s="84"/>
      <c r="V1381" s="84"/>
      <c r="W1381" s="84"/>
      <c r="X1381" s="55">
        <f t="shared" si="327"/>
        <v>46153.577777777769</v>
      </c>
    </row>
    <row r="1382" spans="1:24" ht="26.5" hidden="1" x14ac:dyDescent="0.35">
      <c r="A1382" s="46">
        <f t="shared" si="328"/>
        <v>46153.577777777769</v>
      </c>
      <c r="B1382" s="46"/>
      <c r="C1382" s="260"/>
      <c r="D1382" s="46"/>
      <c r="E1382" s="119" t="s">
        <v>3634</v>
      </c>
      <c r="F1382" s="48" t="s">
        <v>6088</v>
      </c>
      <c r="G1382" s="48"/>
      <c r="H1382" s="59" t="s">
        <v>6089</v>
      </c>
      <c r="I1382" s="82" t="s">
        <v>3648</v>
      </c>
      <c r="J1382" s="100"/>
      <c r="K1382" s="52">
        <v>0</v>
      </c>
      <c r="L1382" s="52">
        <v>0</v>
      </c>
      <c r="M1382" s="1040">
        <v>2.855</v>
      </c>
      <c r="N1382" s="53">
        <v>624400</v>
      </c>
      <c r="O1382" s="53">
        <v>1</v>
      </c>
      <c r="P1382" s="53">
        <f t="shared" ref="P1382:P1445" si="332">N1382/O1382</f>
        <v>624400</v>
      </c>
      <c r="Q1382" s="53"/>
      <c r="R1382" s="53">
        <v>624400</v>
      </c>
      <c r="S1382" s="53">
        <f t="shared" ref="S1382:S1445" si="333">P1382-R1382</f>
        <v>0</v>
      </c>
      <c r="T1382" s="83">
        <f t="shared" ref="T1382:T1445" si="334">((3600/M1382)*O1382)*24</f>
        <v>30262.697022767075</v>
      </c>
      <c r="U1382" s="84">
        <f t="shared" ref="U1382:U1445" si="335">(P1382-R1382)*M1382/3600</f>
        <v>0</v>
      </c>
      <c r="V1382" s="84">
        <f t="shared" ref="V1382:V1445" si="336">(P1382-R1382)*M1382/3600/24</f>
        <v>0</v>
      </c>
      <c r="W1382" s="84">
        <v>0</v>
      </c>
      <c r="X1382" s="55">
        <f t="shared" si="327"/>
        <v>46153.577777777769</v>
      </c>
    </row>
    <row r="1383" spans="1:24" ht="26.5" hidden="1" x14ac:dyDescent="0.35">
      <c r="A1383" s="46">
        <f t="shared" si="328"/>
        <v>46153.577777777769</v>
      </c>
      <c r="B1383" s="46"/>
      <c r="C1383" s="260"/>
      <c r="D1383" s="46"/>
      <c r="E1383" s="119" t="s">
        <v>3634</v>
      </c>
      <c r="F1383" s="48" t="s">
        <v>6095</v>
      </c>
      <c r="G1383" s="48"/>
      <c r="H1383" s="59" t="s">
        <v>436</v>
      </c>
      <c r="I1383" s="390" t="s">
        <v>3637</v>
      </c>
      <c r="J1383" s="100"/>
      <c r="K1383" s="52">
        <v>0</v>
      </c>
      <c r="L1383" s="52">
        <v>0</v>
      </c>
      <c r="M1383" s="1040">
        <v>2.855</v>
      </c>
      <c r="N1383" s="53">
        <v>21600</v>
      </c>
      <c r="O1383" s="53">
        <v>1</v>
      </c>
      <c r="P1383" s="53">
        <f t="shared" si="332"/>
        <v>21600</v>
      </c>
      <c r="Q1383" s="53"/>
      <c r="R1383" s="53">
        <v>21600</v>
      </c>
      <c r="S1383" s="53">
        <f t="shared" si="333"/>
        <v>0</v>
      </c>
      <c r="T1383" s="83">
        <f t="shared" si="334"/>
        <v>30262.697022767075</v>
      </c>
      <c r="U1383" s="84">
        <f t="shared" si="335"/>
        <v>0</v>
      </c>
      <c r="V1383" s="84">
        <f t="shared" si="336"/>
        <v>0</v>
      </c>
      <c r="W1383" s="84">
        <v>0</v>
      </c>
      <c r="X1383" s="55">
        <f t="shared" si="327"/>
        <v>46153.577777777769</v>
      </c>
    </row>
    <row r="1384" spans="1:24" ht="26.5" hidden="1" x14ac:dyDescent="0.35">
      <c r="A1384" s="46">
        <f t="shared" si="328"/>
        <v>46153.577777777769</v>
      </c>
      <c r="B1384" s="46"/>
      <c r="C1384" s="260"/>
      <c r="D1384" s="46"/>
      <c r="E1384" s="119" t="s">
        <v>3634</v>
      </c>
      <c r="F1384" s="48" t="s">
        <v>6096</v>
      </c>
      <c r="G1384" s="48"/>
      <c r="H1384" s="59" t="s">
        <v>6097</v>
      </c>
      <c r="I1384" s="82" t="s">
        <v>6092</v>
      </c>
      <c r="J1384" s="77"/>
      <c r="K1384" s="52">
        <v>0</v>
      </c>
      <c r="L1384" s="52">
        <v>0</v>
      </c>
      <c r="M1384" s="1040">
        <v>2.855</v>
      </c>
      <c r="N1384" s="53">
        <v>10800</v>
      </c>
      <c r="O1384" s="53">
        <v>1</v>
      </c>
      <c r="P1384" s="53">
        <f t="shared" si="332"/>
        <v>10800</v>
      </c>
      <c r="Q1384" s="53"/>
      <c r="R1384" s="53">
        <v>10800</v>
      </c>
      <c r="S1384" s="53">
        <f t="shared" si="333"/>
        <v>0</v>
      </c>
      <c r="T1384" s="83">
        <f t="shared" si="334"/>
        <v>30262.697022767075</v>
      </c>
      <c r="U1384" s="84">
        <f t="shared" si="335"/>
        <v>0</v>
      </c>
      <c r="V1384" s="84">
        <f t="shared" si="336"/>
        <v>0</v>
      </c>
      <c r="W1384" s="84">
        <v>0</v>
      </c>
      <c r="X1384" s="55">
        <f t="shared" si="327"/>
        <v>46153.577777777769</v>
      </c>
    </row>
    <row r="1385" spans="1:24" ht="26.5" hidden="1" x14ac:dyDescent="0.35">
      <c r="A1385" s="46">
        <f t="shared" si="328"/>
        <v>46153.577777777769</v>
      </c>
      <c r="B1385" s="46"/>
      <c r="C1385" s="260"/>
      <c r="D1385" s="46"/>
      <c r="E1385" s="119" t="s">
        <v>3634</v>
      </c>
      <c r="F1385" s="48" t="s">
        <v>6096</v>
      </c>
      <c r="G1385" s="48"/>
      <c r="H1385" s="59" t="s">
        <v>6098</v>
      </c>
      <c r="I1385" s="82" t="s">
        <v>6099</v>
      </c>
      <c r="J1385" s="77"/>
      <c r="K1385" s="52">
        <v>0</v>
      </c>
      <c r="L1385" s="52">
        <v>0</v>
      </c>
      <c r="M1385" s="1040">
        <v>2.855</v>
      </c>
      <c r="N1385" s="53">
        <v>50000</v>
      </c>
      <c r="O1385" s="53">
        <v>1</v>
      </c>
      <c r="P1385" s="53">
        <f t="shared" si="332"/>
        <v>50000</v>
      </c>
      <c r="Q1385" s="53"/>
      <c r="R1385" s="53">
        <v>50000</v>
      </c>
      <c r="S1385" s="53">
        <f t="shared" si="333"/>
        <v>0</v>
      </c>
      <c r="T1385" s="83">
        <f t="shared" si="334"/>
        <v>30262.697022767075</v>
      </c>
      <c r="U1385" s="84">
        <f t="shared" si="335"/>
        <v>0</v>
      </c>
      <c r="V1385" s="84">
        <f t="shared" si="336"/>
        <v>0</v>
      </c>
      <c r="W1385" s="84">
        <v>0</v>
      </c>
      <c r="X1385" s="55">
        <f t="shared" si="327"/>
        <v>46153.577777777769</v>
      </c>
    </row>
    <row r="1386" spans="1:24" ht="26.5" hidden="1" x14ac:dyDescent="0.35">
      <c r="A1386" s="46">
        <f t="shared" si="328"/>
        <v>46153.577777777769</v>
      </c>
      <c r="B1386" s="46"/>
      <c r="C1386" s="260"/>
      <c r="D1386" s="46"/>
      <c r="E1386" s="119" t="s">
        <v>3634</v>
      </c>
      <c r="F1386" s="48" t="s">
        <v>6096</v>
      </c>
      <c r="G1386" s="48"/>
      <c r="H1386" s="59" t="s">
        <v>6100</v>
      </c>
      <c r="I1386" s="82" t="s">
        <v>6101</v>
      </c>
      <c r="J1386" s="77"/>
      <c r="K1386" s="52">
        <v>0</v>
      </c>
      <c r="L1386" s="52">
        <v>0</v>
      </c>
      <c r="M1386" s="1040">
        <v>2.855</v>
      </c>
      <c r="N1386" s="53">
        <v>10800</v>
      </c>
      <c r="O1386" s="53">
        <v>1</v>
      </c>
      <c r="P1386" s="53">
        <f t="shared" si="332"/>
        <v>10800</v>
      </c>
      <c r="Q1386" s="53"/>
      <c r="R1386" s="53">
        <v>10800</v>
      </c>
      <c r="S1386" s="53">
        <f t="shared" si="333"/>
        <v>0</v>
      </c>
      <c r="T1386" s="83">
        <f t="shared" si="334"/>
        <v>30262.697022767075</v>
      </c>
      <c r="U1386" s="84">
        <f t="shared" si="335"/>
        <v>0</v>
      </c>
      <c r="V1386" s="84">
        <f t="shared" si="336"/>
        <v>0</v>
      </c>
      <c r="W1386" s="84">
        <v>0</v>
      </c>
      <c r="X1386" s="55">
        <f t="shared" si="327"/>
        <v>46153.577777777769</v>
      </c>
    </row>
    <row r="1387" spans="1:24" ht="26.5" hidden="1" x14ac:dyDescent="0.35">
      <c r="A1387" s="46">
        <f t="shared" si="328"/>
        <v>46153.577777777769</v>
      </c>
      <c r="B1387" s="46"/>
      <c r="C1387" s="260"/>
      <c r="D1387" s="46"/>
      <c r="E1387" s="119" t="s">
        <v>3634</v>
      </c>
      <c r="F1387" s="48" t="s">
        <v>6102</v>
      </c>
      <c r="G1387" s="48"/>
      <c r="H1387" s="59" t="s">
        <v>2334</v>
      </c>
      <c r="I1387" s="82" t="s">
        <v>6103</v>
      </c>
      <c r="J1387" s="100"/>
      <c r="K1387" s="52">
        <v>0</v>
      </c>
      <c r="L1387" s="52">
        <v>0</v>
      </c>
      <c r="M1387" s="1040">
        <v>2.855</v>
      </c>
      <c r="N1387" s="53">
        <v>10800</v>
      </c>
      <c r="O1387" s="53">
        <v>1</v>
      </c>
      <c r="P1387" s="53">
        <f t="shared" si="332"/>
        <v>10800</v>
      </c>
      <c r="Q1387" s="53"/>
      <c r="R1387" s="53">
        <v>10800</v>
      </c>
      <c r="S1387" s="53">
        <f t="shared" si="333"/>
        <v>0</v>
      </c>
      <c r="T1387" s="83">
        <f t="shared" si="334"/>
        <v>30262.697022767075</v>
      </c>
      <c r="U1387" s="84">
        <f t="shared" si="335"/>
        <v>0</v>
      </c>
      <c r="V1387" s="84">
        <f t="shared" si="336"/>
        <v>0</v>
      </c>
      <c r="W1387" s="84">
        <v>0</v>
      </c>
      <c r="X1387" s="55">
        <f t="shared" si="327"/>
        <v>46153.577777777769</v>
      </c>
    </row>
    <row r="1388" spans="1:24" ht="26.5" hidden="1" x14ac:dyDescent="0.35">
      <c r="A1388" s="46">
        <f t="shared" si="328"/>
        <v>46153.577777777769</v>
      </c>
      <c r="B1388" s="46"/>
      <c r="C1388" s="260"/>
      <c r="D1388" s="46"/>
      <c r="E1388" s="119" t="s">
        <v>3634</v>
      </c>
      <c r="F1388" s="48" t="s">
        <v>6104</v>
      </c>
      <c r="G1388" s="48"/>
      <c r="H1388" s="59" t="s">
        <v>6105</v>
      </c>
      <c r="I1388" s="82" t="s">
        <v>3648</v>
      </c>
      <c r="J1388" s="100"/>
      <c r="K1388" s="52">
        <v>0</v>
      </c>
      <c r="L1388" s="52">
        <v>0</v>
      </c>
      <c r="M1388" s="1040">
        <v>2.855</v>
      </c>
      <c r="N1388" s="53">
        <v>7200</v>
      </c>
      <c r="O1388" s="53">
        <v>1</v>
      </c>
      <c r="P1388" s="53">
        <f t="shared" si="332"/>
        <v>7200</v>
      </c>
      <c r="Q1388" s="53"/>
      <c r="R1388" s="53">
        <v>7200</v>
      </c>
      <c r="S1388" s="53">
        <f t="shared" si="333"/>
        <v>0</v>
      </c>
      <c r="T1388" s="83">
        <f t="shared" si="334"/>
        <v>30262.697022767075</v>
      </c>
      <c r="U1388" s="84">
        <f t="shared" si="335"/>
        <v>0</v>
      </c>
      <c r="V1388" s="84">
        <f t="shared" si="336"/>
        <v>0</v>
      </c>
      <c r="W1388" s="84">
        <v>0</v>
      </c>
      <c r="X1388" s="55">
        <f t="shared" si="327"/>
        <v>46153.577777777769</v>
      </c>
    </row>
    <row r="1389" spans="1:24" ht="26.5" hidden="1" x14ac:dyDescent="0.35">
      <c r="A1389" s="46">
        <f t="shared" si="328"/>
        <v>46153.577777777769</v>
      </c>
      <c r="B1389" s="46"/>
      <c r="C1389" s="260"/>
      <c r="D1389" s="46"/>
      <c r="E1389" s="119" t="s">
        <v>3634</v>
      </c>
      <c r="F1389" s="48" t="s">
        <v>6106</v>
      </c>
      <c r="G1389" s="48"/>
      <c r="H1389" s="59" t="s">
        <v>6107</v>
      </c>
      <c r="I1389" s="82" t="s">
        <v>3648</v>
      </c>
      <c r="J1389" s="100"/>
      <c r="K1389" s="52">
        <v>0</v>
      </c>
      <c r="L1389" s="52">
        <v>0</v>
      </c>
      <c r="M1389" s="1040">
        <v>2.855</v>
      </c>
      <c r="N1389" s="53">
        <v>120000</v>
      </c>
      <c r="O1389" s="53">
        <v>1</v>
      </c>
      <c r="P1389" s="53">
        <f t="shared" si="332"/>
        <v>120000</v>
      </c>
      <c r="Q1389" s="53"/>
      <c r="R1389" s="53">
        <v>120000</v>
      </c>
      <c r="S1389" s="53">
        <f t="shared" si="333"/>
        <v>0</v>
      </c>
      <c r="T1389" s="83">
        <f t="shared" si="334"/>
        <v>30262.697022767075</v>
      </c>
      <c r="U1389" s="84">
        <f t="shared" si="335"/>
        <v>0</v>
      </c>
      <c r="V1389" s="84">
        <f t="shared" si="336"/>
        <v>0</v>
      </c>
      <c r="W1389" s="84">
        <v>0</v>
      </c>
      <c r="X1389" s="55">
        <f t="shared" si="327"/>
        <v>46153.577777777769</v>
      </c>
    </row>
    <row r="1390" spans="1:24" ht="26.5" hidden="1" x14ac:dyDescent="0.35">
      <c r="A1390" s="46">
        <f t="shared" si="328"/>
        <v>46153.577777777769</v>
      </c>
      <c r="B1390" s="46"/>
      <c r="C1390" s="260"/>
      <c r="D1390" s="46"/>
      <c r="E1390" s="119" t="s">
        <v>3634</v>
      </c>
      <c r="F1390" s="48" t="s">
        <v>6108</v>
      </c>
      <c r="G1390" s="48"/>
      <c r="H1390" s="59" t="s">
        <v>6109</v>
      </c>
      <c r="I1390" s="82" t="s">
        <v>3648</v>
      </c>
      <c r="J1390" s="100"/>
      <c r="K1390" s="52">
        <v>0</v>
      </c>
      <c r="L1390" s="52">
        <v>0</v>
      </c>
      <c r="M1390" s="1040">
        <v>2.855</v>
      </c>
      <c r="N1390" s="53">
        <v>21600</v>
      </c>
      <c r="O1390" s="53">
        <v>1</v>
      </c>
      <c r="P1390" s="53">
        <f t="shared" si="332"/>
        <v>21600</v>
      </c>
      <c r="Q1390" s="53"/>
      <c r="R1390" s="53">
        <v>21600</v>
      </c>
      <c r="S1390" s="53">
        <f t="shared" si="333"/>
        <v>0</v>
      </c>
      <c r="T1390" s="83">
        <f t="shared" si="334"/>
        <v>30262.697022767075</v>
      </c>
      <c r="U1390" s="84">
        <f t="shared" si="335"/>
        <v>0</v>
      </c>
      <c r="V1390" s="84">
        <f t="shared" si="336"/>
        <v>0</v>
      </c>
      <c r="W1390" s="84">
        <v>0</v>
      </c>
      <c r="X1390" s="55">
        <f t="shared" si="327"/>
        <v>46153.577777777769</v>
      </c>
    </row>
    <row r="1391" spans="1:24" ht="26.5" hidden="1" x14ac:dyDescent="0.35">
      <c r="A1391" s="46">
        <f t="shared" si="328"/>
        <v>46153.577777777769</v>
      </c>
      <c r="B1391" s="46"/>
      <c r="C1391" s="260"/>
      <c r="D1391" s="46"/>
      <c r="E1391" s="119" t="s">
        <v>3634</v>
      </c>
      <c r="F1391" s="48" t="s">
        <v>6110</v>
      </c>
      <c r="G1391" s="48"/>
      <c r="H1391" s="59" t="s">
        <v>2336</v>
      </c>
      <c r="I1391" s="82" t="s">
        <v>6071</v>
      </c>
      <c r="J1391" s="82"/>
      <c r="K1391" s="52">
        <v>0</v>
      </c>
      <c r="L1391" s="52">
        <v>0</v>
      </c>
      <c r="M1391" s="1040">
        <v>2.855</v>
      </c>
      <c r="N1391" s="53">
        <v>21600</v>
      </c>
      <c r="O1391" s="53">
        <v>1</v>
      </c>
      <c r="P1391" s="53">
        <f t="shared" si="332"/>
        <v>21600</v>
      </c>
      <c r="Q1391" s="53"/>
      <c r="R1391" s="53">
        <v>21600</v>
      </c>
      <c r="S1391" s="53">
        <f t="shared" si="333"/>
        <v>0</v>
      </c>
      <c r="T1391" s="83">
        <f t="shared" si="334"/>
        <v>30262.697022767075</v>
      </c>
      <c r="U1391" s="84">
        <f t="shared" si="335"/>
        <v>0</v>
      </c>
      <c r="V1391" s="84">
        <f t="shared" si="336"/>
        <v>0</v>
      </c>
      <c r="W1391" s="84">
        <v>0</v>
      </c>
      <c r="X1391" s="55">
        <f t="shared" si="327"/>
        <v>46153.577777777769</v>
      </c>
    </row>
    <row r="1392" spans="1:24" ht="29" hidden="1" x14ac:dyDescent="0.35">
      <c r="A1392" s="46">
        <f t="shared" si="328"/>
        <v>46153.577777777769</v>
      </c>
      <c r="B1392" s="46"/>
      <c r="C1392" s="260"/>
      <c r="D1392" s="46"/>
      <c r="E1392" s="119" t="s">
        <v>3634</v>
      </c>
      <c r="F1392" s="48" t="s">
        <v>898</v>
      </c>
      <c r="G1392" s="48"/>
      <c r="H1392" s="59" t="s">
        <v>6111</v>
      </c>
      <c r="I1392" s="82" t="s">
        <v>3648</v>
      </c>
      <c r="J1392" s="100" t="s">
        <v>140</v>
      </c>
      <c r="K1392" s="52">
        <v>0</v>
      </c>
      <c r="L1392" s="52">
        <v>0</v>
      </c>
      <c r="M1392" s="1040">
        <v>2.855</v>
      </c>
      <c r="N1392" s="53">
        <v>500000</v>
      </c>
      <c r="O1392" s="53">
        <v>1</v>
      </c>
      <c r="P1392" s="53">
        <f t="shared" si="332"/>
        <v>500000</v>
      </c>
      <c r="Q1392" s="53"/>
      <c r="R1392" s="53">
        <v>500000</v>
      </c>
      <c r="S1392" s="53">
        <f t="shared" si="333"/>
        <v>0</v>
      </c>
      <c r="T1392" s="83">
        <f t="shared" si="334"/>
        <v>30262.697022767075</v>
      </c>
      <c r="U1392" s="84">
        <f t="shared" si="335"/>
        <v>0</v>
      </c>
      <c r="V1392" s="84">
        <f t="shared" si="336"/>
        <v>0</v>
      </c>
      <c r="W1392" s="84">
        <v>0</v>
      </c>
      <c r="X1392" s="55">
        <f t="shared" si="327"/>
        <v>46153.577777777769</v>
      </c>
    </row>
    <row r="1393" spans="1:24" ht="29" hidden="1" x14ac:dyDescent="0.35">
      <c r="A1393" s="46">
        <f t="shared" si="328"/>
        <v>46153.577777777769</v>
      </c>
      <c r="B1393" s="46"/>
      <c r="C1393" s="260"/>
      <c r="D1393" s="46"/>
      <c r="E1393" s="119" t="s">
        <v>3634</v>
      </c>
      <c r="F1393" s="48" t="s">
        <v>898</v>
      </c>
      <c r="G1393" s="48"/>
      <c r="H1393" s="59" t="s">
        <v>6112</v>
      </c>
      <c r="I1393" s="82" t="s">
        <v>6101</v>
      </c>
      <c r="J1393" s="100" t="s">
        <v>140</v>
      </c>
      <c r="K1393" s="52">
        <v>0</v>
      </c>
      <c r="L1393" s="52">
        <v>0</v>
      </c>
      <c r="M1393" s="1040">
        <v>2.855</v>
      </c>
      <c r="N1393" s="53">
        <v>20000</v>
      </c>
      <c r="O1393" s="53">
        <v>1</v>
      </c>
      <c r="P1393" s="53">
        <f t="shared" si="332"/>
        <v>20000</v>
      </c>
      <c r="Q1393" s="53"/>
      <c r="R1393" s="53">
        <v>20000</v>
      </c>
      <c r="S1393" s="53">
        <f t="shared" si="333"/>
        <v>0</v>
      </c>
      <c r="T1393" s="83">
        <f t="shared" si="334"/>
        <v>30262.697022767075</v>
      </c>
      <c r="U1393" s="84">
        <f t="shared" si="335"/>
        <v>0</v>
      </c>
      <c r="V1393" s="84">
        <f t="shared" si="336"/>
        <v>0</v>
      </c>
      <c r="W1393" s="84">
        <v>0</v>
      </c>
      <c r="X1393" s="55">
        <f t="shared" si="327"/>
        <v>46153.577777777769</v>
      </c>
    </row>
    <row r="1394" spans="1:24" ht="29" hidden="1" x14ac:dyDescent="0.35">
      <c r="A1394" s="46">
        <f t="shared" si="328"/>
        <v>46153.577777777769</v>
      </c>
      <c r="B1394" s="46"/>
      <c r="C1394" s="260"/>
      <c r="D1394" s="46"/>
      <c r="E1394" s="119" t="s">
        <v>3634</v>
      </c>
      <c r="F1394" s="48" t="s">
        <v>898</v>
      </c>
      <c r="G1394" s="48"/>
      <c r="H1394" s="59" t="s">
        <v>6113</v>
      </c>
      <c r="I1394" s="82" t="s">
        <v>3648</v>
      </c>
      <c r="J1394" s="100" t="s">
        <v>140</v>
      </c>
      <c r="K1394" s="52">
        <v>0</v>
      </c>
      <c r="L1394" s="52">
        <v>0</v>
      </c>
      <c r="M1394" s="1040">
        <v>2.855</v>
      </c>
      <c r="N1394" s="53">
        <v>500000</v>
      </c>
      <c r="O1394" s="53">
        <v>1</v>
      </c>
      <c r="P1394" s="53">
        <f t="shared" si="332"/>
        <v>500000</v>
      </c>
      <c r="Q1394" s="53"/>
      <c r="R1394" s="53">
        <v>500000</v>
      </c>
      <c r="S1394" s="53">
        <f t="shared" si="333"/>
        <v>0</v>
      </c>
      <c r="T1394" s="83">
        <f t="shared" si="334"/>
        <v>30262.697022767075</v>
      </c>
      <c r="U1394" s="84">
        <f t="shared" si="335"/>
        <v>0</v>
      </c>
      <c r="V1394" s="84">
        <f t="shared" si="336"/>
        <v>0</v>
      </c>
      <c r="W1394" s="84">
        <v>0</v>
      </c>
      <c r="X1394" s="55">
        <f t="shared" si="327"/>
        <v>46153.577777777769</v>
      </c>
    </row>
    <row r="1395" spans="1:24" ht="26.5" hidden="1" x14ac:dyDescent="0.35">
      <c r="A1395" s="46">
        <f t="shared" si="328"/>
        <v>46153.577777777769</v>
      </c>
      <c r="B1395" s="46"/>
      <c r="C1395" s="260"/>
      <c r="D1395" s="46"/>
      <c r="E1395" s="119" t="s">
        <v>3634</v>
      </c>
      <c r="F1395" s="82" t="s">
        <v>215</v>
      </c>
      <c r="G1395" s="82"/>
      <c r="H1395" s="107" t="s">
        <v>6114</v>
      </c>
      <c r="I1395" s="82" t="s">
        <v>3648</v>
      </c>
      <c r="J1395" s="100" t="s">
        <v>140</v>
      </c>
      <c r="K1395" s="91">
        <v>0</v>
      </c>
      <c r="L1395" s="91">
        <v>0</v>
      </c>
      <c r="M1395" s="1041">
        <v>2.855</v>
      </c>
      <c r="N1395" s="92">
        <v>500000</v>
      </c>
      <c r="O1395" s="92">
        <v>1</v>
      </c>
      <c r="P1395" s="92">
        <f t="shared" si="332"/>
        <v>500000</v>
      </c>
      <c r="Q1395" s="92"/>
      <c r="R1395" s="92">
        <v>500000</v>
      </c>
      <c r="S1395" s="92">
        <f t="shared" si="333"/>
        <v>0</v>
      </c>
      <c r="T1395" s="102">
        <f t="shared" si="334"/>
        <v>30262.697022767075</v>
      </c>
      <c r="U1395" s="101">
        <f t="shared" si="335"/>
        <v>0</v>
      </c>
      <c r="V1395" s="101">
        <f t="shared" si="336"/>
        <v>0</v>
      </c>
      <c r="W1395" s="101">
        <v>0</v>
      </c>
      <c r="X1395" s="55">
        <f t="shared" si="327"/>
        <v>46153.577777777769</v>
      </c>
    </row>
    <row r="1396" spans="1:24" ht="26.5" hidden="1" x14ac:dyDescent="0.35">
      <c r="A1396" s="46">
        <f t="shared" si="328"/>
        <v>46153.577777777769</v>
      </c>
      <c r="B1396" s="46"/>
      <c r="C1396" s="260"/>
      <c r="D1396" s="46"/>
      <c r="E1396" s="119" t="s">
        <v>3634</v>
      </c>
      <c r="F1396" s="82" t="s">
        <v>6115</v>
      </c>
      <c r="G1396" s="82"/>
      <c r="H1396" s="107" t="s">
        <v>6116</v>
      </c>
      <c r="I1396" s="82" t="s">
        <v>3637</v>
      </c>
      <c r="J1396" s="100" t="s">
        <v>140</v>
      </c>
      <c r="K1396" s="91">
        <v>0</v>
      </c>
      <c r="L1396" s="91">
        <v>0</v>
      </c>
      <c r="M1396" s="1041">
        <v>2.855</v>
      </c>
      <c r="N1396" s="92">
        <v>10800</v>
      </c>
      <c r="O1396" s="92">
        <v>1</v>
      </c>
      <c r="P1396" s="92">
        <f t="shared" si="332"/>
        <v>10800</v>
      </c>
      <c r="Q1396" s="92"/>
      <c r="R1396" s="92">
        <v>10800</v>
      </c>
      <c r="S1396" s="92">
        <f t="shared" si="333"/>
        <v>0</v>
      </c>
      <c r="T1396" s="102">
        <f t="shared" si="334"/>
        <v>30262.697022767075</v>
      </c>
      <c r="U1396" s="101">
        <f t="shared" si="335"/>
        <v>0</v>
      </c>
      <c r="V1396" s="101">
        <f t="shared" si="336"/>
        <v>0</v>
      </c>
      <c r="W1396" s="101">
        <v>0</v>
      </c>
      <c r="X1396" s="55">
        <f t="shared" si="327"/>
        <v>46153.577777777769</v>
      </c>
    </row>
    <row r="1397" spans="1:24" ht="26.5" hidden="1" x14ac:dyDescent="0.35">
      <c r="A1397" s="46">
        <f t="shared" si="328"/>
        <v>46153.577777777769</v>
      </c>
      <c r="B1397" s="46"/>
      <c r="C1397" s="260"/>
      <c r="D1397" s="46"/>
      <c r="E1397" s="119" t="s">
        <v>3634</v>
      </c>
      <c r="F1397" s="82" t="s">
        <v>6117</v>
      </c>
      <c r="G1397" s="82"/>
      <c r="H1397" s="107" t="s">
        <v>2341</v>
      </c>
      <c r="I1397" s="82" t="s">
        <v>3637</v>
      </c>
      <c r="J1397" s="100" t="s">
        <v>140</v>
      </c>
      <c r="K1397" s="91">
        <v>0</v>
      </c>
      <c r="L1397" s="91">
        <v>0</v>
      </c>
      <c r="M1397" s="1041">
        <v>2.855</v>
      </c>
      <c r="N1397" s="92">
        <v>10800</v>
      </c>
      <c r="O1397" s="92">
        <v>1</v>
      </c>
      <c r="P1397" s="92">
        <f t="shared" si="332"/>
        <v>10800</v>
      </c>
      <c r="Q1397" s="92"/>
      <c r="R1397" s="92">
        <v>10800</v>
      </c>
      <c r="S1397" s="92">
        <f t="shared" si="333"/>
        <v>0</v>
      </c>
      <c r="T1397" s="102">
        <f t="shared" si="334"/>
        <v>30262.697022767075</v>
      </c>
      <c r="U1397" s="101">
        <f t="shared" si="335"/>
        <v>0</v>
      </c>
      <c r="V1397" s="101">
        <f t="shared" si="336"/>
        <v>0</v>
      </c>
      <c r="W1397" s="101">
        <v>0</v>
      </c>
      <c r="X1397" s="55">
        <f t="shared" si="327"/>
        <v>46153.577777777769</v>
      </c>
    </row>
    <row r="1398" spans="1:24" ht="26.5" hidden="1" x14ac:dyDescent="0.35">
      <c r="A1398" s="46">
        <f t="shared" si="328"/>
        <v>46153.577777777769</v>
      </c>
      <c r="B1398" s="46"/>
      <c r="C1398" s="260"/>
      <c r="D1398" s="46"/>
      <c r="E1398" s="119" t="s">
        <v>3634</v>
      </c>
      <c r="F1398" s="82" t="s">
        <v>6117</v>
      </c>
      <c r="G1398" s="82"/>
      <c r="H1398" s="107" t="s">
        <v>6118</v>
      </c>
      <c r="I1398" s="82" t="s">
        <v>6119</v>
      </c>
      <c r="J1398" s="100" t="s">
        <v>140</v>
      </c>
      <c r="K1398" s="91">
        <v>0</v>
      </c>
      <c r="L1398" s="91">
        <v>0</v>
      </c>
      <c r="M1398" s="1041">
        <v>2.855</v>
      </c>
      <c r="N1398" s="92">
        <v>10800</v>
      </c>
      <c r="O1398" s="92">
        <v>1</v>
      </c>
      <c r="P1398" s="92">
        <f t="shared" si="332"/>
        <v>10800</v>
      </c>
      <c r="Q1398" s="92"/>
      <c r="R1398" s="92">
        <v>1800</v>
      </c>
      <c r="S1398" s="92">
        <f t="shared" si="333"/>
        <v>9000</v>
      </c>
      <c r="T1398" s="102">
        <f t="shared" si="334"/>
        <v>30262.697022767075</v>
      </c>
      <c r="U1398" s="101">
        <f t="shared" si="335"/>
        <v>7.1375000000000002</v>
      </c>
      <c r="V1398" s="101">
        <f t="shared" si="336"/>
        <v>0.29739583333333336</v>
      </c>
      <c r="W1398" s="101">
        <v>0</v>
      </c>
      <c r="X1398" s="55">
        <f t="shared" si="327"/>
        <v>46153.875173611101</v>
      </c>
    </row>
    <row r="1399" spans="1:24" ht="26.5" hidden="1" x14ac:dyDescent="0.35">
      <c r="A1399" s="46">
        <f t="shared" si="328"/>
        <v>46153.875173611101</v>
      </c>
      <c r="B1399" s="46"/>
      <c r="C1399" s="260"/>
      <c r="D1399" s="46"/>
      <c r="E1399" s="119" t="s">
        <v>3634</v>
      </c>
      <c r="F1399" s="82" t="s">
        <v>6120</v>
      </c>
      <c r="G1399" s="82"/>
      <c r="H1399" s="107" t="s">
        <v>6121</v>
      </c>
      <c r="I1399" s="82" t="s">
        <v>3637</v>
      </c>
      <c r="J1399" s="100" t="s">
        <v>140</v>
      </c>
      <c r="K1399" s="91">
        <v>0</v>
      </c>
      <c r="L1399" s="91">
        <v>0</v>
      </c>
      <c r="M1399" s="1041">
        <v>2.855</v>
      </c>
      <c r="N1399" s="92">
        <v>10800</v>
      </c>
      <c r="O1399" s="92">
        <v>1</v>
      </c>
      <c r="P1399" s="92">
        <f t="shared" si="332"/>
        <v>10800</v>
      </c>
      <c r="Q1399" s="92"/>
      <c r="R1399" s="92">
        <v>10800</v>
      </c>
      <c r="S1399" s="92">
        <f t="shared" si="333"/>
        <v>0</v>
      </c>
      <c r="T1399" s="102">
        <f t="shared" si="334"/>
        <v>30262.697022767075</v>
      </c>
      <c r="U1399" s="101">
        <f t="shared" si="335"/>
        <v>0</v>
      </c>
      <c r="V1399" s="101">
        <f t="shared" si="336"/>
        <v>0</v>
      </c>
      <c r="W1399" s="101">
        <v>0</v>
      </c>
      <c r="X1399" s="55">
        <f t="shared" si="327"/>
        <v>46153.875173611101</v>
      </c>
    </row>
    <row r="1400" spans="1:24" ht="26.5" hidden="1" x14ac:dyDescent="0.35">
      <c r="A1400" s="46">
        <f t="shared" si="328"/>
        <v>46153.875173611101</v>
      </c>
      <c r="B1400" s="46"/>
      <c r="C1400" s="260"/>
      <c r="D1400" s="46"/>
      <c r="E1400" s="119" t="s">
        <v>3634</v>
      </c>
      <c r="F1400" s="82" t="s">
        <v>6122</v>
      </c>
      <c r="G1400" s="82"/>
      <c r="H1400" s="107" t="s">
        <v>6123</v>
      </c>
      <c r="I1400" s="82" t="s">
        <v>3637</v>
      </c>
      <c r="J1400" s="100" t="s">
        <v>140</v>
      </c>
      <c r="K1400" s="91">
        <v>0</v>
      </c>
      <c r="L1400" s="91">
        <v>0</v>
      </c>
      <c r="M1400" s="1041">
        <v>2.855</v>
      </c>
      <c r="N1400" s="92">
        <f>10800*2</f>
        <v>21600</v>
      </c>
      <c r="O1400" s="92">
        <v>1</v>
      </c>
      <c r="P1400" s="92">
        <f t="shared" si="332"/>
        <v>21600</v>
      </c>
      <c r="Q1400" s="92"/>
      <c r="R1400" s="92">
        <v>21600</v>
      </c>
      <c r="S1400" s="92">
        <f t="shared" si="333"/>
        <v>0</v>
      </c>
      <c r="T1400" s="102">
        <f t="shared" si="334"/>
        <v>30262.697022767075</v>
      </c>
      <c r="U1400" s="101">
        <f t="shared" si="335"/>
        <v>0</v>
      </c>
      <c r="V1400" s="101">
        <f t="shared" si="336"/>
        <v>0</v>
      </c>
      <c r="W1400" s="101">
        <v>0</v>
      </c>
      <c r="X1400" s="55">
        <f t="shared" si="327"/>
        <v>46153.875173611101</v>
      </c>
    </row>
    <row r="1401" spans="1:24" ht="26.5" hidden="1" x14ac:dyDescent="0.35">
      <c r="A1401" s="46">
        <f t="shared" si="328"/>
        <v>46153.875173611101</v>
      </c>
      <c r="B1401" s="46"/>
      <c r="C1401" s="260"/>
      <c r="D1401" s="46"/>
      <c r="E1401" s="119" t="s">
        <v>3634</v>
      </c>
      <c r="F1401" s="48" t="s">
        <v>6124</v>
      </c>
      <c r="G1401" s="48"/>
      <c r="H1401" s="107" t="s">
        <v>6125</v>
      </c>
      <c r="I1401" s="82" t="s">
        <v>6126</v>
      </c>
      <c r="J1401" s="100" t="s">
        <v>140</v>
      </c>
      <c r="K1401" s="91">
        <v>0</v>
      </c>
      <c r="L1401" s="91">
        <v>0</v>
      </c>
      <c r="M1401" s="1041">
        <v>2.855</v>
      </c>
      <c r="N1401" s="92">
        <v>10800</v>
      </c>
      <c r="O1401" s="92">
        <v>1</v>
      </c>
      <c r="P1401" s="92">
        <f t="shared" si="332"/>
        <v>10800</v>
      </c>
      <c r="Q1401" s="92"/>
      <c r="R1401" s="92">
        <v>10800</v>
      </c>
      <c r="S1401" s="92">
        <f t="shared" si="333"/>
        <v>0</v>
      </c>
      <c r="T1401" s="102">
        <f t="shared" si="334"/>
        <v>30262.697022767075</v>
      </c>
      <c r="U1401" s="101">
        <f t="shared" si="335"/>
        <v>0</v>
      </c>
      <c r="V1401" s="101">
        <f t="shared" si="336"/>
        <v>0</v>
      </c>
      <c r="W1401" s="101">
        <v>0</v>
      </c>
      <c r="X1401" s="55">
        <f t="shared" si="327"/>
        <v>46153.875173611101</v>
      </c>
    </row>
    <row r="1402" spans="1:24" hidden="1" x14ac:dyDescent="0.35">
      <c r="A1402" s="46">
        <f t="shared" si="328"/>
        <v>46153.875173611101</v>
      </c>
      <c r="B1402" s="46"/>
      <c r="C1402" s="260"/>
      <c r="D1402" s="46"/>
      <c r="E1402" s="296" t="s">
        <v>3503</v>
      </c>
      <c r="F1402" s="349" t="s">
        <v>1801</v>
      </c>
      <c r="G1402" s="349"/>
      <c r="H1402" s="349">
        <v>11588</v>
      </c>
      <c r="I1402" s="297" t="s">
        <v>4385</v>
      </c>
      <c r="J1402" s="351" t="s">
        <v>140</v>
      </c>
      <c r="K1402" s="352">
        <v>0</v>
      </c>
      <c r="L1402" s="352">
        <v>0</v>
      </c>
      <c r="M1402" s="353">
        <v>35</v>
      </c>
      <c r="N1402" s="353">
        <v>2520</v>
      </c>
      <c r="O1402" s="353">
        <v>1</v>
      </c>
      <c r="P1402" s="353">
        <f t="shared" si="332"/>
        <v>2520</v>
      </c>
      <c r="Q1402" s="353"/>
      <c r="R1402" s="353">
        <v>2520</v>
      </c>
      <c r="S1402" s="353">
        <f t="shared" si="333"/>
        <v>0</v>
      </c>
      <c r="T1402" s="353">
        <f t="shared" si="334"/>
        <v>2468.5714285714284</v>
      </c>
      <c r="U1402" s="352">
        <f t="shared" si="335"/>
        <v>0</v>
      </c>
      <c r="V1402" s="352">
        <f t="shared" si="336"/>
        <v>0</v>
      </c>
      <c r="W1402" s="352">
        <v>0</v>
      </c>
      <c r="X1402" s="55">
        <f t="shared" si="327"/>
        <v>46153.875173611101</v>
      </c>
    </row>
    <row r="1403" spans="1:24" s="109" customFormat="1" ht="13" hidden="1" x14ac:dyDescent="0.3">
      <c r="A1403" s="46">
        <f t="shared" si="328"/>
        <v>46153.875173611101</v>
      </c>
      <c r="B1403" s="46"/>
      <c r="C1403" s="260"/>
      <c r="D1403" s="46"/>
      <c r="E1403" s="47" t="s">
        <v>4384</v>
      </c>
      <c r="F1403" s="453" t="s">
        <v>6127</v>
      </c>
      <c r="G1403" s="453"/>
      <c r="H1403" s="108">
        <v>11642</v>
      </c>
      <c r="I1403" s="82" t="s">
        <v>6031</v>
      </c>
      <c r="J1403" s="100" t="s">
        <v>140</v>
      </c>
      <c r="K1403" s="91">
        <v>0</v>
      </c>
      <c r="L1403" s="91">
        <v>0</v>
      </c>
      <c r="M1403" s="92">
        <v>45</v>
      </c>
      <c r="N1403" s="92">
        <v>270</v>
      </c>
      <c r="O1403" s="92">
        <v>2</v>
      </c>
      <c r="P1403" s="92">
        <f t="shared" si="332"/>
        <v>135</v>
      </c>
      <c r="Q1403" s="92"/>
      <c r="R1403" s="92">
        <v>135</v>
      </c>
      <c r="S1403" s="92">
        <f t="shared" si="333"/>
        <v>0</v>
      </c>
      <c r="T1403" s="102">
        <f t="shared" si="334"/>
        <v>3840</v>
      </c>
      <c r="U1403" s="101">
        <f t="shared" si="335"/>
        <v>0</v>
      </c>
      <c r="V1403" s="101">
        <f t="shared" si="336"/>
        <v>0</v>
      </c>
      <c r="W1403" s="101">
        <v>0</v>
      </c>
      <c r="X1403" s="55">
        <f t="shared" si="327"/>
        <v>46153.875173611101</v>
      </c>
    </row>
    <row r="1404" spans="1:24" s="109" customFormat="1" ht="13" hidden="1" x14ac:dyDescent="0.3">
      <c r="A1404" s="46">
        <f t="shared" si="328"/>
        <v>46153.875173611101</v>
      </c>
      <c r="B1404" s="46"/>
      <c r="C1404" s="260"/>
      <c r="D1404" s="46"/>
      <c r="E1404" s="47" t="s">
        <v>4384</v>
      </c>
      <c r="F1404" s="453" t="s">
        <v>6128</v>
      </c>
      <c r="G1404" s="453"/>
      <c r="H1404" s="108">
        <v>11676</v>
      </c>
      <c r="I1404" s="82" t="s">
        <v>6031</v>
      </c>
      <c r="J1404" s="100" t="s">
        <v>140</v>
      </c>
      <c r="K1404" s="91">
        <v>0</v>
      </c>
      <c r="L1404" s="91">
        <v>0</v>
      </c>
      <c r="M1404" s="92">
        <v>45</v>
      </c>
      <c r="N1404" s="92">
        <v>270</v>
      </c>
      <c r="O1404" s="92">
        <v>2</v>
      </c>
      <c r="P1404" s="92">
        <f t="shared" si="332"/>
        <v>135</v>
      </c>
      <c r="Q1404" s="92"/>
      <c r="R1404" s="92">
        <v>135</v>
      </c>
      <c r="S1404" s="92">
        <f t="shared" si="333"/>
        <v>0</v>
      </c>
      <c r="T1404" s="102">
        <f t="shared" si="334"/>
        <v>3840</v>
      </c>
      <c r="U1404" s="101">
        <f t="shared" si="335"/>
        <v>0</v>
      </c>
      <c r="V1404" s="101">
        <f t="shared" si="336"/>
        <v>0</v>
      </c>
      <c r="W1404" s="101">
        <v>0</v>
      </c>
      <c r="X1404" s="55">
        <f t="shared" si="327"/>
        <v>46153.875173611101</v>
      </c>
    </row>
    <row r="1405" spans="1:24" s="109" customFormat="1" ht="13" hidden="1" x14ac:dyDescent="0.3">
      <c r="A1405" s="46">
        <f t="shared" si="328"/>
        <v>46153.875173611101</v>
      </c>
      <c r="B1405" s="46"/>
      <c r="C1405" s="260"/>
      <c r="D1405" s="46"/>
      <c r="E1405" s="47" t="s">
        <v>4384</v>
      </c>
      <c r="F1405" s="453" t="s">
        <v>6129</v>
      </c>
      <c r="G1405" s="453"/>
      <c r="H1405" s="108">
        <v>11677</v>
      </c>
      <c r="I1405" s="82" t="s">
        <v>6031</v>
      </c>
      <c r="J1405" s="100" t="s">
        <v>140</v>
      </c>
      <c r="K1405" s="91">
        <v>0</v>
      </c>
      <c r="L1405" s="91">
        <v>0</v>
      </c>
      <c r="M1405" s="92">
        <v>45</v>
      </c>
      <c r="N1405" s="92">
        <v>270</v>
      </c>
      <c r="O1405" s="92">
        <v>2</v>
      </c>
      <c r="P1405" s="92">
        <f t="shared" si="332"/>
        <v>135</v>
      </c>
      <c r="Q1405" s="92"/>
      <c r="R1405" s="92">
        <v>135</v>
      </c>
      <c r="S1405" s="92">
        <f t="shared" si="333"/>
        <v>0</v>
      </c>
      <c r="T1405" s="102">
        <f t="shared" si="334"/>
        <v>3840</v>
      </c>
      <c r="U1405" s="101">
        <f t="shared" si="335"/>
        <v>0</v>
      </c>
      <c r="V1405" s="101">
        <f t="shared" si="336"/>
        <v>0</v>
      </c>
      <c r="W1405" s="101">
        <v>0</v>
      </c>
      <c r="X1405" s="55">
        <f t="shared" si="327"/>
        <v>46153.875173611101</v>
      </c>
    </row>
    <row r="1406" spans="1:24" s="109" customFormat="1" ht="13" hidden="1" x14ac:dyDescent="0.3">
      <c r="A1406" s="46">
        <f t="shared" si="328"/>
        <v>46153.875173611101</v>
      </c>
      <c r="B1406" s="46"/>
      <c r="C1406" s="260"/>
      <c r="D1406" s="46"/>
      <c r="E1406" s="47" t="s">
        <v>4384</v>
      </c>
      <c r="F1406" s="453" t="s">
        <v>6130</v>
      </c>
      <c r="G1406" s="453"/>
      <c r="H1406" s="108">
        <v>11684</v>
      </c>
      <c r="I1406" s="82" t="s">
        <v>6031</v>
      </c>
      <c r="J1406" s="100" t="s">
        <v>140</v>
      </c>
      <c r="K1406" s="91">
        <v>0</v>
      </c>
      <c r="L1406" s="91">
        <v>0</v>
      </c>
      <c r="M1406" s="92">
        <v>45</v>
      </c>
      <c r="N1406" s="92">
        <v>500</v>
      </c>
      <c r="O1406" s="92">
        <v>2</v>
      </c>
      <c r="P1406" s="92">
        <f t="shared" si="332"/>
        <v>250</v>
      </c>
      <c r="Q1406" s="92"/>
      <c r="R1406" s="92">
        <v>250</v>
      </c>
      <c r="S1406" s="92">
        <f t="shared" si="333"/>
        <v>0</v>
      </c>
      <c r="T1406" s="102">
        <f t="shared" si="334"/>
        <v>3840</v>
      </c>
      <c r="U1406" s="101">
        <f t="shared" si="335"/>
        <v>0</v>
      </c>
      <c r="V1406" s="101">
        <f t="shared" si="336"/>
        <v>0</v>
      </c>
      <c r="W1406" s="101">
        <v>0</v>
      </c>
      <c r="X1406" s="55">
        <f t="shared" si="327"/>
        <v>46153.875173611101</v>
      </c>
    </row>
    <row r="1407" spans="1:24" s="109" customFormat="1" ht="13" hidden="1" x14ac:dyDescent="0.3">
      <c r="A1407" s="46">
        <f t="shared" si="328"/>
        <v>46153.875173611101</v>
      </c>
      <c r="B1407" s="46"/>
      <c r="C1407" s="260"/>
      <c r="D1407" s="46"/>
      <c r="E1407" s="47" t="s">
        <v>4384</v>
      </c>
      <c r="F1407" s="453" t="s">
        <v>6127</v>
      </c>
      <c r="G1407" s="453"/>
      <c r="H1407" s="108">
        <v>11643</v>
      </c>
      <c r="I1407" s="82" t="s">
        <v>6032</v>
      </c>
      <c r="J1407" s="100" t="s">
        <v>140</v>
      </c>
      <c r="K1407" s="91">
        <v>0</v>
      </c>
      <c r="L1407" s="91">
        <v>0</v>
      </c>
      <c r="M1407" s="92">
        <v>45</v>
      </c>
      <c r="N1407" s="92">
        <v>180</v>
      </c>
      <c r="O1407" s="92">
        <v>2</v>
      </c>
      <c r="P1407" s="92">
        <f t="shared" si="332"/>
        <v>90</v>
      </c>
      <c r="Q1407" s="92"/>
      <c r="R1407" s="92">
        <v>90</v>
      </c>
      <c r="S1407" s="92">
        <f t="shared" si="333"/>
        <v>0</v>
      </c>
      <c r="T1407" s="102">
        <f t="shared" si="334"/>
        <v>3840</v>
      </c>
      <c r="U1407" s="101">
        <f t="shared" si="335"/>
        <v>0</v>
      </c>
      <c r="V1407" s="101">
        <f t="shared" si="336"/>
        <v>0</v>
      </c>
      <c r="W1407" s="101">
        <v>0</v>
      </c>
      <c r="X1407" s="55">
        <f t="shared" si="327"/>
        <v>46153.875173611101</v>
      </c>
    </row>
    <row r="1408" spans="1:24" s="109" customFormat="1" ht="13" hidden="1" x14ac:dyDescent="0.3">
      <c r="A1408" s="46">
        <f t="shared" si="328"/>
        <v>46153.875173611101</v>
      </c>
      <c r="B1408" s="46"/>
      <c r="C1408" s="260"/>
      <c r="D1408" s="46"/>
      <c r="E1408" s="47" t="s">
        <v>4384</v>
      </c>
      <c r="F1408" s="453" t="s">
        <v>6131</v>
      </c>
      <c r="G1408" s="453"/>
      <c r="H1408" s="108">
        <v>11678</v>
      </c>
      <c r="I1408" s="82" t="s">
        <v>6032</v>
      </c>
      <c r="J1408" s="100" t="s">
        <v>140</v>
      </c>
      <c r="K1408" s="91">
        <v>0</v>
      </c>
      <c r="L1408" s="91">
        <v>0</v>
      </c>
      <c r="M1408" s="92">
        <v>45</v>
      </c>
      <c r="N1408" s="92">
        <v>240</v>
      </c>
      <c r="O1408" s="92">
        <v>2</v>
      </c>
      <c r="P1408" s="92">
        <f t="shared" si="332"/>
        <v>120</v>
      </c>
      <c r="Q1408" s="92"/>
      <c r="R1408" s="92">
        <v>120</v>
      </c>
      <c r="S1408" s="92">
        <f t="shared" si="333"/>
        <v>0</v>
      </c>
      <c r="T1408" s="102">
        <f t="shared" si="334"/>
        <v>3840</v>
      </c>
      <c r="U1408" s="101">
        <f t="shared" si="335"/>
        <v>0</v>
      </c>
      <c r="V1408" s="101">
        <f t="shared" si="336"/>
        <v>0</v>
      </c>
      <c r="W1408" s="101">
        <v>0</v>
      </c>
      <c r="X1408" s="55">
        <f t="shared" si="327"/>
        <v>46153.875173611101</v>
      </c>
    </row>
    <row r="1409" spans="1:24" s="109" customFormat="1" ht="13" hidden="1" x14ac:dyDescent="0.3">
      <c r="A1409" s="46">
        <f t="shared" si="328"/>
        <v>46153.875173611101</v>
      </c>
      <c r="B1409" s="46"/>
      <c r="C1409" s="260"/>
      <c r="D1409" s="46"/>
      <c r="E1409" s="47" t="s">
        <v>4384</v>
      </c>
      <c r="F1409" s="453" t="s">
        <v>6130</v>
      </c>
      <c r="G1409" s="453"/>
      <c r="H1409" s="108">
        <v>11688</v>
      </c>
      <c r="I1409" s="82" t="s">
        <v>6032</v>
      </c>
      <c r="J1409" s="100" t="s">
        <v>140</v>
      </c>
      <c r="K1409" s="91">
        <v>0</v>
      </c>
      <c r="L1409" s="91">
        <v>0</v>
      </c>
      <c r="M1409" s="92">
        <v>45</v>
      </c>
      <c r="N1409" s="92">
        <v>500</v>
      </c>
      <c r="O1409" s="92">
        <v>2</v>
      </c>
      <c r="P1409" s="92">
        <f t="shared" si="332"/>
        <v>250</v>
      </c>
      <c r="Q1409" s="92"/>
      <c r="R1409" s="92">
        <v>250</v>
      </c>
      <c r="S1409" s="92">
        <f t="shared" si="333"/>
        <v>0</v>
      </c>
      <c r="T1409" s="102">
        <f t="shared" si="334"/>
        <v>3840</v>
      </c>
      <c r="U1409" s="101">
        <f t="shared" si="335"/>
        <v>0</v>
      </c>
      <c r="V1409" s="101">
        <f t="shared" si="336"/>
        <v>0</v>
      </c>
      <c r="W1409" s="101">
        <v>0</v>
      </c>
      <c r="X1409" s="55">
        <f t="shared" si="327"/>
        <v>46153.875173611101</v>
      </c>
    </row>
    <row r="1410" spans="1:24" s="109" customFormat="1" ht="13" hidden="1" x14ac:dyDescent="0.3">
      <c r="A1410" s="46">
        <f t="shared" si="328"/>
        <v>46153.875173611101</v>
      </c>
      <c r="B1410" s="46"/>
      <c r="C1410" s="260"/>
      <c r="D1410" s="46"/>
      <c r="E1410" s="47" t="s">
        <v>4384</v>
      </c>
      <c r="F1410" s="453" t="s">
        <v>6127</v>
      </c>
      <c r="G1410" s="453"/>
      <c r="H1410" s="108">
        <v>11644</v>
      </c>
      <c r="I1410" s="82" t="s">
        <v>6034</v>
      </c>
      <c r="J1410" s="100" t="s">
        <v>140</v>
      </c>
      <c r="K1410" s="91">
        <v>0</v>
      </c>
      <c r="L1410" s="91">
        <v>0</v>
      </c>
      <c r="M1410" s="92">
        <v>45</v>
      </c>
      <c r="N1410" s="92">
        <v>1130</v>
      </c>
      <c r="O1410" s="92">
        <v>2</v>
      </c>
      <c r="P1410" s="92">
        <f t="shared" si="332"/>
        <v>565</v>
      </c>
      <c r="Q1410" s="92"/>
      <c r="R1410" s="92">
        <v>565</v>
      </c>
      <c r="S1410" s="92">
        <f t="shared" si="333"/>
        <v>0</v>
      </c>
      <c r="T1410" s="102">
        <f t="shared" si="334"/>
        <v>3840</v>
      </c>
      <c r="U1410" s="101">
        <f t="shared" si="335"/>
        <v>0</v>
      </c>
      <c r="V1410" s="101">
        <f t="shared" si="336"/>
        <v>0</v>
      </c>
      <c r="W1410" s="101">
        <v>0</v>
      </c>
      <c r="X1410" s="55">
        <f t="shared" si="327"/>
        <v>46153.875173611101</v>
      </c>
    </row>
    <row r="1411" spans="1:24" s="109" customFormat="1" ht="13" hidden="1" x14ac:dyDescent="0.3">
      <c r="A1411" s="46">
        <f t="shared" si="328"/>
        <v>46153.875173611101</v>
      </c>
      <c r="B1411" s="46"/>
      <c r="C1411" s="260"/>
      <c r="D1411" s="46"/>
      <c r="E1411" s="47" t="s">
        <v>4384</v>
      </c>
      <c r="F1411" s="453" t="s">
        <v>6131</v>
      </c>
      <c r="G1411" s="453"/>
      <c r="H1411" s="108">
        <v>11679</v>
      </c>
      <c r="I1411" s="82" t="s">
        <v>6034</v>
      </c>
      <c r="J1411" s="100" t="s">
        <v>140</v>
      </c>
      <c r="K1411" s="91">
        <v>0</v>
      </c>
      <c r="L1411" s="91">
        <v>0</v>
      </c>
      <c r="M1411" s="92">
        <v>45</v>
      </c>
      <c r="N1411" s="92">
        <v>1560</v>
      </c>
      <c r="O1411" s="92">
        <v>2</v>
      </c>
      <c r="P1411" s="92">
        <f t="shared" si="332"/>
        <v>780</v>
      </c>
      <c r="Q1411" s="92"/>
      <c r="R1411" s="92">
        <v>780</v>
      </c>
      <c r="S1411" s="92">
        <f t="shared" si="333"/>
        <v>0</v>
      </c>
      <c r="T1411" s="102">
        <f t="shared" si="334"/>
        <v>3840</v>
      </c>
      <c r="U1411" s="101">
        <f t="shared" si="335"/>
        <v>0</v>
      </c>
      <c r="V1411" s="101">
        <f t="shared" si="336"/>
        <v>0</v>
      </c>
      <c r="W1411" s="101">
        <v>0</v>
      </c>
      <c r="X1411" s="55">
        <f t="shared" si="327"/>
        <v>46153.875173611101</v>
      </c>
    </row>
    <row r="1412" spans="1:24" s="109" customFormat="1" ht="13" hidden="1" x14ac:dyDescent="0.3">
      <c r="A1412" s="46">
        <f t="shared" si="328"/>
        <v>46153.875173611101</v>
      </c>
      <c r="B1412" s="46"/>
      <c r="C1412" s="260"/>
      <c r="D1412" s="46"/>
      <c r="E1412" s="47" t="s">
        <v>4384</v>
      </c>
      <c r="F1412" s="453" t="s">
        <v>6130</v>
      </c>
      <c r="G1412" s="453"/>
      <c r="H1412" s="108">
        <v>11685</v>
      </c>
      <c r="I1412" s="82" t="s">
        <v>6034</v>
      </c>
      <c r="J1412" s="100" t="s">
        <v>140</v>
      </c>
      <c r="K1412" s="91">
        <v>0</v>
      </c>
      <c r="L1412" s="91">
        <v>0</v>
      </c>
      <c r="M1412" s="92">
        <v>45</v>
      </c>
      <c r="N1412" s="92">
        <v>1000</v>
      </c>
      <c r="O1412" s="92">
        <v>2</v>
      </c>
      <c r="P1412" s="92">
        <f t="shared" si="332"/>
        <v>500</v>
      </c>
      <c r="Q1412" s="92"/>
      <c r="R1412" s="92">
        <v>500</v>
      </c>
      <c r="S1412" s="92">
        <f t="shared" si="333"/>
        <v>0</v>
      </c>
      <c r="T1412" s="102">
        <f t="shared" si="334"/>
        <v>3840</v>
      </c>
      <c r="U1412" s="101">
        <f t="shared" si="335"/>
        <v>0</v>
      </c>
      <c r="V1412" s="101">
        <f t="shared" si="336"/>
        <v>0</v>
      </c>
      <c r="W1412" s="101">
        <v>0</v>
      </c>
      <c r="X1412" s="55">
        <f t="shared" si="327"/>
        <v>46153.875173611101</v>
      </c>
    </row>
    <row r="1413" spans="1:24" s="109" customFormat="1" ht="13" hidden="1" x14ac:dyDescent="0.3">
      <c r="A1413" s="46">
        <f t="shared" si="328"/>
        <v>46153.875173611101</v>
      </c>
      <c r="B1413" s="46"/>
      <c r="C1413" s="260"/>
      <c r="D1413" s="46"/>
      <c r="E1413" s="47" t="s">
        <v>4384</v>
      </c>
      <c r="F1413" s="453" t="s">
        <v>6127</v>
      </c>
      <c r="G1413" s="453"/>
      <c r="H1413" s="108">
        <v>11645</v>
      </c>
      <c r="I1413" s="82" t="s">
        <v>6033</v>
      </c>
      <c r="J1413" s="100" t="s">
        <v>140</v>
      </c>
      <c r="K1413" s="91">
        <v>0</v>
      </c>
      <c r="L1413" s="91">
        <v>0</v>
      </c>
      <c r="M1413" s="92">
        <v>45</v>
      </c>
      <c r="N1413" s="92">
        <v>130</v>
      </c>
      <c r="O1413" s="92">
        <v>2</v>
      </c>
      <c r="P1413" s="92">
        <f t="shared" si="332"/>
        <v>65</v>
      </c>
      <c r="Q1413" s="92"/>
      <c r="R1413" s="92">
        <v>65</v>
      </c>
      <c r="S1413" s="92">
        <f t="shared" si="333"/>
        <v>0</v>
      </c>
      <c r="T1413" s="102">
        <f t="shared" si="334"/>
        <v>3840</v>
      </c>
      <c r="U1413" s="101">
        <f t="shared" si="335"/>
        <v>0</v>
      </c>
      <c r="V1413" s="101">
        <f t="shared" si="336"/>
        <v>0</v>
      </c>
      <c r="W1413" s="101">
        <v>0</v>
      </c>
      <c r="X1413" s="55">
        <f t="shared" si="327"/>
        <v>46153.875173611101</v>
      </c>
    </row>
    <row r="1414" spans="1:24" s="109" customFormat="1" ht="13" hidden="1" x14ac:dyDescent="0.3">
      <c r="A1414" s="46">
        <f t="shared" si="328"/>
        <v>46153.875173611101</v>
      </c>
      <c r="B1414" s="46"/>
      <c r="C1414" s="260"/>
      <c r="D1414" s="46"/>
      <c r="E1414" s="47" t="s">
        <v>4384</v>
      </c>
      <c r="F1414" s="453" t="s">
        <v>6131</v>
      </c>
      <c r="G1414" s="453"/>
      <c r="H1414" s="108">
        <v>11680</v>
      </c>
      <c r="I1414" s="82" t="s">
        <v>6033</v>
      </c>
      <c r="J1414" s="100" t="s">
        <v>140</v>
      </c>
      <c r="K1414" s="91">
        <v>0</v>
      </c>
      <c r="L1414" s="91">
        <v>0</v>
      </c>
      <c r="M1414" s="92">
        <v>45</v>
      </c>
      <c r="N1414" s="92">
        <v>260</v>
      </c>
      <c r="O1414" s="92">
        <v>2</v>
      </c>
      <c r="P1414" s="92">
        <f t="shared" si="332"/>
        <v>130</v>
      </c>
      <c r="Q1414" s="92"/>
      <c r="R1414" s="92">
        <v>130</v>
      </c>
      <c r="S1414" s="92">
        <f t="shared" si="333"/>
        <v>0</v>
      </c>
      <c r="T1414" s="102">
        <f t="shared" si="334"/>
        <v>3840</v>
      </c>
      <c r="U1414" s="101">
        <f t="shared" si="335"/>
        <v>0</v>
      </c>
      <c r="V1414" s="101">
        <f t="shared" si="336"/>
        <v>0</v>
      </c>
      <c r="W1414" s="101">
        <v>0</v>
      </c>
      <c r="X1414" s="55">
        <f t="shared" si="327"/>
        <v>46153.875173611101</v>
      </c>
    </row>
    <row r="1415" spans="1:24" s="109" customFormat="1" ht="13" hidden="1" x14ac:dyDescent="0.3">
      <c r="A1415" s="46">
        <f t="shared" si="328"/>
        <v>46153.875173611101</v>
      </c>
      <c r="B1415" s="46"/>
      <c r="C1415" s="260"/>
      <c r="D1415" s="46"/>
      <c r="E1415" s="47" t="s">
        <v>4384</v>
      </c>
      <c r="F1415" s="453" t="s">
        <v>6130</v>
      </c>
      <c r="G1415" s="453"/>
      <c r="H1415" s="108">
        <v>11687</v>
      </c>
      <c r="I1415" s="82" t="s">
        <v>6033</v>
      </c>
      <c r="J1415" s="100" t="s">
        <v>140</v>
      </c>
      <c r="K1415" s="91">
        <v>0</v>
      </c>
      <c r="L1415" s="91">
        <v>0</v>
      </c>
      <c r="M1415" s="92">
        <v>45</v>
      </c>
      <c r="N1415" s="92">
        <v>500</v>
      </c>
      <c r="O1415" s="92">
        <v>2</v>
      </c>
      <c r="P1415" s="92">
        <f t="shared" si="332"/>
        <v>250</v>
      </c>
      <c r="Q1415" s="92"/>
      <c r="R1415" s="92">
        <v>250</v>
      </c>
      <c r="S1415" s="92">
        <f t="shared" si="333"/>
        <v>0</v>
      </c>
      <c r="T1415" s="102">
        <f t="shared" si="334"/>
        <v>3840</v>
      </c>
      <c r="U1415" s="101">
        <f t="shared" si="335"/>
        <v>0</v>
      </c>
      <c r="V1415" s="101">
        <f t="shared" si="336"/>
        <v>0</v>
      </c>
      <c r="W1415" s="101">
        <v>0</v>
      </c>
      <c r="X1415" s="55">
        <f t="shared" si="327"/>
        <v>46153.875173611101</v>
      </c>
    </row>
    <row r="1416" spans="1:24" s="109" customFormat="1" ht="13" hidden="1" x14ac:dyDescent="0.3">
      <c r="A1416" s="46">
        <f t="shared" si="328"/>
        <v>46153.875173611101</v>
      </c>
      <c r="B1416" s="46"/>
      <c r="C1416" s="260"/>
      <c r="D1416" s="46"/>
      <c r="E1416" s="47" t="s">
        <v>4384</v>
      </c>
      <c r="F1416" s="453" t="s">
        <v>6127</v>
      </c>
      <c r="G1416" s="453"/>
      <c r="H1416" s="108">
        <v>11646</v>
      </c>
      <c r="I1416" s="82" t="s">
        <v>6035</v>
      </c>
      <c r="J1416" s="100" t="s">
        <v>140</v>
      </c>
      <c r="K1416" s="91">
        <v>0</v>
      </c>
      <c r="L1416" s="91">
        <v>0</v>
      </c>
      <c r="M1416" s="92">
        <v>45</v>
      </c>
      <c r="N1416" s="92">
        <v>540</v>
      </c>
      <c r="O1416" s="92">
        <v>2</v>
      </c>
      <c r="P1416" s="92">
        <f t="shared" si="332"/>
        <v>270</v>
      </c>
      <c r="Q1416" s="92"/>
      <c r="R1416" s="92">
        <v>270</v>
      </c>
      <c r="S1416" s="92">
        <f t="shared" si="333"/>
        <v>0</v>
      </c>
      <c r="T1416" s="102">
        <f t="shared" si="334"/>
        <v>3840</v>
      </c>
      <c r="U1416" s="101">
        <f t="shared" si="335"/>
        <v>0</v>
      </c>
      <c r="V1416" s="101">
        <f t="shared" si="336"/>
        <v>0</v>
      </c>
      <c r="W1416" s="101">
        <v>0</v>
      </c>
      <c r="X1416" s="55">
        <f t="shared" si="327"/>
        <v>46153.875173611101</v>
      </c>
    </row>
    <row r="1417" spans="1:24" s="109" customFormat="1" ht="13" hidden="1" x14ac:dyDescent="0.3">
      <c r="A1417" s="46">
        <f t="shared" si="328"/>
        <v>46153.875173611101</v>
      </c>
      <c r="B1417" s="46"/>
      <c r="C1417" s="260"/>
      <c r="D1417" s="46"/>
      <c r="E1417" s="47" t="s">
        <v>4384</v>
      </c>
      <c r="F1417" s="453" t="s">
        <v>6131</v>
      </c>
      <c r="G1417" s="453"/>
      <c r="H1417" s="108">
        <v>11681</v>
      </c>
      <c r="I1417" s="82" t="s">
        <v>6035</v>
      </c>
      <c r="J1417" s="100" t="s">
        <v>140</v>
      </c>
      <c r="K1417" s="91">
        <v>0</v>
      </c>
      <c r="L1417" s="91">
        <v>0</v>
      </c>
      <c r="M1417" s="92">
        <v>45</v>
      </c>
      <c r="N1417" s="92">
        <v>880</v>
      </c>
      <c r="O1417" s="92">
        <v>2</v>
      </c>
      <c r="P1417" s="92">
        <f t="shared" si="332"/>
        <v>440</v>
      </c>
      <c r="Q1417" s="92"/>
      <c r="R1417" s="92">
        <v>440</v>
      </c>
      <c r="S1417" s="92">
        <f t="shared" si="333"/>
        <v>0</v>
      </c>
      <c r="T1417" s="102">
        <f t="shared" si="334"/>
        <v>3840</v>
      </c>
      <c r="U1417" s="101">
        <f t="shared" si="335"/>
        <v>0</v>
      </c>
      <c r="V1417" s="101">
        <f t="shared" si="336"/>
        <v>0</v>
      </c>
      <c r="W1417" s="101">
        <v>0</v>
      </c>
      <c r="X1417" s="55">
        <f t="shared" si="327"/>
        <v>46153.875173611101</v>
      </c>
    </row>
    <row r="1418" spans="1:24" hidden="1" x14ac:dyDescent="0.35">
      <c r="A1418" s="46">
        <f t="shared" si="328"/>
        <v>46153.875173611101</v>
      </c>
      <c r="B1418" s="46"/>
      <c r="C1418" s="260"/>
      <c r="D1418" s="46"/>
      <c r="E1418" s="47" t="s">
        <v>4384</v>
      </c>
      <c r="F1418" s="453" t="s">
        <v>6130</v>
      </c>
      <c r="G1418" s="453"/>
      <c r="H1418" s="108">
        <v>11686</v>
      </c>
      <c r="I1418" s="82" t="s">
        <v>6035</v>
      </c>
      <c r="J1418" s="100" t="s">
        <v>140</v>
      </c>
      <c r="K1418" s="91">
        <v>0</v>
      </c>
      <c r="L1418" s="91">
        <v>0</v>
      </c>
      <c r="M1418" s="92">
        <v>45</v>
      </c>
      <c r="N1418" s="92">
        <v>1000</v>
      </c>
      <c r="O1418" s="92">
        <v>2</v>
      </c>
      <c r="P1418" s="92">
        <f t="shared" si="332"/>
        <v>500</v>
      </c>
      <c r="Q1418" s="92"/>
      <c r="R1418" s="92">
        <v>500</v>
      </c>
      <c r="S1418" s="92">
        <f t="shared" si="333"/>
        <v>0</v>
      </c>
      <c r="T1418" s="102">
        <f t="shared" si="334"/>
        <v>3840</v>
      </c>
      <c r="U1418" s="101">
        <f t="shared" si="335"/>
        <v>0</v>
      </c>
      <c r="V1418" s="101">
        <f t="shared" si="336"/>
        <v>0</v>
      </c>
      <c r="W1418" s="101">
        <v>0</v>
      </c>
      <c r="X1418" s="55">
        <f t="shared" si="327"/>
        <v>46153.875173611101</v>
      </c>
    </row>
    <row r="1419" spans="1:24" hidden="1" x14ac:dyDescent="0.35">
      <c r="A1419" s="46">
        <f t="shared" si="328"/>
        <v>46153.875173611101</v>
      </c>
      <c r="B1419" s="46"/>
      <c r="C1419" s="260"/>
      <c r="D1419" s="46"/>
      <c r="E1419" s="47" t="s">
        <v>4384</v>
      </c>
      <c r="F1419" s="97" t="s">
        <v>4898</v>
      </c>
      <c r="G1419" s="97"/>
      <c r="H1419" s="98" t="s">
        <v>6132</v>
      </c>
      <c r="I1419" s="316" t="s">
        <v>4407</v>
      </c>
      <c r="J1419" s="100" t="s">
        <v>140</v>
      </c>
      <c r="K1419" s="91">
        <v>0</v>
      </c>
      <c r="L1419" s="91">
        <v>0</v>
      </c>
      <c r="M1419" s="92">
        <v>45</v>
      </c>
      <c r="N1419" s="92">
        <v>24000</v>
      </c>
      <c r="O1419" s="92">
        <v>1</v>
      </c>
      <c r="P1419" s="92">
        <f t="shared" si="332"/>
        <v>24000</v>
      </c>
      <c r="Q1419" s="92"/>
      <c r="R1419" s="92">
        <v>24000</v>
      </c>
      <c r="S1419" s="92">
        <f t="shared" si="333"/>
        <v>0</v>
      </c>
      <c r="T1419" s="102">
        <f t="shared" si="334"/>
        <v>1920</v>
      </c>
      <c r="U1419" s="101">
        <f t="shared" si="335"/>
        <v>0</v>
      </c>
      <c r="V1419" s="101">
        <f t="shared" si="336"/>
        <v>0</v>
      </c>
      <c r="W1419" s="101">
        <v>0</v>
      </c>
      <c r="X1419" s="55">
        <f t="shared" si="327"/>
        <v>46153.875173611101</v>
      </c>
    </row>
    <row r="1420" spans="1:24" hidden="1" x14ac:dyDescent="0.35">
      <c r="A1420" s="46">
        <f t="shared" si="328"/>
        <v>46153.875173611101</v>
      </c>
      <c r="B1420" s="46"/>
      <c r="C1420" s="260"/>
      <c r="D1420" s="46"/>
      <c r="E1420" s="47" t="s">
        <v>4384</v>
      </c>
      <c r="F1420" s="82" t="s">
        <v>1564</v>
      </c>
      <c r="G1420" s="82"/>
      <c r="H1420" s="452" t="s">
        <v>6133</v>
      </c>
      <c r="I1420" s="82" t="s">
        <v>4909</v>
      </c>
      <c r="J1420" s="51" t="s">
        <v>140</v>
      </c>
      <c r="K1420" s="91">
        <v>0</v>
      </c>
      <c r="L1420" s="91">
        <v>0</v>
      </c>
      <c r="M1420" s="92">
        <v>30</v>
      </c>
      <c r="N1420" s="92">
        <v>2940</v>
      </c>
      <c r="O1420" s="92">
        <v>1</v>
      </c>
      <c r="P1420" s="92">
        <f t="shared" si="332"/>
        <v>2940</v>
      </c>
      <c r="Q1420" s="92"/>
      <c r="R1420" s="92">
        <v>2940</v>
      </c>
      <c r="S1420" s="92">
        <f t="shared" si="333"/>
        <v>0</v>
      </c>
      <c r="T1420" s="92">
        <f t="shared" si="334"/>
        <v>2880</v>
      </c>
      <c r="U1420" s="91">
        <f t="shared" si="335"/>
        <v>0</v>
      </c>
      <c r="V1420" s="91">
        <f t="shared" si="336"/>
        <v>0</v>
      </c>
      <c r="W1420" s="91">
        <v>0</v>
      </c>
      <c r="X1420" s="55">
        <f t="shared" si="327"/>
        <v>46153.875173611101</v>
      </c>
    </row>
    <row r="1421" spans="1:24" hidden="1" x14ac:dyDescent="0.35">
      <c r="A1421" s="46">
        <f t="shared" si="328"/>
        <v>46153.875173611101</v>
      </c>
      <c r="B1421" s="46"/>
      <c r="C1421" s="260"/>
      <c r="D1421" s="46"/>
      <c r="E1421" s="47" t="s">
        <v>4384</v>
      </c>
      <c r="F1421" s="82" t="s">
        <v>6134</v>
      </c>
      <c r="G1421" s="82"/>
      <c r="H1421" s="452">
        <v>11830</v>
      </c>
      <c r="I1421" s="82" t="s">
        <v>4912</v>
      </c>
      <c r="J1421" s="51" t="s">
        <v>140</v>
      </c>
      <c r="K1421" s="91">
        <v>0</v>
      </c>
      <c r="L1421" s="91">
        <v>0</v>
      </c>
      <c r="M1421" s="92">
        <v>90</v>
      </c>
      <c r="N1421" s="92">
        <v>500</v>
      </c>
      <c r="O1421" s="92">
        <v>1</v>
      </c>
      <c r="P1421" s="92">
        <f t="shared" si="332"/>
        <v>500</v>
      </c>
      <c r="Q1421" s="92"/>
      <c r="R1421" s="92">
        <v>500</v>
      </c>
      <c r="S1421" s="92">
        <f t="shared" si="333"/>
        <v>0</v>
      </c>
      <c r="T1421" s="92">
        <f t="shared" si="334"/>
        <v>960</v>
      </c>
      <c r="U1421" s="91">
        <f t="shared" si="335"/>
        <v>0</v>
      </c>
      <c r="V1421" s="91">
        <f t="shared" si="336"/>
        <v>0</v>
      </c>
      <c r="W1421" s="91">
        <v>0</v>
      </c>
      <c r="X1421" s="55">
        <f t="shared" si="327"/>
        <v>46153.875173611101</v>
      </c>
    </row>
    <row r="1422" spans="1:24" hidden="1" x14ac:dyDescent="0.35">
      <c r="A1422" s="46">
        <f t="shared" si="328"/>
        <v>46153.875173611101</v>
      </c>
      <c r="B1422" s="46"/>
      <c r="C1422" s="260"/>
      <c r="D1422" s="46"/>
      <c r="E1422" s="74" t="s">
        <v>4384</v>
      </c>
      <c r="F1422" s="97" t="s">
        <v>3479</v>
      </c>
      <c r="G1422" s="97"/>
      <c r="H1422" s="98" t="s">
        <v>6135</v>
      </c>
      <c r="I1422" s="71" t="s">
        <v>4636</v>
      </c>
      <c r="J1422" s="100"/>
      <c r="K1422" s="91">
        <v>0</v>
      </c>
      <c r="L1422" s="91">
        <v>0</v>
      </c>
      <c r="M1422" s="92">
        <v>42</v>
      </c>
      <c r="N1422" s="92">
        <f>4*9000</f>
        <v>36000</v>
      </c>
      <c r="O1422" s="92">
        <v>4</v>
      </c>
      <c r="P1422" s="92">
        <f t="shared" si="332"/>
        <v>9000</v>
      </c>
      <c r="Q1422" s="92"/>
      <c r="R1422" s="92">
        <v>9000</v>
      </c>
      <c r="S1422" s="92">
        <f t="shared" si="333"/>
        <v>0</v>
      </c>
      <c r="T1422" s="102">
        <f t="shared" si="334"/>
        <v>8228.5714285714275</v>
      </c>
      <c r="U1422" s="101">
        <f t="shared" si="335"/>
        <v>0</v>
      </c>
      <c r="V1422" s="101">
        <f t="shared" si="336"/>
        <v>0</v>
      </c>
      <c r="W1422" s="101">
        <v>0</v>
      </c>
      <c r="X1422" s="55">
        <f t="shared" si="327"/>
        <v>46153.875173611101</v>
      </c>
    </row>
    <row r="1423" spans="1:24" hidden="1" x14ac:dyDescent="0.35">
      <c r="A1423" s="46">
        <f t="shared" si="328"/>
        <v>46153.875173611101</v>
      </c>
      <c r="B1423" s="46"/>
      <c r="C1423" s="260"/>
      <c r="D1423" s="46"/>
      <c r="E1423" s="47" t="s">
        <v>4384</v>
      </c>
      <c r="F1423" s="97" t="s">
        <v>3479</v>
      </c>
      <c r="G1423" s="97"/>
      <c r="H1423" s="108">
        <v>11824</v>
      </c>
      <c r="I1423" s="855" t="s">
        <v>4884</v>
      </c>
      <c r="J1423" s="100" t="s">
        <v>140</v>
      </c>
      <c r="K1423" s="91">
        <v>0</v>
      </c>
      <c r="L1423" s="91">
        <v>0</v>
      </c>
      <c r="M1423" s="92">
        <v>120</v>
      </c>
      <c r="N1423" s="92">
        <v>9000</v>
      </c>
      <c r="O1423" s="92">
        <v>1</v>
      </c>
      <c r="P1423" s="92">
        <f t="shared" si="332"/>
        <v>9000</v>
      </c>
      <c r="Q1423" s="92"/>
      <c r="R1423" s="92">
        <v>9000</v>
      </c>
      <c r="S1423" s="92">
        <f t="shared" si="333"/>
        <v>0</v>
      </c>
      <c r="T1423" s="102">
        <f t="shared" si="334"/>
        <v>720</v>
      </c>
      <c r="U1423" s="101">
        <f t="shared" si="335"/>
        <v>0</v>
      </c>
      <c r="V1423" s="101">
        <f t="shared" si="336"/>
        <v>0</v>
      </c>
      <c r="W1423" s="101">
        <v>0</v>
      </c>
      <c r="X1423" s="55">
        <f t="shared" si="327"/>
        <v>46153.875173611101</v>
      </c>
    </row>
    <row r="1424" spans="1:24" hidden="1" x14ac:dyDescent="0.35">
      <c r="A1424" s="46">
        <f t="shared" si="328"/>
        <v>46153.875173611101</v>
      </c>
      <c r="B1424" s="46"/>
      <c r="C1424" s="260"/>
      <c r="D1424" s="46"/>
      <c r="E1424" s="47" t="s">
        <v>4384</v>
      </c>
      <c r="F1424" s="97" t="s">
        <v>6136</v>
      </c>
      <c r="G1424" s="97"/>
      <c r="H1424" s="98" t="s">
        <v>6137</v>
      </c>
      <c r="I1424" s="99" t="s">
        <v>3548</v>
      </c>
      <c r="J1424" s="100" t="s">
        <v>140</v>
      </c>
      <c r="K1424" s="91">
        <v>0</v>
      </c>
      <c r="L1424" s="91">
        <v>0</v>
      </c>
      <c r="M1424" s="92">
        <v>60</v>
      </c>
      <c r="N1424" s="92">
        <v>3300</v>
      </c>
      <c r="O1424" s="92">
        <v>4</v>
      </c>
      <c r="P1424" s="92">
        <f t="shared" si="332"/>
        <v>825</v>
      </c>
      <c r="Q1424" s="92"/>
      <c r="R1424" s="92">
        <v>825</v>
      </c>
      <c r="S1424" s="92">
        <f t="shared" si="333"/>
        <v>0</v>
      </c>
      <c r="T1424" s="102">
        <f t="shared" si="334"/>
        <v>5760</v>
      </c>
      <c r="U1424" s="101">
        <f t="shared" si="335"/>
        <v>0</v>
      </c>
      <c r="V1424" s="101">
        <f t="shared" si="336"/>
        <v>0</v>
      </c>
      <c r="W1424" s="101">
        <v>0</v>
      </c>
      <c r="X1424" s="55">
        <f t="shared" si="327"/>
        <v>46153.875173611101</v>
      </c>
    </row>
    <row r="1425" spans="1:24" hidden="1" x14ac:dyDescent="0.35">
      <c r="A1425" s="46">
        <f t="shared" si="328"/>
        <v>46153.875173611101</v>
      </c>
      <c r="B1425" s="46"/>
      <c r="C1425" s="260"/>
      <c r="D1425" s="46"/>
      <c r="E1425" s="47" t="s">
        <v>4384</v>
      </c>
      <c r="F1425" s="97" t="s">
        <v>6138</v>
      </c>
      <c r="G1425" s="97"/>
      <c r="H1425" s="98" t="s">
        <v>6139</v>
      </c>
      <c r="I1425" s="99" t="s">
        <v>3548</v>
      </c>
      <c r="J1425" s="100" t="s">
        <v>140</v>
      </c>
      <c r="K1425" s="91">
        <v>0</v>
      </c>
      <c r="L1425" s="91">
        <v>0</v>
      </c>
      <c r="M1425" s="92">
        <v>60</v>
      </c>
      <c r="N1425" s="92">
        <v>7000</v>
      </c>
      <c r="O1425" s="92">
        <v>4</v>
      </c>
      <c r="P1425" s="92">
        <f t="shared" si="332"/>
        <v>1750</v>
      </c>
      <c r="Q1425" s="92"/>
      <c r="R1425" s="92">
        <v>1750</v>
      </c>
      <c r="S1425" s="92">
        <f t="shared" si="333"/>
        <v>0</v>
      </c>
      <c r="T1425" s="102">
        <f t="shared" si="334"/>
        <v>5760</v>
      </c>
      <c r="U1425" s="101">
        <f t="shared" si="335"/>
        <v>0</v>
      </c>
      <c r="V1425" s="101">
        <f t="shared" si="336"/>
        <v>0</v>
      </c>
      <c r="W1425" s="101">
        <v>0</v>
      </c>
      <c r="X1425" s="55">
        <f t="shared" si="327"/>
        <v>46153.875173611101</v>
      </c>
    </row>
    <row r="1426" spans="1:24" hidden="1" x14ac:dyDescent="0.35">
      <c r="A1426" s="46">
        <f t="shared" si="328"/>
        <v>46153.875173611101</v>
      </c>
      <c r="B1426" s="46"/>
      <c r="C1426" s="260"/>
      <c r="D1426" s="46"/>
      <c r="E1426" s="296" t="s">
        <v>4384</v>
      </c>
      <c r="F1426" s="455" t="s">
        <v>14</v>
      </c>
      <c r="G1426" s="455"/>
      <c r="H1426" s="455" t="s">
        <v>14</v>
      </c>
      <c r="I1426" s="297" t="s">
        <v>5067</v>
      </c>
      <c r="J1426" s="351" t="s">
        <v>140</v>
      </c>
      <c r="K1426" s="352">
        <v>0</v>
      </c>
      <c r="L1426" s="352">
        <v>0</v>
      </c>
      <c r="M1426" s="353">
        <v>50</v>
      </c>
      <c r="N1426" s="353">
        <v>50</v>
      </c>
      <c r="O1426" s="353">
        <v>1</v>
      </c>
      <c r="P1426" s="353">
        <f t="shared" si="332"/>
        <v>50</v>
      </c>
      <c r="Q1426" s="353"/>
      <c r="R1426" s="353">
        <v>50</v>
      </c>
      <c r="S1426" s="353">
        <f t="shared" si="333"/>
        <v>0</v>
      </c>
      <c r="T1426" s="353">
        <f t="shared" si="334"/>
        <v>1728</v>
      </c>
      <c r="U1426" s="352">
        <f t="shared" si="335"/>
        <v>0</v>
      </c>
      <c r="V1426" s="352">
        <f t="shared" si="336"/>
        <v>0</v>
      </c>
      <c r="W1426" s="352">
        <v>0</v>
      </c>
      <c r="X1426" s="55">
        <f t="shared" si="327"/>
        <v>46153.875173611101</v>
      </c>
    </row>
    <row r="1427" spans="1:24" hidden="1" x14ac:dyDescent="0.35">
      <c r="A1427" s="46">
        <f t="shared" si="328"/>
        <v>46153.875173611101</v>
      </c>
      <c r="B1427" s="46"/>
      <c r="C1427" s="260"/>
      <c r="D1427" s="46"/>
      <c r="E1427" s="296" t="s">
        <v>4897</v>
      </c>
      <c r="F1427" s="366" t="s">
        <v>14</v>
      </c>
      <c r="G1427" s="454"/>
      <c r="H1427" s="455" t="s">
        <v>14</v>
      </c>
      <c r="I1427" s="297" t="s">
        <v>4928</v>
      </c>
      <c r="J1427" s="351" t="s">
        <v>140</v>
      </c>
      <c r="K1427" s="352">
        <v>0</v>
      </c>
      <c r="L1427" s="352">
        <v>0</v>
      </c>
      <c r="M1427" s="353">
        <v>50</v>
      </c>
      <c r="N1427" s="353">
        <v>50</v>
      </c>
      <c r="O1427" s="353">
        <v>1</v>
      </c>
      <c r="P1427" s="353">
        <f t="shared" si="332"/>
        <v>50</v>
      </c>
      <c r="Q1427" s="353"/>
      <c r="R1427" s="353">
        <v>50</v>
      </c>
      <c r="S1427" s="353">
        <f t="shared" si="333"/>
        <v>0</v>
      </c>
      <c r="T1427" s="353">
        <f t="shared" si="334"/>
        <v>1728</v>
      </c>
      <c r="U1427" s="352">
        <f t="shared" si="335"/>
        <v>0</v>
      </c>
      <c r="V1427" s="352">
        <f t="shared" si="336"/>
        <v>0</v>
      </c>
      <c r="W1427" s="352">
        <v>0</v>
      </c>
      <c r="X1427" s="55">
        <f t="shared" ref="X1427:X1436" si="337">A1427+K1427+L1427+V1427+W1427</f>
        <v>46153.875173611101</v>
      </c>
    </row>
    <row r="1428" spans="1:24" hidden="1" x14ac:dyDescent="0.35">
      <c r="A1428" s="46">
        <f t="shared" ref="A1428:A1475" si="338">X1427</f>
        <v>46153.875173611101</v>
      </c>
      <c r="B1428" s="46"/>
      <c r="C1428" s="260"/>
      <c r="D1428" s="46"/>
      <c r="E1428" s="296" t="s">
        <v>4897</v>
      </c>
      <c r="F1428" s="366" t="s">
        <v>14</v>
      </c>
      <c r="G1428" s="454"/>
      <c r="H1428" s="455" t="s">
        <v>14</v>
      </c>
      <c r="I1428" s="297" t="s">
        <v>6140</v>
      </c>
      <c r="J1428" s="351" t="s">
        <v>140</v>
      </c>
      <c r="K1428" s="352">
        <v>0</v>
      </c>
      <c r="L1428" s="352">
        <v>0</v>
      </c>
      <c r="M1428" s="353">
        <v>50</v>
      </c>
      <c r="N1428" s="353">
        <v>50</v>
      </c>
      <c r="O1428" s="353">
        <v>1</v>
      </c>
      <c r="P1428" s="353">
        <f t="shared" si="332"/>
        <v>50</v>
      </c>
      <c r="Q1428" s="353"/>
      <c r="R1428" s="353">
        <v>50</v>
      </c>
      <c r="S1428" s="353">
        <f t="shared" si="333"/>
        <v>0</v>
      </c>
      <c r="T1428" s="353">
        <f t="shared" si="334"/>
        <v>1728</v>
      </c>
      <c r="U1428" s="352">
        <f t="shared" si="335"/>
        <v>0</v>
      </c>
      <c r="V1428" s="352">
        <f t="shared" si="336"/>
        <v>0</v>
      </c>
      <c r="W1428" s="352">
        <v>0</v>
      </c>
      <c r="X1428" s="55">
        <f t="shared" si="337"/>
        <v>46153.875173611101</v>
      </c>
    </row>
    <row r="1429" spans="1:24" hidden="1" x14ac:dyDescent="0.35">
      <c r="A1429" s="46">
        <f t="shared" si="338"/>
        <v>46153.875173611101</v>
      </c>
      <c r="B1429" s="46"/>
      <c r="C1429" s="260"/>
      <c r="D1429" s="46"/>
      <c r="E1429" s="47" t="s">
        <v>4384</v>
      </c>
      <c r="F1429" s="97" t="s">
        <v>6141</v>
      </c>
      <c r="G1429" s="97"/>
      <c r="H1429" s="98" t="s">
        <v>6142</v>
      </c>
      <c r="I1429" s="99" t="s">
        <v>3545</v>
      </c>
      <c r="J1429" s="100" t="s">
        <v>140</v>
      </c>
      <c r="K1429" s="91">
        <v>0</v>
      </c>
      <c r="L1429" s="91">
        <v>0</v>
      </c>
      <c r="M1429" s="92">
        <v>80</v>
      </c>
      <c r="N1429" s="92">
        <v>7000</v>
      </c>
      <c r="O1429" s="92">
        <v>2</v>
      </c>
      <c r="P1429" s="92">
        <f t="shared" si="332"/>
        <v>3500</v>
      </c>
      <c r="Q1429" s="92"/>
      <c r="R1429" s="92">
        <v>3500</v>
      </c>
      <c r="S1429" s="92">
        <f t="shared" si="333"/>
        <v>0</v>
      </c>
      <c r="T1429" s="102">
        <f t="shared" si="334"/>
        <v>2160</v>
      </c>
      <c r="U1429" s="101">
        <f t="shared" si="335"/>
        <v>0</v>
      </c>
      <c r="V1429" s="101">
        <f t="shared" si="336"/>
        <v>0</v>
      </c>
      <c r="W1429" s="101">
        <v>0</v>
      </c>
      <c r="X1429" s="55">
        <f t="shared" si="337"/>
        <v>46153.875173611101</v>
      </c>
    </row>
    <row r="1430" spans="1:24" hidden="1" x14ac:dyDescent="0.35">
      <c r="A1430" s="46">
        <f t="shared" si="338"/>
        <v>46153.875173611101</v>
      </c>
      <c r="B1430" s="46"/>
      <c r="C1430" s="260"/>
      <c r="D1430" s="46"/>
      <c r="E1430" s="47" t="s">
        <v>4384</v>
      </c>
      <c r="F1430" s="97" t="s">
        <v>1603</v>
      </c>
      <c r="G1430" s="97"/>
      <c r="H1430" s="108">
        <v>12329</v>
      </c>
      <c r="I1430" s="855" t="s">
        <v>4884</v>
      </c>
      <c r="J1430" s="100" t="s">
        <v>140</v>
      </c>
      <c r="K1430" s="91">
        <v>0</v>
      </c>
      <c r="L1430" s="91">
        <v>0</v>
      </c>
      <c r="M1430" s="92">
        <v>120</v>
      </c>
      <c r="N1430" s="92">
        <v>8148</v>
      </c>
      <c r="O1430" s="92">
        <v>1</v>
      </c>
      <c r="P1430" s="92">
        <f t="shared" si="332"/>
        <v>8148</v>
      </c>
      <c r="Q1430" s="92"/>
      <c r="R1430" s="92">
        <v>8148</v>
      </c>
      <c r="S1430" s="92">
        <f t="shared" si="333"/>
        <v>0</v>
      </c>
      <c r="T1430" s="102">
        <f t="shared" si="334"/>
        <v>720</v>
      </c>
      <c r="U1430" s="101">
        <f t="shared" si="335"/>
        <v>0</v>
      </c>
      <c r="V1430" s="101">
        <f t="shared" si="336"/>
        <v>0</v>
      </c>
      <c r="W1430" s="101">
        <v>0</v>
      </c>
      <c r="X1430" s="55">
        <f t="shared" si="337"/>
        <v>46153.875173611101</v>
      </c>
    </row>
    <row r="1431" spans="1:24" hidden="1" x14ac:dyDescent="0.35">
      <c r="A1431" s="46">
        <f t="shared" si="338"/>
        <v>46153.875173611101</v>
      </c>
      <c r="B1431" s="46"/>
      <c r="C1431" s="260"/>
      <c r="D1431" s="46"/>
      <c r="E1431" s="47" t="s">
        <v>4384</v>
      </c>
      <c r="F1431" s="97" t="s">
        <v>355</v>
      </c>
      <c r="G1431" s="97"/>
      <c r="H1431" s="108">
        <v>12375</v>
      </c>
      <c r="I1431" s="855" t="s">
        <v>4884</v>
      </c>
      <c r="J1431" s="100" t="s">
        <v>140</v>
      </c>
      <c r="K1431" s="91">
        <v>0</v>
      </c>
      <c r="L1431" s="91">
        <v>0</v>
      </c>
      <c r="M1431" s="92">
        <v>120</v>
      </c>
      <c r="N1431" s="92">
        <f>7000+3000</f>
        <v>10000</v>
      </c>
      <c r="O1431" s="92">
        <v>1</v>
      </c>
      <c r="P1431" s="92">
        <f t="shared" si="332"/>
        <v>10000</v>
      </c>
      <c r="Q1431" s="92"/>
      <c r="R1431" s="92">
        <v>10000</v>
      </c>
      <c r="S1431" s="92">
        <f t="shared" si="333"/>
        <v>0</v>
      </c>
      <c r="T1431" s="102">
        <f t="shared" si="334"/>
        <v>720</v>
      </c>
      <c r="U1431" s="101">
        <f t="shared" si="335"/>
        <v>0</v>
      </c>
      <c r="V1431" s="101">
        <f t="shared" si="336"/>
        <v>0</v>
      </c>
      <c r="W1431" s="101">
        <v>0</v>
      </c>
      <c r="X1431" s="55">
        <f t="shared" si="337"/>
        <v>46153.875173611101</v>
      </c>
    </row>
    <row r="1432" spans="1:24" hidden="1" x14ac:dyDescent="0.35">
      <c r="A1432" s="46">
        <f t="shared" si="338"/>
        <v>46153.875173611101</v>
      </c>
      <c r="B1432" s="46"/>
      <c r="C1432" s="260"/>
      <c r="D1432" s="46"/>
      <c r="E1432" s="47" t="s">
        <v>4384</v>
      </c>
      <c r="F1432" s="97" t="s">
        <v>355</v>
      </c>
      <c r="G1432" s="82" t="s">
        <v>315</v>
      </c>
      <c r="H1432" s="108">
        <v>12375</v>
      </c>
      <c r="I1432" s="855" t="s">
        <v>4884</v>
      </c>
      <c r="J1432" s="100" t="s">
        <v>140</v>
      </c>
      <c r="K1432" s="91">
        <v>0</v>
      </c>
      <c r="L1432" s="91">
        <v>0</v>
      </c>
      <c r="M1432" s="92">
        <v>120</v>
      </c>
      <c r="N1432" s="92">
        <v>8000</v>
      </c>
      <c r="O1432" s="92">
        <v>1</v>
      </c>
      <c r="P1432" s="92">
        <f t="shared" si="332"/>
        <v>8000</v>
      </c>
      <c r="Q1432" s="92"/>
      <c r="R1432" s="92">
        <v>8000</v>
      </c>
      <c r="S1432" s="92">
        <f t="shared" si="333"/>
        <v>0</v>
      </c>
      <c r="T1432" s="102">
        <f t="shared" si="334"/>
        <v>720</v>
      </c>
      <c r="U1432" s="101">
        <f t="shared" si="335"/>
        <v>0</v>
      </c>
      <c r="V1432" s="101">
        <f t="shared" si="336"/>
        <v>0</v>
      </c>
      <c r="W1432" s="101">
        <v>0</v>
      </c>
      <c r="X1432" s="55">
        <f t="shared" si="337"/>
        <v>46153.875173611101</v>
      </c>
    </row>
    <row r="1433" spans="1:24" hidden="1" x14ac:dyDescent="0.35">
      <c r="A1433" s="46">
        <f t="shared" si="338"/>
        <v>46153.875173611101</v>
      </c>
      <c r="B1433" s="46"/>
      <c r="C1433" s="260"/>
      <c r="D1433" s="46"/>
      <c r="E1433" s="47" t="s">
        <v>4384</v>
      </c>
      <c r="F1433" s="82" t="s">
        <v>314</v>
      </c>
      <c r="G1433" s="82" t="s">
        <v>315</v>
      </c>
      <c r="H1433" s="108">
        <v>12636</v>
      </c>
      <c r="I1433" s="855" t="s">
        <v>4884</v>
      </c>
      <c r="J1433" s="100" t="s">
        <v>140</v>
      </c>
      <c r="K1433" s="91">
        <v>0</v>
      </c>
      <c r="L1433" s="91">
        <v>0</v>
      </c>
      <c r="M1433" s="92">
        <v>120</v>
      </c>
      <c r="N1433" s="94">
        <v>6000</v>
      </c>
      <c r="O1433" s="92">
        <v>1</v>
      </c>
      <c r="P1433" s="94">
        <f t="shared" si="332"/>
        <v>6000</v>
      </c>
      <c r="Q1433" s="94"/>
      <c r="R1433" s="92">
        <v>6000</v>
      </c>
      <c r="S1433" s="92">
        <f t="shared" si="333"/>
        <v>0</v>
      </c>
      <c r="T1433" s="102">
        <f t="shared" si="334"/>
        <v>720</v>
      </c>
      <c r="U1433" s="101">
        <f t="shared" si="335"/>
        <v>0</v>
      </c>
      <c r="V1433" s="101">
        <f t="shared" si="336"/>
        <v>0</v>
      </c>
      <c r="W1433" s="101">
        <v>0</v>
      </c>
      <c r="X1433" s="55">
        <f t="shared" si="337"/>
        <v>46153.875173611101</v>
      </c>
    </row>
    <row r="1434" spans="1:24" hidden="1" x14ac:dyDescent="0.35">
      <c r="A1434" s="46">
        <f t="shared" si="338"/>
        <v>46153.875173611101</v>
      </c>
      <c r="B1434" s="46"/>
      <c r="C1434" s="260"/>
      <c r="D1434" s="46"/>
      <c r="E1434" s="47" t="s">
        <v>3503</v>
      </c>
      <c r="F1434" s="82" t="s">
        <v>633</v>
      </c>
      <c r="G1434" s="82" t="s">
        <v>327</v>
      </c>
      <c r="H1434" s="98" t="s">
        <v>6143</v>
      </c>
      <c r="I1434" s="69" t="s">
        <v>5037</v>
      </c>
      <c r="J1434" s="100" t="s">
        <v>140</v>
      </c>
      <c r="K1434" s="91">
        <v>0</v>
      </c>
      <c r="L1434" s="91">
        <v>0</v>
      </c>
      <c r="M1434" s="92">
        <v>35</v>
      </c>
      <c r="N1434" s="94">
        <v>6000</v>
      </c>
      <c r="O1434" s="92">
        <v>1</v>
      </c>
      <c r="P1434" s="94">
        <f t="shared" si="332"/>
        <v>6000</v>
      </c>
      <c r="Q1434" s="94"/>
      <c r="R1434" s="92">
        <v>6000</v>
      </c>
      <c r="S1434" s="94">
        <f t="shared" si="333"/>
        <v>0</v>
      </c>
      <c r="T1434" s="102">
        <f t="shared" si="334"/>
        <v>2468.5714285714284</v>
      </c>
      <c r="U1434" s="101">
        <f t="shared" si="335"/>
        <v>0</v>
      </c>
      <c r="V1434" s="101">
        <f t="shared" si="336"/>
        <v>0</v>
      </c>
      <c r="W1434" s="101">
        <v>0</v>
      </c>
      <c r="X1434" s="55">
        <f t="shared" si="337"/>
        <v>46153.875173611101</v>
      </c>
    </row>
    <row r="1435" spans="1:24" hidden="1" x14ac:dyDescent="0.35">
      <c r="A1435" s="46">
        <f t="shared" si="338"/>
        <v>46153.875173611101</v>
      </c>
      <c r="B1435" s="46"/>
      <c r="C1435" s="260"/>
      <c r="D1435" s="46"/>
      <c r="E1435" s="47" t="s">
        <v>4384</v>
      </c>
      <c r="F1435" s="97" t="s">
        <v>6144</v>
      </c>
      <c r="G1435" s="82" t="s">
        <v>327</v>
      </c>
      <c r="H1435" s="98" t="s">
        <v>6145</v>
      </c>
      <c r="I1435" s="99" t="s">
        <v>3545</v>
      </c>
      <c r="J1435" s="100" t="s">
        <v>140</v>
      </c>
      <c r="K1435" s="91">
        <v>0</v>
      </c>
      <c r="L1435" s="91">
        <v>0</v>
      </c>
      <c r="M1435" s="92">
        <v>80</v>
      </c>
      <c r="N1435" s="94">
        <v>16000</v>
      </c>
      <c r="O1435" s="92">
        <v>2</v>
      </c>
      <c r="P1435" s="94">
        <f t="shared" si="332"/>
        <v>8000</v>
      </c>
      <c r="Q1435" s="94"/>
      <c r="R1435" s="92">
        <v>8000</v>
      </c>
      <c r="S1435" s="92">
        <f t="shared" si="333"/>
        <v>0</v>
      </c>
      <c r="T1435" s="102">
        <f t="shared" si="334"/>
        <v>2160</v>
      </c>
      <c r="U1435" s="101">
        <f t="shared" si="335"/>
        <v>0</v>
      </c>
      <c r="V1435" s="101">
        <f t="shared" si="336"/>
        <v>0</v>
      </c>
      <c r="W1435" s="101">
        <v>0</v>
      </c>
      <c r="X1435" s="55">
        <f t="shared" si="337"/>
        <v>46153.875173611101</v>
      </c>
    </row>
    <row r="1436" spans="1:24" s="118" customFormat="1" ht="39.5" hidden="1" x14ac:dyDescent="0.35">
      <c r="A1436" s="46">
        <f t="shared" si="338"/>
        <v>46153.875173611101</v>
      </c>
      <c r="B1436" s="46"/>
      <c r="C1436" s="260"/>
      <c r="D1436" s="46"/>
      <c r="E1436" s="810" t="s">
        <v>3503</v>
      </c>
      <c r="F1436" s="453" t="s">
        <v>5497</v>
      </c>
      <c r="G1436" s="453" t="s">
        <v>3513</v>
      </c>
      <c r="H1436" s="108" t="s">
        <v>6146</v>
      </c>
      <c r="I1436" s="82" t="s">
        <v>6029</v>
      </c>
      <c r="J1436" s="100" t="s">
        <v>140</v>
      </c>
      <c r="K1436" s="101">
        <v>0</v>
      </c>
      <c r="L1436" s="91">
        <v>0</v>
      </c>
      <c r="M1436" s="108">
        <v>43</v>
      </c>
      <c r="N1436" s="103">
        <v>1100</v>
      </c>
      <c r="O1436" s="102">
        <v>1</v>
      </c>
      <c r="P1436" s="103">
        <f t="shared" si="332"/>
        <v>1100</v>
      </c>
      <c r="Q1436" s="103"/>
      <c r="R1436" s="103">
        <v>1100</v>
      </c>
      <c r="S1436" s="103">
        <f t="shared" si="333"/>
        <v>0</v>
      </c>
      <c r="T1436" s="102">
        <f t="shared" si="334"/>
        <v>2009.3023255813955</v>
      </c>
      <c r="U1436" s="101">
        <f t="shared" si="335"/>
        <v>0</v>
      </c>
      <c r="V1436" s="101">
        <f t="shared" si="336"/>
        <v>0</v>
      </c>
      <c r="W1436" s="101">
        <v>0</v>
      </c>
      <c r="X1436" s="255">
        <f t="shared" si="337"/>
        <v>46153.875173611101</v>
      </c>
    </row>
    <row r="1437" spans="1:24" s="118" customFormat="1" hidden="1" x14ac:dyDescent="0.35">
      <c r="A1437" s="46">
        <f t="shared" si="338"/>
        <v>46153.875173611101</v>
      </c>
      <c r="B1437" s="46"/>
      <c r="C1437" s="260"/>
      <c r="D1437" s="46"/>
      <c r="E1437" s="590" t="s">
        <v>3503</v>
      </c>
      <c r="F1437" s="97" t="s">
        <v>355</v>
      </c>
      <c r="G1437" s="97" t="s">
        <v>2810</v>
      </c>
      <c r="H1437" s="98" t="s">
        <v>6147</v>
      </c>
      <c r="I1437" s="69" t="s">
        <v>5037</v>
      </c>
      <c r="J1437" s="100" t="s">
        <v>140</v>
      </c>
      <c r="K1437" s="91">
        <v>0</v>
      </c>
      <c r="L1437" s="91">
        <v>0</v>
      </c>
      <c r="M1437" s="92">
        <v>35</v>
      </c>
      <c r="N1437" s="94">
        <v>45400</v>
      </c>
      <c r="O1437" s="92">
        <v>4</v>
      </c>
      <c r="P1437" s="92">
        <f t="shared" si="332"/>
        <v>11350</v>
      </c>
      <c r="Q1437" s="92"/>
      <c r="R1437" s="92">
        <v>11350</v>
      </c>
      <c r="S1437" s="92">
        <f t="shared" si="333"/>
        <v>0</v>
      </c>
      <c r="T1437" s="102">
        <f t="shared" si="334"/>
        <v>9874.2857142857138</v>
      </c>
      <c r="U1437" s="101">
        <f t="shared" si="335"/>
        <v>0</v>
      </c>
      <c r="V1437" s="101">
        <f t="shared" si="336"/>
        <v>0</v>
      </c>
      <c r="W1437" s="101">
        <v>0</v>
      </c>
      <c r="X1437" s="55">
        <f>A1437+K1437+V1437+W1437+L1437</f>
        <v>46153.875173611101</v>
      </c>
    </row>
    <row r="1438" spans="1:24" ht="26.5" hidden="1" x14ac:dyDescent="0.35">
      <c r="A1438" s="46">
        <f t="shared" si="338"/>
        <v>46153.875173611101</v>
      </c>
      <c r="B1438" s="46"/>
      <c r="C1438" s="260"/>
      <c r="D1438" s="46"/>
      <c r="E1438" s="810" t="s">
        <v>3503</v>
      </c>
      <c r="F1438" s="97" t="s">
        <v>1264</v>
      </c>
      <c r="G1438" s="97" t="s">
        <v>327</v>
      </c>
      <c r="H1438" s="98" t="s">
        <v>6148</v>
      </c>
      <c r="I1438" s="82" t="s">
        <v>4378</v>
      </c>
      <c r="J1438" s="51" t="s">
        <v>140</v>
      </c>
      <c r="K1438" s="91">
        <v>0</v>
      </c>
      <c r="L1438" s="91">
        <v>0</v>
      </c>
      <c r="M1438" s="92">
        <v>35</v>
      </c>
      <c r="N1438" s="94">
        <v>30000</v>
      </c>
      <c r="O1438" s="253">
        <v>3</v>
      </c>
      <c r="P1438" s="94">
        <f t="shared" si="332"/>
        <v>10000</v>
      </c>
      <c r="Q1438" s="94"/>
      <c r="R1438" s="92">
        <v>10000</v>
      </c>
      <c r="S1438" s="92">
        <f t="shared" si="333"/>
        <v>0</v>
      </c>
      <c r="T1438" s="254">
        <f t="shared" si="334"/>
        <v>7405.7142857142853</v>
      </c>
      <c r="U1438" s="91">
        <f t="shared" si="335"/>
        <v>0</v>
      </c>
      <c r="V1438" s="91">
        <f t="shared" si="336"/>
        <v>0</v>
      </c>
      <c r="W1438" s="91">
        <v>0</v>
      </c>
      <c r="X1438" s="696">
        <f>A1438+K1438+V1438+W1438+L1438</f>
        <v>46153.875173611101</v>
      </c>
    </row>
    <row r="1439" spans="1:24" s="89" customFormat="1" hidden="1" x14ac:dyDescent="0.35">
      <c r="A1439" s="46">
        <f t="shared" si="338"/>
        <v>46153.875173611101</v>
      </c>
      <c r="B1439" s="46"/>
      <c r="C1439" s="260"/>
      <c r="D1439" s="46"/>
      <c r="E1439" s="47" t="s">
        <v>4384</v>
      </c>
      <c r="F1439" s="97" t="s">
        <v>4451</v>
      </c>
      <c r="G1439" s="85" t="s">
        <v>327</v>
      </c>
      <c r="H1439" s="98" t="s">
        <v>4452</v>
      </c>
      <c r="I1439" s="82" t="s">
        <v>4453</v>
      </c>
      <c r="J1439" s="51" t="s">
        <v>140</v>
      </c>
      <c r="K1439" s="91">
        <v>0</v>
      </c>
      <c r="L1439" s="91">
        <v>0</v>
      </c>
      <c r="M1439" s="92">
        <v>45</v>
      </c>
      <c r="N1439" s="94">
        <v>5000</v>
      </c>
      <c r="O1439" s="92">
        <v>1</v>
      </c>
      <c r="P1439" s="94">
        <f t="shared" si="332"/>
        <v>5000</v>
      </c>
      <c r="Q1439" s="94"/>
      <c r="R1439" s="92">
        <v>5000</v>
      </c>
      <c r="S1439" s="92">
        <f t="shared" si="333"/>
        <v>0</v>
      </c>
      <c r="T1439" s="92">
        <f t="shared" si="334"/>
        <v>1920</v>
      </c>
      <c r="U1439" s="91">
        <f t="shared" si="335"/>
        <v>0</v>
      </c>
      <c r="V1439" s="91">
        <f t="shared" si="336"/>
        <v>0</v>
      </c>
      <c r="W1439" s="91">
        <v>0</v>
      </c>
      <c r="X1439" s="55">
        <f>A1439+K1439+L1439+V1439+W1439</f>
        <v>46153.875173611101</v>
      </c>
    </row>
    <row r="1440" spans="1:24" s="118" customFormat="1" hidden="1" x14ac:dyDescent="0.35">
      <c r="A1440" s="46">
        <f t="shared" si="338"/>
        <v>46153.875173611101</v>
      </c>
      <c r="B1440" s="46"/>
      <c r="C1440" s="260"/>
      <c r="D1440" s="46"/>
      <c r="E1440" s="47" t="s">
        <v>3503</v>
      </c>
      <c r="F1440" s="97" t="s">
        <v>2199</v>
      </c>
      <c r="G1440" s="97" t="s">
        <v>3513</v>
      </c>
      <c r="H1440" s="98" t="s">
        <v>6149</v>
      </c>
      <c r="I1440" s="82" t="s">
        <v>4814</v>
      </c>
      <c r="J1440" s="51" t="s">
        <v>140</v>
      </c>
      <c r="K1440" s="91">
        <v>0</v>
      </c>
      <c r="L1440" s="91">
        <v>0</v>
      </c>
      <c r="M1440" s="92">
        <v>60</v>
      </c>
      <c r="N1440" s="94">
        <v>9800</v>
      </c>
      <c r="O1440" s="92">
        <v>1</v>
      </c>
      <c r="P1440" s="94">
        <f t="shared" si="332"/>
        <v>9800</v>
      </c>
      <c r="Q1440" s="94"/>
      <c r="R1440" s="92">
        <v>9800</v>
      </c>
      <c r="S1440" s="92">
        <f t="shared" si="333"/>
        <v>0</v>
      </c>
      <c r="T1440" s="102">
        <f t="shared" si="334"/>
        <v>1440</v>
      </c>
      <c r="U1440" s="101">
        <f t="shared" si="335"/>
        <v>0</v>
      </c>
      <c r="V1440" s="101">
        <f t="shared" si="336"/>
        <v>0</v>
      </c>
      <c r="W1440" s="101">
        <v>0</v>
      </c>
      <c r="X1440" s="55">
        <f t="shared" ref="X1440:X1447" si="339">A1440+K1440+V1440+W1440+L1440</f>
        <v>46153.875173611101</v>
      </c>
    </row>
    <row r="1441" spans="1:24" s="118" customFormat="1" hidden="1" x14ac:dyDescent="0.35">
      <c r="A1441" s="123">
        <f t="shared" si="338"/>
        <v>46153.875173611101</v>
      </c>
      <c r="B1441" s="123"/>
      <c r="C1441" s="190"/>
      <c r="D1441" s="123"/>
      <c r="E1441" s="124" t="s">
        <v>3503</v>
      </c>
      <c r="F1441" s="125" t="s">
        <v>6150</v>
      </c>
      <c r="G1441" s="125" t="s">
        <v>359</v>
      </c>
      <c r="H1441" s="126" t="s">
        <v>6151</v>
      </c>
      <c r="I1441" s="159" t="s">
        <v>4814</v>
      </c>
      <c r="J1441" s="128" t="s">
        <v>140</v>
      </c>
      <c r="K1441" s="129">
        <v>0</v>
      </c>
      <c r="L1441" s="129">
        <v>0</v>
      </c>
      <c r="M1441" s="130">
        <v>60</v>
      </c>
      <c r="N1441" s="131">
        <v>1200</v>
      </c>
      <c r="O1441" s="130">
        <v>1</v>
      </c>
      <c r="P1441" s="131">
        <f t="shared" si="332"/>
        <v>1200</v>
      </c>
      <c r="Q1441" s="131"/>
      <c r="R1441" s="130">
        <v>1200</v>
      </c>
      <c r="S1441" s="130">
        <f t="shared" si="333"/>
        <v>0</v>
      </c>
      <c r="T1441" s="164">
        <f t="shared" si="334"/>
        <v>1440</v>
      </c>
      <c r="U1441" s="163">
        <f t="shared" si="335"/>
        <v>0</v>
      </c>
      <c r="V1441" s="163">
        <f t="shared" si="336"/>
        <v>0</v>
      </c>
      <c r="W1441" s="163">
        <v>0</v>
      </c>
      <c r="X1441" s="137">
        <f t="shared" si="339"/>
        <v>46153.875173611101</v>
      </c>
    </row>
    <row r="1442" spans="1:24" s="118" customFormat="1" hidden="1" x14ac:dyDescent="0.35">
      <c r="A1442" s="46">
        <f t="shared" si="338"/>
        <v>46153.875173611101</v>
      </c>
      <c r="B1442" s="46"/>
      <c r="C1442" s="260"/>
      <c r="D1442" s="46"/>
      <c r="E1442" s="47" t="s">
        <v>3503</v>
      </c>
      <c r="F1442" s="97" t="s">
        <v>5126</v>
      </c>
      <c r="G1442" s="97" t="s">
        <v>792</v>
      </c>
      <c r="H1442" s="98" t="s">
        <v>6152</v>
      </c>
      <c r="I1442" s="82" t="s">
        <v>4941</v>
      </c>
      <c r="J1442" s="100" t="s">
        <v>140</v>
      </c>
      <c r="K1442" s="91">
        <v>0</v>
      </c>
      <c r="L1442" s="91">
        <v>0</v>
      </c>
      <c r="M1442" s="92">
        <v>45</v>
      </c>
      <c r="N1442" s="94">
        <v>2000</v>
      </c>
      <c r="O1442" s="92">
        <v>1</v>
      </c>
      <c r="P1442" s="94">
        <f t="shared" si="332"/>
        <v>2000</v>
      </c>
      <c r="Q1442" s="94"/>
      <c r="R1442" s="102">
        <v>2000</v>
      </c>
      <c r="S1442" s="92">
        <f t="shared" si="333"/>
        <v>0</v>
      </c>
      <c r="T1442" s="102">
        <f t="shared" si="334"/>
        <v>1920</v>
      </c>
      <c r="U1442" s="101">
        <f t="shared" si="335"/>
        <v>0</v>
      </c>
      <c r="V1442" s="101">
        <f t="shared" si="336"/>
        <v>0</v>
      </c>
      <c r="W1442" s="101">
        <v>0</v>
      </c>
      <c r="X1442" s="55">
        <f t="shared" si="339"/>
        <v>46153.875173611101</v>
      </c>
    </row>
    <row r="1443" spans="1:24" s="118" customFormat="1" hidden="1" x14ac:dyDescent="0.35">
      <c r="A1443" s="46">
        <f t="shared" si="338"/>
        <v>46153.875173611101</v>
      </c>
      <c r="B1443" s="46"/>
      <c r="C1443" s="260"/>
      <c r="D1443" s="46"/>
      <c r="E1443" s="47" t="s">
        <v>3503</v>
      </c>
      <c r="F1443" s="97" t="s">
        <v>5126</v>
      </c>
      <c r="G1443" s="97" t="s">
        <v>792</v>
      </c>
      <c r="H1443" s="98" t="s">
        <v>6153</v>
      </c>
      <c r="I1443" s="69" t="s">
        <v>4939</v>
      </c>
      <c r="J1443" s="51" t="s">
        <v>140</v>
      </c>
      <c r="K1443" s="91">
        <v>0</v>
      </c>
      <c r="L1443" s="91">
        <v>0</v>
      </c>
      <c r="M1443" s="92">
        <v>25</v>
      </c>
      <c r="N1443" s="94">
        <v>2000</v>
      </c>
      <c r="O1443" s="92">
        <v>1</v>
      </c>
      <c r="P1443" s="94">
        <f t="shared" si="332"/>
        <v>2000</v>
      </c>
      <c r="Q1443" s="94"/>
      <c r="R1443" s="92">
        <v>2000</v>
      </c>
      <c r="S1443" s="92">
        <f t="shared" si="333"/>
        <v>0</v>
      </c>
      <c r="T1443" s="92">
        <f t="shared" si="334"/>
        <v>3456</v>
      </c>
      <c r="U1443" s="91">
        <f t="shared" si="335"/>
        <v>0</v>
      </c>
      <c r="V1443" s="91">
        <f t="shared" si="336"/>
        <v>0</v>
      </c>
      <c r="W1443" s="91">
        <v>0</v>
      </c>
      <c r="X1443" s="55">
        <f t="shared" si="339"/>
        <v>46153.875173611101</v>
      </c>
    </row>
    <row r="1444" spans="1:24" ht="26.5" hidden="1" x14ac:dyDescent="0.35">
      <c r="A1444" s="46">
        <f t="shared" si="338"/>
        <v>46153.875173611101</v>
      </c>
      <c r="B1444" s="46"/>
      <c r="C1444" s="260"/>
      <c r="D1444" s="46"/>
      <c r="E1444" s="47" t="s">
        <v>3503</v>
      </c>
      <c r="F1444" s="82" t="s">
        <v>6154</v>
      </c>
      <c r="G1444" s="82" t="s">
        <v>359</v>
      </c>
      <c r="H1444" s="107" t="s">
        <v>6155</v>
      </c>
      <c r="I1444" s="106" t="s">
        <v>3559</v>
      </c>
      <c r="J1444" s="100" t="s">
        <v>140</v>
      </c>
      <c r="K1444" s="91">
        <v>0</v>
      </c>
      <c r="L1444" s="91">
        <v>0</v>
      </c>
      <c r="M1444" s="92">
        <v>45</v>
      </c>
      <c r="N1444" s="94">
        <v>2900</v>
      </c>
      <c r="O1444" s="92">
        <v>1</v>
      </c>
      <c r="P1444" s="94">
        <f t="shared" si="332"/>
        <v>2900</v>
      </c>
      <c r="Q1444" s="94"/>
      <c r="R1444" s="92">
        <v>2900</v>
      </c>
      <c r="S1444" s="92">
        <f t="shared" si="333"/>
        <v>0</v>
      </c>
      <c r="T1444" s="102">
        <f t="shared" si="334"/>
        <v>1920</v>
      </c>
      <c r="U1444" s="101">
        <f t="shared" si="335"/>
        <v>0</v>
      </c>
      <c r="V1444" s="101">
        <f t="shared" si="336"/>
        <v>0</v>
      </c>
      <c r="W1444" s="101">
        <v>0</v>
      </c>
      <c r="X1444" s="55">
        <f t="shared" si="339"/>
        <v>46153.875173611101</v>
      </c>
    </row>
    <row r="1445" spans="1:24" ht="26.5" hidden="1" x14ac:dyDescent="0.35">
      <c r="A1445" s="46">
        <f t="shared" si="338"/>
        <v>46153.875173611101</v>
      </c>
      <c r="B1445" s="46"/>
      <c r="C1445" s="260"/>
      <c r="D1445" s="46"/>
      <c r="E1445" s="47" t="s">
        <v>3503</v>
      </c>
      <c r="F1445" s="82" t="s">
        <v>6156</v>
      </c>
      <c r="G1445" s="82" t="s">
        <v>359</v>
      </c>
      <c r="H1445" s="107" t="s">
        <v>6157</v>
      </c>
      <c r="I1445" s="106" t="s">
        <v>3559</v>
      </c>
      <c r="J1445" s="100" t="s">
        <v>140</v>
      </c>
      <c r="K1445" s="91">
        <v>0</v>
      </c>
      <c r="L1445" s="91">
        <v>0</v>
      </c>
      <c r="M1445" s="92">
        <v>45</v>
      </c>
      <c r="N1445" s="94">
        <v>1120</v>
      </c>
      <c r="O1445" s="92">
        <v>1</v>
      </c>
      <c r="P1445" s="94">
        <f t="shared" si="332"/>
        <v>1120</v>
      </c>
      <c r="Q1445" s="94"/>
      <c r="R1445" s="92">
        <v>1120</v>
      </c>
      <c r="S1445" s="92">
        <f t="shared" si="333"/>
        <v>0</v>
      </c>
      <c r="T1445" s="102">
        <f t="shared" si="334"/>
        <v>1920</v>
      </c>
      <c r="U1445" s="101">
        <f t="shared" si="335"/>
        <v>0</v>
      </c>
      <c r="V1445" s="101">
        <f t="shared" si="336"/>
        <v>0</v>
      </c>
      <c r="W1445" s="101">
        <v>0</v>
      </c>
      <c r="X1445" s="55">
        <f t="shared" si="339"/>
        <v>46153.875173611101</v>
      </c>
    </row>
    <row r="1446" spans="1:24" ht="26.5" hidden="1" x14ac:dyDescent="0.35">
      <c r="A1446" s="46">
        <f t="shared" si="338"/>
        <v>46153.875173611101</v>
      </c>
      <c r="B1446" s="46"/>
      <c r="C1446" s="260"/>
      <c r="D1446" s="46"/>
      <c r="E1446" s="47" t="s">
        <v>3503</v>
      </c>
      <c r="F1446" s="82" t="s">
        <v>6158</v>
      </c>
      <c r="G1446" s="82" t="s">
        <v>359</v>
      </c>
      <c r="H1446" s="107" t="s">
        <v>6159</v>
      </c>
      <c r="I1446" s="106" t="s">
        <v>3559</v>
      </c>
      <c r="J1446" s="100" t="s">
        <v>140</v>
      </c>
      <c r="K1446" s="91">
        <v>0</v>
      </c>
      <c r="L1446" s="91">
        <v>0</v>
      </c>
      <c r="M1446" s="92">
        <v>45</v>
      </c>
      <c r="N1446" s="94">
        <v>1120</v>
      </c>
      <c r="O1446" s="92">
        <v>1</v>
      </c>
      <c r="P1446" s="94">
        <f t="shared" ref="P1446:P1475" si="340">N1446/O1446</f>
        <v>1120</v>
      </c>
      <c r="Q1446" s="94"/>
      <c r="R1446" s="92">
        <v>1120</v>
      </c>
      <c r="S1446" s="92">
        <f t="shared" ref="S1446:S1451" si="341">P1446-R1446</f>
        <v>0</v>
      </c>
      <c r="T1446" s="102">
        <f t="shared" ref="T1446:T1461" si="342">((3600/M1446)*O1446)*24</f>
        <v>1920</v>
      </c>
      <c r="U1446" s="101">
        <f t="shared" ref="U1446:U1461" si="343">(P1446-R1446)*M1446/3600</f>
        <v>0</v>
      </c>
      <c r="V1446" s="101">
        <f t="shared" ref="V1446:V1461" si="344">(P1446-R1446)*M1446/3600/24</f>
        <v>0</v>
      </c>
      <c r="W1446" s="101">
        <v>0</v>
      </c>
      <c r="X1446" s="55">
        <f t="shared" si="339"/>
        <v>46153.875173611101</v>
      </c>
    </row>
    <row r="1447" spans="1:24" s="118" customFormat="1" hidden="1" x14ac:dyDescent="0.35">
      <c r="A1447" s="46">
        <f t="shared" si="338"/>
        <v>46153.875173611101</v>
      </c>
      <c r="B1447" s="46"/>
      <c r="C1447" s="260"/>
      <c r="D1447" s="46"/>
      <c r="E1447" s="47" t="s">
        <v>3503</v>
      </c>
      <c r="F1447" s="100" t="s">
        <v>355</v>
      </c>
      <c r="G1447" s="830" t="s">
        <v>792</v>
      </c>
      <c r="H1447" s="98" t="s">
        <v>5529</v>
      </c>
      <c r="I1447" s="71" t="s">
        <v>3481</v>
      </c>
      <c r="J1447" s="100" t="s">
        <v>140</v>
      </c>
      <c r="K1447" s="91">
        <v>0</v>
      </c>
      <c r="L1447" s="91">
        <v>0</v>
      </c>
      <c r="M1447" s="92">
        <v>40</v>
      </c>
      <c r="N1447" s="94">
        <v>5000</v>
      </c>
      <c r="O1447" s="253">
        <v>1</v>
      </c>
      <c r="P1447" s="94">
        <f t="shared" si="340"/>
        <v>5000</v>
      </c>
      <c r="Q1447" s="94"/>
      <c r="R1447" s="92">
        <v>5000</v>
      </c>
      <c r="S1447" s="94">
        <f t="shared" si="341"/>
        <v>0</v>
      </c>
      <c r="T1447" s="173">
        <f t="shared" si="342"/>
        <v>2160</v>
      </c>
      <c r="U1447" s="101">
        <f t="shared" si="343"/>
        <v>0</v>
      </c>
      <c r="V1447" s="101">
        <f t="shared" si="344"/>
        <v>0</v>
      </c>
      <c r="W1447" s="101">
        <v>0</v>
      </c>
      <c r="X1447" s="696">
        <f t="shared" si="339"/>
        <v>46153.875173611101</v>
      </c>
    </row>
    <row r="1448" spans="1:24" s="118" customFormat="1" hidden="1" x14ac:dyDescent="0.35">
      <c r="A1448" s="46">
        <f t="shared" si="338"/>
        <v>46153.875173611101</v>
      </c>
      <c r="B1448" s="46"/>
      <c r="C1448" s="260"/>
      <c r="D1448" s="46"/>
      <c r="E1448" s="47" t="s">
        <v>4384</v>
      </c>
      <c r="F1448" s="100" t="s">
        <v>355</v>
      </c>
      <c r="G1448" s="698" t="s">
        <v>792</v>
      </c>
      <c r="H1448" s="699" t="s">
        <v>5132</v>
      </c>
      <c r="I1448" s="71" t="s">
        <v>3502</v>
      </c>
      <c r="J1448" s="100" t="s">
        <v>140</v>
      </c>
      <c r="K1448" s="101">
        <v>0</v>
      </c>
      <c r="L1448" s="91">
        <v>0</v>
      </c>
      <c r="M1448" s="102">
        <v>40</v>
      </c>
      <c r="N1448" s="103">
        <v>3500</v>
      </c>
      <c r="O1448" s="102">
        <v>1</v>
      </c>
      <c r="P1448" s="103">
        <f t="shared" si="340"/>
        <v>3500</v>
      </c>
      <c r="Q1448" s="103"/>
      <c r="R1448" s="103">
        <v>3500</v>
      </c>
      <c r="S1448" s="103">
        <f t="shared" si="341"/>
        <v>0</v>
      </c>
      <c r="T1448" s="102">
        <f t="shared" si="342"/>
        <v>2160</v>
      </c>
      <c r="U1448" s="101">
        <f t="shared" si="343"/>
        <v>0</v>
      </c>
      <c r="V1448" s="101">
        <f t="shared" si="344"/>
        <v>0</v>
      </c>
      <c r="W1448" s="101">
        <v>0</v>
      </c>
      <c r="X1448" s="255">
        <f>A1448+K1448+L1448+V1448+W1448</f>
        <v>46153.875173611101</v>
      </c>
    </row>
    <row r="1449" spans="1:24" s="487" customFormat="1" hidden="1" x14ac:dyDescent="0.35">
      <c r="A1449" s="46">
        <f t="shared" si="338"/>
        <v>46153.875173611101</v>
      </c>
      <c r="B1449" s="46"/>
      <c r="C1449" s="260"/>
      <c r="D1449" s="46"/>
      <c r="E1449" s="47" t="s">
        <v>3503</v>
      </c>
      <c r="F1449" s="97" t="s">
        <v>4451</v>
      </c>
      <c r="G1449" s="85" t="s">
        <v>327</v>
      </c>
      <c r="H1449" s="98" t="s">
        <v>4950</v>
      </c>
      <c r="I1449" s="82" t="s">
        <v>4453</v>
      </c>
      <c r="J1449" s="51" t="s">
        <v>140</v>
      </c>
      <c r="K1449" s="91">
        <v>0</v>
      </c>
      <c r="L1449" s="91">
        <v>0</v>
      </c>
      <c r="M1449" s="92">
        <v>45</v>
      </c>
      <c r="N1449" s="94">
        <v>3500</v>
      </c>
      <c r="O1449" s="92">
        <v>1</v>
      </c>
      <c r="P1449" s="94">
        <f t="shared" si="340"/>
        <v>3500</v>
      </c>
      <c r="Q1449" s="94"/>
      <c r="R1449" s="92">
        <v>3500</v>
      </c>
      <c r="S1449" s="92">
        <f t="shared" si="341"/>
        <v>0</v>
      </c>
      <c r="T1449" s="92">
        <f t="shared" si="342"/>
        <v>1920</v>
      </c>
      <c r="U1449" s="91">
        <f t="shared" si="343"/>
        <v>0</v>
      </c>
      <c r="V1449" s="91">
        <f t="shared" si="344"/>
        <v>0</v>
      </c>
      <c r="W1449" s="91">
        <v>0</v>
      </c>
      <c r="X1449" s="55">
        <f>A1449+K1449+L1449+V1449+W1449</f>
        <v>46153.875173611101</v>
      </c>
    </row>
    <row r="1450" spans="1:24" s="118" customFormat="1" hidden="1" x14ac:dyDescent="0.35">
      <c r="A1450" s="123">
        <f t="shared" si="338"/>
        <v>46153.875173611101</v>
      </c>
      <c r="B1450" s="123"/>
      <c r="C1450" s="190"/>
      <c r="D1450" s="123"/>
      <c r="E1450" s="124" t="s">
        <v>3503</v>
      </c>
      <c r="F1450" s="159" t="s">
        <v>1640</v>
      </c>
      <c r="G1450" s="127" t="s">
        <v>792</v>
      </c>
      <c r="H1450" s="467">
        <v>13037</v>
      </c>
      <c r="I1450" s="159" t="s">
        <v>4385</v>
      </c>
      <c r="J1450" s="175" t="s">
        <v>140</v>
      </c>
      <c r="K1450" s="163">
        <v>0</v>
      </c>
      <c r="L1450" s="163">
        <v>0</v>
      </c>
      <c r="M1450" s="164">
        <v>35</v>
      </c>
      <c r="N1450" s="165">
        <v>3500</v>
      </c>
      <c r="O1450" s="164">
        <v>1</v>
      </c>
      <c r="P1450" s="165">
        <f t="shared" si="340"/>
        <v>3500</v>
      </c>
      <c r="Q1450" s="165"/>
      <c r="R1450" s="165">
        <v>3500</v>
      </c>
      <c r="S1450" s="165">
        <f t="shared" si="341"/>
        <v>0</v>
      </c>
      <c r="T1450" s="164">
        <f t="shared" si="342"/>
        <v>2468.5714285714284</v>
      </c>
      <c r="U1450" s="163">
        <f t="shared" si="343"/>
        <v>0</v>
      </c>
      <c r="V1450" s="163">
        <f t="shared" si="344"/>
        <v>0</v>
      </c>
      <c r="W1450" s="163">
        <v>0</v>
      </c>
      <c r="X1450" s="169">
        <f>A1450+K1450+L1450+V1450+W1450</f>
        <v>46153.875173611101</v>
      </c>
    </row>
    <row r="1451" spans="1:24" hidden="1" x14ac:dyDescent="0.35">
      <c r="A1451" s="123">
        <f t="shared" si="338"/>
        <v>46153.875173611101</v>
      </c>
      <c r="B1451" s="123"/>
      <c r="C1451" s="190"/>
      <c r="D1451" s="123"/>
      <c r="E1451" s="124" t="s">
        <v>3503</v>
      </c>
      <c r="F1451" s="125" t="s">
        <v>1603</v>
      </c>
      <c r="G1451" s="703" t="s">
        <v>359</v>
      </c>
      <c r="H1451" s="126" t="s">
        <v>5529</v>
      </c>
      <c r="I1451" s="161" t="s">
        <v>3481</v>
      </c>
      <c r="J1451" s="175" t="s">
        <v>140</v>
      </c>
      <c r="K1451" s="129">
        <v>0</v>
      </c>
      <c r="L1451" s="129">
        <v>0</v>
      </c>
      <c r="M1451" s="130">
        <v>40</v>
      </c>
      <c r="N1451" s="131">
        <v>7300</v>
      </c>
      <c r="O1451" s="189">
        <v>1</v>
      </c>
      <c r="P1451" s="131">
        <f t="shared" si="340"/>
        <v>7300</v>
      </c>
      <c r="Q1451" s="131"/>
      <c r="R1451" s="130">
        <v>7300</v>
      </c>
      <c r="S1451" s="131">
        <f t="shared" si="341"/>
        <v>0</v>
      </c>
      <c r="T1451" s="168">
        <f t="shared" si="342"/>
        <v>2160</v>
      </c>
      <c r="U1451" s="163">
        <f t="shared" si="343"/>
        <v>0</v>
      </c>
      <c r="V1451" s="163">
        <f t="shared" si="344"/>
        <v>0</v>
      </c>
      <c r="W1451" s="163">
        <v>0</v>
      </c>
      <c r="X1451" s="702">
        <f>A1451+K1451+V1451+W1451+L1451</f>
        <v>46153.875173611101</v>
      </c>
    </row>
    <row r="1452" spans="1:24" s="487" customFormat="1" hidden="1" x14ac:dyDescent="0.35">
      <c r="A1452" s="295">
        <f t="shared" si="338"/>
        <v>46153.875173611101</v>
      </c>
      <c r="B1452" s="295"/>
      <c r="C1452" s="979"/>
      <c r="D1452" s="295"/>
      <c r="E1452" s="296" t="s">
        <v>3503</v>
      </c>
      <c r="F1452" s="367" t="s">
        <v>14</v>
      </c>
      <c r="G1452" s="297"/>
      <c r="H1452" s="367" t="s">
        <v>14</v>
      </c>
      <c r="I1452" s="297" t="s">
        <v>6160</v>
      </c>
      <c r="J1452" s="351"/>
      <c r="K1452" s="352">
        <v>0</v>
      </c>
      <c r="L1452" s="352">
        <v>0</v>
      </c>
      <c r="M1452" s="1021">
        <v>70</v>
      </c>
      <c r="N1452" s="353">
        <v>150</v>
      </c>
      <c r="O1452" s="353">
        <v>4</v>
      </c>
      <c r="P1452" s="353">
        <f t="shared" si="340"/>
        <v>37.5</v>
      </c>
      <c r="Q1452" s="353"/>
      <c r="R1452" s="353">
        <v>387</v>
      </c>
      <c r="S1452" s="353">
        <v>0</v>
      </c>
      <c r="T1452" s="353">
        <f t="shared" si="342"/>
        <v>4937.1428571428569</v>
      </c>
      <c r="U1452" s="352">
        <f t="shared" si="343"/>
        <v>-6.7958333333333334</v>
      </c>
      <c r="V1452" s="352">
        <f t="shared" si="344"/>
        <v>-0.28315972222222224</v>
      </c>
      <c r="W1452" s="352">
        <v>0</v>
      </c>
      <c r="X1452" s="308">
        <f>A1452+K1452+V1452+W1452+L1452</f>
        <v>46153.592013888876</v>
      </c>
    </row>
    <row r="1453" spans="1:24" hidden="1" x14ac:dyDescent="0.35">
      <c r="A1453" s="46">
        <f t="shared" si="338"/>
        <v>46153.592013888876</v>
      </c>
      <c r="B1453" s="46"/>
      <c r="C1453" s="260"/>
      <c r="D1453" s="46"/>
      <c r="E1453" s="810" t="s">
        <v>3503</v>
      </c>
      <c r="F1453" s="453" t="s">
        <v>6161</v>
      </c>
      <c r="G1453" s="453" t="s">
        <v>359</v>
      </c>
      <c r="H1453" s="108">
        <v>13231</v>
      </c>
      <c r="I1453" s="82" t="s">
        <v>6031</v>
      </c>
      <c r="J1453" s="100" t="s">
        <v>140</v>
      </c>
      <c r="K1453" s="91">
        <v>0</v>
      </c>
      <c r="L1453" s="91">
        <v>0</v>
      </c>
      <c r="M1453" s="92">
        <v>45</v>
      </c>
      <c r="N1453" s="94">
        <v>300</v>
      </c>
      <c r="O1453" s="92">
        <v>2</v>
      </c>
      <c r="P1453" s="94">
        <f t="shared" si="340"/>
        <v>150</v>
      </c>
      <c r="Q1453" s="94"/>
      <c r="R1453" s="92">
        <v>150</v>
      </c>
      <c r="S1453" s="92">
        <f t="shared" ref="S1453:S1475" si="345">P1453-R1453</f>
        <v>0</v>
      </c>
      <c r="T1453" s="102">
        <f t="shared" si="342"/>
        <v>3840</v>
      </c>
      <c r="U1453" s="101">
        <f t="shared" si="343"/>
        <v>0</v>
      </c>
      <c r="V1453" s="101">
        <f t="shared" si="344"/>
        <v>0</v>
      </c>
      <c r="W1453" s="101">
        <v>0</v>
      </c>
      <c r="X1453" s="55">
        <f t="shared" ref="X1453:X1458" si="346">A1453+K1453+L1453+V1453+W1453</f>
        <v>46153.592013888876</v>
      </c>
    </row>
    <row r="1454" spans="1:24" s="487" customFormat="1" hidden="1" x14ac:dyDescent="0.35">
      <c r="A1454" s="46">
        <f t="shared" si="338"/>
        <v>46153.592013888876</v>
      </c>
      <c r="B1454" s="46"/>
      <c r="C1454" s="260"/>
      <c r="D1454" s="46"/>
      <c r="E1454" s="810" t="s">
        <v>3503</v>
      </c>
      <c r="F1454" s="453" t="s">
        <v>6161</v>
      </c>
      <c r="G1454" s="453" t="s">
        <v>359</v>
      </c>
      <c r="H1454" s="108">
        <v>13233</v>
      </c>
      <c r="I1454" s="82" t="s">
        <v>6034</v>
      </c>
      <c r="J1454" s="100" t="s">
        <v>140</v>
      </c>
      <c r="K1454" s="91">
        <v>0</v>
      </c>
      <c r="L1454" s="91">
        <v>0</v>
      </c>
      <c r="M1454" s="92">
        <v>45</v>
      </c>
      <c r="N1454" s="94">
        <v>1200</v>
      </c>
      <c r="O1454" s="92">
        <v>2</v>
      </c>
      <c r="P1454" s="94">
        <f t="shared" si="340"/>
        <v>600</v>
      </c>
      <c r="Q1454" s="94"/>
      <c r="R1454" s="92"/>
      <c r="S1454" s="92">
        <f t="shared" si="345"/>
        <v>600</v>
      </c>
      <c r="T1454" s="102">
        <f t="shared" si="342"/>
        <v>3840</v>
      </c>
      <c r="U1454" s="101">
        <f t="shared" si="343"/>
        <v>7.5</v>
      </c>
      <c r="V1454" s="101">
        <f t="shared" si="344"/>
        <v>0.3125</v>
      </c>
      <c r="W1454" s="101">
        <v>0</v>
      </c>
      <c r="X1454" s="55">
        <f t="shared" si="346"/>
        <v>46153.904513888876</v>
      </c>
    </row>
    <row r="1455" spans="1:24" s="487" customFormat="1" hidden="1" x14ac:dyDescent="0.35">
      <c r="A1455" s="46">
        <f t="shared" si="338"/>
        <v>46153.904513888876</v>
      </c>
      <c r="B1455" s="46"/>
      <c r="C1455" s="260"/>
      <c r="D1455" s="46"/>
      <c r="E1455" s="810" t="s">
        <v>3503</v>
      </c>
      <c r="F1455" s="453" t="s">
        <v>6161</v>
      </c>
      <c r="G1455" s="453" t="s">
        <v>359</v>
      </c>
      <c r="H1455" s="108">
        <v>13234</v>
      </c>
      <c r="I1455" s="82" t="s">
        <v>6033</v>
      </c>
      <c r="J1455" s="100" t="s">
        <v>140</v>
      </c>
      <c r="K1455" s="91">
        <v>0</v>
      </c>
      <c r="L1455" s="91">
        <v>0</v>
      </c>
      <c r="M1455" s="92">
        <v>45</v>
      </c>
      <c r="N1455" s="94">
        <v>200</v>
      </c>
      <c r="O1455" s="92">
        <v>2</v>
      </c>
      <c r="P1455" s="94">
        <f t="shared" si="340"/>
        <v>100</v>
      </c>
      <c r="Q1455" s="94"/>
      <c r="R1455" s="92">
        <v>100</v>
      </c>
      <c r="S1455" s="92">
        <f t="shared" si="345"/>
        <v>0</v>
      </c>
      <c r="T1455" s="102">
        <f t="shared" si="342"/>
        <v>3840</v>
      </c>
      <c r="U1455" s="101">
        <f t="shared" si="343"/>
        <v>0</v>
      </c>
      <c r="V1455" s="101">
        <f t="shared" si="344"/>
        <v>0</v>
      </c>
      <c r="W1455" s="101">
        <v>0</v>
      </c>
      <c r="X1455" s="55">
        <f t="shared" si="346"/>
        <v>46153.904513888876</v>
      </c>
    </row>
    <row r="1456" spans="1:24" hidden="1" x14ac:dyDescent="0.35">
      <c r="A1456" s="46">
        <f t="shared" si="338"/>
        <v>46153.904513888876</v>
      </c>
      <c r="B1456" s="46"/>
      <c r="C1456" s="260"/>
      <c r="D1456" s="46"/>
      <c r="E1456" s="810" t="s">
        <v>3503</v>
      </c>
      <c r="F1456" s="453" t="s">
        <v>6161</v>
      </c>
      <c r="G1456" s="453" t="s">
        <v>359</v>
      </c>
      <c r="H1456" s="108">
        <v>13232</v>
      </c>
      <c r="I1456" s="82" t="s">
        <v>6032</v>
      </c>
      <c r="J1456" s="100" t="s">
        <v>140</v>
      </c>
      <c r="K1456" s="91">
        <v>0</v>
      </c>
      <c r="L1456" s="91">
        <v>0</v>
      </c>
      <c r="M1456" s="92">
        <v>45</v>
      </c>
      <c r="N1456" s="94">
        <v>500</v>
      </c>
      <c r="O1456" s="92">
        <v>2</v>
      </c>
      <c r="P1456" s="94">
        <f t="shared" si="340"/>
        <v>250</v>
      </c>
      <c r="Q1456" s="94"/>
      <c r="R1456" s="92">
        <v>250</v>
      </c>
      <c r="S1456" s="92">
        <f t="shared" si="345"/>
        <v>0</v>
      </c>
      <c r="T1456" s="102">
        <f t="shared" si="342"/>
        <v>3840</v>
      </c>
      <c r="U1456" s="101">
        <f t="shared" si="343"/>
        <v>0</v>
      </c>
      <c r="V1456" s="101">
        <f t="shared" si="344"/>
        <v>0</v>
      </c>
      <c r="W1456" s="101">
        <v>0</v>
      </c>
      <c r="X1456" s="55">
        <f t="shared" si="346"/>
        <v>46153.904513888876</v>
      </c>
    </row>
    <row r="1457" spans="1:24" s="487" customFormat="1" hidden="1" x14ac:dyDescent="0.35">
      <c r="A1457" s="46">
        <f t="shared" si="338"/>
        <v>46153.904513888876</v>
      </c>
      <c r="B1457" s="46"/>
      <c r="C1457" s="260"/>
      <c r="D1457" s="46"/>
      <c r="E1457" s="810" t="s">
        <v>3503</v>
      </c>
      <c r="F1457" s="453" t="s">
        <v>6161</v>
      </c>
      <c r="G1457" s="453" t="s">
        <v>359</v>
      </c>
      <c r="H1457" s="108">
        <v>13235</v>
      </c>
      <c r="I1457" s="82" t="s">
        <v>6035</v>
      </c>
      <c r="J1457" s="100" t="s">
        <v>140</v>
      </c>
      <c r="K1457" s="91">
        <v>0</v>
      </c>
      <c r="L1457" s="91">
        <v>0</v>
      </c>
      <c r="M1457" s="92">
        <v>45</v>
      </c>
      <c r="N1457" s="94">
        <v>1000</v>
      </c>
      <c r="O1457" s="92">
        <v>2</v>
      </c>
      <c r="P1457" s="94">
        <f t="shared" si="340"/>
        <v>500</v>
      </c>
      <c r="Q1457" s="94"/>
      <c r="R1457" s="92">
        <v>500</v>
      </c>
      <c r="S1457" s="92">
        <f t="shared" si="345"/>
        <v>0</v>
      </c>
      <c r="T1457" s="102">
        <f t="shared" si="342"/>
        <v>3840</v>
      </c>
      <c r="U1457" s="101">
        <f t="shared" si="343"/>
        <v>0</v>
      </c>
      <c r="V1457" s="101">
        <f t="shared" si="344"/>
        <v>0</v>
      </c>
      <c r="W1457" s="101">
        <v>0</v>
      </c>
      <c r="X1457" s="55">
        <f t="shared" si="346"/>
        <v>46153.904513888876</v>
      </c>
    </row>
    <row r="1458" spans="1:24" s="511" customFormat="1" ht="26.5" hidden="1" x14ac:dyDescent="0.35">
      <c r="A1458" s="46">
        <f t="shared" si="338"/>
        <v>46153.904513888876</v>
      </c>
      <c r="B1458" s="46"/>
      <c r="C1458" s="260"/>
      <c r="D1458" s="46"/>
      <c r="E1458" s="47" t="s">
        <v>3503</v>
      </c>
      <c r="F1458" s="82" t="s">
        <v>1552</v>
      </c>
      <c r="G1458" s="831" t="s">
        <v>359</v>
      </c>
      <c r="H1458" s="699" t="s">
        <v>5136</v>
      </c>
      <c r="I1458" s="82" t="s">
        <v>3470</v>
      </c>
      <c r="J1458" s="100" t="s">
        <v>140</v>
      </c>
      <c r="K1458" s="91">
        <v>0</v>
      </c>
      <c r="L1458" s="91">
        <v>0</v>
      </c>
      <c r="M1458" s="345">
        <v>45</v>
      </c>
      <c r="N1458" s="94">
        <f>8383</f>
        <v>8383</v>
      </c>
      <c r="O1458" s="92">
        <v>1</v>
      </c>
      <c r="P1458" s="94">
        <f t="shared" si="340"/>
        <v>8383</v>
      </c>
      <c r="Q1458" s="94"/>
      <c r="R1458" s="92">
        <v>8383</v>
      </c>
      <c r="S1458" s="92">
        <f t="shared" si="345"/>
        <v>0</v>
      </c>
      <c r="T1458" s="102">
        <f t="shared" si="342"/>
        <v>1920</v>
      </c>
      <c r="U1458" s="101">
        <f t="shared" si="343"/>
        <v>0</v>
      </c>
      <c r="V1458" s="101">
        <f t="shared" si="344"/>
        <v>0</v>
      </c>
      <c r="W1458" s="101">
        <v>0</v>
      </c>
      <c r="X1458" s="55">
        <f t="shared" si="346"/>
        <v>46153.904513888876</v>
      </c>
    </row>
    <row r="1459" spans="1:24" s="511" customFormat="1" hidden="1" x14ac:dyDescent="0.35">
      <c r="A1459" s="46">
        <f t="shared" si="338"/>
        <v>46153.904513888876</v>
      </c>
      <c r="B1459" s="46"/>
      <c r="C1459" s="260"/>
      <c r="D1459" s="46"/>
      <c r="E1459" s="47" t="s">
        <v>3503</v>
      </c>
      <c r="F1459" s="97"/>
      <c r="G1459" s="82" t="s">
        <v>839</v>
      </c>
      <c r="H1459" s="108">
        <v>13408</v>
      </c>
      <c r="I1459" s="82" t="s">
        <v>5288</v>
      </c>
      <c r="J1459" s="51" t="s">
        <v>140</v>
      </c>
      <c r="K1459" s="91">
        <v>0</v>
      </c>
      <c r="L1459" s="91">
        <v>0</v>
      </c>
      <c r="M1459" s="92">
        <v>40</v>
      </c>
      <c r="N1459" s="94">
        <v>40000</v>
      </c>
      <c r="O1459" s="92">
        <v>4</v>
      </c>
      <c r="P1459" s="94">
        <f t="shared" si="340"/>
        <v>10000</v>
      </c>
      <c r="Q1459" s="94"/>
      <c r="R1459" s="92">
        <v>10000</v>
      </c>
      <c r="S1459" s="94">
        <f t="shared" si="345"/>
        <v>0</v>
      </c>
      <c r="T1459" s="92">
        <f t="shared" si="342"/>
        <v>8640</v>
      </c>
      <c r="U1459" s="91">
        <f t="shared" si="343"/>
        <v>0</v>
      </c>
      <c r="V1459" s="91">
        <f t="shared" si="344"/>
        <v>0</v>
      </c>
      <c r="W1459" s="91">
        <v>0</v>
      </c>
      <c r="X1459" s="55">
        <f>A1459+K1459+V1459+W1459+L1459</f>
        <v>46153.904513888876</v>
      </c>
    </row>
    <row r="1460" spans="1:24" s="186" customFormat="1" hidden="1" x14ac:dyDescent="0.35">
      <c r="A1460" s="123">
        <f t="shared" si="338"/>
        <v>46153.904513888876</v>
      </c>
      <c r="B1460" s="123"/>
      <c r="C1460" s="190"/>
      <c r="D1460" s="123"/>
      <c r="E1460" s="124" t="s">
        <v>4384</v>
      </c>
      <c r="F1460" s="125"/>
      <c r="G1460" s="125" t="s">
        <v>839</v>
      </c>
      <c r="H1460" s="126" t="s">
        <v>6162</v>
      </c>
      <c r="I1460" s="159" t="s">
        <v>3522</v>
      </c>
      <c r="J1460" s="128" t="s">
        <v>140</v>
      </c>
      <c r="K1460" s="129">
        <v>0</v>
      </c>
      <c r="L1460" s="129">
        <v>0</v>
      </c>
      <c r="M1460" s="130">
        <v>45</v>
      </c>
      <c r="N1460" s="131">
        <v>1500</v>
      </c>
      <c r="O1460" s="130">
        <v>1</v>
      </c>
      <c r="P1460" s="131">
        <f t="shared" si="340"/>
        <v>1500</v>
      </c>
      <c r="Q1460" s="131"/>
      <c r="R1460" s="130">
        <v>1500</v>
      </c>
      <c r="S1460" s="130">
        <f t="shared" si="345"/>
        <v>0</v>
      </c>
      <c r="T1460" s="130">
        <f t="shared" si="342"/>
        <v>1920</v>
      </c>
      <c r="U1460" s="129">
        <f t="shared" si="343"/>
        <v>0</v>
      </c>
      <c r="V1460" s="129">
        <f t="shared" si="344"/>
        <v>0</v>
      </c>
      <c r="W1460" s="129">
        <v>0</v>
      </c>
      <c r="X1460" s="137">
        <f t="shared" ref="X1460:X1473" si="347">A1460+K1460+L1460+V1460+W1460</f>
        <v>46153.904513888876</v>
      </c>
    </row>
    <row r="1461" spans="1:24" s="511" customFormat="1" hidden="1" x14ac:dyDescent="0.35">
      <c r="A1461" s="46">
        <f t="shared" si="338"/>
        <v>46153.904513888876</v>
      </c>
      <c r="B1461" s="46"/>
      <c r="C1461" s="260"/>
      <c r="D1461" s="46"/>
      <c r="E1461" s="47" t="s">
        <v>4384</v>
      </c>
      <c r="F1461" s="97" t="s">
        <v>809</v>
      </c>
      <c r="G1461" s="97" t="s">
        <v>839</v>
      </c>
      <c r="H1461" s="107" t="s">
        <v>6163</v>
      </c>
      <c r="I1461" s="797" t="s">
        <v>4342</v>
      </c>
      <c r="J1461" s="100" t="s">
        <v>140</v>
      </c>
      <c r="K1461" s="91">
        <v>0</v>
      </c>
      <c r="L1461" s="91">
        <v>0</v>
      </c>
      <c r="M1461" s="92">
        <v>70</v>
      </c>
      <c r="N1461" s="94">
        <v>1000</v>
      </c>
      <c r="O1461" s="92">
        <v>1</v>
      </c>
      <c r="P1461" s="94">
        <f t="shared" si="340"/>
        <v>1000</v>
      </c>
      <c r="Q1461" s="94"/>
      <c r="R1461" s="92">
        <v>1000</v>
      </c>
      <c r="S1461" s="92">
        <f t="shared" si="345"/>
        <v>0</v>
      </c>
      <c r="T1461" s="102">
        <f t="shared" si="342"/>
        <v>1234.2857142857142</v>
      </c>
      <c r="U1461" s="101">
        <f t="shared" si="343"/>
        <v>0</v>
      </c>
      <c r="V1461" s="101">
        <f t="shared" si="344"/>
        <v>0</v>
      </c>
      <c r="W1461" s="101">
        <v>0</v>
      </c>
      <c r="X1461" s="55">
        <f t="shared" si="347"/>
        <v>46153.904513888876</v>
      </c>
    </row>
    <row r="1462" spans="1:24" s="511" customFormat="1" hidden="1" x14ac:dyDescent="0.35">
      <c r="A1462" s="46">
        <f t="shared" si="338"/>
        <v>46153.904513888876</v>
      </c>
      <c r="B1462" s="46">
        <v>46059</v>
      </c>
      <c r="C1462" s="260">
        <f t="shared" ref="C1462:C1475" si="348">B1462-A1462</f>
        <v>-94.904513888875954</v>
      </c>
      <c r="D1462" s="260"/>
      <c r="E1462" s="47" t="s">
        <v>4384</v>
      </c>
      <c r="F1462" s="82" t="s">
        <v>355</v>
      </c>
      <c r="G1462" s="82" t="s">
        <v>359</v>
      </c>
      <c r="H1462" s="98" t="s">
        <v>4635</v>
      </c>
      <c r="I1462" s="71" t="s">
        <v>4636</v>
      </c>
      <c r="J1462" s="100" t="s">
        <v>140</v>
      </c>
      <c r="K1462" s="91">
        <v>0</v>
      </c>
      <c r="L1462" s="91">
        <v>0</v>
      </c>
      <c r="M1462" s="92">
        <v>42</v>
      </c>
      <c r="N1462" s="94">
        <v>60000</v>
      </c>
      <c r="O1462" s="92">
        <v>4</v>
      </c>
      <c r="P1462" s="94">
        <f t="shared" si="340"/>
        <v>15000</v>
      </c>
      <c r="Q1462" s="181">
        <v>0.8</v>
      </c>
      <c r="R1462" s="92">
        <v>15000</v>
      </c>
      <c r="S1462" s="103">
        <f t="shared" si="345"/>
        <v>0</v>
      </c>
      <c r="T1462" s="173">
        <f t="shared" ref="T1462:T1475" si="349">((3600/M1462)*O1462)*24*Q1462</f>
        <v>6582.8571428571422</v>
      </c>
      <c r="U1462" s="101">
        <f t="shared" ref="U1462:U1475" si="350">(P1462-R1462)*M1462/3600/Q1462</f>
        <v>0</v>
      </c>
      <c r="V1462" s="101">
        <f t="shared" ref="V1462:V1475" si="351">U1462/24</f>
        <v>0</v>
      </c>
      <c r="W1462" s="101">
        <v>0</v>
      </c>
      <c r="X1462" s="55">
        <f t="shared" si="347"/>
        <v>46153.904513888876</v>
      </c>
    </row>
    <row r="1463" spans="1:24" s="511" customFormat="1" hidden="1" x14ac:dyDescent="0.35">
      <c r="A1463" s="46">
        <f t="shared" si="338"/>
        <v>46153.904513888876</v>
      </c>
      <c r="B1463" s="46">
        <v>46064</v>
      </c>
      <c r="C1463" s="260">
        <f t="shared" si="348"/>
        <v>-89.904513888875954</v>
      </c>
      <c r="D1463" s="260"/>
      <c r="E1463" s="47" t="s">
        <v>3503</v>
      </c>
      <c r="F1463" s="97" t="s">
        <v>4423</v>
      </c>
      <c r="G1463" s="97" t="s">
        <v>386</v>
      </c>
      <c r="H1463" s="98" t="s">
        <v>6164</v>
      </c>
      <c r="I1463" s="82" t="s">
        <v>6038</v>
      </c>
      <c r="J1463" s="100" t="s">
        <v>140</v>
      </c>
      <c r="K1463" s="91">
        <v>0</v>
      </c>
      <c r="L1463" s="91">
        <v>0</v>
      </c>
      <c r="M1463" s="92">
        <v>45</v>
      </c>
      <c r="N1463" s="94">
        <v>500</v>
      </c>
      <c r="O1463" s="92">
        <v>1</v>
      </c>
      <c r="P1463" s="94">
        <f t="shared" si="340"/>
        <v>500</v>
      </c>
      <c r="Q1463" s="181">
        <v>0.8</v>
      </c>
      <c r="R1463" s="102">
        <v>500</v>
      </c>
      <c r="S1463" s="103">
        <f t="shared" si="345"/>
        <v>0</v>
      </c>
      <c r="T1463" s="173">
        <f t="shared" si="349"/>
        <v>1536</v>
      </c>
      <c r="U1463" s="101">
        <f t="shared" si="350"/>
        <v>0</v>
      </c>
      <c r="V1463" s="101">
        <f t="shared" si="351"/>
        <v>0</v>
      </c>
      <c r="W1463" s="101">
        <v>0</v>
      </c>
      <c r="X1463" s="55">
        <f t="shared" si="347"/>
        <v>46153.904513888876</v>
      </c>
    </row>
    <row r="1464" spans="1:24" s="511" customFormat="1" hidden="1" x14ac:dyDescent="0.35">
      <c r="A1464" s="46">
        <f t="shared" si="338"/>
        <v>46153.904513888876</v>
      </c>
      <c r="B1464" s="46">
        <v>46064</v>
      </c>
      <c r="C1464" s="260">
        <f t="shared" si="348"/>
        <v>-89.904513888875954</v>
      </c>
      <c r="D1464" s="260"/>
      <c r="E1464" s="47" t="s">
        <v>3503</v>
      </c>
      <c r="F1464" s="97" t="s">
        <v>3543</v>
      </c>
      <c r="G1464" s="97" t="s">
        <v>386</v>
      </c>
      <c r="H1464" s="98" t="s">
        <v>6165</v>
      </c>
      <c r="I1464" s="82" t="s">
        <v>6166</v>
      </c>
      <c r="J1464" s="100" t="s">
        <v>140</v>
      </c>
      <c r="K1464" s="91">
        <v>0</v>
      </c>
      <c r="L1464" s="91">
        <v>0</v>
      </c>
      <c r="M1464" s="92">
        <v>45</v>
      </c>
      <c r="N1464" s="94">
        <v>1280</v>
      </c>
      <c r="O1464" s="92">
        <v>1</v>
      </c>
      <c r="P1464" s="94">
        <f t="shared" si="340"/>
        <v>1280</v>
      </c>
      <c r="Q1464" s="181">
        <v>0.8</v>
      </c>
      <c r="R1464" s="102">
        <v>1280</v>
      </c>
      <c r="S1464" s="103">
        <f t="shared" si="345"/>
        <v>0</v>
      </c>
      <c r="T1464" s="173">
        <f t="shared" si="349"/>
        <v>1536</v>
      </c>
      <c r="U1464" s="101">
        <f t="shared" si="350"/>
        <v>0</v>
      </c>
      <c r="V1464" s="101">
        <f t="shared" si="351"/>
        <v>0</v>
      </c>
      <c r="W1464" s="101">
        <v>0</v>
      </c>
      <c r="X1464" s="55">
        <f t="shared" si="347"/>
        <v>46153.904513888876</v>
      </c>
    </row>
    <row r="1465" spans="1:24" s="121" customFormat="1" hidden="1" x14ac:dyDescent="0.35">
      <c r="A1465" s="46">
        <f t="shared" si="338"/>
        <v>46153.904513888876</v>
      </c>
      <c r="B1465" s="46">
        <v>46063</v>
      </c>
      <c r="C1465" s="260">
        <f t="shared" si="348"/>
        <v>-90.904513888875954</v>
      </c>
      <c r="D1465" s="260"/>
      <c r="E1465" s="47" t="s">
        <v>3503</v>
      </c>
      <c r="F1465" s="453" t="s">
        <v>397</v>
      </c>
      <c r="G1465" s="453" t="s">
        <v>2219</v>
      </c>
      <c r="H1465" s="108">
        <v>13539</v>
      </c>
      <c r="I1465" s="82" t="s">
        <v>6035</v>
      </c>
      <c r="J1465" s="100" t="s">
        <v>140</v>
      </c>
      <c r="K1465" s="91">
        <v>0</v>
      </c>
      <c r="L1465" s="91">
        <v>0</v>
      </c>
      <c r="M1465" s="92">
        <v>45</v>
      </c>
      <c r="N1465" s="94">
        <f>446*2</f>
        <v>892</v>
      </c>
      <c r="O1465" s="92">
        <v>2</v>
      </c>
      <c r="P1465" s="94">
        <f t="shared" si="340"/>
        <v>446</v>
      </c>
      <c r="Q1465" s="181">
        <v>0.8</v>
      </c>
      <c r="R1465" s="92">
        <v>446</v>
      </c>
      <c r="S1465" s="103">
        <f t="shared" si="345"/>
        <v>0</v>
      </c>
      <c r="T1465" s="173">
        <f t="shared" si="349"/>
        <v>3072</v>
      </c>
      <c r="U1465" s="101">
        <f t="shared" si="350"/>
        <v>0</v>
      </c>
      <c r="V1465" s="101">
        <f t="shared" si="351"/>
        <v>0</v>
      </c>
      <c r="W1465" s="101">
        <v>0</v>
      </c>
      <c r="X1465" s="55">
        <f t="shared" si="347"/>
        <v>46153.904513888876</v>
      </c>
    </row>
    <row r="1466" spans="1:24" s="121" customFormat="1" hidden="1" x14ac:dyDescent="0.35">
      <c r="A1466" s="46">
        <f t="shared" si="338"/>
        <v>46153.904513888876</v>
      </c>
      <c r="B1466" s="46">
        <v>46063</v>
      </c>
      <c r="C1466" s="260">
        <f t="shared" si="348"/>
        <v>-90.904513888875954</v>
      </c>
      <c r="D1466" s="260"/>
      <c r="E1466" s="47" t="s">
        <v>3503</v>
      </c>
      <c r="F1466" s="830" t="s">
        <v>397</v>
      </c>
      <c r="G1466" s="830" t="s">
        <v>2219</v>
      </c>
      <c r="H1466" s="66">
        <v>13538</v>
      </c>
      <c r="I1466" s="82" t="s">
        <v>6033</v>
      </c>
      <c r="J1466" s="100" t="s">
        <v>140</v>
      </c>
      <c r="K1466" s="52">
        <v>0</v>
      </c>
      <c r="L1466" s="52">
        <v>0</v>
      </c>
      <c r="M1466" s="53">
        <v>45</v>
      </c>
      <c r="N1466" s="54">
        <v>750</v>
      </c>
      <c r="O1466" s="53">
        <v>2</v>
      </c>
      <c r="P1466" s="54">
        <f t="shared" si="340"/>
        <v>375</v>
      </c>
      <c r="Q1466" s="181">
        <v>0.8</v>
      </c>
      <c r="R1466" s="53">
        <v>375</v>
      </c>
      <c r="S1466" s="103">
        <f t="shared" si="345"/>
        <v>0</v>
      </c>
      <c r="T1466" s="173">
        <f t="shared" si="349"/>
        <v>3072</v>
      </c>
      <c r="U1466" s="101">
        <f t="shared" si="350"/>
        <v>0</v>
      </c>
      <c r="V1466" s="101">
        <f t="shared" si="351"/>
        <v>0</v>
      </c>
      <c r="W1466" s="101">
        <v>0</v>
      </c>
      <c r="X1466" s="55">
        <f t="shared" si="347"/>
        <v>46153.904513888876</v>
      </c>
    </row>
    <row r="1467" spans="1:24" s="121" customFormat="1" hidden="1" x14ac:dyDescent="0.35">
      <c r="A1467" s="46">
        <f t="shared" si="338"/>
        <v>46153.904513888876</v>
      </c>
      <c r="B1467" s="46">
        <v>46062</v>
      </c>
      <c r="C1467" s="260">
        <f t="shared" si="348"/>
        <v>-91.904513888875954</v>
      </c>
      <c r="D1467" s="260"/>
      <c r="E1467" s="47" t="s">
        <v>3503</v>
      </c>
      <c r="F1467" s="830" t="s">
        <v>397</v>
      </c>
      <c r="G1467" s="830" t="s">
        <v>2219</v>
      </c>
      <c r="H1467" s="66">
        <v>13536</v>
      </c>
      <c r="I1467" s="82" t="s">
        <v>6032</v>
      </c>
      <c r="J1467" s="100" t="s">
        <v>140</v>
      </c>
      <c r="K1467" s="52">
        <v>0</v>
      </c>
      <c r="L1467" s="52">
        <v>0</v>
      </c>
      <c r="M1467" s="53">
        <v>45</v>
      </c>
      <c r="N1467" s="54">
        <v>750</v>
      </c>
      <c r="O1467" s="53">
        <v>2</v>
      </c>
      <c r="P1467" s="54">
        <f t="shared" si="340"/>
        <v>375</v>
      </c>
      <c r="Q1467" s="181">
        <v>0.8</v>
      </c>
      <c r="R1467" s="53">
        <v>375</v>
      </c>
      <c r="S1467" s="103">
        <f t="shared" si="345"/>
        <v>0</v>
      </c>
      <c r="T1467" s="173">
        <f t="shared" si="349"/>
        <v>3072</v>
      </c>
      <c r="U1467" s="101">
        <f t="shared" si="350"/>
        <v>0</v>
      </c>
      <c r="V1467" s="101">
        <f t="shared" si="351"/>
        <v>0</v>
      </c>
      <c r="W1467" s="101">
        <v>0</v>
      </c>
      <c r="X1467" s="55">
        <f t="shared" si="347"/>
        <v>46153.904513888876</v>
      </c>
    </row>
    <row r="1468" spans="1:24" s="121" customFormat="1" hidden="1" x14ac:dyDescent="0.35">
      <c r="A1468" s="46">
        <f t="shared" si="338"/>
        <v>46153.904513888876</v>
      </c>
      <c r="B1468" s="46">
        <v>46061</v>
      </c>
      <c r="C1468" s="260">
        <f t="shared" si="348"/>
        <v>-92.904513888875954</v>
      </c>
      <c r="D1468" s="260"/>
      <c r="E1468" s="47" t="s">
        <v>3503</v>
      </c>
      <c r="F1468" s="830" t="s">
        <v>397</v>
      </c>
      <c r="G1468" s="830" t="s">
        <v>2219</v>
      </c>
      <c r="H1468" s="66">
        <v>13535</v>
      </c>
      <c r="I1468" s="82" t="s">
        <v>6031</v>
      </c>
      <c r="J1468" s="100" t="s">
        <v>140</v>
      </c>
      <c r="K1468" s="52">
        <v>0</v>
      </c>
      <c r="L1468" s="52">
        <v>0</v>
      </c>
      <c r="M1468" s="53">
        <v>45</v>
      </c>
      <c r="N1468" s="54">
        <v>750</v>
      </c>
      <c r="O1468" s="53">
        <v>2</v>
      </c>
      <c r="P1468" s="54">
        <f t="shared" si="340"/>
        <v>375</v>
      </c>
      <c r="Q1468" s="181">
        <v>0.8</v>
      </c>
      <c r="R1468" s="53">
        <v>375</v>
      </c>
      <c r="S1468" s="103">
        <f t="shared" si="345"/>
        <v>0</v>
      </c>
      <c r="T1468" s="173">
        <f t="shared" si="349"/>
        <v>3072</v>
      </c>
      <c r="U1468" s="101">
        <f t="shared" si="350"/>
        <v>0</v>
      </c>
      <c r="V1468" s="101">
        <f t="shared" si="351"/>
        <v>0</v>
      </c>
      <c r="W1468" s="101">
        <v>0</v>
      </c>
      <c r="X1468" s="55">
        <f t="shared" si="347"/>
        <v>46153.904513888876</v>
      </c>
    </row>
    <row r="1469" spans="1:24" s="179" customFormat="1" hidden="1" x14ac:dyDescent="0.35">
      <c r="A1469" s="123">
        <f t="shared" si="338"/>
        <v>46153.904513888876</v>
      </c>
      <c r="B1469" s="123">
        <v>46062</v>
      </c>
      <c r="C1469" s="190">
        <f t="shared" si="348"/>
        <v>-91.904513888875954</v>
      </c>
      <c r="D1469" s="190"/>
      <c r="E1469" s="124" t="s">
        <v>3503</v>
      </c>
      <c r="F1469" s="703" t="s">
        <v>397</v>
      </c>
      <c r="G1469" s="703" t="s">
        <v>2219</v>
      </c>
      <c r="H1469" s="1042">
        <v>13537</v>
      </c>
      <c r="I1469" s="159" t="s">
        <v>6034</v>
      </c>
      <c r="J1469" s="175" t="s">
        <v>140</v>
      </c>
      <c r="K1469" s="586">
        <v>0</v>
      </c>
      <c r="L1469" s="586">
        <v>0</v>
      </c>
      <c r="M1469" s="263">
        <v>45</v>
      </c>
      <c r="N1469" s="607">
        <v>1500</v>
      </c>
      <c r="O1469" s="263">
        <v>2</v>
      </c>
      <c r="P1469" s="607">
        <f t="shared" si="340"/>
        <v>750</v>
      </c>
      <c r="Q1469" s="185">
        <v>0.8</v>
      </c>
      <c r="R1469" s="263">
        <v>750</v>
      </c>
      <c r="S1469" s="165">
        <f t="shared" si="345"/>
        <v>0</v>
      </c>
      <c r="T1469" s="168">
        <f t="shared" si="349"/>
        <v>3072</v>
      </c>
      <c r="U1469" s="163">
        <f t="shared" si="350"/>
        <v>0</v>
      </c>
      <c r="V1469" s="163">
        <f t="shared" si="351"/>
        <v>0</v>
      </c>
      <c r="W1469" s="163">
        <v>0</v>
      </c>
      <c r="X1469" s="137">
        <f t="shared" si="347"/>
        <v>46153.904513888876</v>
      </c>
    </row>
    <row r="1470" spans="1:24" s="186" customFormat="1" hidden="1" x14ac:dyDescent="0.35">
      <c r="A1470" s="123">
        <f t="shared" si="338"/>
        <v>46153.904513888876</v>
      </c>
      <c r="B1470" s="123">
        <v>46084</v>
      </c>
      <c r="C1470" s="190">
        <f t="shared" si="348"/>
        <v>-69.904513888875954</v>
      </c>
      <c r="D1470" s="190"/>
      <c r="E1470" s="124" t="s">
        <v>3503</v>
      </c>
      <c r="F1470" s="159" t="s">
        <v>4322</v>
      </c>
      <c r="G1470" s="159" t="s">
        <v>839</v>
      </c>
      <c r="H1470" s="467">
        <v>13414</v>
      </c>
      <c r="I1470" s="159" t="s">
        <v>6167</v>
      </c>
      <c r="J1470" s="175" t="s">
        <v>140</v>
      </c>
      <c r="K1470" s="129">
        <v>0</v>
      </c>
      <c r="L1470" s="129">
        <v>0</v>
      </c>
      <c r="M1470" s="130">
        <v>120</v>
      </c>
      <c r="N1470" s="131">
        <v>15000</v>
      </c>
      <c r="O1470" s="575">
        <v>2</v>
      </c>
      <c r="P1470" s="131">
        <f t="shared" si="340"/>
        <v>7500</v>
      </c>
      <c r="Q1470" s="185">
        <v>0.8</v>
      </c>
      <c r="R1470" s="164">
        <v>7500</v>
      </c>
      <c r="S1470" s="165">
        <f t="shared" si="345"/>
        <v>0</v>
      </c>
      <c r="T1470" s="168">
        <f t="shared" si="349"/>
        <v>1152</v>
      </c>
      <c r="U1470" s="163">
        <f t="shared" si="350"/>
        <v>0</v>
      </c>
      <c r="V1470" s="163">
        <f t="shared" si="351"/>
        <v>0</v>
      </c>
      <c r="W1470" s="163">
        <v>0</v>
      </c>
      <c r="X1470" s="137">
        <f t="shared" si="347"/>
        <v>46153.904513888876</v>
      </c>
    </row>
    <row r="1471" spans="1:24" s="511" customFormat="1" hidden="1" x14ac:dyDescent="0.35">
      <c r="A1471" s="46">
        <f t="shared" si="338"/>
        <v>46153.904513888876</v>
      </c>
      <c r="B1471" s="46">
        <v>46096</v>
      </c>
      <c r="C1471" s="260">
        <f t="shared" si="348"/>
        <v>-57.904513888875954</v>
      </c>
      <c r="D1471" s="260" t="s">
        <v>6168</v>
      </c>
      <c r="E1471" s="47" t="s">
        <v>3503</v>
      </c>
      <c r="F1471" s="82" t="s">
        <v>355</v>
      </c>
      <c r="G1471" s="82" t="s">
        <v>839</v>
      </c>
      <c r="H1471" s="98" t="s">
        <v>6169</v>
      </c>
      <c r="I1471" s="82" t="s">
        <v>6170</v>
      </c>
      <c r="J1471" s="100" t="s">
        <v>140</v>
      </c>
      <c r="K1471" s="91">
        <v>0</v>
      </c>
      <c r="L1471" s="91">
        <v>0</v>
      </c>
      <c r="M1471" s="92">
        <v>120</v>
      </c>
      <c r="N1471" s="94">
        <v>35000</v>
      </c>
      <c r="O1471" s="92">
        <v>2</v>
      </c>
      <c r="P1471" s="94">
        <f t="shared" si="340"/>
        <v>17500</v>
      </c>
      <c r="Q1471" s="181">
        <v>0.8</v>
      </c>
      <c r="R1471" s="102">
        <v>17500</v>
      </c>
      <c r="S1471" s="103">
        <f t="shared" si="345"/>
        <v>0</v>
      </c>
      <c r="T1471" s="173">
        <f t="shared" si="349"/>
        <v>1152</v>
      </c>
      <c r="U1471" s="101">
        <f t="shared" si="350"/>
        <v>0</v>
      </c>
      <c r="V1471" s="101">
        <f t="shared" si="351"/>
        <v>0</v>
      </c>
      <c r="W1471" s="101">
        <v>0</v>
      </c>
      <c r="X1471" s="55">
        <f t="shared" si="347"/>
        <v>46153.904513888876</v>
      </c>
    </row>
    <row r="1472" spans="1:24" s="511" customFormat="1" hidden="1" x14ac:dyDescent="0.35">
      <c r="A1472" s="46">
        <f t="shared" si="338"/>
        <v>46153.904513888876</v>
      </c>
      <c r="B1472" s="46">
        <v>46120</v>
      </c>
      <c r="C1472" s="260">
        <f t="shared" si="348"/>
        <v>-33.904513888875954</v>
      </c>
      <c r="D1472" s="260"/>
      <c r="E1472" s="47" t="s">
        <v>3503</v>
      </c>
      <c r="F1472" s="82" t="s">
        <v>355</v>
      </c>
      <c r="G1472" s="82" t="s">
        <v>839</v>
      </c>
      <c r="H1472" s="98" t="s">
        <v>6171</v>
      </c>
      <c r="I1472" s="82" t="s">
        <v>6170</v>
      </c>
      <c r="J1472" s="100" t="s">
        <v>140</v>
      </c>
      <c r="K1472" s="91">
        <v>0</v>
      </c>
      <c r="L1472" s="91">
        <v>0</v>
      </c>
      <c r="M1472" s="92">
        <v>120</v>
      </c>
      <c r="N1472" s="94">
        <v>15000</v>
      </c>
      <c r="O1472" s="92">
        <v>2</v>
      </c>
      <c r="P1472" s="94">
        <f t="shared" si="340"/>
        <v>7500</v>
      </c>
      <c r="Q1472" s="181">
        <v>0.8</v>
      </c>
      <c r="R1472" s="102">
        <v>7500</v>
      </c>
      <c r="S1472" s="103">
        <f t="shared" si="345"/>
        <v>0</v>
      </c>
      <c r="T1472" s="173">
        <f t="shared" si="349"/>
        <v>1152</v>
      </c>
      <c r="U1472" s="101">
        <f t="shared" si="350"/>
        <v>0</v>
      </c>
      <c r="V1472" s="101">
        <f t="shared" si="351"/>
        <v>0</v>
      </c>
      <c r="W1472" s="101">
        <v>0</v>
      </c>
      <c r="X1472" s="55">
        <f t="shared" si="347"/>
        <v>46153.904513888876</v>
      </c>
    </row>
    <row r="1473" spans="1:40" s="511" customFormat="1" hidden="1" x14ac:dyDescent="0.35">
      <c r="A1473" s="46">
        <f t="shared" si="338"/>
        <v>46153.904513888876</v>
      </c>
      <c r="B1473" s="46">
        <v>46135</v>
      </c>
      <c r="C1473" s="260">
        <f t="shared" si="348"/>
        <v>-18.904513888875954</v>
      </c>
      <c r="D1473" s="260"/>
      <c r="E1473" s="47" t="s">
        <v>3503</v>
      </c>
      <c r="F1473" s="82" t="s">
        <v>355</v>
      </c>
      <c r="G1473" s="82" t="s">
        <v>839</v>
      </c>
      <c r="H1473" s="98" t="s">
        <v>6172</v>
      </c>
      <c r="I1473" s="82" t="s">
        <v>6170</v>
      </c>
      <c r="J1473" s="100" t="s">
        <v>140</v>
      </c>
      <c r="K1473" s="91">
        <v>0</v>
      </c>
      <c r="L1473" s="91">
        <v>0</v>
      </c>
      <c r="M1473" s="92">
        <v>120</v>
      </c>
      <c r="N1473" s="94">
        <v>35000</v>
      </c>
      <c r="O1473" s="92">
        <v>2</v>
      </c>
      <c r="P1473" s="94">
        <f t="shared" si="340"/>
        <v>17500</v>
      </c>
      <c r="Q1473" s="181">
        <v>0.8</v>
      </c>
      <c r="R1473" s="102">
        <v>17500</v>
      </c>
      <c r="S1473" s="103">
        <f t="shared" si="345"/>
        <v>0</v>
      </c>
      <c r="T1473" s="173">
        <f t="shared" si="349"/>
        <v>1152</v>
      </c>
      <c r="U1473" s="101">
        <f t="shared" si="350"/>
        <v>0</v>
      </c>
      <c r="V1473" s="101">
        <f t="shared" si="351"/>
        <v>0</v>
      </c>
      <c r="W1473" s="101">
        <v>0</v>
      </c>
      <c r="X1473" s="55">
        <f t="shared" si="347"/>
        <v>46153.904513888876</v>
      </c>
    </row>
    <row r="1474" spans="1:40" s="202" customFormat="1" x14ac:dyDescent="0.35">
      <c r="A1474" s="193">
        <f t="shared" si="338"/>
        <v>46153.904513888876</v>
      </c>
      <c r="B1474" s="193">
        <v>46147</v>
      </c>
      <c r="C1474" s="194">
        <f t="shared" si="348"/>
        <v>-6.9045138888759539</v>
      </c>
      <c r="D1474" s="193"/>
      <c r="E1474" s="195" t="s">
        <v>3503</v>
      </c>
      <c r="F1474" s="112" t="s">
        <v>2248</v>
      </c>
      <c r="G1474" s="112" t="s">
        <v>414</v>
      </c>
      <c r="H1474" s="113" t="s">
        <v>6173</v>
      </c>
      <c r="I1474" s="196" t="s">
        <v>4941</v>
      </c>
      <c r="J1474" s="114" t="s">
        <v>140</v>
      </c>
      <c r="K1474" s="482">
        <v>0</v>
      </c>
      <c r="L1474" s="482">
        <v>0</v>
      </c>
      <c r="M1474" s="199">
        <v>45</v>
      </c>
      <c r="N1474" s="483">
        <v>2500</v>
      </c>
      <c r="O1474" s="199">
        <v>1</v>
      </c>
      <c r="P1474" s="483">
        <f t="shared" si="340"/>
        <v>2500</v>
      </c>
      <c r="Q1474" s="198">
        <v>0.8</v>
      </c>
      <c r="R1474" s="116">
        <v>50</v>
      </c>
      <c r="S1474" s="117">
        <f t="shared" si="345"/>
        <v>2450</v>
      </c>
      <c r="T1474" s="200">
        <f t="shared" si="349"/>
        <v>1536</v>
      </c>
      <c r="U1474" s="115">
        <f t="shared" si="350"/>
        <v>38.28125</v>
      </c>
      <c r="V1474" s="115">
        <f t="shared" si="351"/>
        <v>1.5950520833333333</v>
      </c>
      <c r="W1474" s="115">
        <v>0</v>
      </c>
      <c r="X1474" s="201">
        <f t="shared" ref="X1474:X1475" si="352">A1474+K1474+V1474+W1474+L1474</f>
        <v>46155.499565972212</v>
      </c>
    </row>
    <row r="1475" spans="1:40" s="118" customFormat="1" x14ac:dyDescent="0.35">
      <c r="A1475" s="203">
        <f t="shared" si="338"/>
        <v>46155.499565972212</v>
      </c>
      <c r="B1475" s="548">
        <v>46149</v>
      </c>
      <c r="C1475" s="576">
        <f t="shared" si="348"/>
        <v>-6.4995659722117125</v>
      </c>
      <c r="D1475" s="548"/>
      <c r="E1475" s="273" t="s">
        <v>3503</v>
      </c>
      <c r="F1475" s="561" t="s">
        <v>2248</v>
      </c>
      <c r="G1475" s="561" t="s">
        <v>414</v>
      </c>
      <c r="H1475" s="276" t="s">
        <v>6174</v>
      </c>
      <c r="I1475" s="275" t="s">
        <v>4939</v>
      </c>
      <c r="J1475" s="562" t="s">
        <v>140</v>
      </c>
      <c r="K1475" s="563">
        <v>0.25</v>
      </c>
      <c r="L1475" s="563">
        <v>0.2</v>
      </c>
      <c r="M1475" s="564">
        <v>25</v>
      </c>
      <c r="N1475" s="565">
        <v>2500</v>
      </c>
      <c r="O1475" s="564">
        <v>1</v>
      </c>
      <c r="P1475" s="565">
        <f t="shared" si="340"/>
        <v>2500</v>
      </c>
      <c r="Q1475" s="282">
        <v>0.8</v>
      </c>
      <c r="R1475" s="279"/>
      <c r="S1475" s="280">
        <f t="shared" si="345"/>
        <v>2500</v>
      </c>
      <c r="T1475" s="284">
        <f t="shared" si="349"/>
        <v>2764.8</v>
      </c>
      <c r="U1475" s="278">
        <f t="shared" si="350"/>
        <v>21.701388888888886</v>
      </c>
      <c r="V1475" s="278">
        <f t="shared" si="351"/>
        <v>0.90422453703703687</v>
      </c>
      <c r="W1475" s="278">
        <v>0</v>
      </c>
      <c r="X1475" s="285">
        <f t="shared" si="352"/>
        <v>46156.853790509245</v>
      </c>
    </row>
    <row r="1476" spans="1:40" s="1053" customFormat="1" ht="26.5" x14ac:dyDescent="0.35">
      <c r="A1476" s="772">
        <f>X1475</f>
        <v>46156.853790509245</v>
      </c>
      <c r="B1476" s="772">
        <v>46157</v>
      </c>
      <c r="C1476" s="906">
        <f>B1476-A1476</f>
        <v>0.1462094907546998</v>
      </c>
      <c r="D1476" s="1043" t="s">
        <v>6175</v>
      </c>
      <c r="E1476" s="907" t="s">
        <v>4384</v>
      </c>
      <c r="F1476" s="901" t="s">
        <v>6176</v>
      </c>
      <c r="G1476" s="901" t="s">
        <v>792</v>
      </c>
      <c r="H1476" s="1044">
        <v>13464</v>
      </c>
      <c r="I1476" s="901" t="s">
        <v>6177</v>
      </c>
      <c r="J1476" s="1045" t="s">
        <v>140</v>
      </c>
      <c r="K1476" s="1046">
        <v>0.25</v>
      </c>
      <c r="L1476" s="1046">
        <v>0.2</v>
      </c>
      <c r="M1476" s="1047">
        <v>60</v>
      </c>
      <c r="N1476" s="1048">
        <v>3625</v>
      </c>
      <c r="O1476" s="1047">
        <v>1</v>
      </c>
      <c r="P1476" s="1048">
        <f>N1476/O1476</f>
        <v>3625</v>
      </c>
      <c r="Q1476" s="1049">
        <v>0.8</v>
      </c>
      <c r="R1476" s="1048"/>
      <c r="S1476" s="1047">
        <f>P1476-R1476</f>
        <v>3625</v>
      </c>
      <c r="T1476" s="1050">
        <f>((3600/M1476)*O1476)*24*Q1476</f>
        <v>1152</v>
      </c>
      <c r="U1476" s="1046">
        <f>(P1476-R1476)*M1476/3600/Q1476</f>
        <v>75.520833333333329</v>
      </c>
      <c r="V1476" s="1046">
        <f>U1476/24</f>
        <v>3.1467013888888888</v>
      </c>
      <c r="W1476" s="1046">
        <v>0</v>
      </c>
      <c r="X1476" s="1051">
        <f>A1476+K1476+V1476+W1476+L1476</f>
        <v>46160.450491898133</v>
      </c>
      <c r="Y1476" s="1052"/>
      <c r="Z1476" s="1052"/>
      <c r="AA1476" s="1052"/>
      <c r="AB1476" s="1052"/>
      <c r="AC1476" s="1052"/>
      <c r="AD1476" s="1052"/>
      <c r="AE1476" s="1052"/>
      <c r="AF1476" s="1052"/>
      <c r="AG1476" s="1052"/>
      <c r="AH1476" s="1052"/>
      <c r="AI1476" s="1052"/>
      <c r="AJ1476" s="1052"/>
      <c r="AK1476" s="1052"/>
      <c r="AL1476" s="1052"/>
      <c r="AM1476" s="1052"/>
      <c r="AN1476" s="1052"/>
    </row>
    <row r="1477" spans="1:40" s="178" customFormat="1" x14ac:dyDescent="0.35">
      <c r="A1477" s="203"/>
      <c r="B1477" s="203"/>
      <c r="C1477" s="286"/>
      <c r="D1477" s="203"/>
      <c r="E1477" s="204"/>
      <c r="F1477" s="287"/>
      <c r="G1477" s="287"/>
      <c r="H1477" s="206"/>
      <c r="I1477" s="205"/>
      <c r="J1477" s="207"/>
      <c r="K1477" s="208"/>
      <c r="L1477" s="208"/>
      <c r="M1477" s="209"/>
      <c r="N1477" s="210"/>
      <c r="O1477" s="209"/>
      <c r="P1477" s="210"/>
      <c r="Q1477" s="210"/>
      <c r="R1477" s="209"/>
      <c r="S1477" s="209"/>
      <c r="T1477" s="209"/>
      <c r="U1477" s="208"/>
      <c r="V1477" s="208"/>
      <c r="W1477" s="208"/>
      <c r="X1477" s="212"/>
    </row>
    <row r="1478" spans="1:40" ht="45" x14ac:dyDescent="0.8">
      <c r="A1478" s="35" t="s">
        <v>4395</v>
      </c>
      <c r="B1478" s="35"/>
      <c r="C1478" s="787"/>
      <c r="D1478" s="35"/>
      <c r="E1478" s="36"/>
      <c r="F1478" s="37"/>
      <c r="G1478" s="37"/>
      <c r="H1478" s="311" t="s">
        <v>4269</v>
      </c>
      <c r="I1478" s="214"/>
      <c r="J1478" s="40"/>
      <c r="K1478" s="41"/>
      <c r="L1478" s="41"/>
      <c r="M1478" s="42"/>
      <c r="N1478" s="43"/>
      <c r="O1478" s="44"/>
      <c r="P1478" s="44"/>
      <c r="Q1478" s="44"/>
      <c r="R1478" s="43"/>
      <c r="S1478" s="44"/>
      <c r="T1478" s="44"/>
      <c r="U1478" s="44"/>
      <c r="V1478" s="44"/>
      <c r="W1478" s="44"/>
      <c r="X1478" s="45"/>
    </row>
    <row r="1479" spans="1:40" hidden="1" x14ac:dyDescent="0.35">
      <c r="A1479" s="46">
        <f>S7</f>
        <v>46153</v>
      </c>
      <c r="B1479" s="46"/>
      <c r="C1479" s="260"/>
      <c r="D1479" s="46"/>
      <c r="E1479" s="47" t="s">
        <v>4956</v>
      </c>
      <c r="F1479" s="48"/>
      <c r="G1479" s="48"/>
      <c r="H1479" s="59" t="s">
        <v>6178</v>
      </c>
      <c r="I1479" s="390" t="s">
        <v>6179</v>
      </c>
      <c r="J1479" s="51"/>
      <c r="K1479" s="52">
        <v>0</v>
      </c>
      <c r="L1479" s="52">
        <v>0</v>
      </c>
      <c r="M1479" s="53">
        <v>38</v>
      </c>
      <c r="N1479" s="53">
        <v>2000</v>
      </c>
      <c r="O1479" s="53">
        <v>4</v>
      </c>
      <c r="P1479" s="53">
        <f>N1479/O1479</f>
        <v>500</v>
      </c>
      <c r="Q1479" s="53"/>
      <c r="R1479" s="53">
        <v>500</v>
      </c>
      <c r="S1479" s="53">
        <f t="shared" ref="S1479:S1489" si="353">P1479-R1479</f>
        <v>0</v>
      </c>
      <c r="T1479" s="53">
        <f t="shared" ref="T1479:T1489" si="354">((3600/M1479)*O1479)*24</f>
        <v>9094.7368421052633</v>
      </c>
      <c r="U1479" s="52">
        <f t="shared" ref="U1479:U1489" si="355">(P1479-R1479)*M1479/3600</f>
        <v>0</v>
      </c>
      <c r="V1479" s="52">
        <f t="shared" ref="V1479:V1489" si="356">(P1479-R1479)*M1479/3600/24</f>
        <v>0</v>
      </c>
      <c r="W1479" s="52">
        <v>0</v>
      </c>
      <c r="X1479" s="55">
        <f t="shared" ref="X1479:X1542" si="357">A1479+K1479+V1479+W1479+L1479</f>
        <v>46153</v>
      </c>
    </row>
    <row r="1480" spans="1:40" hidden="1" x14ac:dyDescent="0.35">
      <c r="A1480" s="46">
        <f t="shared" ref="A1480:A1543" si="358">X1479</f>
        <v>46153</v>
      </c>
      <c r="B1480" s="46"/>
      <c r="C1480" s="260"/>
      <c r="D1480" s="46"/>
      <c r="E1480" s="47" t="s">
        <v>4956</v>
      </c>
      <c r="F1480" s="57" t="s">
        <v>6180</v>
      </c>
      <c r="G1480" s="57"/>
      <c r="H1480" s="49" t="s">
        <v>5987</v>
      </c>
      <c r="I1480" s="99" t="s">
        <v>4814</v>
      </c>
      <c r="J1480" s="51"/>
      <c r="K1480" s="52">
        <v>0</v>
      </c>
      <c r="L1480" s="52">
        <v>0</v>
      </c>
      <c r="M1480" s="53">
        <v>40</v>
      </c>
      <c r="N1480" s="53">
        <v>8100</v>
      </c>
      <c r="O1480" s="53">
        <v>1</v>
      </c>
      <c r="P1480" s="53">
        <v>8492</v>
      </c>
      <c r="Q1480" s="53"/>
      <c r="R1480" s="53">
        <v>8492</v>
      </c>
      <c r="S1480" s="53">
        <f t="shared" si="353"/>
        <v>0</v>
      </c>
      <c r="T1480" s="53">
        <f t="shared" si="354"/>
        <v>2160</v>
      </c>
      <c r="U1480" s="52">
        <f t="shared" si="355"/>
        <v>0</v>
      </c>
      <c r="V1480" s="52">
        <f t="shared" si="356"/>
        <v>0</v>
      </c>
      <c r="W1480" s="52">
        <v>0</v>
      </c>
      <c r="X1480" s="55">
        <f t="shared" si="357"/>
        <v>46153</v>
      </c>
    </row>
    <row r="1481" spans="1:40" ht="29" hidden="1" x14ac:dyDescent="0.35">
      <c r="A1481" s="46">
        <f t="shared" si="358"/>
        <v>46153</v>
      </c>
      <c r="B1481" s="46"/>
      <c r="C1481" s="260"/>
      <c r="D1481" s="46"/>
      <c r="E1481" s="47" t="s">
        <v>4956</v>
      </c>
      <c r="F1481" s="48" t="s">
        <v>104</v>
      </c>
      <c r="G1481" s="48"/>
      <c r="H1481" s="49" t="s">
        <v>6181</v>
      </c>
      <c r="I1481" s="82" t="s">
        <v>6182</v>
      </c>
      <c r="J1481" s="60"/>
      <c r="K1481" s="52">
        <v>0</v>
      </c>
      <c r="L1481" s="52">
        <v>0</v>
      </c>
      <c r="M1481" s="53">
        <v>45</v>
      </c>
      <c r="N1481" s="53">
        <v>6000</v>
      </c>
      <c r="O1481" s="53">
        <v>2</v>
      </c>
      <c r="P1481" s="53">
        <v>3601</v>
      </c>
      <c r="Q1481" s="53"/>
      <c r="R1481" s="53">
        <f>3078+523</f>
        <v>3601</v>
      </c>
      <c r="S1481" s="53">
        <f t="shared" si="353"/>
        <v>0</v>
      </c>
      <c r="T1481" s="53">
        <f t="shared" si="354"/>
        <v>3840</v>
      </c>
      <c r="U1481" s="52">
        <f t="shared" si="355"/>
        <v>0</v>
      </c>
      <c r="V1481" s="52">
        <f t="shared" si="356"/>
        <v>0</v>
      </c>
      <c r="W1481" s="52">
        <v>0</v>
      </c>
      <c r="X1481" s="55">
        <f t="shared" si="357"/>
        <v>46153</v>
      </c>
    </row>
    <row r="1482" spans="1:40" hidden="1" x14ac:dyDescent="0.35">
      <c r="A1482" s="46">
        <f t="shared" si="358"/>
        <v>46153</v>
      </c>
      <c r="B1482" s="46"/>
      <c r="C1482" s="260"/>
      <c r="D1482" s="46"/>
      <c r="E1482" s="47" t="s">
        <v>4956</v>
      </c>
      <c r="F1482" s="48" t="s">
        <v>6183</v>
      </c>
      <c r="G1482" s="48"/>
      <c r="H1482" s="49" t="s">
        <v>6184</v>
      </c>
      <c r="I1482" s="82" t="s">
        <v>4450</v>
      </c>
      <c r="J1482" s="51"/>
      <c r="K1482" s="52">
        <v>0</v>
      </c>
      <c r="L1482" s="52">
        <v>0</v>
      </c>
      <c r="M1482" s="53">
        <v>40</v>
      </c>
      <c r="N1482" s="53">
        <v>5000</v>
      </c>
      <c r="O1482" s="53">
        <v>4</v>
      </c>
      <c r="P1482" s="53">
        <f t="shared" ref="P1482:P1489" si="359">N1482/O1482</f>
        <v>1250</v>
      </c>
      <c r="Q1482" s="53"/>
      <c r="R1482" s="53">
        <v>1250</v>
      </c>
      <c r="S1482" s="53">
        <f t="shared" si="353"/>
        <v>0</v>
      </c>
      <c r="T1482" s="53">
        <f t="shared" si="354"/>
        <v>8640</v>
      </c>
      <c r="U1482" s="52">
        <f t="shared" si="355"/>
        <v>0</v>
      </c>
      <c r="V1482" s="52">
        <f t="shared" si="356"/>
        <v>0</v>
      </c>
      <c r="W1482" s="52">
        <v>0</v>
      </c>
      <c r="X1482" s="55">
        <f t="shared" si="357"/>
        <v>46153</v>
      </c>
    </row>
    <row r="1483" spans="1:40" hidden="1" x14ac:dyDescent="0.35">
      <c r="A1483" s="46">
        <f t="shared" si="358"/>
        <v>46153</v>
      </c>
      <c r="B1483" s="46"/>
      <c r="C1483" s="260"/>
      <c r="D1483" s="46"/>
      <c r="E1483" s="47" t="s">
        <v>4956</v>
      </c>
      <c r="F1483" s="57" t="s">
        <v>414</v>
      </c>
      <c r="G1483" s="57"/>
      <c r="H1483" s="49" t="s">
        <v>6185</v>
      </c>
      <c r="I1483" s="99" t="s">
        <v>6186</v>
      </c>
      <c r="J1483" s="51"/>
      <c r="K1483" s="52">
        <v>0</v>
      </c>
      <c r="L1483" s="52">
        <v>0</v>
      </c>
      <c r="M1483" s="53">
        <v>40</v>
      </c>
      <c r="N1483" s="53">
        <v>2000</v>
      </c>
      <c r="O1483" s="53">
        <v>2</v>
      </c>
      <c r="P1483" s="53">
        <f t="shared" si="359"/>
        <v>1000</v>
      </c>
      <c r="Q1483" s="53"/>
      <c r="R1483" s="53">
        <v>1000</v>
      </c>
      <c r="S1483" s="53">
        <f t="shared" si="353"/>
        <v>0</v>
      </c>
      <c r="T1483" s="53">
        <f t="shared" si="354"/>
        <v>4320</v>
      </c>
      <c r="U1483" s="52">
        <f t="shared" si="355"/>
        <v>0</v>
      </c>
      <c r="V1483" s="52">
        <f t="shared" si="356"/>
        <v>0</v>
      </c>
      <c r="W1483" s="52">
        <v>0</v>
      </c>
      <c r="X1483" s="55">
        <f t="shared" si="357"/>
        <v>46153</v>
      </c>
    </row>
    <row r="1484" spans="1:40" hidden="1" x14ac:dyDescent="0.35">
      <c r="A1484" s="46">
        <f t="shared" si="358"/>
        <v>46153</v>
      </c>
      <c r="B1484" s="46"/>
      <c r="C1484" s="260"/>
      <c r="D1484" s="46"/>
      <c r="E1484" s="47" t="s">
        <v>4956</v>
      </c>
      <c r="F1484" s="57" t="s">
        <v>3747</v>
      </c>
      <c r="G1484" s="57"/>
      <c r="H1484" s="49" t="s">
        <v>6187</v>
      </c>
      <c r="I1484" s="99" t="s">
        <v>6188</v>
      </c>
      <c r="J1484" s="51"/>
      <c r="K1484" s="52">
        <v>0</v>
      </c>
      <c r="L1484" s="52">
        <v>0</v>
      </c>
      <c r="M1484" s="53">
        <v>40</v>
      </c>
      <c r="N1484" s="53">
        <v>2000</v>
      </c>
      <c r="O1484" s="53">
        <v>2</v>
      </c>
      <c r="P1484" s="53">
        <f t="shared" si="359"/>
        <v>1000</v>
      </c>
      <c r="Q1484" s="53"/>
      <c r="R1484" s="53">
        <v>1000</v>
      </c>
      <c r="S1484" s="53">
        <f t="shared" si="353"/>
        <v>0</v>
      </c>
      <c r="T1484" s="53">
        <f t="shared" si="354"/>
        <v>4320</v>
      </c>
      <c r="U1484" s="52">
        <f t="shared" si="355"/>
        <v>0</v>
      </c>
      <c r="V1484" s="52">
        <f t="shared" si="356"/>
        <v>0</v>
      </c>
      <c r="W1484" s="52">
        <v>0</v>
      </c>
      <c r="X1484" s="55">
        <f t="shared" si="357"/>
        <v>46153</v>
      </c>
    </row>
    <row r="1485" spans="1:40" hidden="1" x14ac:dyDescent="0.35">
      <c r="A1485" s="46">
        <f t="shared" si="358"/>
        <v>46153</v>
      </c>
      <c r="B1485" s="46"/>
      <c r="C1485" s="260"/>
      <c r="D1485" s="46"/>
      <c r="E1485" s="47" t="s">
        <v>4956</v>
      </c>
      <c r="F1485" s="57" t="s">
        <v>1321</v>
      </c>
      <c r="G1485" s="57"/>
      <c r="H1485" s="49" t="s">
        <v>1321</v>
      </c>
      <c r="I1485" s="82" t="s">
        <v>4413</v>
      </c>
      <c r="J1485" s="51"/>
      <c r="K1485" s="52">
        <v>0</v>
      </c>
      <c r="L1485" s="52">
        <v>0</v>
      </c>
      <c r="M1485" s="53">
        <v>55</v>
      </c>
      <c r="N1485" s="53">
        <v>20</v>
      </c>
      <c r="O1485" s="53">
        <v>1</v>
      </c>
      <c r="P1485" s="53">
        <f t="shared" si="359"/>
        <v>20</v>
      </c>
      <c r="Q1485" s="53"/>
      <c r="R1485" s="53">
        <v>20</v>
      </c>
      <c r="S1485" s="53">
        <f t="shared" si="353"/>
        <v>0</v>
      </c>
      <c r="T1485" s="53">
        <f t="shared" si="354"/>
        <v>1570.909090909091</v>
      </c>
      <c r="U1485" s="52">
        <f t="shared" si="355"/>
        <v>0</v>
      </c>
      <c r="V1485" s="52">
        <f t="shared" si="356"/>
        <v>0</v>
      </c>
      <c r="W1485" s="52">
        <v>0</v>
      </c>
      <c r="X1485" s="55">
        <f t="shared" si="357"/>
        <v>46153</v>
      </c>
    </row>
    <row r="1486" spans="1:40" hidden="1" x14ac:dyDescent="0.35">
      <c r="A1486" s="46">
        <f t="shared" si="358"/>
        <v>46153</v>
      </c>
      <c r="B1486" s="46"/>
      <c r="C1486" s="260"/>
      <c r="D1486" s="46"/>
      <c r="E1486" s="47" t="s">
        <v>4411</v>
      </c>
      <c r="F1486" s="57" t="s">
        <v>1321</v>
      </c>
      <c r="G1486" s="57"/>
      <c r="H1486" s="49" t="s">
        <v>1321</v>
      </c>
      <c r="I1486" s="82" t="s">
        <v>4413</v>
      </c>
      <c r="J1486" s="51"/>
      <c r="K1486" s="52">
        <v>0</v>
      </c>
      <c r="L1486" s="52">
        <v>0</v>
      </c>
      <c r="M1486" s="53">
        <v>55</v>
      </c>
      <c r="N1486" s="53">
        <v>20</v>
      </c>
      <c r="O1486" s="53">
        <v>1</v>
      </c>
      <c r="P1486" s="53">
        <f t="shared" si="359"/>
        <v>20</v>
      </c>
      <c r="Q1486" s="53"/>
      <c r="R1486" s="53">
        <v>20</v>
      </c>
      <c r="S1486" s="53">
        <f t="shared" si="353"/>
        <v>0</v>
      </c>
      <c r="T1486" s="53">
        <f t="shared" si="354"/>
        <v>1570.909090909091</v>
      </c>
      <c r="U1486" s="52">
        <f t="shared" si="355"/>
        <v>0</v>
      </c>
      <c r="V1486" s="52">
        <f t="shared" si="356"/>
        <v>0</v>
      </c>
      <c r="W1486" s="52">
        <v>0</v>
      </c>
      <c r="X1486" s="55">
        <f t="shared" si="357"/>
        <v>46153</v>
      </c>
    </row>
    <row r="1487" spans="1:40" hidden="1" x14ac:dyDescent="0.35">
      <c r="A1487" s="46">
        <f t="shared" si="358"/>
        <v>46153</v>
      </c>
      <c r="B1487" s="46"/>
      <c r="C1487" s="260"/>
      <c r="D1487" s="46"/>
      <c r="E1487" s="47" t="s">
        <v>4411</v>
      </c>
      <c r="F1487" s="48" t="s">
        <v>6189</v>
      </c>
      <c r="G1487" s="48"/>
      <c r="H1487" s="49" t="s">
        <v>6190</v>
      </c>
      <c r="I1487" s="82" t="s">
        <v>4413</v>
      </c>
      <c r="J1487" s="51"/>
      <c r="K1487" s="52">
        <v>0</v>
      </c>
      <c r="L1487" s="52">
        <v>0</v>
      </c>
      <c r="M1487" s="53">
        <v>55</v>
      </c>
      <c r="N1487" s="53">
        <v>2000</v>
      </c>
      <c r="O1487" s="53">
        <v>1</v>
      </c>
      <c r="P1487" s="53">
        <f t="shared" si="359"/>
        <v>2000</v>
      </c>
      <c r="Q1487" s="53"/>
      <c r="R1487" s="53">
        <v>2000</v>
      </c>
      <c r="S1487" s="53">
        <f t="shared" si="353"/>
        <v>0</v>
      </c>
      <c r="T1487" s="53">
        <f t="shared" si="354"/>
        <v>1570.909090909091</v>
      </c>
      <c r="U1487" s="52">
        <f t="shared" si="355"/>
        <v>0</v>
      </c>
      <c r="V1487" s="52">
        <f t="shared" si="356"/>
        <v>0</v>
      </c>
      <c r="W1487" s="52">
        <v>0</v>
      </c>
      <c r="X1487" s="55">
        <f t="shared" si="357"/>
        <v>46153</v>
      </c>
    </row>
    <row r="1488" spans="1:40" hidden="1" x14ac:dyDescent="0.35">
      <c r="A1488" s="46">
        <f t="shared" si="358"/>
        <v>46153</v>
      </c>
      <c r="B1488" s="46"/>
      <c r="C1488" s="260"/>
      <c r="D1488" s="46"/>
      <c r="E1488" s="47" t="s">
        <v>4956</v>
      </c>
      <c r="F1488" s="57" t="s">
        <v>6191</v>
      </c>
      <c r="G1488" s="57"/>
      <c r="H1488" s="49" t="s">
        <v>6192</v>
      </c>
      <c r="I1488" s="82" t="s">
        <v>6193</v>
      </c>
      <c r="J1488" s="51"/>
      <c r="K1488" s="52">
        <v>0</v>
      </c>
      <c r="L1488" s="52">
        <v>0</v>
      </c>
      <c r="M1488" s="53">
        <v>70</v>
      </c>
      <c r="N1488" s="53">
        <v>2000</v>
      </c>
      <c r="O1488" s="53">
        <v>2</v>
      </c>
      <c r="P1488" s="53">
        <f t="shared" si="359"/>
        <v>1000</v>
      </c>
      <c r="Q1488" s="53"/>
      <c r="R1488" s="53">
        <v>1000</v>
      </c>
      <c r="S1488" s="53">
        <f t="shared" si="353"/>
        <v>0</v>
      </c>
      <c r="T1488" s="53">
        <f t="shared" si="354"/>
        <v>2468.5714285714284</v>
      </c>
      <c r="U1488" s="52">
        <f t="shared" si="355"/>
        <v>0</v>
      </c>
      <c r="V1488" s="52">
        <f t="shared" si="356"/>
        <v>0</v>
      </c>
      <c r="W1488" s="52">
        <v>0</v>
      </c>
      <c r="X1488" s="55">
        <f t="shared" si="357"/>
        <v>46153</v>
      </c>
    </row>
    <row r="1489" spans="1:24" ht="26.5" hidden="1" x14ac:dyDescent="0.35">
      <c r="A1489" s="46">
        <f t="shared" si="358"/>
        <v>46153</v>
      </c>
      <c r="B1489" s="46"/>
      <c r="C1489" s="260"/>
      <c r="D1489" s="46"/>
      <c r="E1489" s="47" t="s">
        <v>4956</v>
      </c>
      <c r="F1489" s="48" t="s">
        <v>6194</v>
      </c>
      <c r="G1489" s="48"/>
      <c r="H1489" s="49" t="s">
        <v>6195</v>
      </c>
      <c r="I1489" s="316" t="s">
        <v>5042</v>
      </c>
      <c r="J1489" s="51"/>
      <c r="K1489" s="52">
        <v>0</v>
      </c>
      <c r="L1489" s="52">
        <v>0</v>
      </c>
      <c r="M1489" s="53">
        <v>70</v>
      </c>
      <c r="N1489" s="53">
        <v>1000</v>
      </c>
      <c r="O1489" s="53">
        <v>1</v>
      </c>
      <c r="P1489" s="53">
        <f t="shared" si="359"/>
        <v>1000</v>
      </c>
      <c r="Q1489" s="53"/>
      <c r="R1489" s="53">
        <v>1000</v>
      </c>
      <c r="S1489" s="53">
        <f t="shared" si="353"/>
        <v>0</v>
      </c>
      <c r="T1489" s="53">
        <f t="shared" si="354"/>
        <v>1234.2857142857142</v>
      </c>
      <c r="U1489" s="52">
        <f t="shared" si="355"/>
        <v>0</v>
      </c>
      <c r="V1489" s="52">
        <f t="shared" si="356"/>
        <v>0</v>
      </c>
      <c r="W1489" s="52">
        <v>0</v>
      </c>
      <c r="X1489" s="55">
        <f t="shared" si="357"/>
        <v>46153</v>
      </c>
    </row>
    <row r="1490" spans="1:24" hidden="1" x14ac:dyDescent="0.35">
      <c r="A1490" s="46">
        <f t="shared" si="358"/>
        <v>46153</v>
      </c>
      <c r="B1490" s="46"/>
      <c r="C1490" s="260"/>
      <c r="D1490" s="46"/>
      <c r="E1490" s="47" t="s">
        <v>4411</v>
      </c>
      <c r="F1490" s="48" t="s">
        <v>6196</v>
      </c>
      <c r="G1490" s="48"/>
      <c r="H1490" s="49" t="s">
        <v>6197</v>
      </c>
      <c r="I1490" s="316" t="s">
        <v>6198</v>
      </c>
      <c r="J1490" s="51"/>
      <c r="K1490" s="52">
        <v>0</v>
      </c>
      <c r="L1490" s="52">
        <v>0</v>
      </c>
      <c r="M1490" s="53">
        <v>40</v>
      </c>
      <c r="N1490" s="53">
        <v>4000</v>
      </c>
      <c r="O1490" s="53">
        <v>1</v>
      </c>
      <c r="P1490" s="53">
        <v>4000</v>
      </c>
      <c r="Q1490" s="53"/>
      <c r="R1490" s="53">
        <v>4000</v>
      </c>
      <c r="S1490" s="53">
        <v>2480</v>
      </c>
      <c r="T1490" s="53">
        <v>2160</v>
      </c>
      <c r="U1490" s="52">
        <v>0</v>
      </c>
      <c r="V1490" s="52">
        <v>0</v>
      </c>
      <c r="W1490" s="52">
        <v>0</v>
      </c>
      <c r="X1490" s="55">
        <f t="shared" si="357"/>
        <v>46153</v>
      </c>
    </row>
    <row r="1491" spans="1:24" ht="39.5" hidden="1" x14ac:dyDescent="0.35">
      <c r="A1491" s="46">
        <f t="shared" si="358"/>
        <v>46153</v>
      </c>
      <c r="B1491" s="46"/>
      <c r="C1491" s="260"/>
      <c r="D1491" s="46"/>
      <c r="E1491" s="47" t="s">
        <v>4411</v>
      </c>
      <c r="F1491" s="57" t="s">
        <v>55</v>
      </c>
      <c r="G1491" s="57"/>
      <c r="H1491" s="49" t="s">
        <v>6199</v>
      </c>
      <c r="I1491" s="82" t="s">
        <v>4414</v>
      </c>
      <c r="J1491" s="51"/>
      <c r="K1491" s="52">
        <v>0</v>
      </c>
      <c r="L1491" s="52">
        <v>0</v>
      </c>
      <c r="M1491" s="53">
        <v>40</v>
      </c>
      <c r="N1491" s="53">
        <v>3000</v>
      </c>
      <c r="O1491" s="53">
        <v>1</v>
      </c>
      <c r="P1491" s="53">
        <f t="shared" ref="P1491:P1519" si="360">N1491/O1491</f>
        <v>3000</v>
      </c>
      <c r="Q1491" s="53"/>
      <c r="R1491" s="53">
        <v>3000</v>
      </c>
      <c r="S1491" s="53">
        <f t="shared" ref="S1491:S1516" si="361">P1491-R1491</f>
        <v>0</v>
      </c>
      <c r="T1491" s="53">
        <f t="shared" ref="T1491:T1554" si="362">((3600/M1491)*O1491)*24</f>
        <v>2160</v>
      </c>
      <c r="U1491" s="52">
        <f t="shared" ref="U1491:U1554" si="363">(P1491-R1491)*M1491/3600</f>
        <v>0</v>
      </c>
      <c r="V1491" s="52">
        <f t="shared" ref="V1491:V1554" si="364">(P1491-R1491)*M1491/3600/24</f>
        <v>0</v>
      </c>
      <c r="W1491" s="52">
        <v>0</v>
      </c>
      <c r="X1491" s="55">
        <f t="shared" si="357"/>
        <v>46153</v>
      </c>
    </row>
    <row r="1492" spans="1:24" ht="39.5" hidden="1" x14ac:dyDescent="0.35">
      <c r="A1492" s="46">
        <f t="shared" si="358"/>
        <v>46153</v>
      </c>
      <c r="B1492" s="46"/>
      <c r="C1492" s="260"/>
      <c r="D1492" s="46"/>
      <c r="E1492" s="47" t="s">
        <v>4411</v>
      </c>
      <c r="F1492" s="57" t="s">
        <v>55</v>
      </c>
      <c r="G1492" s="57"/>
      <c r="H1492" s="49" t="s">
        <v>6200</v>
      </c>
      <c r="I1492" s="69" t="s">
        <v>4417</v>
      </c>
      <c r="J1492" s="51" t="s">
        <v>140</v>
      </c>
      <c r="K1492" s="52">
        <v>0</v>
      </c>
      <c r="L1492" s="52">
        <v>0</v>
      </c>
      <c r="M1492" s="53">
        <v>40</v>
      </c>
      <c r="N1492" s="53">
        <v>3000</v>
      </c>
      <c r="O1492" s="53">
        <v>1</v>
      </c>
      <c r="P1492" s="53">
        <f t="shared" si="360"/>
        <v>3000</v>
      </c>
      <c r="Q1492" s="53"/>
      <c r="R1492" s="53">
        <v>3000</v>
      </c>
      <c r="S1492" s="53">
        <f t="shared" si="361"/>
        <v>0</v>
      </c>
      <c r="T1492" s="53">
        <f t="shared" si="362"/>
        <v>2160</v>
      </c>
      <c r="U1492" s="52">
        <f t="shared" si="363"/>
        <v>0</v>
      </c>
      <c r="V1492" s="52">
        <f t="shared" si="364"/>
        <v>0</v>
      </c>
      <c r="W1492" s="52">
        <v>0</v>
      </c>
      <c r="X1492" s="55">
        <f t="shared" si="357"/>
        <v>46153</v>
      </c>
    </row>
    <row r="1493" spans="1:24" hidden="1" x14ac:dyDescent="0.35">
      <c r="A1493" s="46">
        <f t="shared" si="358"/>
        <v>46153</v>
      </c>
      <c r="B1493" s="46"/>
      <c r="C1493" s="260"/>
      <c r="D1493" s="46"/>
      <c r="E1493" s="47" t="s">
        <v>4411</v>
      </c>
      <c r="F1493" s="57" t="s">
        <v>14</v>
      </c>
      <c r="G1493" s="57"/>
      <c r="H1493" s="49" t="s">
        <v>14</v>
      </c>
      <c r="I1493" s="69" t="s">
        <v>6201</v>
      </c>
      <c r="J1493" s="51" t="s">
        <v>140</v>
      </c>
      <c r="K1493" s="52">
        <v>0</v>
      </c>
      <c r="L1493" s="52">
        <v>0</v>
      </c>
      <c r="M1493" s="53">
        <v>25</v>
      </c>
      <c r="N1493" s="53">
        <v>50</v>
      </c>
      <c r="O1493" s="53">
        <v>4</v>
      </c>
      <c r="P1493" s="53">
        <f t="shared" si="360"/>
        <v>12.5</v>
      </c>
      <c r="Q1493" s="53"/>
      <c r="R1493" s="53">
        <v>13</v>
      </c>
      <c r="S1493" s="53">
        <f t="shared" si="361"/>
        <v>-0.5</v>
      </c>
      <c r="T1493" s="53">
        <f t="shared" si="362"/>
        <v>13824</v>
      </c>
      <c r="U1493" s="52">
        <f t="shared" si="363"/>
        <v>-3.472222222222222E-3</v>
      </c>
      <c r="V1493" s="52">
        <f t="shared" si="364"/>
        <v>-1.4467592592592592E-4</v>
      </c>
      <c r="W1493" s="52">
        <v>0</v>
      </c>
      <c r="X1493" s="55">
        <f t="shared" si="357"/>
        <v>46152.999855324073</v>
      </c>
    </row>
    <row r="1494" spans="1:24" hidden="1" x14ac:dyDescent="0.35">
      <c r="A1494" s="46">
        <f t="shared" si="358"/>
        <v>46152.999855324073</v>
      </c>
      <c r="B1494" s="46"/>
      <c r="C1494" s="260"/>
      <c r="D1494" s="46"/>
      <c r="E1494" s="47" t="s">
        <v>4395</v>
      </c>
      <c r="F1494" s="57" t="s">
        <v>6202</v>
      </c>
      <c r="G1494" s="57"/>
      <c r="H1494" s="49" t="s">
        <v>6203</v>
      </c>
      <c r="I1494" s="69" t="s">
        <v>4844</v>
      </c>
      <c r="J1494" s="51" t="s">
        <v>140</v>
      </c>
      <c r="K1494" s="52">
        <v>0</v>
      </c>
      <c r="L1494" s="52">
        <v>0</v>
      </c>
      <c r="M1494" s="53">
        <v>25</v>
      </c>
      <c r="N1494" s="53">
        <v>2500</v>
      </c>
      <c r="O1494" s="53">
        <v>1</v>
      </c>
      <c r="P1494" s="53">
        <f t="shared" si="360"/>
        <v>2500</v>
      </c>
      <c r="Q1494" s="53"/>
      <c r="R1494" s="53">
        <v>2620</v>
      </c>
      <c r="S1494" s="53">
        <f t="shared" si="361"/>
        <v>-120</v>
      </c>
      <c r="T1494" s="53">
        <f t="shared" si="362"/>
        <v>3456</v>
      </c>
      <c r="U1494" s="52">
        <f t="shared" si="363"/>
        <v>-0.83333333333333337</v>
      </c>
      <c r="V1494" s="52">
        <f t="shared" si="364"/>
        <v>-3.4722222222222224E-2</v>
      </c>
      <c r="W1494" s="52">
        <v>0</v>
      </c>
      <c r="X1494" s="55">
        <f t="shared" si="357"/>
        <v>46152.965133101854</v>
      </c>
    </row>
    <row r="1495" spans="1:24" hidden="1" x14ac:dyDescent="0.35">
      <c r="A1495" s="46">
        <f t="shared" si="358"/>
        <v>46152.965133101854</v>
      </c>
      <c r="B1495" s="46"/>
      <c r="C1495" s="260"/>
      <c r="D1495" s="46"/>
      <c r="E1495" s="47" t="s">
        <v>4395</v>
      </c>
      <c r="F1495" s="57" t="s">
        <v>6202</v>
      </c>
      <c r="G1495" s="57"/>
      <c r="H1495" s="49" t="s">
        <v>6204</v>
      </c>
      <c r="I1495" s="69" t="s">
        <v>6205</v>
      </c>
      <c r="J1495" s="51" t="s">
        <v>140</v>
      </c>
      <c r="K1495" s="52">
        <v>0</v>
      </c>
      <c r="L1495" s="52">
        <v>0</v>
      </c>
      <c r="M1495" s="53">
        <v>25</v>
      </c>
      <c r="N1495" s="53">
        <v>4000</v>
      </c>
      <c r="O1495" s="53">
        <v>1</v>
      </c>
      <c r="P1495" s="53">
        <f t="shared" si="360"/>
        <v>4000</v>
      </c>
      <c r="Q1495" s="53"/>
      <c r="R1495" s="53">
        <v>4000</v>
      </c>
      <c r="S1495" s="53">
        <f t="shared" si="361"/>
        <v>0</v>
      </c>
      <c r="T1495" s="53">
        <f t="shared" si="362"/>
        <v>3456</v>
      </c>
      <c r="U1495" s="52">
        <f t="shared" si="363"/>
        <v>0</v>
      </c>
      <c r="V1495" s="52">
        <f t="shared" si="364"/>
        <v>0</v>
      </c>
      <c r="W1495" s="52">
        <v>0</v>
      </c>
      <c r="X1495" s="55">
        <f t="shared" si="357"/>
        <v>46152.965133101854</v>
      </c>
    </row>
    <row r="1496" spans="1:24" hidden="1" x14ac:dyDescent="0.35">
      <c r="A1496" s="46">
        <f t="shared" si="358"/>
        <v>46152.965133101854</v>
      </c>
      <c r="B1496" s="46"/>
      <c r="C1496" s="260"/>
      <c r="D1496" s="46"/>
      <c r="E1496" s="47" t="s">
        <v>4395</v>
      </c>
      <c r="F1496" s="57" t="s">
        <v>4842</v>
      </c>
      <c r="G1496" s="57"/>
      <c r="H1496" s="49" t="s">
        <v>6206</v>
      </c>
      <c r="I1496" s="69" t="s">
        <v>6205</v>
      </c>
      <c r="J1496" s="51" t="s">
        <v>140</v>
      </c>
      <c r="K1496" s="52">
        <v>0</v>
      </c>
      <c r="L1496" s="52">
        <v>0</v>
      </c>
      <c r="M1496" s="53">
        <v>25</v>
      </c>
      <c r="N1496" s="53">
        <v>7000</v>
      </c>
      <c r="O1496" s="53">
        <v>1</v>
      </c>
      <c r="P1496" s="53">
        <f t="shared" si="360"/>
        <v>7000</v>
      </c>
      <c r="Q1496" s="53"/>
      <c r="R1496" s="53">
        <v>7000</v>
      </c>
      <c r="S1496" s="53">
        <f t="shared" si="361"/>
        <v>0</v>
      </c>
      <c r="T1496" s="53">
        <f t="shared" si="362"/>
        <v>3456</v>
      </c>
      <c r="U1496" s="52">
        <f t="shared" si="363"/>
        <v>0</v>
      </c>
      <c r="V1496" s="52">
        <f t="shared" si="364"/>
        <v>0</v>
      </c>
      <c r="W1496" s="52">
        <v>0</v>
      </c>
      <c r="X1496" s="55">
        <f t="shared" si="357"/>
        <v>46152.965133101854</v>
      </c>
    </row>
    <row r="1497" spans="1:24" ht="29" hidden="1" x14ac:dyDescent="0.35">
      <c r="A1497" s="46">
        <f t="shared" si="358"/>
        <v>46152.965133101854</v>
      </c>
      <c r="B1497" s="46"/>
      <c r="C1497" s="260"/>
      <c r="D1497" s="46"/>
      <c r="E1497" s="47" t="s">
        <v>4395</v>
      </c>
      <c r="F1497" s="48" t="s">
        <v>6207</v>
      </c>
      <c r="G1497" s="48"/>
      <c r="H1497" s="49" t="s">
        <v>6208</v>
      </c>
      <c r="I1497" s="82" t="s">
        <v>3478</v>
      </c>
      <c r="J1497" s="51" t="s">
        <v>140</v>
      </c>
      <c r="K1497" s="52">
        <v>0</v>
      </c>
      <c r="L1497" s="52">
        <v>0</v>
      </c>
      <c r="M1497" s="53">
        <v>40</v>
      </c>
      <c r="N1497" s="53">
        <v>6000</v>
      </c>
      <c r="O1497" s="53">
        <v>1</v>
      </c>
      <c r="P1497" s="53">
        <f t="shared" si="360"/>
        <v>6000</v>
      </c>
      <c r="Q1497" s="53"/>
      <c r="R1497" s="53">
        <v>6000</v>
      </c>
      <c r="S1497" s="53">
        <f t="shared" si="361"/>
        <v>0</v>
      </c>
      <c r="T1497" s="53">
        <f t="shared" si="362"/>
        <v>2160</v>
      </c>
      <c r="U1497" s="52">
        <f t="shared" si="363"/>
        <v>0</v>
      </c>
      <c r="V1497" s="52">
        <f t="shared" si="364"/>
        <v>0</v>
      </c>
      <c r="W1497" s="52">
        <v>0</v>
      </c>
      <c r="X1497" s="55">
        <f t="shared" si="357"/>
        <v>46152.965133101854</v>
      </c>
    </row>
    <row r="1498" spans="1:24" ht="29" hidden="1" x14ac:dyDescent="0.35">
      <c r="A1498" s="46">
        <f t="shared" si="358"/>
        <v>46152.965133101854</v>
      </c>
      <c r="B1498" s="46"/>
      <c r="C1498" s="260"/>
      <c r="D1498" s="46"/>
      <c r="E1498" s="47" t="s">
        <v>4395</v>
      </c>
      <c r="F1498" s="48" t="s">
        <v>4518</v>
      </c>
      <c r="G1498" s="48"/>
      <c r="H1498" s="59" t="s">
        <v>6209</v>
      </c>
      <c r="I1498" s="69" t="s">
        <v>3525</v>
      </c>
      <c r="J1498" s="51" t="s">
        <v>140</v>
      </c>
      <c r="K1498" s="52">
        <v>0</v>
      </c>
      <c r="L1498" s="52">
        <v>0</v>
      </c>
      <c r="M1498" s="53">
        <v>45</v>
      </c>
      <c r="N1498" s="53">
        <v>20000</v>
      </c>
      <c r="O1498" s="53">
        <v>2</v>
      </c>
      <c r="P1498" s="53">
        <f t="shared" si="360"/>
        <v>10000</v>
      </c>
      <c r="Q1498" s="53"/>
      <c r="R1498" s="53">
        <v>10000</v>
      </c>
      <c r="S1498" s="53">
        <f t="shared" si="361"/>
        <v>0</v>
      </c>
      <c r="T1498" s="53">
        <f t="shared" si="362"/>
        <v>3840</v>
      </c>
      <c r="U1498" s="52">
        <f t="shared" si="363"/>
        <v>0</v>
      </c>
      <c r="V1498" s="52">
        <f t="shared" si="364"/>
        <v>0</v>
      </c>
      <c r="W1498" s="52"/>
      <c r="X1498" s="55">
        <f t="shared" si="357"/>
        <v>46152.965133101854</v>
      </c>
    </row>
    <row r="1499" spans="1:24" hidden="1" x14ac:dyDescent="0.35">
      <c r="A1499" s="46">
        <f t="shared" si="358"/>
        <v>46152.965133101854</v>
      </c>
      <c r="B1499" s="46"/>
      <c r="C1499" s="260"/>
      <c r="D1499" s="46"/>
      <c r="E1499" s="47" t="s">
        <v>4411</v>
      </c>
      <c r="F1499" s="48" t="s">
        <v>6210</v>
      </c>
      <c r="G1499" s="48"/>
      <c r="H1499" s="49" t="s">
        <v>6211</v>
      </c>
      <c r="I1499" s="82" t="s">
        <v>5019</v>
      </c>
      <c r="J1499" s="51" t="s">
        <v>140</v>
      </c>
      <c r="K1499" s="52">
        <v>0</v>
      </c>
      <c r="L1499" s="52">
        <v>0</v>
      </c>
      <c r="M1499" s="53">
        <v>70</v>
      </c>
      <c r="N1499" s="53">
        <v>1400</v>
      </c>
      <c r="O1499" s="53">
        <v>2</v>
      </c>
      <c r="P1499" s="53">
        <f t="shared" si="360"/>
        <v>700</v>
      </c>
      <c r="Q1499" s="53"/>
      <c r="R1499" s="53">
        <v>700</v>
      </c>
      <c r="S1499" s="53">
        <f t="shared" si="361"/>
        <v>0</v>
      </c>
      <c r="T1499" s="53">
        <f t="shared" si="362"/>
        <v>2468.5714285714284</v>
      </c>
      <c r="U1499" s="52">
        <f t="shared" si="363"/>
        <v>0</v>
      </c>
      <c r="V1499" s="52">
        <f t="shared" si="364"/>
        <v>0</v>
      </c>
      <c r="W1499" s="52">
        <v>0</v>
      </c>
      <c r="X1499" s="55">
        <f t="shared" si="357"/>
        <v>46152.965133101854</v>
      </c>
    </row>
    <row r="1500" spans="1:24" hidden="1" x14ac:dyDescent="0.35">
      <c r="A1500" s="46">
        <f t="shared" si="358"/>
        <v>46152.965133101854</v>
      </c>
      <c r="B1500" s="46"/>
      <c r="C1500" s="260"/>
      <c r="D1500" s="46"/>
      <c r="E1500" s="47" t="s">
        <v>4656</v>
      </c>
      <c r="F1500" s="62" t="s">
        <v>14</v>
      </c>
      <c r="G1500" s="62"/>
      <c r="H1500" s="216" t="s">
        <v>1362</v>
      </c>
      <c r="I1500" s="82" t="s">
        <v>5850</v>
      </c>
      <c r="J1500" s="51" t="s">
        <v>140</v>
      </c>
      <c r="K1500" s="52">
        <v>0</v>
      </c>
      <c r="L1500" s="52">
        <v>0</v>
      </c>
      <c r="M1500" s="53">
        <v>30</v>
      </c>
      <c r="N1500" s="53">
        <v>50</v>
      </c>
      <c r="O1500" s="53">
        <v>1</v>
      </c>
      <c r="P1500" s="53">
        <f t="shared" si="360"/>
        <v>50</v>
      </c>
      <c r="Q1500" s="53"/>
      <c r="R1500" s="53">
        <v>50</v>
      </c>
      <c r="S1500" s="53">
        <f t="shared" si="361"/>
        <v>0</v>
      </c>
      <c r="T1500" s="53">
        <f t="shared" si="362"/>
        <v>2880</v>
      </c>
      <c r="U1500" s="52">
        <f t="shared" si="363"/>
        <v>0</v>
      </c>
      <c r="V1500" s="52">
        <f t="shared" si="364"/>
        <v>0</v>
      </c>
      <c r="W1500" s="52">
        <v>0</v>
      </c>
      <c r="X1500" s="55">
        <f t="shared" si="357"/>
        <v>46152.965133101854</v>
      </c>
    </row>
    <row r="1501" spans="1:24" hidden="1" x14ac:dyDescent="0.35">
      <c r="A1501" s="46">
        <f t="shared" si="358"/>
        <v>46152.965133101854</v>
      </c>
      <c r="B1501" s="46"/>
      <c r="C1501" s="260"/>
      <c r="D1501" s="46"/>
      <c r="E1501" s="47" t="s">
        <v>4395</v>
      </c>
      <c r="F1501" s="62" t="s">
        <v>14</v>
      </c>
      <c r="G1501" s="62"/>
      <c r="H1501" s="216" t="s">
        <v>1362</v>
      </c>
      <c r="I1501" s="104" t="s">
        <v>6212</v>
      </c>
      <c r="J1501" s="51" t="s">
        <v>140</v>
      </c>
      <c r="K1501" s="52">
        <v>0</v>
      </c>
      <c r="L1501" s="52">
        <v>0</v>
      </c>
      <c r="M1501" s="53">
        <v>30</v>
      </c>
      <c r="N1501" s="53">
        <v>50</v>
      </c>
      <c r="O1501" s="53">
        <v>1</v>
      </c>
      <c r="P1501" s="53">
        <f t="shared" si="360"/>
        <v>50</v>
      </c>
      <c r="Q1501" s="53"/>
      <c r="R1501" s="53">
        <v>50</v>
      </c>
      <c r="S1501" s="53">
        <f t="shared" si="361"/>
        <v>0</v>
      </c>
      <c r="T1501" s="53">
        <f t="shared" si="362"/>
        <v>2880</v>
      </c>
      <c r="U1501" s="52">
        <f t="shared" si="363"/>
        <v>0</v>
      </c>
      <c r="V1501" s="52">
        <f t="shared" si="364"/>
        <v>0</v>
      </c>
      <c r="W1501" s="52">
        <v>0</v>
      </c>
      <c r="X1501" s="55">
        <f t="shared" si="357"/>
        <v>46152.965133101854</v>
      </c>
    </row>
    <row r="1502" spans="1:24" ht="26.5" hidden="1" x14ac:dyDescent="0.35">
      <c r="A1502" s="46">
        <f t="shared" si="358"/>
        <v>46152.965133101854</v>
      </c>
      <c r="B1502" s="46"/>
      <c r="C1502" s="260"/>
      <c r="D1502" s="46"/>
      <c r="E1502" s="47" t="s">
        <v>4395</v>
      </c>
      <c r="F1502" s="48"/>
      <c r="G1502" s="48"/>
      <c r="H1502" s="49"/>
      <c r="I1502" s="69" t="s">
        <v>3525</v>
      </c>
      <c r="J1502" s="51" t="s">
        <v>140</v>
      </c>
      <c r="K1502" s="52">
        <v>0</v>
      </c>
      <c r="L1502" s="52">
        <v>0</v>
      </c>
      <c r="M1502" s="53">
        <v>45</v>
      </c>
      <c r="N1502" s="53">
        <v>20000</v>
      </c>
      <c r="O1502" s="53">
        <v>2</v>
      </c>
      <c r="P1502" s="53">
        <f t="shared" si="360"/>
        <v>10000</v>
      </c>
      <c r="Q1502" s="53"/>
      <c r="R1502" s="53">
        <v>10000</v>
      </c>
      <c r="S1502" s="53">
        <f t="shared" si="361"/>
        <v>0</v>
      </c>
      <c r="T1502" s="53">
        <f t="shared" si="362"/>
        <v>3840</v>
      </c>
      <c r="U1502" s="52">
        <f t="shared" si="363"/>
        <v>0</v>
      </c>
      <c r="V1502" s="52">
        <f t="shared" si="364"/>
        <v>0</v>
      </c>
      <c r="W1502" s="52">
        <v>0</v>
      </c>
      <c r="X1502" s="55">
        <f t="shared" si="357"/>
        <v>46152.965133101854</v>
      </c>
    </row>
    <row r="1503" spans="1:24" ht="29" hidden="1" x14ac:dyDescent="0.35">
      <c r="A1503" s="46">
        <f t="shared" si="358"/>
        <v>46152.965133101854</v>
      </c>
      <c r="B1503" s="46"/>
      <c r="C1503" s="260"/>
      <c r="D1503" s="46"/>
      <c r="E1503" s="47" t="s">
        <v>4395</v>
      </c>
      <c r="F1503" s="48" t="s">
        <v>652</v>
      </c>
      <c r="G1503" s="48"/>
      <c r="H1503" s="59" t="s">
        <v>6213</v>
      </c>
      <c r="I1503" s="69" t="s">
        <v>3525</v>
      </c>
      <c r="J1503" s="51" t="s">
        <v>140</v>
      </c>
      <c r="K1503" s="52">
        <v>0</v>
      </c>
      <c r="L1503" s="52">
        <v>0</v>
      </c>
      <c r="M1503" s="53">
        <v>45</v>
      </c>
      <c r="N1503" s="53">
        <v>20000</v>
      </c>
      <c r="O1503" s="53">
        <v>2</v>
      </c>
      <c r="P1503" s="53">
        <f t="shared" si="360"/>
        <v>10000</v>
      </c>
      <c r="Q1503" s="53"/>
      <c r="R1503" s="53">
        <v>10000</v>
      </c>
      <c r="S1503" s="53">
        <f t="shared" si="361"/>
        <v>0</v>
      </c>
      <c r="T1503" s="53">
        <f t="shared" si="362"/>
        <v>3840</v>
      </c>
      <c r="U1503" s="52">
        <f t="shared" si="363"/>
        <v>0</v>
      </c>
      <c r="V1503" s="52">
        <f t="shared" si="364"/>
        <v>0</v>
      </c>
      <c r="W1503" s="52">
        <v>0</v>
      </c>
      <c r="X1503" s="55">
        <f t="shared" si="357"/>
        <v>46152.965133101854</v>
      </c>
    </row>
    <row r="1504" spans="1:24" hidden="1" x14ac:dyDescent="0.35">
      <c r="A1504" s="46">
        <f t="shared" si="358"/>
        <v>46152.965133101854</v>
      </c>
      <c r="B1504" s="46"/>
      <c r="C1504" s="260"/>
      <c r="D1504" s="46"/>
      <c r="E1504" s="47" t="s">
        <v>249</v>
      </c>
      <c r="F1504" s="48" t="s">
        <v>6214</v>
      </c>
      <c r="G1504" s="48"/>
      <c r="H1504" s="49" t="s">
        <v>6215</v>
      </c>
      <c r="I1504" s="405" t="s">
        <v>6023</v>
      </c>
      <c r="J1504" s="51" t="s">
        <v>140</v>
      </c>
      <c r="K1504" s="52">
        <v>0</v>
      </c>
      <c r="L1504" s="52">
        <v>0</v>
      </c>
      <c r="M1504" s="53">
        <v>120</v>
      </c>
      <c r="N1504" s="53">
        <v>1440</v>
      </c>
      <c r="O1504" s="53">
        <v>1</v>
      </c>
      <c r="P1504" s="53">
        <f t="shared" si="360"/>
        <v>1440</v>
      </c>
      <c r="Q1504" s="53"/>
      <c r="R1504" s="53">
        <v>1440</v>
      </c>
      <c r="S1504" s="53">
        <f t="shared" si="361"/>
        <v>0</v>
      </c>
      <c r="T1504" s="53">
        <f t="shared" si="362"/>
        <v>720</v>
      </c>
      <c r="U1504" s="52">
        <f t="shared" si="363"/>
        <v>0</v>
      </c>
      <c r="V1504" s="52">
        <f t="shared" si="364"/>
        <v>0</v>
      </c>
      <c r="W1504" s="52">
        <v>0</v>
      </c>
      <c r="X1504" s="55">
        <f t="shared" si="357"/>
        <v>46152.965133101854</v>
      </c>
    </row>
    <row r="1505" spans="1:24" hidden="1" x14ac:dyDescent="0.35">
      <c r="A1505" s="46">
        <f t="shared" si="358"/>
        <v>46152.965133101854</v>
      </c>
      <c r="B1505" s="46"/>
      <c r="C1505" s="260"/>
      <c r="D1505" s="46"/>
      <c r="E1505" s="47" t="s">
        <v>1872</v>
      </c>
      <c r="F1505" s="48" t="s">
        <v>6216</v>
      </c>
      <c r="G1505" s="48"/>
      <c r="H1505" s="49" t="s">
        <v>6217</v>
      </c>
      <c r="I1505" s="99" t="s">
        <v>5502</v>
      </c>
      <c r="J1505" s="51" t="s">
        <v>140</v>
      </c>
      <c r="K1505" s="52">
        <v>0</v>
      </c>
      <c r="L1505" s="52">
        <v>0</v>
      </c>
      <c r="M1505" s="53">
        <v>40</v>
      </c>
      <c r="N1505" s="53">
        <v>2000</v>
      </c>
      <c r="O1505" s="53">
        <v>4</v>
      </c>
      <c r="P1505" s="53">
        <f t="shared" si="360"/>
        <v>500</v>
      </c>
      <c r="Q1505" s="53"/>
      <c r="R1505" s="53">
        <v>500</v>
      </c>
      <c r="S1505" s="53">
        <f t="shared" si="361"/>
        <v>0</v>
      </c>
      <c r="T1505" s="53">
        <f t="shared" si="362"/>
        <v>8640</v>
      </c>
      <c r="U1505" s="52">
        <f t="shared" si="363"/>
        <v>0</v>
      </c>
      <c r="V1505" s="52">
        <f t="shared" si="364"/>
        <v>0</v>
      </c>
      <c r="W1505" s="52">
        <v>0</v>
      </c>
      <c r="X1505" s="55">
        <f t="shared" si="357"/>
        <v>46152.965133101854</v>
      </c>
    </row>
    <row r="1506" spans="1:24" ht="39.5" hidden="1" x14ac:dyDescent="0.35">
      <c r="A1506" s="46">
        <f t="shared" si="358"/>
        <v>46152.965133101854</v>
      </c>
      <c r="B1506" s="46"/>
      <c r="C1506" s="260"/>
      <c r="D1506" s="46"/>
      <c r="E1506" s="47" t="s">
        <v>1872</v>
      </c>
      <c r="F1506" s="48" t="s">
        <v>652</v>
      </c>
      <c r="G1506" s="48"/>
      <c r="H1506" s="59" t="s">
        <v>6218</v>
      </c>
      <c r="I1506" s="71" t="s">
        <v>6219</v>
      </c>
      <c r="J1506" s="51" t="s">
        <v>140</v>
      </c>
      <c r="K1506" s="52">
        <v>0</v>
      </c>
      <c r="L1506" s="52">
        <v>0</v>
      </c>
      <c r="M1506" s="53">
        <v>45</v>
      </c>
      <c r="N1506" s="53">
        <v>18000</v>
      </c>
      <c r="O1506" s="53">
        <v>2</v>
      </c>
      <c r="P1506" s="53">
        <f t="shared" si="360"/>
        <v>9000</v>
      </c>
      <c r="Q1506" s="53"/>
      <c r="R1506" s="53">
        <v>9000</v>
      </c>
      <c r="S1506" s="53">
        <f t="shared" si="361"/>
        <v>0</v>
      </c>
      <c r="T1506" s="53">
        <f t="shared" si="362"/>
        <v>3840</v>
      </c>
      <c r="U1506" s="52">
        <f t="shared" si="363"/>
        <v>0</v>
      </c>
      <c r="V1506" s="52">
        <f t="shared" si="364"/>
        <v>0</v>
      </c>
      <c r="W1506" s="52">
        <v>0</v>
      </c>
      <c r="X1506" s="55">
        <f t="shared" si="357"/>
        <v>46152.965133101854</v>
      </c>
    </row>
    <row r="1507" spans="1:24" ht="39.5" hidden="1" x14ac:dyDescent="0.35">
      <c r="A1507" s="46">
        <f t="shared" si="358"/>
        <v>46152.965133101854</v>
      </c>
      <c r="B1507" s="46"/>
      <c r="C1507" s="260"/>
      <c r="D1507" s="46"/>
      <c r="E1507" s="47" t="s">
        <v>4395</v>
      </c>
      <c r="F1507" s="57" t="s">
        <v>4541</v>
      </c>
      <c r="G1507" s="57"/>
      <c r="H1507" s="59" t="s">
        <v>6220</v>
      </c>
      <c r="I1507" s="71" t="s">
        <v>6219</v>
      </c>
      <c r="J1507" s="51" t="s">
        <v>140</v>
      </c>
      <c r="K1507" s="52">
        <v>0</v>
      </c>
      <c r="L1507" s="52">
        <v>0</v>
      </c>
      <c r="M1507" s="53">
        <v>45</v>
      </c>
      <c r="N1507" s="53">
        <v>14000</v>
      </c>
      <c r="O1507" s="53">
        <v>2</v>
      </c>
      <c r="P1507" s="53">
        <f t="shared" si="360"/>
        <v>7000</v>
      </c>
      <c r="Q1507" s="53"/>
      <c r="R1507" s="53">
        <v>7000</v>
      </c>
      <c r="S1507" s="53">
        <f t="shared" si="361"/>
        <v>0</v>
      </c>
      <c r="T1507" s="53">
        <f t="shared" si="362"/>
        <v>3840</v>
      </c>
      <c r="U1507" s="52">
        <f t="shared" si="363"/>
        <v>0</v>
      </c>
      <c r="V1507" s="52">
        <f t="shared" si="364"/>
        <v>0</v>
      </c>
      <c r="W1507" s="52">
        <v>0</v>
      </c>
      <c r="X1507" s="55">
        <f t="shared" si="357"/>
        <v>46152.965133101854</v>
      </c>
    </row>
    <row r="1508" spans="1:24" ht="39.5" hidden="1" x14ac:dyDescent="0.35">
      <c r="A1508" s="46">
        <f t="shared" si="358"/>
        <v>46152.965133101854</v>
      </c>
      <c r="B1508" s="46"/>
      <c r="C1508" s="260"/>
      <c r="D1508" s="46"/>
      <c r="E1508" s="74" t="s">
        <v>4395</v>
      </c>
      <c r="F1508" s="62" t="s">
        <v>4541</v>
      </c>
      <c r="G1508" s="62"/>
      <c r="H1508" s="76" t="s">
        <v>6221</v>
      </c>
      <c r="I1508" s="1054" t="s">
        <v>6219</v>
      </c>
      <c r="J1508" s="60" t="s">
        <v>140</v>
      </c>
      <c r="K1508" s="78">
        <v>0</v>
      </c>
      <c r="L1508" s="78">
        <v>0</v>
      </c>
      <c r="M1508" s="79">
        <v>45</v>
      </c>
      <c r="N1508" s="79">
        <v>28000</v>
      </c>
      <c r="O1508" s="79">
        <v>2</v>
      </c>
      <c r="P1508" s="79">
        <f t="shared" si="360"/>
        <v>14000</v>
      </c>
      <c r="Q1508" s="79"/>
      <c r="R1508" s="79">
        <v>14000</v>
      </c>
      <c r="S1508" s="79">
        <f t="shared" si="361"/>
        <v>0</v>
      </c>
      <c r="T1508" s="79">
        <f t="shared" si="362"/>
        <v>3840</v>
      </c>
      <c r="U1508" s="78">
        <f t="shared" si="363"/>
        <v>0</v>
      </c>
      <c r="V1508" s="78">
        <f t="shared" si="364"/>
        <v>0</v>
      </c>
      <c r="W1508" s="78">
        <v>0</v>
      </c>
      <c r="X1508" s="55">
        <f t="shared" si="357"/>
        <v>46152.965133101854</v>
      </c>
    </row>
    <row r="1509" spans="1:24" hidden="1" x14ac:dyDescent="0.35">
      <c r="A1509" s="46">
        <f t="shared" si="358"/>
        <v>46152.965133101854</v>
      </c>
      <c r="B1509" s="46"/>
      <c r="C1509" s="260"/>
      <c r="D1509" s="46"/>
      <c r="E1509" s="47" t="s">
        <v>4395</v>
      </c>
      <c r="F1509" s="48" t="s">
        <v>5010</v>
      </c>
      <c r="G1509" s="48"/>
      <c r="H1509" s="49" t="s">
        <v>6222</v>
      </c>
      <c r="I1509" s="99" t="s">
        <v>5502</v>
      </c>
      <c r="J1509" s="51" t="s">
        <v>140</v>
      </c>
      <c r="K1509" s="52">
        <v>0</v>
      </c>
      <c r="L1509" s="52">
        <v>0</v>
      </c>
      <c r="M1509" s="53">
        <v>40</v>
      </c>
      <c r="N1509" s="53">
        <f>10000-474</f>
        <v>9526</v>
      </c>
      <c r="O1509" s="53">
        <v>4</v>
      </c>
      <c r="P1509" s="53">
        <f t="shared" si="360"/>
        <v>2381.5</v>
      </c>
      <c r="Q1509" s="53"/>
      <c r="R1509" s="53">
        <v>2382</v>
      </c>
      <c r="S1509" s="53">
        <f t="shared" si="361"/>
        <v>-0.5</v>
      </c>
      <c r="T1509" s="53">
        <f t="shared" si="362"/>
        <v>8640</v>
      </c>
      <c r="U1509" s="52">
        <f t="shared" si="363"/>
        <v>-5.5555555555555558E-3</v>
      </c>
      <c r="V1509" s="52">
        <f t="shared" si="364"/>
        <v>-2.3148148148148149E-4</v>
      </c>
      <c r="W1509" s="52">
        <v>0</v>
      </c>
      <c r="X1509" s="55">
        <f t="shared" si="357"/>
        <v>46152.964901620369</v>
      </c>
    </row>
    <row r="1510" spans="1:24" hidden="1" x14ac:dyDescent="0.35">
      <c r="A1510" s="46">
        <f t="shared" si="358"/>
        <v>46152.964901620369</v>
      </c>
      <c r="B1510" s="46"/>
      <c r="C1510" s="260"/>
      <c r="D1510" s="46"/>
      <c r="E1510" s="296" t="s">
        <v>4395</v>
      </c>
      <c r="F1510" s="404" t="s">
        <v>14</v>
      </c>
      <c r="G1510" s="404"/>
      <c r="H1510" s="927" t="s">
        <v>1362</v>
      </c>
      <c r="I1510" s="297" t="s">
        <v>5850</v>
      </c>
      <c r="J1510" s="351" t="s">
        <v>140</v>
      </c>
      <c r="K1510" s="399">
        <v>0</v>
      </c>
      <c r="L1510" s="399">
        <v>0</v>
      </c>
      <c r="M1510" s="400">
        <v>30</v>
      </c>
      <c r="N1510" s="400">
        <v>50</v>
      </c>
      <c r="O1510" s="400">
        <v>1</v>
      </c>
      <c r="P1510" s="400">
        <f t="shared" si="360"/>
        <v>50</v>
      </c>
      <c r="Q1510" s="400"/>
      <c r="R1510" s="400">
        <v>50</v>
      </c>
      <c r="S1510" s="400">
        <f t="shared" si="361"/>
        <v>0</v>
      </c>
      <c r="T1510" s="400">
        <f t="shared" si="362"/>
        <v>2880</v>
      </c>
      <c r="U1510" s="399">
        <f t="shared" si="363"/>
        <v>0</v>
      </c>
      <c r="V1510" s="399">
        <f t="shared" si="364"/>
        <v>0</v>
      </c>
      <c r="W1510" s="399">
        <v>0</v>
      </c>
      <c r="X1510" s="55">
        <f t="shared" si="357"/>
        <v>46152.964901620369</v>
      </c>
    </row>
    <row r="1511" spans="1:24" ht="39.5" hidden="1" x14ac:dyDescent="0.35">
      <c r="A1511" s="46">
        <f t="shared" si="358"/>
        <v>46152.964901620369</v>
      </c>
      <c r="B1511" s="46"/>
      <c r="C1511" s="260"/>
      <c r="D1511" s="46"/>
      <c r="E1511" s="74" t="s">
        <v>4395</v>
      </c>
      <c r="F1511" s="62" t="s">
        <v>1076</v>
      </c>
      <c r="G1511" s="62"/>
      <c r="H1511" s="76" t="s">
        <v>6223</v>
      </c>
      <c r="I1511" s="1054" t="s">
        <v>6219</v>
      </c>
      <c r="J1511" s="60" t="s">
        <v>140</v>
      </c>
      <c r="K1511" s="78">
        <v>0</v>
      </c>
      <c r="L1511" s="78">
        <v>0</v>
      </c>
      <c r="M1511" s="79">
        <v>45</v>
      </c>
      <c r="N1511" s="79">
        <v>14000</v>
      </c>
      <c r="O1511" s="79">
        <v>2</v>
      </c>
      <c r="P1511" s="79">
        <f t="shared" si="360"/>
        <v>7000</v>
      </c>
      <c r="Q1511" s="79"/>
      <c r="R1511" s="79">
        <v>7000</v>
      </c>
      <c r="S1511" s="79">
        <f t="shared" si="361"/>
        <v>0</v>
      </c>
      <c r="T1511" s="79">
        <f t="shared" si="362"/>
        <v>3840</v>
      </c>
      <c r="U1511" s="78">
        <f t="shared" si="363"/>
        <v>0</v>
      </c>
      <c r="V1511" s="78">
        <f t="shared" si="364"/>
        <v>0</v>
      </c>
      <c r="W1511" s="78">
        <v>0</v>
      </c>
      <c r="X1511" s="55">
        <f t="shared" si="357"/>
        <v>46152.964901620369</v>
      </c>
    </row>
    <row r="1512" spans="1:24" ht="26.5" hidden="1" x14ac:dyDescent="0.35">
      <c r="A1512" s="46">
        <f t="shared" si="358"/>
        <v>46152.964901620369</v>
      </c>
      <c r="B1512" s="46"/>
      <c r="C1512" s="260"/>
      <c r="D1512" s="46"/>
      <c r="E1512" s="74" t="s">
        <v>4395</v>
      </c>
      <c r="F1512" s="97" t="s">
        <v>1084</v>
      </c>
      <c r="G1512" s="97"/>
      <c r="H1512" s="76" t="s">
        <v>6224</v>
      </c>
      <c r="I1512" s="1054" t="s">
        <v>6225</v>
      </c>
      <c r="J1512" s="60" t="s">
        <v>140</v>
      </c>
      <c r="K1512" s="78">
        <v>0</v>
      </c>
      <c r="L1512" s="78">
        <v>0</v>
      </c>
      <c r="M1512" s="79">
        <v>45</v>
      </c>
      <c r="N1512" s="79">
        <v>30000</v>
      </c>
      <c r="O1512" s="79">
        <v>2</v>
      </c>
      <c r="P1512" s="79">
        <f t="shared" si="360"/>
        <v>15000</v>
      </c>
      <c r="Q1512" s="79"/>
      <c r="R1512" s="79">
        <v>15000</v>
      </c>
      <c r="S1512" s="79">
        <f t="shared" si="361"/>
        <v>0</v>
      </c>
      <c r="T1512" s="79">
        <f t="shared" si="362"/>
        <v>3840</v>
      </c>
      <c r="U1512" s="78">
        <f t="shared" si="363"/>
        <v>0</v>
      </c>
      <c r="V1512" s="78">
        <f t="shared" si="364"/>
        <v>0</v>
      </c>
      <c r="W1512" s="78">
        <v>0</v>
      </c>
      <c r="X1512" s="55">
        <f t="shared" si="357"/>
        <v>46152.964901620369</v>
      </c>
    </row>
    <row r="1513" spans="1:24" ht="29" hidden="1" x14ac:dyDescent="0.35">
      <c r="A1513" s="46">
        <f t="shared" si="358"/>
        <v>46152.964901620369</v>
      </c>
      <c r="B1513" s="46"/>
      <c r="C1513" s="260"/>
      <c r="D1513" s="46"/>
      <c r="E1513" s="74" t="s">
        <v>4395</v>
      </c>
      <c r="F1513" s="97" t="s">
        <v>4547</v>
      </c>
      <c r="G1513" s="97"/>
      <c r="H1513" s="76" t="s">
        <v>5039</v>
      </c>
      <c r="I1513" s="1054" t="s">
        <v>6225</v>
      </c>
      <c r="J1513" s="60" t="s">
        <v>140</v>
      </c>
      <c r="K1513" s="78">
        <v>0</v>
      </c>
      <c r="L1513" s="78">
        <v>0</v>
      </c>
      <c r="M1513" s="79">
        <v>45</v>
      </c>
      <c r="N1513" s="79">
        <v>32000</v>
      </c>
      <c r="O1513" s="79">
        <v>2</v>
      </c>
      <c r="P1513" s="79">
        <f t="shared" si="360"/>
        <v>16000</v>
      </c>
      <c r="Q1513" s="79"/>
      <c r="R1513" s="79">
        <v>16000</v>
      </c>
      <c r="S1513" s="79">
        <f t="shared" si="361"/>
        <v>0</v>
      </c>
      <c r="T1513" s="79">
        <f t="shared" si="362"/>
        <v>3840</v>
      </c>
      <c r="U1513" s="78">
        <f t="shared" si="363"/>
        <v>0</v>
      </c>
      <c r="V1513" s="78">
        <f t="shared" si="364"/>
        <v>0</v>
      </c>
      <c r="W1513" s="78">
        <v>0</v>
      </c>
      <c r="X1513" s="55">
        <f t="shared" si="357"/>
        <v>46152.964901620369</v>
      </c>
    </row>
    <row r="1514" spans="1:24" hidden="1" x14ac:dyDescent="0.35">
      <c r="A1514" s="46">
        <f t="shared" si="358"/>
        <v>46152.964901620369</v>
      </c>
      <c r="B1514" s="46"/>
      <c r="C1514" s="260"/>
      <c r="D1514" s="46"/>
      <c r="E1514" s="406" t="s">
        <v>4395</v>
      </c>
      <c r="F1514" s="407" t="s">
        <v>6226</v>
      </c>
      <c r="G1514" s="407"/>
      <c r="H1514" s="687" t="s">
        <v>6227</v>
      </c>
      <c r="I1514" s="1055" t="s">
        <v>6228</v>
      </c>
      <c r="J1514" s="409" t="s">
        <v>140</v>
      </c>
      <c r="K1514" s="410">
        <v>0</v>
      </c>
      <c r="L1514" s="410">
        <v>0</v>
      </c>
      <c r="M1514" s="540">
        <v>60</v>
      </c>
      <c r="N1514" s="540">
        <v>250</v>
      </c>
      <c r="O1514" s="540">
        <v>1</v>
      </c>
      <c r="P1514" s="540">
        <f t="shared" si="360"/>
        <v>250</v>
      </c>
      <c r="Q1514" s="540"/>
      <c r="R1514" s="540">
        <v>250</v>
      </c>
      <c r="S1514" s="540">
        <f t="shared" si="361"/>
        <v>0</v>
      </c>
      <c r="T1514" s="540">
        <f t="shared" si="362"/>
        <v>1440</v>
      </c>
      <c r="U1514" s="987">
        <f t="shared" si="363"/>
        <v>0</v>
      </c>
      <c r="V1514" s="987">
        <f t="shared" si="364"/>
        <v>0</v>
      </c>
      <c r="W1514" s="987">
        <v>0</v>
      </c>
      <c r="X1514" s="55">
        <f t="shared" si="357"/>
        <v>46152.964901620369</v>
      </c>
    </row>
    <row r="1515" spans="1:24" hidden="1" x14ac:dyDescent="0.35">
      <c r="A1515" s="46">
        <f t="shared" si="358"/>
        <v>46152.964901620369</v>
      </c>
      <c r="B1515" s="46"/>
      <c r="C1515" s="260"/>
      <c r="D1515" s="46"/>
      <c r="E1515" s="47" t="s">
        <v>4395</v>
      </c>
      <c r="F1515" s="48" t="s">
        <v>6229</v>
      </c>
      <c r="G1515" s="48"/>
      <c r="H1515" s="49" t="s">
        <v>6230</v>
      </c>
      <c r="I1515" s="405" t="s">
        <v>6023</v>
      </c>
      <c r="J1515" s="51" t="s">
        <v>140</v>
      </c>
      <c r="K1515" s="52">
        <v>0</v>
      </c>
      <c r="L1515" s="52">
        <v>0</v>
      </c>
      <c r="M1515" s="53">
        <v>120</v>
      </c>
      <c r="N1515" s="53">
        <v>1000</v>
      </c>
      <c r="O1515" s="53">
        <v>1</v>
      </c>
      <c r="P1515" s="53">
        <f t="shared" si="360"/>
        <v>1000</v>
      </c>
      <c r="Q1515" s="53"/>
      <c r="R1515" s="53">
        <v>1000</v>
      </c>
      <c r="S1515" s="53">
        <f t="shared" si="361"/>
        <v>0</v>
      </c>
      <c r="T1515" s="53">
        <f t="shared" si="362"/>
        <v>720</v>
      </c>
      <c r="U1515" s="52">
        <f t="shared" si="363"/>
        <v>0</v>
      </c>
      <c r="V1515" s="52">
        <f t="shared" si="364"/>
        <v>0</v>
      </c>
      <c r="W1515" s="52">
        <v>0</v>
      </c>
      <c r="X1515" s="55">
        <f t="shared" si="357"/>
        <v>46152.964901620369</v>
      </c>
    </row>
    <row r="1516" spans="1:24" hidden="1" x14ac:dyDescent="0.35">
      <c r="A1516" s="46">
        <f t="shared" si="358"/>
        <v>46152.964901620369</v>
      </c>
      <c r="B1516" s="46"/>
      <c r="C1516" s="260"/>
      <c r="D1516" s="46"/>
      <c r="E1516" s="47" t="s">
        <v>4395</v>
      </c>
      <c r="F1516" s="48" t="s">
        <v>6231</v>
      </c>
      <c r="G1516" s="48"/>
      <c r="H1516" s="49" t="s">
        <v>6232</v>
      </c>
      <c r="I1516" s="82" t="s">
        <v>5169</v>
      </c>
      <c r="J1516" s="51" t="s">
        <v>140</v>
      </c>
      <c r="K1516" s="52">
        <v>0.25</v>
      </c>
      <c r="L1516" s="52">
        <v>0.2</v>
      </c>
      <c r="M1516" s="53">
        <v>45</v>
      </c>
      <c r="N1516" s="53">
        <v>4000</v>
      </c>
      <c r="O1516" s="53">
        <v>2</v>
      </c>
      <c r="P1516" s="53">
        <f t="shared" si="360"/>
        <v>2000</v>
      </c>
      <c r="Q1516" s="53"/>
      <c r="R1516" s="53">
        <v>2000</v>
      </c>
      <c r="S1516" s="53">
        <f t="shared" si="361"/>
        <v>0</v>
      </c>
      <c r="T1516" s="53">
        <f t="shared" si="362"/>
        <v>3840</v>
      </c>
      <c r="U1516" s="52">
        <f t="shared" si="363"/>
        <v>0</v>
      </c>
      <c r="V1516" s="52">
        <f t="shared" si="364"/>
        <v>0</v>
      </c>
      <c r="W1516" s="52">
        <v>0</v>
      </c>
      <c r="X1516" s="55">
        <f t="shared" si="357"/>
        <v>46153.414901620366</v>
      </c>
    </row>
    <row r="1517" spans="1:24" hidden="1" x14ac:dyDescent="0.35">
      <c r="A1517" s="46">
        <f t="shared" si="358"/>
        <v>46153.414901620366</v>
      </c>
      <c r="B1517" s="46"/>
      <c r="C1517" s="260"/>
      <c r="D1517" s="46"/>
      <c r="E1517" s="296" t="s">
        <v>4395</v>
      </c>
      <c r="F1517" s="577" t="s">
        <v>1321</v>
      </c>
      <c r="G1517" s="577"/>
      <c r="H1517" s="578" t="s">
        <v>1321</v>
      </c>
      <c r="I1517" s="297" t="s">
        <v>6233</v>
      </c>
      <c r="J1517" s="351"/>
      <c r="K1517" s="399">
        <v>0</v>
      </c>
      <c r="L1517" s="399">
        <v>0</v>
      </c>
      <c r="M1517" s="400">
        <v>40</v>
      </c>
      <c r="N1517" s="400">
        <v>150</v>
      </c>
      <c r="O1517" s="400">
        <v>4</v>
      </c>
      <c r="P1517" s="400">
        <f t="shared" si="360"/>
        <v>37.5</v>
      </c>
      <c r="Q1517" s="400"/>
      <c r="R1517" s="400">
        <v>38</v>
      </c>
      <c r="S1517" s="400">
        <v>0</v>
      </c>
      <c r="T1517" s="400">
        <f t="shared" si="362"/>
        <v>8640</v>
      </c>
      <c r="U1517" s="399">
        <f t="shared" si="363"/>
        <v>-5.5555555555555558E-3</v>
      </c>
      <c r="V1517" s="399">
        <f t="shared" si="364"/>
        <v>-2.3148148148148149E-4</v>
      </c>
      <c r="W1517" s="399">
        <v>0</v>
      </c>
      <c r="X1517" s="55">
        <f t="shared" si="357"/>
        <v>46153.414670138882</v>
      </c>
    </row>
    <row r="1518" spans="1:24" ht="26.5" hidden="1" x14ac:dyDescent="0.35">
      <c r="A1518" s="46">
        <f t="shared" si="358"/>
        <v>46153.414670138882</v>
      </c>
      <c r="B1518" s="46"/>
      <c r="C1518" s="260"/>
      <c r="D1518" s="46"/>
      <c r="E1518" s="47" t="s">
        <v>4395</v>
      </c>
      <c r="F1518" s="62" t="s">
        <v>4836</v>
      </c>
      <c r="G1518" s="62"/>
      <c r="H1518" s="49" t="s">
        <v>4837</v>
      </c>
      <c r="I1518" s="69" t="s">
        <v>4838</v>
      </c>
      <c r="J1518" s="51" t="s">
        <v>140</v>
      </c>
      <c r="K1518" s="52">
        <v>0</v>
      </c>
      <c r="L1518" s="52">
        <v>0</v>
      </c>
      <c r="M1518" s="53">
        <v>35</v>
      </c>
      <c r="N1518" s="53">
        <v>6000</v>
      </c>
      <c r="O1518" s="53">
        <v>2</v>
      </c>
      <c r="P1518" s="53">
        <f t="shared" si="360"/>
        <v>3000</v>
      </c>
      <c r="Q1518" s="53"/>
      <c r="R1518" s="53">
        <v>3000</v>
      </c>
      <c r="S1518" s="53">
        <f t="shared" ref="S1518:S1581" si="365">P1518-R1518</f>
        <v>0</v>
      </c>
      <c r="T1518" s="53">
        <f t="shared" si="362"/>
        <v>4937.1428571428569</v>
      </c>
      <c r="U1518" s="52">
        <f t="shared" si="363"/>
        <v>0</v>
      </c>
      <c r="V1518" s="52">
        <f t="shared" si="364"/>
        <v>0</v>
      </c>
      <c r="W1518" s="52">
        <v>0</v>
      </c>
      <c r="X1518" s="55">
        <f t="shared" si="357"/>
        <v>46153.414670138882</v>
      </c>
    </row>
    <row r="1519" spans="1:24" hidden="1" x14ac:dyDescent="0.35">
      <c r="A1519" s="46">
        <f t="shared" si="358"/>
        <v>46153.414670138882</v>
      </c>
      <c r="B1519" s="46"/>
      <c r="C1519" s="260"/>
      <c r="D1519" s="46"/>
      <c r="E1519" s="47" t="s">
        <v>4395</v>
      </c>
      <c r="F1519" s="56" t="s">
        <v>6234</v>
      </c>
      <c r="G1519" s="56"/>
      <c r="H1519" s="49" t="s">
        <v>6235</v>
      </c>
      <c r="I1519" s="82" t="s">
        <v>5209</v>
      </c>
      <c r="J1519" s="100" t="s">
        <v>140</v>
      </c>
      <c r="K1519" s="52">
        <v>0</v>
      </c>
      <c r="L1519" s="52">
        <v>0</v>
      </c>
      <c r="M1519" s="53">
        <v>30</v>
      </c>
      <c r="N1519" s="53">
        <v>4000</v>
      </c>
      <c r="O1519" s="53">
        <v>1</v>
      </c>
      <c r="P1519" s="53">
        <f t="shared" si="360"/>
        <v>4000</v>
      </c>
      <c r="Q1519" s="53"/>
      <c r="R1519" s="53">
        <v>4000</v>
      </c>
      <c r="S1519" s="53">
        <f t="shared" si="365"/>
        <v>0</v>
      </c>
      <c r="T1519" s="83">
        <f t="shared" si="362"/>
        <v>2880</v>
      </c>
      <c r="U1519" s="84">
        <f t="shared" si="363"/>
        <v>0</v>
      </c>
      <c r="V1519" s="84">
        <f t="shared" si="364"/>
        <v>0</v>
      </c>
      <c r="W1519" s="84">
        <v>0</v>
      </c>
      <c r="X1519" s="55">
        <f t="shared" si="357"/>
        <v>46153.414670138882</v>
      </c>
    </row>
    <row r="1520" spans="1:24" hidden="1" x14ac:dyDescent="0.35">
      <c r="A1520" s="46">
        <f t="shared" si="358"/>
        <v>46153.414670138882</v>
      </c>
      <c r="B1520" s="46"/>
      <c r="C1520" s="260"/>
      <c r="D1520" s="46"/>
      <c r="E1520" s="47" t="s">
        <v>4395</v>
      </c>
      <c r="F1520" s="56" t="s">
        <v>6236</v>
      </c>
      <c r="G1520" s="56"/>
      <c r="H1520" s="49" t="s">
        <v>6237</v>
      </c>
      <c r="I1520" s="106" t="s">
        <v>6238</v>
      </c>
      <c r="J1520" s="51" t="s">
        <v>140</v>
      </c>
      <c r="K1520" s="52">
        <v>0.25</v>
      </c>
      <c r="L1520" s="52">
        <v>0.2</v>
      </c>
      <c r="M1520" s="53">
        <v>30</v>
      </c>
      <c r="N1520" s="53">
        <v>10000</v>
      </c>
      <c r="O1520" s="53">
        <v>2</v>
      </c>
      <c r="P1520" s="53">
        <v>5028</v>
      </c>
      <c r="Q1520" s="53"/>
      <c r="R1520" s="53">
        <v>5932</v>
      </c>
      <c r="S1520" s="53">
        <f t="shared" si="365"/>
        <v>-904</v>
      </c>
      <c r="T1520" s="83">
        <f t="shared" si="362"/>
        <v>5760</v>
      </c>
      <c r="U1520" s="84">
        <f t="shared" si="363"/>
        <v>-7.5333333333333332</v>
      </c>
      <c r="V1520" s="84">
        <f t="shared" si="364"/>
        <v>-0.31388888888888888</v>
      </c>
      <c r="W1520" s="84">
        <v>0</v>
      </c>
      <c r="X1520" s="55">
        <f t="shared" si="357"/>
        <v>46153.550781249993</v>
      </c>
    </row>
    <row r="1521" spans="1:24" ht="29" hidden="1" x14ac:dyDescent="0.35">
      <c r="A1521" s="46">
        <f t="shared" si="358"/>
        <v>46153.550781249993</v>
      </c>
      <c r="B1521" s="46"/>
      <c r="C1521" s="260"/>
      <c r="D1521" s="46"/>
      <c r="E1521" s="47" t="s">
        <v>4395</v>
      </c>
      <c r="F1521" s="48" t="s">
        <v>513</v>
      </c>
      <c r="G1521" s="48"/>
      <c r="H1521" s="49" t="s">
        <v>6239</v>
      </c>
      <c r="I1521" s="82" t="s">
        <v>3468</v>
      </c>
      <c r="J1521" s="51" t="s">
        <v>140</v>
      </c>
      <c r="K1521" s="52">
        <v>0</v>
      </c>
      <c r="L1521" s="52">
        <v>0</v>
      </c>
      <c r="M1521" s="53">
        <v>20</v>
      </c>
      <c r="N1521" s="53">
        <v>240000</v>
      </c>
      <c r="O1521" s="53">
        <v>8</v>
      </c>
      <c r="P1521" s="53">
        <f t="shared" ref="P1521:P1533" si="366">N1521/O1521</f>
        <v>30000</v>
      </c>
      <c r="Q1521" s="53"/>
      <c r="R1521" s="53">
        <v>30000</v>
      </c>
      <c r="S1521" s="53">
        <f t="shared" si="365"/>
        <v>0</v>
      </c>
      <c r="T1521" s="53">
        <f t="shared" si="362"/>
        <v>34560</v>
      </c>
      <c r="U1521" s="52">
        <f t="shared" si="363"/>
        <v>0</v>
      </c>
      <c r="V1521" s="52">
        <f t="shared" si="364"/>
        <v>0</v>
      </c>
      <c r="W1521" s="52">
        <v>0</v>
      </c>
      <c r="X1521" s="55">
        <f t="shared" si="357"/>
        <v>46153.550781249993</v>
      </c>
    </row>
    <row r="1522" spans="1:24" s="89" customFormat="1" ht="29" hidden="1" x14ac:dyDescent="0.35">
      <c r="A1522" s="46">
        <f t="shared" si="358"/>
        <v>46153.550781249993</v>
      </c>
      <c r="B1522" s="46"/>
      <c r="C1522" s="260"/>
      <c r="D1522" s="46"/>
      <c r="E1522" s="47" t="s">
        <v>4395</v>
      </c>
      <c r="F1522" s="48" t="s">
        <v>513</v>
      </c>
      <c r="G1522" s="48"/>
      <c r="H1522" s="49" t="s">
        <v>6240</v>
      </c>
      <c r="I1522" s="82" t="s">
        <v>5314</v>
      </c>
      <c r="J1522" s="100" t="s">
        <v>140</v>
      </c>
      <c r="K1522" s="52">
        <v>0</v>
      </c>
      <c r="L1522" s="52">
        <v>0</v>
      </c>
      <c r="M1522" s="53">
        <v>25</v>
      </c>
      <c r="N1522" s="53">
        <v>5000</v>
      </c>
      <c r="O1522" s="53">
        <v>8</v>
      </c>
      <c r="P1522" s="53">
        <f t="shared" si="366"/>
        <v>625</v>
      </c>
      <c r="Q1522" s="53"/>
      <c r="R1522" s="83">
        <v>625</v>
      </c>
      <c r="S1522" s="53">
        <f t="shared" si="365"/>
        <v>0</v>
      </c>
      <c r="T1522" s="83">
        <f t="shared" si="362"/>
        <v>27648</v>
      </c>
      <c r="U1522" s="84">
        <f t="shared" si="363"/>
        <v>0</v>
      </c>
      <c r="V1522" s="84">
        <f t="shared" si="364"/>
        <v>0</v>
      </c>
      <c r="W1522" s="84">
        <v>0</v>
      </c>
      <c r="X1522" s="55">
        <f t="shared" si="357"/>
        <v>46153.550781249993</v>
      </c>
    </row>
    <row r="1523" spans="1:24" s="89" customFormat="1" hidden="1" x14ac:dyDescent="0.35">
      <c r="A1523" s="46">
        <f t="shared" si="358"/>
        <v>46153.550781249993</v>
      </c>
      <c r="B1523" s="46"/>
      <c r="C1523" s="260"/>
      <c r="D1523" s="46"/>
      <c r="E1523" s="47" t="s">
        <v>1872</v>
      </c>
      <c r="F1523" s="82" t="s">
        <v>5034</v>
      </c>
      <c r="G1523" s="82"/>
      <c r="H1523" s="98" t="s">
        <v>6241</v>
      </c>
      <c r="I1523" s="99" t="s">
        <v>5502</v>
      </c>
      <c r="J1523" s="51" t="s">
        <v>140</v>
      </c>
      <c r="K1523" s="91">
        <v>0</v>
      </c>
      <c r="L1523" s="91">
        <v>0</v>
      </c>
      <c r="M1523" s="92">
        <v>40</v>
      </c>
      <c r="N1523" s="92">
        <v>4000</v>
      </c>
      <c r="O1523" s="92">
        <v>4</v>
      </c>
      <c r="P1523" s="92">
        <f t="shared" si="366"/>
        <v>1000</v>
      </c>
      <c r="Q1523" s="92"/>
      <c r="R1523" s="92">
        <v>1000</v>
      </c>
      <c r="S1523" s="92">
        <f t="shared" si="365"/>
        <v>0</v>
      </c>
      <c r="T1523" s="92">
        <f t="shared" si="362"/>
        <v>8640</v>
      </c>
      <c r="U1523" s="91">
        <f t="shared" si="363"/>
        <v>0</v>
      </c>
      <c r="V1523" s="91">
        <f t="shared" si="364"/>
        <v>0</v>
      </c>
      <c r="W1523" s="91">
        <v>0</v>
      </c>
      <c r="X1523" s="55">
        <f t="shared" si="357"/>
        <v>46153.550781249993</v>
      </c>
    </row>
    <row r="1524" spans="1:24" s="221" customFormat="1" hidden="1" x14ac:dyDescent="0.35">
      <c r="A1524" s="46">
        <f t="shared" si="358"/>
        <v>46153.550781249993</v>
      </c>
      <c r="B1524" s="46"/>
      <c r="C1524" s="260"/>
      <c r="D1524" s="46"/>
      <c r="E1524" s="47" t="s">
        <v>4395</v>
      </c>
      <c r="F1524" s="82" t="s">
        <v>5034</v>
      </c>
      <c r="G1524" s="82"/>
      <c r="H1524" s="98" t="s">
        <v>6242</v>
      </c>
      <c r="I1524" s="99" t="s">
        <v>6243</v>
      </c>
      <c r="J1524" s="51" t="s">
        <v>140</v>
      </c>
      <c r="K1524" s="91">
        <v>0</v>
      </c>
      <c r="L1524" s="91">
        <v>0</v>
      </c>
      <c r="M1524" s="92">
        <v>40</v>
      </c>
      <c r="N1524" s="92">
        <v>4000</v>
      </c>
      <c r="O1524" s="92">
        <v>2</v>
      </c>
      <c r="P1524" s="92">
        <f t="shared" si="366"/>
        <v>2000</v>
      </c>
      <c r="Q1524" s="92"/>
      <c r="R1524" s="92">
        <v>2000</v>
      </c>
      <c r="S1524" s="92">
        <f t="shared" si="365"/>
        <v>0</v>
      </c>
      <c r="T1524" s="92">
        <f t="shared" si="362"/>
        <v>4320</v>
      </c>
      <c r="U1524" s="91">
        <f t="shared" si="363"/>
        <v>0</v>
      </c>
      <c r="V1524" s="91">
        <f t="shared" si="364"/>
        <v>0</v>
      </c>
      <c r="W1524" s="91">
        <v>0</v>
      </c>
      <c r="X1524" s="55">
        <f t="shared" si="357"/>
        <v>46153.550781249993</v>
      </c>
    </row>
    <row r="1525" spans="1:24" s="89" customFormat="1" hidden="1" x14ac:dyDescent="0.35">
      <c r="A1525" s="46">
        <f t="shared" si="358"/>
        <v>46153.550781249993</v>
      </c>
      <c r="B1525" s="46"/>
      <c r="C1525" s="260"/>
      <c r="D1525" s="46"/>
      <c r="E1525" s="47" t="s">
        <v>4395</v>
      </c>
      <c r="F1525" s="82" t="s">
        <v>513</v>
      </c>
      <c r="G1525" s="82"/>
      <c r="H1525" s="98" t="s">
        <v>6244</v>
      </c>
      <c r="I1525" s="82" t="s">
        <v>5314</v>
      </c>
      <c r="J1525" s="100" t="s">
        <v>140</v>
      </c>
      <c r="K1525" s="91">
        <v>0</v>
      </c>
      <c r="L1525" s="91">
        <v>0</v>
      </c>
      <c r="M1525" s="92">
        <v>25</v>
      </c>
      <c r="N1525" s="92">
        <v>5000</v>
      </c>
      <c r="O1525" s="92">
        <v>8</v>
      </c>
      <c r="P1525" s="92">
        <f t="shared" si="366"/>
        <v>625</v>
      </c>
      <c r="Q1525" s="92"/>
      <c r="R1525" s="102">
        <v>625</v>
      </c>
      <c r="S1525" s="92">
        <f t="shared" si="365"/>
        <v>0</v>
      </c>
      <c r="T1525" s="102">
        <f t="shared" si="362"/>
        <v>27648</v>
      </c>
      <c r="U1525" s="101">
        <f t="shared" si="363"/>
        <v>0</v>
      </c>
      <c r="V1525" s="101">
        <f t="shared" si="364"/>
        <v>0</v>
      </c>
      <c r="W1525" s="101">
        <v>0</v>
      </c>
      <c r="X1525" s="55">
        <f t="shared" si="357"/>
        <v>46153.550781249993</v>
      </c>
    </row>
    <row r="1526" spans="1:24" s="221" customFormat="1" hidden="1" x14ac:dyDescent="0.35">
      <c r="A1526" s="46">
        <f t="shared" si="358"/>
        <v>46153.550781249993</v>
      </c>
      <c r="B1526" s="46"/>
      <c r="C1526" s="260"/>
      <c r="D1526" s="46"/>
      <c r="E1526" s="296" t="s">
        <v>4395</v>
      </c>
      <c r="F1526" s="397" t="s">
        <v>14</v>
      </c>
      <c r="G1526" s="397"/>
      <c r="H1526" s="398" t="s">
        <v>14</v>
      </c>
      <c r="I1526" s="366" t="s">
        <v>6245</v>
      </c>
      <c r="J1526" s="300" t="s">
        <v>140</v>
      </c>
      <c r="K1526" s="399">
        <v>0</v>
      </c>
      <c r="L1526" s="399">
        <v>0</v>
      </c>
      <c r="M1526" s="400">
        <v>35</v>
      </c>
      <c r="N1526" s="400">
        <v>50</v>
      </c>
      <c r="O1526" s="400">
        <v>4</v>
      </c>
      <c r="P1526" s="579">
        <f t="shared" si="366"/>
        <v>12.5</v>
      </c>
      <c r="Q1526" s="579"/>
      <c r="R1526" s="400">
        <v>13</v>
      </c>
      <c r="S1526" s="400">
        <f t="shared" si="365"/>
        <v>-0.5</v>
      </c>
      <c r="T1526" s="579">
        <f t="shared" si="362"/>
        <v>9874.2857142857138</v>
      </c>
      <c r="U1526" s="583">
        <f t="shared" si="363"/>
        <v>-4.8611111111111112E-3</v>
      </c>
      <c r="V1526" s="583">
        <f t="shared" si="364"/>
        <v>-2.0254629629629629E-4</v>
      </c>
      <c r="W1526" s="583">
        <v>0</v>
      </c>
      <c r="X1526" s="55">
        <f t="shared" si="357"/>
        <v>46153.550578703696</v>
      </c>
    </row>
    <row r="1527" spans="1:24" s="221" customFormat="1" hidden="1" x14ac:dyDescent="0.35">
      <c r="A1527" s="46">
        <f t="shared" si="358"/>
        <v>46153.550578703696</v>
      </c>
      <c r="B1527" s="46"/>
      <c r="C1527" s="260"/>
      <c r="D1527" s="46"/>
      <c r="E1527" s="47" t="s">
        <v>4395</v>
      </c>
      <c r="F1527" s="82" t="s">
        <v>6246</v>
      </c>
      <c r="G1527" s="82"/>
      <c r="H1527" s="98" t="s">
        <v>3477</v>
      </c>
      <c r="I1527" s="82" t="s">
        <v>3478</v>
      </c>
      <c r="J1527" s="100" t="s">
        <v>140</v>
      </c>
      <c r="K1527" s="91">
        <v>0</v>
      </c>
      <c r="L1527" s="91">
        <v>0</v>
      </c>
      <c r="M1527" s="92">
        <v>40</v>
      </c>
      <c r="N1527" s="92">
        <v>12000</v>
      </c>
      <c r="O1527" s="92">
        <v>2</v>
      </c>
      <c r="P1527" s="92">
        <f t="shared" si="366"/>
        <v>6000</v>
      </c>
      <c r="Q1527" s="92"/>
      <c r="R1527" s="92">
        <v>6000</v>
      </c>
      <c r="S1527" s="92">
        <f t="shared" si="365"/>
        <v>0</v>
      </c>
      <c r="T1527" s="102">
        <f t="shared" si="362"/>
        <v>4320</v>
      </c>
      <c r="U1527" s="101">
        <f t="shared" si="363"/>
        <v>0</v>
      </c>
      <c r="V1527" s="101">
        <f t="shared" si="364"/>
        <v>0</v>
      </c>
      <c r="W1527" s="101">
        <v>0</v>
      </c>
      <c r="X1527" s="55">
        <f t="shared" si="357"/>
        <v>46153.550578703696</v>
      </c>
    </row>
    <row r="1528" spans="1:24" hidden="1" x14ac:dyDescent="0.35">
      <c r="A1528" s="46">
        <f t="shared" si="358"/>
        <v>46153.550578703696</v>
      </c>
      <c r="B1528" s="46"/>
      <c r="C1528" s="260"/>
      <c r="D1528" s="46"/>
      <c r="E1528" s="47" t="s">
        <v>4395</v>
      </c>
      <c r="F1528" s="82" t="s">
        <v>6247</v>
      </c>
      <c r="G1528" s="82"/>
      <c r="H1528" s="98" t="s">
        <v>6248</v>
      </c>
      <c r="I1528" s="220" t="s">
        <v>6249</v>
      </c>
      <c r="J1528" s="100" t="s">
        <v>140</v>
      </c>
      <c r="K1528" s="91">
        <v>0</v>
      </c>
      <c r="L1528" s="91">
        <v>0</v>
      </c>
      <c r="M1528" s="92">
        <v>40</v>
      </c>
      <c r="N1528" s="92">
        <v>1500</v>
      </c>
      <c r="O1528" s="92">
        <v>1</v>
      </c>
      <c r="P1528" s="92">
        <f t="shared" si="366"/>
        <v>1500</v>
      </c>
      <c r="Q1528" s="92"/>
      <c r="R1528" s="92">
        <v>1500</v>
      </c>
      <c r="S1528" s="92">
        <f t="shared" si="365"/>
        <v>0</v>
      </c>
      <c r="T1528" s="102">
        <f t="shared" si="362"/>
        <v>2160</v>
      </c>
      <c r="U1528" s="101">
        <f t="shared" si="363"/>
        <v>0</v>
      </c>
      <c r="V1528" s="101">
        <f t="shared" si="364"/>
        <v>0</v>
      </c>
      <c r="W1528" s="101">
        <v>0</v>
      </c>
      <c r="X1528" s="55">
        <f t="shared" si="357"/>
        <v>46153.550578703696</v>
      </c>
    </row>
    <row r="1529" spans="1:24" hidden="1" x14ac:dyDescent="0.35">
      <c r="A1529" s="46">
        <f t="shared" si="358"/>
        <v>46153.550578703696</v>
      </c>
      <c r="B1529" s="46"/>
      <c r="C1529" s="260"/>
      <c r="D1529" s="46"/>
      <c r="E1529" s="47" t="s">
        <v>4395</v>
      </c>
      <c r="F1529" s="82" t="s">
        <v>6247</v>
      </c>
      <c r="G1529" s="82"/>
      <c r="H1529" s="98" t="s">
        <v>6250</v>
      </c>
      <c r="I1529" s="220" t="s">
        <v>6251</v>
      </c>
      <c r="J1529" s="100" t="s">
        <v>140</v>
      </c>
      <c r="K1529" s="91">
        <v>0</v>
      </c>
      <c r="L1529" s="91">
        <v>0</v>
      </c>
      <c r="M1529" s="92">
        <v>40</v>
      </c>
      <c r="N1529" s="92">
        <v>1500</v>
      </c>
      <c r="O1529" s="92">
        <v>1</v>
      </c>
      <c r="P1529" s="92">
        <f t="shared" si="366"/>
        <v>1500</v>
      </c>
      <c r="Q1529" s="92"/>
      <c r="R1529" s="92">
        <v>1500</v>
      </c>
      <c r="S1529" s="92">
        <f t="shared" si="365"/>
        <v>0</v>
      </c>
      <c r="T1529" s="102">
        <f t="shared" si="362"/>
        <v>2160</v>
      </c>
      <c r="U1529" s="101">
        <f t="shared" si="363"/>
        <v>0</v>
      </c>
      <c r="V1529" s="101">
        <f t="shared" si="364"/>
        <v>0</v>
      </c>
      <c r="W1529" s="101">
        <v>0</v>
      </c>
      <c r="X1529" s="55">
        <f t="shared" si="357"/>
        <v>46153.550578703696</v>
      </c>
    </row>
    <row r="1530" spans="1:24" s="221" customFormat="1" hidden="1" x14ac:dyDescent="0.35">
      <c r="A1530" s="46">
        <f t="shared" si="358"/>
        <v>46153.550578703696</v>
      </c>
      <c r="B1530" s="46"/>
      <c r="C1530" s="260"/>
      <c r="D1530" s="46"/>
      <c r="E1530" s="47" t="s">
        <v>4395</v>
      </c>
      <c r="F1530" s="57" t="s">
        <v>6252</v>
      </c>
      <c r="G1530" s="57"/>
      <c r="H1530" s="49" t="s">
        <v>6253</v>
      </c>
      <c r="I1530" s="69" t="s">
        <v>6205</v>
      </c>
      <c r="J1530" s="51" t="s">
        <v>140</v>
      </c>
      <c r="K1530" s="52">
        <v>0</v>
      </c>
      <c r="L1530" s="52">
        <v>0</v>
      </c>
      <c r="M1530" s="53">
        <v>25</v>
      </c>
      <c r="N1530" s="53">
        <v>2500</v>
      </c>
      <c r="O1530" s="53">
        <v>1</v>
      </c>
      <c r="P1530" s="53">
        <f t="shared" si="366"/>
        <v>2500</v>
      </c>
      <c r="Q1530" s="53"/>
      <c r="R1530" s="53">
        <v>2500</v>
      </c>
      <c r="S1530" s="53">
        <f t="shared" si="365"/>
        <v>0</v>
      </c>
      <c r="T1530" s="53">
        <f t="shared" si="362"/>
        <v>3456</v>
      </c>
      <c r="U1530" s="52">
        <f t="shared" si="363"/>
        <v>0</v>
      </c>
      <c r="V1530" s="52">
        <f t="shared" si="364"/>
        <v>0</v>
      </c>
      <c r="W1530" s="52">
        <v>0</v>
      </c>
      <c r="X1530" s="55">
        <f t="shared" si="357"/>
        <v>46153.550578703696</v>
      </c>
    </row>
    <row r="1531" spans="1:24" s="221" customFormat="1" hidden="1" x14ac:dyDescent="0.35">
      <c r="A1531" s="46">
        <f t="shared" si="358"/>
        <v>46153.550578703696</v>
      </c>
      <c r="B1531" s="46"/>
      <c r="C1531" s="260"/>
      <c r="D1531" s="46"/>
      <c r="E1531" s="296" t="s">
        <v>249</v>
      </c>
      <c r="F1531" s="297" t="s">
        <v>14</v>
      </c>
      <c r="G1531" s="297"/>
      <c r="H1531" s="349" t="s">
        <v>14</v>
      </c>
      <c r="I1531" s="297"/>
      <c r="J1531" s="351" t="s">
        <v>140</v>
      </c>
      <c r="K1531" s="399">
        <v>0</v>
      </c>
      <c r="L1531" s="399">
        <v>0</v>
      </c>
      <c r="M1531" s="400">
        <v>90</v>
      </c>
      <c r="N1531" s="400">
        <v>50</v>
      </c>
      <c r="O1531" s="400">
        <v>1</v>
      </c>
      <c r="P1531" s="400">
        <f t="shared" si="366"/>
        <v>50</v>
      </c>
      <c r="Q1531" s="400"/>
      <c r="R1531" s="400">
        <v>50</v>
      </c>
      <c r="S1531" s="400">
        <f t="shared" si="365"/>
        <v>0</v>
      </c>
      <c r="T1531" s="400">
        <f t="shared" si="362"/>
        <v>960</v>
      </c>
      <c r="U1531" s="399">
        <f t="shared" si="363"/>
        <v>0</v>
      </c>
      <c r="V1531" s="399">
        <f t="shared" si="364"/>
        <v>0</v>
      </c>
      <c r="W1531" s="399">
        <v>0</v>
      </c>
      <c r="X1531" s="55">
        <f t="shared" si="357"/>
        <v>46153.550578703696</v>
      </c>
    </row>
    <row r="1532" spans="1:24" hidden="1" x14ac:dyDescent="0.35">
      <c r="A1532" s="46">
        <f t="shared" si="358"/>
        <v>46153.550578703696</v>
      </c>
      <c r="B1532" s="46"/>
      <c r="C1532" s="260"/>
      <c r="D1532" s="46"/>
      <c r="E1532" s="1056" t="s">
        <v>4395</v>
      </c>
      <c r="F1532" s="57" t="s">
        <v>6252</v>
      </c>
      <c r="G1532" s="57"/>
      <c r="H1532" s="49" t="s">
        <v>6254</v>
      </c>
      <c r="I1532" s="69" t="s">
        <v>4844</v>
      </c>
      <c r="J1532" s="100" t="s">
        <v>140</v>
      </c>
      <c r="K1532" s="52">
        <v>0</v>
      </c>
      <c r="L1532" s="52">
        <v>0</v>
      </c>
      <c r="M1532" s="53">
        <v>25</v>
      </c>
      <c r="N1532" s="53">
        <v>2500</v>
      </c>
      <c r="O1532" s="53">
        <v>1</v>
      </c>
      <c r="P1532" s="53">
        <f t="shared" si="366"/>
        <v>2500</v>
      </c>
      <c r="Q1532" s="53"/>
      <c r="R1532" s="83">
        <v>2500</v>
      </c>
      <c r="S1532" s="53">
        <f t="shared" si="365"/>
        <v>0</v>
      </c>
      <c r="T1532" s="83">
        <f t="shared" si="362"/>
        <v>3456</v>
      </c>
      <c r="U1532" s="84">
        <f t="shared" si="363"/>
        <v>0</v>
      </c>
      <c r="V1532" s="84">
        <f t="shared" si="364"/>
        <v>0</v>
      </c>
      <c r="W1532" s="84">
        <v>0</v>
      </c>
      <c r="X1532" s="55">
        <f t="shared" si="357"/>
        <v>46153.550578703696</v>
      </c>
    </row>
    <row r="1533" spans="1:24" hidden="1" x14ac:dyDescent="0.35">
      <c r="A1533" s="46">
        <f t="shared" si="358"/>
        <v>46153.550578703696</v>
      </c>
      <c r="B1533" s="46"/>
      <c r="C1533" s="260"/>
      <c r="D1533" s="46"/>
      <c r="E1533" s="296" t="s">
        <v>4897</v>
      </c>
      <c r="F1533" s="577" t="s">
        <v>1321</v>
      </c>
      <c r="G1533" s="577"/>
      <c r="H1533" s="398" t="s">
        <v>1321</v>
      </c>
      <c r="I1533" s="297" t="s">
        <v>5021</v>
      </c>
      <c r="J1533" s="300"/>
      <c r="K1533" s="399">
        <v>0</v>
      </c>
      <c r="L1533" s="399">
        <v>0</v>
      </c>
      <c r="M1533" s="400">
        <v>35</v>
      </c>
      <c r="N1533" s="400">
        <v>1000</v>
      </c>
      <c r="O1533" s="400">
        <v>4</v>
      </c>
      <c r="P1533" s="400">
        <f t="shared" si="366"/>
        <v>250</v>
      </c>
      <c r="Q1533" s="400"/>
      <c r="R1533" s="400">
        <v>250</v>
      </c>
      <c r="S1533" s="400">
        <f t="shared" si="365"/>
        <v>0</v>
      </c>
      <c r="T1533" s="579">
        <f t="shared" si="362"/>
        <v>9874.2857142857138</v>
      </c>
      <c r="U1533" s="583">
        <f t="shared" si="363"/>
        <v>0</v>
      </c>
      <c r="V1533" s="583">
        <f t="shared" si="364"/>
        <v>0</v>
      </c>
      <c r="W1533" s="583">
        <v>0</v>
      </c>
      <c r="X1533" s="55">
        <f t="shared" si="357"/>
        <v>46153.550578703696</v>
      </c>
    </row>
    <row r="1534" spans="1:24" s="221" customFormat="1" ht="26.5" hidden="1" x14ac:dyDescent="0.35">
      <c r="A1534" s="46">
        <f t="shared" si="358"/>
        <v>46153.550578703696</v>
      </c>
      <c r="B1534" s="46"/>
      <c r="C1534" s="260"/>
      <c r="D1534" s="46"/>
      <c r="E1534" s="1056" t="s">
        <v>4395</v>
      </c>
      <c r="F1534" s="57" t="s">
        <v>6036</v>
      </c>
      <c r="G1534" s="57"/>
      <c r="H1534" s="49" t="s">
        <v>6255</v>
      </c>
      <c r="I1534" s="82" t="s">
        <v>4425</v>
      </c>
      <c r="J1534" s="100" t="s">
        <v>140</v>
      </c>
      <c r="K1534" s="52">
        <v>0</v>
      </c>
      <c r="L1534" s="52">
        <v>0</v>
      </c>
      <c r="M1534" s="53">
        <v>45</v>
      </c>
      <c r="N1534" s="53">
        <v>1500</v>
      </c>
      <c r="O1534" s="53">
        <v>1</v>
      </c>
      <c r="P1534" s="53">
        <v>1500</v>
      </c>
      <c r="Q1534" s="53"/>
      <c r="R1534" s="53">
        <v>1500</v>
      </c>
      <c r="S1534" s="53">
        <f t="shared" si="365"/>
        <v>0</v>
      </c>
      <c r="T1534" s="83">
        <f t="shared" si="362"/>
        <v>1920</v>
      </c>
      <c r="U1534" s="84">
        <f t="shared" si="363"/>
        <v>0</v>
      </c>
      <c r="V1534" s="84">
        <f t="shared" si="364"/>
        <v>0</v>
      </c>
      <c r="W1534" s="84">
        <v>0</v>
      </c>
      <c r="X1534" s="55">
        <f t="shared" si="357"/>
        <v>46153.550578703696</v>
      </c>
    </row>
    <row r="1535" spans="1:24" s="221" customFormat="1" hidden="1" x14ac:dyDescent="0.35">
      <c r="A1535" s="46">
        <f t="shared" si="358"/>
        <v>46153.550578703696</v>
      </c>
      <c r="B1535" s="46"/>
      <c r="C1535" s="260"/>
      <c r="D1535" s="46"/>
      <c r="E1535" s="47" t="s">
        <v>4395</v>
      </c>
      <c r="F1535" s="57"/>
      <c r="G1535" s="57"/>
      <c r="H1535" s="49" t="s">
        <v>6256</v>
      </c>
      <c r="I1535" s="82" t="s">
        <v>6257</v>
      </c>
      <c r="J1535" s="51" t="s">
        <v>140</v>
      </c>
      <c r="K1535" s="52">
        <v>0</v>
      </c>
      <c r="L1535" s="52">
        <v>0</v>
      </c>
      <c r="M1535" s="53">
        <v>40</v>
      </c>
      <c r="N1535" s="53">
        <v>2500</v>
      </c>
      <c r="O1535" s="53">
        <v>1</v>
      </c>
      <c r="P1535" s="53">
        <f t="shared" ref="P1535:P1594" si="367">N1535/O1535</f>
        <v>2500</v>
      </c>
      <c r="Q1535" s="53"/>
      <c r="R1535" s="53">
        <v>2500</v>
      </c>
      <c r="S1535" s="53">
        <f t="shared" si="365"/>
        <v>0</v>
      </c>
      <c r="T1535" s="53">
        <f t="shared" si="362"/>
        <v>2160</v>
      </c>
      <c r="U1535" s="52">
        <f t="shared" si="363"/>
        <v>0</v>
      </c>
      <c r="V1535" s="52">
        <f t="shared" si="364"/>
        <v>0</v>
      </c>
      <c r="W1535" s="52">
        <v>0</v>
      </c>
      <c r="X1535" s="55">
        <f t="shared" si="357"/>
        <v>46153.550578703696</v>
      </c>
    </row>
    <row r="1536" spans="1:24" s="221" customFormat="1" hidden="1" x14ac:dyDescent="0.35">
      <c r="A1536" s="46">
        <f t="shared" si="358"/>
        <v>46153.550578703696</v>
      </c>
      <c r="B1536" s="46"/>
      <c r="C1536" s="260"/>
      <c r="D1536" s="46"/>
      <c r="E1536" s="47" t="s">
        <v>4395</v>
      </c>
      <c r="F1536" s="97" t="s">
        <v>6258</v>
      </c>
      <c r="G1536" s="97"/>
      <c r="H1536" s="98" t="s">
        <v>6259</v>
      </c>
      <c r="I1536" s="82" t="s">
        <v>4450</v>
      </c>
      <c r="J1536" s="51" t="s">
        <v>140</v>
      </c>
      <c r="K1536" s="91">
        <v>0</v>
      </c>
      <c r="L1536" s="91">
        <v>0</v>
      </c>
      <c r="M1536" s="92">
        <v>40</v>
      </c>
      <c r="N1536" s="92">
        <v>5000</v>
      </c>
      <c r="O1536" s="92">
        <v>3</v>
      </c>
      <c r="P1536" s="92">
        <f t="shared" si="367"/>
        <v>1666.6666666666667</v>
      </c>
      <c r="Q1536" s="92"/>
      <c r="R1536" s="92">
        <v>1667</v>
      </c>
      <c r="S1536" s="92">
        <f t="shared" si="365"/>
        <v>-0.33333333333325754</v>
      </c>
      <c r="T1536" s="92">
        <f t="shared" si="362"/>
        <v>6480</v>
      </c>
      <c r="U1536" s="91">
        <f t="shared" si="363"/>
        <v>-3.7037037037028616E-3</v>
      </c>
      <c r="V1536" s="91">
        <f t="shared" si="364"/>
        <v>-1.5432098765428591E-4</v>
      </c>
      <c r="W1536" s="91">
        <v>0</v>
      </c>
      <c r="X1536" s="55">
        <f t="shared" si="357"/>
        <v>46153.550424382709</v>
      </c>
    </row>
    <row r="1537" spans="1:24" s="221" customFormat="1" hidden="1" x14ac:dyDescent="0.35">
      <c r="A1537" s="46">
        <f t="shared" si="358"/>
        <v>46153.550424382709</v>
      </c>
      <c r="B1537" s="46"/>
      <c r="C1537" s="260"/>
      <c r="D1537" s="46"/>
      <c r="E1537" s="47" t="s">
        <v>4395</v>
      </c>
      <c r="F1537" s="97" t="s">
        <v>6260</v>
      </c>
      <c r="G1537" s="97"/>
      <c r="H1537" s="98" t="s">
        <v>6261</v>
      </c>
      <c r="I1537" s="82" t="s">
        <v>6262</v>
      </c>
      <c r="J1537" s="51" t="s">
        <v>140</v>
      </c>
      <c r="K1537" s="91">
        <v>0</v>
      </c>
      <c r="L1537" s="91">
        <v>0</v>
      </c>
      <c r="M1537" s="92">
        <v>36</v>
      </c>
      <c r="N1537" s="92">
        <v>1000</v>
      </c>
      <c r="O1537" s="92">
        <v>2</v>
      </c>
      <c r="P1537" s="92">
        <f t="shared" si="367"/>
        <v>500</v>
      </c>
      <c r="Q1537" s="92"/>
      <c r="R1537" s="92">
        <v>500</v>
      </c>
      <c r="S1537" s="92">
        <f t="shared" si="365"/>
        <v>0</v>
      </c>
      <c r="T1537" s="92">
        <f t="shared" si="362"/>
        <v>4800</v>
      </c>
      <c r="U1537" s="91">
        <f t="shared" si="363"/>
        <v>0</v>
      </c>
      <c r="V1537" s="91">
        <f t="shared" si="364"/>
        <v>0</v>
      </c>
      <c r="W1537" s="91">
        <v>0</v>
      </c>
      <c r="X1537" s="55">
        <f t="shared" si="357"/>
        <v>46153.550424382709</v>
      </c>
    </row>
    <row r="1538" spans="1:24" s="221" customFormat="1" hidden="1" x14ac:dyDescent="0.35">
      <c r="A1538" s="46">
        <f t="shared" si="358"/>
        <v>46153.550424382709</v>
      </c>
      <c r="B1538" s="46"/>
      <c r="C1538" s="260"/>
      <c r="D1538" s="46"/>
      <c r="E1538" s="47" t="s">
        <v>4395</v>
      </c>
      <c r="F1538" s="97" t="s">
        <v>4573</v>
      </c>
      <c r="G1538" s="97"/>
      <c r="H1538" s="98" t="s">
        <v>6263</v>
      </c>
      <c r="I1538" s="82" t="s">
        <v>4434</v>
      </c>
      <c r="J1538" s="51" t="s">
        <v>140</v>
      </c>
      <c r="K1538" s="91">
        <v>0</v>
      </c>
      <c r="L1538" s="91">
        <v>0</v>
      </c>
      <c r="M1538" s="92">
        <v>60</v>
      </c>
      <c r="N1538" s="92">
        <v>2000</v>
      </c>
      <c r="O1538" s="92">
        <v>2</v>
      </c>
      <c r="P1538" s="92">
        <f t="shared" si="367"/>
        <v>1000</v>
      </c>
      <c r="Q1538" s="92"/>
      <c r="R1538" s="92">
        <v>1000</v>
      </c>
      <c r="S1538" s="92">
        <f t="shared" si="365"/>
        <v>0</v>
      </c>
      <c r="T1538" s="92">
        <f t="shared" si="362"/>
        <v>2880</v>
      </c>
      <c r="U1538" s="91">
        <f t="shared" si="363"/>
        <v>0</v>
      </c>
      <c r="V1538" s="91">
        <f t="shared" si="364"/>
        <v>0</v>
      </c>
      <c r="W1538" s="91">
        <v>0</v>
      </c>
      <c r="X1538" s="55">
        <f t="shared" si="357"/>
        <v>46153.550424382709</v>
      </c>
    </row>
    <row r="1539" spans="1:24" s="221" customFormat="1" hidden="1" x14ac:dyDescent="0.35">
      <c r="A1539" s="46">
        <f t="shared" si="358"/>
        <v>46153.550424382709</v>
      </c>
      <c r="B1539" s="46"/>
      <c r="C1539" s="260"/>
      <c r="D1539" s="46"/>
      <c r="E1539" s="296" t="s">
        <v>4395</v>
      </c>
      <c r="F1539" s="366" t="s">
        <v>14</v>
      </c>
      <c r="G1539" s="366"/>
      <c r="H1539" s="366" t="s">
        <v>14</v>
      </c>
      <c r="I1539" s="366" t="s">
        <v>6264</v>
      </c>
      <c r="J1539" s="300" t="s">
        <v>140</v>
      </c>
      <c r="K1539" s="352">
        <v>0</v>
      </c>
      <c r="L1539" s="352">
        <v>0</v>
      </c>
      <c r="M1539" s="353">
        <v>40</v>
      </c>
      <c r="N1539" s="353">
        <v>400</v>
      </c>
      <c r="O1539" s="353">
        <v>4</v>
      </c>
      <c r="P1539" s="302">
        <f t="shared" si="367"/>
        <v>100</v>
      </c>
      <c r="Q1539" s="302"/>
      <c r="R1539" s="353">
        <v>100</v>
      </c>
      <c r="S1539" s="353">
        <f t="shared" si="365"/>
        <v>0</v>
      </c>
      <c r="T1539" s="302">
        <f t="shared" si="362"/>
        <v>8640</v>
      </c>
      <c r="U1539" s="301">
        <f t="shared" si="363"/>
        <v>0</v>
      </c>
      <c r="V1539" s="301">
        <f t="shared" si="364"/>
        <v>0</v>
      </c>
      <c r="W1539" s="301">
        <v>0</v>
      </c>
      <c r="X1539" s="55">
        <f t="shared" si="357"/>
        <v>46153.550424382709</v>
      </c>
    </row>
    <row r="1540" spans="1:24" s="221" customFormat="1" hidden="1" x14ac:dyDescent="0.35">
      <c r="A1540" s="46">
        <f t="shared" si="358"/>
        <v>46153.550424382709</v>
      </c>
      <c r="B1540" s="46"/>
      <c r="C1540" s="260"/>
      <c r="D1540" s="46"/>
      <c r="E1540" s="47" t="s">
        <v>4395</v>
      </c>
      <c r="F1540" s="97" t="s">
        <v>220</v>
      </c>
      <c r="G1540" s="97"/>
      <c r="H1540" s="59" t="s">
        <v>6265</v>
      </c>
      <c r="I1540" s="82" t="s">
        <v>4907</v>
      </c>
      <c r="J1540" s="100" t="s">
        <v>140</v>
      </c>
      <c r="K1540" s="52">
        <v>0</v>
      </c>
      <c r="L1540" s="52">
        <v>0</v>
      </c>
      <c r="M1540" s="53">
        <v>45</v>
      </c>
      <c r="N1540" s="53">
        <v>10000</v>
      </c>
      <c r="O1540" s="53">
        <v>1</v>
      </c>
      <c r="P1540" s="53">
        <f t="shared" si="367"/>
        <v>10000</v>
      </c>
      <c r="Q1540" s="53"/>
      <c r="R1540" s="53">
        <v>10000</v>
      </c>
      <c r="S1540" s="53">
        <f t="shared" si="365"/>
        <v>0</v>
      </c>
      <c r="T1540" s="83">
        <f t="shared" si="362"/>
        <v>1920</v>
      </c>
      <c r="U1540" s="84">
        <f t="shared" si="363"/>
        <v>0</v>
      </c>
      <c r="V1540" s="84">
        <f t="shared" si="364"/>
        <v>0</v>
      </c>
      <c r="W1540" s="84">
        <v>0</v>
      </c>
      <c r="X1540" s="55">
        <f t="shared" si="357"/>
        <v>46153.550424382709</v>
      </c>
    </row>
    <row r="1541" spans="1:24" s="221" customFormat="1" hidden="1" x14ac:dyDescent="0.35">
      <c r="A1541" s="46">
        <f t="shared" si="358"/>
        <v>46153.550424382709</v>
      </c>
      <c r="B1541" s="46"/>
      <c r="C1541" s="260"/>
      <c r="D1541" s="46"/>
      <c r="E1541" s="47" t="s">
        <v>1872</v>
      </c>
      <c r="F1541" s="82" t="s">
        <v>5034</v>
      </c>
      <c r="G1541" s="82"/>
      <c r="H1541" s="98" t="s">
        <v>6266</v>
      </c>
      <c r="I1541" s="99" t="s">
        <v>5502</v>
      </c>
      <c r="J1541" s="51" t="s">
        <v>140</v>
      </c>
      <c r="K1541" s="91">
        <v>0</v>
      </c>
      <c r="L1541" s="91">
        <v>0</v>
      </c>
      <c r="M1541" s="92">
        <v>40</v>
      </c>
      <c r="N1541" s="92">
        <v>5000</v>
      </c>
      <c r="O1541" s="92">
        <v>4</v>
      </c>
      <c r="P1541" s="92">
        <f t="shared" si="367"/>
        <v>1250</v>
      </c>
      <c r="Q1541" s="92"/>
      <c r="R1541" s="92">
        <v>1250</v>
      </c>
      <c r="S1541" s="92">
        <f t="shared" si="365"/>
        <v>0</v>
      </c>
      <c r="T1541" s="92">
        <f t="shared" si="362"/>
        <v>8640</v>
      </c>
      <c r="U1541" s="91">
        <f t="shared" si="363"/>
        <v>0</v>
      </c>
      <c r="V1541" s="91">
        <f t="shared" si="364"/>
        <v>0</v>
      </c>
      <c r="W1541" s="91">
        <v>0</v>
      </c>
      <c r="X1541" s="55">
        <f t="shared" si="357"/>
        <v>46153.550424382709</v>
      </c>
    </row>
    <row r="1542" spans="1:24" s="221" customFormat="1" hidden="1" x14ac:dyDescent="0.35">
      <c r="A1542" s="46">
        <f t="shared" si="358"/>
        <v>46153.550424382709</v>
      </c>
      <c r="B1542" s="46"/>
      <c r="C1542" s="260"/>
      <c r="D1542" s="46"/>
      <c r="E1542" s="47" t="s">
        <v>4395</v>
      </c>
      <c r="F1542" s="82" t="s">
        <v>6267</v>
      </c>
      <c r="G1542" s="82"/>
      <c r="H1542" s="98" t="s">
        <v>6268</v>
      </c>
      <c r="I1542" s="99" t="s">
        <v>5012</v>
      </c>
      <c r="J1542" s="51" t="s">
        <v>140</v>
      </c>
      <c r="K1542" s="91">
        <v>0</v>
      </c>
      <c r="L1542" s="91">
        <v>0</v>
      </c>
      <c r="M1542" s="92">
        <v>40</v>
      </c>
      <c r="N1542" s="92">
        <v>5000</v>
      </c>
      <c r="O1542" s="92">
        <v>2</v>
      </c>
      <c r="P1542" s="92">
        <f t="shared" si="367"/>
        <v>2500</v>
      </c>
      <c r="Q1542" s="92"/>
      <c r="R1542" s="92">
        <v>2500</v>
      </c>
      <c r="S1542" s="92">
        <f t="shared" si="365"/>
        <v>0</v>
      </c>
      <c r="T1542" s="92">
        <f t="shared" si="362"/>
        <v>4320</v>
      </c>
      <c r="U1542" s="91">
        <f t="shared" si="363"/>
        <v>0</v>
      </c>
      <c r="V1542" s="91">
        <f t="shared" si="364"/>
        <v>0</v>
      </c>
      <c r="W1542" s="91">
        <v>0</v>
      </c>
      <c r="X1542" s="55">
        <f t="shared" si="357"/>
        <v>46153.550424382709</v>
      </c>
    </row>
    <row r="1543" spans="1:24" s="221" customFormat="1" ht="26.5" hidden="1" x14ac:dyDescent="0.35">
      <c r="A1543" s="46">
        <f t="shared" si="358"/>
        <v>46153.550424382709</v>
      </c>
      <c r="B1543" s="46"/>
      <c r="C1543" s="260"/>
      <c r="D1543" s="46"/>
      <c r="E1543" s="47" t="s">
        <v>4395</v>
      </c>
      <c r="F1543" s="82" t="s">
        <v>6267</v>
      </c>
      <c r="G1543" s="82"/>
      <c r="H1543" s="49" t="s">
        <v>6269</v>
      </c>
      <c r="I1543" s="316" t="s">
        <v>5042</v>
      </c>
      <c r="J1543" s="51"/>
      <c r="K1543" s="52">
        <v>0</v>
      </c>
      <c r="L1543" s="52">
        <v>0</v>
      </c>
      <c r="M1543" s="53">
        <v>70</v>
      </c>
      <c r="N1543" s="53">
        <v>9000</v>
      </c>
      <c r="O1543" s="53">
        <v>1</v>
      </c>
      <c r="P1543" s="53">
        <f t="shared" si="367"/>
        <v>9000</v>
      </c>
      <c r="Q1543" s="53"/>
      <c r="R1543" s="53">
        <v>9000</v>
      </c>
      <c r="S1543" s="53">
        <f t="shared" si="365"/>
        <v>0</v>
      </c>
      <c r="T1543" s="53">
        <f t="shared" si="362"/>
        <v>1234.2857142857142</v>
      </c>
      <c r="U1543" s="52">
        <f t="shared" si="363"/>
        <v>0</v>
      </c>
      <c r="V1543" s="52">
        <f t="shared" si="364"/>
        <v>0</v>
      </c>
      <c r="W1543" s="52">
        <v>0</v>
      </c>
      <c r="X1543" s="55">
        <f t="shared" ref="X1543:X1575" si="368">A1543+K1543+V1543+W1543+L1543</f>
        <v>46153.550424382709</v>
      </c>
    </row>
    <row r="1544" spans="1:24" hidden="1" x14ac:dyDescent="0.35">
      <c r="A1544" s="46">
        <f t="shared" ref="A1544:A1580" si="369">X1543</f>
        <v>46153.550424382709</v>
      </c>
      <c r="B1544" s="46"/>
      <c r="C1544" s="260"/>
      <c r="D1544" s="46"/>
      <c r="E1544" s="47" t="s">
        <v>4395</v>
      </c>
      <c r="F1544" s="97" t="s">
        <v>6270</v>
      </c>
      <c r="G1544" s="97"/>
      <c r="H1544" s="98" t="s">
        <v>6271</v>
      </c>
      <c r="I1544" s="82" t="s">
        <v>4438</v>
      </c>
      <c r="J1544" s="100" t="s">
        <v>140</v>
      </c>
      <c r="K1544" s="91">
        <v>0</v>
      </c>
      <c r="L1544" s="91">
        <v>0</v>
      </c>
      <c r="M1544" s="92">
        <v>73</v>
      </c>
      <c r="N1544" s="92">
        <v>1000</v>
      </c>
      <c r="O1544" s="92">
        <v>1</v>
      </c>
      <c r="P1544" s="92">
        <f t="shared" si="367"/>
        <v>1000</v>
      </c>
      <c r="Q1544" s="92"/>
      <c r="R1544" s="92">
        <v>1000</v>
      </c>
      <c r="S1544" s="92">
        <f t="shared" si="365"/>
        <v>0</v>
      </c>
      <c r="T1544" s="102">
        <f t="shared" si="362"/>
        <v>1183.5616438356165</v>
      </c>
      <c r="U1544" s="101">
        <f t="shared" si="363"/>
        <v>0</v>
      </c>
      <c r="V1544" s="101">
        <f t="shared" si="364"/>
        <v>0</v>
      </c>
      <c r="W1544" s="101">
        <v>0</v>
      </c>
      <c r="X1544" s="55">
        <f t="shared" si="368"/>
        <v>46153.550424382709</v>
      </c>
    </row>
    <row r="1545" spans="1:24" hidden="1" x14ac:dyDescent="0.35">
      <c r="A1545" s="46">
        <f t="shared" si="369"/>
        <v>46153.550424382709</v>
      </c>
      <c r="B1545" s="46"/>
      <c r="C1545" s="260"/>
      <c r="D1545" s="46"/>
      <c r="E1545" s="47" t="s">
        <v>4395</v>
      </c>
      <c r="F1545" s="57" t="s">
        <v>4898</v>
      </c>
      <c r="G1545" s="57"/>
      <c r="H1545" s="49" t="s">
        <v>6272</v>
      </c>
      <c r="I1545" s="69" t="s">
        <v>4900</v>
      </c>
      <c r="J1545" s="51" t="s">
        <v>140</v>
      </c>
      <c r="K1545" s="52">
        <v>0</v>
      </c>
      <c r="L1545" s="52">
        <v>0</v>
      </c>
      <c r="M1545" s="53">
        <v>25</v>
      </c>
      <c r="N1545" s="53">
        <v>24000</v>
      </c>
      <c r="O1545" s="53">
        <v>1</v>
      </c>
      <c r="P1545" s="53">
        <f t="shared" si="367"/>
        <v>24000</v>
      </c>
      <c r="Q1545" s="53"/>
      <c r="R1545" s="53">
        <v>24000</v>
      </c>
      <c r="S1545" s="53">
        <f t="shared" si="365"/>
        <v>0</v>
      </c>
      <c r="T1545" s="53">
        <f t="shared" si="362"/>
        <v>3456</v>
      </c>
      <c r="U1545" s="52">
        <f t="shared" si="363"/>
        <v>0</v>
      </c>
      <c r="V1545" s="52">
        <f t="shared" si="364"/>
        <v>0</v>
      </c>
      <c r="W1545" s="52">
        <v>0</v>
      </c>
      <c r="X1545" s="55">
        <f t="shared" si="368"/>
        <v>46153.550424382709</v>
      </c>
    </row>
    <row r="1546" spans="1:24" s="221" customFormat="1" hidden="1" x14ac:dyDescent="0.35">
      <c r="A1546" s="46">
        <f t="shared" si="369"/>
        <v>46153.550424382709</v>
      </c>
      <c r="B1546" s="46"/>
      <c r="C1546" s="260"/>
      <c r="D1546" s="46"/>
      <c r="E1546" s="47" t="s">
        <v>4395</v>
      </c>
      <c r="F1546" s="57" t="s">
        <v>4898</v>
      </c>
      <c r="G1546" s="57"/>
      <c r="H1546" s="49" t="s">
        <v>6273</v>
      </c>
      <c r="I1546" s="69" t="s">
        <v>4844</v>
      </c>
      <c r="J1546" s="51" t="s">
        <v>140</v>
      </c>
      <c r="K1546" s="52">
        <v>0</v>
      </c>
      <c r="L1546" s="52">
        <v>0</v>
      </c>
      <c r="M1546" s="53">
        <v>25</v>
      </c>
      <c r="N1546" s="53">
        <v>24000</v>
      </c>
      <c r="O1546" s="53">
        <v>1</v>
      </c>
      <c r="P1546" s="53">
        <f t="shared" si="367"/>
        <v>24000</v>
      </c>
      <c r="Q1546" s="53"/>
      <c r="R1546" s="53">
        <v>24000</v>
      </c>
      <c r="S1546" s="53">
        <f t="shared" si="365"/>
        <v>0</v>
      </c>
      <c r="T1546" s="53">
        <f t="shared" si="362"/>
        <v>3456</v>
      </c>
      <c r="U1546" s="52">
        <f t="shared" si="363"/>
        <v>0</v>
      </c>
      <c r="V1546" s="52">
        <f t="shared" si="364"/>
        <v>0</v>
      </c>
      <c r="W1546" s="52">
        <v>0</v>
      </c>
      <c r="X1546" s="55">
        <f t="shared" si="368"/>
        <v>46153.550424382709</v>
      </c>
    </row>
    <row r="1547" spans="1:24" s="221" customFormat="1" hidden="1" x14ac:dyDescent="0.35">
      <c r="A1547" s="46">
        <f t="shared" si="369"/>
        <v>46153.550424382709</v>
      </c>
      <c r="B1547" s="46"/>
      <c r="C1547" s="260"/>
      <c r="D1547" s="46"/>
      <c r="E1547" s="47" t="s">
        <v>4395</v>
      </c>
      <c r="F1547" s="82" t="s">
        <v>6274</v>
      </c>
      <c r="G1547" s="82"/>
      <c r="H1547" s="98" t="s">
        <v>6275</v>
      </c>
      <c r="I1547" s="99" t="s">
        <v>5502</v>
      </c>
      <c r="J1547" s="51" t="s">
        <v>140</v>
      </c>
      <c r="K1547" s="91">
        <v>0</v>
      </c>
      <c r="L1547" s="91">
        <v>0</v>
      </c>
      <c r="M1547" s="92">
        <v>40</v>
      </c>
      <c r="N1547" s="92">
        <v>5000</v>
      </c>
      <c r="O1547" s="92">
        <v>4</v>
      </c>
      <c r="P1547" s="92">
        <f t="shared" si="367"/>
        <v>1250</v>
      </c>
      <c r="Q1547" s="92"/>
      <c r="R1547" s="92">
        <v>1250</v>
      </c>
      <c r="S1547" s="92">
        <f t="shared" si="365"/>
        <v>0</v>
      </c>
      <c r="T1547" s="92">
        <f t="shared" si="362"/>
        <v>8640</v>
      </c>
      <c r="U1547" s="91">
        <f t="shared" si="363"/>
        <v>0</v>
      </c>
      <c r="V1547" s="91">
        <f t="shared" si="364"/>
        <v>0</v>
      </c>
      <c r="W1547" s="91">
        <v>0</v>
      </c>
      <c r="X1547" s="55">
        <f t="shared" si="368"/>
        <v>46153.550424382709</v>
      </c>
    </row>
    <row r="1548" spans="1:24" s="221" customFormat="1" hidden="1" x14ac:dyDescent="0.35">
      <c r="A1548" s="46">
        <f t="shared" si="369"/>
        <v>46153.550424382709</v>
      </c>
      <c r="B1548" s="46"/>
      <c r="C1548" s="260"/>
      <c r="D1548" s="46"/>
      <c r="E1548" s="47" t="s">
        <v>4395</v>
      </c>
      <c r="F1548" s="82" t="s">
        <v>6274</v>
      </c>
      <c r="G1548" s="82"/>
      <c r="H1548" s="98" t="s">
        <v>6276</v>
      </c>
      <c r="I1548" s="71" t="s">
        <v>5012</v>
      </c>
      <c r="J1548" s="100" t="s">
        <v>140</v>
      </c>
      <c r="K1548" s="91">
        <v>0</v>
      </c>
      <c r="L1548" s="91">
        <v>0</v>
      </c>
      <c r="M1548" s="92">
        <v>40</v>
      </c>
      <c r="N1548" s="92">
        <v>5000</v>
      </c>
      <c r="O1548" s="92">
        <v>2</v>
      </c>
      <c r="P1548" s="102">
        <f t="shared" si="367"/>
        <v>2500</v>
      </c>
      <c r="Q1548" s="102"/>
      <c r="R1548" s="102">
        <v>2500</v>
      </c>
      <c r="S1548" s="92">
        <f t="shared" si="365"/>
        <v>0</v>
      </c>
      <c r="T1548" s="102">
        <f t="shared" si="362"/>
        <v>4320</v>
      </c>
      <c r="U1548" s="101">
        <f t="shared" si="363"/>
        <v>0</v>
      </c>
      <c r="V1548" s="101">
        <f t="shared" si="364"/>
        <v>0</v>
      </c>
      <c r="W1548" s="101">
        <v>0</v>
      </c>
      <c r="X1548" s="55">
        <f t="shared" si="368"/>
        <v>46153.550424382709</v>
      </c>
    </row>
    <row r="1549" spans="1:24" hidden="1" x14ac:dyDescent="0.35">
      <c r="A1549" s="46">
        <f t="shared" si="369"/>
        <v>46153.550424382709</v>
      </c>
      <c r="B1549" s="46"/>
      <c r="C1549" s="260"/>
      <c r="D1549" s="46"/>
      <c r="E1549" s="47" t="s">
        <v>4395</v>
      </c>
      <c r="F1549" s="97" t="s">
        <v>4898</v>
      </c>
      <c r="G1549" s="97"/>
      <c r="H1549" s="98" t="s">
        <v>6277</v>
      </c>
      <c r="I1549" s="82" t="s">
        <v>6278</v>
      </c>
      <c r="J1549" s="100" t="s">
        <v>140</v>
      </c>
      <c r="K1549" s="91">
        <v>0</v>
      </c>
      <c r="L1549" s="91">
        <v>0</v>
      </c>
      <c r="M1549" s="92">
        <v>45</v>
      </c>
      <c r="N1549" s="92">
        <v>24000</v>
      </c>
      <c r="O1549" s="92">
        <v>1</v>
      </c>
      <c r="P1549" s="92">
        <f t="shared" si="367"/>
        <v>24000</v>
      </c>
      <c r="Q1549" s="92"/>
      <c r="R1549" s="102">
        <v>24000</v>
      </c>
      <c r="S1549" s="92">
        <f t="shared" si="365"/>
        <v>0</v>
      </c>
      <c r="T1549" s="102">
        <f t="shared" si="362"/>
        <v>1920</v>
      </c>
      <c r="U1549" s="101">
        <f t="shared" si="363"/>
        <v>0</v>
      </c>
      <c r="V1549" s="101">
        <f t="shared" si="364"/>
        <v>0</v>
      </c>
      <c r="W1549" s="101">
        <v>0</v>
      </c>
      <c r="X1549" s="55">
        <f t="shared" si="368"/>
        <v>46153.550424382709</v>
      </c>
    </row>
    <row r="1550" spans="1:24" s="221" customFormat="1" ht="26.5" hidden="1" x14ac:dyDescent="0.35">
      <c r="A1550" s="46">
        <f t="shared" si="369"/>
        <v>46153.550424382709</v>
      </c>
      <c r="B1550" s="46"/>
      <c r="C1550" s="260"/>
      <c r="D1550" s="46"/>
      <c r="E1550" s="47" t="s">
        <v>4395</v>
      </c>
      <c r="F1550" s="82" t="s">
        <v>5283</v>
      </c>
      <c r="G1550" s="82"/>
      <c r="H1550" s="107" t="s">
        <v>5048</v>
      </c>
      <c r="I1550" s="69" t="s">
        <v>3525</v>
      </c>
      <c r="J1550" s="51" t="s">
        <v>140</v>
      </c>
      <c r="K1550" s="91">
        <v>0</v>
      </c>
      <c r="L1550" s="91">
        <v>0</v>
      </c>
      <c r="M1550" s="92">
        <v>45</v>
      </c>
      <c r="N1550" s="92">
        <v>28800</v>
      </c>
      <c r="O1550" s="92">
        <v>2</v>
      </c>
      <c r="P1550" s="92">
        <f t="shared" si="367"/>
        <v>14400</v>
      </c>
      <c r="Q1550" s="92"/>
      <c r="R1550" s="92">
        <v>14400</v>
      </c>
      <c r="S1550" s="92">
        <f t="shared" si="365"/>
        <v>0</v>
      </c>
      <c r="T1550" s="92">
        <f t="shared" si="362"/>
        <v>3840</v>
      </c>
      <c r="U1550" s="91">
        <f t="shared" si="363"/>
        <v>0</v>
      </c>
      <c r="V1550" s="91">
        <f t="shared" si="364"/>
        <v>0</v>
      </c>
      <c r="W1550" s="91">
        <v>0</v>
      </c>
      <c r="X1550" s="55">
        <f t="shared" si="368"/>
        <v>46153.550424382709</v>
      </c>
    </row>
    <row r="1551" spans="1:24" s="221" customFormat="1" hidden="1" x14ac:dyDescent="0.35">
      <c r="A1551" s="46">
        <f t="shared" si="369"/>
        <v>46153.550424382709</v>
      </c>
      <c r="B1551" s="46"/>
      <c r="C1551" s="260"/>
      <c r="D1551" s="46"/>
      <c r="E1551" s="47" t="s">
        <v>4395</v>
      </c>
      <c r="F1551" s="82" t="s">
        <v>3517</v>
      </c>
      <c r="G1551" s="82"/>
      <c r="H1551" s="340" t="s">
        <v>6279</v>
      </c>
      <c r="I1551" s="405" t="s">
        <v>6280</v>
      </c>
      <c r="J1551" s="100" t="s">
        <v>140</v>
      </c>
      <c r="K1551" s="91">
        <v>0</v>
      </c>
      <c r="L1551" s="91">
        <v>0</v>
      </c>
      <c r="M1551" s="92">
        <v>36</v>
      </c>
      <c r="N1551" s="92">
        <v>50000</v>
      </c>
      <c r="O1551" s="92">
        <v>4</v>
      </c>
      <c r="P1551" s="92">
        <f t="shared" si="367"/>
        <v>12500</v>
      </c>
      <c r="Q1551" s="92"/>
      <c r="R1551" s="92">
        <v>12500</v>
      </c>
      <c r="S1551" s="92">
        <f t="shared" si="365"/>
        <v>0</v>
      </c>
      <c r="T1551" s="102">
        <f t="shared" si="362"/>
        <v>9600</v>
      </c>
      <c r="U1551" s="101">
        <f t="shared" si="363"/>
        <v>0</v>
      </c>
      <c r="V1551" s="101">
        <f t="shared" si="364"/>
        <v>0</v>
      </c>
      <c r="W1551" s="101">
        <v>0</v>
      </c>
      <c r="X1551" s="55">
        <f t="shared" si="368"/>
        <v>46153.550424382709</v>
      </c>
    </row>
    <row r="1552" spans="1:24" ht="26.5" hidden="1" x14ac:dyDescent="0.35">
      <c r="A1552" s="46">
        <f t="shared" si="369"/>
        <v>46153.550424382709</v>
      </c>
      <c r="B1552" s="46"/>
      <c r="C1552" s="260"/>
      <c r="D1552" s="46"/>
      <c r="E1552" s="47" t="s">
        <v>4395</v>
      </c>
      <c r="F1552" s="82" t="s">
        <v>220</v>
      </c>
      <c r="G1552" s="82"/>
      <c r="H1552" s="334" t="s">
        <v>6281</v>
      </c>
      <c r="I1552" s="697" t="s">
        <v>3464</v>
      </c>
      <c r="J1552" s="100" t="s">
        <v>140</v>
      </c>
      <c r="K1552" s="91">
        <v>0</v>
      </c>
      <c r="L1552" s="91">
        <v>0</v>
      </c>
      <c r="M1552" s="92">
        <v>40</v>
      </c>
      <c r="N1552" s="92">
        <v>7000</v>
      </c>
      <c r="O1552" s="92">
        <v>1</v>
      </c>
      <c r="P1552" s="92">
        <f t="shared" si="367"/>
        <v>7000</v>
      </c>
      <c r="Q1552" s="92"/>
      <c r="R1552" s="92">
        <v>7000</v>
      </c>
      <c r="S1552" s="102">
        <f t="shared" si="365"/>
        <v>0</v>
      </c>
      <c r="T1552" s="102">
        <f t="shared" si="362"/>
        <v>2160</v>
      </c>
      <c r="U1552" s="101">
        <f t="shared" si="363"/>
        <v>0</v>
      </c>
      <c r="V1552" s="101">
        <f t="shared" si="364"/>
        <v>0</v>
      </c>
      <c r="W1552" s="101">
        <v>0</v>
      </c>
      <c r="X1552" s="55">
        <f t="shared" si="368"/>
        <v>46153.550424382709</v>
      </c>
    </row>
    <row r="1553" spans="1:24" ht="26.5" hidden="1" x14ac:dyDescent="0.35">
      <c r="A1553" s="46">
        <f t="shared" si="369"/>
        <v>46153.550424382709</v>
      </c>
      <c r="B1553" s="46"/>
      <c r="C1553" s="260"/>
      <c r="D1553" s="46"/>
      <c r="E1553" s="47" t="s">
        <v>4395</v>
      </c>
      <c r="F1553" s="82" t="s">
        <v>4905</v>
      </c>
      <c r="G1553" s="82"/>
      <c r="H1553" s="107" t="s">
        <v>6282</v>
      </c>
      <c r="I1553" s="69" t="s">
        <v>3525</v>
      </c>
      <c r="J1553" s="51" t="s">
        <v>140</v>
      </c>
      <c r="K1553" s="91">
        <v>0</v>
      </c>
      <c r="L1553" s="91">
        <v>0</v>
      </c>
      <c r="M1553" s="92">
        <v>45</v>
      </c>
      <c r="N1553" s="92">
        <v>56000</v>
      </c>
      <c r="O1553" s="92">
        <v>2</v>
      </c>
      <c r="P1553" s="92">
        <f t="shared" si="367"/>
        <v>28000</v>
      </c>
      <c r="Q1553" s="92"/>
      <c r="R1553" s="92">
        <v>28000</v>
      </c>
      <c r="S1553" s="92">
        <f t="shared" si="365"/>
        <v>0</v>
      </c>
      <c r="T1553" s="92">
        <f t="shared" si="362"/>
        <v>3840</v>
      </c>
      <c r="U1553" s="91">
        <f t="shared" si="363"/>
        <v>0</v>
      </c>
      <c r="V1553" s="91">
        <f t="shared" si="364"/>
        <v>0</v>
      </c>
      <c r="W1553" s="91">
        <v>0</v>
      </c>
      <c r="X1553" s="55">
        <f t="shared" si="368"/>
        <v>46153.550424382709</v>
      </c>
    </row>
    <row r="1554" spans="1:24" ht="39.5" hidden="1" x14ac:dyDescent="0.35">
      <c r="A1554" s="46">
        <f t="shared" si="369"/>
        <v>46153.550424382709</v>
      </c>
      <c r="B1554" s="46"/>
      <c r="C1554" s="260"/>
      <c r="D1554" s="46"/>
      <c r="E1554" s="47" t="s">
        <v>4395</v>
      </c>
      <c r="F1554" s="97" t="s">
        <v>1814</v>
      </c>
      <c r="G1554" s="97"/>
      <c r="H1554" s="98" t="s">
        <v>6283</v>
      </c>
      <c r="I1554" s="69" t="s">
        <v>4881</v>
      </c>
      <c r="J1554" s="100" t="s">
        <v>140</v>
      </c>
      <c r="K1554" s="91">
        <v>0</v>
      </c>
      <c r="L1554" s="91">
        <v>0</v>
      </c>
      <c r="M1554" s="92">
        <v>35</v>
      </c>
      <c r="N1554" s="92">
        <v>10000</v>
      </c>
      <c r="O1554" s="92">
        <v>1</v>
      </c>
      <c r="P1554" s="92">
        <f t="shared" si="367"/>
        <v>10000</v>
      </c>
      <c r="Q1554" s="92"/>
      <c r="R1554" s="92">
        <v>10000</v>
      </c>
      <c r="S1554" s="92">
        <f t="shared" si="365"/>
        <v>0</v>
      </c>
      <c r="T1554" s="102">
        <f t="shared" si="362"/>
        <v>2468.5714285714284</v>
      </c>
      <c r="U1554" s="101">
        <f t="shared" si="363"/>
        <v>0</v>
      </c>
      <c r="V1554" s="101">
        <f t="shared" si="364"/>
        <v>0</v>
      </c>
      <c r="W1554" s="101">
        <v>0</v>
      </c>
      <c r="X1554" s="55">
        <f t="shared" si="368"/>
        <v>46153.550424382709</v>
      </c>
    </row>
    <row r="1555" spans="1:24" hidden="1" x14ac:dyDescent="0.35">
      <c r="A1555" s="46">
        <f t="shared" si="369"/>
        <v>46153.550424382709</v>
      </c>
      <c r="B1555" s="46"/>
      <c r="C1555" s="260"/>
      <c r="D1555" s="46"/>
      <c r="E1555" s="47" t="s">
        <v>4395</v>
      </c>
      <c r="F1555" s="82" t="s">
        <v>5060</v>
      </c>
      <c r="G1555" s="82"/>
      <c r="H1555" s="107" t="s">
        <v>6284</v>
      </c>
      <c r="I1555" s="390" t="s">
        <v>5517</v>
      </c>
      <c r="J1555" s="100" t="s">
        <v>140</v>
      </c>
      <c r="K1555" s="91">
        <v>0</v>
      </c>
      <c r="L1555" s="91">
        <v>0</v>
      </c>
      <c r="M1555" s="92">
        <v>45</v>
      </c>
      <c r="N1555" s="92">
        <v>1000</v>
      </c>
      <c r="O1555" s="92">
        <v>4</v>
      </c>
      <c r="P1555" s="92">
        <f t="shared" si="367"/>
        <v>250</v>
      </c>
      <c r="Q1555" s="92"/>
      <c r="R1555" s="92">
        <v>250</v>
      </c>
      <c r="S1555" s="92">
        <f t="shared" si="365"/>
        <v>0</v>
      </c>
      <c r="T1555" s="102">
        <f t="shared" ref="T1555:T1606" si="370">((3600/M1555)*O1555)*24</f>
        <v>7680</v>
      </c>
      <c r="U1555" s="101">
        <f t="shared" ref="U1555:U1606" si="371">(P1555-R1555)*M1555/3600</f>
        <v>0</v>
      </c>
      <c r="V1555" s="101">
        <f t="shared" ref="V1555:V1606" si="372">(P1555-R1555)*M1555/3600/24</f>
        <v>0</v>
      </c>
      <c r="W1555" s="101">
        <v>0</v>
      </c>
      <c r="X1555" s="55">
        <f t="shared" si="368"/>
        <v>46153.550424382709</v>
      </c>
    </row>
    <row r="1556" spans="1:24" hidden="1" x14ac:dyDescent="0.35">
      <c r="A1556" s="46">
        <f t="shared" si="369"/>
        <v>46153.550424382709</v>
      </c>
      <c r="B1556" s="46"/>
      <c r="C1556" s="260"/>
      <c r="D1556" s="46"/>
      <c r="E1556" s="47" t="s">
        <v>4395</v>
      </c>
      <c r="F1556" s="82" t="s">
        <v>5060</v>
      </c>
      <c r="G1556" s="82"/>
      <c r="H1556" s="107" t="s">
        <v>6285</v>
      </c>
      <c r="I1556" s="390" t="s">
        <v>5062</v>
      </c>
      <c r="J1556" s="51"/>
      <c r="K1556" s="91">
        <v>0</v>
      </c>
      <c r="L1556" s="91">
        <v>0</v>
      </c>
      <c r="M1556" s="92">
        <v>38</v>
      </c>
      <c r="N1556" s="92">
        <v>1000</v>
      </c>
      <c r="O1556" s="92">
        <v>4</v>
      </c>
      <c r="P1556" s="92">
        <f t="shared" si="367"/>
        <v>250</v>
      </c>
      <c r="Q1556" s="92"/>
      <c r="R1556" s="92">
        <v>250</v>
      </c>
      <c r="S1556" s="92">
        <f t="shared" si="365"/>
        <v>0</v>
      </c>
      <c r="T1556" s="92">
        <f t="shared" si="370"/>
        <v>9094.7368421052633</v>
      </c>
      <c r="U1556" s="91">
        <f t="shared" si="371"/>
        <v>0</v>
      </c>
      <c r="V1556" s="91">
        <f t="shared" si="372"/>
        <v>0</v>
      </c>
      <c r="W1556" s="91">
        <v>0</v>
      </c>
      <c r="X1556" s="55">
        <f t="shared" si="368"/>
        <v>46153.550424382709</v>
      </c>
    </row>
    <row r="1557" spans="1:24" hidden="1" x14ac:dyDescent="0.35">
      <c r="A1557" s="46">
        <f t="shared" si="369"/>
        <v>46153.550424382709</v>
      </c>
      <c r="B1557" s="46"/>
      <c r="C1557" s="260"/>
      <c r="D1557" s="46"/>
      <c r="E1557" s="590" t="s">
        <v>4395</v>
      </c>
      <c r="F1557" s="97" t="s">
        <v>3479</v>
      </c>
      <c r="G1557" s="97"/>
      <c r="H1557" s="98" t="s">
        <v>6286</v>
      </c>
      <c r="I1557" s="69" t="s">
        <v>5037</v>
      </c>
      <c r="J1557" s="100" t="s">
        <v>140</v>
      </c>
      <c r="K1557" s="91">
        <v>0</v>
      </c>
      <c r="L1557" s="91">
        <v>0</v>
      </c>
      <c r="M1557" s="92">
        <v>35</v>
      </c>
      <c r="N1557" s="92">
        <v>10000</v>
      </c>
      <c r="O1557" s="92">
        <v>4</v>
      </c>
      <c r="P1557" s="92">
        <f t="shared" si="367"/>
        <v>2500</v>
      </c>
      <c r="Q1557" s="92"/>
      <c r="R1557" s="92">
        <v>2500</v>
      </c>
      <c r="S1557" s="92">
        <f t="shared" si="365"/>
        <v>0</v>
      </c>
      <c r="T1557" s="102">
        <f t="shared" si="370"/>
        <v>9874.2857142857138</v>
      </c>
      <c r="U1557" s="101">
        <f t="shared" si="371"/>
        <v>0</v>
      </c>
      <c r="V1557" s="101">
        <f t="shared" si="372"/>
        <v>0</v>
      </c>
      <c r="W1557" s="101">
        <v>0</v>
      </c>
      <c r="X1557" s="55">
        <f t="shared" si="368"/>
        <v>46153.550424382709</v>
      </c>
    </row>
    <row r="1558" spans="1:24" hidden="1" x14ac:dyDescent="0.35">
      <c r="A1558" s="46">
        <f t="shared" si="369"/>
        <v>46153.550424382709</v>
      </c>
      <c r="B1558" s="46"/>
      <c r="C1558" s="260"/>
      <c r="D1558" s="46"/>
      <c r="E1558" s="47" t="s">
        <v>4395</v>
      </c>
      <c r="F1558" s="82" t="s">
        <v>1814</v>
      </c>
      <c r="G1558" s="82"/>
      <c r="H1558" s="452" t="s">
        <v>6287</v>
      </c>
      <c r="I1558" s="82" t="s">
        <v>4909</v>
      </c>
      <c r="J1558" s="51" t="s">
        <v>140</v>
      </c>
      <c r="K1558" s="91">
        <v>0</v>
      </c>
      <c r="L1558" s="91">
        <v>0</v>
      </c>
      <c r="M1558" s="92">
        <v>30</v>
      </c>
      <c r="N1558" s="92">
        <v>40000</v>
      </c>
      <c r="O1558" s="92">
        <v>16</v>
      </c>
      <c r="P1558" s="92">
        <f t="shared" si="367"/>
        <v>2500</v>
      </c>
      <c r="Q1558" s="92"/>
      <c r="R1558" s="92">
        <v>2500</v>
      </c>
      <c r="S1558" s="92">
        <f t="shared" si="365"/>
        <v>0</v>
      </c>
      <c r="T1558" s="92">
        <f t="shared" si="370"/>
        <v>46080</v>
      </c>
      <c r="U1558" s="91">
        <f t="shared" si="371"/>
        <v>0</v>
      </c>
      <c r="V1558" s="91">
        <f t="shared" si="372"/>
        <v>0</v>
      </c>
      <c r="W1558" s="91">
        <v>0</v>
      </c>
      <c r="X1558" s="55">
        <f t="shared" si="368"/>
        <v>46153.550424382709</v>
      </c>
    </row>
    <row r="1559" spans="1:24" hidden="1" x14ac:dyDescent="0.35">
      <c r="A1559" s="46">
        <f t="shared" si="369"/>
        <v>46153.550424382709</v>
      </c>
      <c r="B1559" s="46"/>
      <c r="C1559" s="260"/>
      <c r="D1559" s="46"/>
      <c r="E1559" s="47" t="s">
        <v>4395</v>
      </c>
      <c r="F1559" s="97" t="s">
        <v>4597</v>
      </c>
      <c r="G1559" s="97"/>
      <c r="H1559" s="98" t="s">
        <v>6288</v>
      </c>
      <c r="I1559" s="82" t="s">
        <v>6262</v>
      </c>
      <c r="J1559" s="51" t="s">
        <v>140</v>
      </c>
      <c r="K1559" s="91">
        <v>0</v>
      </c>
      <c r="L1559" s="91">
        <v>0</v>
      </c>
      <c r="M1559" s="92">
        <v>36</v>
      </c>
      <c r="N1559" s="92">
        <v>1294</v>
      </c>
      <c r="O1559" s="92">
        <v>2</v>
      </c>
      <c r="P1559" s="92">
        <f t="shared" si="367"/>
        <v>647</v>
      </c>
      <c r="Q1559" s="92"/>
      <c r="R1559" s="92">
        <v>647</v>
      </c>
      <c r="S1559" s="92">
        <f t="shared" si="365"/>
        <v>0</v>
      </c>
      <c r="T1559" s="92">
        <f t="shared" si="370"/>
        <v>4800</v>
      </c>
      <c r="U1559" s="91">
        <f t="shared" si="371"/>
        <v>0</v>
      </c>
      <c r="V1559" s="91">
        <f t="shared" si="372"/>
        <v>0</v>
      </c>
      <c r="W1559" s="91">
        <v>0</v>
      </c>
      <c r="X1559" s="55">
        <f t="shared" si="368"/>
        <v>46153.550424382709</v>
      </c>
    </row>
    <row r="1560" spans="1:24" hidden="1" x14ac:dyDescent="0.35">
      <c r="A1560" s="46">
        <f t="shared" si="369"/>
        <v>46153.550424382709</v>
      </c>
      <c r="B1560" s="46"/>
      <c r="C1560" s="260"/>
      <c r="D1560" s="46"/>
      <c r="E1560" s="296" t="s">
        <v>4897</v>
      </c>
      <c r="F1560" s="366" t="s">
        <v>14</v>
      </c>
      <c r="G1560" s="454"/>
      <c r="H1560" s="455" t="s">
        <v>14</v>
      </c>
      <c r="I1560" s="297" t="s">
        <v>6140</v>
      </c>
      <c r="J1560" s="351" t="s">
        <v>140</v>
      </c>
      <c r="K1560" s="352">
        <v>0</v>
      </c>
      <c r="L1560" s="352">
        <v>0</v>
      </c>
      <c r="M1560" s="353">
        <v>50</v>
      </c>
      <c r="N1560" s="353">
        <v>50</v>
      </c>
      <c r="O1560" s="353">
        <v>1</v>
      </c>
      <c r="P1560" s="353">
        <f t="shared" si="367"/>
        <v>50</v>
      </c>
      <c r="Q1560" s="353"/>
      <c r="R1560" s="353">
        <v>50</v>
      </c>
      <c r="S1560" s="353">
        <f t="shared" si="365"/>
        <v>0</v>
      </c>
      <c r="T1560" s="353">
        <f t="shared" si="370"/>
        <v>1728</v>
      </c>
      <c r="U1560" s="352">
        <f t="shared" si="371"/>
        <v>0</v>
      </c>
      <c r="V1560" s="352">
        <f t="shared" si="372"/>
        <v>0</v>
      </c>
      <c r="W1560" s="352">
        <v>0</v>
      </c>
      <c r="X1560" s="55">
        <f t="shared" si="368"/>
        <v>46153.550424382709</v>
      </c>
    </row>
    <row r="1561" spans="1:24" hidden="1" x14ac:dyDescent="0.35">
      <c r="A1561" s="46">
        <f t="shared" si="369"/>
        <v>46153.550424382709</v>
      </c>
      <c r="B1561" s="46"/>
      <c r="C1561" s="260"/>
      <c r="D1561" s="46"/>
      <c r="E1561" s="296" t="s">
        <v>4897</v>
      </c>
      <c r="F1561" s="366" t="s">
        <v>14</v>
      </c>
      <c r="G1561" s="454"/>
      <c r="H1561" s="455" t="s">
        <v>14</v>
      </c>
      <c r="I1561" s="297" t="s">
        <v>4928</v>
      </c>
      <c r="J1561" s="351" t="s">
        <v>140</v>
      </c>
      <c r="K1561" s="352">
        <v>0</v>
      </c>
      <c r="L1561" s="352">
        <v>0</v>
      </c>
      <c r="M1561" s="353">
        <v>50</v>
      </c>
      <c r="N1561" s="353">
        <v>50</v>
      </c>
      <c r="O1561" s="353">
        <v>1</v>
      </c>
      <c r="P1561" s="353">
        <f t="shared" si="367"/>
        <v>50</v>
      </c>
      <c r="Q1561" s="353"/>
      <c r="R1561" s="353">
        <v>50</v>
      </c>
      <c r="S1561" s="353">
        <f t="shared" si="365"/>
        <v>0</v>
      </c>
      <c r="T1561" s="353">
        <f t="shared" si="370"/>
        <v>1728</v>
      </c>
      <c r="U1561" s="352">
        <f t="shared" si="371"/>
        <v>0</v>
      </c>
      <c r="V1561" s="352">
        <f t="shared" si="372"/>
        <v>0</v>
      </c>
      <c r="W1561" s="352">
        <v>0</v>
      </c>
      <c r="X1561" s="55">
        <f t="shared" si="368"/>
        <v>46153.550424382709</v>
      </c>
    </row>
    <row r="1562" spans="1:24" hidden="1" x14ac:dyDescent="0.35">
      <c r="A1562" s="46">
        <f t="shared" si="369"/>
        <v>46153.550424382709</v>
      </c>
      <c r="B1562" s="46"/>
      <c r="C1562" s="260"/>
      <c r="D1562" s="46"/>
      <c r="E1562" s="296" t="s">
        <v>4897</v>
      </c>
      <c r="F1562" s="366" t="s">
        <v>14</v>
      </c>
      <c r="G1562" s="454"/>
      <c r="H1562" s="455" t="s">
        <v>14</v>
      </c>
      <c r="I1562" s="297" t="s">
        <v>6289</v>
      </c>
      <c r="J1562" s="351" t="s">
        <v>140</v>
      </c>
      <c r="K1562" s="352">
        <v>0</v>
      </c>
      <c r="L1562" s="352">
        <v>0</v>
      </c>
      <c r="M1562" s="353">
        <v>50</v>
      </c>
      <c r="N1562" s="353">
        <v>50</v>
      </c>
      <c r="O1562" s="353">
        <v>1</v>
      </c>
      <c r="P1562" s="353">
        <f t="shared" si="367"/>
        <v>50</v>
      </c>
      <c r="Q1562" s="353"/>
      <c r="R1562" s="353">
        <v>50</v>
      </c>
      <c r="S1562" s="353">
        <f t="shared" si="365"/>
        <v>0</v>
      </c>
      <c r="T1562" s="353">
        <f t="shared" si="370"/>
        <v>1728</v>
      </c>
      <c r="U1562" s="352">
        <f t="shared" si="371"/>
        <v>0</v>
      </c>
      <c r="V1562" s="352">
        <f t="shared" si="372"/>
        <v>0</v>
      </c>
      <c r="W1562" s="352">
        <v>0</v>
      </c>
      <c r="X1562" s="55">
        <f t="shared" si="368"/>
        <v>46153.550424382709</v>
      </c>
    </row>
    <row r="1563" spans="1:24" hidden="1" x14ac:dyDescent="0.35">
      <c r="A1563" s="46">
        <f t="shared" si="369"/>
        <v>46153.550424382709</v>
      </c>
      <c r="B1563" s="46"/>
      <c r="C1563" s="260"/>
      <c r="D1563" s="46"/>
      <c r="E1563" s="47" t="s">
        <v>4897</v>
      </c>
      <c r="F1563" s="82" t="s">
        <v>220</v>
      </c>
      <c r="G1563" s="82"/>
      <c r="H1563" s="98" t="s">
        <v>6290</v>
      </c>
      <c r="I1563" s="106" t="s">
        <v>4444</v>
      </c>
      <c r="J1563" s="100" t="s">
        <v>140</v>
      </c>
      <c r="K1563" s="91">
        <v>0</v>
      </c>
      <c r="L1563" s="91">
        <v>0</v>
      </c>
      <c r="M1563" s="92">
        <v>50</v>
      </c>
      <c r="N1563" s="92">
        <v>10000</v>
      </c>
      <c r="O1563" s="92">
        <v>2</v>
      </c>
      <c r="P1563" s="92">
        <f t="shared" si="367"/>
        <v>5000</v>
      </c>
      <c r="Q1563" s="92"/>
      <c r="R1563" s="92">
        <v>5000</v>
      </c>
      <c r="S1563" s="92">
        <f t="shared" si="365"/>
        <v>0</v>
      </c>
      <c r="T1563" s="102">
        <f t="shared" si="370"/>
        <v>3456</v>
      </c>
      <c r="U1563" s="101">
        <f t="shared" si="371"/>
        <v>0</v>
      </c>
      <c r="V1563" s="101">
        <f t="shared" si="372"/>
        <v>0</v>
      </c>
      <c r="W1563" s="101">
        <v>0</v>
      </c>
      <c r="X1563" s="55">
        <f t="shared" si="368"/>
        <v>46153.550424382709</v>
      </c>
    </row>
    <row r="1564" spans="1:24" ht="26.5" hidden="1" x14ac:dyDescent="0.35">
      <c r="A1564" s="46">
        <f t="shared" si="369"/>
        <v>46153.550424382709</v>
      </c>
      <c r="B1564" s="46"/>
      <c r="C1564" s="260"/>
      <c r="D1564" s="46"/>
      <c r="E1564" s="47" t="s">
        <v>4395</v>
      </c>
      <c r="F1564" s="82" t="s">
        <v>4905</v>
      </c>
      <c r="G1564" s="82"/>
      <c r="H1564" s="107" t="s">
        <v>6282</v>
      </c>
      <c r="I1564" s="69" t="s">
        <v>3525</v>
      </c>
      <c r="J1564" s="51" t="s">
        <v>140</v>
      </c>
      <c r="K1564" s="91">
        <v>0</v>
      </c>
      <c r="L1564" s="91">
        <v>0</v>
      </c>
      <c r="M1564" s="92">
        <v>45</v>
      </c>
      <c r="N1564" s="92">
        <v>56000</v>
      </c>
      <c r="O1564" s="92">
        <v>2</v>
      </c>
      <c r="P1564" s="92">
        <f t="shared" si="367"/>
        <v>28000</v>
      </c>
      <c r="Q1564" s="92"/>
      <c r="R1564" s="92">
        <v>28000</v>
      </c>
      <c r="S1564" s="92">
        <f t="shared" si="365"/>
        <v>0</v>
      </c>
      <c r="T1564" s="92">
        <f t="shared" si="370"/>
        <v>3840</v>
      </c>
      <c r="U1564" s="91">
        <f t="shared" si="371"/>
        <v>0</v>
      </c>
      <c r="V1564" s="91">
        <f t="shared" si="372"/>
        <v>0</v>
      </c>
      <c r="W1564" s="91">
        <v>0</v>
      </c>
      <c r="X1564" s="55">
        <f t="shared" si="368"/>
        <v>46153.550424382709</v>
      </c>
    </row>
    <row r="1565" spans="1:24" hidden="1" x14ac:dyDescent="0.35">
      <c r="A1565" s="46">
        <f t="shared" si="369"/>
        <v>46153.550424382709</v>
      </c>
      <c r="B1565" s="46"/>
      <c r="C1565" s="260"/>
      <c r="D1565" s="46"/>
      <c r="E1565" s="419" t="s">
        <v>4897</v>
      </c>
      <c r="F1565" s="220" t="s">
        <v>1603</v>
      </c>
      <c r="G1565" s="220"/>
      <c r="H1565" s="108">
        <v>12393</v>
      </c>
      <c r="I1565" s="220" t="s">
        <v>3514</v>
      </c>
      <c r="J1565" s="420" t="s">
        <v>140</v>
      </c>
      <c r="K1565" s="91">
        <v>0</v>
      </c>
      <c r="L1565" s="91">
        <v>0</v>
      </c>
      <c r="M1565" s="92">
        <v>43</v>
      </c>
      <c r="N1565" s="92">
        <v>4000</v>
      </c>
      <c r="O1565" s="92">
        <v>2</v>
      </c>
      <c r="P1565" s="92">
        <f t="shared" si="367"/>
        <v>2000</v>
      </c>
      <c r="Q1565" s="92"/>
      <c r="R1565" s="92">
        <v>2000</v>
      </c>
      <c r="S1565" s="92">
        <f t="shared" si="365"/>
        <v>0</v>
      </c>
      <c r="T1565" s="92">
        <f t="shared" si="370"/>
        <v>4018.604651162791</v>
      </c>
      <c r="U1565" s="91">
        <f t="shared" si="371"/>
        <v>0</v>
      </c>
      <c r="V1565" s="91">
        <f t="shared" si="372"/>
        <v>0</v>
      </c>
      <c r="W1565" s="91">
        <v>0</v>
      </c>
      <c r="X1565" s="55">
        <f t="shared" si="368"/>
        <v>46153.550424382709</v>
      </c>
    </row>
    <row r="1566" spans="1:24" ht="26" hidden="1" x14ac:dyDescent="0.35">
      <c r="A1566" s="46">
        <f t="shared" si="369"/>
        <v>46153.550424382709</v>
      </c>
      <c r="B1566" s="46"/>
      <c r="C1566" s="260"/>
      <c r="D1566" s="46"/>
      <c r="E1566" s="419" t="s">
        <v>4897</v>
      </c>
      <c r="F1566" s="220" t="s">
        <v>5465</v>
      </c>
      <c r="G1566" s="220"/>
      <c r="H1566" s="98" t="s">
        <v>6291</v>
      </c>
      <c r="I1566" s="220" t="s">
        <v>5070</v>
      </c>
      <c r="J1566" s="170" t="s">
        <v>140</v>
      </c>
      <c r="K1566" s="91">
        <v>0</v>
      </c>
      <c r="L1566" s="91">
        <v>0</v>
      </c>
      <c r="M1566" s="92">
        <v>60</v>
      </c>
      <c r="N1566" s="92">
        <v>2000</v>
      </c>
      <c r="O1566" s="92">
        <v>1</v>
      </c>
      <c r="P1566" s="92">
        <f t="shared" si="367"/>
        <v>2000</v>
      </c>
      <c r="Q1566" s="92"/>
      <c r="R1566" s="92">
        <v>2000</v>
      </c>
      <c r="S1566" s="92">
        <f t="shared" si="365"/>
        <v>0</v>
      </c>
      <c r="T1566" s="102">
        <f t="shared" si="370"/>
        <v>1440</v>
      </c>
      <c r="U1566" s="101">
        <f t="shared" si="371"/>
        <v>0</v>
      </c>
      <c r="V1566" s="101">
        <f t="shared" si="372"/>
        <v>0</v>
      </c>
      <c r="W1566" s="101">
        <v>0</v>
      </c>
      <c r="X1566" s="55">
        <f t="shared" si="368"/>
        <v>46153.550424382709</v>
      </c>
    </row>
    <row r="1567" spans="1:24" hidden="1" x14ac:dyDescent="0.35">
      <c r="A1567" s="46">
        <f t="shared" si="369"/>
        <v>46153.550424382709</v>
      </c>
      <c r="B1567" s="46"/>
      <c r="C1567" s="260"/>
      <c r="D1567" s="46"/>
      <c r="E1567" s="296" t="s">
        <v>4395</v>
      </c>
      <c r="F1567" s="366" t="s">
        <v>14</v>
      </c>
      <c r="G1567" s="366"/>
      <c r="H1567" s="298" t="s">
        <v>1321</v>
      </c>
      <c r="I1567" s="297" t="s">
        <v>6278</v>
      </c>
      <c r="J1567" s="300" t="s">
        <v>140</v>
      </c>
      <c r="K1567" s="352">
        <v>0</v>
      </c>
      <c r="L1567" s="352">
        <v>0</v>
      </c>
      <c r="M1567" s="353">
        <v>45</v>
      </c>
      <c r="N1567" s="353">
        <v>5</v>
      </c>
      <c r="O1567" s="353">
        <v>1</v>
      </c>
      <c r="P1567" s="353">
        <f t="shared" si="367"/>
        <v>5</v>
      </c>
      <c r="Q1567" s="353"/>
      <c r="R1567" s="302">
        <v>5</v>
      </c>
      <c r="S1567" s="353">
        <f t="shared" si="365"/>
        <v>0</v>
      </c>
      <c r="T1567" s="302">
        <f t="shared" si="370"/>
        <v>1920</v>
      </c>
      <c r="U1567" s="301">
        <f t="shared" si="371"/>
        <v>0</v>
      </c>
      <c r="V1567" s="301">
        <f t="shared" si="372"/>
        <v>0</v>
      </c>
      <c r="W1567" s="301">
        <v>0</v>
      </c>
      <c r="X1567" s="55">
        <f t="shared" si="368"/>
        <v>46153.550424382709</v>
      </c>
    </row>
    <row r="1568" spans="1:24" hidden="1" x14ac:dyDescent="0.35">
      <c r="A1568" s="46">
        <f t="shared" si="369"/>
        <v>46153.550424382709</v>
      </c>
      <c r="B1568" s="46"/>
      <c r="C1568" s="260"/>
      <c r="D1568" s="46"/>
      <c r="E1568" s="296" t="s">
        <v>4395</v>
      </c>
      <c r="F1568" s="366" t="s">
        <v>14</v>
      </c>
      <c r="G1568" s="366"/>
      <c r="H1568" s="298" t="s">
        <v>1321</v>
      </c>
      <c r="I1568" s="297" t="s">
        <v>4902</v>
      </c>
      <c r="J1568" s="300" t="s">
        <v>140</v>
      </c>
      <c r="K1568" s="352">
        <v>0</v>
      </c>
      <c r="L1568" s="352">
        <v>0</v>
      </c>
      <c r="M1568" s="353">
        <v>30</v>
      </c>
      <c r="N1568" s="353">
        <v>20</v>
      </c>
      <c r="O1568" s="353">
        <v>4</v>
      </c>
      <c r="P1568" s="353">
        <f t="shared" si="367"/>
        <v>5</v>
      </c>
      <c r="Q1568" s="353"/>
      <c r="R1568" s="302">
        <v>5</v>
      </c>
      <c r="S1568" s="353">
        <f t="shared" si="365"/>
        <v>0</v>
      </c>
      <c r="T1568" s="302">
        <f t="shared" si="370"/>
        <v>11520</v>
      </c>
      <c r="U1568" s="301">
        <f t="shared" si="371"/>
        <v>0</v>
      </c>
      <c r="V1568" s="301">
        <f t="shared" si="372"/>
        <v>0</v>
      </c>
      <c r="W1568" s="301">
        <v>0</v>
      </c>
      <c r="X1568" s="55">
        <f t="shared" si="368"/>
        <v>46153.550424382709</v>
      </c>
    </row>
    <row r="1569" spans="1:24" hidden="1" x14ac:dyDescent="0.35">
      <c r="A1569" s="46">
        <f t="shared" si="369"/>
        <v>46153.550424382709</v>
      </c>
      <c r="B1569" s="46"/>
      <c r="C1569" s="260"/>
      <c r="D1569" s="46"/>
      <c r="E1569" s="296" t="s">
        <v>4395</v>
      </c>
      <c r="F1569" s="366" t="s">
        <v>14</v>
      </c>
      <c r="G1569" s="366"/>
      <c r="H1569" s="298" t="s">
        <v>1321</v>
      </c>
      <c r="I1569" s="299" t="s">
        <v>5517</v>
      </c>
      <c r="J1569" s="300" t="s">
        <v>140</v>
      </c>
      <c r="K1569" s="352">
        <v>0</v>
      </c>
      <c r="L1569" s="352">
        <v>0</v>
      </c>
      <c r="M1569" s="353">
        <v>45</v>
      </c>
      <c r="N1569" s="353">
        <v>1000</v>
      </c>
      <c r="O1569" s="353">
        <v>4</v>
      </c>
      <c r="P1569" s="353">
        <f t="shared" si="367"/>
        <v>250</v>
      </c>
      <c r="Q1569" s="353"/>
      <c r="R1569" s="353"/>
      <c r="S1569" s="353">
        <f t="shared" si="365"/>
        <v>250</v>
      </c>
      <c r="T1569" s="302">
        <f t="shared" si="370"/>
        <v>7680</v>
      </c>
      <c r="U1569" s="301">
        <f t="shared" si="371"/>
        <v>3.125</v>
      </c>
      <c r="V1569" s="301">
        <f t="shared" si="372"/>
        <v>0.13020833333333334</v>
      </c>
      <c r="W1569" s="301">
        <v>0</v>
      </c>
      <c r="X1569" s="55">
        <f t="shared" si="368"/>
        <v>46153.680632716045</v>
      </c>
    </row>
    <row r="1570" spans="1:24" hidden="1" x14ac:dyDescent="0.35">
      <c r="A1570" s="46">
        <f t="shared" si="369"/>
        <v>46153.680632716045</v>
      </c>
      <c r="B1570" s="46"/>
      <c r="C1570" s="260"/>
      <c r="D1570" s="46"/>
      <c r="E1570" s="296" t="s">
        <v>4411</v>
      </c>
      <c r="F1570" s="366" t="s">
        <v>14</v>
      </c>
      <c r="G1570" s="366"/>
      <c r="H1570" s="298" t="s">
        <v>1321</v>
      </c>
      <c r="I1570" s="297" t="s">
        <v>5514</v>
      </c>
      <c r="J1570" s="300" t="s">
        <v>140</v>
      </c>
      <c r="K1570" s="352">
        <v>0</v>
      </c>
      <c r="L1570" s="352">
        <v>0</v>
      </c>
      <c r="M1570" s="353">
        <v>50</v>
      </c>
      <c r="N1570" s="353">
        <v>50</v>
      </c>
      <c r="O1570" s="353">
        <v>1</v>
      </c>
      <c r="P1570" s="353">
        <f t="shared" si="367"/>
        <v>50</v>
      </c>
      <c r="Q1570" s="353"/>
      <c r="R1570" s="353">
        <v>50</v>
      </c>
      <c r="S1570" s="353">
        <f t="shared" si="365"/>
        <v>0</v>
      </c>
      <c r="T1570" s="302">
        <f t="shared" si="370"/>
        <v>1728</v>
      </c>
      <c r="U1570" s="301">
        <f t="shared" si="371"/>
        <v>0</v>
      </c>
      <c r="V1570" s="301">
        <f t="shared" si="372"/>
        <v>0</v>
      </c>
      <c r="W1570" s="301">
        <v>0</v>
      </c>
      <c r="X1570" s="55">
        <f t="shared" si="368"/>
        <v>46153.680632716045</v>
      </c>
    </row>
    <row r="1571" spans="1:24" hidden="1" x14ac:dyDescent="0.35">
      <c r="A1571" s="46">
        <f t="shared" si="369"/>
        <v>46153.680632716045</v>
      </c>
      <c r="B1571" s="46"/>
      <c r="C1571" s="260"/>
      <c r="D1571" s="46"/>
      <c r="E1571" s="590" t="s">
        <v>4395</v>
      </c>
      <c r="F1571" s="97" t="s">
        <v>3479</v>
      </c>
      <c r="G1571" s="97"/>
      <c r="H1571" s="98" t="s">
        <v>6292</v>
      </c>
      <c r="I1571" s="69" t="s">
        <v>5037</v>
      </c>
      <c r="J1571" s="100" t="s">
        <v>140</v>
      </c>
      <c r="K1571" s="91">
        <v>0</v>
      </c>
      <c r="L1571" s="91">
        <v>0</v>
      </c>
      <c r="M1571" s="92">
        <v>35</v>
      </c>
      <c r="N1571" s="92">
        <f>9000*4</f>
        <v>36000</v>
      </c>
      <c r="O1571" s="92">
        <v>4</v>
      </c>
      <c r="P1571" s="92">
        <f t="shared" si="367"/>
        <v>9000</v>
      </c>
      <c r="Q1571" s="92"/>
      <c r="R1571" s="92">
        <v>9000</v>
      </c>
      <c r="S1571" s="92">
        <f t="shared" si="365"/>
        <v>0</v>
      </c>
      <c r="T1571" s="102">
        <f t="shared" si="370"/>
        <v>9874.2857142857138</v>
      </c>
      <c r="U1571" s="101">
        <f t="shared" si="371"/>
        <v>0</v>
      </c>
      <c r="V1571" s="101">
        <f t="shared" si="372"/>
        <v>0</v>
      </c>
      <c r="W1571" s="101">
        <v>0</v>
      </c>
      <c r="X1571" s="55">
        <f t="shared" si="368"/>
        <v>46153.680632716045</v>
      </c>
    </row>
    <row r="1572" spans="1:24" ht="26.5" hidden="1" x14ac:dyDescent="0.35">
      <c r="A1572" s="46">
        <f t="shared" si="369"/>
        <v>46153.680632716045</v>
      </c>
      <c r="B1572" s="46"/>
      <c r="C1572" s="260"/>
      <c r="D1572" s="46"/>
      <c r="E1572" s="47" t="s">
        <v>4395</v>
      </c>
      <c r="F1572" s="82" t="s">
        <v>314</v>
      </c>
      <c r="G1572" s="82" t="s">
        <v>315</v>
      </c>
      <c r="H1572" s="107" t="s">
        <v>6282</v>
      </c>
      <c r="I1572" s="69" t="s">
        <v>3525</v>
      </c>
      <c r="J1572" s="51" t="s">
        <v>140</v>
      </c>
      <c r="K1572" s="91">
        <v>0</v>
      </c>
      <c r="L1572" s="91">
        <v>0</v>
      </c>
      <c r="M1572" s="92">
        <v>45</v>
      </c>
      <c r="N1572" s="92">
        <v>15000</v>
      </c>
      <c r="O1572" s="92">
        <v>2</v>
      </c>
      <c r="P1572" s="92">
        <f t="shared" si="367"/>
        <v>7500</v>
      </c>
      <c r="Q1572" s="92"/>
      <c r="R1572" s="92">
        <v>7500</v>
      </c>
      <c r="S1572" s="92">
        <f t="shared" si="365"/>
        <v>0</v>
      </c>
      <c r="T1572" s="92">
        <f t="shared" si="370"/>
        <v>3840</v>
      </c>
      <c r="U1572" s="91">
        <f t="shared" si="371"/>
        <v>0</v>
      </c>
      <c r="V1572" s="91">
        <f t="shared" si="372"/>
        <v>0</v>
      </c>
      <c r="W1572" s="91">
        <v>0</v>
      </c>
      <c r="X1572" s="55">
        <f t="shared" si="368"/>
        <v>46153.680632716045</v>
      </c>
    </row>
    <row r="1573" spans="1:24" ht="26.5" hidden="1" x14ac:dyDescent="0.35">
      <c r="A1573" s="46">
        <f t="shared" si="369"/>
        <v>46153.680632716045</v>
      </c>
      <c r="B1573" s="46"/>
      <c r="C1573" s="260"/>
      <c r="D1573" s="46"/>
      <c r="E1573" s="47" t="s">
        <v>4395</v>
      </c>
      <c r="F1573" s="82" t="s">
        <v>4620</v>
      </c>
      <c r="G1573" s="82" t="s">
        <v>315</v>
      </c>
      <c r="H1573" s="98" t="s">
        <v>4605</v>
      </c>
      <c r="I1573" s="71" t="s">
        <v>4606</v>
      </c>
      <c r="J1573" s="491" t="s">
        <v>140</v>
      </c>
      <c r="K1573" s="91">
        <v>0</v>
      </c>
      <c r="L1573" s="91">
        <v>0</v>
      </c>
      <c r="M1573" s="92">
        <v>45</v>
      </c>
      <c r="N1573" s="92">
        <v>7000</v>
      </c>
      <c r="O1573" s="92">
        <v>2</v>
      </c>
      <c r="P1573" s="92">
        <f t="shared" si="367"/>
        <v>3500</v>
      </c>
      <c r="Q1573" s="92"/>
      <c r="R1573" s="92">
        <v>3500</v>
      </c>
      <c r="S1573" s="92">
        <f t="shared" si="365"/>
        <v>0</v>
      </c>
      <c r="T1573" s="102">
        <f t="shared" si="370"/>
        <v>3840</v>
      </c>
      <c r="U1573" s="101">
        <f t="shared" si="371"/>
        <v>0</v>
      </c>
      <c r="V1573" s="101">
        <f t="shared" si="372"/>
        <v>0</v>
      </c>
      <c r="W1573" s="101">
        <v>0</v>
      </c>
      <c r="X1573" s="55">
        <f t="shared" si="368"/>
        <v>46153.680632716045</v>
      </c>
    </row>
    <row r="1574" spans="1:24" hidden="1" x14ac:dyDescent="0.35">
      <c r="A1574" s="46">
        <f t="shared" si="369"/>
        <v>46153.680632716045</v>
      </c>
      <c r="B1574" s="46"/>
      <c r="C1574" s="260"/>
      <c r="D1574" s="46"/>
      <c r="E1574" s="47" t="s">
        <v>4395</v>
      </c>
      <c r="F1574" s="97" t="s">
        <v>5088</v>
      </c>
      <c r="G1574" s="97" t="s">
        <v>315</v>
      </c>
      <c r="H1574" s="98" t="s">
        <v>6293</v>
      </c>
      <c r="I1574" s="82" t="s">
        <v>6294</v>
      </c>
      <c r="J1574" s="51" t="s">
        <v>140</v>
      </c>
      <c r="K1574" s="91">
        <v>0</v>
      </c>
      <c r="L1574" s="91">
        <v>0</v>
      </c>
      <c r="M1574" s="92">
        <v>70</v>
      </c>
      <c r="N1574" s="92">
        <v>2000</v>
      </c>
      <c r="O1574" s="92">
        <v>1</v>
      </c>
      <c r="P1574" s="92">
        <f t="shared" si="367"/>
        <v>2000</v>
      </c>
      <c r="Q1574" s="92"/>
      <c r="R1574" s="92">
        <v>2000</v>
      </c>
      <c r="S1574" s="92">
        <f t="shared" si="365"/>
        <v>0</v>
      </c>
      <c r="T1574" s="92">
        <f t="shared" si="370"/>
        <v>1234.2857142857142</v>
      </c>
      <c r="U1574" s="91">
        <f t="shared" si="371"/>
        <v>0</v>
      </c>
      <c r="V1574" s="91">
        <f t="shared" si="372"/>
        <v>0</v>
      </c>
      <c r="W1574" s="91">
        <v>0</v>
      </c>
      <c r="X1574" s="55">
        <f t="shared" si="368"/>
        <v>46153.680632716045</v>
      </c>
    </row>
    <row r="1575" spans="1:24" s="202" customFormat="1" ht="26.5" hidden="1" x14ac:dyDescent="0.35">
      <c r="A1575" s="46">
        <f t="shared" si="369"/>
        <v>46153.680632716045</v>
      </c>
      <c r="B1575" s="46"/>
      <c r="C1575" s="260"/>
      <c r="D1575" s="46"/>
      <c r="E1575" s="47" t="s">
        <v>4395</v>
      </c>
      <c r="F1575" s="82"/>
      <c r="G1575" s="82" t="s">
        <v>315</v>
      </c>
      <c r="H1575" s="107" t="s">
        <v>6282</v>
      </c>
      <c r="I1575" s="69" t="s">
        <v>3525</v>
      </c>
      <c r="J1575" s="51" t="s">
        <v>140</v>
      </c>
      <c r="K1575" s="91">
        <v>0</v>
      </c>
      <c r="L1575" s="91">
        <v>0</v>
      </c>
      <c r="M1575" s="92">
        <v>45</v>
      </c>
      <c r="N1575" s="92">
        <f>56000-15000+30000</f>
        <v>71000</v>
      </c>
      <c r="O1575" s="92">
        <v>2</v>
      </c>
      <c r="P1575" s="92">
        <f t="shared" si="367"/>
        <v>35500</v>
      </c>
      <c r="Q1575" s="92"/>
      <c r="R1575" s="92">
        <v>35500</v>
      </c>
      <c r="S1575" s="92">
        <f t="shared" si="365"/>
        <v>0</v>
      </c>
      <c r="T1575" s="92">
        <f t="shared" si="370"/>
        <v>3840</v>
      </c>
      <c r="U1575" s="91">
        <f t="shared" si="371"/>
        <v>0</v>
      </c>
      <c r="V1575" s="91">
        <f t="shared" si="372"/>
        <v>0</v>
      </c>
      <c r="W1575" s="91">
        <v>0</v>
      </c>
      <c r="X1575" s="55">
        <f t="shared" si="368"/>
        <v>46153.680632716045</v>
      </c>
    </row>
    <row r="1576" spans="1:24" ht="26" hidden="1" x14ac:dyDescent="0.35">
      <c r="A1576" s="46">
        <f t="shared" si="369"/>
        <v>46153.680632716045</v>
      </c>
      <c r="B1576" s="46"/>
      <c r="C1576" s="260"/>
      <c r="D1576" s="46"/>
      <c r="E1576" s="47" t="s">
        <v>4395</v>
      </c>
      <c r="F1576" s="82" t="s">
        <v>3517</v>
      </c>
      <c r="G1576" s="82" t="s">
        <v>3510</v>
      </c>
      <c r="H1576" s="340" t="s">
        <v>3518</v>
      </c>
      <c r="I1576" s="405" t="s">
        <v>3519</v>
      </c>
      <c r="J1576" s="100" t="s">
        <v>140</v>
      </c>
      <c r="K1576" s="91">
        <v>0</v>
      </c>
      <c r="L1576" s="91">
        <v>0</v>
      </c>
      <c r="M1576" s="92">
        <v>36</v>
      </c>
      <c r="N1576" s="94">
        <v>10000</v>
      </c>
      <c r="O1576" s="92">
        <v>2</v>
      </c>
      <c r="P1576" s="94">
        <f t="shared" si="367"/>
        <v>5000</v>
      </c>
      <c r="Q1576" s="94"/>
      <c r="R1576" s="92">
        <v>5000</v>
      </c>
      <c r="S1576" s="92">
        <f t="shared" si="365"/>
        <v>0</v>
      </c>
      <c r="T1576" s="102">
        <f t="shared" si="370"/>
        <v>4800</v>
      </c>
      <c r="U1576" s="101">
        <f t="shared" si="371"/>
        <v>0</v>
      </c>
      <c r="V1576" s="101">
        <f t="shared" si="372"/>
        <v>0</v>
      </c>
      <c r="W1576" s="101">
        <v>0</v>
      </c>
      <c r="X1576" s="696">
        <f>A1576+K1576+L1576+V1576+W1576</f>
        <v>46153.680632716045</v>
      </c>
    </row>
    <row r="1577" spans="1:24" ht="26" hidden="1" x14ac:dyDescent="0.35">
      <c r="A1577" s="295">
        <f t="shared" si="369"/>
        <v>46153.680632716045</v>
      </c>
      <c r="B1577" s="295"/>
      <c r="C1577" s="979"/>
      <c r="D1577" s="295"/>
      <c r="E1577" s="296" t="s">
        <v>4395</v>
      </c>
      <c r="F1577" s="297" t="s">
        <v>1801</v>
      </c>
      <c r="G1577" s="297" t="s">
        <v>3510</v>
      </c>
      <c r="H1577" s="1057" t="s">
        <v>6295</v>
      </c>
      <c r="I1577" s="921" t="s">
        <v>6296</v>
      </c>
      <c r="J1577" s="300" t="s">
        <v>140</v>
      </c>
      <c r="K1577" s="352">
        <v>0</v>
      </c>
      <c r="L1577" s="352">
        <v>0</v>
      </c>
      <c r="M1577" s="353">
        <v>30</v>
      </c>
      <c r="N1577" s="354">
        <v>30</v>
      </c>
      <c r="O1577" s="353">
        <v>2</v>
      </c>
      <c r="P1577" s="354">
        <f t="shared" si="367"/>
        <v>15</v>
      </c>
      <c r="Q1577" s="354"/>
      <c r="R1577" s="353">
        <v>15</v>
      </c>
      <c r="S1577" s="353">
        <f t="shared" si="365"/>
        <v>0</v>
      </c>
      <c r="T1577" s="302">
        <f t="shared" si="370"/>
        <v>5760</v>
      </c>
      <c r="U1577" s="301">
        <f t="shared" si="371"/>
        <v>0</v>
      </c>
      <c r="V1577" s="301">
        <f t="shared" si="372"/>
        <v>0</v>
      </c>
      <c r="W1577" s="301">
        <v>0</v>
      </c>
      <c r="X1577" s="1058">
        <f>A1577+K1577+L1577+V1577+W1577</f>
        <v>46153.680632716045</v>
      </c>
    </row>
    <row r="1578" spans="1:24" hidden="1" x14ac:dyDescent="0.35">
      <c r="A1578" s="46">
        <f t="shared" si="369"/>
        <v>46153.680632716045</v>
      </c>
      <c r="B1578" s="46"/>
      <c r="C1578" s="260"/>
      <c r="D1578" s="46"/>
      <c r="E1578" s="47" t="s">
        <v>4395</v>
      </c>
      <c r="F1578" s="82" t="s">
        <v>6297</v>
      </c>
      <c r="G1578" s="82" t="s">
        <v>327</v>
      </c>
      <c r="H1578" s="98" t="s">
        <v>6298</v>
      </c>
      <c r="I1578" s="82" t="s">
        <v>5311</v>
      </c>
      <c r="J1578" s="491" t="s">
        <v>140</v>
      </c>
      <c r="K1578" s="91">
        <v>0</v>
      </c>
      <c r="L1578" s="91">
        <v>0</v>
      </c>
      <c r="M1578" s="92">
        <v>50</v>
      </c>
      <c r="N1578" s="94">
        <v>1500</v>
      </c>
      <c r="O1578" s="92">
        <v>2</v>
      </c>
      <c r="P1578" s="94">
        <f t="shared" si="367"/>
        <v>750</v>
      </c>
      <c r="Q1578" s="94"/>
      <c r="R1578" s="92">
        <v>750</v>
      </c>
      <c r="S1578" s="92">
        <f t="shared" si="365"/>
        <v>0</v>
      </c>
      <c r="T1578" s="102">
        <f t="shared" si="370"/>
        <v>3456</v>
      </c>
      <c r="U1578" s="101">
        <f t="shared" si="371"/>
        <v>0</v>
      </c>
      <c r="V1578" s="101">
        <f t="shared" si="372"/>
        <v>0</v>
      </c>
      <c r="W1578" s="101">
        <v>0</v>
      </c>
      <c r="X1578" s="696">
        <f>A1578+K1578+L1578+V1578+W1578</f>
        <v>46153.680632716045</v>
      </c>
    </row>
    <row r="1579" spans="1:24" hidden="1" x14ac:dyDescent="0.35">
      <c r="A1579" s="46">
        <f t="shared" si="369"/>
        <v>46153.680632716045</v>
      </c>
      <c r="B1579" s="46"/>
      <c r="C1579" s="260"/>
      <c r="D1579" s="46"/>
      <c r="E1579" s="47" t="s">
        <v>4395</v>
      </c>
      <c r="F1579" s="97" t="s">
        <v>1860</v>
      </c>
      <c r="G1579" s="698" t="s">
        <v>3508</v>
      </c>
      <c r="H1579" s="699" t="s">
        <v>6299</v>
      </c>
      <c r="I1579" s="82" t="s">
        <v>3536</v>
      </c>
      <c r="J1579" s="51" t="s">
        <v>140</v>
      </c>
      <c r="K1579" s="91">
        <v>0</v>
      </c>
      <c r="L1579" s="91">
        <v>0</v>
      </c>
      <c r="M1579" s="92">
        <v>40</v>
      </c>
      <c r="N1579" s="94">
        <v>5000</v>
      </c>
      <c r="O1579" s="92">
        <v>2</v>
      </c>
      <c r="P1579" s="94">
        <f t="shared" si="367"/>
        <v>2500</v>
      </c>
      <c r="Q1579" s="94"/>
      <c r="R1579" s="92">
        <v>2500</v>
      </c>
      <c r="S1579" s="92">
        <f t="shared" si="365"/>
        <v>0</v>
      </c>
      <c r="T1579" s="92">
        <f t="shared" si="370"/>
        <v>4320</v>
      </c>
      <c r="U1579" s="91">
        <f t="shared" si="371"/>
        <v>0</v>
      </c>
      <c r="V1579" s="91">
        <f t="shared" si="372"/>
        <v>0</v>
      </c>
      <c r="W1579" s="91">
        <v>0</v>
      </c>
      <c r="X1579" s="55">
        <f>A1579+K1579+L1579+V1579+W1579</f>
        <v>46153.680632716045</v>
      </c>
    </row>
    <row r="1580" spans="1:24" s="118" customFormat="1" ht="26.5" hidden="1" x14ac:dyDescent="0.35">
      <c r="A1580" s="46">
        <f t="shared" si="369"/>
        <v>46153.680632716045</v>
      </c>
      <c r="B1580" s="46"/>
      <c r="C1580" s="260"/>
      <c r="D1580" s="46"/>
      <c r="E1580" s="47" t="s">
        <v>4384</v>
      </c>
      <c r="F1580" s="82" t="s">
        <v>3523</v>
      </c>
      <c r="G1580" s="82" t="s">
        <v>327</v>
      </c>
      <c r="H1580" s="107" t="s">
        <v>3524</v>
      </c>
      <c r="I1580" s="69" t="s">
        <v>3525</v>
      </c>
      <c r="J1580" s="51" t="s">
        <v>140</v>
      </c>
      <c r="K1580" s="91">
        <v>0</v>
      </c>
      <c r="L1580" s="91">
        <v>0</v>
      </c>
      <c r="M1580" s="92">
        <v>45</v>
      </c>
      <c r="N1580" s="94">
        <v>20000</v>
      </c>
      <c r="O1580" s="92">
        <v>2</v>
      </c>
      <c r="P1580" s="94">
        <f t="shared" si="367"/>
        <v>10000</v>
      </c>
      <c r="Q1580" s="94"/>
      <c r="R1580" s="92">
        <v>10000</v>
      </c>
      <c r="S1580" s="94">
        <f t="shared" si="365"/>
        <v>0</v>
      </c>
      <c r="T1580" s="92">
        <f t="shared" si="370"/>
        <v>3840</v>
      </c>
      <c r="U1580" s="91">
        <f t="shared" si="371"/>
        <v>0</v>
      </c>
      <c r="V1580" s="91">
        <f t="shared" si="372"/>
        <v>0</v>
      </c>
      <c r="W1580" s="91">
        <v>0</v>
      </c>
      <c r="X1580" s="55">
        <f>A1580+K1580+V1580+W1580+L1580</f>
        <v>46153.680632716045</v>
      </c>
    </row>
    <row r="1581" spans="1:24" s="118" customFormat="1" ht="26.5" hidden="1" x14ac:dyDescent="0.35">
      <c r="A1581" s="46">
        <f>X1578</f>
        <v>46153.680632716045</v>
      </c>
      <c r="B1581" s="46"/>
      <c r="C1581" s="260"/>
      <c r="D1581" s="46"/>
      <c r="E1581" s="47" t="s">
        <v>4395</v>
      </c>
      <c r="F1581" s="82" t="s">
        <v>3523</v>
      </c>
      <c r="G1581" s="82" t="s">
        <v>327</v>
      </c>
      <c r="H1581" s="107" t="s">
        <v>3524</v>
      </c>
      <c r="I1581" s="69" t="s">
        <v>3525</v>
      </c>
      <c r="J1581" s="51" t="s">
        <v>140</v>
      </c>
      <c r="K1581" s="91">
        <v>0</v>
      </c>
      <c r="L1581" s="91">
        <v>0</v>
      </c>
      <c r="M1581" s="92">
        <v>45</v>
      </c>
      <c r="N1581" s="94">
        <f>30706*2</f>
        <v>61412</v>
      </c>
      <c r="O1581" s="92">
        <v>2</v>
      </c>
      <c r="P1581" s="94">
        <f t="shared" si="367"/>
        <v>30706</v>
      </c>
      <c r="Q1581" s="94"/>
      <c r="R1581" s="92">
        <v>30706</v>
      </c>
      <c r="S1581" s="94">
        <f t="shared" si="365"/>
        <v>0</v>
      </c>
      <c r="T1581" s="92">
        <f t="shared" si="370"/>
        <v>3840</v>
      </c>
      <c r="U1581" s="91">
        <f t="shared" si="371"/>
        <v>0</v>
      </c>
      <c r="V1581" s="91">
        <f t="shared" si="372"/>
        <v>0</v>
      </c>
      <c r="W1581" s="91">
        <v>0</v>
      </c>
      <c r="X1581" s="55">
        <f>A1581+K1581+V1581+W1581+L1581</f>
        <v>46153.680632716045</v>
      </c>
    </row>
    <row r="1582" spans="1:24" s="202" customFormat="1" ht="26.5" hidden="1" x14ac:dyDescent="0.35">
      <c r="A1582" s="46">
        <f>X1580</f>
        <v>46153.680632716045</v>
      </c>
      <c r="B1582" s="46"/>
      <c r="C1582" s="260"/>
      <c r="D1582" s="46"/>
      <c r="E1582" s="47" t="s">
        <v>4395</v>
      </c>
      <c r="F1582" s="82" t="s">
        <v>220</v>
      </c>
      <c r="G1582" s="82"/>
      <c r="H1582" s="334" t="s">
        <v>6281</v>
      </c>
      <c r="I1582" s="697" t="s">
        <v>3464</v>
      </c>
      <c r="J1582" s="100" t="s">
        <v>140</v>
      </c>
      <c r="K1582" s="91">
        <v>0</v>
      </c>
      <c r="L1582" s="91">
        <v>0</v>
      </c>
      <c r="M1582" s="92">
        <v>40</v>
      </c>
      <c r="N1582" s="94">
        <v>8500</v>
      </c>
      <c r="O1582" s="92">
        <v>1</v>
      </c>
      <c r="P1582" s="92">
        <f t="shared" si="367"/>
        <v>8500</v>
      </c>
      <c r="Q1582" s="92"/>
      <c r="R1582" s="92">
        <v>8500</v>
      </c>
      <c r="S1582" s="102">
        <f t="shared" ref="S1582:S1591" si="373">P1582-R1582</f>
        <v>0</v>
      </c>
      <c r="T1582" s="102">
        <f t="shared" si="370"/>
        <v>2160</v>
      </c>
      <c r="U1582" s="101">
        <f t="shared" si="371"/>
        <v>0</v>
      </c>
      <c r="V1582" s="101">
        <f t="shared" si="372"/>
        <v>0</v>
      </c>
      <c r="W1582" s="101">
        <v>0</v>
      </c>
      <c r="X1582" s="55">
        <f>A1582+K1582+V1582+W1582+L1582</f>
        <v>46153.680632716045</v>
      </c>
    </row>
    <row r="1583" spans="1:24" hidden="1" x14ac:dyDescent="0.35">
      <c r="A1583" s="46">
        <f t="shared" ref="A1583:A1604" si="374">X1582</f>
        <v>46153.680632716045</v>
      </c>
      <c r="B1583" s="46"/>
      <c r="C1583" s="260"/>
      <c r="D1583" s="46"/>
      <c r="E1583" s="47" t="s">
        <v>4395</v>
      </c>
      <c r="F1583" s="99" t="s">
        <v>6300</v>
      </c>
      <c r="G1583" s="99" t="s">
        <v>792</v>
      </c>
      <c r="H1583" s="98" t="s">
        <v>6301</v>
      </c>
      <c r="I1583" s="106" t="s">
        <v>5291</v>
      </c>
      <c r="J1583" s="100" t="s">
        <v>140</v>
      </c>
      <c r="K1583" s="91">
        <v>0</v>
      </c>
      <c r="L1583" s="91">
        <v>0</v>
      </c>
      <c r="M1583" s="92">
        <v>50</v>
      </c>
      <c r="N1583" s="94">
        <v>20000</v>
      </c>
      <c r="O1583" s="92">
        <v>2</v>
      </c>
      <c r="P1583" s="94">
        <f t="shared" si="367"/>
        <v>10000</v>
      </c>
      <c r="Q1583" s="94"/>
      <c r="R1583" s="92">
        <v>10000</v>
      </c>
      <c r="S1583" s="92">
        <f t="shared" si="373"/>
        <v>0</v>
      </c>
      <c r="T1583" s="102">
        <f t="shared" si="370"/>
        <v>3456</v>
      </c>
      <c r="U1583" s="101">
        <f t="shared" si="371"/>
        <v>0</v>
      </c>
      <c r="V1583" s="101">
        <f t="shared" si="372"/>
        <v>0</v>
      </c>
      <c r="W1583" s="101">
        <v>0</v>
      </c>
      <c r="X1583" s="55">
        <f>A1583+K1583+L1583+V1583+W1583</f>
        <v>46153.680632716045</v>
      </c>
    </row>
    <row r="1584" spans="1:24" hidden="1" x14ac:dyDescent="0.35">
      <c r="A1584" s="46">
        <f t="shared" si="374"/>
        <v>46153.680632716045</v>
      </c>
      <c r="B1584" s="46"/>
      <c r="C1584" s="260"/>
      <c r="D1584" s="46"/>
      <c r="E1584" s="47" t="s">
        <v>4395</v>
      </c>
      <c r="F1584" s="82" t="s">
        <v>5515</v>
      </c>
      <c r="G1584" s="82" t="s">
        <v>327</v>
      </c>
      <c r="H1584" s="107" t="s">
        <v>6302</v>
      </c>
      <c r="I1584" s="390" t="s">
        <v>5517</v>
      </c>
      <c r="J1584" s="100" t="s">
        <v>140</v>
      </c>
      <c r="K1584" s="91">
        <v>0</v>
      </c>
      <c r="L1584" s="91">
        <v>0</v>
      </c>
      <c r="M1584" s="92">
        <v>45</v>
      </c>
      <c r="N1584" s="94">
        <v>6000</v>
      </c>
      <c r="O1584" s="92">
        <v>4</v>
      </c>
      <c r="P1584" s="94">
        <f t="shared" si="367"/>
        <v>1500</v>
      </c>
      <c r="Q1584" s="94"/>
      <c r="R1584" s="92">
        <v>1500</v>
      </c>
      <c r="S1584" s="92">
        <f t="shared" si="373"/>
        <v>0</v>
      </c>
      <c r="T1584" s="102">
        <f t="shared" si="370"/>
        <v>7680</v>
      </c>
      <c r="U1584" s="101">
        <f t="shared" si="371"/>
        <v>0</v>
      </c>
      <c r="V1584" s="101">
        <f t="shared" si="372"/>
        <v>0</v>
      </c>
      <c r="W1584" s="101">
        <v>0</v>
      </c>
      <c r="X1584" s="55">
        <f>A1584+K1584+V1584+W1584+L1584</f>
        <v>46153.680632716045</v>
      </c>
    </row>
    <row r="1585" spans="1:24" ht="39.5" hidden="1" x14ac:dyDescent="0.35">
      <c r="A1585" s="46">
        <f t="shared" si="374"/>
        <v>46153.680632716045</v>
      </c>
      <c r="B1585" s="46"/>
      <c r="C1585" s="260"/>
      <c r="D1585" s="46"/>
      <c r="E1585" s="47" t="s">
        <v>4395</v>
      </c>
      <c r="F1585" s="82" t="s">
        <v>5515</v>
      </c>
      <c r="G1585" s="82" t="s">
        <v>327</v>
      </c>
      <c r="H1585" s="107" t="s">
        <v>6303</v>
      </c>
      <c r="I1585" s="390" t="s">
        <v>6304</v>
      </c>
      <c r="J1585" s="100" t="s">
        <v>140</v>
      </c>
      <c r="K1585" s="91">
        <v>0</v>
      </c>
      <c r="L1585" s="91">
        <v>0</v>
      </c>
      <c r="M1585" s="92">
        <v>38</v>
      </c>
      <c r="N1585" s="94">
        <v>6000</v>
      </c>
      <c r="O1585" s="92">
        <v>4</v>
      </c>
      <c r="P1585" s="94">
        <f t="shared" si="367"/>
        <v>1500</v>
      </c>
      <c r="Q1585" s="94"/>
      <c r="R1585" s="92">
        <v>1500</v>
      </c>
      <c r="S1585" s="92">
        <f t="shared" si="373"/>
        <v>0</v>
      </c>
      <c r="T1585" s="92">
        <f t="shared" si="370"/>
        <v>9094.7368421052633</v>
      </c>
      <c r="U1585" s="91">
        <f t="shared" si="371"/>
        <v>0</v>
      </c>
      <c r="V1585" s="91">
        <f t="shared" si="372"/>
        <v>0</v>
      </c>
      <c r="W1585" s="91">
        <v>0</v>
      </c>
      <c r="X1585" s="55">
        <f>A1585+K1585+V1585+W1585+L1585</f>
        <v>46153.680632716045</v>
      </c>
    </row>
    <row r="1586" spans="1:24" hidden="1" x14ac:dyDescent="0.35">
      <c r="A1586" s="46">
        <f t="shared" si="374"/>
        <v>46153.680632716045</v>
      </c>
      <c r="B1586" s="46"/>
      <c r="C1586" s="260"/>
      <c r="D1586" s="46"/>
      <c r="E1586" s="47" t="s">
        <v>4395</v>
      </c>
      <c r="F1586" s="82" t="s">
        <v>6297</v>
      </c>
      <c r="G1586" s="82" t="s">
        <v>327</v>
      </c>
      <c r="H1586" s="98" t="s">
        <v>6298</v>
      </c>
      <c r="I1586" s="82" t="s">
        <v>5311</v>
      </c>
      <c r="J1586" s="491" t="s">
        <v>140</v>
      </c>
      <c r="K1586" s="91">
        <v>0</v>
      </c>
      <c r="L1586" s="91">
        <v>0</v>
      </c>
      <c r="M1586" s="92">
        <v>50</v>
      </c>
      <c r="N1586" s="94">
        <v>2000</v>
      </c>
      <c r="O1586" s="92">
        <v>2</v>
      </c>
      <c r="P1586" s="94">
        <f t="shared" si="367"/>
        <v>1000</v>
      </c>
      <c r="Q1586" s="94"/>
      <c r="R1586" s="92">
        <v>1000</v>
      </c>
      <c r="S1586" s="92">
        <f t="shared" si="373"/>
        <v>0</v>
      </c>
      <c r="T1586" s="102">
        <f t="shared" si="370"/>
        <v>3456</v>
      </c>
      <c r="U1586" s="101">
        <f t="shared" si="371"/>
        <v>0</v>
      </c>
      <c r="V1586" s="101">
        <f t="shared" si="372"/>
        <v>0</v>
      </c>
      <c r="W1586" s="101">
        <v>0</v>
      </c>
      <c r="X1586" s="55">
        <f>A1586+K1586+V1586+W1586+L1586</f>
        <v>46153.680632716045</v>
      </c>
    </row>
    <row r="1587" spans="1:24" hidden="1" x14ac:dyDescent="0.35">
      <c r="A1587" s="46">
        <f t="shared" si="374"/>
        <v>46153.680632716045</v>
      </c>
      <c r="B1587" s="46"/>
      <c r="C1587" s="260"/>
      <c r="D1587" s="46"/>
      <c r="E1587" s="47" t="s">
        <v>4897</v>
      </c>
      <c r="F1587" s="82" t="s">
        <v>6305</v>
      </c>
      <c r="G1587" s="831" t="s">
        <v>792</v>
      </c>
      <c r="H1587" s="1059" t="s">
        <v>6306</v>
      </c>
      <c r="I1587" s="82" t="s">
        <v>5055</v>
      </c>
      <c r="J1587" s="100" t="s">
        <v>140</v>
      </c>
      <c r="K1587" s="91">
        <v>0</v>
      </c>
      <c r="L1587" s="91">
        <v>0</v>
      </c>
      <c r="M1587" s="92">
        <v>45</v>
      </c>
      <c r="N1587" s="94">
        <v>1500</v>
      </c>
      <c r="O1587" s="92">
        <v>2</v>
      </c>
      <c r="P1587" s="94">
        <f t="shared" si="367"/>
        <v>750</v>
      </c>
      <c r="Q1587" s="94"/>
      <c r="R1587" s="92">
        <v>750</v>
      </c>
      <c r="S1587" s="92">
        <f t="shared" si="373"/>
        <v>0</v>
      </c>
      <c r="T1587" s="102">
        <f t="shared" si="370"/>
        <v>3840</v>
      </c>
      <c r="U1587" s="101">
        <f t="shared" si="371"/>
        <v>0</v>
      </c>
      <c r="V1587" s="101">
        <f t="shared" si="372"/>
        <v>0</v>
      </c>
      <c r="W1587" s="101">
        <v>0</v>
      </c>
      <c r="X1587" s="55">
        <f>A1587+K1587+L1587+V1587+W1587</f>
        <v>46153.680632716045</v>
      </c>
    </row>
    <row r="1588" spans="1:24" hidden="1" x14ac:dyDescent="0.35">
      <c r="A1588" s="46">
        <f t="shared" si="374"/>
        <v>46153.680632716045</v>
      </c>
      <c r="B1588" s="46"/>
      <c r="C1588" s="260"/>
      <c r="D1588" s="46"/>
      <c r="E1588" s="47" t="s">
        <v>4395</v>
      </c>
      <c r="F1588" s="82" t="s">
        <v>2648</v>
      </c>
      <c r="G1588" s="82" t="s">
        <v>792</v>
      </c>
      <c r="H1588" s="98" t="s">
        <v>6307</v>
      </c>
      <c r="I1588" s="82" t="s">
        <v>4398</v>
      </c>
      <c r="J1588" s="100" t="s">
        <v>140</v>
      </c>
      <c r="K1588" s="91">
        <v>0</v>
      </c>
      <c r="L1588" s="91">
        <v>0</v>
      </c>
      <c r="M1588" s="92">
        <v>40</v>
      </c>
      <c r="N1588" s="94">
        <v>30000</v>
      </c>
      <c r="O1588" s="345">
        <v>1</v>
      </c>
      <c r="P1588" s="94">
        <f t="shared" si="367"/>
        <v>30000</v>
      </c>
      <c r="Q1588" s="94"/>
      <c r="R1588" s="92">
        <v>30000</v>
      </c>
      <c r="S1588" s="92">
        <f t="shared" si="373"/>
        <v>0</v>
      </c>
      <c r="T1588" s="102">
        <f t="shared" si="370"/>
        <v>2160</v>
      </c>
      <c r="U1588" s="101">
        <f t="shared" si="371"/>
        <v>0</v>
      </c>
      <c r="V1588" s="101">
        <f t="shared" si="372"/>
        <v>0</v>
      </c>
      <c r="W1588" s="101">
        <v>0</v>
      </c>
      <c r="X1588" s="55">
        <f>A1588+K1588+V1588+W1588+L1588</f>
        <v>46153.680632716045</v>
      </c>
    </row>
    <row r="1589" spans="1:24" hidden="1" x14ac:dyDescent="0.35">
      <c r="A1589" s="123">
        <f t="shared" si="374"/>
        <v>46153.680632716045</v>
      </c>
      <c r="B1589" s="123"/>
      <c r="C1589" s="190"/>
      <c r="D1589" s="123"/>
      <c r="E1589" s="124" t="s">
        <v>4395</v>
      </c>
      <c r="F1589" s="125" t="s">
        <v>6308</v>
      </c>
      <c r="G1589" s="125" t="s">
        <v>792</v>
      </c>
      <c r="H1589" s="126" t="s">
        <v>6309</v>
      </c>
      <c r="I1589" s="159" t="s">
        <v>6262</v>
      </c>
      <c r="J1589" s="128" t="s">
        <v>140</v>
      </c>
      <c r="K1589" s="129">
        <v>0</v>
      </c>
      <c r="L1589" s="129">
        <v>0</v>
      </c>
      <c r="M1589" s="130">
        <v>36</v>
      </c>
      <c r="N1589" s="131">
        <v>1294</v>
      </c>
      <c r="O1589" s="130">
        <v>2</v>
      </c>
      <c r="P1589" s="131">
        <f t="shared" si="367"/>
        <v>647</v>
      </c>
      <c r="Q1589" s="131"/>
      <c r="R1589" s="130">
        <v>647</v>
      </c>
      <c r="S1589" s="130">
        <f t="shared" si="373"/>
        <v>0</v>
      </c>
      <c r="T1589" s="130">
        <f t="shared" si="370"/>
        <v>4800</v>
      </c>
      <c r="U1589" s="129">
        <f t="shared" si="371"/>
        <v>0</v>
      </c>
      <c r="V1589" s="129">
        <f t="shared" si="372"/>
        <v>0</v>
      </c>
      <c r="W1589" s="129">
        <v>0</v>
      </c>
      <c r="X1589" s="137">
        <f>A1589+K1589+V1589+W1589+L1589</f>
        <v>46153.680632716045</v>
      </c>
    </row>
    <row r="1590" spans="1:24" hidden="1" x14ac:dyDescent="0.35">
      <c r="A1590" s="46">
        <f t="shared" si="374"/>
        <v>46153.680632716045</v>
      </c>
      <c r="B1590" s="46"/>
      <c r="C1590" s="260"/>
      <c r="D1590" s="46"/>
      <c r="E1590" s="47" t="s">
        <v>4395</v>
      </c>
      <c r="F1590" s="99" t="s">
        <v>6310</v>
      </c>
      <c r="G1590" s="99" t="s">
        <v>359</v>
      </c>
      <c r="H1590" s="98" t="s">
        <v>6311</v>
      </c>
      <c r="I1590" s="106" t="s">
        <v>5291</v>
      </c>
      <c r="J1590" s="100" t="s">
        <v>140</v>
      </c>
      <c r="K1590" s="91">
        <v>0</v>
      </c>
      <c r="L1590" s="91">
        <v>0</v>
      </c>
      <c r="M1590" s="92">
        <v>50</v>
      </c>
      <c r="N1590" s="94">
        <v>20000</v>
      </c>
      <c r="O1590" s="345">
        <v>2</v>
      </c>
      <c r="P1590" s="94">
        <f t="shared" si="367"/>
        <v>10000</v>
      </c>
      <c r="Q1590" s="94"/>
      <c r="R1590" s="92">
        <v>10000</v>
      </c>
      <c r="S1590" s="92">
        <f t="shared" si="373"/>
        <v>0</v>
      </c>
      <c r="T1590" s="102">
        <f t="shared" si="370"/>
        <v>3456</v>
      </c>
      <c r="U1590" s="101">
        <f t="shared" si="371"/>
        <v>0</v>
      </c>
      <c r="V1590" s="101">
        <f t="shared" si="372"/>
        <v>0</v>
      </c>
      <c r="W1590" s="101">
        <v>0</v>
      </c>
      <c r="X1590" s="55">
        <f>A1590+K1590+L1590+V1590+W1590</f>
        <v>46153.680632716045</v>
      </c>
    </row>
    <row r="1591" spans="1:24" s="109" customFormat="1" ht="26" hidden="1" x14ac:dyDescent="0.3">
      <c r="A1591" s="123">
        <f t="shared" si="374"/>
        <v>46153.680632716045</v>
      </c>
      <c r="B1591" s="123"/>
      <c r="C1591" s="190"/>
      <c r="D1591" s="123"/>
      <c r="E1591" s="124" t="s">
        <v>4897</v>
      </c>
      <c r="F1591" s="187" t="s">
        <v>4759</v>
      </c>
      <c r="G1591" s="159" t="s">
        <v>359</v>
      </c>
      <c r="H1591" s="126" t="s">
        <v>5135</v>
      </c>
      <c r="I1591" s="161" t="s">
        <v>4606</v>
      </c>
      <c r="J1591" s="1060" t="s">
        <v>140</v>
      </c>
      <c r="K1591" s="129">
        <v>0</v>
      </c>
      <c r="L1591" s="129">
        <v>0</v>
      </c>
      <c r="M1591" s="130">
        <v>45</v>
      </c>
      <c r="N1591" s="131">
        <v>4000</v>
      </c>
      <c r="O1591" s="130">
        <v>2</v>
      </c>
      <c r="P1591" s="131">
        <f t="shared" si="367"/>
        <v>2000</v>
      </c>
      <c r="Q1591" s="131"/>
      <c r="R1591" s="130">
        <v>2000</v>
      </c>
      <c r="S1591" s="130">
        <f t="shared" si="373"/>
        <v>0</v>
      </c>
      <c r="T1591" s="164">
        <f t="shared" si="370"/>
        <v>3840</v>
      </c>
      <c r="U1591" s="163">
        <f t="shared" si="371"/>
        <v>0</v>
      </c>
      <c r="V1591" s="163">
        <f t="shared" si="372"/>
        <v>0</v>
      </c>
      <c r="W1591" s="163">
        <v>0</v>
      </c>
      <c r="X1591" s="137">
        <f>A1591+K1591+V1591+W1591+L1591</f>
        <v>46153.680632716045</v>
      </c>
    </row>
    <row r="1592" spans="1:24" hidden="1" x14ac:dyDescent="0.35">
      <c r="A1592" s="295">
        <f t="shared" si="374"/>
        <v>46153.680632716045</v>
      </c>
      <c r="B1592" s="295"/>
      <c r="C1592" s="979"/>
      <c r="D1592" s="295"/>
      <c r="E1592" s="296" t="s">
        <v>4395</v>
      </c>
      <c r="F1592" s="367" t="s">
        <v>14</v>
      </c>
      <c r="G1592" s="297"/>
      <c r="H1592" s="367" t="s">
        <v>14</v>
      </c>
      <c r="I1592" s="297" t="s">
        <v>6160</v>
      </c>
      <c r="J1592" s="351"/>
      <c r="K1592" s="352">
        <v>0</v>
      </c>
      <c r="L1592" s="352">
        <v>0</v>
      </c>
      <c r="M1592" s="1021">
        <v>70</v>
      </c>
      <c r="N1592" s="353">
        <v>150</v>
      </c>
      <c r="O1592" s="353">
        <v>4</v>
      </c>
      <c r="P1592" s="353">
        <f t="shared" si="367"/>
        <v>37.5</v>
      </c>
      <c r="Q1592" s="353"/>
      <c r="R1592" s="353">
        <v>38</v>
      </c>
      <c r="S1592" s="353">
        <v>0</v>
      </c>
      <c r="T1592" s="353">
        <f t="shared" si="370"/>
        <v>4937.1428571428569</v>
      </c>
      <c r="U1592" s="352">
        <f t="shared" si="371"/>
        <v>-9.7222222222222224E-3</v>
      </c>
      <c r="V1592" s="352">
        <f t="shared" si="372"/>
        <v>-4.0509259259259258E-4</v>
      </c>
      <c r="W1592" s="352">
        <v>0</v>
      </c>
      <c r="X1592" s="308">
        <f>A1592+K1592+V1592+W1592+L1592</f>
        <v>46153.680227623452</v>
      </c>
    </row>
    <row r="1593" spans="1:24" hidden="1" x14ac:dyDescent="0.35">
      <c r="A1593" s="46">
        <f t="shared" si="374"/>
        <v>46153.680227623452</v>
      </c>
      <c r="B1593" s="46"/>
      <c r="C1593" s="260"/>
      <c r="D1593" s="46"/>
      <c r="E1593" s="47" t="s">
        <v>4897</v>
      </c>
      <c r="F1593" s="82" t="s">
        <v>6312</v>
      </c>
      <c r="G1593" s="82" t="s">
        <v>792</v>
      </c>
      <c r="H1593" s="98" t="s">
        <v>6313</v>
      </c>
      <c r="I1593" s="82" t="s">
        <v>5169</v>
      </c>
      <c r="J1593" s="51" t="s">
        <v>140</v>
      </c>
      <c r="K1593" s="91">
        <v>0</v>
      </c>
      <c r="L1593" s="91">
        <v>0</v>
      </c>
      <c r="M1593" s="92">
        <v>45</v>
      </c>
      <c r="N1593" s="94">
        <v>5804</v>
      </c>
      <c r="O1593" s="92">
        <v>2</v>
      </c>
      <c r="P1593" s="94">
        <f t="shared" si="367"/>
        <v>2902</v>
      </c>
      <c r="Q1593" s="94"/>
      <c r="R1593" s="92">
        <v>2902</v>
      </c>
      <c r="S1593" s="92">
        <f t="shared" ref="S1593:S1616" si="375">P1593-R1593</f>
        <v>0</v>
      </c>
      <c r="T1593" s="92">
        <f t="shared" si="370"/>
        <v>3840</v>
      </c>
      <c r="U1593" s="91">
        <f t="shared" si="371"/>
        <v>0</v>
      </c>
      <c r="V1593" s="91">
        <f t="shared" si="372"/>
        <v>0</v>
      </c>
      <c r="W1593" s="91">
        <v>0</v>
      </c>
      <c r="X1593" s="55">
        <f>A1593+K1593+V1593+W1593+L1593</f>
        <v>46153.680227623452</v>
      </c>
    </row>
    <row r="1594" spans="1:24" hidden="1" x14ac:dyDescent="0.35">
      <c r="A1594" s="295">
        <f t="shared" si="374"/>
        <v>46153.680227623452</v>
      </c>
      <c r="B1594" s="295"/>
      <c r="C1594" s="979"/>
      <c r="D1594" s="295"/>
      <c r="E1594" s="296" t="s">
        <v>4897</v>
      </c>
      <c r="F1594" s="366" t="s">
        <v>14</v>
      </c>
      <c r="G1594" s="366"/>
      <c r="H1594" s="298" t="s">
        <v>14</v>
      </c>
      <c r="I1594" s="1061" t="s">
        <v>5518</v>
      </c>
      <c r="J1594" s="351" t="s">
        <v>140</v>
      </c>
      <c r="K1594" s="352">
        <v>0</v>
      </c>
      <c r="L1594" s="352">
        <v>0</v>
      </c>
      <c r="M1594" s="353">
        <v>60</v>
      </c>
      <c r="N1594" s="353">
        <v>50</v>
      </c>
      <c r="O1594" s="353">
        <v>2</v>
      </c>
      <c r="P1594" s="353">
        <f t="shared" si="367"/>
        <v>25</v>
      </c>
      <c r="Q1594" s="353"/>
      <c r="R1594" s="353">
        <v>25</v>
      </c>
      <c r="S1594" s="353">
        <f t="shared" si="375"/>
        <v>0</v>
      </c>
      <c r="T1594" s="353">
        <f t="shared" si="370"/>
        <v>2880</v>
      </c>
      <c r="U1594" s="352">
        <f t="shared" si="371"/>
        <v>0</v>
      </c>
      <c r="V1594" s="352">
        <f t="shared" si="372"/>
        <v>0</v>
      </c>
      <c r="W1594" s="352">
        <v>0</v>
      </c>
      <c r="X1594" s="308">
        <f>A1594+K1594+L1594+V1594+W1594</f>
        <v>46153.680227623452</v>
      </c>
    </row>
    <row r="1595" spans="1:24" hidden="1" x14ac:dyDescent="0.35">
      <c r="A1595" s="46">
        <f t="shared" si="374"/>
        <v>46153.680227623452</v>
      </c>
      <c r="B1595" s="46"/>
      <c r="C1595" s="260"/>
      <c r="D1595" s="46"/>
      <c r="E1595" s="47" t="s">
        <v>4897</v>
      </c>
      <c r="F1595" s="97" t="s">
        <v>6314</v>
      </c>
      <c r="G1595" s="97" t="s">
        <v>792</v>
      </c>
      <c r="H1595" s="98" t="s">
        <v>6315</v>
      </c>
      <c r="I1595" s="82" t="s">
        <v>4441</v>
      </c>
      <c r="J1595" s="51" t="s">
        <v>140</v>
      </c>
      <c r="K1595" s="91">
        <v>0</v>
      </c>
      <c r="L1595" s="91">
        <v>0</v>
      </c>
      <c r="M1595" s="92">
        <v>70</v>
      </c>
      <c r="N1595" s="94">
        <v>1000</v>
      </c>
      <c r="O1595" s="92">
        <v>1</v>
      </c>
      <c r="P1595" s="94">
        <v>1000</v>
      </c>
      <c r="Q1595" s="94"/>
      <c r="R1595" s="92">
        <v>1000</v>
      </c>
      <c r="S1595" s="92">
        <f t="shared" si="375"/>
        <v>0</v>
      </c>
      <c r="T1595" s="102">
        <f t="shared" si="370"/>
        <v>1234.2857142857142</v>
      </c>
      <c r="U1595" s="101">
        <f t="shared" si="371"/>
        <v>0</v>
      </c>
      <c r="V1595" s="101">
        <f t="shared" si="372"/>
        <v>0</v>
      </c>
      <c r="W1595" s="101">
        <v>0</v>
      </c>
      <c r="X1595" s="55">
        <f>A1595+K1595+V1595+W1595+L1595</f>
        <v>46153.680227623452</v>
      </c>
    </row>
    <row r="1596" spans="1:24" s="109" customFormat="1" ht="13" hidden="1" x14ac:dyDescent="0.3">
      <c r="A1596" s="46">
        <f t="shared" si="374"/>
        <v>46153.680227623452</v>
      </c>
      <c r="B1596" s="46"/>
      <c r="C1596" s="260"/>
      <c r="D1596" s="46"/>
      <c r="E1596" s="810" t="s">
        <v>4897</v>
      </c>
      <c r="F1596" s="97" t="s">
        <v>1625</v>
      </c>
      <c r="G1596" s="453" t="s">
        <v>359</v>
      </c>
      <c r="H1596" s="108">
        <v>13329</v>
      </c>
      <c r="I1596" s="82" t="s">
        <v>3489</v>
      </c>
      <c r="J1596" s="100" t="s">
        <v>140</v>
      </c>
      <c r="K1596" s="101">
        <v>0</v>
      </c>
      <c r="L1596" s="101">
        <v>0</v>
      </c>
      <c r="M1596" s="102">
        <v>35</v>
      </c>
      <c r="N1596" s="103">
        <v>4170</v>
      </c>
      <c r="O1596" s="102">
        <v>1</v>
      </c>
      <c r="P1596" s="103">
        <f>N1596/O1596</f>
        <v>4170</v>
      </c>
      <c r="Q1596" s="103"/>
      <c r="R1596" s="103">
        <v>4170</v>
      </c>
      <c r="S1596" s="103">
        <f t="shared" si="375"/>
        <v>0</v>
      </c>
      <c r="T1596" s="102">
        <f t="shared" si="370"/>
        <v>2468.5714285714284</v>
      </c>
      <c r="U1596" s="101">
        <f t="shared" si="371"/>
        <v>0</v>
      </c>
      <c r="V1596" s="101">
        <f t="shared" si="372"/>
        <v>0</v>
      </c>
      <c r="W1596" s="101">
        <v>0</v>
      </c>
      <c r="X1596" s="255">
        <f>A1596+K1596+L1596+V1596+W1596</f>
        <v>46153.680227623452</v>
      </c>
    </row>
    <row r="1597" spans="1:24" s="118" customFormat="1" hidden="1" x14ac:dyDescent="0.35">
      <c r="A1597" s="46">
        <f t="shared" si="374"/>
        <v>46153.680227623452</v>
      </c>
      <c r="B1597" s="46"/>
      <c r="C1597" s="260"/>
      <c r="D1597" s="46"/>
      <c r="E1597" s="47" t="s">
        <v>4897</v>
      </c>
      <c r="F1597" s="100" t="s">
        <v>355</v>
      </c>
      <c r="G1597" s="698" t="s">
        <v>792</v>
      </c>
      <c r="H1597" s="699" t="s">
        <v>5132</v>
      </c>
      <c r="I1597" s="71" t="s">
        <v>3502</v>
      </c>
      <c r="J1597" s="100" t="s">
        <v>140</v>
      </c>
      <c r="K1597" s="101">
        <v>0</v>
      </c>
      <c r="L1597" s="91">
        <v>0</v>
      </c>
      <c r="M1597" s="102">
        <v>40</v>
      </c>
      <c r="N1597" s="103">
        <v>8900</v>
      </c>
      <c r="O1597" s="102">
        <v>1</v>
      </c>
      <c r="P1597" s="103">
        <f>N1597/O1597</f>
        <v>8900</v>
      </c>
      <c r="Q1597" s="103"/>
      <c r="R1597" s="103">
        <v>8900</v>
      </c>
      <c r="S1597" s="103">
        <f t="shared" si="375"/>
        <v>0</v>
      </c>
      <c r="T1597" s="102">
        <f t="shared" si="370"/>
        <v>2160</v>
      </c>
      <c r="U1597" s="101">
        <f t="shared" si="371"/>
        <v>0</v>
      </c>
      <c r="V1597" s="101">
        <f t="shared" si="372"/>
        <v>0</v>
      </c>
      <c r="W1597" s="101">
        <v>0</v>
      </c>
      <c r="X1597" s="255">
        <f>A1597+K1597+L1597+V1597+W1597</f>
        <v>46153.680227623452</v>
      </c>
    </row>
    <row r="1598" spans="1:24" hidden="1" x14ac:dyDescent="0.35">
      <c r="A1598" s="295">
        <f t="shared" si="374"/>
        <v>46153.680227623452</v>
      </c>
      <c r="B1598" s="295"/>
      <c r="C1598" s="979"/>
      <c r="D1598" s="295"/>
      <c r="E1598" s="296" t="s">
        <v>6316</v>
      </c>
      <c r="F1598" s="366" t="s">
        <v>14</v>
      </c>
      <c r="G1598" s="366"/>
      <c r="H1598" s="298" t="s">
        <v>14</v>
      </c>
      <c r="I1598" s="1061" t="s">
        <v>5518</v>
      </c>
      <c r="J1598" s="351" t="s">
        <v>140</v>
      </c>
      <c r="K1598" s="352">
        <v>0</v>
      </c>
      <c r="L1598" s="352">
        <v>0</v>
      </c>
      <c r="M1598" s="353">
        <v>60</v>
      </c>
      <c r="N1598" s="353">
        <v>50</v>
      </c>
      <c r="O1598" s="353">
        <v>2</v>
      </c>
      <c r="P1598" s="353">
        <f>N1598/O1598</f>
        <v>25</v>
      </c>
      <c r="Q1598" s="353"/>
      <c r="R1598" s="353">
        <v>25</v>
      </c>
      <c r="S1598" s="353">
        <f t="shared" si="375"/>
        <v>0</v>
      </c>
      <c r="T1598" s="353">
        <f t="shared" si="370"/>
        <v>2880</v>
      </c>
      <c r="U1598" s="352">
        <f t="shared" si="371"/>
        <v>0</v>
      </c>
      <c r="V1598" s="352">
        <f t="shared" si="372"/>
        <v>0</v>
      </c>
      <c r="W1598" s="352">
        <v>0</v>
      </c>
      <c r="X1598" s="308">
        <f>A1598+K1598+L1598+V1598+W1598</f>
        <v>46153.680227623452</v>
      </c>
    </row>
    <row r="1599" spans="1:24" hidden="1" x14ac:dyDescent="0.35">
      <c r="A1599" s="46">
        <f t="shared" si="374"/>
        <v>46153.680227623452</v>
      </c>
      <c r="B1599" s="46"/>
      <c r="C1599" s="260"/>
      <c r="D1599" s="46"/>
      <c r="E1599" s="47" t="s">
        <v>4897</v>
      </c>
      <c r="F1599" s="97" t="s">
        <v>6317</v>
      </c>
      <c r="G1599" s="97" t="s">
        <v>792</v>
      </c>
      <c r="H1599" s="98" t="s">
        <v>6318</v>
      </c>
      <c r="I1599" s="82" t="s">
        <v>4413</v>
      </c>
      <c r="J1599" s="51" t="s">
        <v>140</v>
      </c>
      <c r="K1599" s="91">
        <v>0</v>
      </c>
      <c r="L1599" s="91">
        <v>0</v>
      </c>
      <c r="M1599" s="92">
        <v>55</v>
      </c>
      <c r="N1599" s="94">
        <v>1000</v>
      </c>
      <c r="O1599" s="92">
        <v>1</v>
      </c>
      <c r="P1599" s="94">
        <v>1000</v>
      </c>
      <c r="Q1599" s="94"/>
      <c r="R1599" s="92">
        <v>1000</v>
      </c>
      <c r="S1599" s="92">
        <f t="shared" si="375"/>
        <v>0</v>
      </c>
      <c r="T1599" s="102">
        <f t="shared" si="370"/>
        <v>1570.909090909091</v>
      </c>
      <c r="U1599" s="101">
        <f t="shared" si="371"/>
        <v>0</v>
      </c>
      <c r="V1599" s="101">
        <f t="shared" si="372"/>
        <v>0</v>
      </c>
      <c r="W1599" s="101">
        <v>0</v>
      </c>
      <c r="X1599" s="55">
        <f>A1599+K1599+V1599+W1599+L1599</f>
        <v>46153.680227623452</v>
      </c>
    </row>
    <row r="1600" spans="1:24" hidden="1" x14ac:dyDescent="0.35">
      <c r="A1600" s="46">
        <f t="shared" si="374"/>
        <v>46153.680227623452</v>
      </c>
      <c r="B1600" s="46"/>
      <c r="C1600" s="260"/>
      <c r="D1600" s="46"/>
      <c r="E1600" s="47" t="s">
        <v>4897</v>
      </c>
      <c r="F1600" s="97" t="s">
        <v>6317</v>
      </c>
      <c r="G1600" s="97" t="s">
        <v>4421</v>
      </c>
      <c r="H1600" s="98" t="s">
        <v>6319</v>
      </c>
      <c r="I1600" s="82" t="s">
        <v>4441</v>
      </c>
      <c r="J1600" s="51" t="s">
        <v>140</v>
      </c>
      <c r="K1600" s="91">
        <v>0</v>
      </c>
      <c r="L1600" s="91">
        <v>0</v>
      </c>
      <c r="M1600" s="92">
        <v>70</v>
      </c>
      <c r="N1600" s="94">
        <v>1000</v>
      </c>
      <c r="O1600" s="92">
        <v>1</v>
      </c>
      <c r="P1600" s="94">
        <v>1000</v>
      </c>
      <c r="Q1600" s="94"/>
      <c r="R1600" s="92">
        <v>1000</v>
      </c>
      <c r="S1600" s="92">
        <f t="shared" si="375"/>
        <v>0</v>
      </c>
      <c r="T1600" s="102">
        <f t="shared" si="370"/>
        <v>1234.2857142857142</v>
      </c>
      <c r="U1600" s="101">
        <f t="shared" si="371"/>
        <v>0</v>
      </c>
      <c r="V1600" s="101">
        <f t="shared" si="372"/>
        <v>0</v>
      </c>
      <c r="W1600" s="101">
        <v>0</v>
      </c>
      <c r="X1600" s="55">
        <f>A1600+K1600+V1600+W1600+L1600</f>
        <v>46153.680227623452</v>
      </c>
    </row>
    <row r="1601" spans="1:24" hidden="1" x14ac:dyDescent="0.35">
      <c r="A1601" s="46">
        <f t="shared" si="374"/>
        <v>46153.680227623452</v>
      </c>
      <c r="B1601" s="46"/>
      <c r="C1601" s="260"/>
      <c r="D1601" s="46"/>
      <c r="E1601" s="47" t="s">
        <v>4395</v>
      </c>
      <c r="F1601" s="99" t="s">
        <v>6320</v>
      </c>
      <c r="G1601" s="99" t="s">
        <v>4421</v>
      </c>
      <c r="H1601" s="98" t="s">
        <v>6321</v>
      </c>
      <c r="I1601" s="106" t="s">
        <v>5291</v>
      </c>
      <c r="J1601" s="100" t="s">
        <v>140</v>
      </c>
      <c r="K1601" s="91">
        <v>0</v>
      </c>
      <c r="L1601" s="91">
        <v>0</v>
      </c>
      <c r="M1601" s="92">
        <v>50</v>
      </c>
      <c r="N1601" s="94">
        <v>20000</v>
      </c>
      <c r="O1601" s="345">
        <v>2</v>
      </c>
      <c r="P1601" s="94">
        <f t="shared" ref="P1601:P1616" si="376">N1601/O1601</f>
        <v>10000</v>
      </c>
      <c r="Q1601" s="94"/>
      <c r="R1601" s="92">
        <v>10000</v>
      </c>
      <c r="S1601" s="92">
        <f t="shared" si="375"/>
        <v>0</v>
      </c>
      <c r="T1601" s="102">
        <f t="shared" si="370"/>
        <v>3456</v>
      </c>
      <c r="U1601" s="101">
        <f t="shared" si="371"/>
        <v>0</v>
      </c>
      <c r="V1601" s="101">
        <f t="shared" si="372"/>
        <v>0</v>
      </c>
      <c r="W1601" s="101">
        <v>0</v>
      </c>
      <c r="X1601" s="55">
        <f>A1601+K1601+L1601+V1601+W1601</f>
        <v>46153.680227623452</v>
      </c>
    </row>
    <row r="1602" spans="1:24" s="511" customFormat="1" hidden="1" x14ac:dyDescent="0.35">
      <c r="A1602" s="46">
        <f t="shared" si="374"/>
        <v>46153.680227623452</v>
      </c>
      <c r="B1602" s="46"/>
      <c r="C1602" s="260"/>
      <c r="D1602" s="46"/>
      <c r="E1602" s="47" t="s">
        <v>4395</v>
      </c>
      <c r="F1602" s="51" t="s">
        <v>14</v>
      </c>
      <c r="G1602" s="97" t="s">
        <v>14</v>
      </c>
      <c r="H1602" s="108" t="s">
        <v>14</v>
      </c>
      <c r="I1602" s="1062" t="s">
        <v>5163</v>
      </c>
      <c r="J1602" s="51" t="s">
        <v>140</v>
      </c>
      <c r="K1602" s="91">
        <v>0</v>
      </c>
      <c r="L1602" s="91">
        <v>0</v>
      </c>
      <c r="M1602" s="92">
        <v>20</v>
      </c>
      <c r="N1602" s="94">
        <v>200</v>
      </c>
      <c r="O1602" s="92">
        <v>15</v>
      </c>
      <c r="P1602" s="94">
        <f t="shared" si="376"/>
        <v>13.333333333333334</v>
      </c>
      <c r="Q1602" s="94"/>
      <c r="R1602" s="92">
        <v>13</v>
      </c>
      <c r="S1602" s="92">
        <f t="shared" si="375"/>
        <v>0.33333333333333393</v>
      </c>
      <c r="T1602" s="92">
        <f t="shared" si="370"/>
        <v>64800</v>
      </c>
      <c r="U1602" s="91">
        <f t="shared" si="371"/>
        <v>1.8518518518518552E-3</v>
      </c>
      <c r="V1602" s="91">
        <f t="shared" si="372"/>
        <v>7.7160493827160628E-5</v>
      </c>
      <c r="W1602" s="91">
        <v>0</v>
      </c>
      <c r="X1602" s="55">
        <f>A1602+K1602+L1602+V1602+W1602</f>
        <v>46153.680304783949</v>
      </c>
    </row>
    <row r="1603" spans="1:24" s="186" customFormat="1" hidden="1" x14ac:dyDescent="0.35">
      <c r="A1603" s="123">
        <f t="shared" si="374"/>
        <v>46153.680304783949</v>
      </c>
      <c r="B1603" s="123"/>
      <c r="C1603" s="190"/>
      <c r="D1603" s="123"/>
      <c r="E1603" s="124" t="s">
        <v>4395</v>
      </c>
      <c r="F1603" s="159" t="s">
        <v>6322</v>
      </c>
      <c r="G1603" s="159" t="s">
        <v>839</v>
      </c>
      <c r="H1603" s="126" t="s">
        <v>6323</v>
      </c>
      <c r="I1603" s="501" t="s">
        <v>5214</v>
      </c>
      <c r="J1603" s="175" t="s">
        <v>140</v>
      </c>
      <c r="K1603" s="129">
        <v>0</v>
      </c>
      <c r="L1603" s="129">
        <v>0</v>
      </c>
      <c r="M1603" s="130">
        <v>40</v>
      </c>
      <c r="N1603" s="130">
        <v>5000</v>
      </c>
      <c r="O1603" s="130">
        <v>2</v>
      </c>
      <c r="P1603" s="130">
        <f t="shared" si="376"/>
        <v>2500</v>
      </c>
      <c r="Q1603" s="130"/>
      <c r="R1603" s="164">
        <v>2500</v>
      </c>
      <c r="S1603" s="130">
        <f t="shared" si="375"/>
        <v>0</v>
      </c>
      <c r="T1603" s="164">
        <f t="shared" si="370"/>
        <v>4320</v>
      </c>
      <c r="U1603" s="163">
        <f t="shared" si="371"/>
        <v>0</v>
      </c>
      <c r="V1603" s="163">
        <f t="shared" si="372"/>
        <v>0</v>
      </c>
      <c r="W1603" s="163">
        <v>0</v>
      </c>
      <c r="X1603" s="137">
        <f>A1603+K1603+V1603+W1603+L1603</f>
        <v>46153.680304783949</v>
      </c>
    </row>
    <row r="1604" spans="1:24" s="202" customFormat="1" hidden="1" x14ac:dyDescent="0.35">
      <c r="A1604" s="46">
        <f t="shared" si="374"/>
        <v>46153.680304783949</v>
      </c>
      <c r="B1604" s="46"/>
      <c r="C1604" s="260"/>
      <c r="D1604" s="46"/>
      <c r="E1604" s="47" t="s">
        <v>4395</v>
      </c>
      <c r="F1604" s="82" t="s">
        <v>6322</v>
      </c>
      <c r="G1604" s="82" t="s">
        <v>839</v>
      </c>
      <c r="H1604" s="98" t="s">
        <v>6324</v>
      </c>
      <c r="I1604" s="316" t="s">
        <v>5217</v>
      </c>
      <c r="J1604" s="100" t="s">
        <v>140</v>
      </c>
      <c r="K1604" s="91">
        <v>0</v>
      </c>
      <c r="L1604" s="91">
        <v>0</v>
      </c>
      <c r="M1604" s="92">
        <v>40</v>
      </c>
      <c r="N1604" s="92">
        <v>5000</v>
      </c>
      <c r="O1604" s="92">
        <v>2</v>
      </c>
      <c r="P1604" s="92">
        <f t="shared" si="376"/>
        <v>2500</v>
      </c>
      <c r="Q1604" s="92"/>
      <c r="R1604" s="102">
        <v>2500</v>
      </c>
      <c r="S1604" s="92">
        <f t="shared" si="375"/>
        <v>0</v>
      </c>
      <c r="T1604" s="102">
        <f t="shared" si="370"/>
        <v>4320</v>
      </c>
      <c r="U1604" s="101">
        <f t="shared" si="371"/>
        <v>0</v>
      </c>
      <c r="V1604" s="101">
        <f t="shared" si="372"/>
        <v>0</v>
      </c>
      <c r="W1604" s="101">
        <v>0</v>
      </c>
      <c r="X1604" s="55">
        <f>A1604+K1604+V1604+W1604+L1604</f>
        <v>46153.680304783949</v>
      </c>
    </row>
    <row r="1605" spans="1:24" s="511" customFormat="1" hidden="1" x14ac:dyDescent="0.35">
      <c r="A1605" s="46">
        <f>X898</f>
        <v>46153.904513888876</v>
      </c>
      <c r="B1605" s="46"/>
      <c r="C1605" s="260"/>
      <c r="D1605" s="46"/>
      <c r="E1605" s="47" t="s">
        <v>5256</v>
      </c>
      <c r="F1605" s="97" t="s">
        <v>5533</v>
      </c>
      <c r="G1605" s="97" t="s">
        <v>839</v>
      </c>
      <c r="H1605" s="98" t="s">
        <v>6325</v>
      </c>
      <c r="I1605" s="97" t="s">
        <v>5393</v>
      </c>
      <c r="J1605" s="51" t="s">
        <v>140</v>
      </c>
      <c r="K1605" s="91">
        <v>0</v>
      </c>
      <c r="L1605" s="91">
        <v>0</v>
      </c>
      <c r="M1605" s="92">
        <v>30</v>
      </c>
      <c r="N1605" s="94">
        <v>1000</v>
      </c>
      <c r="O1605" s="92">
        <v>4</v>
      </c>
      <c r="P1605" s="94">
        <f t="shared" si="376"/>
        <v>250</v>
      </c>
      <c r="Q1605" s="94"/>
      <c r="R1605" s="92">
        <v>250</v>
      </c>
      <c r="S1605" s="92">
        <f t="shared" si="375"/>
        <v>0</v>
      </c>
      <c r="T1605" s="92">
        <f t="shared" si="370"/>
        <v>11520</v>
      </c>
      <c r="U1605" s="91">
        <f t="shared" si="371"/>
        <v>0</v>
      </c>
      <c r="V1605" s="91">
        <f t="shared" si="372"/>
        <v>0</v>
      </c>
      <c r="W1605" s="91">
        <v>0</v>
      </c>
      <c r="X1605" s="55">
        <f t="shared" ref="X1605:X1615" si="377">A1605+K1605+L1605+V1605+W1605</f>
        <v>46153.904513888876</v>
      </c>
    </row>
    <row r="1606" spans="1:24" s="186" customFormat="1" hidden="1" x14ac:dyDescent="0.35">
      <c r="A1606" s="123">
        <f>X1605</f>
        <v>46153.904513888876</v>
      </c>
      <c r="B1606" s="123"/>
      <c r="C1606" s="190"/>
      <c r="D1606" s="123"/>
      <c r="E1606" s="124" t="s">
        <v>6326</v>
      </c>
      <c r="F1606" s="125" t="s">
        <v>5533</v>
      </c>
      <c r="G1606" s="125" t="s">
        <v>839</v>
      </c>
      <c r="H1606" s="126" t="s">
        <v>6327</v>
      </c>
      <c r="I1606" s="125" t="s">
        <v>5423</v>
      </c>
      <c r="J1606" s="128" t="s">
        <v>140</v>
      </c>
      <c r="K1606" s="129">
        <v>0</v>
      </c>
      <c r="L1606" s="129">
        <v>0</v>
      </c>
      <c r="M1606" s="130">
        <v>30</v>
      </c>
      <c r="N1606" s="131">
        <v>4000</v>
      </c>
      <c r="O1606" s="130">
        <v>4</v>
      </c>
      <c r="P1606" s="131">
        <f t="shared" si="376"/>
        <v>1000</v>
      </c>
      <c r="Q1606" s="131"/>
      <c r="R1606" s="130">
        <v>1000</v>
      </c>
      <c r="S1606" s="130">
        <f t="shared" si="375"/>
        <v>0</v>
      </c>
      <c r="T1606" s="130">
        <f t="shared" si="370"/>
        <v>11520</v>
      </c>
      <c r="U1606" s="129">
        <f t="shared" si="371"/>
        <v>0</v>
      </c>
      <c r="V1606" s="129">
        <f t="shared" si="372"/>
        <v>0</v>
      </c>
      <c r="W1606" s="129">
        <v>0</v>
      </c>
      <c r="X1606" s="137">
        <f t="shared" si="377"/>
        <v>46153.904513888876</v>
      </c>
    </row>
    <row r="1607" spans="1:24" s="121" customFormat="1" hidden="1" x14ac:dyDescent="0.35">
      <c r="A1607" s="46">
        <f>X83</f>
        <v>46153.904513888876</v>
      </c>
      <c r="B1607" s="46">
        <v>46059</v>
      </c>
      <c r="C1607" s="260">
        <f t="shared" ref="C1607:C1616" si="378">B1607-A1607</f>
        <v>-94.904513888875954</v>
      </c>
      <c r="D1607" s="260"/>
      <c r="E1607" s="47" t="s">
        <v>6326</v>
      </c>
      <c r="F1607" s="48"/>
      <c r="G1607" s="880" t="s">
        <v>839</v>
      </c>
      <c r="H1607" s="699" t="s">
        <v>6328</v>
      </c>
      <c r="I1607" s="69" t="s">
        <v>5037</v>
      </c>
      <c r="J1607" s="100" t="s">
        <v>140</v>
      </c>
      <c r="K1607" s="91">
        <v>0</v>
      </c>
      <c r="L1607" s="91">
        <v>0</v>
      </c>
      <c r="M1607" s="92">
        <v>35</v>
      </c>
      <c r="N1607" s="94">
        <v>15000</v>
      </c>
      <c r="O1607" s="92">
        <v>1</v>
      </c>
      <c r="P1607" s="94">
        <f t="shared" si="376"/>
        <v>15000</v>
      </c>
      <c r="Q1607" s="181">
        <v>0.8</v>
      </c>
      <c r="R1607" s="92">
        <v>15000</v>
      </c>
      <c r="S1607" s="103">
        <f t="shared" si="375"/>
        <v>0</v>
      </c>
      <c r="T1607" s="173">
        <f t="shared" ref="T1607:T1614" si="379">((3600/M1607)*O1607)*24*Q1607</f>
        <v>1974.8571428571429</v>
      </c>
      <c r="U1607" s="101">
        <f t="shared" ref="U1607:U1616" si="380">(P1607-R1607)*M1607/3600/Q1607</f>
        <v>0</v>
      </c>
      <c r="V1607" s="101">
        <f t="shared" ref="V1607:V1616" si="381">U1607/24</f>
        <v>0</v>
      </c>
      <c r="W1607" s="101">
        <v>0</v>
      </c>
      <c r="X1607" s="55">
        <f t="shared" si="377"/>
        <v>46153.904513888876</v>
      </c>
    </row>
    <row r="1608" spans="1:24" s="500" customFormat="1" ht="13" hidden="1" x14ac:dyDescent="0.3">
      <c r="A1608" s="46">
        <f>X1607</f>
        <v>46153.904513888876</v>
      </c>
      <c r="B1608" s="46">
        <v>46085</v>
      </c>
      <c r="C1608" s="260">
        <f t="shared" si="378"/>
        <v>-68.904513888875954</v>
      </c>
      <c r="D1608" s="46"/>
      <c r="E1608" s="74" t="s">
        <v>4395</v>
      </c>
      <c r="F1608" s="99" t="s">
        <v>6329</v>
      </c>
      <c r="G1608" s="99" t="s">
        <v>398</v>
      </c>
      <c r="H1608" s="98" t="s">
        <v>6330</v>
      </c>
      <c r="I1608" s="82" t="s">
        <v>4394</v>
      </c>
      <c r="J1608" s="100" t="s">
        <v>140</v>
      </c>
      <c r="K1608" s="91">
        <v>0</v>
      </c>
      <c r="L1608" s="91">
        <v>0</v>
      </c>
      <c r="M1608" s="92">
        <v>105</v>
      </c>
      <c r="N1608" s="92">
        <v>12000</v>
      </c>
      <c r="O1608" s="92">
        <v>2</v>
      </c>
      <c r="P1608" s="94">
        <f t="shared" si="376"/>
        <v>6000</v>
      </c>
      <c r="Q1608" s="181">
        <v>0.8</v>
      </c>
      <c r="R1608" s="102">
        <v>6000</v>
      </c>
      <c r="S1608" s="103">
        <f t="shared" si="375"/>
        <v>0</v>
      </c>
      <c r="T1608" s="173">
        <f t="shared" si="379"/>
        <v>1316.5714285714287</v>
      </c>
      <c r="U1608" s="101">
        <f t="shared" si="380"/>
        <v>0</v>
      </c>
      <c r="V1608" s="101">
        <f t="shared" si="381"/>
        <v>0</v>
      </c>
      <c r="W1608" s="101">
        <v>0</v>
      </c>
      <c r="X1608" s="55">
        <f t="shared" si="377"/>
        <v>46153.904513888876</v>
      </c>
    </row>
    <row r="1609" spans="1:24" s="186" customFormat="1" hidden="1" x14ac:dyDescent="0.35">
      <c r="A1609" s="123">
        <f>X1608</f>
        <v>46153.904513888876</v>
      </c>
      <c r="B1609" s="123">
        <v>46097</v>
      </c>
      <c r="C1609" s="190">
        <f t="shared" si="378"/>
        <v>-56.904513888875954</v>
      </c>
      <c r="D1609" s="190"/>
      <c r="E1609" s="124" t="s">
        <v>4395</v>
      </c>
      <c r="F1609" s="159" t="s">
        <v>4426</v>
      </c>
      <c r="G1609" s="159" t="s">
        <v>398</v>
      </c>
      <c r="H1609" s="126" t="s">
        <v>6331</v>
      </c>
      <c r="I1609" s="187" t="s">
        <v>6332</v>
      </c>
      <c r="J1609" s="175" t="s">
        <v>140</v>
      </c>
      <c r="K1609" s="129">
        <v>0</v>
      </c>
      <c r="L1609" s="129">
        <v>0</v>
      </c>
      <c r="M1609" s="130">
        <v>40</v>
      </c>
      <c r="N1609" s="131">
        <v>500</v>
      </c>
      <c r="O1609" s="130">
        <v>8</v>
      </c>
      <c r="P1609" s="131">
        <f t="shared" si="376"/>
        <v>62.5</v>
      </c>
      <c r="Q1609" s="185">
        <v>0.8</v>
      </c>
      <c r="R1609" s="164">
        <v>63</v>
      </c>
      <c r="S1609" s="165">
        <f t="shared" si="375"/>
        <v>-0.5</v>
      </c>
      <c r="T1609" s="168">
        <f t="shared" si="379"/>
        <v>13824</v>
      </c>
      <c r="U1609" s="163">
        <f t="shared" si="380"/>
        <v>-6.9444444444444441E-3</v>
      </c>
      <c r="V1609" s="163">
        <f t="shared" si="381"/>
        <v>-2.8935185185185184E-4</v>
      </c>
      <c r="W1609" s="163">
        <v>0</v>
      </c>
      <c r="X1609" s="137">
        <f t="shared" si="377"/>
        <v>46153.904224537022</v>
      </c>
    </row>
    <row r="1610" spans="1:24" s="511" customFormat="1" hidden="1" x14ac:dyDescent="0.35">
      <c r="A1610" s="46">
        <f>X1609</f>
        <v>46153.904224537022</v>
      </c>
      <c r="B1610" s="46">
        <v>46097</v>
      </c>
      <c r="C1610" s="260">
        <f t="shared" si="378"/>
        <v>-56.904224537021946</v>
      </c>
      <c r="D1610" s="260"/>
      <c r="E1610" s="47" t="s">
        <v>4395</v>
      </c>
      <c r="F1610" s="82" t="s">
        <v>4426</v>
      </c>
      <c r="G1610" s="82" t="s">
        <v>398</v>
      </c>
      <c r="H1610" s="98" t="s">
        <v>6333</v>
      </c>
      <c r="I1610" s="99" t="s">
        <v>3473</v>
      </c>
      <c r="J1610" s="100" t="s">
        <v>140</v>
      </c>
      <c r="K1610" s="91">
        <v>0</v>
      </c>
      <c r="L1610" s="91">
        <v>0</v>
      </c>
      <c r="M1610" s="92">
        <v>40</v>
      </c>
      <c r="N1610" s="94">
        <v>5000</v>
      </c>
      <c r="O1610" s="92">
        <v>8</v>
      </c>
      <c r="P1610" s="94">
        <f t="shared" si="376"/>
        <v>625</v>
      </c>
      <c r="Q1610" s="181">
        <v>0.8</v>
      </c>
      <c r="R1610" s="102">
        <v>625</v>
      </c>
      <c r="S1610" s="103">
        <f t="shared" si="375"/>
        <v>0</v>
      </c>
      <c r="T1610" s="173">
        <f t="shared" si="379"/>
        <v>13824</v>
      </c>
      <c r="U1610" s="101">
        <f t="shared" si="380"/>
        <v>0</v>
      </c>
      <c r="V1610" s="101">
        <f t="shared" si="381"/>
        <v>0</v>
      </c>
      <c r="W1610" s="101">
        <v>0</v>
      </c>
      <c r="X1610" s="55">
        <f t="shared" si="377"/>
        <v>46153.904224537022</v>
      </c>
    </row>
    <row r="1611" spans="1:24" s="511" customFormat="1" hidden="1" x14ac:dyDescent="0.35">
      <c r="A1611" s="46">
        <f>X1610</f>
        <v>46153.904224537022</v>
      </c>
      <c r="B1611" s="46">
        <v>46097</v>
      </c>
      <c r="C1611" s="260">
        <f t="shared" si="378"/>
        <v>-56.904224537021946</v>
      </c>
      <c r="D1611" s="260"/>
      <c r="E1611" s="47" t="s">
        <v>4395</v>
      </c>
      <c r="F1611" s="82" t="s">
        <v>6334</v>
      </c>
      <c r="G1611" s="82" t="s">
        <v>398</v>
      </c>
      <c r="H1611" s="98" t="s">
        <v>6333</v>
      </c>
      <c r="I1611" s="99" t="s">
        <v>3473</v>
      </c>
      <c r="J1611" s="100" t="s">
        <v>140</v>
      </c>
      <c r="K1611" s="91">
        <v>0</v>
      </c>
      <c r="L1611" s="91">
        <v>0</v>
      </c>
      <c r="M1611" s="92">
        <v>40</v>
      </c>
      <c r="N1611" s="94">
        <v>5000</v>
      </c>
      <c r="O1611" s="92">
        <v>8</v>
      </c>
      <c r="P1611" s="94">
        <f t="shared" si="376"/>
        <v>625</v>
      </c>
      <c r="Q1611" s="181">
        <v>0.8</v>
      </c>
      <c r="R1611" s="102">
        <v>625</v>
      </c>
      <c r="S1611" s="103">
        <f t="shared" si="375"/>
        <v>0</v>
      </c>
      <c r="T1611" s="173">
        <f t="shared" si="379"/>
        <v>13824</v>
      </c>
      <c r="U1611" s="101">
        <f t="shared" si="380"/>
        <v>0</v>
      </c>
      <c r="V1611" s="101">
        <f t="shared" si="381"/>
        <v>0</v>
      </c>
      <c r="W1611" s="101">
        <v>0</v>
      </c>
      <c r="X1611" s="55">
        <f t="shared" si="377"/>
        <v>46153.904224537022</v>
      </c>
    </row>
    <row r="1612" spans="1:24" s="511" customFormat="1" hidden="1" x14ac:dyDescent="0.35">
      <c r="A1612" s="46">
        <f>X1611</f>
        <v>46153.904224537022</v>
      </c>
      <c r="B1612" s="46">
        <v>46099</v>
      </c>
      <c r="C1612" s="260">
        <f t="shared" si="378"/>
        <v>-54.904224537021946</v>
      </c>
      <c r="D1612" s="260"/>
      <c r="E1612" s="47" t="s">
        <v>4395</v>
      </c>
      <c r="F1612" s="82" t="s">
        <v>6334</v>
      </c>
      <c r="G1612" s="82" t="s">
        <v>398</v>
      </c>
      <c r="H1612" s="98" t="s">
        <v>6335</v>
      </c>
      <c r="I1612" s="99" t="s">
        <v>6336</v>
      </c>
      <c r="J1612" s="100" t="s">
        <v>140</v>
      </c>
      <c r="K1612" s="91">
        <v>0</v>
      </c>
      <c r="L1612" s="91">
        <v>0</v>
      </c>
      <c r="M1612" s="92">
        <v>40</v>
      </c>
      <c r="N1612" s="94">
        <v>1000</v>
      </c>
      <c r="O1612" s="92">
        <v>8</v>
      </c>
      <c r="P1612" s="94">
        <f t="shared" si="376"/>
        <v>125</v>
      </c>
      <c r="Q1612" s="181">
        <v>0.8</v>
      </c>
      <c r="R1612" s="102">
        <v>125</v>
      </c>
      <c r="S1612" s="103">
        <f t="shared" si="375"/>
        <v>0</v>
      </c>
      <c r="T1612" s="173">
        <f t="shared" si="379"/>
        <v>13824</v>
      </c>
      <c r="U1612" s="101">
        <f t="shared" si="380"/>
        <v>0</v>
      </c>
      <c r="V1612" s="101">
        <f t="shared" si="381"/>
        <v>0</v>
      </c>
      <c r="W1612" s="101">
        <v>0</v>
      </c>
      <c r="X1612" s="55">
        <f t="shared" si="377"/>
        <v>46153.904224537022</v>
      </c>
    </row>
    <row r="1613" spans="1:24" s="511" customFormat="1" hidden="1" x14ac:dyDescent="0.35">
      <c r="A1613" s="46">
        <f t="shared" ref="A1613:A1616" si="382">X1612</f>
        <v>46153.904224537022</v>
      </c>
      <c r="B1613" s="46">
        <v>46101.2</v>
      </c>
      <c r="C1613" s="260">
        <f t="shared" si="378"/>
        <v>-52.704224537024857</v>
      </c>
      <c r="D1613" s="46"/>
      <c r="E1613" s="47" t="s">
        <v>4395</v>
      </c>
      <c r="F1613" s="82" t="s">
        <v>6337</v>
      </c>
      <c r="G1613" s="82" t="s">
        <v>398</v>
      </c>
      <c r="H1613" s="98" t="s">
        <v>6338</v>
      </c>
      <c r="I1613" s="82" t="s">
        <v>5263</v>
      </c>
      <c r="J1613" s="100" t="s">
        <v>140</v>
      </c>
      <c r="K1613" s="91">
        <v>0</v>
      </c>
      <c r="L1613" s="91">
        <v>0</v>
      </c>
      <c r="M1613" s="92">
        <v>30</v>
      </c>
      <c r="N1613" s="94">
        <v>3000</v>
      </c>
      <c r="O1613" s="92">
        <v>1</v>
      </c>
      <c r="P1613" s="94">
        <f t="shared" si="376"/>
        <v>3000</v>
      </c>
      <c r="Q1613" s="181">
        <v>0.8</v>
      </c>
      <c r="R1613" s="92">
        <v>3000</v>
      </c>
      <c r="S1613" s="103">
        <f t="shared" si="375"/>
        <v>0</v>
      </c>
      <c r="T1613" s="173">
        <f t="shared" si="379"/>
        <v>2304</v>
      </c>
      <c r="U1613" s="101">
        <f t="shared" si="380"/>
        <v>0</v>
      </c>
      <c r="V1613" s="101">
        <f t="shared" si="381"/>
        <v>0</v>
      </c>
      <c r="W1613" s="101">
        <v>0</v>
      </c>
      <c r="X1613" s="55">
        <f t="shared" si="377"/>
        <v>46153.904224537022</v>
      </c>
    </row>
    <row r="1614" spans="1:24" s="511" customFormat="1" hidden="1" x14ac:dyDescent="0.35">
      <c r="A1614" s="46">
        <f>X1613</f>
        <v>46153.904224537022</v>
      </c>
      <c r="B1614" s="46">
        <v>46084</v>
      </c>
      <c r="C1614" s="260">
        <f t="shared" si="378"/>
        <v>-69.904224537021946</v>
      </c>
      <c r="D1614" s="260" t="s">
        <v>404</v>
      </c>
      <c r="E1614" s="47" t="s">
        <v>3556</v>
      </c>
      <c r="F1614" s="48"/>
      <c r="G1614" s="880" t="s">
        <v>839</v>
      </c>
      <c r="H1614" s="699" t="s">
        <v>6339</v>
      </c>
      <c r="I1614" s="69" t="s">
        <v>5037</v>
      </c>
      <c r="J1614" s="100" t="s">
        <v>140</v>
      </c>
      <c r="K1614" s="91">
        <v>0</v>
      </c>
      <c r="L1614" s="91">
        <v>0</v>
      </c>
      <c r="M1614" s="92">
        <v>65</v>
      </c>
      <c r="N1614" s="94">
        <v>10000</v>
      </c>
      <c r="O1614" s="92">
        <v>1</v>
      </c>
      <c r="P1614" s="94">
        <f t="shared" si="376"/>
        <v>10000</v>
      </c>
      <c r="Q1614" s="181">
        <v>0.8</v>
      </c>
      <c r="R1614" s="92">
        <v>10000</v>
      </c>
      <c r="S1614" s="103">
        <f t="shared" si="375"/>
        <v>0</v>
      </c>
      <c r="T1614" s="173">
        <f t="shared" si="379"/>
        <v>1063.3846153846155</v>
      </c>
      <c r="U1614" s="101">
        <f t="shared" si="380"/>
        <v>0</v>
      </c>
      <c r="V1614" s="101">
        <f t="shared" si="381"/>
        <v>0</v>
      </c>
      <c r="W1614" s="101">
        <v>0</v>
      </c>
      <c r="X1614" s="55">
        <f t="shared" si="377"/>
        <v>46153.904224537022</v>
      </c>
    </row>
    <row r="1615" spans="1:24" s="511" customFormat="1" hidden="1" x14ac:dyDescent="0.35">
      <c r="A1615" s="46">
        <f t="shared" si="382"/>
        <v>46153.904224537022</v>
      </c>
      <c r="B1615" s="46">
        <v>46096</v>
      </c>
      <c r="C1615" s="260">
        <f t="shared" si="378"/>
        <v>-57.904224537021946</v>
      </c>
      <c r="D1615" s="260" t="s">
        <v>6340</v>
      </c>
      <c r="E1615" s="47" t="s">
        <v>3556</v>
      </c>
      <c r="F1615" s="97" t="s">
        <v>4380</v>
      </c>
      <c r="G1615" s="880" t="s">
        <v>398</v>
      </c>
      <c r="H1615" s="699" t="s">
        <v>6341</v>
      </c>
      <c r="I1615" s="69" t="s">
        <v>5037</v>
      </c>
      <c r="J1615" s="100" t="s">
        <v>140</v>
      </c>
      <c r="K1615" s="91">
        <v>0</v>
      </c>
      <c r="L1615" s="91">
        <v>0</v>
      </c>
      <c r="M1615" s="92">
        <v>90</v>
      </c>
      <c r="N1615" s="94">
        <f>8000*4</f>
        <v>32000</v>
      </c>
      <c r="O1615" s="92">
        <v>1</v>
      </c>
      <c r="P1615" s="94">
        <f t="shared" si="376"/>
        <v>32000</v>
      </c>
      <c r="Q1615" s="181">
        <v>0.8</v>
      </c>
      <c r="R1615" s="92">
        <v>32000</v>
      </c>
      <c r="S1615" s="103">
        <f t="shared" si="375"/>
        <v>0</v>
      </c>
      <c r="T1615" s="173">
        <f>((3600/M1615)*O1615)*24*Q1615</f>
        <v>768</v>
      </c>
      <c r="U1615" s="101">
        <f t="shared" si="380"/>
        <v>0</v>
      </c>
      <c r="V1615" s="101">
        <f t="shared" si="381"/>
        <v>0</v>
      </c>
      <c r="W1615" s="101">
        <v>0</v>
      </c>
      <c r="X1615" s="55">
        <f t="shared" si="377"/>
        <v>46153.904224537022</v>
      </c>
    </row>
    <row r="1616" spans="1:24" s="511" customFormat="1" hidden="1" x14ac:dyDescent="0.35">
      <c r="A1616" s="46">
        <f t="shared" si="382"/>
        <v>46153.904224537022</v>
      </c>
      <c r="B1616" s="46">
        <v>46160</v>
      </c>
      <c r="C1616" s="260">
        <f t="shared" si="378"/>
        <v>6.0957754629780538</v>
      </c>
      <c r="D1616" s="260" t="s">
        <v>6340</v>
      </c>
      <c r="E1616" s="47" t="s">
        <v>3556</v>
      </c>
      <c r="F1616" s="97" t="s">
        <v>4349</v>
      </c>
      <c r="G1616" s="880" t="s">
        <v>398</v>
      </c>
      <c r="H1616" s="699" t="s">
        <v>6342</v>
      </c>
      <c r="I1616" s="69" t="s">
        <v>5037</v>
      </c>
      <c r="J1616" s="100" t="s">
        <v>140</v>
      </c>
      <c r="K1616" s="91">
        <v>0</v>
      </c>
      <c r="L1616" s="91">
        <v>0</v>
      </c>
      <c r="M1616" s="92">
        <v>90</v>
      </c>
      <c r="N1616" s="94">
        <f>8000*4</f>
        <v>32000</v>
      </c>
      <c r="O1616" s="92">
        <v>1</v>
      </c>
      <c r="P1616" s="94">
        <f t="shared" si="376"/>
        <v>32000</v>
      </c>
      <c r="Q1616" s="181">
        <v>0.8</v>
      </c>
      <c r="R1616" s="92">
        <v>32000</v>
      </c>
      <c r="S1616" s="103">
        <f t="shared" si="375"/>
        <v>0</v>
      </c>
      <c r="T1616" s="173">
        <f>((3600/M1616)*O1616)*24*Q1616</f>
        <v>768</v>
      </c>
      <c r="U1616" s="101">
        <f t="shared" si="380"/>
        <v>0</v>
      </c>
      <c r="V1616" s="101">
        <f t="shared" si="381"/>
        <v>0</v>
      </c>
      <c r="W1616" s="101">
        <v>0</v>
      </c>
      <c r="X1616" s="55">
        <f>A1616+K1616+L1616+V1616+W1616</f>
        <v>46153.904224537022</v>
      </c>
    </row>
    <row r="1617" spans="1:24" s="202" customFormat="1" x14ac:dyDescent="0.35">
      <c r="A1617" s="193">
        <f>X1616</f>
        <v>46153.904224537022</v>
      </c>
      <c r="B1617" s="193">
        <v>46160</v>
      </c>
      <c r="C1617" s="194">
        <f>B1617-A1617</f>
        <v>6.0957754629780538</v>
      </c>
      <c r="D1617" s="194" t="s">
        <v>6340</v>
      </c>
      <c r="E1617" s="195" t="s">
        <v>3556</v>
      </c>
      <c r="F1617" s="112" t="s">
        <v>4349</v>
      </c>
      <c r="G1617" s="1063" t="s">
        <v>414</v>
      </c>
      <c r="H1617" s="833" t="s">
        <v>6343</v>
      </c>
      <c r="I1617" s="268" t="s">
        <v>5037</v>
      </c>
      <c r="J1617" s="114" t="s">
        <v>140</v>
      </c>
      <c r="K1617" s="482">
        <v>0</v>
      </c>
      <c r="L1617" s="482">
        <v>0</v>
      </c>
      <c r="M1617" s="199">
        <v>90</v>
      </c>
      <c r="N1617" s="483">
        <f>8000*4</f>
        <v>32000</v>
      </c>
      <c r="O1617" s="199">
        <v>1</v>
      </c>
      <c r="P1617" s="483">
        <f>N1617/O1617</f>
        <v>32000</v>
      </c>
      <c r="Q1617" s="198">
        <v>0.8</v>
      </c>
      <c r="R1617" s="199"/>
      <c r="S1617" s="117">
        <f>P1617-R1617</f>
        <v>32000</v>
      </c>
      <c r="T1617" s="200">
        <f>((3600/M1617)*O1617)*24*Q1617</f>
        <v>768</v>
      </c>
      <c r="U1617" s="115">
        <f>(P1617-R1617)*M1617/3600/Q1617</f>
        <v>1000</v>
      </c>
      <c r="V1617" s="115">
        <f>U1617/24</f>
        <v>41.666666666666664</v>
      </c>
      <c r="W1617" s="115">
        <v>0</v>
      </c>
      <c r="X1617" s="201">
        <f>A1617+K1617+L1617+V1617+W1617</f>
        <v>46195.570891203686</v>
      </c>
    </row>
    <row r="1618" spans="1:24" s="118" customFormat="1" ht="26" x14ac:dyDescent="0.35">
      <c r="A1618" s="271"/>
      <c r="B1618" s="271"/>
      <c r="C1618" s="272"/>
      <c r="D1618" s="272"/>
      <c r="E1618" s="273"/>
      <c r="F1618" s="274"/>
      <c r="G1618" s="275"/>
      <c r="H1618" s="276"/>
      <c r="I1618" s="1064"/>
      <c r="J1618" s="277"/>
      <c r="K1618" s="278"/>
      <c r="L1618" s="278"/>
      <c r="M1618" s="279"/>
      <c r="N1618" s="280"/>
      <c r="O1618" s="281"/>
      <c r="P1618" s="280"/>
      <c r="Q1618" s="282"/>
      <c r="R1618" s="283"/>
      <c r="S1618" s="279"/>
      <c r="T1618" s="284"/>
      <c r="U1618" s="278"/>
      <c r="V1618" s="278"/>
      <c r="W1618" s="278"/>
      <c r="X1618" s="285"/>
    </row>
    <row r="1619" spans="1:24" ht="45" x14ac:dyDescent="0.8">
      <c r="A1619" s="35" t="s">
        <v>6344</v>
      </c>
      <c r="B1619" s="35"/>
      <c r="C1619" s="787"/>
      <c r="D1619" s="35"/>
      <c r="E1619" s="36"/>
      <c r="F1619" s="37"/>
      <c r="G1619" s="37"/>
      <c r="H1619" s="311" t="s">
        <v>4269</v>
      </c>
      <c r="I1619" s="214"/>
      <c r="J1619" s="40"/>
      <c r="K1619" s="41"/>
      <c r="L1619" s="41"/>
      <c r="M1619" s="42"/>
      <c r="N1619" s="43"/>
      <c r="O1619" s="44"/>
      <c r="P1619" s="44"/>
      <c r="Q1619" s="44"/>
      <c r="R1619" s="43"/>
      <c r="S1619" s="44"/>
      <c r="T1619" s="44"/>
      <c r="U1619" s="44"/>
      <c r="V1619" s="44"/>
      <c r="W1619" s="44"/>
      <c r="X1619" s="45"/>
    </row>
    <row r="1620" spans="1:24" hidden="1" x14ac:dyDescent="0.35">
      <c r="A1620" s="46">
        <f>S7</f>
        <v>46153</v>
      </c>
      <c r="B1620" s="46"/>
      <c r="C1620" s="260"/>
      <c r="D1620" s="46"/>
      <c r="E1620" s="47" t="s">
        <v>4411</v>
      </c>
      <c r="F1620" s="48" t="s">
        <v>55</v>
      </c>
      <c r="G1620" s="48"/>
      <c r="H1620" s="59" t="s">
        <v>6345</v>
      </c>
      <c r="I1620" s="82" t="s">
        <v>6346</v>
      </c>
      <c r="J1620" s="100"/>
      <c r="K1620" s="52">
        <v>0</v>
      </c>
      <c r="L1620" s="52">
        <v>0</v>
      </c>
      <c r="M1620" s="53">
        <v>45</v>
      </c>
      <c r="N1620" s="53">
        <v>2000</v>
      </c>
      <c r="O1620" s="53">
        <v>2</v>
      </c>
      <c r="P1620" s="53">
        <f>N1620/O1620</f>
        <v>1000</v>
      </c>
      <c r="Q1620" s="53"/>
      <c r="R1620" s="53">
        <v>1000</v>
      </c>
      <c r="S1620" s="53">
        <f t="shared" ref="S1620:S1683" si="383">P1620-R1620</f>
        <v>0</v>
      </c>
      <c r="T1620" s="83">
        <f t="shared" ref="T1620:T1683" si="384">((3600/M1620)*O1620)*24</f>
        <v>3840</v>
      </c>
      <c r="U1620" s="84">
        <f t="shared" ref="U1620:U1683" si="385">(P1620-R1620)*M1620/3600</f>
        <v>0</v>
      </c>
      <c r="V1620" s="84">
        <f t="shared" ref="V1620:V1683" si="386">(P1620-R1620)*M1620/3600/24</f>
        <v>0</v>
      </c>
      <c r="W1620" s="84">
        <v>0</v>
      </c>
      <c r="X1620" s="55">
        <f t="shared" ref="X1620:X1683" si="387">A1620+K1620+V1620+W1620+L1620</f>
        <v>46153</v>
      </c>
    </row>
    <row r="1621" spans="1:24" hidden="1" x14ac:dyDescent="0.35">
      <c r="A1621" s="46">
        <f t="shared" ref="A1621:A1684" si="388">X1620</f>
        <v>46153</v>
      </c>
      <c r="B1621" s="46"/>
      <c r="C1621" s="260"/>
      <c r="D1621" s="46"/>
      <c r="E1621" s="47" t="s">
        <v>4411</v>
      </c>
      <c r="F1621" s="48" t="s">
        <v>55</v>
      </c>
      <c r="G1621" s="48"/>
      <c r="H1621" s="49"/>
      <c r="I1621" s="82" t="s">
        <v>6347</v>
      </c>
      <c r="J1621" s="100"/>
      <c r="K1621" s="52">
        <v>0</v>
      </c>
      <c r="L1621" s="52">
        <v>0</v>
      </c>
      <c r="M1621" s="53">
        <v>45</v>
      </c>
      <c r="N1621" s="53">
        <v>250</v>
      </c>
      <c r="O1621" s="53">
        <v>2</v>
      </c>
      <c r="P1621" s="53">
        <v>559</v>
      </c>
      <c r="Q1621" s="53"/>
      <c r="R1621" s="53">
        <v>559</v>
      </c>
      <c r="S1621" s="53">
        <f t="shared" si="383"/>
        <v>0</v>
      </c>
      <c r="T1621" s="83">
        <f t="shared" si="384"/>
        <v>3840</v>
      </c>
      <c r="U1621" s="84">
        <f t="shared" si="385"/>
        <v>0</v>
      </c>
      <c r="V1621" s="84">
        <f t="shared" si="386"/>
        <v>0</v>
      </c>
      <c r="W1621" s="84">
        <v>0</v>
      </c>
      <c r="X1621" s="55">
        <f t="shared" si="387"/>
        <v>46153</v>
      </c>
    </row>
    <row r="1622" spans="1:24" hidden="1" x14ac:dyDescent="0.35">
      <c r="A1622" s="46">
        <f t="shared" si="388"/>
        <v>46153</v>
      </c>
      <c r="B1622" s="46"/>
      <c r="C1622" s="260"/>
      <c r="D1622" s="46"/>
      <c r="E1622" s="47" t="s">
        <v>4411</v>
      </c>
      <c r="F1622" s="48" t="s">
        <v>55</v>
      </c>
      <c r="G1622" s="48"/>
      <c r="H1622" s="59" t="s">
        <v>6348</v>
      </c>
      <c r="I1622" s="82" t="s">
        <v>6349</v>
      </c>
      <c r="J1622" s="100"/>
      <c r="K1622" s="52">
        <v>0</v>
      </c>
      <c r="L1622" s="52">
        <v>0</v>
      </c>
      <c r="M1622" s="53">
        <v>40</v>
      </c>
      <c r="N1622" s="53">
        <v>16000</v>
      </c>
      <c r="O1622" s="53">
        <v>2</v>
      </c>
      <c r="P1622" s="53">
        <v>7239</v>
      </c>
      <c r="Q1622" s="53"/>
      <c r="R1622" s="53">
        <v>7239</v>
      </c>
      <c r="S1622" s="53">
        <f t="shared" si="383"/>
        <v>0</v>
      </c>
      <c r="T1622" s="83">
        <f t="shared" si="384"/>
        <v>4320</v>
      </c>
      <c r="U1622" s="84">
        <f t="shared" si="385"/>
        <v>0</v>
      </c>
      <c r="V1622" s="84">
        <f t="shared" si="386"/>
        <v>0</v>
      </c>
      <c r="W1622" s="84">
        <v>0</v>
      </c>
      <c r="X1622" s="55">
        <f t="shared" si="387"/>
        <v>46153</v>
      </c>
    </row>
    <row r="1623" spans="1:24" hidden="1" x14ac:dyDescent="0.35">
      <c r="A1623" s="46">
        <f t="shared" si="388"/>
        <v>46153</v>
      </c>
      <c r="B1623" s="46"/>
      <c r="C1623" s="260"/>
      <c r="D1623" s="46"/>
      <c r="E1623" s="47" t="s">
        <v>4411</v>
      </c>
      <c r="F1623" s="48" t="s">
        <v>5191</v>
      </c>
      <c r="G1623" s="48"/>
      <c r="H1623" s="59" t="s">
        <v>6350</v>
      </c>
      <c r="I1623" s="82" t="s">
        <v>6351</v>
      </c>
      <c r="J1623" s="100"/>
      <c r="K1623" s="52">
        <v>0</v>
      </c>
      <c r="L1623" s="52">
        <v>0</v>
      </c>
      <c r="M1623" s="53">
        <v>40</v>
      </c>
      <c r="N1623" s="53">
        <v>2000</v>
      </c>
      <c r="O1623" s="53">
        <v>2</v>
      </c>
      <c r="P1623" s="53">
        <f>N1623/O1623</f>
        <v>1000</v>
      </c>
      <c r="Q1623" s="53"/>
      <c r="R1623" s="53">
        <v>1000</v>
      </c>
      <c r="S1623" s="53">
        <f t="shared" si="383"/>
        <v>0</v>
      </c>
      <c r="T1623" s="83">
        <f t="shared" si="384"/>
        <v>4320</v>
      </c>
      <c r="U1623" s="84">
        <f t="shared" si="385"/>
        <v>0</v>
      </c>
      <c r="V1623" s="84">
        <f t="shared" si="386"/>
        <v>0</v>
      </c>
      <c r="W1623" s="84">
        <v>0</v>
      </c>
      <c r="X1623" s="55">
        <f t="shared" si="387"/>
        <v>46153</v>
      </c>
    </row>
    <row r="1624" spans="1:24" hidden="1" x14ac:dyDescent="0.35">
      <c r="A1624" s="46">
        <f t="shared" si="388"/>
        <v>46153</v>
      </c>
      <c r="B1624" s="46"/>
      <c r="C1624" s="260"/>
      <c r="D1624" s="46"/>
      <c r="E1624" s="47" t="s">
        <v>4411</v>
      </c>
      <c r="F1624" s="48" t="s">
        <v>55</v>
      </c>
      <c r="G1624" s="48"/>
      <c r="H1624" s="59" t="s">
        <v>6350</v>
      </c>
      <c r="I1624" s="82" t="s">
        <v>6352</v>
      </c>
      <c r="J1624" s="100"/>
      <c r="K1624" s="52">
        <v>0</v>
      </c>
      <c r="L1624" s="52">
        <v>0</v>
      </c>
      <c r="M1624" s="53">
        <v>40</v>
      </c>
      <c r="N1624" s="53">
        <v>6000</v>
      </c>
      <c r="O1624" s="53">
        <v>2</v>
      </c>
      <c r="P1624" s="53">
        <v>3154</v>
      </c>
      <c r="Q1624" s="53"/>
      <c r="R1624" s="53">
        <f>-1000+4154</f>
        <v>3154</v>
      </c>
      <c r="S1624" s="53">
        <f t="shared" si="383"/>
        <v>0</v>
      </c>
      <c r="T1624" s="83">
        <f t="shared" si="384"/>
        <v>4320</v>
      </c>
      <c r="U1624" s="84">
        <f t="shared" si="385"/>
        <v>0</v>
      </c>
      <c r="V1624" s="84">
        <f t="shared" si="386"/>
        <v>0</v>
      </c>
      <c r="W1624" s="84">
        <v>0</v>
      </c>
      <c r="X1624" s="55">
        <f t="shared" si="387"/>
        <v>46153</v>
      </c>
    </row>
    <row r="1625" spans="1:24" hidden="1" x14ac:dyDescent="0.35">
      <c r="A1625" s="46">
        <f t="shared" si="388"/>
        <v>46153</v>
      </c>
      <c r="B1625" s="46"/>
      <c r="C1625" s="260"/>
      <c r="D1625" s="46"/>
      <c r="E1625" s="47" t="s">
        <v>4411</v>
      </c>
      <c r="F1625" s="48" t="s">
        <v>5191</v>
      </c>
      <c r="G1625" s="48"/>
      <c r="H1625" s="59" t="s">
        <v>6353</v>
      </c>
      <c r="I1625" s="82" t="s">
        <v>6354</v>
      </c>
      <c r="J1625" s="100"/>
      <c r="K1625" s="52">
        <v>0</v>
      </c>
      <c r="L1625" s="52">
        <v>0</v>
      </c>
      <c r="M1625" s="53">
        <v>35</v>
      </c>
      <c r="N1625" s="53">
        <v>2000</v>
      </c>
      <c r="O1625" s="53">
        <v>1</v>
      </c>
      <c r="P1625" s="53">
        <f>N1625/O1625</f>
        <v>2000</v>
      </c>
      <c r="Q1625" s="53"/>
      <c r="R1625" s="53">
        <v>2000</v>
      </c>
      <c r="S1625" s="53">
        <f t="shared" si="383"/>
        <v>0</v>
      </c>
      <c r="T1625" s="83">
        <f t="shared" si="384"/>
        <v>2468.5714285714284</v>
      </c>
      <c r="U1625" s="84">
        <f t="shared" si="385"/>
        <v>0</v>
      </c>
      <c r="V1625" s="84">
        <f t="shared" si="386"/>
        <v>0</v>
      </c>
      <c r="W1625" s="84">
        <v>0</v>
      </c>
      <c r="X1625" s="55">
        <f t="shared" si="387"/>
        <v>46153</v>
      </c>
    </row>
    <row r="1626" spans="1:24" hidden="1" x14ac:dyDescent="0.35">
      <c r="A1626" s="46">
        <f t="shared" si="388"/>
        <v>46153</v>
      </c>
      <c r="B1626" s="46"/>
      <c r="C1626" s="260"/>
      <c r="D1626" s="46"/>
      <c r="E1626" s="47" t="s">
        <v>4411</v>
      </c>
      <c r="F1626" s="48" t="s">
        <v>55</v>
      </c>
      <c r="G1626" s="48"/>
      <c r="H1626" s="59" t="s">
        <v>6353</v>
      </c>
      <c r="I1626" s="82" t="s">
        <v>6354</v>
      </c>
      <c r="J1626" s="100"/>
      <c r="K1626" s="52">
        <v>0</v>
      </c>
      <c r="L1626" s="52">
        <v>0</v>
      </c>
      <c r="M1626" s="53">
        <v>35</v>
      </c>
      <c r="N1626" s="53">
        <v>6000</v>
      </c>
      <c r="O1626" s="53">
        <v>1</v>
      </c>
      <c r="P1626" s="53">
        <v>6730</v>
      </c>
      <c r="Q1626" s="53"/>
      <c r="R1626" s="53">
        <f>-2000+8730</f>
        <v>6730</v>
      </c>
      <c r="S1626" s="53">
        <f t="shared" si="383"/>
        <v>0</v>
      </c>
      <c r="T1626" s="83">
        <f t="shared" si="384"/>
        <v>2468.5714285714284</v>
      </c>
      <c r="U1626" s="84">
        <f t="shared" si="385"/>
        <v>0</v>
      </c>
      <c r="V1626" s="84">
        <f t="shared" si="386"/>
        <v>0</v>
      </c>
      <c r="W1626" s="84">
        <v>0</v>
      </c>
      <c r="X1626" s="55">
        <f t="shared" si="387"/>
        <v>46153</v>
      </c>
    </row>
    <row r="1627" spans="1:24" hidden="1" x14ac:dyDescent="0.35">
      <c r="A1627" s="46">
        <f t="shared" si="388"/>
        <v>46153</v>
      </c>
      <c r="B1627" s="46"/>
      <c r="C1627" s="260"/>
      <c r="D1627" s="46"/>
      <c r="E1627" s="47" t="s">
        <v>4467</v>
      </c>
      <c r="F1627" s="48" t="s">
        <v>2255</v>
      </c>
      <c r="G1627" s="48"/>
      <c r="H1627" s="49"/>
      <c r="I1627" s="82" t="s">
        <v>5183</v>
      </c>
      <c r="J1627" s="100"/>
      <c r="K1627" s="52">
        <v>0</v>
      </c>
      <c r="L1627" s="52">
        <v>0</v>
      </c>
      <c r="M1627" s="53">
        <v>35</v>
      </c>
      <c r="N1627" s="53">
        <v>20</v>
      </c>
      <c r="O1627" s="53">
        <v>2</v>
      </c>
      <c r="P1627" s="53">
        <f>N1627/O1627</f>
        <v>10</v>
      </c>
      <c r="Q1627" s="53"/>
      <c r="R1627" s="53">
        <v>10</v>
      </c>
      <c r="S1627" s="53">
        <f t="shared" si="383"/>
        <v>0</v>
      </c>
      <c r="T1627" s="83">
        <f t="shared" si="384"/>
        <v>4937.1428571428569</v>
      </c>
      <c r="U1627" s="84">
        <f t="shared" si="385"/>
        <v>0</v>
      </c>
      <c r="V1627" s="84">
        <f t="shared" si="386"/>
        <v>0</v>
      </c>
      <c r="W1627" s="84">
        <v>0</v>
      </c>
      <c r="X1627" s="55">
        <f t="shared" si="387"/>
        <v>46153</v>
      </c>
    </row>
    <row r="1628" spans="1:24" hidden="1" x14ac:dyDescent="0.35">
      <c r="A1628" s="46">
        <f t="shared" si="388"/>
        <v>46153</v>
      </c>
      <c r="B1628" s="46"/>
      <c r="C1628" s="260"/>
      <c r="D1628" s="46"/>
      <c r="E1628" s="47" t="s">
        <v>4467</v>
      </c>
      <c r="F1628" s="48" t="s">
        <v>2255</v>
      </c>
      <c r="G1628" s="48"/>
      <c r="H1628" s="49"/>
      <c r="I1628" s="82" t="s">
        <v>5185</v>
      </c>
      <c r="J1628" s="100"/>
      <c r="K1628" s="52">
        <v>0</v>
      </c>
      <c r="L1628" s="52">
        <v>0</v>
      </c>
      <c r="M1628" s="53">
        <v>25</v>
      </c>
      <c r="N1628" s="53">
        <v>20</v>
      </c>
      <c r="O1628" s="53">
        <v>1</v>
      </c>
      <c r="P1628" s="53">
        <f>N1628/O1628</f>
        <v>20</v>
      </c>
      <c r="Q1628" s="53"/>
      <c r="R1628" s="53">
        <v>20</v>
      </c>
      <c r="S1628" s="53">
        <f t="shared" si="383"/>
        <v>0</v>
      </c>
      <c r="T1628" s="83">
        <f t="shared" si="384"/>
        <v>3456</v>
      </c>
      <c r="U1628" s="84">
        <f t="shared" si="385"/>
        <v>0</v>
      </c>
      <c r="V1628" s="84">
        <f t="shared" si="386"/>
        <v>0</v>
      </c>
      <c r="W1628" s="84">
        <v>0</v>
      </c>
      <c r="X1628" s="55">
        <f t="shared" si="387"/>
        <v>46153</v>
      </c>
    </row>
    <row r="1629" spans="1:24" hidden="1" x14ac:dyDescent="0.35">
      <c r="A1629" s="46">
        <f t="shared" si="388"/>
        <v>46153</v>
      </c>
      <c r="B1629" s="46"/>
      <c r="C1629" s="260"/>
      <c r="D1629" s="46"/>
      <c r="E1629" s="47" t="s">
        <v>4411</v>
      </c>
      <c r="F1629" s="57" t="s">
        <v>6355</v>
      </c>
      <c r="G1629" s="57"/>
      <c r="H1629" s="49">
        <v>7789</v>
      </c>
      <c r="I1629" s="82" t="s">
        <v>4441</v>
      </c>
      <c r="J1629" s="100"/>
      <c r="K1629" s="52">
        <v>0</v>
      </c>
      <c r="L1629" s="52">
        <v>0</v>
      </c>
      <c r="M1629" s="53">
        <v>70</v>
      </c>
      <c r="N1629" s="53">
        <v>1000</v>
      </c>
      <c r="O1629" s="53">
        <v>1</v>
      </c>
      <c r="P1629" s="53">
        <f>N1629/O1629</f>
        <v>1000</v>
      </c>
      <c r="Q1629" s="53"/>
      <c r="R1629" s="53">
        <v>1000</v>
      </c>
      <c r="S1629" s="53">
        <f t="shared" si="383"/>
        <v>0</v>
      </c>
      <c r="T1629" s="83">
        <f t="shared" si="384"/>
        <v>1234.2857142857142</v>
      </c>
      <c r="U1629" s="84">
        <f t="shared" si="385"/>
        <v>0</v>
      </c>
      <c r="V1629" s="84">
        <f t="shared" si="386"/>
        <v>0</v>
      </c>
      <c r="W1629" s="84">
        <v>0</v>
      </c>
      <c r="X1629" s="55">
        <f t="shared" si="387"/>
        <v>46153</v>
      </c>
    </row>
    <row r="1630" spans="1:24" hidden="1" x14ac:dyDescent="0.35">
      <c r="A1630" s="46">
        <f t="shared" si="388"/>
        <v>46153</v>
      </c>
      <c r="B1630" s="46"/>
      <c r="C1630" s="260"/>
      <c r="D1630" s="46"/>
      <c r="E1630" s="47" t="s">
        <v>4411</v>
      </c>
      <c r="F1630" s="57" t="s">
        <v>6356</v>
      </c>
      <c r="G1630" s="57"/>
      <c r="H1630" s="49">
        <v>7790</v>
      </c>
      <c r="I1630" s="82" t="s">
        <v>4413</v>
      </c>
      <c r="J1630" s="100"/>
      <c r="K1630" s="52">
        <v>0</v>
      </c>
      <c r="L1630" s="52">
        <v>0</v>
      </c>
      <c r="M1630" s="53">
        <v>55</v>
      </c>
      <c r="N1630" s="53">
        <v>1000</v>
      </c>
      <c r="O1630" s="53">
        <v>1</v>
      </c>
      <c r="P1630" s="53">
        <v>1030</v>
      </c>
      <c r="Q1630" s="53"/>
      <c r="R1630" s="53">
        <v>1030</v>
      </c>
      <c r="S1630" s="53">
        <f t="shared" si="383"/>
        <v>0</v>
      </c>
      <c r="T1630" s="83">
        <f t="shared" si="384"/>
        <v>1570.909090909091</v>
      </c>
      <c r="U1630" s="84">
        <f t="shared" si="385"/>
        <v>0</v>
      </c>
      <c r="V1630" s="84">
        <f t="shared" si="386"/>
        <v>0</v>
      </c>
      <c r="W1630" s="84">
        <v>0</v>
      </c>
      <c r="X1630" s="55">
        <f t="shared" si="387"/>
        <v>46153</v>
      </c>
    </row>
    <row r="1631" spans="1:24" hidden="1" x14ac:dyDescent="0.35">
      <c r="A1631" s="46">
        <f t="shared" si="388"/>
        <v>46153</v>
      </c>
      <c r="B1631" s="46"/>
      <c r="C1631" s="260"/>
      <c r="D1631" s="46"/>
      <c r="E1631" s="47" t="s">
        <v>4411</v>
      </c>
      <c r="F1631" s="57" t="s">
        <v>6356</v>
      </c>
      <c r="G1631" s="57"/>
      <c r="H1631" s="49">
        <v>7791</v>
      </c>
      <c r="I1631" s="82" t="s">
        <v>4438</v>
      </c>
      <c r="J1631" s="100"/>
      <c r="K1631" s="52">
        <v>0</v>
      </c>
      <c r="L1631" s="52">
        <v>0</v>
      </c>
      <c r="M1631" s="53">
        <v>73</v>
      </c>
      <c r="N1631" s="53">
        <v>1000</v>
      </c>
      <c r="O1631" s="53">
        <v>1</v>
      </c>
      <c r="P1631" s="53">
        <v>1085</v>
      </c>
      <c r="Q1631" s="53"/>
      <c r="R1631" s="53">
        <v>1085</v>
      </c>
      <c r="S1631" s="53">
        <f t="shared" si="383"/>
        <v>0</v>
      </c>
      <c r="T1631" s="83">
        <f t="shared" si="384"/>
        <v>1183.5616438356165</v>
      </c>
      <c r="U1631" s="84">
        <f t="shared" si="385"/>
        <v>0</v>
      </c>
      <c r="V1631" s="84">
        <f t="shared" si="386"/>
        <v>0</v>
      </c>
      <c r="W1631" s="84">
        <v>0</v>
      </c>
      <c r="X1631" s="55">
        <f t="shared" si="387"/>
        <v>46153</v>
      </c>
    </row>
    <row r="1632" spans="1:24" ht="29" hidden="1" x14ac:dyDescent="0.35">
      <c r="A1632" s="46">
        <f t="shared" si="388"/>
        <v>46153</v>
      </c>
      <c r="B1632" s="46"/>
      <c r="C1632" s="260"/>
      <c r="D1632" s="46"/>
      <c r="E1632" s="47" t="s">
        <v>4411</v>
      </c>
      <c r="F1632" s="57" t="s">
        <v>6357</v>
      </c>
      <c r="G1632" s="57"/>
      <c r="H1632" s="49" t="s">
        <v>6358</v>
      </c>
      <c r="I1632" s="82" t="s">
        <v>6359</v>
      </c>
      <c r="J1632" s="100"/>
      <c r="K1632" s="52">
        <v>0</v>
      </c>
      <c r="L1632" s="52">
        <v>0</v>
      </c>
      <c r="M1632" s="53">
        <v>45</v>
      </c>
      <c r="N1632" s="53">
        <v>5000</v>
      </c>
      <c r="O1632" s="53">
        <v>2</v>
      </c>
      <c r="P1632" s="53">
        <f t="shared" ref="P1632:P1637" si="389">N1632/O1632</f>
        <v>2500</v>
      </c>
      <c r="Q1632" s="53"/>
      <c r="R1632" s="53">
        <v>2500</v>
      </c>
      <c r="S1632" s="53">
        <f t="shared" si="383"/>
        <v>0</v>
      </c>
      <c r="T1632" s="83">
        <f t="shared" si="384"/>
        <v>3840</v>
      </c>
      <c r="U1632" s="84">
        <f t="shared" si="385"/>
        <v>0</v>
      </c>
      <c r="V1632" s="84">
        <f t="shared" si="386"/>
        <v>0</v>
      </c>
      <c r="W1632" s="84">
        <v>0</v>
      </c>
      <c r="X1632" s="55">
        <f t="shared" si="387"/>
        <v>46153</v>
      </c>
    </row>
    <row r="1633" spans="1:24" hidden="1" x14ac:dyDescent="0.35">
      <c r="A1633" s="46">
        <f t="shared" si="388"/>
        <v>46153</v>
      </c>
      <c r="B1633" s="46"/>
      <c r="C1633" s="260"/>
      <c r="D1633" s="46"/>
      <c r="E1633" s="47" t="s">
        <v>4956</v>
      </c>
      <c r="F1633" s="57" t="s">
        <v>6360</v>
      </c>
      <c r="G1633" s="57"/>
      <c r="H1633" s="49">
        <v>7792</v>
      </c>
      <c r="I1633" s="82" t="s">
        <v>6361</v>
      </c>
      <c r="J1633" s="100"/>
      <c r="K1633" s="52">
        <v>0</v>
      </c>
      <c r="L1633" s="52">
        <v>0</v>
      </c>
      <c r="M1633" s="53">
        <v>40</v>
      </c>
      <c r="N1633" s="53">
        <v>6000</v>
      </c>
      <c r="O1633" s="53">
        <v>2</v>
      </c>
      <c r="P1633" s="53">
        <f t="shared" si="389"/>
        <v>3000</v>
      </c>
      <c r="Q1633" s="53"/>
      <c r="R1633" s="53">
        <v>3000</v>
      </c>
      <c r="S1633" s="53">
        <f t="shared" si="383"/>
        <v>0</v>
      </c>
      <c r="T1633" s="83">
        <f t="shared" si="384"/>
        <v>4320</v>
      </c>
      <c r="U1633" s="84">
        <f t="shared" si="385"/>
        <v>0</v>
      </c>
      <c r="V1633" s="84">
        <f t="shared" si="386"/>
        <v>0</v>
      </c>
      <c r="W1633" s="84">
        <v>0</v>
      </c>
      <c r="X1633" s="55">
        <f t="shared" si="387"/>
        <v>46153</v>
      </c>
    </row>
    <row r="1634" spans="1:24" hidden="1" x14ac:dyDescent="0.35">
      <c r="A1634" s="46">
        <f t="shared" si="388"/>
        <v>46153</v>
      </c>
      <c r="B1634" s="46"/>
      <c r="C1634" s="260"/>
      <c r="D1634" s="46"/>
      <c r="E1634" s="47"/>
      <c r="F1634" s="57" t="s">
        <v>6362</v>
      </c>
      <c r="G1634" s="57"/>
      <c r="H1634" s="49" t="s">
        <v>6363</v>
      </c>
      <c r="I1634" s="82" t="s">
        <v>6038</v>
      </c>
      <c r="J1634" s="100"/>
      <c r="K1634" s="52">
        <v>0</v>
      </c>
      <c r="L1634" s="52">
        <v>0</v>
      </c>
      <c r="M1634" s="53">
        <v>45</v>
      </c>
      <c r="N1634" s="53">
        <v>400</v>
      </c>
      <c r="O1634" s="53">
        <v>1</v>
      </c>
      <c r="P1634" s="53">
        <f t="shared" si="389"/>
        <v>400</v>
      </c>
      <c r="Q1634" s="53"/>
      <c r="R1634" s="83">
        <v>400</v>
      </c>
      <c r="S1634" s="53">
        <f t="shared" si="383"/>
        <v>0</v>
      </c>
      <c r="T1634" s="83">
        <f t="shared" si="384"/>
        <v>1920</v>
      </c>
      <c r="U1634" s="84">
        <f t="shared" si="385"/>
        <v>0</v>
      </c>
      <c r="V1634" s="84">
        <f t="shared" si="386"/>
        <v>0</v>
      </c>
      <c r="W1634" s="84">
        <v>0</v>
      </c>
      <c r="X1634" s="55">
        <f t="shared" si="387"/>
        <v>46153</v>
      </c>
    </row>
    <row r="1635" spans="1:24" hidden="1" x14ac:dyDescent="0.35">
      <c r="A1635" s="46">
        <f t="shared" si="388"/>
        <v>46153</v>
      </c>
      <c r="B1635" s="46"/>
      <c r="C1635" s="260"/>
      <c r="D1635" s="46"/>
      <c r="E1635" s="47" t="s">
        <v>4411</v>
      </c>
      <c r="F1635" s="48"/>
      <c r="G1635" s="48"/>
      <c r="H1635" s="49" t="s">
        <v>6364</v>
      </c>
      <c r="I1635" s="82" t="s">
        <v>5311</v>
      </c>
      <c r="J1635" s="491"/>
      <c r="K1635" s="52">
        <v>0</v>
      </c>
      <c r="L1635" s="52">
        <v>0</v>
      </c>
      <c r="M1635" s="53">
        <v>50</v>
      </c>
      <c r="N1635" s="53">
        <v>3000</v>
      </c>
      <c r="O1635" s="53">
        <v>2</v>
      </c>
      <c r="P1635" s="53">
        <f t="shared" si="389"/>
        <v>1500</v>
      </c>
      <c r="Q1635" s="53"/>
      <c r="R1635" s="53">
        <v>1500</v>
      </c>
      <c r="S1635" s="53">
        <f t="shared" si="383"/>
        <v>0</v>
      </c>
      <c r="T1635" s="83">
        <f t="shared" si="384"/>
        <v>3456</v>
      </c>
      <c r="U1635" s="84">
        <f t="shared" si="385"/>
        <v>0</v>
      </c>
      <c r="V1635" s="84">
        <f t="shared" si="386"/>
        <v>0</v>
      </c>
      <c r="W1635" s="84">
        <v>0</v>
      </c>
      <c r="X1635" s="55">
        <f t="shared" si="387"/>
        <v>46153</v>
      </c>
    </row>
    <row r="1636" spans="1:24" hidden="1" x14ac:dyDescent="0.35">
      <c r="A1636" s="46">
        <f t="shared" si="388"/>
        <v>46153</v>
      </c>
      <c r="B1636" s="46"/>
      <c r="C1636" s="260"/>
      <c r="D1636" s="46"/>
      <c r="E1636" s="47" t="s">
        <v>4801</v>
      </c>
      <c r="F1636" s="57" t="s">
        <v>6365</v>
      </c>
      <c r="G1636" s="57"/>
      <c r="H1636" s="49" t="s">
        <v>4779</v>
      </c>
      <c r="I1636" s="97" t="s">
        <v>6366</v>
      </c>
      <c r="J1636" s="100"/>
      <c r="K1636" s="52">
        <v>0</v>
      </c>
      <c r="L1636" s="52">
        <v>0</v>
      </c>
      <c r="M1636" s="53">
        <v>32</v>
      </c>
      <c r="N1636" s="53">
        <v>20</v>
      </c>
      <c r="O1636" s="53">
        <v>1</v>
      </c>
      <c r="P1636" s="53">
        <f t="shared" si="389"/>
        <v>20</v>
      </c>
      <c r="Q1636" s="53"/>
      <c r="R1636" s="83">
        <v>20</v>
      </c>
      <c r="S1636" s="53">
        <f t="shared" si="383"/>
        <v>0</v>
      </c>
      <c r="T1636" s="83">
        <f t="shared" si="384"/>
        <v>2700</v>
      </c>
      <c r="U1636" s="84">
        <f t="shared" si="385"/>
        <v>0</v>
      </c>
      <c r="V1636" s="84">
        <f t="shared" si="386"/>
        <v>0</v>
      </c>
      <c r="W1636" s="84">
        <v>0</v>
      </c>
      <c r="X1636" s="55">
        <f t="shared" si="387"/>
        <v>46153</v>
      </c>
    </row>
    <row r="1637" spans="1:24" hidden="1" x14ac:dyDescent="0.35">
      <c r="A1637" s="46">
        <f t="shared" si="388"/>
        <v>46153</v>
      </c>
      <c r="B1637" s="46"/>
      <c r="C1637" s="260"/>
      <c r="D1637" s="46"/>
      <c r="E1637" s="47" t="s">
        <v>4790</v>
      </c>
      <c r="F1637" s="57" t="s">
        <v>1362</v>
      </c>
      <c r="G1637" s="57"/>
      <c r="H1637" s="49" t="s">
        <v>1321</v>
      </c>
      <c r="I1637" s="85" t="s">
        <v>6367</v>
      </c>
      <c r="J1637" s="100"/>
      <c r="K1637" s="52">
        <v>0</v>
      </c>
      <c r="L1637" s="52">
        <v>0</v>
      </c>
      <c r="M1637" s="53">
        <v>50</v>
      </c>
      <c r="N1637" s="53">
        <v>20</v>
      </c>
      <c r="O1637" s="53">
        <v>1</v>
      </c>
      <c r="P1637" s="53">
        <f t="shared" si="389"/>
        <v>20</v>
      </c>
      <c r="Q1637" s="53"/>
      <c r="R1637" s="83">
        <v>20</v>
      </c>
      <c r="S1637" s="53">
        <f t="shared" si="383"/>
        <v>0</v>
      </c>
      <c r="T1637" s="83">
        <f t="shared" si="384"/>
        <v>1728</v>
      </c>
      <c r="U1637" s="84">
        <f t="shared" si="385"/>
        <v>0</v>
      </c>
      <c r="V1637" s="84">
        <f t="shared" si="386"/>
        <v>0</v>
      </c>
      <c r="W1637" s="84">
        <v>0</v>
      </c>
      <c r="X1637" s="55">
        <f t="shared" si="387"/>
        <v>46153</v>
      </c>
    </row>
    <row r="1638" spans="1:24" hidden="1" x14ac:dyDescent="0.35">
      <c r="A1638" s="46">
        <f t="shared" si="388"/>
        <v>46153</v>
      </c>
      <c r="B1638" s="46"/>
      <c r="C1638" s="260"/>
      <c r="D1638" s="46"/>
      <c r="E1638" s="47" t="s">
        <v>4790</v>
      </c>
      <c r="F1638" s="48"/>
      <c r="G1638" s="48"/>
      <c r="H1638" s="49" t="s">
        <v>6368</v>
      </c>
      <c r="I1638" s="82" t="s">
        <v>6198</v>
      </c>
      <c r="J1638" s="100"/>
      <c r="K1638" s="52">
        <v>0</v>
      </c>
      <c r="L1638" s="52">
        <v>0</v>
      </c>
      <c r="M1638" s="53">
        <v>40</v>
      </c>
      <c r="N1638" s="53">
        <v>6000</v>
      </c>
      <c r="O1638" s="53">
        <v>2</v>
      </c>
      <c r="P1638" s="53">
        <v>3000</v>
      </c>
      <c r="Q1638" s="53"/>
      <c r="R1638" s="53">
        <v>3000</v>
      </c>
      <c r="S1638" s="53">
        <f t="shared" si="383"/>
        <v>0</v>
      </c>
      <c r="T1638" s="83">
        <f t="shared" si="384"/>
        <v>4320</v>
      </c>
      <c r="U1638" s="84">
        <f t="shared" si="385"/>
        <v>0</v>
      </c>
      <c r="V1638" s="84">
        <f t="shared" si="386"/>
        <v>0</v>
      </c>
      <c r="W1638" s="84">
        <v>0</v>
      </c>
      <c r="X1638" s="55">
        <f t="shared" si="387"/>
        <v>46153</v>
      </c>
    </row>
    <row r="1639" spans="1:24" hidden="1" x14ac:dyDescent="0.35">
      <c r="A1639" s="46">
        <f t="shared" si="388"/>
        <v>46153</v>
      </c>
      <c r="B1639" s="46"/>
      <c r="C1639" s="260"/>
      <c r="D1639" s="46"/>
      <c r="E1639" s="47" t="s">
        <v>4411</v>
      </c>
      <c r="F1639" s="56" t="s">
        <v>101</v>
      </c>
      <c r="G1639" s="56"/>
      <c r="H1639" s="49" t="s">
        <v>6369</v>
      </c>
      <c r="I1639" s="85" t="s">
        <v>6370</v>
      </c>
      <c r="J1639" s="491"/>
      <c r="K1639" s="52">
        <v>0</v>
      </c>
      <c r="L1639" s="52">
        <v>0</v>
      </c>
      <c r="M1639" s="53">
        <v>20</v>
      </c>
      <c r="N1639" s="53">
        <v>9000</v>
      </c>
      <c r="O1639" s="53">
        <v>1</v>
      </c>
      <c r="P1639" s="53">
        <v>10578</v>
      </c>
      <c r="Q1639" s="53"/>
      <c r="R1639" s="53">
        <v>10578</v>
      </c>
      <c r="S1639" s="53">
        <f t="shared" si="383"/>
        <v>0</v>
      </c>
      <c r="T1639" s="83">
        <f t="shared" si="384"/>
        <v>4320</v>
      </c>
      <c r="U1639" s="84">
        <f t="shared" si="385"/>
        <v>0</v>
      </c>
      <c r="V1639" s="84">
        <f t="shared" si="386"/>
        <v>0</v>
      </c>
      <c r="W1639" s="84">
        <v>0</v>
      </c>
      <c r="X1639" s="55">
        <f t="shared" si="387"/>
        <v>46153</v>
      </c>
    </row>
    <row r="1640" spans="1:24" hidden="1" x14ac:dyDescent="0.35">
      <c r="A1640" s="46">
        <f t="shared" si="388"/>
        <v>46153</v>
      </c>
      <c r="B1640" s="46"/>
      <c r="C1640" s="260"/>
      <c r="D1640" s="46"/>
      <c r="E1640" s="47" t="s">
        <v>4411</v>
      </c>
      <c r="F1640" s="57" t="s">
        <v>6371</v>
      </c>
      <c r="G1640" s="57"/>
      <c r="H1640" s="49" t="s">
        <v>6372</v>
      </c>
      <c r="I1640" s="82" t="s">
        <v>6373</v>
      </c>
      <c r="J1640" s="100"/>
      <c r="K1640" s="52">
        <v>0</v>
      </c>
      <c r="L1640" s="52">
        <v>0</v>
      </c>
      <c r="M1640" s="53">
        <v>45</v>
      </c>
      <c r="N1640" s="53">
        <v>1200</v>
      </c>
      <c r="O1640" s="53">
        <v>1</v>
      </c>
      <c r="P1640" s="53">
        <v>1424</v>
      </c>
      <c r="Q1640" s="53"/>
      <c r="R1640" s="53">
        <v>1424</v>
      </c>
      <c r="S1640" s="53">
        <f t="shared" si="383"/>
        <v>0</v>
      </c>
      <c r="T1640" s="83">
        <f t="shared" si="384"/>
        <v>1920</v>
      </c>
      <c r="U1640" s="84">
        <f t="shared" si="385"/>
        <v>0</v>
      </c>
      <c r="V1640" s="84">
        <f t="shared" si="386"/>
        <v>0</v>
      </c>
      <c r="W1640" s="84">
        <v>0</v>
      </c>
      <c r="X1640" s="55">
        <f t="shared" si="387"/>
        <v>46153</v>
      </c>
    </row>
    <row r="1641" spans="1:24" hidden="1" x14ac:dyDescent="0.35">
      <c r="A1641" s="46">
        <f t="shared" si="388"/>
        <v>46153</v>
      </c>
      <c r="B1641" s="46"/>
      <c r="C1641" s="260"/>
      <c r="D1641" s="46"/>
      <c r="E1641" s="47" t="s">
        <v>4411</v>
      </c>
      <c r="F1641" s="56" t="s">
        <v>101</v>
      </c>
      <c r="G1641" s="56"/>
      <c r="H1641" s="49" t="s">
        <v>6374</v>
      </c>
      <c r="I1641" s="106" t="s">
        <v>5194</v>
      </c>
      <c r="J1641" s="100"/>
      <c r="K1641" s="52">
        <v>0</v>
      </c>
      <c r="L1641" s="52">
        <v>0</v>
      </c>
      <c r="M1641" s="53">
        <v>50</v>
      </c>
      <c r="N1641" s="53">
        <v>20000</v>
      </c>
      <c r="O1641" s="53">
        <v>2</v>
      </c>
      <c r="P1641" s="53">
        <f t="shared" ref="P1641:P1704" si="390">N1641/O1641</f>
        <v>10000</v>
      </c>
      <c r="Q1641" s="53"/>
      <c r="R1641" s="53">
        <v>10000</v>
      </c>
      <c r="S1641" s="53">
        <f t="shared" si="383"/>
        <v>0</v>
      </c>
      <c r="T1641" s="83">
        <f t="shared" si="384"/>
        <v>3456</v>
      </c>
      <c r="U1641" s="84">
        <f t="shared" si="385"/>
        <v>0</v>
      </c>
      <c r="V1641" s="84">
        <f t="shared" si="386"/>
        <v>0</v>
      </c>
      <c r="W1641" s="84">
        <v>0</v>
      </c>
      <c r="X1641" s="55">
        <f t="shared" si="387"/>
        <v>46153</v>
      </c>
    </row>
    <row r="1642" spans="1:24" hidden="1" x14ac:dyDescent="0.35">
      <c r="A1642" s="46">
        <f t="shared" si="388"/>
        <v>46153</v>
      </c>
      <c r="B1642" s="46"/>
      <c r="C1642" s="260"/>
      <c r="D1642" s="46"/>
      <c r="E1642" s="47" t="s">
        <v>4411</v>
      </c>
      <c r="F1642" s="57" t="s">
        <v>414</v>
      </c>
      <c r="G1642" s="57"/>
      <c r="H1642" s="49" t="s">
        <v>6375</v>
      </c>
      <c r="I1642" s="82" t="s">
        <v>6376</v>
      </c>
      <c r="J1642" s="100"/>
      <c r="K1642" s="52">
        <v>0</v>
      </c>
      <c r="L1642" s="52">
        <v>0</v>
      </c>
      <c r="M1642" s="53">
        <v>70</v>
      </c>
      <c r="N1642" s="53">
        <v>4000</v>
      </c>
      <c r="O1642" s="53">
        <v>2</v>
      </c>
      <c r="P1642" s="53">
        <f t="shared" si="390"/>
        <v>2000</v>
      </c>
      <c r="Q1642" s="53"/>
      <c r="R1642" s="53">
        <v>2000</v>
      </c>
      <c r="S1642" s="53">
        <f t="shared" si="383"/>
        <v>0</v>
      </c>
      <c r="T1642" s="83">
        <f t="shared" si="384"/>
        <v>2468.5714285714284</v>
      </c>
      <c r="U1642" s="84">
        <f t="shared" si="385"/>
        <v>0</v>
      </c>
      <c r="V1642" s="84">
        <f t="shared" si="386"/>
        <v>0</v>
      </c>
      <c r="W1642" s="84">
        <v>0</v>
      </c>
      <c r="X1642" s="55">
        <f t="shared" si="387"/>
        <v>46153</v>
      </c>
    </row>
    <row r="1643" spans="1:24" hidden="1" x14ac:dyDescent="0.35">
      <c r="A1643" s="46">
        <f t="shared" si="388"/>
        <v>46153</v>
      </c>
      <c r="B1643" s="46"/>
      <c r="C1643" s="260"/>
      <c r="D1643" s="46"/>
      <c r="E1643" s="47" t="s">
        <v>4411</v>
      </c>
      <c r="F1643" s="48" t="s">
        <v>6196</v>
      </c>
      <c r="G1643" s="48"/>
      <c r="H1643" s="49" t="s">
        <v>6377</v>
      </c>
      <c r="I1643" s="82" t="s">
        <v>6198</v>
      </c>
      <c r="J1643" s="100"/>
      <c r="K1643" s="52">
        <v>0</v>
      </c>
      <c r="L1643" s="52">
        <v>0</v>
      </c>
      <c r="M1643" s="53">
        <v>40</v>
      </c>
      <c r="N1643" s="53">
        <v>4000</v>
      </c>
      <c r="O1643" s="53">
        <v>1</v>
      </c>
      <c r="P1643" s="53">
        <f t="shared" si="390"/>
        <v>4000</v>
      </c>
      <c r="Q1643" s="53"/>
      <c r="R1643" s="53">
        <v>4000</v>
      </c>
      <c r="S1643" s="53">
        <f t="shared" si="383"/>
        <v>0</v>
      </c>
      <c r="T1643" s="83">
        <f t="shared" si="384"/>
        <v>2160</v>
      </c>
      <c r="U1643" s="84">
        <f t="shared" si="385"/>
        <v>0</v>
      </c>
      <c r="V1643" s="84">
        <f t="shared" si="386"/>
        <v>0</v>
      </c>
      <c r="W1643" s="84">
        <v>0</v>
      </c>
      <c r="X1643" s="55">
        <f t="shared" si="387"/>
        <v>46153</v>
      </c>
    </row>
    <row r="1644" spans="1:24" hidden="1" x14ac:dyDescent="0.35">
      <c r="A1644" s="46">
        <f t="shared" si="388"/>
        <v>46153</v>
      </c>
      <c r="B1644" s="46"/>
      <c r="C1644" s="260"/>
      <c r="D1644" s="46"/>
      <c r="E1644" s="47" t="s">
        <v>4411</v>
      </c>
      <c r="F1644" s="48" t="s">
        <v>6196</v>
      </c>
      <c r="G1644" s="48"/>
      <c r="H1644" s="49" t="s">
        <v>6378</v>
      </c>
      <c r="I1644" s="82" t="s">
        <v>6379</v>
      </c>
      <c r="J1644" s="100"/>
      <c r="K1644" s="52">
        <v>0</v>
      </c>
      <c r="L1644" s="52">
        <v>0</v>
      </c>
      <c r="M1644" s="53">
        <v>40</v>
      </c>
      <c r="N1644" s="53">
        <v>4000</v>
      </c>
      <c r="O1644" s="53">
        <v>1</v>
      </c>
      <c r="P1644" s="53">
        <f t="shared" si="390"/>
        <v>4000</v>
      </c>
      <c r="Q1644" s="53"/>
      <c r="R1644" s="53">
        <v>4000</v>
      </c>
      <c r="S1644" s="53">
        <f t="shared" si="383"/>
        <v>0</v>
      </c>
      <c r="T1644" s="83">
        <f t="shared" si="384"/>
        <v>2160</v>
      </c>
      <c r="U1644" s="84">
        <f t="shared" si="385"/>
        <v>0</v>
      </c>
      <c r="V1644" s="84">
        <f t="shared" si="386"/>
        <v>0</v>
      </c>
      <c r="W1644" s="84">
        <v>0</v>
      </c>
      <c r="X1644" s="55">
        <f t="shared" si="387"/>
        <v>46153</v>
      </c>
    </row>
    <row r="1645" spans="1:24" hidden="1" x14ac:dyDescent="0.35">
      <c r="A1645" s="46">
        <f t="shared" si="388"/>
        <v>46153</v>
      </c>
      <c r="B1645" s="46"/>
      <c r="C1645" s="260"/>
      <c r="D1645" s="46"/>
      <c r="E1645" s="47" t="s">
        <v>4411</v>
      </c>
      <c r="F1645" s="48" t="s">
        <v>5212</v>
      </c>
      <c r="G1645" s="48"/>
      <c r="H1645" s="49" t="s">
        <v>6380</v>
      </c>
      <c r="I1645" s="99" t="s">
        <v>5217</v>
      </c>
      <c r="J1645" s="100"/>
      <c r="K1645" s="52">
        <v>0</v>
      </c>
      <c r="L1645" s="52">
        <v>0</v>
      </c>
      <c r="M1645" s="53">
        <v>40</v>
      </c>
      <c r="N1645" s="53">
        <v>4000</v>
      </c>
      <c r="O1645" s="53">
        <v>2</v>
      </c>
      <c r="P1645" s="53">
        <f t="shared" si="390"/>
        <v>2000</v>
      </c>
      <c r="Q1645" s="53"/>
      <c r="R1645" s="83">
        <v>2000</v>
      </c>
      <c r="S1645" s="53">
        <f t="shared" si="383"/>
        <v>0</v>
      </c>
      <c r="T1645" s="83">
        <f t="shared" si="384"/>
        <v>4320</v>
      </c>
      <c r="U1645" s="84">
        <f t="shared" si="385"/>
        <v>0</v>
      </c>
      <c r="V1645" s="84">
        <f t="shared" si="386"/>
        <v>0</v>
      </c>
      <c r="W1645" s="84">
        <v>0</v>
      </c>
      <c r="X1645" s="55">
        <f t="shared" si="387"/>
        <v>46153</v>
      </c>
    </row>
    <row r="1646" spans="1:24" hidden="1" x14ac:dyDescent="0.35">
      <c r="A1646" s="46">
        <f t="shared" si="388"/>
        <v>46153</v>
      </c>
      <c r="B1646" s="46"/>
      <c r="C1646" s="260"/>
      <c r="D1646" s="46"/>
      <c r="E1646" s="47" t="s">
        <v>4411</v>
      </c>
      <c r="F1646" s="48" t="s">
        <v>6381</v>
      </c>
      <c r="G1646" s="48"/>
      <c r="H1646" s="49" t="s">
        <v>6382</v>
      </c>
      <c r="I1646" s="82" t="s">
        <v>4441</v>
      </c>
      <c r="J1646" s="100"/>
      <c r="K1646" s="52">
        <v>0</v>
      </c>
      <c r="L1646" s="52">
        <v>0</v>
      </c>
      <c r="M1646" s="53">
        <v>70</v>
      </c>
      <c r="N1646" s="53">
        <v>1300</v>
      </c>
      <c r="O1646" s="53">
        <v>1</v>
      </c>
      <c r="P1646" s="53">
        <f t="shared" si="390"/>
        <v>1300</v>
      </c>
      <c r="Q1646" s="53"/>
      <c r="R1646" s="83">
        <v>1300</v>
      </c>
      <c r="S1646" s="53">
        <f t="shared" si="383"/>
        <v>0</v>
      </c>
      <c r="T1646" s="83">
        <f t="shared" si="384"/>
        <v>1234.2857142857142</v>
      </c>
      <c r="U1646" s="84">
        <f t="shared" si="385"/>
        <v>0</v>
      </c>
      <c r="V1646" s="84">
        <f t="shared" si="386"/>
        <v>0</v>
      </c>
      <c r="W1646" s="84">
        <v>0</v>
      </c>
      <c r="X1646" s="55">
        <f t="shared" si="387"/>
        <v>46153</v>
      </c>
    </row>
    <row r="1647" spans="1:24" hidden="1" x14ac:dyDescent="0.35">
      <c r="A1647" s="46">
        <f t="shared" si="388"/>
        <v>46153</v>
      </c>
      <c r="B1647" s="46"/>
      <c r="C1647" s="260"/>
      <c r="D1647" s="46"/>
      <c r="E1647" s="47" t="s">
        <v>6383</v>
      </c>
      <c r="F1647" s="48" t="s">
        <v>5215</v>
      </c>
      <c r="G1647" s="48"/>
      <c r="H1647" s="49" t="s">
        <v>6384</v>
      </c>
      <c r="I1647" s="104" t="s">
        <v>5169</v>
      </c>
      <c r="J1647" s="100"/>
      <c r="K1647" s="52">
        <v>0</v>
      </c>
      <c r="L1647" s="52">
        <v>0</v>
      </c>
      <c r="M1647" s="53">
        <v>45</v>
      </c>
      <c r="N1647" s="53">
        <v>5685</v>
      </c>
      <c r="O1647" s="53">
        <v>2</v>
      </c>
      <c r="P1647" s="53">
        <f t="shared" si="390"/>
        <v>2842.5</v>
      </c>
      <c r="Q1647" s="53"/>
      <c r="R1647" s="83">
        <v>2842</v>
      </c>
      <c r="S1647" s="53">
        <f t="shared" si="383"/>
        <v>0.5</v>
      </c>
      <c r="T1647" s="83">
        <f t="shared" si="384"/>
        <v>3840</v>
      </c>
      <c r="U1647" s="84">
        <f t="shared" si="385"/>
        <v>6.2500000000000003E-3</v>
      </c>
      <c r="V1647" s="84">
        <f t="shared" si="386"/>
        <v>2.6041666666666666E-4</v>
      </c>
      <c r="W1647" s="84">
        <v>0</v>
      </c>
      <c r="X1647" s="55">
        <f t="shared" si="387"/>
        <v>46153.000260416666</v>
      </c>
    </row>
    <row r="1648" spans="1:24" ht="26.5" hidden="1" x14ac:dyDescent="0.35">
      <c r="A1648" s="46">
        <f t="shared" si="388"/>
        <v>46153.000260416666</v>
      </c>
      <c r="B1648" s="46"/>
      <c r="C1648" s="260"/>
      <c r="D1648" s="46"/>
      <c r="E1648" s="47" t="s">
        <v>6383</v>
      </c>
      <c r="F1648" s="48" t="s">
        <v>4513</v>
      </c>
      <c r="G1648" s="48"/>
      <c r="H1648" s="49" t="s">
        <v>6385</v>
      </c>
      <c r="I1648" s="82" t="s">
        <v>5042</v>
      </c>
      <c r="J1648" s="100" t="s">
        <v>140</v>
      </c>
      <c r="K1648" s="52">
        <v>0</v>
      </c>
      <c r="L1648" s="52">
        <v>0</v>
      </c>
      <c r="M1648" s="53">
        <v>70</v>
      </c>
      <c r="N1648" s="53">
        <v>8165</v>
      </c>
      <c r="O1648" s="53">
        <v>1</v>
      </c>
      <c r="P1648" s="53">
        <f t="shared" si="390"/>
        <v>8165</v>
      </c>
      <c r="Q1648" s="53"/>
      <c r="R1648" s="83">
        <v>8165</v>
      </c>
      <c r="S1648" s="53">
        <f t="shared" si="383"/>
        <v>0</v>
      </c>
      <c r="T1648" s="83">
        <f t="shared" si="384"/>
        <v>1234.2857142857142</v>
      </c>
      <c r="U1648" s="84">
        <f t="shared" si="385"/>
        <v>0</v>
      </c>
      <c r="V1648" s="84">
        <f t="shared" si="386"/>
        <v>0</v>
      </c>
      <c r="W1648" s="84">
        <v>0</v>
      </c>
      <c r="X1648" s="55">
        <f t="shared" si="387"/>
        <v>46153.000260416666</v>
      </c>
    </row>
    <row r="1649" spans="1:24" hidden="1" x14ac:dyDescent="0.35">
      <c r="A1649" s="46">
        <f t="shared" si="388"/>
        <v>46153.000260416666</v>
      </c>
      <c r="B1649" s="46"/>
      <c r="C1649" s="260"/>
      <c r="D1649" s="46"/>
      <c r="E1649" s="47" t="s">
        <v>4411</v>
      </c>
      <c r="F1649" s="57" t="s">
        <v>6386</v>
      </c>
      <c r="G1649" s="57"/>
      <c r="H1649" s="49" t="s">
        <v>6387</v>
      </c>
      <c r="I1649" s="82" t="s">
        <v>4441</v>
      </c>
      <c r="J1649" s="100" t="s">
        <v>140</v>
      </c>
      <c r="K1649" s="52">
        <v>0</v>
      </c>
      <c r="L1649" s="52">
        <v>0</v>
      </c>
      <c r="M1649" s="53">
        <v>70</v>
      </c>
      <c r="N1649" s="53">
        <v>1000</v>
      </c>
      <c r="O1649" s="53">
        <v>1</v>
      </c>
      <c r="P1649" s="53">
        <f t="shared" si="390"/>
        <v>1000</v>
      </c>
      <c r="Q1649" s="53"/>
      <c r="R1649" s="53">
        <v>1000</v>
      </c>
      <c r="S1649" s="53">
        <f t="shared" si="383"/>
        <v>0</v>
      </c>
      <c r="T1649" s="83">
        <f t="shared" si="384"/>
        <v>1234.2857142857142</v>
      </c>
      <c r="U1649" s="84">
        <f t="shared" si="385"/>
        <v>0</v>
      </c>
      <c r="V1649" s="84">
        <f t="shared" si="386"/>
        <v>0</v>
      </c>
      <c r="W1649" s="84">
        <v>0</v>
      </c>
      <c r="X1649" s="55">
        <f t="shared" si="387"/>
        <v>46153.000260416666</v>
      </c>
    </row>
    <row r="1650" spans="1:24" hidden="1" x14ac:dyDescent="0.35">
      <c r="A1650" s="46">
        <f t="shared" si="388"/>
        <v>46153.000260416666</v>
      </c>
      <c r="B1650" s="46"/>
      <c r="C1650" s="260"/>
      <c r="D1650" s="46"/>
      <c r="E1650" s="47" t="s">
        <v>4411</v>
      </c>
      <c r="F1650" s="57" t="s">
        <v>6386</v>
      </c>
      <c r="G1650" s="57"/>
      <c r="H1650" s="49" t="s">
        <v>6388</v>
      </c>
      <c r="I1650" s="82" t="s">
        <v>4438</v>
      </c>
      <c r="J1650" s="100" t="s">
        <v>140</v>
      </c>
      <c r="K1650" s="52">
        <v>0</v>
      </c>
      <c r="L1650" s="52">
        <v>0</v>
      </c>
      <c r="M1650" s="53">
        <v>73</v>
      </c>
      <c r="N1650" s="53">
        <v>1000</v>
      </c>
      <c r="O1650" s="53">
        <v>1</v>
      </c>
      <c r="P1650" s="53">
        <f t="shared" si="390"/>
        <v>1000</v>
      </c>
      <c r="Q1650" s="53"/>
      <c r="R1650" s="53">
        <v>1000</v>
      </c>
      <c r="S1650" s="53">
        <f t="shared" si="383"/>
        <v>0</v>
      </c>
      <c r="T1650" s="83">
        <f t="shared" si="384"/>
        <v>1183.5616438356165</v>
      </c>
      <c r="U1650" s="84">
        <f t="shared" si="385"/>
        <v>0</v>
      </c>
      <c r="V1650" s="84">
        <f t="shared" si="386"/>
        <v>0</v>
      </c>
      <c r="W1650" s="84">
        <v>0</v>
      </c>
      <c r="X1650" s="55">
        <f t="shared" si="387"/>
        <v>46153.000260416666</v>
      </c>
    </row>
    <row r="1651" spans="1:24" ht="29" hidden="1" x14ac:dyDescent="0.35">
      <c r="A1651" s="46">
        <f t="shared" si="388"/>
        <v>46153.000260416666</v>
      </c>
      <c r="B1651" s="46"/>
      <c r="C1651" s="260"/>
      <c r="D1651" s="46"/>
      <c r="E1651" s="47" t="s">
        <v>4411</v>
      </c>
      <c r="F1651" s="48" t="s">
        <v>165</v>
      </c>
      <c r="G1651" s="48"/>
      <c r="H1651" s="49" t="s">
        <v>6389</v>
      </c>
      <c r="I1651" s="82" t="s">
        <v>5042</v>
      </c>
      <c r="J1651" s="100" t="s">
        <v>140</v>
      </c>
      <c r="K1651" s="52">
        <v>0</v>
      </c>
      <c r="L1651" s="52">
        <v>0</v>
      </c>
      <c r="M1651" s="53">
        <v>70</v>
      </c>
      <c r="N1651" s="53">
        <v>5000</v>
      </c>
      <c r="O1651" s="53">
        <v>1</v>
      </c>
      <c r="P1651" s="53">
        <f t="shared" si="390"/>
        <v>5000</v>
      </c>
      <c r="Q1651" s="53"/>
      <c r="R1651" s="83">
        <v>5000</v>
      </c>
      <c r="S1651" s="53">
        <f t="shared" si="383"/>
        <v>0</v>
      </c>
      <c r="T1651" s="83">
        <f t="shared" si="384"/>
        <v>1234.2857142857142</v>
      </c>
      <c r="U1651" s="84">
        <f t="shared" si="385"/>
        <v>0</v>
      </c>
      <c r="V1651" s="84">
        <f t="shared" si="386"/>
        <v>0</v>
      </c>
      <c r="W1651" s="84">
        <v>0</v>
      </c>
      <c r="X1651" s="55">
        <f t="shared" si="387"/>
        <v>46153.000260416666</v>
      </c>
    </row>
    <row r="1652" spans="1:24" hidden="1" x14ac:dyDescent="0.35">
      <c r="A1652" s="46">
        <f t="shared" si="388"/>
        <v>46153.000260416666</v>
      </c>
      <c r="B1652" s="46"/>
      <c r="C1652" s="260"/>
      <c r="D1652" s="46"/>
      <c r="E1652" s="47" t="s">
        <v>4411</v>
      </c>
      <c r="F1652" s="48" t="s">
        <v>6210</v>
      </c>
      <c r="G1652" s="48"/>
      <c r="H1652" s="49" t="s">
        <v>6390</v>
      </c>
      <c r="I1652" s="82" t="s">
        <v>4413</v>
      </c>
      <c r="J1652" s="100" t="s">
        <v>140</v>
      </c>
      <c r="K1652" s="52">
        <v>0</v>
      </c>
      <c r="L1652" s="52">
        <v>0</v>
      </c>
      <c r="M1652" s="53">
        <v>73</v>
      </c>
      <c r="N1652" s="53">
        <v>1500</v>
      </c>
      <c r="O1652" s="53">
        <v>1</v>
      </c>
      <c r="P1652" s="53">
        <f t="shared" si="390"/>
        <v>1500</v>
      </c>
      <c r="Q1652" s="53"/>
      <c r="R1652" s="53">
        <v>1500</v>
      </c>
      <c r="S1652" s="53">
        <f t="shared" si="383"/>
        <v>0</v>
      </c>
      <c r="T1652" s="83">
        <f t="shared" si="384"/>
        <v>1183.5616438356165</v>
      </c>
      <c r="U1652" s="84">
        <f t="shared" si="385"/>
        <v>0</v>
      </c>
      <c r="V1652" s="84">
        <f t="shared" si="386"/>
        <v>0</v>
      </c>
      <c r="W1652" s="84">
        <v>0</v>
      </c>
      <c r="X1652" s="55">
        <f t="shared" si="387"/>
        <v>46153.000260416666</v>
      </c>
    </row>
    <row r="1653" spans="1:24" hidden="1" x14ac:dyDescent="0.35">
      <c r="A1653" s="46">
        <f t="shared" si="388"/>
        <v>46153.000260416666</v>
      </c>
      <c r="B1653" s="46"/>
      <c r="C1653" s="260"/>
      <c r="D1653" s="46"/>
      <c r="E1653" s="47" t="s">
        <v>4781</v>
      </c>
      <c r="F1653" s="48" t="s">
        <v>6391</v>
      </c>
      <c r="G1653" s="48"/>
      <c r="H1653" s="216" t="s">
        <v>6392</v>
      </c>
      <c r="I1653" s="82" t="s">
        <v>5055</v>
      </c>
      <c r="J1653" s="100" t="s">
        <v>140</v>
      </c>
      <c r="K1653" s="52">
        <v>0</v>
      </c>
      <c r="L1653" s="52">
        <v>0</v>
      </c>
      <c r="M1653" s="53">
        <v>45</v>
      </c>
      <c r="N1653" s="53">
        <v>2000</v>
      </c>
      <c r="O1653" s="53">
        <v>2</v>
      </c>
      <c r="P1653" s="53">
        <f t="shared" si="390"/>
        <v>1000</v>
      </c>
      <c r="Q1653" s="53"/>
      <c r="R1653" s="53">
        <v>1000</v>
      </c>
      <c r="S1653" s="53">
        <f t="shared" si="383"/>
        <v>0</v>
      </c>
      <c r="T1653" s="83">
        <f t="shared" si="384"/>
        <v>3840</v>
      </c>
      <c r="U1653" s="84">
        <f t="shared" si="385"/>
        <v>0</v>
      </c>
      <c r="V1653" s="84">
        <f t="shared" si="386"/>
        <v>0</v>
      </c>
      <c r="W1653" s="84">
        <v>0</v>
      </c>
      <c r="X1653" s="55">
        <f t="shared" si="387"/>
        <v>46153.000260416666</v>
      </c>
    </row>
    <row r="1654" spans="1:24" hidden="1" x14ac:dyDescent="0.35">
      <c r="A1654" s="46">
        <f t="shared" si="388"/>
        <v>46153.000260416666</v>
      </c>
      <c r="B1654" s="46"/>
      <c r="C1654" s="260"/>
      <c r="D1654" s="46"/>
      <c r="E1654" s="47" t="s">
        <v>4411</v>
      </c>
      <c r="F1654" s="56" t="s">
        <v>4531</v>
      </c>
      <c r="G1654" s="56"/>
      <c r="H1654" s="49" t="s">
        <v>6393</v>
      </c>
      <c r="I1654" s="99" t="s">
        <v>5277</v>
      </c>
      <c r="J1654" s="100" t="s">
        <v>140</v>
      </c>
      <c r="K1654" s="52">
        <v>0</v>
      </c>
      <c r="L1654" s="52">
        <v>0</v>
      </c>
      <c r="M1654" s="53">
        <v>50</v>
      </c>
      <c r="N1654" s="53">
        <v>1000</v>
      </c>
      <c r="O1654" s="53">
        <v>1</v>
      </c>
      <c r="P1654" s="53">
        <f t="shared" si="390"/>
        <v>1000</v>
      </c>
      <c r="Q1654" s="53"/>
      <c r="R1654" s="53">
        <v>1000</v>
      </c>
      <c r="S1654" s="53">
        <f t="shared" si="383"/>
        <v>0</v>
      </c>
      <c r="T1654" s="83">
        <f t="shared" si="384"/>
        <v>1728</v>
      </c>
      <c r="U1654" s="84">
        <f t="shared" si="385"/>
        <v>0</v>
      </c>
      <c r="V1654" s="84">
        <f t="shared" si="386"/>
        <v>0</v>
      </c>
      <c r="W1654" s="84">
        <v>0</v>
      </c>
      <c r="X1654" s="55">
        <f t="shared" si="387"/>
        <v>46153.000260416666</v>
      </c>
    </row>
    <row r="1655" spans="1:24" ht="29" hidden="1" x14ac:dyDescent="0.35">
      <c r="A1655" s="46">
        <f t="shared" si="388"/>
        <v>46153.000260416666</v>
      </c>
      <c r="B1655" s="46"/>
      <c r="C1655" s="260"/>
      <c r="D1655" s="46"/>
      <c r="E1655" s="47" t="s">
        <v>6383</v>
      </c>
      <c r="F1655" s="48" t="s">
        <v>177</v>
      </c>
      <c r="G1655" s="48"/>
      <c r="H1655" s="49" t="s">
        <v>6394</v>
      </c>
      <c r="I1655" s="82" t="s">
        <v>5042</v>
      </c>
      <c r="J1655" s="100" t="s">
        <v>140</v>
      </c>
      <c r="K1655" s="52">
        <v>0</v>
      </c>
      <c r="L1655" s="52">
        <v>0</v>
      </c>
      <c r="M1655" s="53">
        <v>70</v>
      </c>
      <c r="N1655" s="53">
        <v>4660</v>
      </c>
      <c r="O1655" s="53">
        <v>1</v>
      </c>
      <c r="P1655" s="53">
        <f t="shared" si="390"/>
        <v>4660</v>
      </c>
      <c r="Q1655" s="53"/>
      <c r="R1655" s="83">
        <v>4660</v>
      </c>
      <c r="S1655" s="53">
        <f t="shared" si="383"/>
        <v>0</v>
      </c>
      <c r="T1655" s="83">
        <f t="shared" si="384"/>
        <v>1234.2857142857142</v>
      </c>
      <c r="U1655" s="84">
        <f t="shared" si="385"/>
        <v>0</v>
      </c>
      <c r="V1655" s="84">
        <f t="shared" si="386"/>
        <v>0</v>
      </c>
      <c r="W1655" s="84">
        <v>0</v>
      </c>
      <c r="X1655" s="55">
        <f t="shared" si="387"/>
        <v>46153.000260416666</v>
      </c>
    </row>
    <row r="1656" spans="1:24" ht="29" hidden="1" x14ac:dyDescent="0.35">
      <c r="A1656" s="46">
        <f t="shared" si="388"/>
        <v>46153.000260416666</v>
      </c>
      <c r="B1656" s="46"/>
      <c r="C1656" s="260"/>
      <c r="D1656" s="46"/>
      <c r="E1656" s="47" t="s">
        <v>4411</v>
      </c>
      <c r="F1656" s="48" t="s">
        <v>177</v>
      </c>
      <c r="G1656" s="48"/>
      <c r="H1656" s="49" t="s">
        <v>6395</v>
      </c>
      <c r="I1656" s="82" t="s">
        <v>6396</v>
      </c>
      <c r="J1656" s="100" t="s">
        <v>140</v>
      </c>
      <c r="K1656" s="52">
        <v>0</v>
      </c>
      <c r="L1656" s="52">
        <v>0</v>
      </c>
      <c r="M1656" s="53">
        <v>22</v>
      </c>
      <c r="N1656" s="53">
        <v>3050</v>
      </c>
      <c r="O1656" s="53">
        <v>1</v>
      </c>
      <c r="P1656" s="53">
        <f t="shared" si="390"/>
        <v>3050</v>
      </c>
      <c r="Q1656" s="53"/>
      <c r="R1656" s="53">
        <v>3050</v>
      </c>
      <c r="S1656" s="53">
        <f t="shared" si="383"/>
        <v>0</v>
      </c>
      <c r="T1656" s="83">
        <f t="shared" si="384"/>
        <v>3927.272727272727</v>
      </c>
      <c r="U1656" s="84">
        <f t="shared" si="385"/>
        <v>0</v>
      </c>
      <c r="V1656" s="84">
        <f t="shared" si="386"/>
        <v>0</v>
      </c>
      <c r="W1656" s="84">
        <v>0</v>
      </c>
      <c r="X1656" s="55">
        <f t="shared" si="387"/>
        <v>46153.000260416666</v>
      </c>
    </row>
    <row r="1657" spans="1:24" ht="29" hidden="1" x14ac:dyDescent="0.35">
      <c r="A1657" s="46">
        <f t="shared" si="388"/>
        <v>46153.000260416666</v>
      </c>
      <c r="B1657" s="46"/>
      <c r="C1657" s="260"/>
      <c r="D1657" s="46"/>
      <c r="E1657" s="47" t="s">
        <v>4411</v>
      </c>
      <c r="F1657" s="48" t="s">
        <v>501</v>
      </c>
      <c r="G1657" s="48"/>
      <c r="H1657" s="49" t="s">
        <v>6397</v>
      </c>
      <c r="I1657" s="82" t="s">
        <v>5311</v>
      </c>
      <c r="J1657" s="100" t="s">
        <v>140</v>
      </c>
      <c r="K1657" s="52">
        <v>0</v>
      </c>
      <c r="L1657" s="52">
        <v>0</v>
      </c>
      <c r="M1657" s="53">
        <v>50</v>
      </c>
      <c r="N1657" s="53">
        <v>3000</v>
      </c>
      <c r="O1657" s="53">
        <v>2</v>
      </c>
      <c r="P1657" s="53">
        <f t="shared" si="390"/>
        <v>1500</v>
      </c>
      <c r="Q1657" s="53"/>
      <c r="R1657" s="53">
        <v>1500</v>
      </c>
      <c r="S1657" s="53">
        <f t="shared" si="383"/>
        <v>0</v>
      </c>
      <c r="T1657" s="83">
        <f t="shared" si="384"/>
        <v>3456</v>
      </c>
      <c r="U1657" s="84">
        <f t="shared" si="385"/>
        <v>0</v>
      </c>
      <c r="V1657" s="84">
        <f t="shared" si="386"/>
        <v>0</v>
      </c>
      <c r="W1657" s="84">
        <v>0</v>
      </c>
      <c r="X1657" s="55">
        <f t="shared" si="387"/>
        <v>46153.000260416666</v>
      </c>
    </row>
    <row r="1658" spans="1:24" ht="58" hidden="1" x14ac:dyDescent="0.35">
      <c r="A1658" s="46">
        <f t="shared" si="388"/>
        <v>46153.000260416666</v>
      </c>
      <c r="B1658" s="46"/>
      <c r="C1658" s="260"/>
      <c r="D1658" s="46"/>
      <c r="E1658" s="47" t="s">
        <v>4411</v>
      </c>
      <c r="F1658" s="48" t="s">
        <v>5385</v>
      </c>
      <c r="G1658" s="48"/>
      <c r="H1658" s="59" t="s">
        <v>6398</v>
      </c>
      <c r="I1658" s="69" t="s">
        <v>6399</v>
      </c>
      <c r="J1658" s="100" t="s">
        <v>140</v>
      </c>
      <c r="K1658" s="52">
        <v>0</v>
      </c>
      <c r="L1658" s="52">
        <v>0</v>
      </c>
      <c r="M1658" s="53">
        <v>26</v>
      </c>
      <c r="N1658" s="53">
        <v>6000</v>
      </c>
      <c r="O1658" s="53">
        <v>1</v>
      </c>
      <c r="P1658" s="53">
        <f t="shared" si="390"/>
        <v>6000</v>
      </c>
      <c r="Q1658" s="53"/>
      <c r="R1658" s="53">
        <v>6000</v>
      </c>
      <c r="S1658" s="53">
        <f t="shared" si="383"/>
        <v>0</v>
      </c>
      <c r="T1658" s="83">
        <f t="shared" si="384"/>
        <v>3323.0769230769229</v>
      </c>
      <c r="U1658" s="84">
        <f t="shared" si="385"/>
        <v>0</v>
      </c>
      <c r="V1658" s="84">
        <f t="shared" si="386"/>
        <v>0</v>
      </c>
      <c r="W1658" s="84">
        <v>0</v>
      </c>
      <c r="X1658" s="55">
        <f t="shared" si="387"/>
        <v>46153.000260416666</v>
      </c>
    </row>
    <row r="1659" spans="1:24" ht="29" hidden="1" x14ac:dyDescent="0.35">
      <c r="A1659" s="46">
        <f t="shared" si="388"/>
        <v>46153.000260416666</v>
      </c>
      <c r="B1659" s="46"/>
      <c r="C1659" s="260"/>
      <c r="D1659" s="46"/>
      <c r="E1659" s="47" t="s">
        <v>4411</v>
      </c>
      <c r="F1659" s="48" t="s">
        <v>652</v>
      </c>
      <c r="G1659" s="48"/>
      <c r="H1659" s="49" t="s">
        <v>6400</v>
      </c>
      <c r="I1659" s="82" t="s">
        <v>5311</v>
      </c>
      <c r="J1659" s="100" t="s">
        <v>140</v>
      </c>
      <c r="K1659" s="52">
        <v>0.25</v>
      </c>
      <c r="L1659" s="52">
        <v>0.2</v>
      </c>
      <c r="M1659" s="53">
        <v>50</v>
      </c>
      <c r="N1659" s="53">
        <v>3000</v>
      </c>
      <c r="O1659" s="53">
        <v>2</v>
      </c>
      <c r="P1659" s="53">
        <f t="shared" si="390"/>
        <v>1500</v>
      </c>
      <c r="Q1659" s="53"/>
      <c r="R1659" s="53">
        <v>1500</v>
      </c>
      <c r="S1659" s="53">
        <f t="shared" si="383"/>
        <v>0</v>
      </c>
      <c r="T1659" s="83">
        <f t="shared" si="384"/>
        <v>3456</v>
      </c>
      <c r="U1659" s="84">
        <f t="shared" si="385"/>
        <v>0</v>
      </c>
      <c r="V1659" s="84">
        <f t="shared" si="386"/>
        <v>0</v>
      </c>
      <c r="W1659" s="84">
        <v>0</v>
      </c>
      <c r="X1659" s="55">
        <f t="shared" si="387"/>
        <v>46153.450260416663</v>
      </c>
    </row>
    <row r="1660" spans="1:24" hidden="1" x14ac:dyDescent="0.35">
      <c r="A1660" s="46">
        <f t="shared" si="388"/>
        <v>46153.450260416663</v>
      </c>
      <c r="B1660" s="46"/>
      <c r="C1660" s="260"/>
      <c r="D1660" s="46"/>
      <c r="E1660" s="47" t="s">
        <v>4411</v>
      </c>
      <c r="F1660" s="62" t="s">
        <v>6401</v>
      </c>
      <c r="G1660" s="62"/>
      <c r="H1660" s="49" t="s">
        <v>6402</v>
      </c>
      <c r="I1660" s="82" t="s">
        <v>5209</v>
      </c>
      <c r="J1660" s="100" t="s">
        <v>140</v>
      </c>
      <c r="K1660" s="52">
        <v>0</v>
      </c>
      <c r="L1660" s="52">
        <v>0</v>
      </c>
      <c r="M1660" s="53">
        <v>30</v>
      </c>
      <c r="N1660" s="53">
        <v>2000</v>
      </c>
      <c r="O1660" s="53">
        <v>1</v>
      </c>
      <c r="P1660" s="53">
        <f t="shared" si="390"/>
        <v>2000</v>
      </c>
      <c r="Q1660" s="53"/>
      <c r="R1660" s="53">
        <v>2000</v>
      </c>
      <c r="S1660" s="53">
        <f t="shared" si="383"/>
        <v>0</v>
      </c>
      <c r="T1660" s="83">
        <f t="shared" si="384"/>
        <v>2880</v>
      </c>
      <c r="U1660" s="84">
        <f t="shared" si="385"/>
        <v>0</v>
      </c>
      <c r="V1660" s="84">
        <f t="shared" si="386"/>
        <v>0</v>
      </c>
      <c r="W1660" s="84">
        <v>0</v>
      </c>
      <c r="X1660" s="55">
        <f t="shared" si="387"/>
        <v>46153.450260416663</v>
      </c>
    </row>
    <row r="1661" spans="1:24" hidden="1" x14ac:dyDescent="0.35">
      <c r="A1661" s="46">
        <f t="shared" si="388"/>
        <v>46153.450260416663</v>
      </c>
      <c r="B1661" s="46"/>
      <c r="C1661" s="260"/>
      <c r="D1661" s="46"/>
      <c r="E1661" s="47" t="s">
        <v>4411</v>
      </c>
      <c r="F1661" s="58" t="s">
        <v>6403</v>
      </c>
      <c r="G1661" s="58"/>
      <c r="H1661" s="49" t="s">
        <v>6404</v>
      </c>
      <c r="I1661" s="97" t="s">
        <v>5535</v>
      </c>
      <c r="J1661" s="100" t="s">
        <v>140</v>
      </c>
      <c r="K1661" s="52">
        <v>0</v>
      </c>
      <c r="L1661" s="52">
        <v>0</v>
      </c>
      <c r="M1661" s="53">
        <v>50</v>
      </c>
      <c r="N1661" s="53">
        <v>2000</v>
      </c>
      <c r="O1661" s="53">
        <v>1</v>
      </c>
      <c r="P1661" s="53">
        <f t="shared" si="390"/>
        <v>2000</v>
      </c>
      <c r="Q1661" s="53"/>
      <c r="R1661" s="83">
        <v>2000</v>
      </c>
      <c r="S1661" s="53">
        <f t="shared" si="383"/>
        <v>0</v>
      </c>
      <c r="T1661" s="83">
        <f t="shared" si="384"/>
        <v>1728</v>
      </c>
      <c r="U1661" s="84">
        <f t="shared" si="385"/>
        <v>0</v>
      </c>
      <c r="V1661" s="84">
        <f t="shared" si="386"/>
        <v>0</v>
      </c>
      <c r="W1661" s="84">
        <v>0</v>
      </c>
      <c r="X1661" s="55">
        <f t="shared" si="387"/>
        <v>46153.450260416663</v>
      </c>
    </row>
    <row r="1662" spans="1:24" ht="29" hidden="1" x14ac:dyDescent="0.35">
      <c r="A1662" s="46">
        <f t="shared" si="388"/>
        <v>46153.450260416663</v>
      </c>
      <c r="B1662" s="46"/>
      <c r="C1662" s="260"/>
      <c r="D1662" s="46"/>
      <c r="E1662" s="47" t="s">
        <v>4411</v>
      </c>
      <c r="F1662" s="48" t="s">
        <v>652</v>
      </c>
      <c r="G1662" s="48"/>
      <c r="H1662" s="59" t="s">
        <v>5006</v>
      </c>
      <c r="I1662" s="71" t="s">
        <v>5007</v>
      </c>
      <c r="J1662" s="100" t="s">
        <v>140</v>
      </c>
      <c r="K1662" s="52">
        <v>0</v>
      </c>
      <c r="L1662" s="52">
        <v>0</v>
      </c>
      <c r="M1662" s="53">
        <v>35</v>
      </c>
      <c r="N1662" s="53">
        <f>5800-2016</f>
        <v>3784</v>
      </c>
      <c r="O1662" s="53">
        <v>1</v>
      </c>
      <c r="P1662" s="53">
        <f t="shared" si="390"/>
        <v>3784</v>
      </c>
      <c r="Q1662" s="53"/>
      <c r="R1662" s="53">
        <f>2858+926</f>
        <v>3784</v>
      </c>
      <c r="S1662" s="53">
        <f t="shared" si="383"/>
        <v>0</v>
      </c>
      <c r="T1662" s="83">
        <f t="shared" si="384"/>
        <v>2468.5714285714284</v>
      </c>
      <c r="U1662" s="84">
        <f t="shared" si="385"/>
        <v>0</v>
      </c>
      <c r="V1662" s="84">
        <f t="shared" si="386"/>
        <v>0</v>
      </c>
      <c r="W1662" s="84">
        <v>0</v>
      </c>
      <c r="X1662" s="55">
        <f t="shared" si="387"/>
        <v>46153.450260416663</v>
      </c>
    </row>
    <row r="1663" spans="1:24" ht="29" hidden="1" x14ac:dyDescent="0.35">
      <c r="A1663" s="46">
        <f t="shared" si="388"/>
        <v>46153.450260416663</v>
      </c>
      <c r="B1663" s="46"/>
      <c r="C1663" s="260"/>
      <c r="D1663" s="46"/>
      <c r="E1663" s="47" t="s">
        <v>4411</v>
      </c>
      <c r="F1663" s="48" t="s">
        <v>652</v>
      </c>
      <c r="G1663" s="48"/>
      <c r="H1663" s="59" t="s">
        <v>6405</v>
      </c>
      <c r="I1663" s="82" t="s">
        <v>4907</v>
      </c>
      <c r="J1663" s="100" t="s">
        <v>140</v>
      </c>
      <c r="K1663" s="52">
        <v>0</v>
      </c>
      <c r="L1663" s="52">
        <v>0</v>
      </c>
      <c r="M1663" s="53">
        <v>45</v>
      </c>
      <c r="N1663" s="53">
        <v>4460</v>
      </c>
      <c r="O1663" s="53">
        <v>1</v>
      </c>
      <c r="P1663" s="53">
        <f t="shared" si="390"/>
        <v>4460</v>
      </c>
      <c r="Q1663" s="53"/>
      <c r="R1663" s="53">
        <v>4460</v>
      </c>
      <c r="S1663" s="53">
        <f t="shared" si="383"/>
        <v>0</v>
      </c>
      <c r="T1663" s="83">
        <f t="shared" si="384"/>
        <v>1920</v>
      </c>
      <c r="U1663" s="84">
        <f t="shared" si="385"/>
        <v>0</v>
      </c>
      <c r="V1663" s="84">
        <f t="shared" si="386"/>
        <v>0</v>
      </c>
      <c r="W1663" s="84">
        <v>0</v>
      </c>
      <c r="X1663" s="55">
        <f t="shared" si="387"/>
        <v>46153.450260416663</v>
      </c>
    </row>
    <row r="1664" spans="1:24" hidden="1" x14ac:dyDescent="0.35">
      <c r="A1664" s="46">
        <f t="shared" si="388"/>
        <v>46153.450260416663</v>
      </c>
      <c r="B1664" s="46"/>
      <c r="C1664" s="260"/>
      <c r="D1664" s="46"/>
      <c r="E1664" s="47" t="s">
        <v>4411</v>
      </c>
      <c r="F1664" s="56" t="s">
        <v>6406</v>
      </c>
      <c r="G1664" s="56"/>
      <c r="H1664" s="49" t="s">
        <v>6407</v>
      </c>
      <c r="I1664" s="106" t="s">
        <v>5291</v>
      </c>
      <c r="J1664" s="100" t="s">
        <v>140</v>
      </c>
      <c r="K1664" s="52">
        <v>0</v>
      </c>
      <c r="L1664" s="52">
        <v>0</v>
      </c>
      <c r="M1664" s="53">
        <v>50</v>
      </c>
      <c r="N1664" s="53">
        <v>20000</v>
      </c>
      <c r="O1664" s="53">
        <v>2</v>
      </c>
      <c r="P1664" s="53">
        <f t="shared" si="390"/>
        <v>10000</v>
      </c>
      <c r="Q1664" s="53"/>
      <c r="R1664" s="53">
        <v>10000</v>
      </c>
      <c r="S1664" s="53">
        <f t="shared" si="383"/>
        <v>0</v>
      </c>
      <c r="T1664" s="83">
        <f t="shared" si="384"/>
        <v>3456</v>
      </c>
      <c r="U1664" s="84">
        <f t="shared" si="385"/>
        <v>0</v>
      </c>
      <c r="V1664" s="84">
        <f t="shared" si="386"/>
        <v>0</v>
      </c>
      <c r="W1664" s="84">
        <v>0</v>
      </c>
      <c r="X1664" s="55">
        <f t="shared" si="387"/>
        <v>46153.450260416663</v>
      </c>
    </row>
    <row r="1665" spans="1:24" hidden="1" x14ac:dyDescent="0.35">
      <c r="A1665" s="46">
        <f t="shared" si="388"/>
        <v>46153.450260416663</v>
      </c>
      <c r="B1665" s="46"/>
      <c r="C1665" s="260"/>
      <c r="D1665" s="46"/>
      <c r="E1665" s="47" t="s">
        <v>4411</v>
      </c>
      <c r="F1665" s="57" t="s">
        <v>6408</v>
      </c>
      <c r="G1665" s="57"/>
      <c r="H1665" s="49" t="s">
        <v>6409</v>
      </c>
      <c r="I1665" s="82" t="s">
        <v>4438</v>
      </c>
      <c r="J1665" s="100" t="s">
        <v>140</v>
      </c>
      <c r="K1665" s="52">
        <v>0</v>
      </c>
      <c r="L1665" s="52">
        <v>0</v>
      </c>
      <c r="M1665" s="53">
        <v>73</v>
      </c>
      <c r="N1665" s="53">
        <v>891</v>
      </c>
      <c r="O1665" s="53">
        <v>1</v>
      </c>
      <c r="P1665" s="53">
        <f t="shared" si="390"/>
        <v>891</v>
      </c>
      <c r="Q1665" s="53"/>
      <c r="R1665" s="53">
        <v>891</v>
      </c>
      <c r="S1665" s="53">
        <f t="shared" si="383"/>
        <v>0</v>
      </c>
      <c r="T1665" s="83">
        <f t="shared" si="384"/>
        <v>1183.5616438356165</v>
      </c>
      <c r="U1665" s="84">
        <f t="shared" si="385"/>
        <v>0</v>
      </c>
      <c r="V1665" s="84">
        <f t="shared" si="386"/>
        <v>0</v>
      </c>
      <c r="W1665" s="84">
        <v>0</v>
      </c>
      <c r="X1665" s="55">
        <f t="shared" si="387"/>
        <v>46153.450260416663</v>
      </c>
    </row>
    <row r="1666" spans="1:24" hidden="1" x14ac:dyDescent="0.35">
      <c r="A1666" s="46">
        <f t="shared" si="388"/>
        <v>46153.450260416663</v>
      </c>
      <c r="B1666" s="46"/>
      <c r="C1666" s="260"/>
      <c r="D1666" s="46"/>
      <c r="E1666" s="296" t="s">
        <v>4801</v>
      </c>
      <c r="F1666" s="577" t="s">
        <v>14</v>
      </c>
      <c r="G1666" s="577"/>
      <c r="H1666" s="398" t="s">
        <v>14</v>
      </c>
      <c r="I1666" s="297" t="s">
        <v>6410</v>
      </c>
      <c r="J1666" s="300" t="s">
        <v>140</v>
      </c>
      <c r="K1666" s="399">
        <v>0</v>
      </c>
      <c r="L1666" s="399">
        <v>0</v>
      </c>
      <c r="M1666" s="400">
        <v>30</v>
      </c>
      <c r="N1666" s="400">
        <v>50</v>
      </c>
      <c r="O1666" s="400">
        <v>8</v>
      </c>
      <c r="P1666" s="400">
        <f t="shared" si="390"/>
        <v>6.25</v>
      </c>
      <c r="Q1666" s="400"/>
      <c r="R1666" s="579">
        <v>6</v>
      </c>
      <c r="S1666" s="400">
        <f t="shared" si="383"/>
        <v>0.25</v>
      </c>
      <c r="T1666" s="579">
        <f t="shared" si="384"/>
        <v>23040</v>
      </c>
      <c r="U1666" s="583">
        <f t="shared" si="385"/>
        <v>2.0833333333333333E-3</v>
      </c>
      <c r="V1666" s="583">
        <f t="shared" si="386"/>
        <v>8.6805555555555559E-5</v>
      </c>
      <c r="W1666" s="583">
        <v>0</v>
      </c>
      <c r="X1666" s="55">
        <f t="shared" si="387"/>
        <v>46153.45034722222</v>
      </c>
    </row>
    <row r="1667" spans="1:24" hidden="1" x14ac:dyDescent="0.35">
      <c r="A1667" s="46">
        <f t="shared" si="388"/>
        <v>46153.45034722222</v>
      </c>
      <c r="B1667" s="46"/>
      <c r="C1667" s="260"/>
      <c r="D1667" s="46"/>
      <c r="E1667" s="296" t="s">
        <v>4404</v>
      </c>
      <c r="F1667" s="577" t="s">
        <v>14</v>
      </c>
      <c r="G1667" s="577"/>
      <c r="H1667" s="398" t="s">
        <v>14</v>
      </c>
      <c r="I1667" s="297" t="s">
        <v>4405</v>
      </c>
      <c r="J1667" s="300"/>
      <c r="K1667" s="399">
        <v>0</v>
      </c>
      <c r="L1667" s="399">
        <v>0</v>
      </c>
      <c r="M1667" s="400">
        <v>30</v>
      </c>
      <c r="N1667" s="400">
        <v>50</v>
      </c>
      <c r="O1667" s="400">
        <v>8</v>
      </c>
      <c r="P1667" s="400">
        <f t="shared" si="390"/>
        <v>6.25</v>
      </c>
      <c r="Q1667" s="400"/>
      <c r="R1667" s="579">
        <v>6</v>
      </c>
      <c r="S1667" s="400">
        <f t="shared" si="383"/>
        <v>0.25</v>
      </c>
      <c r="T1667" s="579">
        <f t="shared" si="384"/>
        <v>23040</v>
      </c>
      <c r="U1667" s="583">
        <f t="shared" si="385"/>
        <v>2.0833333333333333E-3</v>
      </c>
      <c r="V1667" s="583">
        <f t="shared" si="386"/>
        <v>8.6805555555555559E-5</v>
      </c>
      <c r="W1667" s="583">
        <v>0</v>
      </c>
      <c r="X1667" s="55">
        <f t="shared" si="387"/>
        <v>46153.450434027778</v>
      </c>
    </row>
    <row r="1668" spans="1:24" ht="29" hidden="1" x14ac:dyDescent="0.35">
      <c r="A1668" s="46">
        <f t="shared" si="388"/>
        <v>46153.450434027778</v>
      </c>
      <c r="B1668" s="46"/>
      <c r="C1668" s="260"/>
      <c r="D1668" s="46"/>
      <c r="E1668" s="47" t="s">
        <v>4411</v>
      </c>
      <c r="F1668" s="57" t="s">
        <v>4541</v>
      </c>
      <c r="G1668" s="57"/>
      <c r="H1668" s="49" t="s">
        <v>6411</v>
      </c>
      <c r="I1668" s="82" t="s">
        <v>4986</v>
      </c>
      <c r="J1668" s="100" t="s">
        <v>140</v>
      </c>
      <c r="K1668" s="52">
        <v>0</v>
      </c>
      <c r="L1668" s="52">
        <v>0</v>
      </c>
      <c r="M1668" s="53">
        <v>70</v>
      </c>
      <c r="N1668" s="53">
        <v>14000</v>
      </c>
      <c r="O1668" s="53">
        <v>1</v>
      </c>
      <c r="P1668" s="53">
        <f t="shared" si="390"/>
        <v>14000</v>
      </c>
      <c r="Q1668" s="53"/>
      <c r="R1668" s="83">
        <v>14000</v>
      </c>
      <c r="S1668" s="53">
        <f t="shared" si="383"/>
        <v>0</v>
      </c>
      <c r="T1668" s="83">
        <f t="shared" si="384"/>
        <v>1234.2857142857142</v>
      </c>
      <c r="U1668" s="84">
        <f t="shared" si="385"/>
        <v>0</v>
      </c>
      <c r="V1668" s="84">
        <f t="shared" si="386"/>
        <v>0</v>
      </c>
      <c r="W1668" s="84">
        <v>0</v>
      </c>
      <c r="X1668" s="55">
        <f t="shared" si="387"/>
        <v>46153.450434027778</v>
      </c>
    </row>
    <row r="1669" spans="1:24" ht="29" hidden="1" x14ac:dyDescent="0.35">
      <c r="A1669" s="46">
        <f t="shared" si="388"/>
        <v>46153.450434027778</v>
      </c>
      <c r="B1669" s="46"/>
      <c r="C1669" s="260"/>
      <c r="D1669" s="46"/>
      <c r="E1669" s="47" t="s">
        <v>4411</v>
      </c>
      <c r="F1669" s="57" t="s">
        <v>1084</v>
      </c>
      <c r="G1669" s="57"/>
      <c r="H1669" s="49" t="s">
        <v>6412</v>
      </c>
      <c r="I1669" s="82" t="s">
        <v>4986</v>
      </c>
      <c r="J1669" s="100" t="s">
        <v>140</v>
      </c>
      <c r="K1669" s="52">
        <v>0</v>
      </c>
      <c r="L1669" s="52">
        <v>0</v>
      </c>
      <c r="M1669" s="53">
        <v>70</v>
      </c>
      <c r="N1669" s="53">
        <v>4060</v>
      </c>
      <c r="O1669" s="53">
        <v>1</v>
      </c>
      <c r="P1669" s="53">
        <f t="shared" si="390"/>
        <v>4060</v>
      </c>
      <c r="Q1669" s="53"/>
      <c r="R1669" s="83">
        <v>4060</v>
      </c>
      <c r="S1669" s="53">
        <f t="shared" si="383"/>
        <v>0</v>
      </c>
      <c r="T1669" s="83">
        <f t="shared" si="384"/>
        <v>1234.2857142857142</v>
      </c>
      <c r="U1669" s="84">
        <f t="shared" si="385"/>
        <v>0</v>
      </c>
      <c r="V1669" s="84">
        <f t="shared" si="386"/>
        <v>0</v>
      </c>
      <c r="W1669" s="84">
        <v>0</v>
      </c>
      <c r="X1669" s="55">
        <f t="shared" si="387"/>
        <v>46153.450434027778</v>
      </c>
    </row>
    <row r="1670" spans="1:24" hidden="1" x14ac:dyDescent="0.35">
      <c r="A1670" s="46">
        <f t="shared" si="388"/>
        <v>46153.450434027778</v>
      </c>
      <c r="B1670" s="46"/>
      <c r="C1670" s="260"/>
      <c r="D1670" s="46"/>
      <c r="E1670" s="47" t="s">
        <v>4411</v>
      </c>
      <c r="F1670" s="57" t="s">
        <v>4547</v>
      </c>
      <c r="G1670" s="57"/>
      <c r="H1670" s="49" t="s">
        <v>6413</v>
      </c>
      <c r="I1670" s="82" t="s">
        <v>4986</v>
      </c>
      <c r="J1670" s="100" t="s">
        <v>140</v>
      </c>
      <c r="K1670" s="52">
        <v>0</v>
      </c>
      <c r="L1670" s="52">
        <v>0</v>
      </c>
      <c r="M1670" s="53">
        <v>70</v>
      </c>
      <c r="N1670" s="53">
        <v>8000</v>
      </c>
      <c r="O1670" s="53">
        <v>1</v>
      </c>
      <c r="P1670" s="53">
        <f t="shared" si="390"/>
        <v>8000</v>
      </c>
      <c r="Q1670" s="53"/>
      <c r="R1670" s="83">
        <v>8000</v>
      </c>
      <c r="S1670" s="53">
        <f t="shared" si="383"/>
        <v>0</v>
      </c>
      <c r="T1670" s="83">
        <f t="shared" si="384"/>
        <v>1234.2857142857142</v>
      </c>
      <c r="U1670" s="84">
        <f t="shared" si="385"/>
        <v>0</v>
      </c>
      <c r="V1670" s="84">
        <f t="shared" si="386"/>
        <v>0</v>
      </c>
      <c r="W1670" s="84">
        <v>0</v>
      </c>
      <c r="X1670" s="55">
        <f t="shared" si="387"/>
        <v>46153.450434027778</v>
      </c>
    </row>
    <row r="1671" spans="1:24" ht="29" hidden="1" x14ac:dyDescent="0.35">
      <c r="A1671" s="46">
        <f t="shared" si="388"/>
        <v>46153.450434027778</v>
      </c>
      <c r="B1671" s="46"/>
      <c r="C1671" s="260"/>
      <c r="D1671" s="46"/>
      <c r="E1671" s="47" t="s">
        <v>5256</v>
      </c>
      <c r="F1671" s="48" t="s">
        <v>695</v>
      </c>
      <c r="G1671" s="48"/>
      <c r="H1671" s="49" t="s">
        <v>6414</v>
      </c>
      <c r="I1671" s="97" t="s">
        <v>4989</v>
      </c>
      <c r="J1671" s="100" t="s">
        <v>140</v>
      </c>
      <c r="K1671" s="52">
        <v>0</v>
      </c>
      <c r="L1671" s="52">
        <v>0</v>
      </c>
      <c r="M1671" s="53">
        <v>32</v>
      </c>
      <c r="N1671" s="53">
        <v>30000</v>
      </c>
      <c r="O1671" s="53">
        <v>6</v>
      </c>
      <c r="P1671" s="53">
        <f t="shared" si="390"/>
        <v>5000</v>
      </c>
      <c r="Q1671" s="53"/>
      <c r="R1671" s="83">
        <v>5000</v>
      </c>
      <c r="S1671" s="53">
        <f t="shared" si="383"/>
        <v>0</v>
      </c>
      <c r="T1671" s="83">
        <f t="shared" si="384"/>
        <v>16200</v>
      </c>
      <c r="U1671" s="84">
        <f t="shared" si="385"/>
        <v>0</v>
      </c>
      <c r="V1671" s="84">
        <f t="shared" si="386"/>
        <v>0</v>
      </c>
      <c r="W1671" s="84">
        <v>0</v>
      </c>
      <c r="X1671" s="55">
        <f t="shared" si="387"/>
        <v>46153.450434027778</v>
      </c>
    </row>
    <row r="1672" spans="1:24" hidden="1" x14ac:dyDescent="0.35">
      <c r="A1672" s="46">
        <f t="shared" si="388"/>
        <v>46153.450434027778</v>
      </c>
      <c r="B1672" s="46"/>
      <c r="C1672" s="260"/>
      <c r="D1672" s="46"/>
      <c r="E1672" s="47" t="s">
        <v>4801</v>
      </c>
      <c r="F1672" s="48" t="s">
        <v>6415</v>
      </c>
      <c r="G1672" s="48"/>
      <c r="H1672" s="216" t="s">
        <v>6416</v>
      </c>
      <c r="I1672" s="396" t="s">
        <v>5227</v>
      </c>
      <c r="J1672" s="100" t="s">
        <v>140</v>
      </c>
      <c r="K1672" s="52">
        <v>0</v>
      </c>
      <c r="L1672" s="52">
        <v>0</v>
      </c>
      <c r="M1672" s="53">
        <v>36</v>
      </c>
      <c r="N1672" s="53">
        <v>10000</v>
      </c>
      <c r="O1672" s="53">
        <v>2</v>
      </c>
      <c r="P1672" s="53">
        <f t="shared" si="390"/>
        <v>5000</v>
      </c>
      <c r="Q1672" s="53"/>
      <c r="R1672" s="53">
        <v>5000</v>
      </c>
      <c r="S1672" s="53">
        <f t="shared" si="383"/>
        <v>0</v>
      </c>
      <c r="T1672" s="83">
        <f t="shared" si="384"/>
        <v>4800</v>
      </c>
      <c r="U1672" s="84">
        <f t="shared" si="385"/>
        <v>0</v>
      </c>
      <c r="V1672" s="84">
        <f t="shared" si="386"/>
        <v>0</v>
      </c>
      <c r="W1672" s="84">
        <v>0</v>
      </c>
      <c r="X1672" s="55">
        <f t="shared" si="387"/>
        <v>46153.450434027778</v>
      </c>
    </row>
    <row r="1673" spans="1:24" hidden="1" x14ac:dyDescent="0.35">
      <c r="A1673" s="46">
        <f t="shared" si="388"/>
        <v>46153.450434027778</v>
      </c>
      <c r="B1673" s="46"/>
      <c r="C1673" s="260"/>
      <c r="D1673" s="46"/>
      <c r="E1673" s="47" t="s">
        <v>4801</v>
      </c>
      <c r="F1673" s="48" t="s">
        <v>6415</v>
      </c>
      <c r="G1673" s="48"/>
      <c r="H1673" s="216" t="s">
        <v>6417</v>
      </c>
      <c r="I1673" s="396" t="s">
        <v>6418</v>
      </c>
      <c r="J1673" s="100" t="s">
        <v>140</v>
      </c>
      <c r="K1673" s="52">
        <v>0</v>
      </c>
      <c r="L1673" s="52">
        <v>0</v>
      </c>
      <c r="M1673" s="53">
        <v>36</v>
      </c>
      <c r="N1673" s="53">
        <v>5000</v>
      </c>
      <c r="O1673" s="53">
        <v>1</v>
      </c>
      <c r="P1673" s="53">
        <f t="shared" si="390"/>
        <v>5000</v>
      </c>
      <c r="Q1673" s="53"/>
      <c r="R1673" s="53">
        <v>5000</v>
      </c>
      <c r="S1673" s="53">
        <f t="shared" si="383"/>
        <v>0</v>
      </c>
      <c r="T1673" s="83">
        <f t="shared" si="384"/>
        <v>2400</v>
      </c>
      <c r="U1673" s="84">
        <f t="shared" si="385"/>
        <v>0</v>
      </c>
      <c r="V1673" s="84">
        <f t="shared" si="386"/>
        <v>0</v>
      </c>
      <c r="W1673" s="84">
        <v>0</v>
      </c>
      <c r="X1673" s="55">
        <f t="shared" si="387"/>
        <v>46153.450434027778</v>
      </c>
    </row>
    <row r="1674" spans="1:24" ht="29" hidden="1" x14ac:dyDescent="0.35">
      <c r="A1674" s="46">
        <f t="shared" si="388"/>
        <v>46153.450434027778</v>
      </c>
      <c r="B1674" s="46"/>
      <c r="C1674" s="260"/>
      <c r="D1674" s="46"/>
      <c r="E1674" s="47" t="s">
        <v>4801</v>
      </c>
      <c r="F1674" s="48" t="s">
        <v>6419</v>
      </c>
      <c r="G1674" s="48"/>
      <c r="H1674" s="49" t="s">
        <v>6416</v>
      </c>
      <c r="I1674" s="396" t="s">
        <v>5227</v>
      </c>
      <c r="J1674" s="100" t="s">
        <v>140</v>
      </c>
      <c r="K1674" s="52">
        <v>0</v>
      </c>
      <c r="L1674" s="52">
        <v>0</v>
      </c>
      <c r="M1674" s="53">
        <v>36</v>
      </c>
      <c r="N1674" s="53">
        <v>15000</v>
      </c>
      <c r="O1674" s="53">
        <v>2</v>
      </c>
      <c r="P1674" s="53">
        <f t="shared" si="390"/>
        <v>7500</v>
      </c>
      <c r="Q1674" s="53"/>
      <c r="R1674" s="53">
        <v>7500</v>
      </c>
      <c r="S1674" s="53">
        <f t="shared" si="383"/>
        <v>0</v>
      </c>
      <c r="T1674" s="83">
        <f t="shared" si="384"/>
        <v>4800</v>
      </c>
      <c r="U1674" s="84">
        <f t="shared" si="385"/>
        <v>0</v>
      </c>
      <c r="V1674" s="84">
        <f t="shared" si="386"/>
        <v>0</v>
      </c>
      <c r="W1674" s="84">
        <v>0</v>
      </c>
      <c r="X1674" s="55">
        <f t="shared" si="387"/>
        <v>46153.450434027778</v>
      </c>
    </row>
    <row r="1675" spans="1:24" ht="29" hidden="1" x14ac:dyDescent="0.35">
      <c r="A1675" s="46">
        <f t="shared" si="388"/>
        <v>46153.450434027778</v>
      </c>
      <c r="B1675" s="46"/>
      <c r="C1675" s="260"/>
      <c r="D1675" s="46"/>
      <c r="E1675" s="47" t="s">
        <v>4801</v>
      </c>
      <c r="F1675" s="48" t="s">
        <v>6419</v>
      </c>
      <c r="G1675" s="48"/>
      <c r="H1675" s="49" t="s">
        <v>6420</v>
      </c>
      <c r="I1675" s="396" t="s">
        <v>6418</v>
      </c>
      <c r="J1675" s="100" t="s">
        <v>140</v>
      </c>
      <c r="K1675" s="52">
        <v>0</v>
      </c>
      <c r="L1675" s="52">
        <v>0</v>
      </c>
      <c r="M1675" s="53">
        <v>36</v>
      </c>
      <c r="N1675" s="53">
        <v>7500</v>
      </c>
      <c r="O1675" s="53">
        <v>1</v>
      </c>
      <c r="P1675" s="53">
        <f t="shared" si="390"/>
        <v>7500</v>
      </c>
      <c r="Q1675" s="53"/>
      <c r="R1675" s="53">
        <v>7500</v>
      </c>
      <c r="S1675" s="53">
        <f t="shared" si="383"/>
        <v>0</v>
      </c>
      <c r="T1675" s="83">
        <f t="shared" si="384"/>
        <v>2400</v>
      </c>
      <c r="U1675" s="84">
        <f t="shared" si="385"/>
        <v>0</v>
      </c>
      <c r="V1675" s="84">
        <f t="shared" si="386"/>
        <v>0</v>
      </c>
      <c r="W1675" s="84">
        <v>0</v>
      </c>
      <c r="X1675" s="55">
        <f t="shared" si="387"/>
        <v>46153.450434027778</v>
      </c>
    </row>
    <row r="1676" spans="1:24" hidden="1" x14ac:dyDescent="0.35">
      <c r="A1676" s="46">
        <f t="shared" si="388"/>
        <v>46153.450434027778</v>
      </c>
      <c r="B1676" s="46"/>
      <c r="C1676" s="260"/>
      <c r="D1676" s="46"/>
      <c r="E1676" s="47" t="s">
        <v>6383</v>
      </c>
      <c r="F1676" s="48" t="s">
        <v>6421</v>
      </c>
      <c r="G1676" s="48"/>
      <c r="H1676" s="49" t="s">
        <v>6422</v>
      </c>
      <c r="I1676" s="82" t="s">
        <v>5169</v>
      </c>
      <c r="J1676" s="51" t="s">
        <v>140</v>
      </c>
      <c r="K1676" s="52">
        <v>0</v>
      </c>
      <c r="L1676" s="52">
        <v>0</v>
      </c>
      <c r="M1676" s="53">
        <v>45</v>
      </c>
      <c r="N1676" s="53">
        <v>8000</v>
      </c>
      <c r="O1676" s="53">
        <v>2</v>
      </c>
      <c r="P1676" s="53">
        <f t="shared" si="390"/>
        <v>4000</v>
      </c>
      <c r="Q1676" s="53"/>
      <c r="R1676" s="83">
        <v>4000</v>
      </c>
      <c r="S1676" s="53">
        <f t="shared" si="383"/>
        <v>0</v>
      </c>
      <c r="T1676" s="83">
        <f t="shared" si="384"/>
        <v>3840</v>
      </c>
      <c r="U1676" s="84">
        <f t="shared" si="385"/>
        <v>0</v>
      </c>
      <c r="V1676" s="84">
        <f t="shared" si="386"/>
        <v>0</v>
      </c>
      <c r="W1676" s="84">
        <v>0</v>
      </c>
      <c r="X1676" s="55">
        <f t="shared" si="387"/>
        <v>46153.450434027778</v>
      </c>
    </row>
    <row r="1677" spans="1:24" s="221" customFormat="1" hidden="1" x14ac:dyDescent="0.35">
      <c r="A1677" s="46">
        <f t="shared" si="388"/>
        <v>46153.450434027778</v>
      </c>
      <c r="B1677" s="46"/>
      <c r="C1677" s="260"/>
      <c r="D1677" s="46"/>
      <c r="E1677" s="47" t="s">
        <v>4411</v>
      </c>
      <c r="F1677" s="57" t="s">
        <v>6423</v>
      </c>
      <c r="G1677" s="57"/>
      <c r="H1677" s="49" t="s">
        <v>6424</v>
      </c>
      <c r="I1677" s="82" t="s">
        <v>5375</v>
      </c>
      <c r="J1677" s="100" t="s">
        <v>140</v>
      </c>
      <c r="K1677" s="52">
        <v>0</v>
      </c>
      <c r="L1677" s="52">
        <v>0</v>
      </c>
      <c r="M1677" s="53">
        <v>35</v>
      </c>
      <c r="N1677" s="53">
        <v>20000</v>
      </c>
      <c r="O1677" s="53">
        <v>16</v>
      </c>
      <c r="P1677" s="53">
        <f t="shared" si="390"/>
        <v>1250</v>
      </c>
      <c r="Q1677" s="53"/>
      <c r="R1677" s="53">
        <v>1250</v>
      </c>
      <c r="S1677" s="53">
        <f t="shared" si="383"/>
        <v>0</v>
      </c>
      <c r="T1677" s="83">
        <f t="shared" si="384"/>
        <v>39497.142857142855</v>
      </c>
      <c r="U1677" s="84">
        <f t="shared" si="385"/>
        <v>0</v>
      </c>
      <c r="V1677" s="84">
        <f t="shared" si="386"/>
        <v>0</v>
      </c>
      <c r="W1677" s="84">
        <v>0</v>
      </c>
      <c r="X1677" s="55">
        <f t="shared" si="387"/>
        <v>46153.450434027778</v>
      </c>
    </row>
    <row r="1678" spans="1:24" s="221" customFormat="1" hidden="1" x14ac:dyDescent="0.35">
      <c r="A1678" s="46">
        <f t="shared" si="388"/>
        <v>46153.450434027778</v>
      </c>
      <c r="B1678" s="46"/>
      <c r="C1678" s="260"/>
      <c r="D1678" s="46"/>
      <c r="E1678" s="47" t="s">
        <v>4411</v>
      </c>
      <c r="F1678" s="57" t="s">
        <v>2412</v>
      </c>
      <c r="G1678" s="57"/>
      <c r="H1678" s="49" t="s">
        <v>6425</v>
      </c>
      <c r="I1678" s="82" t="s">
        <v>5375</v>
      </c>
      <c r="J1678" s="100" t="s">
        <v>140</v>
      </c>
      <c r="K1678" s="52">
        <v>0</v>
      </c>
      <c r="L1678" s="52">
        <v>0</v>
      </c>
      <c r="M1678" s="53">
        <v>35</v>
      </c>
      <c r="N1678" s="53">
        <v>20000</v>
      </c>
      <c r="O1678" s="53">
        <v>16</v>
      </c>
      <c r="P1678" s="53">
        <f t="shared" si="390"/>
        <v>1250</v>
      </c>
      <c r="Q1678" s="53"/>
      <c r="R1678" s="53">
        <v>1250</v>
      </c>
      <c r="S1678" s="53">
        <f t="shared" si="383"/>
        <v>0</v>
      </c>
      <c r="T1678" s="83">
        <f t="shared" si="384"/>
        <v>39497.142857142855</v>
      </c>
      <c r="U1678" s="84">
        <f t="shared" si="385"/>
        <v>0</v>
      </c>
      <c r="V1678" s="84">
        <f t="shared" si="386"/>
        <v>0</v>
      </c>
      <c r="W1678" s="84">
        <v>0</v>
      </c>
      <c r="X1678" s="55">
        <f t="shared" si="387"/>
        <v>46153.450434027778</v>
      </c>
    </row>
    <row r="1679" spans="1:24" s="221" customFormat="1" ht="29" hidden="1" x14ac:dyDescent="0.35">
      <c r="A1679" s="46">
        <f t="shared" si="388"/>
        <v>46153.450434027778</v>
      </c>
      <c r="B1679" s="46"/>
      <c r="C1679" s="260"/>
      <c r="D1679" s="46"/>
      <c r="E1679" s="47" t="s">
        <v>4411</v>
      </c>
      <c r="F1679" s="57" t="s">
        <v>6426</v>
      </c>
      <c r="G1679" s="57"/>
      <c r="H1679" s="49" t="s">
        <v>6427</v>
      </c>
      <c r="I1679" s="82" t="s">
        <v>5375</v>
      </c>
      <c r="J1679" s="100" t="s">
        <v>140</v>
      </c>
      <c r="K1679" s="52">
        <v>0</v>
      </c>
      <c r="L1679" s="52">
        <v>0</v>
      </c>
      <c r="M1679" s="53">
        <v>35</v>
      </c>
      <c r="N1679" s="53">
        <v>20000</v>
      </c>
      <c r="O1679" s="53">
        <v>16</v>
      </c>
      <c r="P1679" s="53">
        <f t="shared" si="390"/>
        <v>1250</v>
      </c>
      <c r="Q1679" s="53"/>
      <c r="R1679" s="53">
        <v>1250</v>
      </c>
      <c r="S1679" s="53">
        <f t="shared" si="383"/>
        <v>0</v>
      </c>
      <c r="T1679" s="83">
        <f t="shared" si="384"/>
        <v>39497.142857142855</v>
      </c>
      <c r="U1679" s="84">
        <f t="shared" si="385"/>
        <v>0</v>
      </c>
      <c r="V1679" s="84">
        <f t="shared" si="386"/>
        <v>0</v>
      </c>
      <c r="W1679" s="84">
        <v>0</v>
      </c>
      <c r="X1679" s="55">
        <f t="shared" si="387"/>
        <v>46153.450434027778</v>
      </c>
    </row>
    <row r="1680" spans="1:24" s="498" customFormat="1" hidden="1" x14ac:dyDescent="0.35">
      <c r="A1680" s="46">
        <f t="shared" si="388"/>
        <v>46153.450434027778</v>
      </c>
      <c r="B1680" s="46"/>
      <c r="C1680" s="260"/>
      <c r="D1680" s="46"/>
      <c r="E1680" s="47" t="s">
        <v>4411</v>
      </c>
      <c r="F1680" s="57" t="s">
        <v>6428</v>
      </c>
      <c r="G1680" s="57"/>
      <c r="H1680" s="98" t="s">
        <v>6429</v>
      </c>
      <c r="I1680" s="82" t="s">
        <v>4413</v>
      </c>
      <c r="J1680" s="100" t="s">
        <v>140</v>
      </c>
      <c r="K1680" s="52">
        <v>0</v>
      </c>
      <c r="L1680" s="52">
        <v>0</v>
      </c>
      <c r="M1680" s="53">
        <v>73</v>
      </c>
      <c r="N1680" s="53">
        <v>1200</v>
      </c>
      <c r="O1680" s="53">
        <v>1</v>
      </c>
      <c r="P1680" s="53">
        <f t="shared" si="390"/>
        <v>1200</v>
      </c>
      <c r="Q1680" s="53"/>
      <c r="R1680" s="53">
        <v>1200</v>
      </c>
      <c r="S1680" s="53">
        <f t="shared" si="383"/>
        <v>0</v>
      </c>
      <c r="T1680" s="83">
        <f t="shared" si="384"/>
        <v>1183.5616438356165</v>
      </c>
      <c r="U1680" s="84">
        <f t="shared" si="385"/>
        <v>0</v>
      </c>
      <c r="V1680" s="84">
        <f t="shared" si="386"/>
        <v>0</v>
      </c>
      <c r="W1680" s="84">
        <v>0</v>
      </c>
      <c r="X1680" s="55">
        <f t="shared" si="387"/>
        <v>46153.450434027778</v>
      </c>
    </row>
    <row r="1681" spans="1:24" s="221" customFormat="1" hidden="1" x14ac:dyDescent="0.35">
      <c r="A1681" s="46">
        <f t="shared" si="388"/>
        <v>46153.450434027778</v>
      </c>
      <c r="B1681" s="46"/>
      <c r="C1681" s="260"/>
      <c r="D1681" s="46"/>
      <c r="E1681" s="47" t="s">
        <v>4411</v>
      </c>
      <c r="F1681" s="99" t="s">
        <v>6430</v>
      </c>
      <c r="G1681" s="99"/>
      <c r="H1681" s="98" t="s">
        <v>6431</v>
      </c>
      <c r="I1681" s="106" t="s">
        <v>5291</v>
      </c>
      <c r="J1681" s="100" t="s">
        <v>140</v>
      </c>
      <c r="K1681" s="91">
        <v>0</v>
      </c>
      <c r="L1681" s="91">
        <v>0</v>
      </c>
      <c r="M1681" s="92">
        <v>50</v>
      </c>
      <c r="N1681" s="92">
        <v>30000</v>
      </c>
      <c r="O1681" s="92">
        <v>2</v>
      </c>
      <c r="P1681" s="92">
        <f t="shared" si="390"/>
        <v>15000</v>
      </c>
      <c r="Q1681" s="92"/>
      <c r="R1681" s="92">
        <v>15000</v>
      </c>
      <c r="S1681" s="92">
        <f t="shared" si="383"/>
        <v>0</v>
      </c>
      <c r="T1681" s="102">
        <f t="shared" si="384"/>
        <v>3456</v>
      </c>
      <c r="U1681" s="101">
        <f t="shared" si="385"/>
        <v>0</v>
      </c>
      <c r="V1681" s="101">
        <f t="shared" si="386"/>
        <v>0</v>
      </c>
      <c r="W1681" s="101">
        <v>0</v>
      </c>
      <c r="X1681" s="55">
        <f t="shared" si="387"/>
        <v>46153.450434027778</v>
      </c>
    </row>
    <row r="1682" spans="1:24" s="221" customFormat="1" hidden="1" x14ac:dyDescent="0.35">
      <c r="A1682" s="46">
        <f t="shared" si="388"/>
        <v>46153.450434027778</v>
      </c>
      <c r="B1682" s="46"/>
      <c r="C1682" s="260"/>
      <c r="D1682" s="46"/>
      <c r="E1682" s="47" t="s">
        <v>4411</v>
      </c>
      <c r="F1682" s="57" t="s">
        <v>1749</v>
      </c>
      <c r="G1682" s="57"/>
      <c r="H1682" s="49" t="s">
        <v>6432</v>
      </c>
      <c r="I1682" s="82" t="s">
        <v>5375</v>
      </c>
      <c r="J1682" s="100" t="s">
        <v>140</v>
      </c>
      <c r="K1682" s="52">
        <v>0</v>
      </c>
      <c r="L1682" s="52">
        <v>0</v>
      </c>
      <c r="M1682" s="53">
        <v>35</v>
      </c>
      <c r="N1682" s="53">
        <v>26000</v>
      </c>
      <c r="O1682" s="53">
        <v>16</v>
      </c>
      <c r="P1682" s="53">
        <f t="shared" si="390"/>
        <v>1625</v>
      </c>
      <c r="Q1682" s="53"/>
      <c r="R1682" s="53">
        <v>1625</v>
      </c>
      <c r="S1682" s="53">
        <f t="shared" si="383"/>
        <v>0</v>
      </c>
      <c r="T1682" s="83">
        <f t="shared" si="384"/>
        <v>39497.142857142855</v>
      </c>
      <c r="U1682" s="84">
        <f t="shared" si="385"/>
        <v>0</v>
      </c>
      <c r="V1682" s="84">
        <f t="shared" si="386"/>
        <v>0</v>
      </c>
      <c r="W1682" s="84">
        <v>0</v>
      </c>
      <c r="X1682" s="55">
        <f t="shared" si="387"/>
        <v>46153.450434027778</v>
      </c>
    </row>
    <row r="1683" spans="1:24" s="1065" customFormat="1" hidden="1" x14ac:dyDescent="0.35">
      <c r="A1683" s="46">
        <f t="shared" si="388"/>
        <v>46153.450434027778</v>
      </c>
      <c r="B1683" s="46"/>
      <c r="C1683" s="260"/>
      <c r="D1683" s="46"/>
      <c r="E1683" s="47" t="s">
        <v>4411</v>
      </c>
      <c r="F1683" s="48" t="s">
        <v>6433</v>
      </c>
      <c r="G1683" s="48"/>
      <c r="H1683" s="59" t="s">
        <v>6434</v>
      </c>
      <c r="I1683" s="220" t="s">
        <v>5316</v>
      </c>
      <c r="J1683" s="51" t="s">
        <v>140</v>
      </c>
      <c r="K1683" s="52">
        <v>0</v>
      </c>
      <c r="L1683" s="52">
        <v>0</v>
      </c>
      <c r="M1683" s="53">
        <v>30</v>
      </c>
      <c r="N1683" s="53">
        <v>3000</v>
      </c>
      <c r="O1683" s="53">
        <v>2</v>
      </c>
      <c r="P1683" s="53">
        <f t="shared" si="390"/>
        <v>1500</v>
      </c>
      <c r="Q1683" s="53"/>
      <c r="R1683" s="53">
        <v>1500</v>
      </c>
      <c r="S1683" s="53">
        <f t="shared" si="383"/>
        <v>0</v>
      </c>
      <c r="T1683" s="53">
        <f t="shared" si="384"/>
        <v>5760</v>
      </c>
      <c r="U1683" s="52">
        <f t="shared" si="385"/>
        <v>0</v>
      </c>
      <c r="V1683" s="52">
        <f t="shared" si="386"/>
        <v>0</v>
      </c>
      <c r="W1683" s="84">
        <v>0</v>
      </c>
      <c r="X1683" s="55">
        <f t="shared" si="387"/>
        <v>46153.450434027778</v>
      </c>
    </row>
    <row r="1684" spans="1:24" hidden="1" x14ac:dyDescent="0.35">
      <c r="A1684" s="46">
        <f t="shared" si="388"/>
        <v>46153.450434027778</v>
      </c>
      <c r="B1684" s="46"/>
      <c r="C1684" s="260"/>
      <c r="D1684" s="46"/>
      <c r="E1684" s="47" t="s">
        <v>4801</v>
      </c>
      <c r="F1684" s="82" t="s">
        <v>6435</v>
      </c>
      <c r="G1684" s="82"/>
      <c r="H1684" s="98" t="s">
        <v>6436</v>
      </c>
      <c r="I1684" s="220" t="s">
        <v>5311</v>
      </c>
      <c r="J1684" s="100" t="s">
        <v>140</v>
      </c>
      <c r="K1684" s="91">
        <v>0</v>
      </c>
      <c r="L1684" s="91">
        <v>0</v>
      </c>
      <c r="M1684" s="92">
        <v>50</v>
      </c>
      <c r="N1684" s="92">
        <v>3000</v>
      </c>
      <c r="O1684" s="92">
        <v>2</v>
      </c>
      <c r="P1684" s="92">
        <f t="shared" si="390"/>
        <v>1500</v>
      </c>
      <c r="Q1684" s="92"/>
      <c r="R1684" s="92">
        <v>1500</v>
      </c>
      <c r="S1684" s="92">
        <f t="shared" ref="S1684:S1729" si="391">P1684-R1684</f>
        <v>0</v>
      </c>
      <c r="T1684" s="102">
        <f t="shared" ref="T1684:T1729" si="392">((3600/M1684)*O1684)*24</f>
        <v>3456</v>
      </c>
      <c r="U1684" s="101">
        <f t="shared" ref="U1684:U1729" si="393">(P1684-R1684)*M1684/3600</f>
        <v>0</v>
      </c>
      <c r="V1684" s="101">
        <f t="shared" ref="V1684:V1729" si="394">(P1684-R1684)*M1684/3600/24</f>
        <v>0</v>
      </c>
      <c r="W1684" s="101">
        <v>0</v>
      </c>
      <c r="X1684" s="55">
        <f t="shared" ref="X1684:X1726" si="395">A1684+K1684+V1684+W1684+L1684</f>
        <v>46153.450434027778</v>
      </c>
    </row>
    <row r="1685" spans="1:24" s="1065" customFormat="1" hidden="1" x14ac:dyDescent="0.35">
      <c r="A1685" s="46">
        <f t="shared" ref="A1685:A1729" si="396">X1684</f>
        <v>46153.450434027778</v>
      </c>
      <c r="B1685" s="46"/>
      <c r="C1685" s="260"/>
      <c r="D1685" s="46"/>
      <c r="E1685" s="47" t="s">
        <v>4411</v>
      </c>
      <c r="F1685" s="82" t="s">
        <v>3517</v>
      </c>
      <c r="G1685" s="82"/>
      <c r="H1685" s="340" t="s">
        <v>6437</v>
      </c>
      <c r="I1685" s="405" t="s">
        <v>3506</v>
      </c>
      <c r="J1685" s="100" t="s">
        <v>140</v>
      </c>
      <c r="K1685" s="91">
        <v>0</v>
      </c>
      <c r="L1685" s="91">
        <v>0</v>
      </c>
      <c r="M1685" s="92">
        <v>36</v>
      </c>
      <c r="N1685" s="92">
        <v>30000</v>
      </c>
      <c r="O1685" s="92">
        <v>4</v>
      </c>
      <c r="P1685" s="92">
        <f t="shared" si="390"/>
        <v>7500</v>
      </c>
      <c r="Q1685" s="92"/>
      <c r="R1685" s="92">
        <f>15000/2</f>
        <v>7500</v>
      </c>
      <c r="S1685" s="92">
        <f t="shared" si="391"/>
        <v>0</v>
      </c>
      <c r="T1685" s="102">
        <f t="shared" si="392"/>
        <v>9600</v>
      </c>
      <c r="U1685" s="101">
        <f t="shared" si="393"/>
        <v>0</v>
      </c>
      <c r="V1685" s="101">
        <f t="shared" si="394"/>
        <v>0</v>
      </c>
      <c r="W1685" s="101">
        <v>0</v>
      </c>
      <c r="X1685" s="55">
        <f t="shared" si="395"/>
        <v>46153.450434027778</v>
      </c>
    </row>
    <row r="1686" spans="1:24" s="221" customFormat="1" hidden="1" x14ac:dyDescent="0.35">
      <c r="A1686" s="46">
        <f t="shared" si="396"/>
        <v>46153.450434027778</v>
      </c>
      <c r="B1686" s="46"/>
      <c r="C1686" s="260"/>
      <c r="D1686" s="46"/>
      <c r="E1686" s="47" t="s">
        <v>4411</v>
      </c>
      <c r="F1686" s="58" t="s">
        <v>5421</v>
      </c>
      <c r="G1686" s="58"/>
      <c r="H1686" s="49" t="s">
        <v>6438</v>
      </c>
      <c r="I1686" s="97" t="s">
        <v>5535</v>
      </c>
      <c r="J1686" s="100" t="s">
        <v>140</v>
      </c>
      <c r="K1686" s="52">
        <v>0</v>
      </c>
      <c r="L1686" s="52">
        <v>0</v>
      </c>
      <c r="M1686" s="53">
        <v>50</v>
      </c>
      <c r="N1686" s="53">
        <v>500</v>
      </c>
      <c r="O1686" s="53">
        <v>1</v>
      </c>
      <c r="P1686" s="53">
        <f t="shared" si="390"/>
        <v>500</v>
      </c>
      <c r="Q1686" s="53"/>
      <c r="R1686" s="83">
        <v>500</v>
      </c>
      <c r="S1686" s="53">
        <f t="shared" si="391"/>
        <v>0</v>
      </c>
      <c r="T1686" s="83">
        <f t="shared" si="392"/>
        <v>1728</v>
      </c>
      <c r="U1686" s="84">
        <f t="shared" si="393"/>
        <v>0</v>
      </c>
      <c r="V1686" s="84">
        <f t="shared" si="394"/>
        <v>0</v>
      </c>
      <c r="W1686" s="84">
        <v>0</v>
      </c>
      <c r="X1686" s="55">
        <f t="shared" si="395"/>
        <v>46153.450434027778</v>
      </c>
    </row>
    <row r="1687" spans="1:24" s="221" customFormat="1" hidden="1" x14ac:dyDescent="0.35">
      <c r="A1687" s="46">
        <f t="shared" si="396"/>
        <v>46153.450434027778</v>
      </c>
      <c r="B1687" s="46"/>
      <c r="C1687" s="260"/>
      <c r="D1687" s="46"/>
      <c r="E1687" s="47" t="s">
        <v>4411</v>
      </c>
      <c r="F1687" s="58" t="s">
        <v>5421</v>
      </c>
      <c r="G1687" s="58"/>
      <c r="H1687" s="49" t="s">
        <v>6439</v>
      </c>
      <c r="I1687" s="97" t="s">
        <v>5535</v>
      </c>
      <c r="J1687" s="100" t="s">
        <v>140</v>
      </c>
      <c r="K1687" s="52">
        <v>0</v>
      </c>
      <c r="L1687" s="52">
        <v>0</v>
      </c>
      <c r="M1687" s="53">
        <v>50</v>
      </c>
      <c r="N1687" s="53">
        <v>500</v>
      </c>
      <c r="O1687" s="53">
        <v>1</v>
      </c>
      <c r="P1687" s="53">
        <f t="shared" si="390"/>
        <v>500</v>
      </c>
      <c r="Q1687" s="53"/>
      <c r="R1687" s="83">
        <v>500</v>
      </c>
      <c r="S1687" s="53">
        <f t="shared" si="391"/>
        <v>0</v>
      </c>
      <c r="T1687" s="83">
        <f t="shared" si="392"/>
        <v>1728</v>
      </c>
      <c r="U1687" s="84">
        <f t="shared" si="393"/>
        <v>0</v>
      </c>
      <c r="V1687" s="84">
        <f t="shared" si="394"/>
        <v>0</v>
      </c>
      <c r="W1687" s="84">
        <v>0</v>
      </c>
      <c r="X1687" s="55">
        <f t="shared" si="395"/>
        <v>46153.450434027778</v>
      </c>
    </row>
    <row r="1688" spans="1:24" s="221" customFormat="1" hidden="1" x14ac:dyDescent="0.35">
      <c r="A1688" s="46">
        <f t="shared" si="396"/>
        <v>46153.450434027778</v>
      </c>
      <c r="B1688" s="46"/>
      <c r="C1688" s="260"/>
      <c r="D1688" s="46"/>
      <c r="E1688" s="47" t="s">
        <v>4411</v>
      </c>
      <c r="F1688" s="57" t="s">
        <v>6440</v>
      </c>
      <c r="G1688" s="57"/>
      <c r="H1688" s="49" t="s">
        <v>6441</v>
      </c>
      <c r="I1688" s="82" t="s">
        <v>4441</v>
      </c>
      <c r="J1688" s="100" t="s">
        <v>140</v>
      </c>
      <c r="K1688" s="52">
        <v>0</v>
      </c>
      <c r="L1688" s="52">
        <v>0</v>
      </c>
      <c r="M1688" s="53">
        <v>70</v>
      </c>
      <c r="N1688" s="53">
        <v>1000</v>
      </c>
      <c r="O1688" s="53">
        <v>1</v>
      </c>
      <c r="P1688" s="53">
        <f t="shared" si="390"/>
        <v>1000</v>
      </c>
      <c r="Q1688" s="53"/>
      <c r="R1688" s="53">
        <v>1000</v>
      </c>
      <c r="S1688" s="53">
        <f t="shared" si="391"/>
        <v>0</v>
      </c>
      <c r="T1688" s="83">
        <f t="shared" si="392"/>
        <v>1234.2857142857142</v>
      </c>
      <c r="U1688" s="84">
        <f t="shared" si="393"/>
        <v>0</v>
      </c>
      <c r="V1688" s="84">
        <f t="shared" si="394"/>
        <v>0</v>
      </c>
      <c r="W1688" s="84">
        <v>0</v>
      </c>
      <c r="X1688" s="55">
        <f t="shared" si="395"/>
        <v>46153.450434027778</v>
      </c>
    </row>
    <row r="1689" spans="1:24" s="221" customFormat="1" hidden="1" x14ac:dyDescent="0.35">
      <c r="A1689" s="46">
        <f t="shared" si="396"/>
        <v>46153.450434027778</v>
      </c>
      <c r="B1689" s="46"/>
      <c r="C1689" s="260"/>
      <c r="D1689" s="46"/>
      <c r="E1689" s="47" t="s">
        <v>4411</v>
      </c>
      <c r="F1689" s="57" t="s">
        <v>6442</v>
      </c>
      <c r="G1689" s="57"/>
      <c r="H1689" s="49" t="s">
        <v>6443</v>
      </c>
      <c r="I1689" s="82" t="s">
        <v>4441</v>
      </c>
      <c r="J1689" s="100" t="s">
        <v>140</v>
      </c>
      <c r="K1689" s="52">
        <v>0</v>
      </c>
      <c r="L1689" s="52">
        <v>0</v>
      </c>
      <c r="M1689" s="53">
        <v>70</v>
      </c>
      <c r="N1689" s="53">
        <v>500</v>
      </c>
      <c r="O1689" s="53">
        <v>1</v>
      </c>
      <c r="P1689" s="53">
        <f t="shared" si="390"/>
        <v>500</v>
      </c>
      <c r="Q1689" s="53"/>
      <c r="R1689" s="53">
        <v>500</v>
      </c>
      <c r="S1689" s="53">
        <f t="shared" si="391"/>
        <v>0</v>
      </c>
      <c r="T1689" s="83">
        <f t="shared" si="392"/>
        <v>1234.2857142857142</v>
      </c>
      <c r="U1689" s="84">
        <f t="shared" si="393"/>
        <v>0</v>
      </c>
      <c r="V1689" s="84">
        <f t="shared" si="394"/>
        <v>0</v>
      </c>
      <c r="W1689" s="84">
        <v>0</v>
      </c>
      <c r="X1689" s="55">
        <f t="shared" si="395"/>
        <v>46153.450434027778</v>
      </c>
    </row>
    <row r="1690" spans="1:24" s="221" customFormat="1" hidden="1" x14ac:dyDescent="0.35">
      <c r="A1690" s="46">
        <f t="shared" si="396"/>
        <v>46153.450434027778</v>
      </c>
      <c r="B1690" s="46"/>
      <c r="C1690" s="260"/>
      <c r="D1690" s="46"/>
      <c r="E1690" s="47" t="s">
        <v>4411</v>
      </c>
      <c r="F1690" s="57" t="s">
        <v>6444</v>
      </c>
      <c r="G1690" s="57"/>
      <c r="H1690" s="49" t="s">
        <v>6445</v>
      </c>
      <c r="I1690" s="82" t="s">
        <v>4441</v>
      </c>
      <c r="J1690" s="100" t="s">
        <v>140</v>
      </c>
      <c r="K1690" s="52">
        <v>0</v>
      </c>
      <c r="L1690" s="52">
        <v>0</v>
      </c>
      <c r="M1690" s="53">
        <v>70</v>
      </c>
      <c r="N1690" s="53">
        <v>500</v>
      </c>
      <c r="O1690" s="53">
        <v>1</v>
      </c>
      <c r="P1690" s="53">
        <f t="shared" si="390"/>
        <v>500</v>
      </c>
      <c r="Q1690" s="53"/>
      <c r="R1690" s="53">
        <v>500</v>
      </c>
      <c r="S1690" s="53">
        <f t="shared" si="391"/>
        <v>0</v>
      </c>
      <c r="T1690" s="83">
        <f t="shared" si="392"/>
        <v>1234.2857142857142</v>
      </c>
      <c r="U1690" s="84">
        <f t="shared" si="393"/>
        <v>0</v>
      </c>
      <c r="V1690" s="84">
        <f t="shared" si="394"/>
        <v>0</v>
      </c>
      <c r="W1690" s="84">
        <v>0</v>
      </c>
      <c r="X1690" s="55">
        <f t="shared" si="395"/>
        <v>46153.450434027778</v>
      </c>
    </row>
    <row r="1691" spans="1:24" s="221" customFormat="1" ht="15" hidden="1" customHeight="1" x14ac:dyDescent="0.35">
      <c r="A1691" s="46">
        <f t="shared" si="396"/>
        <v>46153.450434027778</v>
      </c>
      <c r="B1691" s="46"/>
      <c r="C1691" s="260"/>
      <c r="D1691" s="46"/>
      <c r="E1691" s="47" t="s">
        <v>4411</v>
      </c>
      <c r="F1691" s="57" t="s">
        <v>2115</v>
      </c>
      <c r="G1691" s="57"/>
      <c r="H1691" s="49" t="s">
        <v>6446</v>
      </c>
      <c r="I1691" s="82" t="s">
        <v>4441</v>
      </c>
      <c r="J1691" s="100" t="s">
        <v>140</v>
      </c>
      <c r="K1691" s="52">
        <v>0</v>
      </c>
      <c r="L1691" s="52">
        <v>0</v>
      </c>
      <c r="M1691" s="53">
        <v>70</v>
      </c>
      <c r="N1691" s="53">
        <v>500</v>
      </c>
      <c r="O1691" s="53">
        <v>1</v>
      </c>
      <c r="P1691" s="53">
        <f t="shared" si="390"/>
        <v>500</v>
      </c>
      <c r="Q1691" s="53"/>
      <c r="R1691" s="53">
        <v>500</v>
      </c>
      <c r="S1691" s="53">
        <f t="shared" si="391"/>
        <v>0</v>
      </c>
      <c r="T1691" s="83">
        <f t="shared" si="392"/>
        <v>1234.2857142857142</v>
      </c>
      <c r="U1691" s="84">
        <f t="shared" si="393"/>
        <v>0</v>
      </c>
      <c r="V1691" s="84">
        <f t="shared" si="394"/>
        <v>0</v>
      </c>
      <c r="W1691" s="84">
        <v>0</v>
      </c>
      <c r="X1691" s="55">
        <f t="shared" si="395"/>
        <v>46153.450434027778</v>
      </c>
    </row>
    <row r="1692" spans="1:24" s="221" customFormat="1" hidden="1" x14ac:dyDescent="0.35">
      <c r="A1692" s="46">
        <f t="shared" si="396"/>
        <v>46153.450434027778</v>
      </c>
      <c r="B1692" s="46"/>
      <c r="C1692" s="260"/>
      <c r="D1692" s="46"/>
      <c r="E1692" s="47" t="s">
        <v>4411</v>
      </c>
      <c r="F1692" s="97" t="s">
        <v>6447</v>
      </c>
      <c r="G1692" s="97"/>
      <c r="H1692" s="98" t="s">
        <v>6448</v>
      </c>
      <c r="I1692" s="82" t="s">
        <v>4438</v>
      </c>
      <c r="J1692" s="100" t="s">
        <v>140</v>
      </c>
      <c r="K1692" s="91">
        <v>0</v>
      </c>
      <c r="L1692" s="91">
        <v>0</v>
      </c>
      <c r="M1692" s="92">
        <v>73</v>
      </c>
      <c r="N1692" s="92">
        <v>500</v>
      </c>
      <c r="O1692" s="92">
        <v>1</v>
      </c>
      <c r="P1692" s="92">
        <f t="shared" si="390"/>
        <v>500</v>
      </c>
      <c r="Q1692" s="92"/>
      <c r="R1692" s="92">
        <v>500</v>
      </c>
      <c r="S1692" s="92">
        <f t="shared" si="391"/>
        <v>0</v>
      </c>
      <c r="T1692" s="102">
        <f t="shared" si="392"/>
        <v>1183.5616438356165</v>
      </c>
      <c r="U1692" s="101">
        <f t="shared" si="393"/>
        <v>0</v>
      </c>
      <c r="V1692" s="101">
        <f t="shared" si="394"/>
        <v>0</v>
      </c>
      <c r="W1692" s="101">
        <v>0</v>
      </c>
      <c r="X1692" s="55">
        <f t="shared" si="395"/>
        <v>46153.450434027778</v>
      </c>
    </row>
    <row r="1693" spans="1:24" s="221" customFormat="1" ht="39.5" hidden="1" x14ac:dyDescent="0.35">
      <c r="A1693" s="46">
        <f t="shared" si="396"/>
        <v>46153.450434027778</v>
      </c>
      <c r="B1693" s="46"/>
      <c r="C1693" s="260"/>
      <c r="D1693" s="46"/>
      <c r="E1693" s="47" t="s">
        <v>4411</v>
      </c>
      <c r="F1693" s="48" t="s">
        <v>6449</v>
      </c>
      <c r="G1693" s="48"/>
      <c r="H1693" s="49" t="s">
        <v>6450</v>
      </c>
      <c r="I1693" s="82" t="s">
        <v>5452</v>
      </c>
      <c r="J1693" s="100" t="s">
        <v>140</v>
      </c>
      <c r="K1693" s="52">
        <v>0</v>
      </c>
      <c r="L1693" s="52">
        <v>0</v>
      </c>
      <c r="M1693" s="53">
        <v>25</v>
      </c>
      <c r="N1693" s="53">
        <v>1300</v>
      </c>
      <c r="O1693" s="53">
        <v>1</v>
      </c>
      <c r="P1693" s="53">
        <f t="shared" si="390"/>
        <v>1300</v>
      </c>
      <c r="Q1693" s="53"/>
      <c r="R1693" s="53">
        <v>1300</v>
      </c>
      <c r="S1693" s="53">
        <f t="shared" si="391"/>
        <v>0</v>
      </c>
      <c r="T1693" s="83">
        <f t="shared" si="392"/>
        <v>3456</v>
      </c>
      <c r="U1693" s="84">
        <f t="shared" si="393"/>
        <v>0</v>
      </c>
      <c r="V1693" s="84">
        <f t="shared" si="394"/>
        <v>0</v>
      </c>
      <c r="W1693" s="84">
        <v>0</v>
      </c>
      <c r="X1693" s="55">
        <f t="shared" si="395"/>
        <v>46153.450434027778</v>
      </c>
    </row>
    <row r="1694" spans="1:24" s="221" customFormat="1" hidden="1" x14ac:dyDescent="0.35">
      <c r="A1694" s="46">
        <f t="shared" si="396"/>
        <v>46153.450434027778</v>
      </c>
      <c r="B1694" s="46"/>
      <c r="C1694" s="260"/>
      <c r="D1694" s="46"/>
      <c r="E1694" s="47" t="s">
        <v>4411</v>
      </c>
      <c r="F1694" s="56" t="s">
        <v>5433</v>
      </c>
      <c r="G1694" s="56"/>
      <c r="H1694" s="49" t="s">
        <v>6451</v>
      </c>
      <c r="I1694" s="106" t="s">
        <v>5291</v>
      </c>
      <c r="J1694" s="100" t="s">
        <v>140</v>
      </c>
      <c r="K1694" s="52">
        <v>0</v>
      </c>
      <c r="L1694" s="52">
        <v>0</v>
      </c>
      <c r="M1694" s="53">
        <v>50</v>
      </c>
      <c r="N1694" s="53">
        <v>20000</v>
      </c>
      <c r="O1694" s="53">
        <v>2</v>
      </c>
      <c r="P1694" s="53">
        <f t="shared" si="390"/>
        <v>10000</v>
      </c>
      <c r="Q1694" s="53"/>
      <c r="R1694" s="53">
        <v>10000</v>
      </c>
      <c r="S1694" s="53">
        <f t="shared" si="391"/>
        <v>0</v>
      </c>
      <c r="T1694" s="83">
        <f t="shared" si="392"/>
        <v>3456</v>
      </c>
      <c r="U1694" s="84">
        <f t="shared" si="393"/>
        <v>0</v>
      </c>
      <c r="V1694" s="84">
        <f t="shared" si="394"/>
        <v>0</v>
      </c>
      <c r="W1694" s="84">
        <v>0</v>
      </c>
      <c r="X1694" s="55">
        <f t="shared" si="395"/>
        <v>46153.450434027778</v>
      </c>
    </row>
    <row r="1695" spans="1:24" s="221" customFormat="1" ht="15" hidden="1" customHeight="1" x14ac:dyDescent="0.35">
      <c r="A1695" s="46">
        <f t="shared" si="396"/>
        <v>46153.450434027778</v>
      </c>
      <c r="B1695" s="46"/>
      <c r="C1695" s="260"/>
      <c r="D1695" s="46"/>
      <c r="E1695" s="47" t="s">
        <v>4411</v>
      </c>
      <c r="F1695" s="58" t="s">
        <v>5439</v>
      </c>
      <c r="G1695" s="58"/>
      <c r="H1695" s="49" t="s">
        <v>6452</v>
      </c>
      <c r="I1695" s="97" t="s">
        <v>5535</v>
      </c>
      <c r="J1695" s="100" t="s">
        <v>140</v>
      </c>
      <c r="K1695" s="52">
        <v>0</v>
      </c>
      <c r="L1695" s="52">
        <v>0</v>
      </c>
      <c r="M1695" s="53">
        <v>50</v>
      </c>
      <c r="N1695" s="53">
        <v>2000</v>
      </c>
      <c r="O1695" s="53">
        <v>1</v>
      </c>
      <c r="P1695" s="53">
        <f t="shared" si="390"/>
        <v>2000</v>
      </c>
      <c r="Q1695" s="53"/>
      <c r="R1695" s="83">
        <v>2000</v>
      </c>
      <c r="S1695" s="53">
        <f t="shared" si="391"/>
        <v>0</v>
      </c>
      <c r="T1695" s="83">
        <f t="shared" si="392"/>
        <v>1728</v>
      </c>
      <c r="U1695" s="84">
        <f t="shared" si="393"/>
        <v>0</v>
      </c>
      <c r="V1695" s="84">
        <f t="shared" si="394"/>
        <v>0</v>
      </c>
      <c r="W1695" s="84">
        <v>0</v>
      </c>
      <c r="X1695" s="55">
        <f t="shared" si="395"/>
        <v>46153.450434027778</v>
      </c>
    </row>
    <row r="1696" spans="1:24" ht="25" hidden="1" customHeight="1" x14ac:dyDescent="0.35">
      <c r="A1696" s="46">
        <f t="shared" si="396"/>
        <v>46153.450434027778</v>
      </c>
      <c r="B1696" s="46"/>
      <c r="C1696" s="260"/>
      <c r="D1696" s="46"/>
      <c r="E1696" s="195" t="s">
        <v>4411</v>
      </c>
      <c r="F1696" s="1066" t="s">
        <v>6453</v>
      </c>
      <c r="G1696" s="1066"/>
      <c r="H1696" s="1067" t="s">
        <v>6454</v>
      </c>
      <c r="I1696" s="1068" t="s">
        <v>5217</v>
      </c>
      <c r="J1696" s="114" t="s">
        <v>140</v>
      </c>
      <c r="K1696" s="559">
        <v>0</v>
      </c>
      <c r="L1696" s="559">
        <v>0</v>
      </c>
      <c r="M1696" s="1069">
        <v>40</v>
      </c>
      <c r="N1696" s="1069">
        <v>10000</v>
      </c>
      <c r="O1696" s="1069">
        <v>2</v>
      </c>
      <c r="P1696" s="1069">
        <f t="shared" si="390"/>
        <v>5000</v>
      </c>
      <c r="Q1696" s="1069"/>
      <c r="R1696" s="1070">
        <v>5000</v>
      </c>
      <c r="S1696" s="1069">
        <f t="shared" si="391"/>
        <v>0</v>
      </c>
      <c r="T1696" s="1070">
        <f t="shared" si="392"/>
        <v>4320</v>
      </c>
      <c r="U1696" s="1071">
        <f t="shared" si="393"/>
        <v>0</v>
      </c>
      <c r="V1696" s="1071">
        <f t="shared" si="394"/>
        <v>0</v>
      </c>
      <c r="W1696" s="1071">
        <v>0</v>
      </c>
      <c r="X1696" s="55">
        <f t="shared" si="395"/>
        <v>46153.450434027778</v>
      </c>
    </row>
    <row r="1697" spans="1:24" ht="25" hidden="1" customHeight="1" x14ac:dyDescent="0.35">
      <c r="A1697" s="46">
        <f t="shared" si="396"/>
        <v>46153.450434027778</v>
      </c>
      <c r="B1697" s="46"/>
      <c r="C1697" s="260"/>
      <c r="D1697" s="46"/>
      <c r="E1697" s="47" t="s">
        <v>4411</v>
      </c>
      <c r="F1697" s="48" t="s">
        <v>633</v>
      </c>
      <c r="G1697" s="48"/>
      <c r="H1697" s="49" t="s">
        <v>6455</v>
      </c>
      <c r="I1697" s="316" t="s">
        <v>5217</v>
      </c>
      <c r="J1697" s="100" t="s">
        <v>140</v>
      </c>
      <c r="K1697" s="52">
        <v>0</v>
      </c>
      <c r="L1697" s="52">
        <v>0</v>
      </c>
      <c r="M1697" s="53">
        <v>40</v>
      </c>
      <c r="N1697" s="53">
        <v>5000</v>
      </c>
      <c r="O1697" s="53">
        <v>2</v>
      </c>
      <c r="P1697" s="53">
        <f t="shared" si="390"/>
        <v>2500</v>
      </c>
      <c r="Q1697" s="53"/>
      <c r="R1697" s="83">
        <v>2500</v>
      </c>
      <c r="S1697" s="53">
        <f t="shared" si="391"/>
        <v>0</v>
      </c>
      <c r="T1697" s="83">
        <f t="shared" si="392"/>
        <v>4320</v>
      </c>
      <c r="U1697" s="84">
        <f t="shared" si="393"/>
        <v>0</v>
      </c>
      <c r="V1697" s="84">
        <f t="shared" si="394"/>
        <v>0</v>
      </c>
      <c r="W1697" s="84">
        <v>0</v>
      </c>
      <c r="X1697" s="55">
        <f t="shared" si="395"/>
        <v>46153.450434027778</v>
      </c>
    </row>
    <row r="1698" spans="1:24" s="221" customFormat="1" ht="25" hidden="1" customHeight="1" x14ac:dyDescent="0.35">
      <c r="A1698" s="46">
        <f t="shared" si="396"/>
        <v>46153.450434027778</v>
      </c>
      <c r="B1698" s="46"/>
      <c r="C1698" s="260"/>
      <c r="D1698" s="46"/>
      <c r="E1698" s="47" t="s">
        <v>4411</v>
      </c>
      <c r="F1698" s="97" t="s">
        <v>6456</v>
      </c>
      <c r="G1698" s="97"/>
      <c r="H1698" s="98" t="s">
        <v>6457</v>
      </c>
      <c r="I1698" s="82" t="s">
        <v>4438</v>
      </c>
      <c r="J1698" s="100" t="s">
        <v>140</v>
      </c>
      <c r="K1698" s="91">
        <v>0</v>
      </c>
      <c r="L1698" s="91">
        <v>0</v>
      </c>
      <c r="M1698" s="92">
        <v>73</v>
      </c>
      <c r="N1698" s="92">
        <v>1000</v>
      </c>
      <c r="O1698" s="92">
        <v>1</v>
      </c>
      <c r="P1698" s="92">
        <f t="shared" si="390"/>
        <v>1000</v>
      </c>
      <c r="Q1698" s="92"/>
      <c r="R1698" s="92">
        <v>1000</v>
      </c>
      <c r="S1698" s="92">
        <f t="shared" si="391"/>
        <v>0</v>
      </c>
      <c r="T1698" s="102">
        <f t="shared" si="392"/>
        <v>1183.5616438356165</v>
      </c>
      <c r="U1698" s="101">
        <f t="shared" si="393"/>
        <v>0</v>
      </c>
      <c r="V1698" s="101">
        <f t="shared" si="394"/>
        <v>0</v>
      </c>
      <c r="W1698" s="101">
        <v>0</v>
      </c>
      <c r="X1698" s="55">
        <f t="shared" si="395"/>
        <v>46153.450434027778</v>
      </c>
    </row>
    <row r="1699" spans="1:24" ht="25" hidden="1" customHeight="1" x14ac:dyDescent="0.35">
      <c r="A1699" s="46">
        <f t="shared" si="396"/>
        <v>46153.450434027778</v>
      </c>
      <c r="B1699" s="46"/>
      <c r="C1699" s="260"/>
      <c r="D1699" s="46"/>
      <c r="E1699" s="47" t="s">
        <v>4411</v>
      </c>
      <c r="F1699" s="220" t="s">
        <v>4888</v>
      </c>
      <c r="G1699" s="220"/>
      <c r="H1699" s="107" t="s">
        <v>6458</v>
      </c>
      <c r="I1699" s="69" t="s">
        <v>5260</v>
      </c>
      <c r="J1699" s="51" t="s">
        <v>140</v>
      </c>
      <c r="K1699" s="91">
        <v>0</v>
      </c>
      <c r="L1699" s="91">
        <v>0</v>
      </c>
      <c r="M1699" s="92">
        <v>30</v>
      </c>
      <c r="N1699" s="92">
        <v>3000</v>
      </c>
      <c r="O1699" s="92">
        <v>1</v>
      </c>
      <c r="P1699" s="92">
        <f t="shared" si="390"/>
        <v>3000</v>
      </c>
      <c r="Q1699" s="92"/>
      <c r="R1699" s="92">
        <v>3000</v>
      </c>
      <c r="S1699" s="92">
        <f t="shared" si="391"/>
        <v>0</v>
      </c>
      <c r="T1699" s="92">
        <f t="shared" si="392"/>
        <v>2880</v>
      </c>
      <c r="U1699" s="91">
        <f t="shared" si="393"/>
        <v>0</v>
      </c>
      <c r="V1699" s="91">
        <f t="shared" si="394"/>
        <v>0</v>
      </c>
      <c r="W1699" s="91">
        <v>0</v>
      </c>
      <c r="X1699" s="55">
        <f t="shared" si="395"/>
        <v>46153.450434027778</v>
      </c>
    </row>
    <row r="1700" spans="1:24" s="221" customFormat="1" hidden="1" x14ac:dyDescent="0.35">
      <c r="A1700" s="46">
        <f t="shared" si="396"/>
        <v>46153.450434027778</v>
      </c>
      <c r="B1700" s="46"/>
      <c r="C1700" s="260"/>
      <c r="D1700" s="46"/>
      <c r="E1700" s="47" t="s">
        <v>4411</v>
      </c>
      <c r="F1700" s="48" t="s">
        <v>6459</v>
      </c>
      <c r="G1700" s="48"/>
      <c r="H1700" s="49" t="s">
        <v>6460</v>
      </c>
      <c r="I1700" s="82" t="s">
        <v>4413</v>
      </c>
      <c r="J1700" s="100" t="s">
        <v>140</v>
      </c>
      <c r="K1700" s="52">
        <v>0</v>
      </c>
      <c r="L1700" s="52">
        <v>0</v>
      </c>
      <c r="M1700" s="53">
        <v>73</v>
      </c>
      <c r="N1700" s="53">
        <v>1500</v>
      </c>
      <c r="O1700" s="53">
        <v>1</v>
      </c>
      <c r="P1700" s="53">
        <f t="shared" si="390"/>
        <v>1500</v>
      </c>
      <c r="Q1700" s="53"/>
      <c r="R1700" s="53">
        <v>1500</v>
      </c>
      <c r="S1700" s="53">
        <f t="shared" si="391"/>
        <v>0</v>
      </c>
      <c r="T1700" s="83">
        <f t="shared" si="392"/>
        <v>1183.5616438356165</v>
      </c>
      <c r="U1700" s="84">
        <f t="shared" si="393"/>
        <v>0</v>
      </c>
      <c r="V1700" s="84">
        <f t="shared" si="394"/>
        <v>0</v>
      </c>
      <c r="W1700" s="84">
        <v>0</v>
      </c>
      <c r="X1700" s="55">
        <f t="shared" si="395"/>
        <v>46153.450434027778</v>
      </c>
    </row>
    <row r="1701" spans="1:24" hidden="1" x14ac:dyDescent="0.35">
      <c r="A1701" s="46">
        <f t="shared" si="396"/>
        <v>46153.450434027778</v>
      </c>
      <c r="B1701" s="46"/>
      <c r="C1701" s="260"/>
      <c r="D1701" s="46"/>
      <c r="E1701" s="47" t="s">
        <v>4411</v>
      </c>
      <c r="F1701" s="57" t="s">
        <v>4713</v>
      </c>
      <c r="G1701" s="57"/>
      <c r="H1701" s="49" t="s">
        <v>6461</v>
      </c>
      <c r="I1701" s="82" t="s">
        <v>6462</v>
      </c>
      <c r="J1701" s="100" t="s">
        <v>140</v>
      </c>
      <c r="K1701" s="52">
        <v>0</v>
      </c>
      <c r="L1701" s="52">
        <v>0</v>
      </c>
      <c r="M1701" s="53">
        <v>45</v>
      </c>
      <c r="N1701" s="53">
        <v>550</v>
      </c>
      <c r="O1701" s="53">
        <v>1</v>
      </c>
      <c r="P1701" s="92">
        <f t="shared" si="390"/>
        <v>550</v>
      </c>
      <c r="Q1701" s="92"/>
      <c r="R1701" s="53">
        <v>550</v>
      </c>
      <c r="S1701" s="53">
        <f t="shared" si="391"/>
        <v>0</v>
      </c>
      <c r="T1701" s="83">
        <f t="shared" si="392"/>
        <v>1920</v>
      </c>
      <c r="U1701" s="84">
        <f t="shared" si="393"/>
        <v>0</v>
      </c>
      <c r="V1701" s="84">
        <f t="shared" si="394"/>
        <v>0</v>
      </c>
      <c r="W1701" s="84">
        <v>0</v>
      </c>
      <c r="X1701" s="55">
        <f t="shared" si="395"/>
        <v>46153.450434027778</v>
      </c>
    </row>
    <row r="1702" spans="1:24" s="221" customFormat="1" ht="26.5" hidden="1" x14ac:dyDescent="0.35">
      <c r="A1702" s="46">
        <f t="shared" si="396"/>
        <v>46153.450434027778</v>
      </c>
      <c r="B1702" s="46"/>
      <c r="C1702" s="260"/>
      <c r="D1702" s="46"/>
      <c r="E1702" s="47" t="s">
        <v>4411</v>
      </c>
      <c r="F1702" s="82" t="s">
        <v>6267</v>
      </c>
      <c r="G1702" s="82"/>
      <c r="H1702" s="98" t="s">
        <v>6463</v>
      </c>
      <c r="I1702" s="316" t="s">
        <v>5042</v>
      </c>
      <c r="J1702" s="51" t="s">
        <v>140</v>
      </c>
      <c r="K1702" s="91">
        <v>0</v>
      </c>
      <c r="L1702" s="91">
        <v>0</v>
      </c>
      <c r="M1702" s="92">
        <v>70</v>
      </c>
      <c r="N1702" s="92">
        <v>7000</v>
      </c>
      <c r="O1702" s="92">
        <v>1</v>
      </c>
      <c r="P1702" s="92">
        <f t="shared" si="390"/>
        <v>7000</v>
      </c>
      <c r="Q1702" s="92"/>
      <c r="R1702" s="92">
        <v>7000</v>
      </c>
      <c r="S1702" s="92">
        <f t="shared" si="391"/>
        <v>0</v>
      </c>
      <c r="T1702" s="92">
        <f t="shared" si="392"/>
        <v>1234.2857142857142</v>
      </c>
      <c r="U1702" s="91">
        <f t="shared" si="393"/>
        <v>0</v>
      </c>
      <c r="V1702" s="91">
        <f t="shared" si="394"/>
        <v>0</v>
      </c>
      <c r="W1702" s="91">
        <v>0</v>
      </c>
      <c r="X1702" s="55">
        <f t="shared" si="395"/>
        <v>46153.450434027778</v>
      </c>
    </row>
    <row r="1703" spans="1:24" ht="26" hidden="1" x14ac:dyDescent="0.35">
      <c r="A1703" s="46">
        <f t="shared" si="396"/>
        <v>46153.450434027778</v>
      </c>
      <c r="B1703" s="46"/>
      <c r="C1703" s="260"/>
      <c r="D1703" s="46"/>
      <c r="E1703" s="47" t="s">
        <v>4411</v>
      </c>
      <c r="F1703" s="82" t="s">
        <v>3517</v>
      </c>
      <c r="G1703" s="82"/>
      <c r="H1703" s="340" t="s">
        <v>6464</v>
      </c>
      <c r="I1703" s="405" t="s">
        <v>3519</v>
      </c>
      <c r="J1703" s="100" t="s">
        <v>140</v>
      </c>
      <c r="K1703" s="91">
        <v>0</v>
      </c>
      <c r="L1703" s="91">
        <v>0</v>
      </c>
      <c r="M1703" s="92">
        <v>36</v>
      </c>
      <c r="N1703" s="92">
        <v>30000</v>
      </c>
      <c r="O1703" s="92">
        <v>2</v>
      </c>
      <c r="P1703" s="92">
        <f t="shared" si="390"/>
        <v>15000</v>
      </c>
      <c r="Q1703" s="92"/>
      <c r="R1703" s="92">
        <v>15000</v>
      </c>
      <c r="S1703" s="92">
        <f t="shared" si="391"/>
        <v>0</v>
      </c>
      <c r="T1703" s="102">
        <f t="shared" si="392"/>
        <v>4800</v>
      </c>
      <c r="U1703" s="101">
        <f t="shared" si="393"/>
        <v>0</v>
      </c>
      <c r="V1703" s="101">
        <f t="shared" si="394"/>
        <v>0</v>
      </c>
      <c r="W1703" s="101">
        <v>0</v>
      </c>
      <c r="X1703" s="55">
        <f t="shared" si="395"/>
        <v>46153.450434027778</v>
      </c>
    </row>
    <row r="1704" spans="1:24" hidden="1" x14ac:dyDescent="0.35">
      <c r="A1704" s="46">
        <f t="shared" si="396"/>
        <v>46153.450434027778</v>
      </c>
      <c r="B1704" s="46"/>
      <c r="C1704" s="260"/>
      <c r="D1704" s="46"/>
      <c r="E1704" s="47" t="s">
        <v>4411</v>
      </c>
      <c r="F1704" s="48" t="s">
        <v>6465</v>
      </c>
      <c r="G1704" s="48"/>
      <c r="H1704" s="59" t="s">
        <v>6466</v>
      </c>
      <c r="I1704" s="220" t="s">
        <v>5316</v>
      </c>
      <c r="J1704" s="51" t="s">
        <v>140</v>
      </c>
      <c r="K1704" s="52">
        <v>0</v>
      </c>
      <c r="L1704" s="52">
        <v>0</v>
      </c>
      <c r="M1704" s="53">
        <v>30</v>
      </c>
      <c r="N1704" s="53">
        <v>6500</v>
      </c>
      <c r="O1704" s="53">
        <v>2</v>
      </c>
      <c r="P1704" s="53">
        <f t="shared" si="390"/>
        <v>3250</v>
      </c>
      <c r="Q1704" s="53"/>
      <c r="R1704" s="53">
        <v>3250</v>
      </c>
      <c r="S1704" s="53">
        <f t="shared" si="391"/>
        <v>0</v>
      </c>
      <c r="T1704" s="53">
        <f t="shared" si="392"/>
        <v>5760</v>
      </c>
      <c r="U1704" s="52">
        <f t="shared" si="393"/>
        <v>0</v>
      </c>
      <c r="V1704" s="52">
        <f t="shared" si="394"/>
        <v>0</v>
      </c>
      <c r="W1704" s="84">
        <v>0</v>
      </c>
      <c r="X1704" s="55">
        <f t="shared" si="395"/>
        <v>46153.450434027778</v>
      </c>
    </row>
    <row r="1705" spans="1:24" hidden="1" x14ac:dyDescent="0.35">
      <c r="A1705" s="46">
        <f t="shared" si="396"/>
        <v>46153.450434027778</v>
      </c>
      <c r="B1705" s="46"/>
      <c r="C1705" s="260"/>
      <c r="D1705" s="46"/>
      <c r="E1705" s="47" t="s">
        <v>4411</v>
      </c>
      <c r="F1705" s="97" t="s">
        <v>6467</v>
      </c>
      <c r="G1705" s="97"/>
      <c r="H1705" s="98" t="s">
        <v>6468</v>
      </c>
      <c r="I1705" s="46" t="s">
        <v>6469</v>
      </c>
      <c r="J1705" s="51" t="s">
        <v>140</v>
      </c>
      <c r="K1705" s="91">
        <v>0</v>
      </c>
      <c r="L1705" s="91">
        <v>0</v>
      </c>
      <c r="M1705" s="92">
        <v>50</v>
      </c>
      <c r="N1705" s="92">
        <f>500-46</f>
        <v>454</v>
      </c>
      <c r="O1705" s="92">
        <v>2</v>
      </c>
      <c r="P1705" s="92">
        <f t="shared" ref="P1705:P1729" si="397">N1705/O1705</f>
        <v>227</v>
      </c>
      <c r="Q1705" s="92"/>
      <c r="R1705" s="92">
        <v>227</v>
      </c>
      <c r="S1705" s="92">
        <f t="shared" si="391"/>
        <v>0</v>
      </c>
      <c r="T1705" s="92">
        <f t="shared" si="392"/>
        <v>3456</v>
      </c>
      <c r="U1705" s="91">
        <f t="shared" si="393"/>
        <v>0</v>
      </c>
      <c r="V1705" s="91">
        <f t="shared" si="394"/>
        <v>0</v>
      </c>
      <c r="W1705" s="91">
        <v>0</v>
      </c>
      <c r="X1705" s="55">
        <f t="shared" si="395"/>
        <v>46153.450434027778</v>
      </c>
    </row>
    <row r="1706" spans="1:24" hidden="1" x14ac:dyDescent="0.35">
      <c r="A1706" s="46">
        <f t="shared" si="396"/>
        <v>46153.450434027778</v>
      </c>
      <c r="B1706" s="46"/>
      <c r="C1706" s="260"/>
      <c r="D1706" s="46"/>
      <c r="E1706" s="47" t="s">
        <v>4411</v>
      </c>
      <c r="F1706" s="97" t="s">
        <v>6467</v>
      </c>
      <c r="G1706" s="97"/>
      <c r="H1706" s="98" t="s">
        <v>6470</v>
      </c>
      <c r="I1706" s="82" t="s">
        <v>6471</v>
      </c>
      <c r="J1706" s="51" t="s">
        <v>140</v>
      </c>
      <c r="K1706" s="91">
        <v>0</v>
      </c>
      <c r="L1706" s="91">
        <v>0</v>
      </c>
      <c r="M1706" s="92">
        <v>50</v>
      </c>
      <c r="N1706" s="92">
        <v>500</v>
      </c>
      <c r="O1706" s="92">
        <v>2</v>
      </c>
      <c r="P1706" s="92">
        <f t="shared" si="397"/>
        <v>250</v>
      </c>
      <c r="Q1706" s="92"/>
      <c r="R1706" s="92">
        <v>250</v>
      </c>
      <c r="S1706" s="92">
        <f t="shared" si="391"/>
        <v>0</v>
      </c>
      <c r="T1706" s="92">
        <f t="shared" si="392"/>
        <v>3456</v>
      </c>
      <c r="U1706" s="91">
        <f t="shared" si="393"/>
        <v>0</v>
      </c>
      <c r="V1706" s="91">
        <f t="shared" si="394"/>
        <v>0</v>
      </c>
      <c r="W1706" s="91">
        <v>0</v>
      </c>
      <c r="X1706" s="55">
        <f t="shared" si="395"/>
        <v>46153.450434027778</v>
      </c>
    </row>
    <row r="1707" spans="1:24" hidden="1" x14ac:dyDescent="0.35">
      <c r="A1707" s="46">
        <f t="shared" si="396"/>
        <v>46153.450434027778</v>
      </c>
      <c r="B1707" s="46"/>
      <c r="C1707" s="260"/>
      <c r="D1707" s="46"/>
      <c r="E1707" s="47" t="s">
        <v>4411</v>
      </c>
      <c r="F1707" s="97" t="s">
        <v>6467</v>
      </c>
      <c r="G1707" s="97"/>
      <c r="H1707" s="98" t="s">
        <v>6472</v>
      </c>
      <c r="I1707" s="82" t="s">
        <v>5404</v>
      </c>
      <c r="J1707" s="51" t="s">
        <v>140</v>
      </c>
      <c r="K1707" s="91">
        <v>0</v>
      </c>
      <c r="L1707" s="91">
        <v>0</v>
      </c>
      <c r="M1707" s="92">
        <v>50</v>
      </c>
      <c r="N1707" s="92">
        <v>1500</v>
      </c>
      <c r="O1707" s="92">
        <v>2</v>
      </c>
      <c r="P1707" s="92">
        <f t="shared" si="397"/>
        <v>750</v>
      </c>
      <c r="Q1707" s="92"/>
      <c r="R1707" s="92">
        <v>750</v>
      </c>
      <c r="S1707" s="92">
        <f t="shared" si="391"/>
        <v>0</v>
      </c>
      <c r="T1707" s="92">
        <f t="shared" si="392"/>
        <v>3456</v>
      </c>
      <c r="U1707" s="91">
        <f t="shared" si="393"/>
        <v>0</v>
      </c>
      <c r="V1707" s="91">
        <f t="shared" si="394"/>
        <v>0</v>
      </c>
      <c r="W1707" s="91">
        <v>0</v>
      </c>
      <c r="X1707" s="55">
        <f t="shared" si="395"/>
        <v>46153.450434027778</v>
      </c>
    </row>
    <row r="1708" spans="1:24" hidden="1" x14ac:dyDescent="0.35">
      <c r="A1708" s="46">
        <f t="shared" si="396"/>
        <v>46153.450434027778</v>
      </c>
      <c r="B1708" s="46"/>
      <c r="C1708" s="260"/>
      <c r="D1708" s="46"/>
      <c r="E1708" s="47" t="s">
        <v>4411</v>
      </c>
      <c r="F1708" s="97" t="s">
        <v>5051</v>
      </c>
      <c r="G1708" s="97"/>
      <c r="H1708" s="98" t="s">
        <v>6473</v>
      </c>
      <c r="I1708" s="82" t="s">
        <v>4441</v>
      </c>
      <c r="J1708" s="100" t="s">
        <v>140</v>
      </c>
      <c r="K1708" s="91">
        <v>0</v>
      </c>
      <c r="L1708" s="91">
        <v>0</v>
      </c>
      <c r="M1708" s="92">
        <v>70</v>
      </c>
      <c r="N1708" s="92">
        <v>2000</v>
      </c>
      <c r="O1708" s="92">
        <v>1</v>
      </c>
      <c r="P1708" s="92">
        <f t="shared" si="397"/>
        <v>2000</v>
      </c>
      <c r="Q1708" s="92"/>
      <c r="R1708" s="92">
        <v>2000</v>
      </c>
      <c r="S1708" s="92">
        <f t="shared" si="391"/>
        <v>0</v>
      </c>
      <c r="T1708" s="102">
        <f t="shared" si="392"/>
        <v>1234.2857142857142</v>
      </c>
      <c r="U1708" s="101">
        <f t="shared" si="393"/>
        <v>0</v>
      </c>
      <c r="V1708" s="101">
        <f t="shared" si="394"/>
        <v>0</v>
      </c>
      <c r="W1708" s="101">
        <v>0</v>
      </c>
      <c r="X1708" s="55">
        <f t="shared" si="395"/>
        <v>46153.450434027778</v>
      </c>
    </row>
    <row r="1709" spans="1:24" hidden="1" x14ac:dyDescent="0.35">
      <c r="A1709" s="46">
        <f t="shared" si="396"/>
        <v>46153.450434027778</v>
      </c>
      <c r="B1709" s="46"/>
      <c r="C1709" s="260"/>
      <c r="D1709" s="46"/>
      <c r="E1709" s="47" t="s">
        <v>4411</v>
      </c>
      <c r="F1709" s="97" t="s">
        <v>6474</v>
      </c>
      <c r="G1709" s="97"/>
      <c r="H1709" s="98" t="s">
        <v>6475</v>
      </c>
      <c r="I1709" s="82" t="s">
        <v>4413</v>
      </c>
      <c r="J1709" s="100" t="s">
        <v>140</v>
      </c>
      <c r="K1709" s="91">
        <v>0</v>
      </c>
      <c r="L1709" s="91">
        <v>0</v>
      </c>
      <c r="M1709" s="92">
        <v>73</v>
      </c>
      <c r="N1709" s="92">
        <v>1000</v>
      </c>
      <c r="O1709" s="92">
        <v>1</v>
      </c>
      <c r="P1709" s="92">
        <f t="shared" si="397"/>
        <v>1000</v>
      </c>
      <c r="Q1709" s="92"/>
      <c r="R1709" s="92">
        <v>1000</v>
      </c>
      <c r="S1709" s="92">
        <f t="shared" si="391"/>
        <v>0</v>
      </c>
      <c r="T1709" s="102">
        <f t="shared" si="392"/>
        <v>1183.5616438356165</v>
      </c>
      <c r="U1709" s="101">
        <f t="shared" si="393"/>
        <v>0</v>
      </c>
      <c r="V1709" s="101">
        <f t="shared" si="394"/>
        <v>0</v>
      </c>
      <c r="W1709" s="101">
        <v>0</v>
      </c>
      <c r="X1709" s="55">
        <f t="shared" si="395"/>
        <v>46153.450434027778</v>
      </c>
    </row>
    <row r="1710" spans="1:24" hidden="1" x14ac:dyDescent="0.35">
      <c r="A1710" s="46">
        <f t="shared" si="396"/>
        <v>46153.450434027778</v>
      </c>
      <c r="B1710" s="46"/>
      <c r="C1710" s="260"/>
      <c r="D1710" s="46"/>
      <c r="E1710" s="47" t="s">
        <v>4411</v>
      </c>
      <c r="F1710" s="48" t="s">
        <v>4590</v>
      </c>
      <c r="G1710" s="48"/>
      <c r="H1710" s="49" t="s">
        <v>6476</v>
      </c>
      <c r="I1710" s="82" t="s">
        <v>6477</v>
      </c>
      <c r="J1710" s="100" t="s">
        <v>140</v>
      </c>
      <c r="K1710" s="91">
        <v>0</v>
      </c>
      <c r="L1710" s="91">
        <v>0</v>
      </c>
      <c r="M1710" s="92">
        <v>25</v>
      </c>
      <c r="N1710" s="92">
        <v>10000</v>
      </c>
      <c r="O1710" s="92">
        <v>8</v>
      </c>
      <c r="P1710" s="92">
        <f t="shared" si="397"/>
        <v>1250</v>
      </c>
      <c r="Q1710" s="92"/>
      <c r="R1710" s="102">
        <v>1250</v>
      </c>
      <c r="S1710" s="92">
        <f t="shared" si="391"/>
        <v>0</v>
      </c>
      <c r="T1710" s="102">
        <f t="shared" si="392"/>
        <v>27648</v>
      </c>
      <c r="U1710" s="101">
        <f t="shared" si="393"/>
        <v>0</v>
      </c>
      <c r="V1710" s="101">
        <f t="shared" si="394"/>
        <v>0</v>
      </c>
      <c r="W1710" s="101">
        <v>0</v>
      </c>
      <c r="X1710" s="55">
        <f t="shared" si="395"/>
        <v>46153.450434027778</v>
      </c>
    </row>
    <row r="1711" spans="1:24" hidden="1" x14ac:dyDescent="0.35">
      <c r="A1711" s="46">
        <f t="shared" si="396"/>
        <v>46153.450434027778</v>
      </c>
      <c r="B1711" s="46"/>
      <c r="C1711" s="260"/>
      <c r="D1711" s="46"/>
      <c r="E1711" s="47" t="s">
        <v>4411</v>
      </c>
      <c r="F1711" s="48" t="s">
        <v>4590</v>
      </c>
      <c r="G1711" s="48"/>
      <c r="H1711" s="49" t="s">
        <v>6478</v>
      </c>
      <c r="I1711" s="82" t="s">
        <v>5314</v>
      </c>
      <c r="J1711" s="100" t="s">
        <v>140</v>
      </c>
      <c r="K1711" s="91">
        <v>0</v>
      </c>
      <c r="L1711" s="91">
        <v>0</v>
      </c>
      <c r="M1711" s="92">
        <v>25</v>
      </c>
      <c r="N1711" s="92">
        <v>5000</v>
      </c>
      <c r="O1711" s="92">
        <v>8</v>
      </c>
      <c r="P1711" s="92">
        <f t="shared" si="397"/>
        <v>625</v>
      </c>
      <c r="Q1711" s="92"/>
      <c r="R1711" s="102">
        <v>625</v>
      </c>
      <c r="S1711" s="92">
        <f t="shared" si="391"/>
        <v>0</v>
      </c>
      <c r="T1711" s="102">
        <f t="shared" si="392"/>
        <v>27648</v>
      </c>
      <c r="U1711" s="101">
        <f t="shared" si="393"/>
        <v>0</v>
      </c>
      <c r="V1711" s="101">
        <f t="shared" si="394"/>
        <v>0</v>
      </c>
      <c r="W1711" s="101">
        <v>0</v>
      </c>
      <c r="X1711" s="55">
        <f t="shared" si="395"/>
        <v>46153.450434027778</v>
      </c>
    </row>
    <row r="1712" spans="1:24" hidden="1" x14ac:dyDescent="0.35">
      <c r="A1712" s="46">
        <f t="shared" si="396"/>
        <v>46153.450434027778</v>
      </c>
      <c r="B1712" s="46"/>
      <c r="C1712" s="260"/>
      <c r="D1712" s="46"/>
      <c r="E1712" s="47" t="s">
        <v>4411</v>
      </c>
      <c r="F1712" s="48" t="s">
        <v>4590</v>
      </c>
      <c r="G1712" s="48"/>
      <c r="H1712" s="49" t="s">
        <v>6479</v>
      </c>
      <c r="I1712" s="82" t="s">
        <v>6480</v>
      </c>
      <c r="J1712" s="100" t="s">
        <v>140</v>
      </c>
      <c r="K1712" s="91">
        <v>0</v>
      </c>
      <c r="L1712" s="91">
        <v>0</v>
      </c>
      <c r="M1712" s="92">
        <v>25</v>
      </c>
      <c r="N1712" s="92">
        <v>8107</v>
      </c>
      <c r="O1712" s="92">
        <v>8</v>
      </c>
      <c r="P1712" s="92">
        <f t="shared" si="397"/>
        <v>1013.375</v>
      </c>
      <c r="Q1712" s="92"/>
      <c r="R1712" s="102">
        <v>1013</v>
      </c>
      <c r="S1712" s="92">
        <f t="shared" si="391"/>
        <v>0.375</v>
      </c>
      <c r="T1712" s="102">
        <f t="shared" si="392"/>
        <v>27648</v>
      </c>
      <c r="U1712" s="101">
        <f t="shared" si="393"/>
        <v>2.6041666666666665E-3</v>
      </c>
      <c r="V1712" s="101">
        <f t="shared" si="394"/>
        <v>1.0850694444444444E-4</v>
      </c>
      <c r="W1712" s="101">
        <v>0</v>
      </c>
      <c r="X1712" s="55">
        <f t="shared" si="395"/>
        <v>46153.450542534723</v>
      </c>
    </row>
    <row r="1713" spans="1:24" hidden="1" x14ac:dyDescent="0.35">
      <c r="A1713" s="46">
        <f t="shared" si="396"/>
        <v>46153.450542534723</v>
      </c>
      <c r="B1713" s="46"/>
      <c r="C1713" s="260"/>
      <c r="D1713" s="46"/>
      <c r="E1713" s="47" t="s">
        <v>4411</v>
      </c>
      <c r="F1713" s="82" t="s">
        <v>3517</v>
      </c>
      <c r="G1713" s="82"/>
      <c r="H1713" s="340" t="s">
        <v>6481</v>
      </c>
      <c r="I1713" s="405" t="s">
        <v>6280</v>
      </c>
      <c r="J1713" s="100" t="s">
        <v>140</v>
      </c>
      <c r="K1713" s="91">
        <v>0</v>
      </c>
      <c r="L1713" s="91">
        <v>0</v>
      </c>
      <c r="M1713" s="92">
        <v>36</v>
      </c>
      <c r="N1713" s="92">
        <v>10000</v>
      </c>
      <c r="O1713" s="92">
        <v>4</v>
      </c>
      <c r="P1713" s="92">
        <f t="shared" si="397"/>
        <v>2500</v>
      </c>
      <c r="Q1713" s="92"/>
      <c r="R1713" s="92">
        <v>2500</v>
      </c>
      <c r="S1713" s="92">
        <f t="shared" si="391"/>
        <v>0</v>
      </c>
      <c r="T1713" s="102">
        <f t="shared" si="392"/>
        <v>9600</v>
      </c>
      <c r="U1713" s="101">
        <f t="shared" si="393"/>
        <v>0</v>
      </c>
      <c r="V1713" s="101">
        <f t="shared" si="394"/>
        <v>0</v>
      </c>
      <c r="W1713" s="101">
        <v>0</v>
      </c>
      <c r="X1713" s="55">
        <f t="shared" si="395"/>
        <v>46153.450542534723</v>
      </c>
    </row>
    <row r="1714" spans="1:24" hidden="1" x14ac:dyDescent="0.35">
      <c r="A1714" s="46">
        <f t="shared" si="396"/>
        <v>46153.450542534723</v>
      </c>
      <c r="B1714" s="46"/>
      <c r="C1714" s="260"/>
      <c r="D1714" s="46"/>
      <c r="E1714" s="47" t="s">
        <v>4411</v>
      </c>
      <c r="F1714" s="85" t="s">
        <v>6482</v>
      </c>
      <c r="G1714" s="85"/>
      <c r="H1714" s="98" t="s">
        <v>6483</v>
      </c>
      <c r="I1714" s="97" t="s">
        <v>5535</v>
      </c>
      <c r="J1714" s="100" t="s">
        <v>140</v>
      </c>
      <c r="K1714" s="91">
        <v>0</v>
      </c>
      <c r="L1714" s="91">
        <v>0</v>
      </c>
      <c r="M1714" s="92">
        <v>50</v>
      </c>
      <c r="N1714" s="92">
        <v>2000</v>
      </c>
      <c r="O1714" s="92">
        <v>1</v>
      </c>
      <c r="P1714" s="92">
        <f t="shared" si="397"/>
        <v>2000</v>
      </c>
      <c r="Q1714" s="92"/>
      <c r="R1714" s="102">
        <v>2000</v>
      </c>
      <c r="S1714" s="92">
        <f t="shared" si="391"/>
        <v>0</v>
      </c>
      <c r="T1714" s="102">
        <f t="shared" si="392"/>
        <v>1728</v>
      </c>
      <c r="U1714" s="101">
        <f t="shared" si="393"/>
        <v>0</v>
      </c>
      <c r="V1714" s="101">
        <f t="shared" si="394"/>
        <v>0</v>
      </c>
      <c r="W1714" s="101">
        <v>0</v>
      </c>
      <c r="X1714" s="55">
        <f t="shared" si="395"/>
        <v>46153.450542534723</v>
      </c>
    </row>
    <row r="1715" spans="1:24" hidden="1" x14ac:dyDescent="0.35">
      <c r="A1715" s="46">
        <f t="shared" si="396"/>
        <v>46153.450542534723</v>
      </c>
      <c r="B1715" s="46"/>
      <c r="C1715" s="260"/>
      <c r="D1715" s="46"/>
      <c r="E1715" s="296" t="s">
        <v>5256</v>
      </c>
      <c r="F1715" s="366" t="s">
        <v>14</v>
      </c>
      <c r="G1715" s="366"/>
      <c r="H1715" s="298" t="s">
        <v>14</v>
      </c>
      <c r="I1715" s="297" t="s">
        <v>5454</v>
      </c>
      <c r="J1715" s="351" t="s">
        <v>140</v>
      </c>
      <c r="K1715" s="352">
        <v>0</v>
      </c>
      <c r="L1715" s="352">
        <v>0</v>
      </c>
      <c r="M1715" s="353">
        <v>60</v>
      </c>
      <c r="N1715" s="353">
        <v>50</v>
      </c>
      <c r="O1715" s="353">
        <v>2</v>
      </c>
      <c r="P1715" s="353">
        <f t="shared" si="397"/>
        <v>25</v>
      </c>
      <c r="Q1715" s="353"/>
      <c r="R1715" s="353">
        <v>25</v>
      </c>
      <c r="S1715" s="353">
        <f t="shared" si="391"/>
        <v>0</v>
      </c>
      <c r="T1715" s="353">
        <f t="shared" si="392"/>
        <v>2880</v>
      </c>
      <c r="U1715" s="352">
        <f t="shared" si="393"/>
        <v>0</v>
      </c>
      <c r="V1715" s="352">
        <f t="shared" si="394"/>
        <v>0</v>
      </c>
      <c r="W1715" s="352">
        <v>0</v>
      </c>
      <c r="X1715" s="55">
        <f t="shared" si="395"/>
        <v>46153.450542534723</v>
      </c>
    </row>
    <row r="1716" spans="1:24" hidden="1" x14ac:dyDescent="0.35">
      <c r="A1716" s="46">
        <f t="shared" si="396"/>
        <v>46153.450542534723</v>
      </c>
      <c r="B1716" s="46"/>
      <c r="C1716" s="260"/>
      <c r="D1716" s="46"/>
      <c r="E1716" s="47" t="s">
        <v>4411</v>
      </c>
      <c r="F1716" s="82" t="s">
        <v>5060</v>
      </c>
      <c r="G1716" s="82"/>
      <c r="H1716" s="98" t="s">
        <v>6484</v>
      </c>
      <c r="I1716" s="82" t="s">
        <v>5514</v>
      </c>
      <c r="J1716" s="100" t="s">
        <v>140</v>
      </c>
      <c r="K1716" s="91">
        <v>0</v>
      </c>
      <c r="L1716" s="91">
        <v>0</v>
      </c>
      <c r="M1716" s="92">
        <v>50</v>
      </c>
      <c r="N1716" s="92">
        <v>1000</v>
      </c>
      <c r="O1716" s="92">
        <v>1</v>
      </c>
      <c r="P1716" s="92">
        <f t="shared" si="397"/>
        <v>1000</v>
      </c>
      <c r="Q1716" s="92"/>
      <c r="R1716" s="92">
        <v>1000</v>
      </c>
      <c r="S1716" s="92">
        <f t="shared" si="391"/>
        <v>0</v>
      </c>
      <c r="T1716" s="102">
        <f t="shared" si="392"/>
        <v>1728</v>
      </c>
      <c r="U1716" s="101">
        <f t="shared" si="393"/>
        <v>0</v>
      </c>
      <c r="V1716" s="101">
        <f t="shared" si="394"/>
        <v>0</v>
      </c>
      <c r="W1716" s="101">
        <v>0</v>
      </c>
      <c r="X1716" s="55">
        <f t="shared" si="395"/>
        <v>46153.450542534723</v>
      </c>
    </row>
    <row r="1717" spans="1:24" hidden="1" x14ac:dyDescent="0.35">
      <c r="A1717" s="46">
        <f t="shared" si="396"/>
        <v>46153.450542534723</v>
      </c>
      <c r="B1717" s="46"/>
      <c r="C1717" s="260"/>
      <c r="D1717" s="46"/>
      <c r="E1717" s="47" t="s">
        <v>4411</v>
      </c>
      <c r="F1717" s="82" t="s">
        <v>3517</v>
      </c>
      <c r="G1717" s="82"/>
      <c r="H1717" s="340" t="s">
        <v>6485</v>
      </c>
      <c r="I1717" s="405" t="s">
        <v>6280</v>
      </c>
      <c r="J1717" s="100" t="s">
        <v>140</v>
      </c>
      <c r="K1717" s="91">
        <v>0</v>
      </c>
      <c r="L1717" s="91">
        <v>0</v>
      </c>
      <c r="M1717" s="92">
        <v>36</v>
      </c>
      <c r="N1717" s="92">
        <v>30000</v>
      </c>
      <c r="O1717" s="92">
        <v>4</v>
      </c>
      <c r="P1717" s="92">
        <f t="shared" si="397"/>
        <v>7500</v>
      </c>
      <c r="Q1717" s="92"/>
      <c r="R1717" s="92">
        <v>7500</v>
      </c>
      <c r="S1717" s="92">
        <f t="shared" si="391"/>
        <v>0</v>
      </c>
      <c r="T1717" s="102">
        <f t="shared" si="392"/>
        <v>9600</v>
      </c>
      <c r="U1717" s="101">
        <f t="shared" si="393"/>
        <v>0</v>
      </c>
      <c r="V1717" s="101">
        <f t="shared" si="394"/>
        <v>0</v>
      </c>
      <c r="W1717" s="101">
        <v>0</v>
      </c>
      <c r="X1717" s="55">
        <f t="shared" si="395"/>
        <v>46153.450542534723</v>
      </c>
    </row>
    <row r="1718" spans="1:24" hidden="1" x14ac:dyDescent="0.35">
      <c r="A1718" s="46">
        <f t="shared" si="396"/>
        <v>46153.450542534723</v>
      </c>
      <c r="B1718" s="46"/>
      <c r="C1718" s="260"/>
      <c r="D1718" s="46"/>
      <c r="E1718" s="47" t="s">
        <v>4411</v>
      </c>
      <c r="F1718" s="97" t="s">
        <v>5074</v>
      </c>
      <c r="G1718" s="97"/>
      <c r="H1718" s="98" t="s">
        <v>6486</v>
      </c>
      <c r="I1718" s="82" t="s">
        <v>4438</v>
      </c>
      <c r="J1718" s="100" t="s">
        <v>140</v>
      </c>
      <c r="K1718" s="91">
        <v>0</v>
      </c>
      <c r="L1718" s="91">
        <v>0</v>
      </c>
      <c r="M1718" s="92">
        <v>73</v>
      </c>
      <c r="N1718" s="92">
        <v>600</v>
      </c>
      <c r="O1718" s="92">
        <v>1</v>
      </c>
      <c r="P1718" s="92">
        <f t="shared" si="397"/>
        <v>600</v>
      </c>
      <c r="Q1718" s="92"/>
      <c r="R1718" s="92">
        <v>600</v>
      </c>
      <c r="S1718" s="92">
        <f t="shared" si="391"/>
        <v>0</v>
      </c>
      <c r="T1718" s="102">
        <f t="shared" si="392"/>
        <v>1183.5616438356165</v>
      </c>
      <c r="U1718" s="101">
        <f t="shared" si="393"/>
        <v>0</v>
      </c>
      <c r="V1718" s="101">
        <f t="shared" si="394"/>
        <v>0</v>
      </c>
      <c r="W1718" s="101">
        <v>0</v>
      </c>
      <c r="X1718" s="55">
        <f t="shared" si="395"/>
        <v>46153.450542534723</v>
      </c>
    </row>
    <row r="1719" spans="1:24" ht="26.5" hidden="1" x14ac:dyDescent="0.35">
      <c r="A1719" s="46">
        <f t="shared" si="396"/>
        <v>46153.450542534723</v>
      </c>
      <c r="B1719" s="46"/>
      <c r="C1719" s="260"/>
      <c r="D1719" s="46"/>
      <c r="E1719" s="47" t="s">
        <v>4411</v>
      </c>
      <c r="F1719" s="97" t="s">
        <v>6487</v>
      </c>
      <c r="G1719" s="97"/>
      <c r="H1719" s="98" t="s">
        <v>5512</v>
      </c>
      <c r="I1719" s="82" t="s">
        <v>3468</v>
      </c>
      <c r="J1719" s="51" t="s">
        <v>140</v>
      </c>
      <c r="K1719" s="91">
        <v>0</v>
      </c>
      <c r="L1719" s="91">
        <v>0</v>
      </c>
      <c r="M1719" s="92">
        <v>20</v>
      </c>
      <c r="N1719" s="92">
        <v>300000</v>
      </c>
      <c r="O1719" s="92">
        <v>8</v>
      </c>
      <c r="P1719" s="92">
        <f t="shared" si="397"/>
        <v>37500</v>
      </c>
      <c r="Q1719" s="92"/>
      <c r="R1719" s="92">
        <v>37500</v>
      </c>
      <c r="S1719" s="92">
        <f t="shared" si="391"/>
        <v>0</v>
      </c>
      <c r="T1719" s="92">
        <f t="shared" si="392"/>
        <v>34560</v>
      </c>
      <c r="U1719" s="91">
        <f t="shared" si="393"/>
        <v>0</v>
      </c>
      <c r="V1719" s="91">
        <f t="shared" si="394"/>
        <v>0</v>
      </c>
      <c r="W1719" s="91">
        <v>0</v>
      </c>
      <c r="X1719" s="55">
        <f t="shared" si="395"/>
        <v>46153.450542534723</v>
      </c>
    </row>
    <row r="1720" spans="1:24" hidden="1" x14ac:dyDescent="0.35">
      <c r="A1720" s="46">
        <f t="shared" si="396"/>
        <v>46153.450542534723</v>
      </c>
      <c r="B1720" s="46"/>
      <c r="C1720" s="260"/>
      <c r="D1720" s="46"/>
      <c r="E1720" s="47" t="s">
        <v>4411</v>
      </c>
      <c r="F1720" s="82" t="s">
        <v>5931</v>
      </c>
      <c r="G1720" s="82"/>
      <c r="H1720" s="98" t="s">
        <v>6488</v>
      </c>
      <c r="I1720" s="82" t="s">
        <v>4986</v>
      </c>
      <c r="J1720" s="100" t="s">
        <v>140</v>
      </c>
      <c r="K1720" s="91">
        <v>0</v>
      </c>
      <c r="L1720" s="91">
        <v>0</v>
      </c>
      <c r="M1720" s="92">
        <v>70</v>
      </c>
      <c r="N1720" s="92">
        <v>4800</v>
      </c>
      <c r="O1720" s="92">
        <v>1</v>
      </c>
      <c r="P1720" s="92">
        <f t="shared" si="397"/>
        <v>4800</v>
      </c>
      <c r="Q1720" s="92"/>
      <c r="R1720" s="102">
        <v>4800</v>
      </c>
      <c r="S1720" s="92">
        <f t="shared" si="391"/>
        <v>0</v>
      </c>
      <c r="T1720" s="102">
        <f t="shared" si="392"/>
        <v>1234.2857142857142</v>
      </c>
      <c r="U1720" s="101">
        <f t="shared" si="393"/>
        <v>0</v>
      </c>
      <c r="V1720" s="101">
        <f t="shared" si="394"/>
        <v>0</v>
      </c>
      <c r="W1720" s="101">
        <v>0</v>
      </c>
      <c r="X1720" s="55">
        <f t="shared" si="395"/>
        <v>46153.450542534723</v>
      </c>
    </row>
    <row r="1721" spans="1:24" hidden="1" x14ac:dyDescent="0.35">
      <c r="A1721" s="46">
        <f t="shared" si="396"/>
        <v>46153.450542534723</v>
      </c>
      <c r="B1721" s="46"/>
      <c r="C1721" s="260"/>
      <c r="D1721" s="46"/>
      <c r="E1721" s="47" t="s">
        <v>4467</v>
      </c>
      <c r="F1721" s="97" t="s">
        <v>900</v>
      </c>
      <c r="G1721" s="97"/>
      <c r="H1721" s="59" t="s">
        <v>6489</v>
      </c>
      <c r="I1721" s="97" t="s">
        <v>3506</v>
      </c>
      <c r="J1721" s="100" t="s">
        <v>140</v>
      </c>
      <c r="K1721" s="91">
        <v>0</v>
      </c>
      <c r="L1721" s="91">
        <v>0</v>
      </c>
      <c r="M1721" s="92">
        <v>45</v>
      </c>
      <c r="N1721" s="92">
        <v>20000</v>
      </c>
      <c r="O1721" s="92">
        <v>4</v>
      </c>
      <c r="P1721" s="92">
        <f t="shared" si="397"/>
        <v>5000</v>
      </c>
      <c r="Q1721" s="92"/>
      <c r="R1721" s="92">
        <v>5000</v>
      </c>
      <c r="S1721" s="92">
        <f t="shared" si="391"/>
        <v>0</v>
      </c>
      <c r="T1721" s="102">
        <f t="shared" si="392"/>
        <v>7680</v>
      </c>
      <c r="U1721" s="101">
        <f t="shared" si="393"/>
        <v>0</v>
      </c>
      <c r="V1721" s="101">
        <f t="shared" si="394"/>
        <v>0</v>
      </c>
      <c r="W1721" s="101">
        <v>0</v>
      </c>
      <c r="X1721" s="55">
        <f t="shared" si="395"/>
        <v>46153.450542534723</v>
      </c>
    </row>
    <row r="1722" spans="1:24" hidden="1" x14ac:dyDescent="0.35">
      <c r="A1722" s="46">
        <f t="shared" si="396"/>
        <v>46153.450542534723</v>
      </c>
      <c r="B1722" s="46"/>
      <c r="C1722" s="260"/>
      <c r="D1722" s="46"/>
      <c r="E1722" s="47" t="s">
        <v>4411</v>
      </c>
      <c r="F1722" s="82" t="s">
        <v>3493</v>
      </c>
      <c r="G1722" s="82"/>
      <c r="H1722" s="98" t="s">
        <v>6490</v>
      </c>
      <c r="I1722" s="82" t="s">
        <v>4986</v>
      </c>
      <c r="J1722" s="100" t="s">
        <v>140</v>
      </c>
      <c r="K1722" s="91">
        <v>0</v>
      </c>
      <c r="L1722" s="91">
        <v>0</v>
      </c>
      <c r="M1722" s="92">
        <v>70</v>
      </c>
      <c r="N1722" s="92">
        <v>7200</v>
      </c>
      <c r="O1722" s="92">
        <v>1</v>
      </c>
      <c r="P1722" s="92">
        <f t="shared" si="397"/>
        <v>7200</v>
      </c>
      <c r="Q1722" s="92"/>
      <c r="R1722" s="102">
        <v>7200</v>
      </c>
      <c r="S1722" s="92">
        <f t="shared" si="391"/>
        <v>0</v>
      </c>
      <c r="T1722" s="102">
        <f t="shared" si="392"/>
        <v>1234.2857142857142</v>
      </c>
      <c r="U1722" s="101">
        <f t="shared" si="393"/>
        <v>0</v>
      </c>
      <c r="V1722" s="101">
        <f t="shared" si="394"/>
        <v>0</v>
      </c>
      <c r="W1722" s="101">
        <v>0</v>
      </c>
      <c r="X1722" s="55">
        <f t="shared" si="395"/>
        <v>46153.450542534723</v>
      </c>
    </row>
    <row r="1723" spans="1:24" hidden="1" x14ac:dyDescent="0.35">
      <c r="A1723" s="46">
        <f t="shared" si="396"/>
        <v>46153.450542534723</v>
      </c>
      <c r="B1723" s="46"/>
      <c r="C1723" s="260"/>
      <c r="D1723" s="46"/>
      <c r="E1723" s="47" t="s">
        <v>4411</v>
      </c>
      <c r="F1723" s="82" t="s">
        <v>758</v>
      </c>
      <c r="G1723" s="82"/>
      <c r="H1723" s="98" t="s">
        <v>6491</v>
      </c>
      <c r="I1723" s="316" t="s">
        <v>5214</v>
      </c>
      <c r="J1723" s="100" t="s">
        <v>140</v>
      </c>
      <c r="K1723" s="91">
        <v>0</v>
      </c>
      <c r="L1723" s="91">
        <v>0</v>
      </c>
      <c r="M1723" s="92">
        <v>40</v>
      </c>
      <c r="N1723" s="92">
        <v>5000</v>
      </c>
      <c r="O1723" s="92">
        <v>2</v>
      </c>
      <c r="P1723" s="92">
        <f t="shared" si="397"/>
        <v>2500</v>
      </c>
      <c r="Q1723" s="92"/>
      <c r="R1723" s="102">
        <v>2500</v>
      </c>
      <c r="S1723" s="92">
        <f t="shared" si="391"/>
        <v>0</v>
      </c>
      <c r="T1723" s="102">
        <f t="shared" si="392"/>
        <v>4320</v>
      </c>
      <c r="U1723" s="101">
        <f t="shared" si="393"/>
        <v>0</v>
      </c>
      <c r="V1723" s="101">
        <f t="shared" si="394"/>
        <v>0</v>
      </c>
      <c r="W1723" s="101">
        <v>0</v>
      </c>
      <c r="X1723" s="55">
        <f t="shared" si="395"/>
        <v>46153.450542534723</v>
      </c>
    </row>
    <row r="1724" spans="1:24" hidden="1" x14ac:dyDescent="0.35">
      <c r="A1724" s="46">
        <f t="shared" si="396"/>
        <v>46153.450542534723</v>
      </c>
      <c r="B1724" s="46"/>
      <c r="C1724" s="260"/>
      <c r="D1724" s="46"/>
      <c r="E1724" s="47" t="s">
        <v>4411</v>
      </c>
      <c r="F1724" s="82" t="s">
        <v>758</v>
      </c>
      <c r="G1724" s="82"/>
      <c r="H1724" s="98" t="s">
        <v>6492</v>
      </c>
      <c r="I1724" s="316" t="s">
        <v>5217</v>
      </c>
      <c r="J1724" s="100" t="s">
        <v>140</v>
      </c>
      <c r="K1724" s="91">
        <v>0</v>
      </c>
      <c r="L1724" s="91">
        <v>0</v>
      </c>
      <c r="M1724" s="92">
        <v>40</v>
      </c>
      <c r="N1724" s="92">
        <v>5000</v>
      </c>
      <c r="O1724" s="92">
        <v>2</v>
      </c>
      <c r="P1724" s="92">
        <f t="shared" si="397"/>
        <v>2500</v>
      </c>
      <c r="Q1724" s="92"/>
      <c r="R1724" s="102">
        <v>2500</v>
      </c>
      <c r="S1724" s="92">
        <f t="shared" si="391"/>
        <v>0</v>
      </c>
      <c r="T1724" s="102">
        <f t="shared" si="392"/>
        <v>4320</v>
      </c>
      <c r="U1724" s="101">
        <f t="shared" si="393"/>
        <v>0</v>
      </c>
      <c r="V1724" s="101">
        <f t="shared" si="394"/>
        <v>0</v>
      </c>
      <c r="W1724" s="101">
        <v>0</v>
      </c>
      <c r="X1724" s="55">
        <f t="shared" si="395"/>
        <v>46153.450542534723</v>
      </c>
    </row>
    <row r="1725" spans="1:24" hidden="1" x14ac:dyDescent="0.35">
      <c r="A1725" s="46">
        <f t="shared" si="396"/>
        <v>46153.450542534723</v>
      </c>
      <c r="B1725" s="46"/>
      <c r="C1725" s="260"/>
      <c r="D1725" s="46"/>
      <c r="E1725" s="47" t="s">
        <v>4411</v>
      </c>
      <c r="F1725" s="97" t="s">
        <v>5074</v>
      </c>
      <c r="G1725" s="97"/>
      <c r="H1725" s="98" t="s">
        <v>6493</v>
      </c>
      <c r="I1725" s="82" t="s">
        <v>4413</v>
      </c>
      <c r="J1725" s="100" t="s">
        <v>140</v>
      </c>
      <c r="K1725" s="91">
        <v>0</v>
      </c>
      <c r="L1725" s="91">
        <v>0</v>
      </c>
      <c r="M1725" s="92">
        <v>73</v>
      </c>
      <c r="N1725" s="92">
        <v>1000</v>
      </c>
      <c r="O1725" s="92">
        <v>1</v>
      </c>
      <c r="P1725" s="92">
        <f t="shared" si="397"/>
        <v>1000</v>
      </c>
      <c r="Q1725" s="92"/>
      <c r="R1725" s="92">
        <v>1000</v>
      </c>
      <c r="S1725" s="92">
        <f t="shared" si="391"/>
        <v>0</v>
      </c>
      <c r="T1725" s="102">
        <f t="shared" si="392"/>
        <v>1183.5616438356165</v>
      </c>
      <c r="U1725" s="101">
        <f t="shared" si="393"/>
        <v>0</v>
      </c>
      <c r="V1725" s="101">
        <f t="shared" si="394"/>
        <v>0</v>
      </c>
      <c r="W1725" s="101">
        <v>0</v>
      </c>
      <c r="X1725" s="55">
        <f t="shared" si="395"/>
        <v>46153.450542534723</v>
      </c>
    </row>
    <row r="1726" spans="1:24" ht="39.5" hidden="1" x14ac:dyDescent="0.35">
      <c r="A1726" s="46">
        <f t="shared" si="396"/>
        <v>46153.450542534723</v>
      </c>
      <c r="B1726" s="46"/>
      <c r="C1726" s="260"/>
      <c r="D1726" s="46"/>
      <c r="E1726" s="47" t="s">
        <v>4411</v>
      </c>
      <c r="F1726" s="82" t="s">
        <v>314</v>
      </c>
      <c r="G1726" s="82"/>
      <c r="H1726" s="49" t="s">
        <v>6494</v>
      </c>
      <c r="I1726" s="71" t="s">
        <v>3466</v>
      </c>
      <c r="J1726" s="100" t="s">
        <v>140</v>
      </c>
      <c r="K1726" s="52">
        <v>0</v>
      </c>
      <c r="L1726" s="52">
        <v>0</v>
      </c>
      <c r="M1726" s="53">
        <v>45</v>
      </c>
      <c r="N1726" s="53">
        <v>15000</v>
      </c>
      <c r="O1726" s="53">
        <v>2</v>
      </c>
      <c r="P1726" s="53">
        <f t="shared" si="397"/>
        <v>7500</v>
      </c>
      <c r="Q1726" s="53"/>
      <c r="R1726" s="53">
        <v>7500</v>
      </c>
      <c r="S1726" s="53">
        <f t="shared" si="391"/>
        <v>0</v>
      </c>
      <c r="T1726" s="83">
        <f t="shared" si="392"/>
        <v>3840</v>
      </c>
      <c r="U1726" s="84">
        <f t="shared" si="393"/>
        <v>0</v>
      </c>
      <c r="V1726" s="84">
        <f t="shared" si="394"/>
        <v>0</v>
      </c>
      <c r="W1726" s="84">
        <v>0</v>
      </c>
      <c r="X1726" s="55">
        <f t="shared" si="395"/>
        <v>46153.450542534723</v>
      </c>
    </row>
    <row r="1727" spans="1:24" hidden="1" x14ac:dyDescent="0.35">
      <c r="A1727" s="46">
        <f t="shared" si="396"/>
        <v>46153.450542534723</v>
      </c>
      <c r="B1727" s="46"/>
      <c r="C1727" s="260"/>
      <c r="D1727" s="46"/>
      <c r="E1727" s="47" t="s">
        <v>4411</v>
      </c>
      <c r="F1727" s="82" t="s">
        <v>314</v>
      </c>
      <c r="G1727" s="82" t="s">
        <v>315</v>
      </c>
      <c r="H1727" s="98" t="s">
        <v>6495</v>
      </c>
      <c r="I1727" s="82" t="s">
        <v>4986</v>
      </c>
      <c r="J1727" s="100" t="s">
        <v>140</v>
      </c>
      <c r="K1727" s="91">
        <v>0</v>
      </c>
      <c r="L1727" s="91">
        <v>0</v>
      </c>
      <c r="M1727" s="92">
        <v>70</v>
      </c>
      <c r="N1727" s="94">
        <v>12000</v>
      </c>
      <c r="O1727" s="92">
        <v>1</v>
      </c>
      <c r="P1727" s="94">
        <f t="shared" si="397"/>
        <v>12000</v>
      </c>
      <c r="Q1727" s="94"/>
      <c r="R1727" s="102">
        <v>12000</v>
      </c>
      <c r="S1727" s="92">
        <f t="shared" si="391"/>
        <v>0</v>
      </c>
      <c r="T1727" s="102">
        <f t="shared" si="392"/>
        <v>1234.2857142857142</v>
      </c>
      <c r="U1727" s="101">
        <f t="shared" si="393"/>
        <v>0</v>
      </c>
      <c r="V1727" s="101">
        <f t="shared" si="394"/>
        <v>0</v>
      </c>
      <c r="W1727" s="101">
        <v>0</v>
      </c>
      <c r="X1727" s="55">
        <f>A1727+K1727+L1727+V1727+W1727</f>
        <v>46153.450542534723</v>
      </c>
    </row>
    <row r="1728" spans="1:24" hidden="1" x14ac:dyDescent="0.35">
      <c r="A1728" s="46">
        <f t="shared" si="396"/>
        <v>46153.450542534723</v>
      </c>
      <c r="B1728" s="46"/>
      <c r="C1728" s="260"/>
      <c r="D1728" s="46"/>
      <c r="E1728" s="47" t="s">
        <v>4411</v>
      </c>
      <c r="F1728" s="82" t="s">
        <v>355</v>
      </c>
      <c r="G1728" s="82" t="s">
        <v>327</v>
      </c>
      <c r="H1728" s="98" t="s">
        <v>6496</v>
      </c>
      <c r="I1728" s="82" t="s">
        <v>4986</v>
      </c>
      <c r="J1728" s="100" t="s">
        <v>140</v>
      </c>
      <c r="K1728" s="91">
        <v>0</v>
      </c>
      <c r="L1728" s="91">
        <v>0</v>
      </c>
      <c r="M1728" s="92">
        <v>70</v>
      </c>
      <c r="N1728" s="94">
        <f>35000-12000</f>
        <v>23000</v>
      </c>
      <c r="O1728" s="92">
        <v>1</v>
      </c>
      <c r="P1728" s="94">
        <f t="shared" si="397"/>
        <v>23000</v>
      </c>
      <c r="Q1728" s="94"/>
      <c r="R1728" s="102">
        <f>22149+851</f>
        <v>23000</v>
      </c>
      <c r="S1728" s="92">
        <f t="shared" si="391"/>
        <v>0</v>
      </c>
      <c r="T1728" s="102">
        <f t="shared" si="392"/>
        <v>1234.2857142857142</v>
      </c>
      <c r="U1728" s="101">
        <f t="shared" si="393"/>
        <v>0</v>
      </c>
      <c r="V1728" s="101">
        <f t="shared" si="394"/>
        <v>0</v>
      </c>
      <c r="W1728" s="101">
        <v>0</v>
      </c>
      <c r="X1728" s="55">
        <f>A1728+K1728+L1728+V1728+W1728</f>
        <v>46153.450542534723</v>
      </c>
    </row>
    <row r="1729" spans="1:24" s="511" customFormat="1" hidden="1" x14ac:dyDescent="0.35">
      <c r="A1729" s="46">
        <f t="shared" si="396"/>
        <v>46153.450542534723</v>
      </c>
      <c r="B1729" s="46"/>
      <c r="C1729" s="260"/>
      <c r="D1729" s="46"/>
      <c r="E1729" s="47" t="s">
        <v>4411</v>
      </c>
      <c r="F1729" s="82" t="s">
        <v>355</v>
      </c>
      <c r="G1729" s="82" t="s">
        <v>327</v>
      </c>
      <c r="H1729" s="98" t="s">
        <v>6497</v>
      </c>
      <c r="I1729" s="82" t="s">
        <v>4986</v>
      </c>
      <c r="J1729" s="100" t="s">
        <v>140</v>
      </c>
      <c r="K1729" s="91">
        <v>0</v>
      </c>
      <c r="L1729" s="91">
        <v>0</v>
      </c>
      <c r="M1729" s="92">
        <v>70</v>
      </c>
      <c r="N1729" s="94">
        <v>9531</v>
      </c>
      <c r="O1729" s="92">
        <v>1</v>
      </c>
      <c r="P1729" s="94">
        <f t="shared" si="397"/>
        <v>9531</v>
      </c>
      <c r="Q1729" s="94"/>
      <c r="R1729" s="102">
        <v>9531</v>
      </c>
      <c r="S1729" s="92">
        <f t="shared" si="391"/>
        <v>0</v>
      </c>
      <c r="T1729" s="102">
        <f t="shared" si="392"/>
        <v>1234.2857142857142</v>
      </c>
      <c r="U1729" s="101">
        <f t="shared" si="393"/>
        <v>0</v>
      </c>
      <c r="V1729" s="101">
        <f t="shared" si="394"/>
        <v>0</v>
      </c>
      <c r="W1729" s="101">
        <v>0</v>
      </c>
      <c r="X1729" s="55">
        <f>A1729+K1729+L1729+V1729+W1729</f>
        <v>46153.450542534723</v>
      </c>
    </row>
    <row r="1730" spans="1:24" s="511" customFormat="1" hidden="1" x14ac:dyDescent="0.35">
      <c r="A1730" s="71">
        <f>X102</f>
        <v>46153.000108506945</v>
      </c>
      <c r="B1730" s="71">
        <v>46084</v>
      </c>
      <c r="C1730" s="260">
        <f>B1730-A1730</f>
        <v>-69.000108506945253</v>
      </c>
      <c r="D1730" s="260"/>
      <c r="E1730" s="47" t="s">
        <v>4411</v>
      </c>
      <c r="F1730" s="97" t="s">
        <v>3543</v>
      </c>
      <c r="G1730" s="97" t="s">
        <v>386</v>
      </c>
      <c r="H1730" s="98" t="s">
        <v>6498</v>
      </c>
      <c r="I1730" s="69" t="s">
        <v>4844</v>
      </c>
      <c r="J1730" s="100" t="s">
        <v>140</v>
      </c>
      <c r="K1730" s="91">
        <v>0</v>
      </c>
      <c r="L1730" s="91">
        <v>0</v>
      </c>
      <c r="M1730" s="92">
        <v>30</v>
      </c>
      <c r="N1730" s="94">
        <v>1300</v>
      </c>
      <c r="O1730" s="92">
        <v>1</v>
      </c>
      <c r="P1730" s="94">
        <f>N1730/O1730</f>
        <v>1300</v>
      </c>
      <c r="Q1730" s="181">
        <v>0.8</v>
      </c>
      <c r="R1730" s="102">
        <v>1300</v>
      </c>
      <c r="S1730" s="102">
        <f>P1730-R1730</f>
        <v>0</v>
      </c>
      <c r="T1730" s="173">
        <f>((3600/M1730)*O1730)*24*Q1730</f>
        <v>2304</v>
      </c>
      <c r="U1730" s="101">
        <f>(P1730-R1730)*M1730/3600/Q1730</f>
        <v>0</v>
      </c>
      <c r="V1730" s="101">
        <f>U1730/24</f>
        <v>0</v>
      </c>
      <c r="W1730" s="101">
        <v>0</v>
      </c>
      <c r="X1730" s="55">
        <f>A1730+K1730+V1730+W1730+L1730</f>
        <v>46153.000108506945</v>
      </c>
    </row>
    <row r="1731" spans="1:24" s="511" customFormat="1" ht="26.5" hidden="1" x14ac:dyDescent="0.35">
      <c r="A1731" s="71">
        <f>X1730</f>
        <v>46153.000108506945</v>
      </c>
      <c r="B1731" s="46">
        <v>46085</v>
      </c>
      <c r="C1731" s="260">
        <f>B1731-A1731</f>
        <v>-68.000108506945253</v>
      </c>
      <c r="D1731" s="46" t="s">
        <v>6499</v>
      </c>
      <c r="E1731" s="47" t="s">
        <v>5256</v>
      </c>
      <c r="F1731" s="82" t="s">
        <v>5554</v>
      </c>
      <c r="G1731" s="453" t="s">
        <v>398</v>
      </c>
      <c r="H1731" s="107" t="s">
        <v>6500</v>
      </c>
      <c r="I1731" s="82" t="s">
        <v>3495</v>
      </c>
      <c r="J1731" s="100" t="s">
        <v>140</v>
      </c>
      <c r="K1731" s="91">
        <v>0</v>
      </c>
      <c r="L1731" s="91">
        <v>0</v>
      </c>
      <c r="M1731" s="92">
        <v>35</v>
      </c>
      <c r="N1731" s="92">
        <v>30000</v>
      </c>
      <c r="O1731" s="92">
        <v>1</v>
      </c>
      <c r="P1731" s="92">
        <f>N1731/O1731</f>
        <v>30000</v>
      </c>
      <c r="Q1731" s="181">
        <v>0.8</v>
      </c>
      <c r="R1731" s="92">
        <v>30000</v>
      </c>
      <c r="S1731" s="103">
        <f>P1731-R1731</f>
        <v>0</v>
      </c>
      <c r="T1731" s="173">
        <f>((3600/M1731)*O1731)*24*Q1731</f>
        <v>1974.8571428571429</v>
      </c>
      <c r="U1731" s="101">
        <f>(P1731-R1731)*M1731/3600/Q1731</f>
        <v>0</v>
      </c>
      <c r="V1731" s="101">
        <f>U1731/24</f>
        <v>0</v>
      </c>
      <c r="W1731" s="101">
        <v>0</v>
      </c>
      <c r="X1731" s="55">
        <f>A1731+K1731+L1731+V1731+W1731</f>
        <v>46153.000108506945</v>
      </c>
    </row>
    <row r="1732" spans="1:24" s="178" customFormat="1" x14ac:dyDescent="0.35">
      <c r="A1732" s="1072"/>
      <c r="B1732" s="1072"/>
      <c r="C1732" s="1073"/>
      <c r="D1732" s="1072"/>
      <c r="E1732" s="1074"/>
      <c r="F1732" s="1075"/>
      <c r="G1732" s="1076"/>
      <c r="H1732" s="1077"/>
      <c r="I1732" s="1075"/>
      <c r="J1732" s="1078"/>
      <c r="K1732" s="1079"/>
      <c r="L1732" s="1079"/>
      <c r="M1732" s="1080"/>
      <c r="N1732" s="1080"/>
      <c r="O1732" s="1080"/>
      <c r="P1732" s="1080"/>
      <c r="Q1732" s="1081"/>
      <c r="R1732" s="1080"/>
      <c r="S1732" s="1082"/>
      <c r="T1732" s="1083"/>
      <c r="U1732" s="1084"/>
      <c r="V1732" s="1084"/>
      <c r="W1732" s="1084"/>
      <c r="X1732" s="1085"/>
    </row>
    <row r="1733" spans="1:24" s="243" customFormat="1" x14ac:dyDescent="0.35">
      <c r="A1733" s="1086"/>
      <c r="B1733" s="1086"/>
      <c r="C1733" s="1087"/>
      <c r="D1733" s="1086"/>
      <c r="E1733" s="1088"/>
      <c r="F1733" s="1089"/>
      <c r="G1733" s="1090"/>
      <c r="H1733" s="1091"/>
      <c r="I1733" s="1089"/>
      <c r="J1733" s="1092"/>
      <c r="K1733" s="1093"/>
      <c r="L1733" s="1093"/>
      <c r="M1733" s="1094"/>
      <c r="N1733" s="1094"/>
      <c r="O1733" s="1094"/>
      <c r="P1733" s="1094"/>
      <c r="Q1733" s="1095"/>
      <c r="R1733" s="1094"/>
      <c r="S1733" s="1096"/>
      <c r="T1733" s="1097"/>
      <c r="U1733" s="1098"/>
      <c r="V1733" s="1098"/>
      <c r="W1733" s="1098"/>
      <c r="X1733" s="1099"/>
    </row>
  </sheetData>
  <mergeCells count="20">
    <mergeCell ref="A1:F2"/>
    <mergeCell ref="G1:H1"/>
    <mergeCell ref="K1:N1"/>
    <mergeCell ref="O1:R1"/>
    <mergeCell ref="S1:X1"/>
    <mergeCell ref="G2:N2"/>
    <mergeCell ref="O2:R2"/>
    <mergeCell ref="S2:X2"/>
    <mergeCell ref="A4:F5"/>
    <mergeCell ref="G4:I4"/>
    <mergeCell ref="J4:P4"/>
    <mergeCell ref="R4:X4"/>
    <mergeCell ref="G5:I5"/>
    <mergeCell ref="J5:P5"/>
    <mergeCell ref="R5:X5"/>
    <mergeCell ref="A7:R7"/>
    <mergeCell ref="S7:X7"/>
    <mergeCell ref="A9:X9"/>
    <mergeCell ref="A147:X147"/>
    <mergeCell ref="A922:X922"/>
  </mergeCells>
  <conditionalFormatting sqref="A7:D7">
    <cfRule type="cellIs" dxfId="43" priority="28" operator="lessThan">
      <formula>#REF!</formula>
    </cfRule>
    <cfRule type="cellIs" dxfId="42" priority="29" operator="greaterThan">
      <formula>#REF!</formula>
    </cfRule>
    <cfRule type="cellIs" dxfId="41" priority="30" operator="lessThan">
      <formula>0</formula>
    </cfRule>
  </conditionalFormatting>
  <conditionalFormatting sqref="C25:C26 C61:C62 C69:D81 C88:C89 C106:C111 C121:D132 F129 C141:D146 F142:F144 C370:D378 C629:D636 C637:C639 D639 C918:C920 C1295:D1295">
    <cfRule type="cellIs" dxfId="40" priority="7" operator="lessThan">
      <formula>-0.5</formula>
    </cfRule>
  </conditionalFormatting>
  <conditionalFormatting sqref="C1045">
    <cfRule type="cellIs" dxfId="39" priority="14" operator="lessThan">
      <formula>-0.5</formula>
    </cfRule>
  </conditionalFormatting>
  <conditionalFormatting sqref="C1296">
    <cfRule type="cellIs" dxfId="38" priority="2" operator="lessThan">
      <formula>-0.5</formula>
    </cfRule>
  </conditionalFormatting>
  <conditionalFormatting sqref="C1474:C1475">
    <cfRule type="cellIs" dxfId="37" priority="11" operator="lessThan">
      <formula>-0.5</formula>
    </cfRule>
  </conditionalFormatting>
  <conditionalFormatting sqref="C8:D8">
    <cfRule type="cellIs" dxfId="36" priority="27" operator="greaterThan">
      <formula>".5"</formula>
    </cfRule>
  </conditionalFormatting>
  <conditionalFormatting sqref="C13:D23">
    <cfRule type="cellIs" dxfId="35" priority="13" operator="lessThan">
      <formula>-0.5</formula>
    </cfRule>
  </conditionalFormatting>
  <conditionalFormatting sqref="C26:D26 C43:D46 C268:D269 C910:D917">
    <cfRule type="cellIs" dxfId="34" priority="6" operator="lessThan">
      <formula>-0.5</formula>
    </cfRule>
  </conditionalFormatting>
  <conditionalFormatting sqref="C34:D39 C909 C1462:D1473 C1608:C1613">
    <cfRule type="cellIs" dxfId="33" priority="24" operator="lessThan">
      <formula>-0.5</formula>
    </cfRule>
  </conditionalFormatting>
  <conditionalFormatting sqref="C49:D55 C116:D119 C1607:D1607">
    <cfRule type="cellIs" dxfId="32" priority="26" operator="lessThan">
      <formula>-0.5</formula>
    </cfRule>
  </conditionalFormatting>
  <conditionalFormatting sqref="C89:D93">
    <cfRule type="cellIs" dxfId="31" priority="5" operator="lessThan">
      <formula>-0.5</formula>
    </cfRule>
  </conditionalFormatting>
  <conditionalFormatting sqref="C98:D111">
    <cfRule type="cellIs" dxfId="30" priority="8" operator="lessThan">
      <formula>-0.5</formula>
    </cfRule>
  </conditionalFormatting>
  <conditionalFormatting sqref="C259:D265">
    <cfRule type="cellIs" dxfId="29" priority="15" operator="lessThan">
      <formula>-0.5</formula>
    </cfRule>
  </conditionalFormatting>
  <conditionalFormatting sqref="C490:D493">
    <cfRule type="cellIs" dxfId="28" priority="17" operator="lessThan">
      <formula>-0.5</formula>
    </cfRule>
  </conditionalFormatting>
  <conditionalFormatting sqref="C723:D733">
    <cfRule type="cellIs" dxfId="27" priority="3" operator="lessThan">
      <formula>-0.5</formula>
    </cfRule>
  </conditionalFormatting>
  <conditionalFormatting sqref="C901:D908">
    <cfRule type="cellIs" dxfId="26" priority="23" operator="lessThan">
      <formula>-0.5</formula>
    </cfRule>
  </conditionalFormatting>
  <conditionalFormatting sqref="C920:D921">
    <cfRule type="cellIs" dxfId="25" priority="10" operator="lessThan">
      <formula>-0.5</formula>
    </cfRule>
  </conditionalFormatting>
  <conditionalFormatting sqref="C1036:D1049">
    <cfRule type="cellIs" dxfId="24" priority="16" operator="lessThan">
      <formula>-0.5</formula>
    </cfRule>
  </conditionalFormatting>
  <conditionalFormatting sqref="C1476:D1476">
    <cfRule type="cellIs" dxfId="23" priority="1" operator="lessThan">
      <formula>-0.5</formula>
    </cfRule>
  </conditionalFormatting>
  <conditionalFormatting sqref="C1609:D1612">
    <cfRule type="cellIs" dxfId="22" priority="20" operator="lessThan">
      <formula>-0.5</formula>
    </cfRule>
  </conditionalFormatting>
  <conditionalFormatting sqref="C1614:D1618">
    <cfRule type="cellIs" dxfId="21" priority="19" operator="lessThan">
      <formula>-0.5</formula>
    </cfRule>
  </conditionalFormatting>
  <conditionalFormatting sqref="C40:E45 C58:D61 C85:D87 F731:F733 C1155:D1160 C1283:D1293">
    <cfRule type="cellIs" dxfId="20" priority="18" operator="lessThan">
      <formula>-0.5</formula>
    </cfRule>
  </conditionalFormatting>
  <conditionalFormatting sqref="C84:E84">
    <cfRule type="cellIs" dxfId="19" priority="22" operator="lessThan">
      <formula>-0.5</formula>
    </cfRule>
  </conditionalFormatting>
  <conditionalFormatting sqref="D56:D61">
    <cfRule type="cellIs" dxfId="18" priority="21" operator="lessThan">
      <formula>-0.5</formula>
    </cfRule>
  </conditionalFormatting>
  <conditionalFormatting sqref="E1045 C1730:D1731">
    <cfRule type="cellIs" dxfId="17" priority="12" operator="lessThan">
      <formula>-0.5</formula>
    </cfRule>
  </conditionalFormatting>
  <conditionalFormatting sqref="F104:F111">
    <cfRule type="cellIs" dxfId="16" priority="9" operator="lessThan">
      <formula>-0.5</formula>
    </cfRule>
  </conditionalFormatting>
  <conditionalFormatting sqref="X1:X13 X15:X22 X24:X37 X43:X45 X47:X83 X85:X87 X127:X144 X147:X1475 X1477:X1048576">
    <cfRule type="timePeriod" dxfId="15" priority="25" timePeriod="nextMonth">
      <formula>AND(MONTH(X1)=MONTH(EDATE(TODAY(),0+1)),YEAR(X1)=YEAR(EDATE(TODAY(),0+1)))</formula>
    </cfRule>
  </conditionalFormatting>
  <conditionalFormatting sqref="X89:X125">
    <cfRule type="timePeriod" dxfId="14" priority="4" timePeriod="nextMonth">
      <formula>AND(MONTH(X89)=MONTH(EDATE(TODAY(),0+1)),YEAR(X89)=YEAR(EDATE(TODAY(),0+1)))</formula>
    </cfRule>
  </conditionalFormatting>
  <dataValidations count="2">
    <dataValidation type="list" allowBlank="1" showInputMessage="1" showErrorMessage="1" sqref="N1552:N1563 N936:O936 O937:O940 N941:O941 N1313:N1322 N1219:O1221 N1689:O1689 N991:O991 N1104:O1104 N436:N442 N1694:N1700 N1702:O1702 N555:N561 N561:O564 N1544:O1544 N1540:N1544 N439:O448 N452:O452 N1000:O1002 N699:O700 N1703 N835:O835 N1233:O1233 N566:N568 N450:N452 N570 N454:O454 N1007:O1007 N211:N217 N572:N575 N840:N841 N1711:N1712 N1709:O1709 N708:O708 N841:O842 N1712:O1712 N844:N846 N1420:O1421 N337:N338 N326:O336 N218:O230 N848:N852 N1010:N1016 N577:O587 N457:O468 N470:O471 N1565:O1568 N710:O714 N1121:N1122 N850:O853 N856:O856 N1235:N1254 N1560:O1563 T8 O231:O245 S1140:T1140 S867:S868 S876 S1142:T1142 O868:O878 S359:T359 O880:O881 S247:T250 S880:T883 S1146:T1147 O923:O935 O148:O217 T148:T245 S887:S888 T251:T252 O249:O252 S252 S253:T253 O883:O890 S134 S29:T29 N1453:N1457 S1151:S1152 S113:T114 S1449:T1458 S892:S896 T1459:T1460 S1153:T1153 T10:T12 S137:T138 T139 S1296:T1447 S1161:T1282 T1602:T1604 S48:T48 S140:T140 S899:T900 S67:T68 T47 S365:S369 S898:S900 T64:T66 O892:O901 T254:T258 S32:S33 S95:T97 T884:T900 T923:T1035 T1154 S1461:T1461 S1605:T1606 T1050:T1152 O942:O1037 T270:T369 O903:O906 O1161:O1285 O254:O258 O1474:O1601 O50:O53 S494:T628 O1449:O1469 T82:T83 S725:T725 O725 S731:S733 S83 T1614 T94:T95 S15 T379:T490 O1050:O1153 O142 N123:N124 S119:S125 O116:O126 N1618:O1618 T908:T909 O494:O632 T1619:T1730 O1603:O1614 O82:O83 N81:O81 S73:S76 S127:S132 O727:O730 O10:O22 O94:O98 S907:S911 O1291:O1446 S85:S87 T911 T734:T881 N101:O103 S102:S111 S1614:S1618 O43 T1732:T1751 O25:O39 O1619:O1731 O85:O87 O1044 N27 T27:T33 S378:S493 O843:O866 S1044:S1046 O1046 N89:O89 T133:T136 S89:S90 O90 O45:O48 O734:O841 O262:O371 T105:T112 O56:O72 S142:S144 N144:O144 O77:O80 O376:O489 S80:S81 O133:O140 O908:O921 N127:O132 S914:T921 S1477:T1601 O104:O114 O634:O723 S640:T722" xr:uid="{AA638508-3BD3-4C03-9C2E-09F042B6A4B7}">
      <formula1>"Finished Goods - DC, Parts/Components - Assembly Store, Parts/Components - Assembly at a Machine"</formula1>
    </dataValidation>
    <dataValidation type="list" allowBlank="1" showInputMessage="1" showErrorMessage="1" sqref="J484 J1439 J371 J49:J53 J118:J119 J1449:J1457 J895:J896 J135:J137 J898:J899 J139:J140 J1605:J1607 M15:M22 J725 J908 M1291 J127:J132 J1609:J1612 J123:J125 J374:J377 M126 J1288:J1291 M38:M39 J60:J61 M58:M61 J262:J264 J79:J81 J910:J911 M46 J43:J44 M1295 J1044:J1046 J920:J921 J89 J105:J111 M144:M146 M130 J144 J914:J917 J1614:J1618 M1476 J633:J639" xr:uid="{BDD3DE63-62F2-4B30-A458-862F95464012}">
      <formula1>"BLACK - 1.0M X 1.2M LOCAL, BLUE - 1.2M X 1.0M EXPORT, GREEN - 1.1M X 1.0M EXPORT, RED - 1.0M X 0.9M EXPORT, YELLOW - 1.6. X 0.75M - BATHTUB"</formula1>
    </dataValidation>
  </dataValidations>
  <hyperlinks>
    <hyperlink ref="J1490" r:id="rId1" location="id=7524&amp;model=product.product" display="https://pimmsv14.odoo.com/web - id=7524&amp;model=product.product" xr:uid="{2092018D-D13D-44AB-8A1B-19EA9AD0AB7D}"/>
    <hyperlink ref="J1501" r:id="rId2" location="id=7524&amp;model=product.product" display="https://pimmsv14.odoo.com/web - id=7524&amp;model=product.product" xr:uid="{C7725F35-61CD-41D8-AC71-4803167B7EAE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FCD10-412B-4D8E-B07C-033CFC9BEB2C}">
  <dimension ref="A1:AN437"/>
  <sheetViews>
    <sheetView tabSelected="1" topLeftCell="A2" workbookViewId="0">
      <selection activeCell="X120" sqref="X120"/>
    </sheetView>
  </sheetViews>
  <sheetFormatPr defaultColWidth="27.26953125" defaultRowHeight="14.5" x14ac:dyDescent="0.35"/>
  <cols>
    <col min="1" max="1" width="22.26953125" customWidth="1"/>
    <col min="2" max="2" width="25.7265625" bestFit="1" customWidth="1"/>
    <col min="3" max="3" width="5.7265625" bestFit="1" customWidth="1"/>
    <col min="4" max="4" width="27.453125" bestFit="1" customWidth="1"/>
    <col min="5" max="5" width="8.81640625" bestFit="1" customWidth="1"/>
    <col min="6" max="6" width="20.7265625" customWidth="1"/>
    <col min="7" max="7" width="10.7265625" customWidth="1"/>
    <col min="8" max="8" width="14.7265625" customWidth="1"/>
    <col min="9" max="9" width="63.54296875" style="118" customWidth="1"/>
    <col min="10" max="10" width="23.54296875" customWidth="1"/>
    <col min="11" max="11" width="9.1796875" customWidth="1"/>
    <col min="12" max="12" width="7.81640625" customWidth="1"/>
    <col min="13" max="13" width="9.26953125" customWidth="1"/>
    <col min="14" max="14" width="8.7265625" style="3" customWidth="1"/>
    <col min="15" max="15" width="8.453125" customWidth="1"/>
    <col min="16" max="17" width="8.54296875" customWidth="1"/>
    <col min="18" max="18" width="9.453125" style="3" customWidth="1"/>
    <col min="19" max="19" width="7.7265625" style="3" customWidth="1"/>
    <col min="20" max="20" width="9.26953125" customWidth="1"/>
    <col min="21" max="23" width="7.7265625" customWidth="1"/>
    <col min="24" max="24" width="30.7265625" customWidth="1"/>
    <col min="25" max="25" width="4.26953125" customWidth="1"/>
  </cols>
  <sheetData>
    <row r="1" spans="1:40" ht="60" customHeight="1" thickBot="1" x14ac:dyDescent="0.65">
      <c r="A1" s="1192"/>
      <c r="B1" s="1193"/>
      <c r="C1" s="1193"/>
      <c r="D1" s="1193"/>
      <c r="E1" s="1193"/>
      <c r="F1" s="1194"/>
      <c r="G1" s="1198" t="s">
        <v>0</v>
      </c>
      <c r="H1" s="1199"/>
      <c r="I1" s="1">
        <f>S7</f>
        <v>46153</v>
      </c>
      <c r="J1" s="2" t="s">
        <v>1</v>
      </c>
      <c r="K1" s="1200" t="s">
        <v>6501</v>
      </c>
      <c r="L1" s="1201"/>
      <c r="M1" s="1201"/>
      <c r="N1" s="1202"/>
      <c r="O1" s="1203" t="s">
        <v>3</v>
      </c>
      <c r="P1" s="1203"/>
      <c r="Q1" s="1203"/>
      <c r="R1" s="1204"/>
      <c r="S1" s="1205" t="s">
        <v>4</v>
      </c>
      <c r="T1" s="1206"/>
      <c r="U1" s="1206"/>
      <c r="V1" s="1206"/>
      <c r="W1" s="1206"/>
      <c r="X1" s="1207"/>
    </row>
    <row r="2" spans="1:40" ht="60" customHeight="1" thickBot="1" x14ac:dyDescent="0.9">
      <c r="A2" s="1195"/>
      <c r="B2" s="1196"/>
      <c r="C2" s="1196"/>
      <c r="D2" s="1196"/>
      <c r="E2" s="1196"/>
      <c r="F2" s="1197"/>
      <c r="G2" s="1208" t="s">
        <v>5</v>
      </c>
      <c r="H2" s="1209"/>
      <c r="I2" s="1209"/>
      <c r="J2" s="1209"/>
      <c r="K2" s="1209"/>
      <c r="L2" s="1209"/>
      <c r="M2" s="1209"/>
      <c r="N2" s="1210"/>
      <c r="O2" s="1211" t="s">
        <v>6</v>
      </c>
      <c r="P2" s="1203"/>
      <c r="Q2" s="1203"/>
      <c r="R2" s="1204"/>
      <c r="S2" s="1212" t="s">
        <v>7</v>
      </c>
      <c r="T2" s="1213"/>
      <c r="U2" s="1213"/>
      <c r="V2" s="1213"/>
      <c r="W2" s="1213"/>
      <c r="X2" s="1214"/>
    </row>
    <row r="3" spans="1:40" ht="7.9" customHeight="1" thickBot="1" x14ac:dyDescent="0.4">
      <c r="I3"/>
      <c r="N3"/>
      <c r="R3"/>
      <c r="S3"/>
    </row>
    <row r="4" spans="1:40" ht="27.65" customHeight="1" thickBot="1" x14ac:dyDescent="0.6">
      <c r="A4" s="1168" t="s">
        <v>8</v>
      </c>
      <c r="B4" s="1169"/>
      <c r="C4" s="1169"/>
      <c r="D4" s="1169"/>
      <c r="E4" s="1169"/>
      <c r="F4" s="1170"/>
      <c r="G4" s="1174" t="s">
        <v>9</v>
      </c>
      <c r="H4" s="1175"/>
      <c r="I4" s="1176"/>
      <c r="J4" s="1177" t="s">
        <v>10</v>
      </c>
      <c r="K4" s="1178"/>
      <c r="L4" s="1178"/>
      <c r="M4" s="1178"/>
      <c r="N4" s="1178"/>
      <c r="O4" s="1178"/>
      <c r="P4" s="1179"/>
      <c r="Q4" s="778"/>
      <c r="R4" s="1180" t="s">
        <v>11</v>
      </c>
      <c r="S4" s="1181"/>
      <c r="T4" s="1181"/>
      <c r="U4" s="1181"/>
      <c r="V4" s="1181"/>
      <c r="W4" s="1181"/>
      <c r="X4" s="1182"/>
    </row>
    <row r="5" spans="1:40" ht="27.65" customHeight="1" thickBot="1" x14ac:dyDescent="0.6">
      <c r="A5" s="1171"/>
      <c r="B5" s="1172"/>
      <c r="C5" s="1172"/>
      <c r="D5" s="1172"/>
      <c r="E5" s="1172"/>
      <c r="F5" s="1173"/>
      <c r="G5" s="1183" t="s">
        <v>12</v>
      </c>
      <c r="H5" s="1184"/>
      <c r="I5" s="1185"/>
      <c r="J5" s="1186" t="s">
        <v>13</v>
      </c>
      <c r="K5" s="1187"/>
      <c r="L5" s="1187"/>
      <c r="M5" s="1187"/>
      <c r="N5" s="1187"/>
      <c r="O5" s="1187"/>
      <c r="P5" s="1188"/>
      <c r="Q5" s="779"/>
      <c r="R5" s="1189" t="s">
        <v>14</v>
      </c>
      <c r="S5" s="1190"/>
      <c r="T5" s="1190"/>
      <c r="U5" s="1190"/>
      <c r="V5" s="1190"/>
      <c r="W5" s="1190"/>
      <c r="X5" s="1191"/>
    </row>
    <row r="6" spans="1:40" ht="15" thickBot="1" x14ac:dyDescent="0.4">
      <c r="A6" s="780"/>
      <c r="B6" s="781"/>
      <c r="C6" s="781"/>
      <c r="D6" s="781"/>
      <c r="E6" s="781"/>
      <c r="F6" s="781"/>
      <c r="G6" s="783"/>
      <c r="H6" s="783"/>
      <c r="I6" s="784"/>
      <c r="J6" s="783"/>
      <c r="K6" s="783"/>
      <c r="L6" s="783"/>
      <c r="M6" s="783"/>
      <c r="N6" s="783"/>
      <c r="O6" s="783"/>
      <c r="P6" s="783"/>
      <c r="Q6" s="783"/>
      <c r="R6" s="783"/>
      <c r="S6" s="783"/>
      <c r="T6" s="783"/>
      <c r="U6" s="783"/>
      <c r="V6" s="783"/>
      <c r="W6" s="783"/>
      <c r="X6" s="785"/>
    </row>
    <row r="7" spans="1:40" ht="26.5" thickBot="1" x14ac:dyDescent="0.65">
      <c r="A7" s="1162" t="s">
        <v>15</v>
      </c>
      <c r="B7" s="1163"/>
      <c r="C7" s="1163"/>
      <c r="D7" s="1163"/>
      <c r="E7" s="1163"/>
      <c r="F7" s="1163"/>
      <c r="G7" s="1163"/>
      <c r="H7" s="1163"/>
      <c r="I7" s="1163"/>
      <c r="J7" s="1163"/>
      <c r="K7" s="1163"/>
      <c r="L7" s="1163"/>
      <c r="M7" s="1163"/>
      <c r="N7" s="1163"/>
      <c r="O7" s="1163"/>
      <c r="P7" s="1163"/>
      <c r="Q7" s="1163"/>
      <c r="R7" s="1164"/>
      <c r="S7" s="1165">
        <v>46153</v>
      </c>
      <c r="T7" s="1166"/>
      <c r="U7" s="1166"/>
      <c r="V7" s="1166"/>
      <c r="W7" s="1166"/>
      <c r="X7" s="1167"/>
    </row>
    <row r="8" spans="1:40" ht="29.5" thickBot="1" x14ac:dyDescent="0.4">
      <c r="A8" s="8" t="s">
        <v>16</v>
      </c>
      <c r="B8" s="9" t="s">
        <v>17</v>
      </c>
      <c r="C8" s="10" t="s">
        <v>18</v>
      </c>
      <c r="D8" s="10" t="s">
        <v>4267</v>
      </c>
      <c r="E8" s="8" t="s">
        <v>20</v>
      </c>
      <c r="F8" s="11" t="s">
        <v>21</v>
      </c>
      <c r="G8" s="12" t="s">
        <v>22</v>
      </c>
      <c r="H8" s="13" t="s">
        <v>23</v>
      </c>
      <c r="I8" s="11" t="s">
        <v>24</v>
      </c>
      <c r="J8" s="14" t="s">
        <v>25</v>
      </c>
      <c r="K8" s="15" t="s">
        <v>26</v>
      </c>
      <c r="L8" s="16" t="s">
        <v>27</v>
      </c>
      <c r="M8" s="17" t="s">
        <v>28</v>
      </c>
      <c r="N8" s="18" t="s">
        <v>29</v>
      </c>
      <c r="O8" s="17" t="s">
        <v>30</v>
      </c>
      <c r="P8" s="19" t="s">
        <v>31</v>
      </c>
      <c r="Q8" s="20" t="s">
        <v>32</v>
      </c>
      <c r="R8" s="18">
        <v>70</v>
      </c>
      <c r="S8" s="17">
        <v>0</v>
      </c>
      <c r="T8" s="18" t="s">
        <v>34</v>
      </c>
      <c r="U8" s="12" t="s">
        <v>35</v>
      </c>
      <c r="V8" s="21" t="s">
        <v>36</v>
      </c>
      <c r="W8" s="12" t="s">
        <v>37</v>
      </c>
      <c r="X8" s="22" t="s">
        <v>38</v>
      </c>
    </row>
    <row r="9" spans="1:40" s="118" customFormat="1" ht="45" x14ac:dyDescent="0.8">
      <c r="A9" s="1100" t="s">
        <v>4384</v>
      </c>
      <c r="B9" s="1100"/>
      <c r="C9" s="1100"/>
      <c r="D9" s="1100"/>
      <c r="E9" s="718"/>
      <c r="F9" s="389"/>
      <c r="G9" s="389"/>
      <c r="H9" s="311" t="s">
        <v>4269</v>
      </c>
      <c r="I9" s="214"/>
      <c r="J9" s="40"/>
      <c r="K9" s="1101"/>
      <c r="L9" s="1101"/>
      <c r="M9" s="1102"/>
      <c r="N9" s="1103"/>
      <c r="O9" s="37"/>
      <c r="P9" s="37"/>
      <c r="Q9" s="37"/>
      <c r="R9" s="1103"/>
      <c r="S9" s="37"/>
      <c r="T9" s="37"/>
      <c r="U9" s="37"/>
      <c r="V9" s="37"/>
      <c r="W9" s="37"/>
      <c r="X9" s="1104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</row>
    <row r="10" spans="1:40" s="118" customFormat="1" hidden="1" x14ac:dyDescent="0.35">
      <c r="A10" s="71">
        <f>S7</f>
        <v>46153</v>
      </c>
      <c r="B10" s="71"/>
      <c r="C10" s="71"/>
      <c r="D10" s="71"/>
      <c r="E10" s="119" t="s">
        <v>4790</v>
      </c>
      <c r="F10" s="48" t="s">
        <v>55</v>
      </c>
      <c r="G10" s="48"/>
      <c r="H10" s="49">
        <v>7560</v>
      </c>
      <c r="I10" s="106" t="s">
        <v>6502</v>
      </c>
      <c r="J10" s="100"/>
      <c r="K10" s="84">
        <v>0</v>
      </c>
      <c r="L10" s="84">
        <v>0</v>
      </c>
      <c r="M10" s="83">
        <v>50</v>
      </c>
      <c r="N10" s="223">
        <v>2880</v>
      </c>
      <c r="O10" s="83">
        <v>2</v>
      </c>
      <c r="P10" s="83">
        <f>N10/O10</f>
        <v>1440</v>
      </c>
      <c r="Q10" s="83"/>
      <c r="R10" s="223">
        <v>1440</v>
      </c>
      <c r="S10" s="223">
        <f t="shared" ref="S10:S44" si="0">P10-R10</f>
        <v>0</v>
      </c>
      <c r="T10" s="83">
        <f t="shared" ref="T10:T73" si="1">((3600/M10)*O10)*24</f>
        <v>3456</v>
      </c>
      <c r="U10" s="84">
        <f t="shared" ref="U10:U73" si="2">(P10-R10)*M10/3600</f>
        <v>0</v>
      </c>
      <c r="V10" s="84">
        <f t="shared" ref="V10:V73" si="3">(P10-R10)*M10/3600/24</f>
        <v>0</v>
      </c>
      <c r="W10" s="84">
        <v>0</v>
      </c>
      <c r="X10" s="255">
        <f t="shared" ref="X10:X73" si="4">A10+K10+L10+V10+W10</f>
        <v>46153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</row>
    <row r="11" spans="1:40" s="118" customFormat="1" hidden="1" x14ac:dyDescent="0.35">
      <c r="A11" s="71">
        <f t="shared" ref="A11:A74" si="5">X10</f>
        <v>46153</v>
      </c>
      <c r="B11" s="71"/>
      <c r="C11" s="71"/>
      <c r="D11" s="71"/>
      <c r="E11" s="119" t="s">
        <v>4790</v>
      </c>
      <c r="F11" s="48" t="s">
        <v>55</v>
      </c>
      <c r="G11" s="48"/>
      <c r="H11" s="49">
        <v>7562</v>
      </c>
      <c r="I11" s="106" t="s">
        <v>6503</v>
      </c>
      <c r="J11" s="100"/>
      <c r="K11" s="84">
        <v>0</v>
      </c>
      <c r="L11" s="84">
        <v>0</v>
      </c>
      <c r="M11" s="83">
        <v>50</v>
      </c>
      <c r="N11" s="223">
        <v>2880</v>
      </c>
      <c r="O11" s="83">
        <v>2</v>
      </c>
      <c r="P11" s="83">
        <v>1512</v>
      </c>
      <c r="Q11" s="83"/>
      <c r="R11" s="223">
        <v>1512</v>
      </c>
      <c r="S11" s="223">
        <f t="shared" si="0"/>
        <v>0</v>
      </c>
      <c r="T11" s="83">
        <f t="shared" si="1"/>
        <v>3456</v>
      </c>
      <c r="U11" s="84">
        <f t="shared" si="2"/>
        <v>0</v>
      </c>
      <c r="V11" s="84">
        <f t="shared" si="3"/>
        <v>0</v>
      </c>
      <c r="W11" s="84">
        <v>0</v>
      </c>
      <c r="X11" s="255">
        <f t="shared" si="4"/>
        <v>46153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</row>
    <row r="12" spans="1:40" s="118" customFormat="1" ht="29" hidden="1" x14ac:dyDescent="0.35">
      <c r="A12" s="71">
        <f t="shared" si="5"/>
        <v>46153</v>
      </c>
      <c r="B12" s="71"/>
      <c r="C12" s="71"/>
      <c r="D12" s="71"/>
      <c r="E12" s="119" t="s">
        <v>4790</v>
      </c>
      <c r="F12" s="48" t="s">
        <v>55</v>
      </c>
      <c r="G12" s="48"/>
      <c r="H12" s="59" t="s">
        <v>6504</v>
      </c>
      <c r="I12" s="82" t="s">
        <v>6505</v>
      </c>
      <c r="J12" s="100"/>
      <c r="K12" s="84">
        <v>0</v>
      </c>
      <c r="L12" s="84">
        <v>0</v>
      </c>
      <c r="M12" s="83">
        <v>111</v>
      </c>
      <c r="N12" s="223">
        <v>4000</v>
      </c>
      <c r="O12" s="83">
        <v>1</v>
      </c>
      <c r="P12" s="83">
        <f>N12/O12</f>
        <v>4000</v>
      </c>
      <c r="Q12" s="83"/>
      <c r="R12" s="223">
        <v>4000</v>
      </c>
      <c r="S12" s="223">
        <f t="shared" si="0"/>
        <v>0</v>
      </c>
      <c r="T12" s="83">
        <f t="shared" si="1"/>
        <v>778.37837837837844</v>
      </c>
      <c r="U12" s="84">
        <f t="shared" si="2"/>
        <v>0</v>
      </c>
      <c r="V12" s="84">
        <f t="shared" si="3"/>
        <v>0</v>
      </c>
      <c r="W12" s="84">
        <v>0</v>
      </c>
      <c r="X12" s="255">
        <f t="shared" si="4"/>
        <v>46153</v>
      </c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</row>
    <row r="13" spans="1:40" s="118" customFormat="1" ht="29" hidden="1" x14ac:dyDescent="0.35">
      <c r="A13" s="71">
        <f t="shared" si="5"/>
        <v>46153</v>
      </c>
      <c r="B13" s="71"/>
      <c r="C13" s="71"/>
      <c r="D13" s="71"/>
      <c r="E13" s="119" t="s">
        <v>4790</v>
      </c>
      <c r="F13" s="48" t="s">
        <v>6506</v>
      </c>
      <c r="G13" s="48"/>
      <c r="H13" s="59" t="s">
        <v>6504</v>
      </c>
      <c r="I13" s="82" t="s">
        <v>6505</v>
      </c>
      <c r="J13" s="100"/>
      <c r="K13" s="84">
        <v>0</v>
      </c>
      <c r="L13" s="84">
        <v>0</v>
      </c>
      <c r="M13" s="83">
        <v>111</v>
      </c>
      <c r="N13" s="223">
        <v>7500</v>
      </c>
      <c r="O13" s="83">
        <v>1</v>
      </c>
      <c r="P13" s="83">
        <f>N13/O13</f>
        <v>7500</v>
      </c>
      <c r="Q13" s="83"/>
      <c r="R13" s="223">
        <v>7500</v>
      </c>
      <c r="S13" s="223">
        <f t="shared" si="0"/>
        <v>0</v>
      </c>
      <c r="T13" s="83">
        <f t="shared" si="1"/>
        <v>778.37837837837844</v>
      </c>
      <c r="U13" s="84">
        <f t="shared" si="2"/>
        <v>0</v>
      </c>
      <c r="V13" s="84">
        <f t="shared" si="3"/>
        <v>0</v>
      </c>
      <c r="W13" s="84">
        <v>0</v>
      </c>
      <c r="X13" s="255">
        <f t="shared" si="4"/>
        <v>46153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</row>
    <row r="14" spans="1:40" s="118" customFormat="1" ht="29" hidden="1" x14ac:dyDescent="0.35">
      <c r="A14" s="71">
        <f t="shared" si="5"/>
        <v>46153</v>
      </c>
      <c r="B14" s="71"/>
      <c r="C14" s="71"/>
      <c r="D14" s="71"/>
      <c r="E14" s="119" t="s">
        <v>4790</v>
      </c>
      <c r="F14" s="48" t="s">
        <v>6507</v>
      </c>
      <c r="G14" s="48"/>
      <c r="H14" s="59" t="s">
        <v>4977</v>
      </c>
      <c r="I14" s="82" t="s">
        <v>6505</v>
      </c>
      <c r="J14" s="100"/>
      <c r="K14" s="84">
        <v>0</v>
      </c>
      <c r="L14" s="84">
        <v>0</v>
      </c>
      <c r="M14" s="83">
        <v>105</v>
      </c>
      <c r="N14" s="223">
        <v>9100</v>
      </c>
      <c r="O14" s="83">
        <v>1</v>
      </c>
      <c r="P14" s="83">
        <v>3673</v>
      </c>
      <c r="Q14" s="83"/>
      <c r="R14" s="223">
        <f>-4000-7500+15173</f>
        <v>3673</v>
      </c>
      <c r="S14" s="223">
        <f t="shared" si="0"/>
        <v>0</v>
      </c>
      <c r="T14" s="83">
        <f t="shared" si="1"/>
        <v>822.85714285714289</v>
      </c>
      <c r="U14" s="84">
        <f t="shared" si="2"/>
        <v>0</v>
      </c>
      <c r="V14" s="84">
        <f t="shared" si="3"/>
        <v>0</v>
      </c>
      <c r="W14" s="84">
        <v>0</v>
      </c>
      <c r="X14" s="255">
        <f t="shared" si="4"/>
        <v>46153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</row>
    <row r="15" spans="1:40" s="118" customFormat="1" ht="29" hidden="1" x14ac:dyDescent="0.35">
      <c r="A15" s="71">
        <f t="shared" si="5"/>
        <v>46153</v>
      </c>
      <c r="B15" s="71"/>
      <c r="C15" s="71"/>
      <c r="D15" s="71"/>
      <c r="E15" s="119" t="s">
        <v>4790</v>
      </c>
      <c r="F15" s="48" t="s">
        <v>6508</v>
      </c>
      <c r="G15" s="48"/>
      <c r="H15" s="59" t="s">
        <v>6509</v>
      </c>
      <c r="I15" s="82" t="s">
        <v>6510</v>
      </c>
      <c r="J15" s="100"/>
      <c r="K15" s="84">
        <v>0</v>
      </c>
      <c r="L15" s="84">
        <v>0</v>
      </c>
      <c r="M15" s="83">
        <v>105</v>
      </c>
      <c r="N15" s="223">
        <v>3000</v>
      </c>
      <c r="O15" s="83">
        <v>1</v>
      </c>
      <c r="P15" s="83">
        <f>N15/O15</f>
        <v>3000</v>
      </c>
      <c r="Q15" s="83"/>
      <c r="R15" s="223">
        <v>3000</v>
      </c>
      <c r="S15" s="223">
        <f t="shared" si="0"/>
        <v>0</v>
      </c>
      <c r="T15" s="83">
        <f t="shared" si="1"/>
        <v>822.85714285714289</v>
      </c>
      <c r="U15" s="84">
        <f t="shared" si="2"/>
        <v>0</v>
      </c>
      <c r="V15" s="84">
        <f t="shared" si="3"/>
        <v>0</v>
      </c>
      <c r="W15" s="84">
        <v>0</v>
      </c>
      <c r="X15" s="255">
        <f t="shared" si="4"/>
        <v>46153</v>
      </c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</row>
    <row r="16" spans="1:40" s="118" customFormat="1" ht="29" hidden="1" x14ac:dyDescent="0.35">
      <c r="A16" s="71">
        <f t="shared" si="5"/>
        <v>46153</v>
      </c>
      <c r="B16" s="71"/>
      <c r="C16" s="71"/>
      <c r="D16" s="71"/>
      <c r="E16" s="119"/>
      <c r="F16" s="48" t="s">
        <v>6511</v>
      </c>
      <c r="G16" s="48"/>
      <c r="H16" s="59" t="s">
        <v>6512</v>
      </c>
      <c r="I16" s="390" t="s">
        <v>4820</v>
      </c>
      <c r="J16" s="100"/>
      <c r="K16" s="84">
        <v>0</v>
      </c>
      <c r="L16" s="84">
        <v>0</v>
      </c>
      <c r="M16" s="83">
        <v>100</v>
      </c>
      <c r="N16" s="223">
        <v>1500</v>
      </c>
      <c r="O16" s="83">
        <v>1</v>
      </c>
      <c r="P16" s="83">
        <v>1863</v>
      </c>
      <c r="Q16" s="83"/>
      <c r="R16" s="223">
        <v>1863</v>
      </c>
      <c r="S16" s="223">
        <f t="shared" si="0"/>
        <v>0</v>
      </c>
      <c r="T16" s="83">
        <f t="shared" si="1"/>
        <v>864</v>
      </c>
      <c r="U16" s="84">
        <f t="shared" si="2"/>
        <v>0</v>
      </c>
      <c r="V16" s="84">
        <f t="shared" si="3"/>
        <v>0</v>
      </c>
      <c r="W16" s="84">
        <v>0</v>
      </c>
      <c r="X16" s="255">
        <f t="shared" si="4"/>
        <v>46153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</row>
    <row r="17" spans="1:40" s="118" customFormat="1" hidden="1" x14ac:dyDescent="0.35">
      <c r="A17" s="71">
        <f t="shared" si="5"/>
        <v>46153</v>
      </c>
      <c r="B17" s="71"/>
      <c r="C17" s="71"/>
      <c r="D17" s="71"/>
      <c r="E17" s="119" t="s">
        <v>4790</v>
      </c>
      <c r="F17" s="57" t="s">
        <v>6513</v>
      </c>
      <c r="G17" s="57"/>
      <c r="H17" s="49" t="s">
        <v>6514</v>
      </c>
      <c r="I17" s="82" t="s">
        <v>6515</v>
      </c>
      <c r="J17" s="100"/>
      <c r="K17" s="84">
        <v>0</v>
      </c>
      <c r="L17" s="84">
        <v>0</v>
      </c>
      <c r="M17" s="83">
        <v>45</v>
      </c>
      <c r="N17" s="223">
        <v>10000</v>
      </c>
      <c r="O17" s="83">
        <v>2</v>
      </c>
      <c r="P17" s="83">
        <v>5195</v>
      </c>
      <c r="Q17" s="83"/>
      <c r="R17" s="223">
        <v>5195</v>
      </c>
      <c r="S17" s="223">
        <f t="shared" si="0"/>
        <v>0</v>
      </c>
      <c r="T17" s="83">
        <f t="shared" si="1"/>
        <v>3840</v>
      </c>
      <c r="U17" s="84">
        <f t="shared" si="2"/>
        <v>0</v>
      </c>
      <c r="V17" s="84">
        <f t="shared" si="3"/>
        <v>0</v>
      </c>
      <c r="W17" s="84">
        <v>0</v>
      </c>
      <c r="X17" s="255">
        <f t="shared" si="4"/>
        <v>46153</v>
      </c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</row>
    <row r="18" spans="1:40" s="118" customFormat="1" hidden="1" x14ac:dyDescent="0.35">
      <c r="A18" s="71">
        <f t="shared" si="5"/>
        <v>46153</v>
      </c>
      <c r="B18" s="71"/>
      <c r="C18" s="71"/>
      <c r="D18" s="71"/>
      <c r="E18" s="119" t="s">
        <v>4790</v>
      </c>
      <c r="F18" s="57"/>
      <c r="G18" s="57"/>
      <c r="H18" s="49" t="s">
        <v>6516</v>
      </c>
      <c r="I18" s="82" t="s">
        <v>6517</v>
      </c>
      <c r="J18" s="100"/>
      <c r="K18" s="84">
        <v>0</v>
      </c>
      <c r="L18" s="84">
        <v>0</v>
      </c>
      <c r="M18" s="83">
        <v>70</v>
      </c>
      <c r="N18" s="223">
        <v>10000</v>
      </c>
      <c r="O18" s="83">
        <v>1</v>
      </c>
      <c r="P18" s="83">
        <f>N18/O18</f>
        <v>10000</v>
      </c>
      <c r="Q18" s="83"/>
      <c r="R18" s="223">
        <v>10000</v>
      </c>
      <c r="S18" s="223">
        <f t="shared" si="0"/>
        <v>0</v>
      </c>
      <c r="T18" s="83">
        <f t="shared" si="1"/>
        <v>1234.2857142857142</v>
      </c>
      <c r="U18" s="84">
        <f t="shared" si="2"/>
        <v>0</v>
      </c>
      <c r="V18" s="84">
        <f t="shared" si="3"/>
        <v>0</v>
      </c>
      <c r="W18" s="84">
        <v>0</v>
      </c>
      <c r="X18" s="255">
        <f t="shared" si="4"/>
        <v>46153</v>
      </c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</row>
    <row r="19" spans="1:40" s="118" customFormat="1" hidden="1" x14ac:dyDescent="0.35">
      <c r="A19" s="71">
        <f t="shared" si="5"/>
        <v>46153</v>
      </c>
      <c r="B19" s="71"/>
      <c r="C19" s="71"/>
      <c r="D19" s="71"/>
      <c r="E19" s="119" t="s">
        <v>4790</v>
      </c>
      <c r="F19" s="48" t="s">
        <v>101</v>
      </c>
      <c r="G19" s="48"/>
      <c r="H19" s="59" t="s">
        <v>6518</v>
      </c>
      <c r="I19" s="82" t="s">
        <v>4975</v>
      </c>
      <c r="J19" s="100"/>
      <c r="K19" s="84">
        <v>0</v>
      </c>
      <c r="L19" s="84">
        <v>0</v>
      </c>
      <c r="M19" s="83">
        <v>45</v>
      </c>
      <c r="N19" s="223">
        <v>80000</v>
      </c>
      <c r="O19" s="83">
        <v>8</v>
      </c>
      <c r="P19" s="83">
        <v>10177</v>
      </c>
      <c r="Q19" s="83"/>
      <c r="R19" s="223">
        <v>10177</v>
      </c>
      <c r="S19" s="223">
        <f t="shared" si="0"/>
        <v>0</v>
      </c>
      <c r="T19" s="83">
        <f t="shared" si="1"/>
        <v>15360</v>
      </c>
      <c r="U19" s="84">
        <f t="shared" si="2"/>
        <v>0</v>
      </c>
      <c r="V19" s="84">
        <f t="shared" si="3"/>
        <v>0</v>
      </c>
      <c r="W19" s="84">
        <v>0</v>
      </c>
      <c r="X19" s="255">
        <f t="shared" si="4"/>
        <v>46153</v>
      </c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</row>
    <row r="20" spans="1:40" s="118" customFormat="1" hidden="1" x14ac:dyDescent="0.35">
      <c r="A20" s="71">
        <f t="shared" si="5"/>
        <v>46153</v>
      </c>
      <c r="B20" s="71"/>
      <c r="C20" s="71"/>
      <c r="D20" s="71"/>
      <c r="E20" s="119" t="s">
        <v>1684</v>
      </c>
      <c r="F20" s="48" t="s">
        <v>104</v>
      </c>
      <c r="G20" s="48"/>
      <c r="H20" s="49" t="s">
        <v>6519</v>
      </c>
      <c r="I20" s="99" t="s">
        <v>6520</v>
      </c>
      <c r="J20" s="100"/>
      <c r="K20" s="84">
        <v>0</v>
      </c>
      <c r="L20" s="84">
        <v>0</v>
      </c>
      <c r="M20" s="83">
        <v>40</v>
      </c>
      <c r="N20" s="223">
        <v>8000</v>
      </c>
      <c r="O20" s="83">
        <v>8</v>
      </c>
      <c r="P20" s="83">
        <v>4217</v>
      </c>
      <c r="Q20" s="83"/>
      <c r="R20" s="223">
        <v>4217</v>
      </c>
      <c r="S20" s="223">
        <f t="shared" si="0"/>
        <v>0</v>
      </c>
      <c r="T20" s="83">
        <f t="shared" si="1"/>
        <v>17280</v>
      </c>
      <c r="U20" s="84">
        <f t="shared" si="2"/>
        <v>0</v>
      </c>
      <c r="V20" s="84">
        <f t="shared" si="3"/>
        <v>0</v>
      </c>
      <c r="W20" s="84">
        <v>0</v>
      </c>
      <c r="X20" s="255">
        <f t="shared" si="4"/>
        <v>46153</v>
      </c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</row>
    <row r="21" spans="1:40" s="118" customFormat="1" hidden="1" x14ac:dyDescent="0.35">
      <c r="A21" s="71">
        <f t="shared" si="5"/>
        <v>46153</v>
      </c>
      <c r="B21" s="71"/>
      <c r="C21" s="71"/>
      <c r="D21" s="71"/>
      <c r="E21" s="119" t="s">
        <v>4790</v>
      </c>
      <c r="F21" s="48" t="s">
        <v>6521</v>
      </c>
      <c r="G21" s="48"/>
      <c r="H21" s="59" t="s">
        <v>6522</v>
      </c>
      <c r="I21" s="82" t="s">
        <v>4975</v>
      </c>
      <c r="J21" s="100"/>
      <c r="K21" s="84">
        <v>0</v>
      </c>
      <c r="L21" s="84">
        <v>0</v>
      </c>
      <c r="M21" s="83">
        <v>45</v>
      </c>
      <c r="N21" s="223">
        <v>60000</v>
      </c>
      <c r="O21" s="83">
        <v>8</v>
      </c>
      <c r="P21" s="83">
        <f t="shared" ref="P21:P84" si="6">N21/O21</f>
        <v>7500</v>
      </c>
      <c r="Q21" s="83"/>
      <c r="R21" s="223">
        <v>7500</v>
      </c>
      <c r="S21" s="223">
        <f t="shared" si="0"/>
        <v>0</v>
      </c>
      <c r="T21" s="83">
        <f t="shared" si="1"/>
        <v>15360</v>
      </c>
      <c r="U21" s="84">
        <f t="shared" si="2"/>
        <v>0</v>
      </c>
      <c r="V21" s="84">
        <f t="shared" si="3"/>
        <v>0</v>
      </c>
      <c r="W21" s="84">
        <v>0</v>
      </c>
      <c r="X21" s="255">
        <f t="shared" si="4"/>
        <v>46153</v>
      </c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</row>
    <row r="22" spans="1:40" s="118" customFormat="1" hidden="1" x14ac:dyDescent="0.35">
      <c r="A22" s="71">
        <f t="shared" si="5"/>
        <v>46153</v>
      </c>
      <c r="B22" s="71"/>
      <c r="C22" s="71"/>
      <c r="D22" s="71"/>
      <c r="E22" s="810" t="s">
        <v>4758</v>
      </c>
      <c r="F22" s="57" t="s">
        <v>6523</v>
      </c>
      <c r="G22" s="57"/>
      <c r="H22" s="49" t="s">
        <v>6524</v>
      </c>
      <c r="I22" s="71" t="s">
        <v>6525</v>
      </c>
      <c r="J22" s="100"/>
      <c r="K22" s="84">
        <v>0</v>
      </c>
      <c r="L22" s="84">
        <v>0</v>
      </c>
      <c r="M22" s="83">
        <v>65</v>
      </c>
      <c r="N22" s="223">
        <v>1000</v>
      </c>
      <c r="O22" s="83">
        <v>1</v>
      </c>
      <c r="P22" s="83">
        <f t="shared" si="6"/>
        <v>1000</v>
      </c>
      <c r="Q22" s="83"/>
      <c r="R22" s="223">
        <v>1000</v>
      </c>
      <c r="S22" s="223">
        <f t="shared" si="0"/>
        <v>0</v>
      </c>
      <c r="T22" s="83">
        <f t="shared" si="1"/>
        <v>1329.2307692307693</v>
      </c>
      <c r="U22" s="84">
        <f t="shared" si="2"/>
        <v>0</v>
      </c>
      <c r="V22" s="84">
        <f t="shared" si="3"/>
        <v>0</v>
      </c>
      <c r="W22" s="84">
        <v>0</v>
      </c>
      <c r="X22" s="255">
        <f t="shared" si="4"/>
        <v>46153</v>
      </c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</row>
    <row r="23" spans="1:40" s="118" customFormat="1" ht="52.5" hidden="1" x14ac:dyDescent="0.35">
      <c r="A23" s="71">
        <f t="shared" si="5"/>
        <v>46153</v>
      </c>
      <c r="B23" s="71"/>
      <c r="C23" s="71"/>
      <c r="D23" s="71"/>
      <c r="E23" s="119" t="s">
        <v>4758</v>
      </c>
      <c r="F23" s="62" t="s">
        <v>14</v>
      </c>
      <c r="G23" s="62"/>
      <c r="H23" s="216" t="s">
        <v>1362</v>
      </c>
      <c r="I23" s="82" t="s">
        <v>6526</v>
      </c>
      <c r="J23" s="100" t="s">
        <v>140</v>
      </c>
      <c r="K23" s="84">
        <v>0</v>
      </c>
      <c r="L23" s="84">
        <v>0</v>
      </c>
      <c r="M23" s="83">
        <v>30</v>
      </c>
      <c r="N23" s="223">
        <v>50</v>
      </c>
      <c r="O23" s="83">
        <v>1</v>
      </c>
      <c r="P23" s="83">
        <f t="shared" si="6"/>
        <v>50</v>
      </c>
      <c r="Q23" s="83"/>
      <c r="R23" s="223">
        <v>50</v>
      </c>
      <c r="S23" s="223">
        <f t="shared" si="0"/>
        <v>0</v>
      </c>
      <c r="T23" s="83">
        <f t="shared" si="1"/>
        <v>2880</v>
      </c>
      <c r="U23" s="84">
        <f t="shared" si="2"/>
        <v>0</v>
      </c>
      <c r="V23" s="84">
        <f t="shared" si="3"/>
        <v>0</v>
      </c>
      <c r="W23" s="84">
        <v>0</v>
      </c>
      <c r="X23" s="255">
        <f t="shared" si="4"/>
        <v>46153</v>
      </c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</row>
    <row r="24" spans="1:40" s="118" customFormat="1" hidden="1" x14ac:dyDescent="0.35">
      <c r="A24" s="71">
        <f t="shared" si="5"/>
        <v>46153</v>
      </c>
      <c r="B24" s="71"/>
      <c r="C24" s="71"/>
      <c r="D24" s="71"/>
      <c r="E24" s="119" t="s">
        <v>4758</v>
      </c>
      <c r="F24" s="57" t="s">
        <v>6527</v>
      </c>
      <c r="G24" s="57"/>
      <c r="H24" s="49" t="s">
        <v>6528</v>
      </c>
      <c r="I24" s="82" t="s">
        <v>4810</v>
      </c>
      <c r="J24" s="100" t="s">
        <v>140</v>
      </c>
      <c r="K24" s="84">
        <v>0</v>
      </c>
      <c r="L24" s="84">
        <v>0</v>
      </c>
      <c r="M24" s="83">
        <v>40</v>
      </c>
      <c r="N24" s="223">
        <v>35000</v>
      </c>
      <c r="O24" s="83">
        <v>1</v>
      </c>
      <c r="P24" s="83">
        <f t="shared" si="6"/>
        <v>35000</v>
      </c>
      <c r="Q24" s="83"/>
      <c r="R24" s="223">
        <v>35000</v>
      </c>
      <c r="S24" s="223">
        <f t="shared" si="0"/>
        <v>0</v>
      </c>
      <c r="T24" s="83">
        <f t="shared" si="1"/>
        <v>2160</v>
      </c>
      <c r="U24" s="84">
        <f t="shared" si="2"/>
        <v>0</v>
      </c>
      <c r="V24" s="84">
        <f t="shared" si="3"/>
        <v>0</v>
      </c>
      <c r="W24" s="84">
        <v>0</v>
      </c>
      <c r="X24" s="255">
        <f t="shared" si="4"/>
        <v>46153</v>
      </c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</row>
    <row r="25" spans="1:40" s="118" customFormat="1" hidden="1" x14ac:dyDescent="0.35">
      <c r="A25" s="71">
        <f t="shared" si="5"/>
        <v>46153</v>
      </c>
      <c r="B25" s="71"/>
      <c r="C25" s="71"/>
      <c r="D25" s="71"/>
      <c r="E25" s="119" t="s">
        <v>4758</v>
      </c>
      <c r="F25" s="57" t="s">
        <v>4865</v>
      </c>
      <c r="G25" s="57"/>
      <c r="H25" s="49" t="s">
        <v>6529</v>
      </c>
      <c r="I25" s="97" t="s">
        <v>4867</v>
      </c>
      <c r="J25" s="100" t="s">
        <v>140</v>
      </c>
      <c r="K25" s="84">
        <v>0</v>
      </c>
      <c r="L25" s="84">
        <v>0</v>
      </c>
      <c r="M25" s="83">
        <v>50</v>
      </c>
      <c r="N25" s="223">
        <v>1000</v>
      </c>
      <c r="O25" s="83">
        <v>1</v>
      </c>
      <c r="P25" s="83">
        <f t="shared" si="6"/>
        <v>1000</v>
      </c>
      <c r="Q25" s="83"/>
      <c r="R25" s="223">
        <v>1000</v>
      </c>
      <c r="S25" s="223">
        <f t="shared" si="0"/>
        <v>0</v>
      </c>
      <c r="T25" s="83">
        <f t="shared" si="1"/>
        <v>1728</v>
      </c>
      <c r="U25" s="84">
        <f t="shared" si="2"/>
        <v>0</v>
      </c>
      <c r="V25" s="84">
        <f t="shared" si="3"/>
        <v>0</v>
      </c>
      <c r="W25" s="84">
        <v>0</v>
      </c>
      <c r="X25" s="255">
        <f t="shared" si="4"/>
        <v>46153</v>
      </c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</row>
    <row r="26" spans="1:40" s="118" customFormat="1" hidden="1" x14ac:dyDescent="0.35">
      <c r="A26" s="71">
        <f t="shared" si="5"/>
        <v>46153</v>
      </c>
      <c r="B26" s="71"/>
      <c r="C26" s="71"/>
      <c r="D26" s="71"/>
      <c r="E26" s="119" t="s">
        <v>4758</v>
      </c>
      <c r="F26" s="48" t="s">
        <v>6530</v>
      </c>
      <c r="G26" s="48"/>
      <c r="H26" s="216" t="s">
        <v>6531</v>
      </c>
      <c r="I26" s="82" t="s">
        <v>4924</v>
      </c>
      <c r="J26" s="100" t="s">
        <v>140</v>
      </c>
      <c r="K26" s="84">
        <v>0</v>
      </c>
      <c r="L26" s="84">
        <v>0</v>
      </c>
      <c r="M26" s="83">
        <v>25</v>
      </c>
      <c r="N26" s="223">
        <v>1000</v>
      </c>
      <c r="O26" s="83">
        <v>1</v>
      </c>
      <c r="P26" s="83">
        <f t="shared" si="6"/>
        <v>1000</v>
      </c>
      <c r="Q26" s="83"/>
      <c r="R26" s="223">
        <v>1000</v>
      </c>
      <c r="S26" s="223">
        <f t="shared" si="0"/>
        <v>0</v>
      </c>
      <c r="T26" s="83">
        <f t="shared" si="1"/>
        <v>3456</v>
      </c>
      <c r="U26" s="84">
        <f t="shared" si="2"/>
        <v>0</v>
      </c>
      <c r="V26" s="84">
        <f t="shared" si="3"/>
        <v>0</v>
      </c>
      <c r="W26" s="84">
        <v>0</v>
      </c>
      <c r="X26" s="255">
        <f t="shared" si="4"/>
        <v>46153</v>
      </c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</row>
    <row r="27" spans="1:40" s="118" customFormat="1" hidden="1" x14ac:dyDescent="0.35">
      <c r="A27" s="71">
        <f t="shared" si="5"/>
        <v>46153</v>
      </c>
      <c r="B27" s="71"/>
      <c r="C27" s="71"/>
      <c r="D27" s="71"/>
      <c r="E27" s="119" t="s">
        <v>4758</v>
      </c>
      <c r="F27" s="48" t="s">
        <v>1362</v>
      </c>
      <c r="G27" s="48"/>
      <c r="H27" s="66" t="s">
        <v>1362</v>
      </c>
      <c r="I27" s="82" t="s">
        <v>6532</v>
      </c>
      <c r="J27" s="100" t="s">
        <v>140</v>
      </c>
      <c r="K27" s="84">
        <v>0</v>
      </c>
      <c r="L27" s="84">
        <v>0</v>
      </c>
      <c r="M27" s="83">
        <v>50</v>
      </c>
      <c r="N27" s="223">
        <v>100</v>
      </c>
      <c r="O27" s="83">
        <v>2</v>
      </c>
      <c r="P27" s="83">
        <f t="shared" si="6"/>
        <v>50</v>
      </c>
      <c r="Q27" s="83"/>
      <c r="R27" s="223">
        <v>50</v>
      </c>
      <c r="S27" s="223">
        <f t="shared" si="0"/>
        <v>0</v>
      </c>
      <c r="T27" s="83">
        <f t="shared" si="1"/>
        <v>3456</v>
      </c>
      <c r="U27" s="84">
        <f t="shared" si="2"/>
        <v>0</v>
      </c>
      <c r="V27" s="84">
        <f t="shared" si="3"/>
        <v>0</v>
      </c>
      <c r="W27" s="84">
        <v>0</v>
      </c>
      <c r="X27" s="255">
        <f t="shared" si="4"/>
        <v>46153</v>
      </c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</row>
    <row r="28" spans="1:40" s="118" customFormat="1" hidden="1" x14ac:dyDescent="0.35">
      <c r="A28" s="71">
        <f t="shared" si="5"/>
        <v>46153</v>
      </c>
      <c r="B28" s="71"/>
      <c r="C28" s="71"/>
      <c r="D28" s="71"/>
      <c r="E28" s="119" t="s">
        <v>4758</v>
      </c>
      <c r="F28" s="48" t="s">
        <v>1362</v>
      </c>
      <c r="G28" s="48"/>
      <c r="H28" s="66" t="s">
        <v>1362</v>
      </c>
      <c r="I28" s="82" t="s">
        <v>6533</v>
      </c>
      <c r="J28" s="100" t="s">
        <v>140</v>
      </c>
      <c r="K28" s="84">
        <v>0</v>
      </c>
      <c r="L28" s="84">
        <v>0</v>
      </c>
      <c r="M28" s="83">
        <v>50</v>
      </c>
      <c r="N28" s="223">
        <v>100</v>
      </c>
      <c r="O28" s="83">
        <v>2</v>
      </c>
      <c r="P28" s="83">
        <f t="shared" si="6"/>
        <v>50</v>
      </c>
      <c r="Q28" s="83"/>
      <c r="R28" s="223">
        <v>50</v>
      </c>
      <c r="S28" s="223">
        <f t="shared" si="0"/>
        <v>0</v>
      </c>
      <c r="T28" s="83">
        <f t="shared" si="1"/>
        <v>3456</v>
      </c>
      <c r="U28" s="84">
        <f t="shared" si="2"/>
        <v>0</v>
      </c>
      <c r="V28" s="84">
        <f t="shared" si="3"/>
        <v>0</v>
      </c>
      <c r="W28" s="84">
        <v>0</v>
      </c>
      <c r="X28" s="255">
        <f t="shared" si="4"/>
        <v>46153</v>
      </c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</row>
    <row r="29" spans="1:40" s="118" customFormat="1" hidden="1" x14ac:dyDescent="0.35">
      <c r="A29" s="71">
        <f t="shared" si="5"/>
        <v>46153</v>
      </c>
      <c r="B29" s="71"/>
      <c r="C29" s="71"/>
      <c r="D29" s="71"/>
      <c r="E29" s="119" t="s">
        <v>4758</v>
      </c>
      <c r="F29" s="48" t="s">
        <v>1362</v>
      </c>
      <c r="G29" s="48"/>
      <c r="H29" s="66" t="s">
        <v>1362</v>
      </c>
      <c r="I29" s="82" t="s">
        <v>6534</v>
      </c>
      <c r="J29" s="100" t="s">
        <v>140</v>
      </c>
      <c r="K29" s="84">
        <v>0</v>
      </c>
      <c r="L29" s="84">
        <v>0</v>
      </c>
      <c r="M29" s="83">
        <v>50</v>
      </c>
      <c r="N29" s="223">
        <v>100</v>
      </c>
      <c r="O29" s="83">
        <v>2</v>
      </c>
      <c r="P29" s="83">
        <f t="shared" si="6"/>
        <v>50</v>
      </c>
      <c r="Q29" s="83"/>
      <c r="R29" s="223">
        <v>50</v>
      </c>
      <c r="S29" s="223">
        <f t="shared" si="0"/>
        <v>0</v>
      </c>
      <c r="T29" s="83">
        <f t="shared" si="1"/>
        <v>3456</v>
      </c>
      <c r="U29" s="84">
        <f t="shared" si="2"/>
        <v>0</v>
      </c>
      <c r="V29" s="84">
        <f t="shared" si="3"/>
        <v>0</v>
      </c>
      <c r="W29" s="84">
        <v>0</v>
      </c>
      <c r="X29" s="255">
        <f t="shared" si="4"/>
        <v>46153</v>
      </c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</row>
    <row r="30" spans="1:40" s="118" customFormat="1" hidden="1" x14ac:dyDescent="0.35">
      <c r="A30" s="71">
        <f t="shared" si="5"/>
        <v>46153</v>
      </c>
      <c r="B30" s="71"/>
      <c r="C30" s="71"/>
      <c r="D30" s="71"/>
      <c r="E30" s="119" t="s">
        <v>4758</v>
      </c>
      <c r="F30" s="48" t="s">
        <v>1362</v>
      </c>
      <c r="G30" s="48"/>
      <c r="H30" s="66" t="s">
        <v>1362</v>
      </c>
      <c r="I30" s="82" t="s">
        <v>6535</v>
      </c>
      <c r="J30" s="100" t="s">
        <v>140</v>
      </c>
      <c r="K30" s="84">
        <v>0</v>
      </c>
      <c r="L30" s="84">
        <v>0</v>
      </c>
      <c r="M30" s="83">
        <v>50</v>
      </c>
      <c r="N30" s="223">
        <v>100</v>
      </c>
      <c r="O30" s="83">
        <v>2</v>
      </c>
      <c r="P30" s="83">
        <f t="shared" si="6"/>
        <v>50</v>
      </c>
      <c r="Q30" s="83"/>
      <c r="R30" s="223">
        <v>50</v>
      </c>
      <c r="S30" s="223">
        <f t="shared" si="0"/>
        <v>0</v>
      </c>
      <c r="T30" s="83">
        <f t="shared" si="1"/>
        <v>3456</v>
      </c>
      <c r="U30" s="84">
        <f t="shared" si="2"/>
        <v>0</v>
      </c>
      <c r="V30" s="84">
        <f t="shared" si="3"/>
        <v>0</v>
      </c>
      <c r="W30" s="84">
        <v>0</v>
      </c>
      <c r="X30" s="255">
        <f t="shared" si="4"/>
        <v>46153</v>
      </c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</row>
    <row r="31" spans="1:40" s="118" customFormat="1" hidden="1" x14ac:dyDescent="0.35">
      <c r="A31" s="71">
        <f t="shared" si="5"/>
        <v>46153</v>
      </c>
      <c r="B31" s="71"/>
      <c r="C31" s="71"/>
      <c r="D31" s="71"/>
      <c r="E31" s="119" t="s">
        <v>4758</v>
      </c>
      <c r="F31" s="48" t="s">
        <v>1362</v>
      </c>
      <c r="G31" s="48"/>
      <c r="H31" s="66" t="s">
        <v>1362</v>
      </c>
      <c r="I31" s="82" t="s">
        <v>6536</v>
      </c>
      <c r="J31" s="100" t="s">
        <v>140</v>
      </c>
      <c r="K31" s="84">
        <v>0</v>
      </c>
      <c r="L31" s="84">
        <v>0</v>
      </c>
      <c r="M31" s="83">
        <v>50</v>
      </c>
      <c r="N31" s="223">
        <v>60</v>
      </c>
      <c r="O31" s="83">
        <v>2</v>
      </c>
      <c r="P31" s="83">
        <f t="shared" si="6"/>
        <v>30</v>
      </c>
      <c r="Q31" s="83"/>
      <c r="R31" s="223">
        <v>30</v>
      </c>
      <c r="S31" s="223">
        <f t="shared" si="0"/>
        <v>0</v>
      </c>
      <c r="T31" s="83">
        <f t="shared" si="1"/>
        <v>3456</v>
      </c>
      <c r="U31" s="84">
        <f t="shared" si="2"/>
        <v>0</v>
      </c>
      <c r="V31" s="84">
        <f t="shared" si="3"/>
        <v>0</v>
      </c>
      <c r="W31" s="84">
        <v>0</v>
      </c>
      <c r="X31" s="255">
        <f t="shared" si="4"/>
        <v>46153</v>
      </c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</row>
    <row r="32" spans="1:40" s="118" customFormat="1" hidden="1" x14ac:dyDescent="0.35">
      <c r="A32" s="71">
        <f t="shared" si="5"/>
        <v>46153</v>
      </c>
      <c r="B32" s="71"/>
      <c r="C32" s="71"/>
      <c r="D32" s="71"/>
      <c r="E32" s="119" t="s">
        <v>4758</v>
      </c>
      <c r="F32" s="48" t="s">
        <v>1362</v>
      </c>
      <c r="G32" s="48"/>
      <c r="H32" s="66" t="s">
        <v>1362</v>
      </c>
      <c r="I32" s="82" t="s">
        <v>6537</v>
      </c>
      <c r="J32" s="100" t="s">
        <v>140</v>
      </c>
      <c r="K32" s="84">
        <v>0</v>
      </c>
      <c r="L32" s="84">
        <v>0</v>
      </c>
      <c r="M32" s="83">
        <v>50</v>
      </c>
      <c r="N32" s="223">
        <v>60</v>
      </c>
      <c r="O32" s="83">
        <v>2</v>
      </c>
      <c r="P32" s="83">
        <f t="shared" si="6"/>
        <v>30</v>
      </c>
      <c r="Q32" s="83"/>
      <c r="R32" s="223">
        <v>30</v>
      </c>
      <c r="S32" s="223">
        <f t="shared" si="0"/>
        <v>0</v>
      </c>
      <c r="T32" s="83">
        <f t="shared" si="1"/>
        <v>3456</v>
      </c>
      <c r="U32" s="84">
        <f t="shared" si="2"/>
        <v>0</v>
      </c>
      <c r="V32" s="84">
        <f t="shared" si="3"/>
        <v>0</v>
      </c>
      <c r="W32" s="84">
        <v>0</v>
      </c>
      <c r="X32" s="255">
        <f t="shared" si="4"/>
        <v>46153</v>
      </c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</row>
    <row r="33" spans="1:40" s="118" customFormat="1" hidden="1" x14ac:dyDescent="0.35">
      <c r="A33" s="71">
        <f t="shared" si="5"/>
        <v>46153</v>
      </c>
      <c r="B33" s="71"/>
      <c r="C33" s="71"/>
      <c r="D33" s="71"/>
      <c r="E33" s="119" t="s">
        <v>4758</v>
      </c>
      <c r="F33" s="48" t="s">
        <v>1362</v>
      </c>
      <c r="G33" s="48"/>
      <c r="H33" s="66" t="s">
        <v>1362</v>
      </c>
      <c r="I33" s="82" t="s">
        <v>6538</v>
      </c>
      <c r="J33" s="100" t="s">
        <v>140</v>
      </c>
      <c r="K33" s="84">
        <v>0</v>
      </c>
      <c r="L33" s="84">
        <v>0</v>
      </c>
      <c r="M33" s="83">
        <v>50</v>
      </c>
      <c r="N33" s="223">
        <v>60</v>
      </c>
      <c r="O33" s="83">
        <v>2</v>
      </c>
      <c r="P33" s="83">
        <f t="shared" si="6"/>
        <v>30</v>
      </c>
      <c r="Q33" s="83"/>
      <c r="R33" s="223">
        <v>30</v>
      </c>
      <c r="S33" s="223">
        <f t="shared" si="0"/>
        <v>0</v>
      </c>
      <c r="T33" s="83">
        <f t="shared" si="1"/>
        <v>3456</v>
      </c>
      <c r="U33" s="84">
        <f t="shared" si="2"/>
        <v>0</v>
      </c>
      <c r="V33" s="84">
        <f t="shared" si="3"/>
        <v>0</v>
      </c>
      <c r="W33" s="84">
        <v>0</v>
      </c>
      <c r="X33" s="255">
        <f t="shared" si="4"/>
        <v>46153</v>
      </c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</row>
    <row r="34" spans="1:40" s="118" customFormat="1" hidden="1" x14ac:dyDescent="0.35">
      <c r="A34" s="71">
        <f t="shared" si="5"/>
        <v>46153</v>
      </c>
      <c r="B34" s="71"/>
      <c r="C34" s="71"/>
      <c r="D34" s="71"/>
      <c r="E34" s="119" t="s">
        <v>4758</v>
      </c>
      <c r="F34" s="48" t="s">
        <v>1362</v>
      </c>
      <c r="G34" s="48"/>
      <c r="H34" s="66" t="s">
        <v>1362</v>
      </c>
      <c r="I34" s="82" t="s">
        <v>6539</v>
      </c>
      <c r="J34" s="100" t="s">
        <v>140</v>
      </c>
      <c r="K34" s="84">
        <v>0</v>
      </c>
      <c r="L34" s="84">
        <v>0</v>
      </c>
      <c r="M34" s="83">
        <v>50</v>
      </c>
      <c r="N34" s="223">
        <v>60</v>
      </c>
      <c r="O34" s="83">
        <v>2</v>
      </c>
      <c r="P34" s="83">
        <f t="shared" si="6"/>
        <v>30</v>
      </c>
      <c r="Q34" s="83"/>
      <c r="R34" s="223">
        <v>30</v>
      </c>
      <c r="S34" s="223">
        <f t="shared" si="0"/>
        <v>0</v>
      </c>
      <c r="T34" s="83">
        <f t="shared" si="1"/>
        <v>3456</v>
      </c>
      <c r="U34" s="84">
        <f t="shared" si="2"/>
        <v>0</v>
      </c>
      <c r="V34" s="84">
        <f t="shared" si="3"/>
        <v>0</v>
      </c>
      <c r="W34" s="84">
        <v>0</v>
      </c>
      <c r="X34" s="255">
        <f t="shared" si="4"/>
        <v>46153</v>
      </c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</row>
    <row r="35" spans="1:40" s="118" customFormat="1" hidden="1" x14ac:dyDescent="0.35">
      <c r="A35" s="71">
        <f t="shared" si="5"/>
        <v>46153</v>
      </c>
      <c r="B35" s="71"/>
      <c r="C35" s="71"/>
      <c r="D35" s="71"/>
      <c r="E35" s="119" t="s">
        <v>4758</v>
      </c>
      <c r="F35" s="48" t="s">
        <v>1362</v>
      </c>
      <c r="G35" s="48"/>
      <c r="H35" s="66" t="s">
        <v>1362</v>
      </c>
      <c r="I35" s="82" t="s">
        <v>6540</v>
      </c>
      <c r="J35" s="100" t="s">
        <v>140</v>
      </c>
      <c r="K35" s="84">
        <v>0</v>
      </c>
      <c r="L35" s="84">
        <v>0</v>
      </c>
      <c r="M35" s="83">
        <v>30</v>
      </c>
      <c r="N35" s="223">
        <v>30</v>
      </c>
      <c r="O35" s="83">
        <v>2</v>
      </c>
      <c r="P35" s="83">
        <f t="shared" si="6"/>
        <v>15</v>
      </c>
      <c r="Q35" s="83"/>
      <c r="R35" s="223">
        <v>15</v>
      </c>
      <c r="S35" s="223">
        <f t="shared" si="0"/>
        <v>0</v>
      </c>
      <c r="T35" s="83">
        <f t="shared" si="1"/>
        <v>5760</v>
      </c>
      <c r="U35" s="84">
        <f t="shared" si="2"/>
        <v>0</v>
      </c>
      <c r="V35" s="84">
        <f t="shared" si="3"/>
        <v>0</v>
      </c>
      <c r="W35" s="84">
        <v>0</v>
      </c>
      <c r="X35" s="255">
        <f t="shared" si="4"/>
        <v>46153</v>
      </c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</row>
    <row r="36" spans="1:40" s="118" customFormat="1" hidden="1" x14ac:dyDescent="0.35">
      <c r="A36" s="71">
        <f t="shared" si="5"/>
        <v>46153</v>
      </c>
      <c r="B36" s="71"/>
      <c r="C36" s="71"/>
      <c r="D36" s="71"/>
      <c r="E36" s="119" t="s">
        <v>4758</v>
      </c>
      <c r="F36" s="48" t="s">
        <v>1362</v>
      </c>
      <c r="G36" s="48"/>
      <c r="H36" s="66" t="s">
        <v>1362</v>
      </c>
      <c r="I36" s="82" t="s">
        <v>6541</v>
      </c>
      <c r="J36" s="100" t="s">
        <v>140</v>
      </c>
      <c r="K36" s="84">
        <v>0</v>
      </c>
      <c r="L36" s="84">
        <v>0</v>
      </c>
      <c r="M36" s="83">
        <v>30</v>
      </c>
      <c r="N36" s="223">
        <v>30</v>
      </c>
      <c r="O36" s="83">
        <v>2</v>
      </c>
      <c r="P36" s="83">
        <f t="shared" si="6"/>
        <v>15</v>
      </c>
      <c r="Q36" s="83"/>
      <c r="R36" s="223">
        <v>15</v>
      </c>
      <c r="S36" s="223">
        <f t="shared" si="0"/>
        <v>0</v>
      </c>
      <c r="T36" s="83">
        <f t="shared" si="1"/>
        <v>5760</v>
      </c>
      <c r="U36" s="84">
        <f t="shared" si="2"/>
        <v>0</v>
      </c>
      <c r="V36" s="84">
        <f t="shared" si="3"/>
        <v>0</v>
      </c>
      <c r="W36" s="84">
        <v>0</v>
      </c>
      <c r="X36" s="255">
        <f t="shared" si="4"/>
        <v>46153</v>
      </c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</row>
    <row r="37" spans="1:40" s="118" customFormat="1" hidden="1" x14ac:dyDescent="0.35">
      <c r="A37" s="71">
        <f t="shared" si="5"/>
        <v>46153</v>
      </c>
      <c r="B37" s="71"/>
      <c r="C37" s="71"/>
      <c r="D37" s="71"/>
      <c r="E37" s="119" t="s">
        <v>4758</v>
      </c>
      <c r="F37" s="48" t="s">
        <v>1362</v>
      </c>
      <c r="G37" s="48"/>
      <c r="H37" s="66" t="s">
        <v>1362</v>
      </c>
      <c r="I37" s="82" t="s">
        <v>6542</v>
      </c>
      <c r="J37" s="100" t="s">
        <v>140</v>
      </c>
      <c r="K37" s="84">
        <v>0</v>
      </c>
      <c r="L37" s="84">
        <v>0</v>
      </c>
      <c r="M37" s="83">
        <v>30</v>
      </c>
      <c r="N37" s="223">
        <v>30</v>
      </c>
      <c r="O37" s="83">
        <v>2</v>
      </c>
      <c r="P37" s="83">
        <f t="shared" si="6"/>
        <v>15</v>
      </c>
      <c r="Q37" s="83"/>
      <c r="R37" s="223">
        <v>15</v>
      </c>
      <c r="S37" s="223">
        <f t="shared" si="0"/>
        <v>0</v>
      </c>
      <c r="T37" s="83">
        <f t="shared" si="1"/>
        <v>5760</v>
      </c>
      <c r="U37" s="84">
        <f t="shared" si="2"/>
        <v>0</v>
      </c>
      <c r="V37" s="84">
        <f t="shared" si="3"/>
        <v>0</v>
      </c>
      <c r="W37" s="84">
        <v>0</v>
      </c>
      <c r="X37" s="255">
        <f t="shared" si="4"/>
        <v>46153</v>
      </c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</row>
    <row r="38" spans="1:40" s="118" customFormat="1" hidden="1" x14ac:dyDescent="0.35">
      <c r="A38" s="71">
        <f t="shared" si="5"/>
        <v>46153</v>
      </c>
      <c r="B38" s="71"/>
      <c r="C38" s="71"/>
      <c r="D38" s="71"/>
      <c r="E38" s="119" t="s">
        <v>4758</v>
      </c>
      <c r="F38" s="48" t="s">
        <v>1362</v>
      </c>
      <c r="G38" s="48"/>
      <c r="H38" s="66" t="s">
        <v>1362</v>
      </c>
      <c r="I38" s="82" t="s">
        <v>6543</v>
      </c>
      <c r="J38" s="100" t="s">
        <v>140</v>
      </c>
      <c r="K38" s="84">
        <v>0</v>
      </c>
      <c r="L38" s="84">
        <v>0</v>
      </c>
      <c r="M38" s="83">
        <v>30</v>
      </c>
      <c r="N38" s="223">
        <v>30</v>
      </c>
      <c r="O38" s="83">
        <v>2</v>
      </c>
      <c r="P38" s="83">
        <f t="shared" si="6"/>
        <v>15</v>
      </c>
      <c r="Q38" s="83"/>
      <c r="R38" s="223">
        <v>15</v>
      </c>
      <c r="S38" s="223">
        <f t="shared" si="0"/>
        <v>0</v>
      </c>
      <c r="T38" s="83">
        <f t="shared" si="1"/>
        <v>5760</v>
      </c>
      <c r="U38" s="84">
        <f t="shared" si="2"/>
        <v>0</v>
      </c>
      <c r="V38" s="84">
        <f t="shared" si="3"/>
        <v>0</v>
      </c>
      <c r="W38" s="84">
        <v>0</v>
      </c>
      <c r="X38" s="255">
        <f t="shared" si="4"/>
        <v>46153</v>
      </c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</row>
    <row r="39" spans="1:40" s="118" customFormat="1" hidden="1" x14ac:dyDescent="0.35">
      <c r="A39" s="71">
        <f t="shared" si="5"/>
        <v>46153</v>
      </c>
      <c r="B39" s="71"/>
      <c r="C39" s="71"/>
      <c r="D39" s="71"/>
      <c r="E39" s="119" t="s">
        <v>4758</v>
      </c>
      <c r="F39" s="48" t="s">
        <v>1362</v>
      </c>
      <c r="G39" s="48"/>
      <c r="H39" s="66" t="s">
        <v>1362</v>
      </c>
      <c r="I39" s="82" t="s">
        <v>6544</v>
      </c>
      <c r="J39" s="100" t="s">
        <v>140</v>
      </c>
      <c r="K39" s="84">
        <v>0</v>
      </c>
      <c r="L39" s="84">
        <v>0</v>
      </c>
      <c r="M39" s="83">
        <v>50</v>
      </c>
      <c r="N39" s="223">
        <v>30</v>
      </c>
      <c r="O39" s="83">
        <v>1</v>
      </c>
      <c r="P39" s="83">
        <f t="shared" si="6"/>
        <v>30</v>
      </c>
      <c r="Q39" s="83"/>
      <c r="R39" s="223">
        <v>30</v>
      </c>
      <c r="S39" s="223">
        <f t="shared" si="0"/>
        <v>0</v>
      </c>
      <c r="T39" s="83">
        <f t="shared" si="1"/>
        <v>1728</v>
      </c>
      <c r="U39" s="84">
        <f t="shared" si="2"/>
        <v>0</v>
      </c>
      <c r="V39" s="84">
        <f t="shared" si="3"/>
        <v>0</v>
      </c>
      <c r="W39" s="84">
        <v>0</v>
      </c>
      <c r="X39" s="255">
        <f t="shared" si="4"/>
        <v>46153</v>
      </c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</row>
    <row r="40" spans="1:40" s="118" customFormat="1" hidden="1" x14ac:dyDescent="0.35">
      <c r="A40" s="71">
        <f t="shared" si="5"/>
        <v>46153</v>
      </c>
      <c r="B40" s="71"/>
      <c r="C40" s="71"/>
      <c r="D40" s="71"/>
      <c r="E40" s="119" t="s">
        <v>4758</v>
      </c>
      <c r="F40" s="48" t="s">
        <v>1362</v>
      </c>
      <c r="G40" s="48"/>
      <c r="H40" s="66" t="s">
        <v>1362</v>
      </c>
      <c r="I40" s="82" t="s">
        <v>6545</v>
      </c>
      <c r="J40" s="100" t="s">
        <v>140</v>
      </c>
      <c r="K40" s="84">
        <v>0</v>
      </c>
      <c r="L40" s="84">
        <v>0</v>
      </c>
      <c r="M40" s="83">
        <v>50</v>
      </c>
      <c r="N40" s="223">
        <v>30</v>
      </c>
      <c r="O40" s="83">
        <v>1</v>
      </c>
      <c r="P40" s="83">
        <f t="shared" si="6"/>
        <v>30</v>
      </c>
      <c r="Q40" s="83"/>
      <c r="R40" s="223">
        <v>30</v>
      </c>
      <c r="S40" s="223">
        <f t="shared" si="0"/>
        <v>0</v>
      </c>
      <c r="T40" s="83">
        <f t="shared" si="1"/>
        <v>1728</v>
      </c>
      <c r="U40" s="84">
        <f t="shared" si="2"/>
        <v>0</v>
      </c>
      <c r="V40" s="84">
        <f t="shared" si="3"/>
        <v>0</v>
      </c>
      <c r="W40" s="84">
        <v>0</v>
      </c>
      <c r="X40" s="255">
        <f t="shared" si="4"/>
        <v>46153</v>
      </c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</row>
    <row r="41" spans="1:40" s="118" customFormat="1" hidden="1" x14ac:dyDescent="0.35">
      <c r="A41" s="71">
        <f t="shared" si="5"/>
        <v>46153</v>
      </c>
      <c r="B41" s="71"/>
      <c r="C41" s="71"/>
      <c r="D41" s="71"/>
      <c r="E41" s="119" t="s">
        <v>4758</v>
      </c>
      <c r="F41" s="48" t="s">
        <v>1362</v>
      </c>
      <c r="G41" s="48"/>
      <c r="H41" s="66" t="s">
        <v>1362</v>
      </c>
      <c r="I41" s="82" t="s">
        <v>6546</v>
      </c>
      <c r="J41" s="100" t="s">
        <v>140</v>
      </c>
      <c r="K41" s="84">
        <v>0</v>
      </c>
      <c r="L41" s="84">
        <v>0</v>
      </c>
      <c r="M41" s="83">
        <v>50</v>
      </c>
      <c r="N41" s="223">
        <v>30</v>
      </c>
      <c r="O41" s="83">
        <v>1</v>
      </c>
      <c r="P41" s="83">
        <f t="shared" si="6"/>
        <v>30</v>
      </c>
      <c r="Q41" s="83"/>
      <c r="R41" s="223">
        <v>30</v>
      </c>
      <c r="S41" s="223">
        <f t="shared" si="0"/>
        <v>0</v>
      </c>
      <c r="T41" s="83">
        <f t="shared" si="1"/>
        <v>1728</v>
      </c>
      <c r="U41" s="84">
        <f t="shared" si="2"/>
        <v>0</v>
      </c>
      <c r="V41" s="84">
        <f t="shared" si="3"/>
        <v>0</v>
      </c>
      <c r="W41" s="84">
        <v>0</v>
      </c>
      <c r="X41" s="255">
        <f t="shared" si="4"/>
        <v>46153</v>
      </c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</row>
    <row r="42" spans="1:40" s="118" customFormat="1" hidden="1" x14ac:dyDescent="0.35">
      <c r="A42" s="71">
        <f t="shared" si="5"/>
        <v>46153</v>
      </c>
      <c r="B42" s="71"/>
      <c r="C42" s="71"/>
      <c r="D42" s="71"/>
      <c r="E42" s="119" t="s">
        <v>4758</v>
      </c>
      <c r="F42" s="48" t="s">
        <v>1362</v>
      </c>
      <c r="G42" s="48"/>
      <c r="H42" s="66" t="s">
        <v>1362</v>
      </c>
      <c r="I42" s="82" t="s">
        <v>6547</v>
      </c>
      <c r="J42" s="100" t="s">
        <v>140</v>
      </c>
      <c r="K42" s="84">
        <v>0</v>
      </c>
      <c r="L42" s="84">
        <v>0</v>
      </c>
      <c r="M42" s="83">
        <v>50</v>
      </c>
      <c r="N42" s="223">
        <v>30</v>
      </c>
      <c r="O42" s="83">
        <v>1</v>
      </c>
      <c r="P42" s="83">
        <f t="shared" si="6"/>
        <v>30</v>
      </c>
      <c r="Q42" s="83"/>
      <c r="R42" s="223">
        <v>30</v>
      </c>
      <c r="S42" s="223">
        <f t="shared" si="0"/>
        <v>0</v>
      </c>
      <c r="T42" s="83">
        <f t="shared" si="1"/>
        <v>1728</v>
      </c>
      <c r="U42" s="84">
        <f t="shared" si="2"/>
        <v>0</v>
      </c>
      <c r="V42" s="84">
        <f t="shared" si="3"/>
        <v>0</v>
      </c>
      <c r="W42" s="84">
        <v>0</v>
      </c>
      <c r="X42" s="255">
        <f t="shared" si="4"/>
        <v>46153</v>
      </c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</row>
    <row r="43" spans="1:40" s="118" customFormat="1" hidden="1" x14ac:dyDescent="0.35">
      <c r="A43" s="71">
        <f t="shared" si="5"/>
        <v>46153</v>
      </c>
      <c r="B43" s="71"/>
      <c r="C43" s="71"/>
      <c r="D43" s="71"/>
      <c r="E43" s="119" t="s">
        <v>4758</v>
      </c>
      <c r="F43" s="48" t="s">
        <v>1321</v>
      </c>
      <c r="G43" s="48"/>
      <c r="H43" s="66" t="s">
        <v>1321</v>
      </c>
      <c r="I43" s="106" t="s">
        <v>6548</v>
      </c>
      <c r="J43" s="100" t="s">
        <v>140</v>
      </c>
      <c r="K43" s="84">
        <v>0</v>
      </c>
      <c r="L43" s="84">
        <v>0</v>
      </c>
      <c r="M43" s="83">
        <v>60</v>
      </c>
      <c r="N43" s="223">
        <v>20</v>
      </c>
      <c r="O43" s="83">
        <v>2</v>
      </c>
      <c r="P43" s="83">
        <f t="shared" si="6"/>
        <v>10</v>
      </c>
      <c r="Q43" s="83"/>
      <c r="R43" s="223">
        <v>10</v>
      </c>
      <c r="S43" s="223">
        <f t="shared" si="0"/>
        <v>0</v>
      </c>
      <c r="T43" s="83">
        <f t="shared" si="1"/>
        <v>2880</v>
      </c>
      <c r="U43" s="84">
        <f t="shared" si="2"/>
        <v>0</v>
      </c>
      <c r="V43" s="84">
        <f t="shared" si="3"/>
        <v>0</v>
      </c>
      <c r="W43" s="84">
        <v>0</v>
      </c>
      <c r="X43" s="255">
        <f t="shared" si="4"/>
        <v>46153</v>
      </c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</row>
    <row r="44" spans="1:40" s="118" customFormat="1" hidden="1" x14ac:dyDescent="0.35">
      <c r="A44" s="71">
        <f t="shared" si="5"/>
        <v>46153</v>
      </c>
      <c r="B44" s="71"/>
      <c r="C44" s="71"/>
      <c r="D44" s="71"/>
      <c r="E44" s="119" t="s">
        <v>4758</v>
      </c>
      <c r="F44" s="48" t="s">
        <v>14</v>
      </c>
      <c r="G44" s="48"/>
      <c r="H44" s="66" t="s">
        <v>4528</v>
      </c>
      <c r="I44" s="82" t="s">
        <v>4529</v>
      </c>
      <c r="J44" s="100" t="s">
        <v>140</v>
      </c>
      <c r="K44" s="84">
        <v>0</v>
      </c>
      <c r="L44" s="84">
        <v>0</v>
      </c>
      <c r="M44" s="83">
        <v>50</v>
      </c>
      <c r="N44" s="223">
        <v>20</v>
      </c>
      <c r="O44" s="83">
        <v>1</v>
      </c>
      <c r="P44" s="83">
        <f t="shared" si="6"/>
        <v>20</v>
      </c>
      <c r="Q44" s="83"/>
      <c r="R44" s="223">
        <v>20</v>
      </c>
      <c r="S44" s="223">
        <f t="shared" si="0"/>
        <v>0</v>
      </c>
      <c r="T44" s="83">
        <f t="shared" si="1"/>
        <v>1728</v>
      </c>
      <c r="U44" s="84">
        <f t="shared" si="2"/>
        <v>0</v>
      </c>
      <c r="V44" s="84">
        <f t="shared" si="3"/>
        <v>0</v>
      </c>
      <c r="W44" s="84">
        <v>0</v>
      </c>
      <c r="X44" s="255">
        <f t="shared" si="4"/>
        <v>46153</v>
      </c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</row>
    <row r="45" spans="1:40" s="118" customFormat="1" ht="39.5" hidden="1" x14ac:dyDescent="0.35">
      <c r="A45" s="71">
        <f t="shared" si="5"/>
        <v>46153</v>
      </c>
      <c r="B45" s="71"/>
      <c r="C45" s="71"/>
      <c r="D45" s="71"/>
      <c r="E45" s="119" t="s">
        <v>4758</v>
      </c>
      <c r="F45" s="48" t="s">
        <v>652</v>
      </c>
      <c r="G45" s="48"/>
      <c r="H45" s="326" t="s">
        <v>6549</v>
      </c>
      <c r="I45" s="69" t="s">
        <v>4881</v>
      </c>
      <c r="J45" s="100" t="s">
        <v>140</v>
      </c>
      <c r="K45" s="84">
        <v>0</v>
      </c>
      <c r="L45" s="84">
        <v>0</v>
      </c>
      <c r="M45" s="83">
        <v>35</v>
      </c>
      <c r="N45" s="223">
        <v>1000</v>
      </c>
      <c r="O45" s="83">
        <v>1</v>
      </c>
      <c r="P45" s="83">
        <f t="shared" si="6"/>
        <v>1000</v>
      </c>
      <c r="Q45" s="83"/>
      <c r="R45" s="223">
        <v>1000</v>
      </c>
      <c r="S45" s="223">
        <v>0</v>
      </c>
      <c r="T45" s="83">
        <f t="shared" si="1"/>
        <v>2468.5714285714284</v>
      </c>
      <c r="U45" s="84">
        <f t="shared" si="2"/>
        <v>0</v>
      </c>
      <c r="V45" s="84">
        <f t="shared" si="3"/>
        <v>0</v>
      </c>
      <c r="W45" s="84">
        <v>0</v>
      </c>
      <c r="X45" s="255">
        <f t="shared" si="4"/>
        <v>46153</v>
      </c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</row>
    <row r="46" spans="1:40" s="118" customFormat="1" ht="29" hidden="1" x14ac:dyDescent="0.35">
      <c r="A46" s="71">
        <f t="shared" si="5"/>
        <v>46153</v>
      </c>
      <c r="B46" s="71"/>
      <c r="C46" s="71"/>
      <c r="D46" s="71"/>
      <c r="E46" s="119" t="s">
        <v>4790</v>
      </c>
      <c r="F46" s="48" t="s">
        <v>652</v>
      </c>
      <c r="G46" s="48"/>
      <c r="H46" s="49" t="s">
        <v>6550</v>
      </c>
      <c r="I46" s="82" t="s">
        <v>4877</v>
      </c>
      <c r="J46" s="100" t="s">
        <v>140</v>
      </c>
      <c r="K46" s="84">
        <v>0</v>
      </c>
      <c r="L46" s="84">
        <v>0</v>
      </c>
      <c r="M46" s="83">
        <v>70</v>
      </c>
      <c r="N46" s="223">
        <v>5000</v>
      </c>
      <c r="O46" s="83">
        <v>1</v>
      </c>
      <c r="P46" s="83">
        <f t="shared" si="6"/>
        <v>5000</v>
      </c>
      <c r="Q46" s="83"/>
      <c r="R46" s="223">
        <v>5000</v>
      </c>
      <c r="S46" s="223">
        <f t="shared" ref="S46:S109" si="7">P46-R46</f>
        <v>0</v>
      </c>
      <c r="T46" s="83">
        <f t="shared" si="1"/>
        <v>1234.2857142857142</v>
      </c>
      <c r="U46" s="84">
        <f t="shared" si="2"/>
        <v>0</v>
      </c>
      <c r="V46" s="84">
        <f t="shared" si="3"/>
        <v>0</v>
      </c>
      <c r="W46" s="84">
        <v>0</v>
      </c>
      <c r="X46" s="255">
        <f t="shared" si="4"/>
        <v>46153</v>
      </c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</row>
    <row r="47" spans="1:40" s="118" customFormat="1" hidden="1" x14ac:dyDescent="0.35">
      <c r="A47" s="71">
        <f t="shared" si="5"/>
        <v>46153</v>
      </c>
      <c r="B47" s="71"/>
      <c r="C47" s="71"/>
      <c r="D47" s="71"/>
      <c r="E47" s="119" t="s">
        <v>4790</v>
      </c>
      <c r="F47" s="57" t="s">
        <v>6551</v>
      </c>
      <c r="G47" s="57"/>
      <c r="H47" s="49" t="s">
        <v>6552</v>
      </c>
      <c r="I47" s="71" t="s">
        <v>6553</v>
      </c>
      <c r="J47" s="100" t="s">
        <v>140</v>
      </c>
      <c r="K47" s="84">
        <v>0</v>
      </c>
      <c r="L47" s="84">
        <v>0</v>
      </c>
      <c r="M47" s="83">
        <v>45</v>
      </c>
      <c r="N47" s="223">
        <v>1000</v>
      </c>
      <c r="O47" s="83">
        <v>2</v>
      </c>
      <c r="P47" s="83">
        <f t="shared" si="6"/>
        <v>500</v>
      </c>
      <c r="Q47" s="83"/>
      <c r="R47" s="223">
        <v>500</v>
      </c>
      <c r="S47" s="223">
        <f t="shared" si="7"/>
        <v>0</v>
      </c>
      <c r="T47" s="83">
        <f t="shared" si="1"/>
        <v>3840</v>
      </c>
      <c r="U47" s="84">
        <f t="shared" si="2"/>
        <v>0</v>
      </c>
      <c r="V47" s="84">
        <f t="shared" si="3"/>
        <v>0</v>
      </c>
      <c r="W47" s="84">
        <v>0</v>
      </c>
      <c r="X47" s="255">
        <f t="shared" si="4"/>
        <v>46153</v>
      </c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</row>
    <row r="48" spans="1:40" s="118" customFormat="1" ht="52.5" hidden="1" x14ac:dyDescent="0.35">
      <c r="A48" s="71">
        <f t="shared" si="5"/>
        <v>46153</v>
      </c>
      <c r="B48" s="71"/>
      <c r="C48" s="71"/>
      <c r="D48" s="71"/>
      <c r="E48" s="496" t="s">
        <v>4758</v>
      </c>
      <c r="F48" s="404" t="s">
        <v>14</v>
      </c>
      <c r="G48" s="404"/>
      <c r="H48" s="927" t="s">
        <v>1362</v>
      </c>
      <c r="I48" s="297" t="s">
        <v>6526</v>
      </c>
      <c r="J48" s="300" t="s">
        <v>140</v>
      </c>
      <c r="K48" s="583">
        <v>0</v>
      </c>
      <c r="L48" s="583">
        <v>0.2</v>
      </c>
      <c r="M48" s="579">
        <v>30</v>
      </c>
      <c r="N48" s="580">
        <v>50</v>
      </c>
      <c r="O48" s="579">
        <v>1</v>
      </c>
      <c r="P48" s="579">
        <f t="shared" si="6"/>
        <v>50</v>
      </c>
      <c r="Q48" s="579"/>
      <c r="R48" s="580">
        <v>50</v>
      </c>
      <c r="S48" s="580">
        <f t="shared" si="7"/>
        <v>0</v>
      </c>
      <c r="T48" s="579">
        <f t="shared" si="1"/>
        <v>2880</v>
      </c>
      <c r="U48" s="583">
        <f t="shared" si="2"/>
        <v>0</v>
      </c>
      <c r="V48" s="583">
        <f t="shared" si="3"/>
        <v>0</v>
      </c>
      <c r="W48" s="583">
        <v>0</v>
      </c>
      <c r="X48" s="255">
        <f t="shared" si="4"/>
        <v>46153.2</v>
      </c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</row>
    <row r="49" spans="1:40" s="118" customFormat="1" ht="26.5" hidden="1" x14ac:dyDescent="0.35">
      <c r="A49" s="71">
        <f t="shared" si="5"/>
        <v>46153.2</v>
      </c>
      <c r="B49" s="71"/>
      <c r="C49" s="71"/>
      <c r="D49" s="71"/>
      <c r="E49" s="496" t="s">
        <v>4897</v>
      </c>
      <c r="F49" s="577" t="s">
        <v>1321</v>
      </c>
      <c r="G49" s="577"/>
      <c r="H49" s="578" t="s">
        <v>1321</v>
      </c>
      <c r="I49" s="297" t="s">
        <v>5004</v>
      </c>
      <c r="J49" s="300" t="s">
        <v>140</v>
      </c>
      <c r="K49" s="583">
        <v>0</v>
      </c>
      <c r="L49" s="583">
        <v>0</v>
      </c>
      <c r="M49" s="367">
        <v>43</v>
      </c>
      <c r="N49" s="580">
        <v>20</v>
      </c>
      <c r="O49" s="579">
        <v>1</v>
      </c>
      <c r="P49" s="579">
        <f t="shared" si="6"/>
        <v>20</v>
      </c>
      <c r="Q49" s="579"/>
      <c r="R49" s="580">
        <v>20</v>
      </c>
      <c r="S49" s="580">
        <f t="shared" si="7"/>
        <v>0</v>
      </c>
      <c r="T49" s="579">
        <f t="shared" si="1"/>
        <v>2009.3023255813955</v>
      </c>
      <c r="U49" s="583">
        <f t="shared" si="2"/>
        <v>0</v>
      </c>
      <c r="V49" s="583">
        <f t="shared" si="3"/>
        <v>0</v>
      </c>
      <c r="W49" s="583">
        <v>0</v>
      </c>
      <c r="X49" s="255">
        <f t="shared" si="4"/>
        <v>46153.2</v>
      </c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</row>
    <row r="50" spans="1:40" s="118" customFormat="1" hidden="1" x14ac:dyDescent="0.35">
      <c r="A50" s="71">
        <f t="shared" si="5"/>
        <v>46153.2</v>
      </c>
      <c r="B50" s="71"/>
      <c r="C50" s="71"/>
      <c r="D50" s="71"/>
      <c r="E50" s="496" t="s">
        <v>4758</v>
      </c>
      <c r="F50" s="404" t="s">
        <v>14</v>
      </c>
      <c r="G50" s="404"/>
      <c r="H50" s="927" t="s">
        <v>1362</v>
      </c>
      <c r="I50" s="1105" t="s">
        <v>6201</v>
      </c>
      <c r="J50" s="300" t="s">
        <v>140</v>
      </c>
      <c r="K50" s="583">
        <v>0</v>
      </c>
      <c r="L50" s="583">
        <v>0</v>
      </c>
      <c r="M50" s="579">
        <v>30</v>
      </c>
      <c r="N50" s="580">
        <v>50</v>
      </c>
      <c r="O50" s="579">
        <v>1</v>
      </c>
      <c r="P50" s="579">
        <f t="shared" si="6"/>
        <v>50</v>
      </c>
      <c r="Q50" s="579"/>
      <c r="R50" s="580">
        <v>50</v>
      </c>
      <c r="S50" s="580">
        <f t="shared" si="7"/>
        <v>0</v>
      </c>
      <c r="T50" s="579">
        <f t="shared" si="1"/>
        <v>2880</v>
      </c>
      <c r="U50" s="583">
        <f t="shared" si="2"/>
        <v>0</v>
      </c>
      <c r="V50" s="583">
        <f t="shared" si="3"/>
        <v>0</v>
      </c>
      <c r="W50" s="583">
        <v>0</v>
      </c>
      <c r="X50" s="255">
        <f t="shared" si="4"/>
        <v>46153.2</v>
      </c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</row>
    <row r="51" spans="1:40" s="118" customFormat="1" hidden="1" x14ac:dyDescent="0.35">
      <c r="A51" s="71">
        <f t="shared" si="5"/>
        <v>46153.2</v>
      </c>
      <c r="B51" s="71"/>
      <c r="C51" s="71"/>
      <c r="D51" s="71"/>
      <c r="E51" s="496" t="s">
        <v>4758</v>
      </c>
      <c r="F51" s="577" t="s">
        <v>14</v>
      </c>
      <c r="G51" s="577"/>
      <c r="H51" s="398" t="s">
        <v>14</v>
      </c>
      <c r="I51" s="297" t="s">
        <v>5219</v>
      </c>
      <c r="J51" s="300" t="s">
        <v>140</v>
      </c>
      <c r="K51" s="583">
        <v>0</v>
      </c>
      <c r="L51" s="583">
        <v>0</v>
      </c>
      <c r="M51" s="579">
        <v>30</v>
      </c>
      <c r="N51" s="580">
        <v>50</v>
      </c>
      <c r="O51" s="579">
        <v>6</v>
      </c>
      <c r="P51" s="579">
        <f t="shared" si="6"/>
        <v>8.3333333333333339</v>
      </c>
      <c r="Q51" s="579"/>
      <c r="R51" s="580">
        <v>6</v>
      </c>
      <c r="S51" s="580">
        <f t="shared" si="7"/>
        <v>2.3333333333333339</v>
      </c>
      <c r="T51" s="579">
        <f t="shared" si="1"/>
        <v>17280</v>
      </c>
      <c r="U51" s="583">
        <f t="shared" si="2"/>
        <v>1.9444444444444448E-2</v>
      </c>
      <c r="V51" s="583">
        <f t="shared" si="3"/>
        <v>8.1018518518518538E-4</v>
      </c>
      <c r="W51" s="583">
        <v>0</v>
      </c>
      <c r="X51" s="255">
        <f t="shared" si="4"/>
        <v>46153.200810185182</v>
      </c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</row>
    <row r="52" spans="1:40" s="118" customFormat="1" hidden="1" x14ac:dyDescent="0.35">
      <c r="A52" s="71">
        <f t="shared" si="5"/>
        <v>46153.200810185182</v>
      </c>
      <c r="B52" s="71"/>
      <c r="C52" s="71"/>
      <c r="D52" s="71"/>
      <c r="E52" s="496" t="s">
        <v>4758</v>
      </c>
      <c r="F52" s="577" t="s">
        <v>14</v>
      </c>
      <c r="G52" s="577"/>
      <c r="H52" s="398" t="s">
        <v>14</v>
      </c>
      <c r="I52" s="297"/>
      <c r="J52" s="300"/>
      <c r="K52" s="583">
        <v>0</v>
      </c>
      <c r="L52" s="583">
        <v>0</v>
      </c>
      <c r="M52" s="579">
        <v>30</v>
      </c>
      <c r="N52" s="580">
        <v>50</v>
      </c>
      <c r="O52" s="579">
        <v>8</v>
      </c>
      <c r="P52" s="579">
        <f t="shared" si="6"/>
        <v>6.25</v>
      </c>
      <c r="Q52" s="579"/>
      <c r="R52" s="580">
        <v>6</v>
      </c>
      <c r="S52" s="580">
        <f t="shared" si="7"/>
        <v>0.25</v>
      </c>
      <c r="T52" s="579">
        <f t="shared" si="1"/>
        <v>23040</v>
      </c>
      <c r="U52" s="583">
        <f t="shared" si="2"/>
        <v>2.0833333333333333E-3</v>
      </c>
      <c r="V52" s="583">
        <f t="shared" si="3"/>
        <v>8.6805555555555559E-5</v>
      </c>
      <c r="W52" s="583">
        <v>0</v>
      </c>
      <c r="X52" s="255">
        <f t="shared" si="4"/>
        <v>46153.20089699074</v>
      </c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</row>
    <row r="53" spans="1:40" s="118" customFormat="1" ht="29" hidden="1" x14ac:dyDescent="0.35">
      <c r="A53" s="71">
        <f t="shared" si="5"/>
        <v>46153.20089699074</v>
      </c>
      <c r="B53" s="71"/>
      <c r="C53" s="71"/>
      <c r="D53" s="71"/>
      <c r="E53" s="119" t="s">
        <v>4758</v>
      </c>
      <c r="F53" s="48" t="s">
        <v>543</v>
      </c>
      <c r="G53" s="48"/>
      <c r="H53" s="49" t="s">
        <v>6554</v>
      </c>
      <c r="I53" s="82" t="s">
        <v>3491</v>
      </c>
      <c r="J53" s="100" t="s">
        <v>140</v>
      </c>
      <c r="K53" s="101">
        <v>0</v>
      </c>
      <c r="L53" s="101">
        <v>0</v>
      </c>
      <c r="M53" s="83">
        <v>110</v>
      </c>
      <c r="N53" s="223">
        <v>32000</v>
      </c>
      <c r="O53" s="83">
        <v>4</v>
      </c>
      <c r="P53" s="83">
        <f t="shared" si="6"/>
        <v>8000</v>
      </c>
      <c r="Q53" s="83"/>
      <c r="R53" s="223">
        <v>8000</v>
      </c>
      <c r="S53" s="223">
        <f t="shared" si="7"/>
        <v>0</v>
      </c>
      <c r="T53" s="83">
        <f t="shared" si="1"/>
        <v>3141.818181818182</v>
      </c>
      <c r="U53" s="84">
        <f t="shared" si="2"/>
        <v>0</v>
      </c>
      <c r="V53" s="84">
        <f t="shared" si="3"/>
        <v>0</v>
      </c>
      <c r="W53" s="84">
        <v>0</v>
      </c>
      <c r="X53" s="255">
        <f t="shared" si="4"/>
        <v>46153.20089699074</v>
      </c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</row>
    <row r="54" spans="1:40" s="118" customFormat="1" hidden="1" x14ac:dyDescent="0.35">
      <c r="A54" s="71">
        <f t="shared" si="5"/>
        <v>46153.20089699074</v>
      </c>
      <c r="B54" s="71"/>
      <c r="C54" s="71"/>
      <c r="D54" s="71"/>
      <c r="E54" s="810" t="s">
        <v>4758</v>
      </c>
      <c r="F54" s="57" t="s">
        <v>6555</v>
      </c>
      <c r="G54" s="57"/>
      <c r="H54" s="49" t="s">
        <v>6556</v>
      </c>
      <c r="I54" s="71" t="s">
        <v>6525</v>
      </c>
      <c r="J54" s="100" t="s">
        <v>140</v>
      </c>
      <c r="K54" s="84">
        <v>0</v>
      </c>
      <c r="L54" s="84">
        <v>0</v>
      </c>
      <c r="M54" s="83">
        <v>65</v>
      </c>
      <c r="N54" s="223">
        <v>500</v>
      </c>
      <c r="O54" s="83">
        <v>1</v>
      </c>
      <c r="P54" s="83">
        <f t="shared" si="6"/>
        <v>500</v>
      </c>
      <c r="Q54" s="83"/>
      <c r="R54" s="223">
        <v>500</v>
      </c>
      <c r="S54" s="223">
        <f t="shared" si="7"/>
        <v>0</v>
      </c>
      <c r="T54" s="83">
        <f t="shared" si="1"/>
        <v>1329.2307692307693</v>
      </c>
      <c r="U54" s="84">
        <f t="shared" si="2"/>
        <v>0</v>
      </c>
      <c r="V54" s="84">
        <f t="shared" si="3"/>
        <v>0</v>
      </c>
      <c r="W54" s="84">
        <v>0</v>
      </c>
      <c r="X54" s="255">
        <f t="shared" si="4"/>
        <v>46153.20089699074</v>
      </c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</row>
    <row r="55" spans="1:40" s="118" customFormat="1" ht="29" hidden="1" x14ac:dyDescent="0.35">
      <c r="A55" s="71">
        <f t="shared" si="5"/>
        <v>46153.20089699074</v>
      </c>
      <c r="B55" s="71"/>
      <c r="C55" s="71"/>
      <c r="D55" s="71"/>
      <c r="E55" s="119" t="s">
        <v>4790</v>
      </c>
      <c r="F55" s="57" t="s">
        <v>898</v>
      </c>
      <c r="G55" s="57"/>
      <c r="H55" s="49" t="s">
        <v>4862</v>
      </c>
      <c r="I55" s="71" t="s">
        <v>6557</v>
      </c>
      <c r="J55" s="100" t="s">
        <v>140</v>
      </c>
      <c r="K55" s="84">
        <v>0</v>
      </c>
      <c r="L55" s="84">
        <v>0</v>
      </c>
      <c r="M55" s="83">
        <v>40</v>
      </c>
      <c r="N55" s="223">
        <v>8400</v>
      </c>
      <c r="O55" s="83">
        <v>1</v>
      </c>
      <c r="P55" s="83">
        <f t="shared" si="6"/>
        <v>8400</v>
      </c>
      <c r="Q55" s="83"/>
      <c r="R55" s="223">
        <v>8400</v>
      </c>
      <c r="S55" s="223">
        <f t="shared" si="7"/>
        <v>0</v>
      </c>
      <c r="T55" s="83">
        <f t="shared" si="1"/>
        <v>2160</v>
      </c>
      <c r="U55" s="84">
        <f t="shared" si="2"/>
        <v>0</v>
      </c>
      <c r="V55" s="84">
        <f t="shared" si="3"/>
        <v>0</v>
      </c>
      <c r="W55" s="84">
        <v>0</v>
      </c>
      <c r="X55" s="255">
        <f t="shared" si="4"/>
        <v>46153.20089699074</v>
      </c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</row>
    <row r="56" spans="1:40" s="118" customFormat="1" ht="29" hidden="1" x14ac:dyDescent="0.35">
      <c r="A56" s="71">
        <f t="shared" si="5"/>
        <v>46153.20089699074</v>
      </c>
      <c r="B56" s="71"/>
      <c r="C56" s="71"/>
      <c r="D56" s="71"/>
      <c r="E56" s="119" t="s">
        <v>4758</v>
      </c>
      <c r="F56" s="48" t="s">
        <v>6558</v>
      </c>
      <c r="G56" s="48"/>
      <c r="H56" s="59" t="s">
        <v>6559</v>
      </c>
      <c r="I56" s="106" t="s">
        <v>6560</v>
      </c>
      <c r="J56" s="100" t="s">
        <v>140</v>
      </c>
      <c r="K56" s="84">
        <v>0</v>
      </c>
      <c r="L56" s="84">
        <v>0</v>
      </c>
      <c r="M56" s="83">
        <v>45</v>
      </c>
      <c r="N56" s="223">
        <v>256</v>
      </c>
      <c r="O56" s="83">
        <v>1</v>
      </c>
      <c r="P56" s="83">
        <f t="shared" si="6"/>
        <v>256</v>
      </c>
      <c r="Q56" s="83"/>
      <c r="R56" s="223">
        <v>256</v>
      </c>
      <c r="S56" s="223">
        <f t="shared" si="7"/>
        <v>0</v>
      </c>
      <c r="T56" s="83">
        <f t="shared" si="1"/>
        <v>1920</v>
      </c>
      <c r="U56" s="84">
        <f t="shared" si="2"/>
        <v>0</v>
      </c>
      <c r="V56" s="84">
        <f t="shared" si="3"/>
        <v>0</v>
      </c>
      <c r="W56" s="84">
        <v>0</v>
      </c>
      <c r="X56" s="255">
        <f t="shared" si="4"/>
        <v>46153.20089699074</v>
      </c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</row>
    <row r="57" spans="1:40" s="118" customFormat="1" ht="29" hidden="1" x14ac:dyDescent="0.35">
      <c r="A57" s="71">
        <f t="shared" si="5"/>
        <v>46153.20089699074</v>
      </c>
      <c r="B57" s="71"/>
      <c r="C57" s="71"/>
      <c r="D57" s="71"/>
      <c r="E57" s="119" t="s">
        <v>4758</v>
      </c>
      <c r="F57" s="48" t="s">
        <v>6558</v>
      </c>
      <c r="G57" s="48"/>
      <c r="H57" s="59" t="s">
        <v>6559</v>
      </c>
      <c r="I57" s="106" t="s">
        <v>6560</v>
      </c>
      <c r="J57" s="100" t="s">
        <v>140</v>
      </c>
      <c r="K57" s="84">
        <v>0</v>
      </c>
      <c r="L57" s="84">
        <v>0</v>
      </c>
      <c r="M57" s="83">
        <v>45</v>
      </c>
      <c r="N57" s="223">
        <v>3890</v>
      </c>
      <c r="O57" s="83">
        <v>1</v>
      </c>
      <c r="P57" s="83">
        <f t="shared" si="6"/>
        <v>3890</v>
      </c>
      <c r="Q57" s="83"/>
      <c r="R57" s="223">
        <v>3890</v>
      </c>
      <c r="S57" s="223">
        <f t="shared" si="7"/>
        <v>0</v>
      </c>
      <c r="T57" s="83">
        <f t="shared" si="1"/>
        <v>1920</v>
      </c>
      <c r="U57" s="84">
        <f t="shared" si="2"/>
        <v>0</v>
      </c>
      <c r="V57" s="84">
        <f t="shared" si="3"/>
        <v>0</v>
      </c>
      <c r="W57" s="84">
        <v>0</v>
      </c>
      <c r="X57" s="255">
        <f t="shared" si="4"/>
        <v>46153.20089699074</v>
      </c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</row>
    <row r="58" spans="1:40" s="118" customFormat="1" hidden="1" x14ac:dyDescent="0.35">
      <c r="A58" s="71">
        <f t="shared" si="5"/>
        <v>46153.20089699074</v>
      </c>
      <c r="B58" s="71"/>
      <c r="C58" s="71"/>
      <c r="D58" s="71"/>
      <c r="E58" s="1056" t="s">
        <v>4384</v>
      </c>
      <c r="F58" s="97" t="s">
        <v>4878</v>
      </c>
      <c r="G58" s="97"/>
      <c r="H58" s="108">
        <v>10447</v>
      </c>
      <c r="I58" s="97" t="s">
        <v>6561</v>
      </c>
      <c r="J58" s="170" t="s">
        <v>140</v>
      </c>
      <c r="K58" s="101">
        <v>0</v>
      </c>
      <c r="L58" s="101">
        <v>0</v>
      </c>
      <c r="M58" s="102">
        <v>35</v>
      </c>
      <c r="N58" s="103">
        <v>6000</v>
      </c>
      <c r="O58" s="102">
        <v>2</v>
      </c>
      <c r="P58" s="102">
        <f t="shared" si="6"/>
        <v>3000</v>
      </c>
      <c r="Q58" s="102"/>
      <c r="R58" s="103">
        <v>3000</v>
      </c>
      <c r="S58" s="103">
        <f t="shared" si="7"/>
        <v>0</v>
      </c>
      <c r="T58" s="102">
        <f t="shared" si="1"/>
        <v>4937.1428571428569</v>
      </c>
      <c r="U58" s="101">
        <f t="shared" si="2"/>
        <v>0</v>
      </c>
      <c r="V58" s="101">
        <f t="shared" si="3"/>
        <v>0</v>
      </c>
      <c r="W58" s="101">
        <v>0</v>
      </c>
      <c r="X58" s="255">
        <f t="shared" si="4"/>
        <v>46153.20089699074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</row>
    <row r="59" spans="1:40" s="118" customFormat="1" hidden="1" x14ac:dyDescent="0.35">
      <c r="A59" s="71">
        <f t="shared" si="5"/>
        <v>46153.20089699074</v>
      </c>
      <c r="B59" s="71"/>
      <c r="C59" s="71"/>
      <c r="D59" s="71"/>
      <c r="E59" s="119" t="s">
        <v>4758</v>
      </c>
      <c r="F59" s="82" t="s">
        <v>6562</v>
      </c>
      <c r="G59" s="82"/>
      <c r="H59" s="340" t="s">
        <v>6563</v>
      </c>
      <c r="I59" s="82" t="s">
        <v>4924</v>
      </c>
      <c r="J59" s="100" t="s">
        <v>140</v>
      </c>
      <c r="K59" s="101">
        <v>0</v>
      </c>
      <c r="L59" s="101">
        <v>0</v>
      </c>
      <c r="M59" s="102">
        <v>25</v>
      </c>
      <c r="N59" s="103">
        <v>1200</v>
      </c>
      <c r="O59" s="102">
        <v>1</v>
      </c>
      <c r="P59" s="102">
        <f t="shared" si="6"/>
        <v>1200</v>
      </c>
      <c r="Q59" s="102"/>
      <c r="R59" s="103">
        <v>1200</v>
      </c>
      <c r="S59" s="103">
        <f t="shared" si="7"/>
        <v>0</v>
      </c>
      <c r="T59" s="102">
        <f t="shared" si="1"/>
        <v>3456</v>
      </c>
      <c r="U59" s="101">
        <f t="shared" si="2"/>
        <v>0</v>
      </c>
      <c r="V59" s="101">
        <f t="shared" si="3"/>
        <v>0</v>
      </c>
      <c r="W59" s="101">
        <v>0</v>
      </c>
      <c r="X59" s="255">
        <f t="shared" si="4"/>
        <v>46153.20089699074</v>
      </c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</row>
    <row r="60" spans="1:40" s="118" customFormat="1" hidden="1" x14ac:dyDescent="0.35">
      <c r="A60" s="71">
        <f t="shared" si="5"/>
        <v>46153.20089699074</v>
      </c>
      <c r="B60" s="71"/>
      <c r="C60" s="71"/>
      <c r="D60" s="71"/>
      <c r="E60" s="1106" t="s">
        <v>4758</v>
      </c>
      <c r="F60" s="550" t="s">
        <v>1372</v>
      </c>
      <c r="G60" s="550"/>
      <c r="H60" s="551" t="s">
        <v>6564</v>
      </c>
      <c r="I60" s="550" t="s">
        <v>3491</v>
      </c>
      <c r="J60" s="1107" t="s">
        <v>140</v>
      </c>
      <c r="K60" s="1108">
        <v>0</v>
      </c>
      <c r="L60" s="1108">
        <v>0</v>
      </c>
      <c r="M60" s="1109">
        <v>110</v>
      </c>
      <c r="N60" s="1110">
        <v>8000</v>
      </c>
      <c r="O60" s="1109">
        <v>4</v>
      </c>
      <c r="P60" s="1109">
        <f t="shared" si="6"/>
        <v>2000</v>
      </c>
      <c r="Q60" s="1109"/>
      <c r="R60" s="1110">
        <v>2000</v>
      </c>
      <c r="S60" s="1110">
        <f t="shared" si="7"/>
        <v>0</v>
      </c>
      <c r="T60" s="1109">
        <f t="shared" si="1"/>
        <v>3141.818181818182</v>
      </c>
      <c r="U60" s="1108">
        <f t="shared" si="2"/>
        <v>0</v>
      </c>
      <c r="V60" s="1108">
        <f t="shared" si="3"/>
        <v>0</v>
      </c>
      <c r="W60" s="1108">
        <v>0</v>
      </c>
      <c r="X60" s="255">
        <f t="shared" si="4"/>
        <v>46153.20089699074</v>
      </c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</row>
    <row r="61" spans="1:40" s="118" customFormat="1" hidden="1" x14ac:dyDescent="0.35">
      <c r="A61" s="71">
        <f t="shared" si="5"/>
        <v>46153.20089699074</v>
      </c>
      <c r="B61" s="71"/>
      <c r="C61" s="71"/>
      <c r="D61" s="71"/>
      <c r="E61" s="810" t="s">
        <v>4758</v>
      </c>
      <c r="F61" s="57" t="s">
        <v>6565</v>
      </c>
      <c r="G61" s="57"/>
      <c r="H61" s="49" t="s">
        <v>6566</v>
      </c>
      <c r="I61" s="71" t="s">
        <v>6567</v>
      </c>
      <c r="J61" s="100" t="s">
        <v>140</v>
      </c>
      <c r="K61" s="84">
        <v>0</v>
      </c>
      <c r="L61" s="84">
        <v>0</v>
      </c>
      <c r="M61" s="83">
        <v>65</v>
      </c>
      <c r="N61" s="223">
        <v>500</v>
      </c>
      <c r="O61" s="83">
        <v>1</v>
      </c>
      <c r="P61" s="83">
        <f t="shared" si="6"/>
        <v>500</v>
      </c>
      <c r="Q61" s="83"/>
      <c r="R61" s="223">
        <v>500</v>
      </c>
      <c r="S61" s="223">
        <f t="shared" si="7"/>
        <v>0</v>
      </c>
      <c r="T61" s="83">
        <f t="shared" si="1"/>
        <v>1329.2307692307693</v>
      </c>
      <c r="U61" s="84">
        <f t="shared" si="2"/>
        <v>0</v>
      </c>
      <c r="V61" s="84">
        <f t="shared" si="3"/>
        <v>0</v>
      </c>
      <c r="W61" s="84">
        <v>0</v>
      </c>
      <c r="X61" s="255">
        <f t="shared" si="4"/>
        <v>46153.20089699074</v>
      </c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</row>
    <row r="62" spans="1:40" s="118" customFormat="1" hidden="1" x14ac:dyDescent="0.35">
      <c r="A62" s="71">
        <f t="shared" si="5"/>
        <v>46153.20089699074</v>
      </c>
      <c r="B62" s="71"/>
      <c r="C62" s="71"/>
      <c r="D62" s="71"/>
      <c r="E62" s="810" t="s">
        <v>4758</v>
      </c>
      <c r="F62" s="99" t="s">
        <v>1372</v>
      </c>
      <c r="G62" s="99"/>
      <c r="H62" s="49" t="s">
        <v>6568</v>
      </c>
      <c r="I62" s="82" t="s">
        <v>4394</v>
      </c>
      <c r="J62" s="491" t="s">
        <v>140</v>
      </c>
      <c r="K62" s="84">
        <v>0</v>
      </c>
      <c r="L62" s="84">
        <v>0</v>
      </c>
      <c r="M62" s="83">
        <v>110</v>
      </c>
      <c r="N62" s="223">
        <v>15000</v>
      </c>
      <c r="O62" s="83">
        <v>2</v>
      </c>
      <c r="P62" s="83">
        <f t="shared" si="6"/>
        <v>7500</v>
      </c>
      <c r="Q62" s="83"/>
      <c r="R62" s="223">
        <v>7500</v>
      </c>
      <c r="S62" s="223">
        <f t="shared" si="7"/>
        <v>0</v>
      </c>
      <c r="T62" s="83">
        <f t="shared" si="1"/>
        <v>1570.909090909091</v>
      </c>
      <c r="U62" s="84">
        <f t="shared" si="2"/>
        <v>0</v>
      </c>
      <c r="V62" s="84">
        <f t="shared" si="3"/>
        <v>0</v>
      </c>
      <c r="W62" s="101">
        <v>0</v>
      </c>
      <c r="X62" s="255">
        <f t="shared" si="4"/>
        <v>46153.20089699074</v>
      </c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</row>
    <row r="63" spans="1:40" s="118" customFormat="1" ht="26.5" hidden="1" x14ac:dyDescent="0.35">
      <c r="A63" s="71">
        <f t="shared" si="5"/>
        <v>46153.20089699074</v>
      </c>
      <c r="B63" s="71"/>
      <c r="C63" s="71"/>
      <c r="D63" s="71"/>
      <c r="E63" s="119" t="s">
        <v>3503</v>
      </c>
      <c r="F63" s="97" t="s">
        <v>6569</v>
      </c>
      <c r="G63" s="97"/>
      <c r="H63" s="98" t="s">
        <v>6570</v>
      </c>
      <c r="I63" s="97" t="s">
        <v>6571</v>
      </c>
      <c r="J63" s="100" t="s">
        <v>140</v>
      </c>
      <c r="K63" s="101">
        <v>0</v>
      </c>
      <c r="L63" s="101">
        <v>0</v>
      </c>
      <c r="M63" s="102">
        <v>50</v>
      </c>
      <c r="N63" s="103">
        <v>1000</v>
      </c>
      <c r="O63" s="102">
        <v>1</v>
      </c>
      <c r="P63" s="102">
        <f t="shared" si="6"/>
        <v>1000</v>
      </c>
      <c r="Q63" s="102"/>
      <c r="R63" s="103">
        <v>1000</v>
      </c>
      <c r="S63" s="103">
        <f t="shared" si="7"/>
        <v>0</v>
      </c>
      <c r="T63" s="102">
        <f t="shared" si="1"/>
        <v>1728</v>
      </c>
      <c r="U63" s="101">
        <f t="shared" si="2"/>
        <v>0</v>
      </c>
      <c r="V63" s="101">
        <f t="shared" si="3"/>
        <v>0</v>
      </c>
      <c r="W63" s="101">
        <v>0</v>
      </c>
      <c r="X63" s="255">
        <f t="shared" si="4"/>
        <v>46153.20089699074</v>
      </c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</row>
    <row r="64" spans="1:40" s="118" customFormat="1" hidden="1" x14ac:dyDescent="0.35">
      <c r="A64" s="71">
        <f t="shared" si="5"/>
        <v>46153.20089699074</v>
      </c>
      <c r="B64" s="71"/>
      <c r="C64" s="71"/>
      <c r="D64" s="71"/>
      <c r="E64" s="119" t="s">
        <v>4758</v>
      </c>
      <c r="F64" s="830" t="s">
        <v>5272</v>
      </c>
      <c r="G64" s="830"/>
      <c r="H64" s="66">
        <v>10673</v>
      </c>
      <c r="I64" s="82" t="s">
        <v>6572</v>
      </c>
      <c r="J64" s="100" t="s">
        <v>140</v>
      </c>
      <c r="K64" s="84">
        <v>0</v>
      </c>
      <c r="L64" s="84">
        <v>0</v>
      </c>
      <c r="M64" s="83">
        <v>120</v>
      </c>
      <c r="N64" s="223">
        <v>800</v>
      </c>
      <c r="O64" s="83">
        <v>1</v>
      </c>
      <c r="P64" s="83">
        <f t="shared" si="6"/>
        <v>800</v>
      </c>
      <c r="Q64" s="83"/>
      <c r="R64" s="223">
        <v>800</v>
      </c>
      <c r="S64" s="223">
        <f t="shared" si="7"/>
        <v>0</v>
      </c>
      <c r="T64" s="83">
        <f t="shared" si="1"/>
        <v>720</v>
      </c>
      <c r="U64" s="84">
        <f t="shared" si="2"/>
        <v>0</v>
      </c>
      <c r="V64" s="84">
        <f t="shared" si="3"/>
        <v>0</v>
      </c>
      <c r="W64" s="84">
        <v>0</v>
      </c>
      <c r="X64" s="255">
        <f t="shared" si="4"/>
        <v>46153.20089699074</v>
      </c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</row>
    <row r="65" spans="1:40" s="118" customFormat="1" ht="39.5" hidden="1" x14ac:dyDescent="0.35">
      <c r="A65" s="71">
        <f t="shared" si="5"/>
        <v>46153.20089699074</v>
      </c>
      <c r="B65" s="71"/>
      <c r="C65" s="71"/>
      <c r="D65" s="71"/>
      <c r="E65" s="119" t="s">
        <v>3503</v>
      </c>
      <c r="F65" s="48" t="s">
        <v>4518</v>
      </c>
      <c r="G65" s="48"/>
      <c r="H65" s="49" t="s">
        <v>6573</v>
      </c>
      <c r="I65" s="69" t="s">
        <v>4881</v>
      </c>
      <c r="J65" s="100" t="s">
        <v>140</v>
      </c>
      <c r="K65" s="84">
        <v>0</v>
      </c>
      <c r="L65" s="84">
        <v>0</v>
      </c>
      <c r="M65" s="83">
        <v>35</v>
      </c>
      <c r="N65" s="223">
        <v>8000</v>
      </c>
      <c r="O65" s="83">
        <v>1</v>
      </c>
      <c r="P65" s="83">
        <f t="shared" si="6"/>
        <v>8000</v>
      </c>
      <c r="Q65" s="83"/>
      <c r="R65" s="223">
        <v>8000</v>
      </c>
      <c r="S65" s="223">
        <f t="shared" si="7"/>
        <v>0</v>
      </c>
      <c r="T65" s="83">
        <f t="shared" si="1"/>
        <v>2468.5714285714284</v>
      </c>
      <c r="U65" s="84">
        <f t="shared" si="2"/>
        <v>0</v>
      </c>
      <c r="V65" s="84">
        <f t="shared" si="3"/>
        <v>0</v>
      </c>
      <c r="W65" s="84">
        <v>0</v>
      </c>
      <c r="X65" s="255">
        <f t="shared" si="4"/>
        <v>46153.20089699074</v>
      </c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</row>
    <row r="66" spans="1:40" s="118" customFormat="1" hidden="1" x14ac:dyDescent="0.35">
      <c r="A66" s="71">
        <f t="shared" si="5"/>
        <v>46153.20089699074</v>
      </c>
      <c r="B66" s="71"/>
      <c r="C66" s="71"/>
      <c r="D66" s="71"/>
      <c r="E66" s="119" t="s">
        <v>4384</v>
      </c>
      <c r="F66" s="453" t="s">
        <v>6574</v>
      </c>
      <c r="G66" s="453"/>
      <c r="H66" s="66">
        <v>10924</v>
      </c>
      <c r="I66" s="82" t="s">
        <v>6031</v>
      </c>
      <c r="J66" s="100" t="s">
        <v>140</v>
      </c>
      <c r="K66" s="84">
        <v>0</v>
      </c>
      <c r="L66" s="84">
        <v>0</v>
      </c>
      <c r="M66" s="83">
        <v>45</v>
      </c>
      <c r="N66" s="223">
        <f>100+150</f>
        <v>250</v>
      </c>
      <c r="O66" s="83">
        <v>2</v>
      </c>
      <c r="P66" s="83">
        <f t="shared" si="6"/>
        <v>125</v>
      </c>
      <c r="Q66" s="83"/>
      <c r="R66" s="223">
        <v>125</v>
      </c>
      <c r="S66" s="223">
        <f t="shared" si="7"/>
        <v>0</v>
      </c>
      <c r="T66" s="83">
        <f t="shared" si="1"/>
        <v>3840</v>
      </c>
      <c r="U66" s="84">
        <f t="shared" si="2"/>
        <v>0</v>
      </c>
      <c r="V66" s="84">
        <f t="shared" si="3"/>
        <v>0</v>
      </c>
      <c r="W66" s="84">
        <v>0</v>
      </c>
      <c r="X66" s="255">
        <f t="shared" si="4"/>
        <v>46153.20089699074</v>
      </c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</row>
    <row r="67" spans="1:40" s="118" customFormat="1" hidden="1" x14ac:dyDescent="0.35">
      <c r="A67" s="71">
        <f t="shared" si="5"/>
        <v>46153.20089699074</v>
      </c>
      <c r="B67" s="71"/>
      <c r="C67" s="71"/>
      <c r="D67" s="71"/>
      <c r="E67" s="119" t="s">
        <v>4384</v>
      </c>
      <c r="F67" s="453" t="s">
        <v>6574</v>
      </c>
      <c r="G67" s="453"/>
      <c r="H67" s="66">
        <v>10927</v>
      </c>
      <c r="I67" s="82" t="s">
        <v>6034</v>
      </c>
      <c r="J67" s="100" t="s">
        <v>140</v>
      </c>
      <c r="K67" s="84">
        <v>0</v>
      </c>
      <c r="L67" s="84">
        <v>0</v>
      </c>
      <c r="M67" s="83">
        <v>45</v>
      </c>
      <c r="N67" s="223">
        <f>600+400</f>
        <v>1000</v>
      </c>
      <c r="O67" s="83">
        <v>2</v>
      </c>
      <c r="P67" s="83">
        <f t="shared" si="6"/>
        <v>500</v>
      </c>
      <c r="Q67" s="83"/>
      <c r="R67" s="223">
        <v>500</v>
      </c>
      <c r="S67" s="223">
        <f t="shared" si="7"/>
        <v>0</v>
      </c>
      <c r="T67" s="83">
        <f t="shared" si="1"/>
        <v>3840</v>
      </c>
      <c r="U67" s="84">
        <f t="shared" si="2"/>
        <v>0</v>
      </c>
      <c r="V67" s="84">
        <f t="shared" si="3"/>
        <v>0</v>
      </c>
      <c r="W67" s="84">
        <v>0</v>
      </c>
      <c r="X67" s="255">
        <f t="shared" si="4"/>
        <v>46153.20089699074</v>
      </c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</row>
    <row r="68" spans="1:40" s="118" customFormat="1" hidden="1" x14ac:dyDescent="0.35">
      <c r="A68" s="71">
        <f t="shared" si="5"/>
        <v>46153.20089699074</v>
      </c>
      <c r="B68" s="71"/>
      <c r="C68" s="71"/>
      <c r="D68" s="71"/>
      <c r="E68" s="119" t="s">
        <v>4384</v>
      </c>
      <c r="F68" s="453" t="s">
        <v>6574</v>
      </c>
      <c r="G68" s="453"/>
      <c r="H68" s="66">
        <v>10923</v>
      </c>
      <c r="I68" s="82" t="s">
        <v>6035</v>
      </c>
      <c r="J68" s="100" t="s">
        <v>140</v>
      </c>
      <c r="K68" s="84">
        <v>0</v>
      </c>
      <c r="L68" s="84">
        <v>0</v>
      </c>
      <c r="M68" s="83">
        <v>45</v>
      </c>
      <c r="N68" s="223">
        <f>600+200</f>
        <v>800</v>
      </c>
      <c r="O68" s="83">
        <v>2</v>
      </c>
      <c r="P68" s="83">
        <f t="shared" si="6"/>
        <v>400</v>
      </c>
      <c r="Q68" s="83"/>
      <c r="R68" s="223">
        <v>400</v>
      </c>
      <c r="S68" s="223">
        <f t="shared" si="7"/>
        <v>0</v>
      </c>
      <c r="T68" s="83">
        <f t="shared" si="1"/>
        <v>3840</v>
      </c>
      <c r="U68" s="84">
        <f t="shared" si="2"/>
        <v>0</v>
      </c>
      <c r="V68" s="84">
        <f t="shared" si="3"/>
        <v>0</v>
      </c>
      <c r="W68" s="84">
        <v>0</v>
      </c>
      <c r="X68" s="255">
        <f t="shared" si="4"/>
        <v>46153.20089699074</v>
      </c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</row>
    <row r="69" spans="1:40" s="118" customFormat="1" hidden="1" x14ac:dyDescent="0.35">
      <c r="A69" s="71">
        <f t="shared" si="5"/>
        <v>46153.20089699074</v>
      </c>
      <c r="B69" s="71"/>
      <c r="C69" s="71"/>
      <c r="D69" s="71"/>
      <c r="E69" s="119" t="s">
        <v>4384</v>
      </c>
      <c r="F69" s="453" t="s">
        <v>6574</v>
      </c>
      <c r="G69" s="453"/>
      <c r="H69" s="108">
        <v>10925</v>
      </c>
      <c r="I69" s="82" t="s">
        <v>6032</v>
      </c>
      <c r="J69" s="100" t="s">
        <v>140</v>
      </c>
      <c r="K69" s="101">
        <v>0</v>
      </c>
      <c r="L69" s="101">
        <v>0</v>
      </c>
      <c r="M69" s="102">
        <v>45</v>
      </c>
      <c r="N69" s="103">
        <f>100+150</f>
        <v>250</v>
      </c>
      <c r="O69" s="102">
        <v>2</v>
      </c>
      <c r="P69" s="102">
        <f t="shared" si="6"/>
        <v>125</v>
      </c>
      <c r="Q69" s="102"/>
      <c r="R69" s="103">
        <v>125</v>
      </c>
      <c r="S69" s="103">
        <f t="shared" si="7"/>
        <v>0</v>
      </c>
      <c r="T69" s="102">
        <f t="shared" si="1"/>
        <v>3840</v>
      </c>
      <c r="U69" s="101">
        <f t="shared" si="2"/>
        <v>0</v>
      </c>
      <c r="V69" s="101">
        <f t="shared" si="3"/>
        <v>0</v>
      </c>
      <c r="W69" s="101">
        <v>0</v>
      </c>
      <c r="X69" s="255">
        <f t="shared" si="4"/>
        <v>46153.20089699074</v>
      </c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</row>
    <row r="70" spans="1:40" s="118" customFormat="1" hidden="1" x14ac:dyDescent="0.35">
      <c r="A70" s="71">
        <f t="shared" si="5"/>
        <v>46153.20089699074</v>
      </c>
      <c r="B70" s="71"/>
      <c r="C70" s="71"/>
      <c r="D70" s="71"/>
      <c r="E70" s="119" t="s">
        <v>4384</v>
      </c>
      <c r="F70" s="453" t="s">
        <v>6574</v>
      </c>
      <c r="G70" s="453"/>
      <c r="H70" s="108">
        <v>10926</v>
      </c>
      <c r="I70" s="82" t="s">
        <v>6033</v>
      </c>
      <c r="J70" s="100" t="s">
        <v>140</v>
      </c>
      <c r="K70" s="101">
        <v>0</v>
      </c>
      <c r="L70" s="101">
        <v>0</v>
      </c>
      <c r="M70" s="102">
        <v>45</v>
      </c>
      <c r="N70" s="103">
        <f>100+100</f>
        <v>200</v>
      </c>
      <c r="O70" s="102">
        <v>2</v>
      </c>
      <c r="P70" s="102">
        <f t="shared" si="6"/>
        <v>100</v>
      </c>
      <c r="Q70" s="102"/>
      <c r="R70" s="103">
        <v>100</v>
      </c>
      <c r="S70" s="103">
        <f t="shared" si="7"/>
        <v>0</v>
      </c>
      <c r="T70" s="102">
        <f t="shared" si="1"/>
        <v>3840</v>
      </c>
      <c r="U70" s="101">
        <f t="shared" si="2"/>
        <v>0</v>
      </c>
      <c r="V70" s="101">
        <f t="shared" si="3"/>
        <v>0</v>
      </c>
      <c r="W70" s="101">
        <v>0</v>
      </c>
      <c r="X70" s="255">
        <f t="shared" si="4"/>
        <v>46153.20089699074</v>
      </c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</row>
    <row r="71" spans="1:40" s="118" customFormat="1" hidden="1" x14ac:dyDescent="0.35">
      <c r="A71" s="71">
        <f t="shared" si="5"/>
        <v>46153.20089699074</v>
      </c>
      <c r="B71" s="71"/>
      <c r="C71" s="71"/>
      <c r="D71" s="71"/>
      <c r="E71" s="119" t="s">
        <v>4758</v>
      </c>
      <c r="F71" s="453" t="s">
        <v>6575</v>
      </c>
      <c r="G71" s="453"/>
      <c r="H71" s="108">
        <v>11067</v>
      </c>
      <c r="I71" s="82" t="s">
        <v>6034</v>
      </c>
      <c r="J71" s="100" t="s">
        <v>140</v>
      </c>
      <c r="K71" s="101">
        <v>0</v>
      </c>
      <c r="L71" s="101">
        <v>0</v>
      </c>
      <c r="M71" s="102">
        <v>45</v>
      </c>
      <c r="N71" s="103">
        <v>1000</v>
      </c>
      <c r="O71" s="102">
        <v>2</v>
      </c>
      <c r="P71" s="102">
        <f t="shared" si="6"/>
        <v>500</v>
      </c>
      <c r="Q71" s="102"/>
      <c r="R71" s="103">
        <v>500</v>
      </c>
      <c r="S71" s="103">
        <f t="shared" si="7"/>
        <v>0</v>
      </c>
      <c r="T71" s="102">
        <f t="shared" si="1"/>
        <v>3840</v>
      </c>
      <c r="U71" s="101">
        <f t="shared" si="2"/>
        <v>0</v>
      </c>
      <c r="V71" s="101">
        <f t="shared" si="3"/>
        <v>0</v>
      </c>
      <c r="W71" s="101">
        <v>0</v>
      </c>
      <c r="X71" s="255">
        <f t="shared" si="4"/>
        <v>46153.20089699074</v>
      </c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</row>
    <row r="72" spans="1:40" s="118" customFormat="1" hidden="1" x14ac:dyDescent="0.35">
      <c r="A72" s="71">
        <f t="shared" si="5"/>
        <v>46153.20089699074</v>
      </c>
      <c r="B72" s="71"/>
      <c r="C72" s="71"/>
      <c r="D72" s="71"/>
      <c r="E72" s="119" t="s">
        <v>4758</v>
      </c>
      <c r="F72" s="453" t="s">
        <v>6575</v>
      </c>
      <c r="G72" s="453"/>
      <c r="H72" s="108">
        <v>11068</v>
      </c>
      <c r="I72" s="82" t="s">
        <v>6035</v>
      </c>
      <c r="J72" s="100" t="s">
        <v>140</v>
      </c>
      <c r="K72" s="101">
        <v>0</v>
      </c>
      <c r="L72" s="101">
        <v>0</v>
      </c>
      <c r="M72" s="102">
        <v>45</v>
      </c>
      <c r="N72" s="103">
        <v>700</v>
      </c>
      <c r="O72" s="102">
        <v>2</v>
      </c>
      <c r="P72" s="102">
        <f t="shared" si="6"/>
        <v>350</v>
      </c>
      <c r="Q72" s="102"/>
      <c r="R72" s="103">
        <v>350</v>
      </c>
      <c r="S72" s="103">
        <f t="shared" si="7"/>
        <v>0</v>
      </c>
      <c r="T72" s="102">
        <f t="shared" si="1"/>
        <v>3840</v>
      </c>
      <c r="U72" s="101">
        <f t="shared" si="2"/>
        <v>0</v>
      </c>
      <c r="V72" s="101">
        <f t="shared" si="3"/>
        <v>0</v>
      </c>
      <c r="W72" s="101">
        <v>0</v>
      </c>
      <c r="X72" s="255">
        <f t="shared" si="4"/>
        <v>46153.20089699074</v>
      </c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</row>
    <row r="73" spans="1:40" s="118" customFormat="1" ht="39.5" hidden="1" x14ac:dyDescent="0.35">
      <c r="A73" s="71">
        <f t="shared" si="5"/>
        <v>46153.20089699074</v>
      </c>
      <c r="B73" s="71"/>
      <c r="C73" s="71"/>
      <c r="D73" s="71"/>
      <c r="E73" s="119" t="s">
        <v>4758</v>
      </c>
      <c r="F73" s="57" t="s">
        <v>220</v>
      </c>
      <c r="G73" s="57"/>
      <c r="H73" s="49" t="s">
        <v>6576</v>
      </c>
      <c r="I73" s="85" t="s">
        <v>4874</v>
      </c>
      <c r="J73" s="100" t="s">
        <v>140</v>
      </c>
      <c r="K73" s="84">
        <v>0</v>
      </c>
      <c r="L73" s="84">
        <v>0</v>
      </c>
      <c r="M73" s="83">
        <v>65</v>
      </c>
      <c r="N73" s="223">
        <v>1500</v>
      </c>
      <c r="O73" s="83">
        <v>1</v>
      </c>
      <c r="P73" s="83">
        <f t="shared" si="6"/>
        <v>1500</v>
      </c>
      <c r="Q73" s="83"/>
      <c r="R73" s="223">
        <v>1500</v>
      </c>
      <c r="S73" s="223">
        <f t="shared" si="7"/>
        <v>0</v>
      </c>
      <c r="T73" s="83">
        <f t="shared" si="1"/>
        <v>1329.2307692307693</v>
      </c>
      <c r="U73" s="84">
        <f t="shared" si="2"/>
        <v>0</v>
      </c>
      <c r="V73" s="84">
        <f t="shared" si="3"/>
        <v>0</v>
      </c>
      <c r="W73" s="84">
        <v>0</v>
      </c>
      <c r="X73" s="255">
        <f t="shared" si="4"/>
        <v>46153.20089699074</v>
      </c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</row>
    <row r="74" spans="1:40" s="118" customFormat="1" ht="43.5" hidden="1" x14ac:dyDescent="0.35">
      <c r="A74" s="71">
        <f t="shared" si="5"/>
        <v>46153.20089699074</v>
      </c>
      <c r="B74" s="71"/>
      <c r="C74" s="71"/>
      <c r="D74" s="71"/>
      <c r="E74" s="810" t="s">
        <v>4758</v>
      </c>
      <c r="F74" s="830" t="s">
        <v>5436</v>
      </c>
      <c r="G74" s="830"/>
      <c r="H74" s="66" t="s">
        <v>6577</v>
      </c>
      <c r="I74" s="82" t="s">
        <v>6029</v>
      </c>
      <c r="J74" s="100" t="s">
        <v>140</v>
      </c>
      <c r="K74" s="84">
        <v>0</v>
      </c>
      <c r="L74" s="84">
        <v>0</v>
      </c>
      <c r="M74" s="108">
        <v>43</v>
      </c>
      <c r="N74" s="223">
        <v>700</v>
      </c>
      <c r="O74" s="83">
        <v>1</v>
      </c>
      <c r="P74" s="83">
        <f t="shared" si="6"/>
        <v>700</v>
      </c>
      <c r="Q74" s="83"/>
      <c r="R74" s="223">
        <v>700</v>
      </c>
      <c r="S74" s="223">
        <f t="shared" si="7"/>
        <v>0</v>
      </c>
      <c r="T74" s="83">
        <f t="shared" ref="T74:T105" si="8">((3600/M74)*O74)*24</f>
        <v>2009.3023255813955</v>
      </c>
      <c r="U74" s="84">
        <f t="shared" ref="U74:U105" si="9">(P74-R74)*M74/3600</f>
        <v>0</v>
      </c>
      <c r="V74" s="84">
        <f t="shared" ref="V74:V105" si="10">(P74-R74)*M74/3600/24</f>
        <v>0</v>
      </c>
      <c r="W74" s="84">
        <v>0</v>
      </c>
      <c r="X74" s="255">
        <f t="shared" ref="X74:X85" si="11">A74+K74+L74+V74+W74</f>
        <v>46153.20089699074</v>
      </c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</row>
    <row r="75" spans="1:40" s="229" customFormat="1" hidden="1" x14ac:dyDescent="0.35">
      <c r="A75" s="71">
        <f t="shared" ref="A75:A120" si="12">X74</f>
        <v>46153.20089699074</v>
      </c>
      <c r="B75" s="71"/>
      <c r="C75" s="71"/>
      <c r="D75" s="71"/>
      <c r="E75" s="119" t="s">
        <v>4758</v>
      </c>
      <c r="F75" s="830" t="s">
        <v>5436</v>
      </c>
      <c r="G75" s="830"/>
      <c r="H75" s="66">
        <v>11008</v>
      </c>
      <c r="I75" s="82" t="s">
        <v>6572</v>
      </c>
      <c r="J75" s="100" t="s">
        <v>140</v>
      </c>
      <c r="K75" s="84">
        <v>0</v>
      </c>
      <c r="L75" s="84">
        <v>0</v>
      </c>
      <c r="M75" s="83">
        <v>108</v>
      </c>
      <c r="N75" s="223">
        <v>700</v>
      </c>
      <c r="O75" s="83">
        <v>1</v>
      </c>
      <c r="P75" s="83">
        <f t="shared" si="6"/>
        <v>700</v>
      </c>
      <c r="Q75" s="83"/>
      <c r="R75" s="223">
        <v>700</v>
      </c>
      <c r="S75" s="223">
        <f t="shared" si="7"/>
        <v>0</v>
      </c>
      <c r="T75" s="83">
        <f t="shared" si="8"/>
        <v>800</v>
      </c>
      <c r="U75" s="84">
        <f t="shared" si="9"/>
        <v>0</v>
      </c>
      <c r="V75" s="84">
        <f t="shared" si="10"/>
        <v>0</v>
      </c>
      <c r="W75" s="84">
        <v>0</v>
      </c>
      <c r="X75" s="255">
        <f t="shared" si="11"/>
        <v>46153.20089699074</v>
      </c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</row>
    <row r="76" spans="1:40" s="118" customFormat="1" hidden="1" x14ac:dyDescent="0.35">
      <c r="A76" s="71">
        <f t="shared" si="12"/>
        <v>46153.20089699074</v>
      </c>
      <c r="B76" s="71"/>
      <c r="C76" s="71"/>
      <c r="D76" s="71"/>
      <c r="E76" s="119" t="s">
        <v>4758</v>
      </c>
      <c r="F76" s="453" t="s">
        <v>6578</v>
      </c>
      <c r="G76" s="453"/>
      <c r="H76" s="66">
        <v>11190</v>
      </c>
      <c r="I76" s="82" t="s">
        <v>6034</v>
      </c>
      <c r="J76" s="100" t="s">
        <v>140</v>
      </c>
      <c r="K76" s="84">
        <v>0.25</v>
      </c>
      <c r="L76" s="84">
        <v>0.2</v>
      </c>
      <c r="M76" s="83">
        <v>45</v>
      </c>
      <c r="N76" s="223">
        <v>1600</v>
      </c>
      <c r="O76" s="83">
        <v>2</v>
      </c>
      <c r="P76" s="83">
        <f t="shared" si="6"/>
        <v>800</v>
      </c>
      <c r="Q76" s="83"/>
      <c r="R76" s="223">
        <v>800</v>
      </c>
      <c r="S76" s="223">
        <f t="shared" si="7"/>
        <v>0</v>
      </c>
      <c r="T76" s="83">
        <f t="shared" si="8"/>
        <v>3840</v>
      </c>
      <c r="U76" s="84">
        <f t="shared" si="9"/>
        <v>0</v>
      </c>
      <c r="V76" s="84">
        <f t="shared" si="10"/>
        <v>0</v>
      </c>
      <c r="W76" s="84">
        <v>0</v>
      </c>
      <c r="X76" s="255">
        <f t="shared" si="11"/>
        <v>46153.650896990737</v>
      </c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</row>
    <row r="77" spans="1:40" s="118" customFormat="1" hidden="1" x14ac:dyDescent="0.35">
      <c r="A77" s="71">
        <f t="shared" si="12"/>
        <v>46153.650896990737</v>
      </c>
      <c r="B77" s="71"/>
      <c r="C77" s="71"/>
      <c r="D77" s="71"/>
      <c r="E77" s="119" t="s">
        <v>4758</v>
      </c>
      <c r="F77" s="453" t="s">
        <v>6578</v>
      </c>
      <c r="G77" s="453"/>
      <c r="H77" s="108">
        <v>11192</v>
      </c>
      <c r="I77" s="82" t="s">
        <v>6032</v>
      </c>
      <c r="J77" s="100" t="s">
        <v>140</v>
      </c>
      <c r="K77" s="101">
        <v>0</v>
      </c>
      <c r="L77" s="101">
        <v>0</v>
      </c>
      <c r="M77" s="102">
        <v>45</v>
      </c>
      <c r="N77" s="103">
        <v>400</v>
      </c>
      <c r="O77" s="102">
        <v>2</v>
      </c>
      <c r="P77" s="102">
        <f t="shared" si="6"/>
        <v>200</v>
      </c>
      <c r="Q77" s="102"/>
      <c r="R77" s="103">
        <v>200</v>
      </c>
      <c r="S77" s="103">
        <f t="shared" si="7"/>
        <v>0</v>
      </c>
      <c r="T77" s="102">
        <f t="shared" si="8"/>
        <v>3840</v>
      </c>
      <c r="U77" s="101">
        <f t="shared" si="9"/>
        <v>0</v>
      </c>
      <c r="V77" s="101">
        <f t="shared" si="10"/>
        <v>0</v>
      </c>
      <c r="W77" s="101">
        <v>0</v>
      </c>
      <c r="X77" s="255">
        <f t="shared" si="11"/>
        <v>46153.650896990737</v>
      </c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</row>
    <row r="78" spans="1:40" s="118" customFormat="1" hidden="1" x14ac:dyDescent="0.35">
      <c r="A78" s="71">
        <f t="shared" si="12"/>
        <v>46153.650896990737</v>
      </c>
      <c r="B78" s="71"/>
      <c r="C78" s="71"/>
      <c r="D78" s="71"/>
      <c r="E78" s="119" t="s">
        <v>4758</v>
      </c>
      <c r="F78" s="453" t="s">
        <v>6578</v>
      </c>
      <c r="G78" s="453"/>
      <c r="H78" s="108">
        <v>11193</v>
      </c>
      <c r="I78" s="82" t="s">
        <v>6033</v>
      </c>
      <c r="J78" s="100" t="s">
        <v>140</v>
      </c>
      <c r="K78" s="101">
        <v>0</v>
      </c>
      <c r="L78" s="101">
        <v>0</v>
      </c>
      <c r="M78" s="102">
        <v>45</v>
      </c>
      <c r="N78" s="103">
        <v>400</v>
      </c>
      <c r="O78" s="102">
        <v>2</v>
      </c>
      <c r="P78" s="102">
        <f t="shared" si="6"/>
        <v>200</v>
      </c>
      <c r="Q78" s="102"/>
      <c r="R78" s="103">
        <v>200</v>
      </c>
      <c r="S78" s="103">
        <f t="shared" si="7"/>
        <v>0</v>
      </c>
      <c r="T78" s="102">
        <f t="shared" si="8"/>
        <v>3840</v>
      </c>
      <c r="U78" s="101">
        <f t="shared" si="9"/>
        <v>0</v>
      </c>
      <c r="V78" s="101">
        <f t="shared" si="10"/>
        <v>0</v>
      </c>
      <c r="W78" s="101">
        <v>0</v>
      </c>
      <c r="X78" s="255">
        <f t="shared" si="11"/>
        <v>46153.650896990737</v>
      </c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</row>
    <row r="79" spans="1:40" s="118" customFormat="1" hidden="1" x14ac:dyDescent="0.35">
      <c r="A79" s="71">
        <f t="shared" si="12"/>
        <v>46153.650896990737</v>
      </c>
      <c r="B79" s="71"/>
      <c r="C79" s="71"/>
      <c r="D79" s="71"/>
      <c r="E79" s="119" t="s">
        <v>4758</v>
      </c>
      <c r="F79" s="453" t="s">
        <v>6578</v>
      </c>
      <c r="G79" s="453"/>
      <c r="H79" s="66">
        <v>11191</v>
      </c>
      <c r="I79" s="82" t="s">
        <v>6031</v>
      </c>
      <c r="J79" s="100" t="s">
        <v>140</v>
      </c>
      <c r="K79" s="84">
        <v>0</v>
      </c>
      <c r="L79" s="84">
        <v>0</v>
      </c>
      <c r="M79" s="83">
        <v>45</v>
      </c>
      <c r="N79" s="223">
        <v>600</v>
      </c>
      <c r="O79" s="83">
        <v>2</v>
      </c>
      <c r="P79" s="83">
        <f t="shared" si="6"/>
        <v>300</v>
      </c>
      <c r="Q79" s="83"/>
      <c r="R79" s="223">
        <v>300</v>
      </c>
      <c r="S79" s="223">
        <f t="shared" si="7"/>
        <v>0</v>
      </c>
      <c r="T79" s="83">
        <f t="shared" si="8"/>
        <v>3840</v>
      </c>
      <c r="U79" s="84">
        <f t="shared" si="9"/>
        <v>0</v>
      </c>
      <c r="V79" s="84">
        <f t="shared" si="10"/>
        <v>0</v>
      </c>
      <c r="W79" s="84">
        <v>0</v>
      </c>
      <c r="X79" s="255">
        <f t="shared" si="11"/>
        <v>46153.650896990737</v>
      </c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</row>
    <row r="80" spans="1:40" s="118" customFormat="1" hidden="1" x14ac:dyDescent="0.35">
      <c r="A80" s="71">
        <f t="shared" si="12"/>
        <v>46153.650896990737</v>
      </c>
      <c r="B80" s="71"/>
      <c r="C80" s="71"/>
      <c r="D80" s="71"/>
      <c r="E80" s="119" t="s">
        <v>4758</v>
      </c>
      <c r="F80" s="453" t="s">
        <v>6578</v>
      </c>
      <c r="G80" s="453"/>
      <c r="H80" s="66">
        <v>11194</v>
      </c>
      <c r="I80" s="82" t="s">
        <v>6035</v>
      </c>
      <c r="J80" s="100" t="s">
        <v>140</v>
      </c>
      <c r="K80" s="84">
        <v>0</v>
      </c>
      <c r="L80" s="84">
        <v>0.2</v>
      </c>
      <c r="M80" s="83">
        <v>45</v>
      </c>
      <c r="N80" s="223">
        <v>1000</v>
      </c>
      <c r="O80" s="83">
        <v>2</v>
      </c>
      <c r="P80" s="83">
        <f t="shared" si="6"/>
        <v>500</v>
      </c>
      <c r="Q80" s="83"/>
      <c r="R80" s="223">
        <v>500</v>
      </c>
      <c r="S80" s="223">
        <f t="shared" si="7"/>
        <v>0</v>
      </c>
      <c r="T80" s="83">
        <f t="shared" si="8"/>
        <v>3840</v>
      </c>
      <c r="U80" s="84">
        <f t="shared" si="9"/>
        <v>0</v>
      </c>
      <c r="V80" s="84">
        <f t="shared" si="10"/>
        <v>0</v>
      </c>
      <c r="W80" s="84">
        <v>0</v>
      </c>
      <c r="X80" s="255">
        <f t="shared" si="11"/>
        <v>46153.850896990734</v>
      </c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</row>
    <row r="81" spans="1:40" s="118" customFormat="1" hidden="1" x14ac:dyDescent="0.35">
      <c r="A81" s="71">
        <f t="shared" si="12"/>
        <v>46153.850896990734</v>
      </c>
      <c r="B81" s="71"/>
      <c r="C81" s="71"/>
      <c r="D81" s="71"/>
      <c r="E81" s="119" t="s">
        <v>4758</v>
      </c>
      <c r="F81" s="97" t="s">
        <v>6579</v>
      </c>
      <c r="G81" s="97"/>
      <c r="H81" s="98" t="s">
        <v>6580</v>
      </c>
      <c r="I81" s="85" t="s">
        <v>4599</v>
      </c>
      <c r="J81" s="100" t="s">
        <v>140</v>
      </c>
      <c r="K81" s="84">
        <v>0</v>
      </c>
      <c r="L81" s="84">
        <v>0</v>
      </c>
      <c r="M81" s="102">
        <v>68</v>
      </c>
      <c r="N81" s="103">
        <v>1000</v>
      </c>
      <c r="O81" s="102">
        <v>2</v>
      </c>
      <c r="P81" s="102">
        <f t="shared" si="6"/>
        <v>500</v>
      </c>
      <c r="Q81" s="102"/>
      <c r="R81" s="103">
        <v>500</v>
      </c>
      <c r="S81" s="103">
        <f t="shared" si="7"/>
        <v>0</v>
      </c>
      <c r="T81" s="102">
        <f t="shared" si="8"/>
        <v>2541.1764705882351</v>
      </c>
      <c r="U81" s="101">
        <f t="shared" si="9"/>
        <v>0</v>
      </c>
      <c r="V81" s="101">
        <f t="shared" si="10"/>
        <v>0</v>
      </c>
      <c r="W81" s="101">
        <v>0</v>
      </c>
      <c r="X81" s="255">
        <f t="shared" si="11"/>
        <v>46153.850896990734</v>
      </c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</row>
    <row r="82" spans="1:40" s="118" customFormat="1" hidden="1" x14ac:dyDescent="0.35">
      <c r="A82" s="71">
        <f t="shared" si="12"/>
        <v>46153.850896990734</v>
      </c>
      <c r="B82" s="71"/>
      <c r="C82" s="71"/>
      <c r="D82" s="71"/>
      <c r="E82" s="119" t="s">
        <v>4999</v>
      </c>
      <c r="F82" s="57" t="s">
        <v>633</v>
      </c>
      <c r="G82" s="57"/>
      <c r="H82" s="59" t="s">
        <v>6581</v>
      </c>
      <c r="I82" s="855" t="s">
        <v>4884</v>
      </c>
      <c r="J82" s="100" t="s">
        <v>140</v>
      </c>
      <c r="K82" s="84">
        <v>0</v>
      </c>
      <c r="L82" s="84">
        <v>0</v>
      </c>
      <c r="M82" s="83">
        <v>120</v>
      </c>
      <c r="N82" s="223">
        <v>6000</v>
      </c>
      <c r="O82" s="83">
        <v>1</v>
      </c>
      <c r="P82" s="83">
        <f t="shared" si="6"/>
        <v>6000</v>
      </c>
      <c r="Q82" s="83"/>
      <c r="R82" s="223">
        <v>6000</v>
      </c>
      <c r="S82" s="223">
        <f t="shared" si="7"/>
        <v>0</v>
      </c>
      <c r="T82" s="83">
        <f t="shared" si="8"/>
        <v>720</v>
      </c>
      <c r="U82" s="84">
        <f t="shared" si="9"/>
        <v>0</v>
      </c>
      <c r="V82" s="84">
        <f t="shared" si="10"/>
        <v>0</v>
      </c>
      <c r="W82" s="84">
        <v>0</v>
      </c>
      <c r="X82" s="255">
        <f t="shared" si="11"/>
        <v>46153.850896990734</v>
      </c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</row>
    <row r="83" spans="1:40" s="118" customFormat="1" hidden="1" x14ac:dyDescent="0.35">
      <c r="A83" s="71">
        <f t="shared" si="12"/>
        <v>46153.850896990734</v>
      </c>
      <c r="B83" s="71"/>
      <c r="C83" s="71"/>
      <c r="D83" s="71"/>
      <c r="E83" s="119" t="s">
        <v>3503</v>
      </c>
      <c r="F83" s="97" t="s">
        <v>4942</v>
      </c>
      <c r="G83" s="82" t="s">
        <v>315</v>
      </c>
      <c r="H83" s="98" t="s">
        <v>6582</v>
      </c>
      <c r="I83" s="69" t="s">
        <v>4939</v>
      </c>
      <c r="J83" s="100" t="s">
        <v>140</v>
      </c>
      <c r="K83" s="101">
        <v>0</v>
      </c>
      <c r="L83" s="101">
        <v>0</v>
      </c>
      <c r="M83" s="102">
        <v>25</v>
      </c>
      <c r="N83" s="103">
        <v>7200</v>
      </c>
      <c r="O83" s="102">
        <v>1</v>
      </c>
      <c r="P83" s="102">
        <f t="shared" si="6"/>
        <v>7200</v>
      </c>
      <c r="Q83" s="102"/>
      <c r="R83" s="103">
        <v>7200</v>
      </c>
      <c r="S83" s="103">
        <f t="shared" si="7"/>
        <v>0</v>
      </c>
      <c r="T83" s="102">
        <f t="shared" si="8"/>
        <v>3456</v>
      </c>
      <c r="U83" s="101">
        <f t="shared" si="9"/>
        <v>0</v>
      </c>
      <c r="V83" s="101">
        <f t="shared" si="10"/>
        <v>0</v>
      </c>
      <c r="W83" s="101">
        <v>0</v>
      </c>
      <c r="X83" s="255">
        <f t="shared" si="11"/>
        <v>46153.850896990734</v>
      </c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</row>
    <row r="84" spans="1:40" s="118" customFormat="1" hidden="1" x14ac:dyDescent="0.35">
      <c r="A84" s="71">
        <f t="shared" si="12"/>
        <v>46153.850896990734</v>
      </c>
      <c r="B84" s="71"/>
      <c r="C84" s="71"/>
      <c r="D84" s="71"/>
      <c r="E84" s="119" t="s">
        <v>3503</v>
      </c>
      <c r="F84" s="57" t="s">
        <v>355</v>
      </c>
      <c r="G84" s="57" t="s">
        <v>315</v>
      </c>
      <c r="H84" s="49" t="s">
        <v>6583</v>
      </c>
      <c r="I84" s="82" t="s">
        <v>4784</v>
      </c>
      <c r="J84" s="100" t="s">
        <v>140</v>
      </c>
      <c r="K84" s="101">
        <v>0</v>
      </c>
      <c r="L84" s="101">
        <v>0</v>
      </c>
      <c r="M84" s="102">
        <v>50</v>
      </c>
      <c r="N84" s="103">
        <v>5000</v>
      </c>
      <c r="O84" s="102">
        <v>1</v>
      </c>
      <c r="P84" s="102">
        <f t="shared" si="6"/>
        <v>5000</v>
      </c>
      <c r="Q84" s="102"/>
      <c r="R84" s="103">
        <v>5000</v>
      </c>
      <c r="S84" s="103">
        <f t="shared" si="7"/>
        <v>0</v>
      </c>
      <c r="T84" s="102">
        <f t="shared" si="8"/>
        <v>1728</v>
      </c>
      <c r="U84" s="101">
        <f t="shared" si="9"/>
        <v>0</v>
      </c>
      <c r="V84" s="101">
        <f t="shared" si="10"/>
        <v>0</v>
      </c>
      <c r="W84" s="101">
        <v>0</v>
      </c>
      <c r="X84" s="255">
        <f t="shared" si="11"/>
        <v>46153.850896990734</v>
      </c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</row>
    <row r="85" spans="1:40" s="118" customFormat="1" hidden="1" x14ac:dyDescent="0.35">
      <c r="A85" s="71">
        <f t="shared" si="12"/>
        <v>46153.850896990734</v>
      </c>
      <c r="B85" s="71"/>
      <c r="C85" s="71"/>
      <c r="D85" s="71"/>
      <c r="E85" s="810" t="s">
        <v>4758</v>
      </c>
      <c r="F85" s="100" t="s">
        <v>355</v>
      </c>
      <c r="G85" s="698" t="s">
        <v>3508</v>
      </c>
      <c r="H85" s="699" t="s">
        <v>3501</v>
      </c>
      <c r="I85" s="71" t="s">
        <v>3502</v>
      </c>
      <c r="J85" s="100" t="s">
        <v>140</v>
      </c>
      <c r="K85" s="101">
        <v>0</v>
      </c>
      <c r="L85" s="101">
        <v>0</v>
      </c>
      <c r="M85" s="102">
        <v>40</v>
      </c>
      <c r="N85" s="103">
        <v>8500</v>
      </c>
      <c r="O85" s="102">
        <v>1</v>
      </c>
      <c r="P85" s="103">
        <f t="shared" ref="P85:P120" si="13">N85/O85</f>
        <v>8500</v>
      </c>
      <c r="Q85" s="103"/>
      <c r="R85" s="103">
        <v>8500</v>
      </c>
      <c r="S85" s="103">
        <f t="shared" si="7"/>
        <v>0</v>
      </c>
      <c r="T85" s="102">
        <f t="shared" si="8"/>
        <v>2160</v>
      </c>
      <c r="U85" s="101">
        <f t="shared" si="9"/>
        <v>0</v>
      </c>
      <c r="V85" s="101">
        <f t="shared" si="10"/>
        <v>0</v>
      </c>
      <c r="W85" s="101">
        <v>0</v>
      </c>
      <c r="X85" s="255">
        <f t="shared" si="11"/>
        <v>46153.850896990734</v>
      </c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</row>
    <row r="86" spans="1:40" s="118" customFormat="1" hidden="1" x14ac:dyDescent="0.35">
      <c r="A86" s="46">
        <f t="shared" si="12"/>
        <v>46153.850896990734</v>
      </c>
      <c r="B86" s="46"/>
      <c r="C86" s="46"/>
      <c r="D86" s="46"/>
      <c r="E86" s="47" t="s">
        <v>4384</v>
      </c>
      <c r="F86" s="97" t="s">
        <v>1603</v>
      </c>
      <c r="G86" s="830" t="s">
        <v>3513</v>
      </c>
      <c r="H86" s="98" t="s">
        <v>6584</v>
      </c>
      <c r="I86" s="71" t="s">
        <v>3481</v>
      </c>
      <c r="J86" s="100" t="s">
        <v>140</v>
      </c>
      <c r="K86" s="91">
        <v>0</v>
      </c>
      <c r="L86" s="91">
        <v>0</v>
      </c>
      <c r="M86" s="92">
        <v>40</v>
      </c>
      <c r="N86" s="94">
        <f>4800+2200</f>
        <v>7000</v>
      </c>
      <c r="O86" s="253">
        <v>1</v>
      </c>
      <c r="P86" s="94">
        <f t="shared" si="13"/>
        <v>7000</v>
      </c>
      <c r="Q86" s="94"/>
      <c r="R86" s="92">
        <v>7000</v>
      </c>
      <c r="S86" s="94">
        <f t="shared" si="7"/>
        <v>0</v>
      </c>
      <c r="T86" s="173">
        <f t="shared" si="8"/>
        <v>2160</v>
      </c>
      <c r="U86" s="101">
        <f t="shared" si="9"/>
        <v>0</v>
      </c>
      <c r="V86" s="101">
        <f t="shared" si="10"/>
        <v>0</v>
      </c>
      <c r="W86" s="101">
        <v>0</v>
      </c>
      <c r="X86" s="696">
        <f>A86+K86+V86+W86+L86</f>
        <v>46153.850896990734</v>
      </c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</row>
    <row r="87" spans="1:40" s="118" customFormat="1" hidden="1" x14ac:dyDescent="0.35">
      <c r="A87" s="46">
        <f t="shared" si="12"/>
        <v>46153.850896990734</v>
      </c>
      <c r="B87" s="46"/>
      <c r="C87" s="46"/>
      <c r="D87" s="46"/>
      <c r="E87" s="47" t="s">
        <v>4384</v>
      </c>
      <c r="F87" s="97" t="s">
        <v>1625</v>
      </c>
      <c r="G87" s="97" t="s">
        <v>3513</v>
      </c>
      <c r="H87" s="108">
        <v>12702</v>
      </c>
      <c r="I87" s="82" t="s">
        <v>5288</v>
      </c>
      <c r="J87" s="51" t="s">
        <v>140</v>
      </c>
      <c r="K87" s="91">
        <v>0</v>
      </c>
      <c r="L87" s="91">
        <v>0</v>
      </c>
      <c r="M87" s="92">
        <v>40</v>
      </c>
      <c r="N87" s="94">
        <v>12000</v>
      </c>
      <c r="O87" s="92">
        <v>4</v>
      </c>
      <c r="P87" s="94">
        <f t="shared" si="13"/>
        <v>3000</v>
      </c>
      <c r="Q87" s="94"/>
      <c r="R87" s="92">
        <v>3000</v>
      </c>
      <c r="S87" s="94">
        <f t="shared" si="7"/>
        <v>0</v>
      </c>
      <c r="T87" s="92">
        <f t="shared" si="8"/>
        <v>8640</v>
      </c>
      <c r="U87" s="91">
        <f t="shared" si="9"/>
        <v>0</v>
      </c>
      <c r="V87" s="91">
        <f t="shared" si="10"/>
        <v>0</v>
      </c>
      <c r="W87" s="91">
        <v>0</v>
      </c>
      <c r="X87" s="55">
        <f>A87+K87+V87+W87+L87</f>
        <v>46153.850896990734</v>
      </c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</row>
    <row r="88" spans="1:40" s="118" customFormat="1" ht="26.5" hidden="1" x14ac:dyDescent="0.35">
      <c r="A88" s="46">
        <f t="shared" si="12"/>
        <v>46153.850896990734</v>
      </c>
      <c r="B88" s="46"/>
      <c r="C88" s="46"/>
      <c r="D88" s="46"/>
      <c r="E88" s="810" t="s">
        <v>4384</v>
      </c>
      <c r="F88" s="97" t="s">
        <v>1625</v>
      </c>
      <c r="G88" s="453" t="s">
        <v>3513</v>
      </c>
      <c r="H88" s="108" t="s">
        <v>6585</v>
      </c>
      <c r="I88" s="82" t="s">
        <v>4909</v>
      </c>
      <c r="J88" s="100" t="s">
        <v>140</v>
      </c>
      <c r="K88" s="101">
        <v>0</v>
      </c>
      <c r="L88" s="91">
        <v>0</v>
      </c>
      <c r="M88" s="102">
        <v>30</v>
      </c>
      <c r="N88" s="103">
        <v>3500</v>
      </c>
      <c r="O88" s="102">
        <v>1</v>
      </c>
      <c r="P88" s="103">
        <f t="shared" si="13"/>
        <v>3500</v>
      </c>
      <c r="Q88" s="103"/>
      <c r="R88" s="103">
        <v>3500</v>
      </c>
      <c r="S88" s="103">
        <f t="shared" si="7"/>
        <v>0</v>
      </c>
      <c r="T88" s="102">
        <f t="shared" si="8"/>
        <v>2880</v>
      </c>
      <c r="U88" s="101">
        <f t="shared" si="9"/>
        <v>0</v>
      </c>
      <c r="V88" s="101">
        <f t="shared" si="10"/>
        <v>0</v>
      </c>
      <c r="W88" s="101">
        <v>0</v>
      </c>
      <c r="X88" s="255">
        <f>A88+K88+L88+V88+W88</f>
        <v>46153.850896990734</v>
      </c>
    </row>
    <row r="89" spans="1:40" s="118" customFormat="1" hidden="1" x14ac:dyDescent="0.35">
      <c r="A89" s="46">
        <f t="shared" si="12"/>
        <v>46153.850896990734</v>
      </c>
      <c r="B89" s="46"/>
      <c r="C89" s="46"/>
      <c r="D89" s="46"/>
      <c r="E89" s="47" t="s">
        <v>4384</v>
      </c>
      <c r="F89" s="97" t="s">
        <v>1625</v>
      </c>
      <c r="G89" s="830" t="s">
        <v>3513</v>
      </c>
      <c r="H89" s="108">
        <v>12971</v>
      </c>
      <c r="I89" s="82" t="s">
        <v>2814</v>
      </c>
      <c r="J89" s="100" t="s">
        <v>140</v>
      </c>
      <c r="K89" s="101">
        <v>0</v>
      </c>
      <c r="L89" s="101">
        <v>0</v>
      </c>
      <c r="M89" s="102">
        <v>35</v>
      </c>
      <c r="N89" s="103">
        <v>4000</v>
      </c>
      <c r="O89" s="102">
        <v>1</v>
      </c>
      <c r="P89" s="103">
        <f t="shared" si="13"/>
        <v>4000</v>
      </c>
      <c r="Q89" s="103"/>
      <c r="R89" s="103">
        <v>4000</v>
      </c>
      <c r="S89" s="103">
        <f t="shared" si="7"/>
        <v>0</v>
      </c>
      <c r="T89" s="102">
        <f t="shared" si="8"/>
        <v>2468.5714285714284</v>
      </c>
      <c r="U89" s="101">
        <f t="shared" si="9"/>
        <v>0</v>
      </c>
      <c r="V89" s="101">
        <f t="shared" si="10"/>
        <v>0</v>
      </c>
      <c r="W89" s="101">
        <v>0</v>
      </c>
      <c r="X89" s="255">
        <f>A89+K89+L89+V89+W89</f>
        <v>46153.850896990734</v>
      </c>
    </row>
    <row r="90" spans="1:40" s="109" customFormat="1" ht="39" hidden="1" x14ac:dyDescent="0.3">
      <c r="A90" s="46">
        <f t="shared" si="12"/>
        <v>46153.850896990734</v>
      </c>
      <c r="B90" s="46"/>
      <c r="C90" s="46"/>
      <c r="D90" s="46"/>
      <c r="E90" s="47" t="s">
        <v>4758</v>
      </c>
      <c r="F90" s="51" t="s">
        <v>3498</v>
      </c>
      <c r="G90" s="82" t="s">
        <v>327</v>
      </c>
      <c r="H90" s="98" t="s">
        <v>6586</v>
      </c>
      <c r="I90" s="69" t="s">
        <v>4881</v>
      </c>
      <c r="J90" s="100" t="s">
        <v>140</v>
      </c>
      <c r="K90" s="91">
        <v>0</v>
      </c>
      <c r="L90" s="91">
        <v>0</v>
      </c>
      <c r="M90" s="92">
        <v>35</v>
      </c>
      <c r="N90" s="94">
        <v>31000</v>
      </c>
      <c r="O90" s="92">
        <v>2</v>
      </c>
      <c r="P90" s="94">
        <f t="shared" si="13"/>
        <v>15500</v>
      </c>
      <c r="Q90" s="94"/>
      <c r="R90" s="92">
        <v>15500</v>
      </c>
      <c r="S90" s="92">
        <f t="shared" si="7"/>
        <v>0</v>
      </c>
      <c r="T90" s="102">
        <f t="shared" si="8"/>
        <v>4937.1428571428569</v>
      </c>
      <c r="U90" s="101">
        <f t="shared" si="9"/>
        <v>0</v>
      </c>
      <c r="V90" s="101">
        <f t="shared" si="10"/>
        <v>0</v>
      </c>
      <c r="W90" s="101">
        <v>0</v>
      </c>
      <c r="X90" s="55">
        <f>A90+K90+V90+W90+L90</f>
        <v>46153.850896990734</v>
      </c>
    </row>
    <row r="91" spans="1:40" hidden="1" x14ac:dyDescent="0.35">
      <c r="A91" s="46">
        <f t="shared" si="12"/>
        <v>46153.850896990734</v>
      </c>
      <c r="B91" s="46"/>
      <c r="C91" s="46"/>
      <c r="D91" s="46"/>
      <c r="E91" s="47" t="s">
        <v>4384</v>
      </c>
      <c r="F91" s="97" t="s">
        <v>1264</v>
      </c>
      <c r="G91" s="698" t="s">
        <v>3508</v>
      </c>
      <c r="H91" s="699" t="s">
        <v>6587</v>
      </c>
      <c r="I91" s="82" t="s">
        <v>3536</v>
      </c>
      <c r="J91" s="51" t="s">
        <v>140</v>
      </c>
      <c r="K91" s="91">
        <v>0</v>
      </c>
      <c r="L91" s="91">
        <v>0</v>
      </c>
      <c r="M91" s="92">
        <v>40</v>
      </c>
      <c r="N91" s="94">
        <v>10000</v>
      </c>
      <c r="O91" s="92">
        <v>2</v>
      </c>
      <c r="P91" s="94">
        <f t="shared" si="13"/>
        <v>5000</v>
      </c>
      <c r="Q91" s="94"/>
      <c r="R91" s="92">
        <v>5000</v>
      </c>
      <c r="S91" s="92">
        <f t="shared" si="7"/>
        <v>0</v>
      </c>
      <c r="T91" s="92">
        <f t="shared" si="8"/>
        <v>4320</v>
      </c>
      <c r="U91" s="91">
        <f t="shared" si="9"/>
        <v>0</v>
      </c>
      <c r="V91" s="91">
        <f t="shared" si="10"/>
        <v>0</v>
      </c>
      <c r="W91" s="91">
        <v>0</v>
      </c>
      <c r="X91" s="55">
        <f>A91+K91+L91+V91+W91</f>
        <v>46153.850896990734</v>
      </c>
    </row>
    <row r="92" spans="1:40" hidden="1" x14ac:dyDescent="0.35">
      <c r="A92" s="46">
        <f t="shared" si="12"/>
        <v>46153.850896990734</v>
      </c>
      <c r="B92" s="46"/>
      <c r="C92" s="46"/>
      <c r="D92" s="46"/>
      <c r="E92" s="857" t="s">
        <v>4384</v>
      </c>
      <c r="F92" s="82" t="s">
        <v>4744</v>
      </c>
      <c r="G92" s="82" t="s">
        <v>780</v>
      </c>
      <c r="H92" s="98" t="s">
        <v>6588</v>
      </c>
      <c r="I92" s="71" t="s">
        <v>4636</v>
      </c>
      <c r="J92" s="100" t="s">
        <v>140</v>
      </c>
      <c r="K92" s="91">
        <v>0</v>
      </c>
      <c r="L92" s="91">
        <v>0</v>
      </c>
      <c r="M92" s="92">
        <v>42</v>
      </c>
      <c r="N92" s="94">
        <v>20000</v>
      </c>
      <c r="O92" s="92">
        <v>4</v>
      </c>
      <c r="P92" s="94">
        <f t="shared" si="13"/>
        <v>5000</v>
      </c>
      <c r="Q92" s="94"/>
      <c r="R92" s="92">
        <v>5000</v>
      </c>
      <c r="S92" s="92">
        <f t="shared" si="7"/>
        <v>0</v>
      </c>
      <c r="T92" s="102">
        <f t="shared" si="8"/>
        <v>8228.5714285714275</v>
      </c>
      <c r="U92" s="101">
        <f t="shared" si="9"/>
        <v>0</v>
      </c>
      <c r="V92" s="101">
        <f t="shared" si="10"/>
        <v>0</v>
      </c>
      <c r="W92" s="101">
        <v>0</v>
      </c>
      <c r="X92" s="55">
        <f>A92+K92+L92+V92+W92</f>
        <v>46153.850896990734</v>
      </c>
    </row>
    <row r="93" spans="1:40" s="118" customFormat="1" hidden="1" x14ac:dyDescent="0.35">
      <c r="A93" s="46">
        <f t="shared" si="12"/>
        <v>46153.850896990734</v>
      </c>
      <c r="B93" s="46"/>
      <c r="C93" s="46"/>
      <c r="D93" s="46"/>
      <c r="E93" s="47" t="s">
        <v>4897</v>
      </c>
      <c r="F93" s="82" t="s">
        <v>1640</v>
      </c>
      <c r="G93" s="453" t="s">
        <v>792</v>
      </c>
      <c r="H93" s="108">
        <v>13037</v>
      </c>
      <c r="I93" s="82" t="s">
        <v>4385</v>
      </c>
      <c r="J93" s="100" t="s">
        <v>140</v>
      </c>
      <c r="K93" s="101">
        <v>0</v>
      </c>
      <c r="L93" s="101">
        <v>0</v>
      </c>
      <c r="M93" s="102">
        <v>35</v>
      </c>
      <c r="N93" s="103">
        <f>11500/2</f>
        <v>5750</v>
      </c>
      <c r="O93" s="102">
        <v>1</v>
      </c>
      <c r="P93" s="103">
        <f t="shared" si="13"/>
        <v>5750</v>
      </c>
      <c r="Q93" s="103"/>
      <c r="R93" s="103">
        <v>5750</v>
      </c>
      <c r="S93" s="103">
        <f t="shared" si="7"/>
        <v>0</v>
      </c>
      <c r="T93" s="102">
        <f t="shared" si="8"/>
        <v>2468.5714285714284</v>
      </c>
      <c r="U93" s="101">
        <f t="shared" si="9"/>
        <v>0</v>
      </c>
      <c r="V93" s="101">
        <f t="shared" si="10"/>
        <v>0</v>
      </c>
      <c r="W93" s="101">
        <v>0</v>
      </c>
      <c r="X93" s="255">
        <f>A93+K93+L93+V93+W93</f>
        <v>46153.850896990734</v>
      </c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</row>
    <row r="94" spans="1:40" hidden="1" x14ac:dyDescent="0.35">
      <c r="A94" s="46">
        <f t="shared" si="12"/>
        <v>46153.850896990734</v>
      </c>
      <c r="B94" s="46"/>
      <c r="C94" s="46"/>
      <c r="D94" s="46"/>
      <c r="E94" s="47" t="s">
        <v>3503</v>
      </c>
      <c r="F94" s="82" t="s">
        <v>6176</v>
      </c>
      <c r="G94" s="82" t="s">
        <v>792</v>
      </c>
      <c r="H94" s="340" t="s">
        <v>6589</v>
      </c>
      <c r="I94" s="82" t="s">
        <v>6590</v>
      </c>
      <c r="J94" s="100" t="s">
        <v>140</v>
      </c>
      <c r="K94" s="101">
        <v>0</v>
      </c>
      <c r="L94" s="101">
        <v>0</v>
      </c>
      <c r="M94" s="102">
        <v>22</v>
      </c>
      <c r="N94" s="103">
        <v>3900</v>
      </c>
      <c r="O94" s="102">
        <v>2</v>
      </c>
      <c r="P94" s="103">
        <f t="shared" si="13"/>
        <v>1950</v>
      </c>
      <c r="Q94" s="103"/>
      <c r="R94" s="103">
        <v>1950</v>
      </c>
      <c r="S94" s="103">
        <f t="shared" si="7"/>
        <v>0</v>
      </c>
      <c r="T94" s="102">
        <f t="shared" si="8"/>
        <v>7854.545454545454</v>
      </c>
      <c r="U94" s="101">
        <f t="shared" si="9"/>
        <v>0</v>
      </c>
      <c r="V94" s="101">
        <f t="shared" si="10"/>
        <v>0</v>
      </c>
      <c r="W94" s="101">
        <v>0</v>
      </c>
      <c r="X94" s="255">
        <f>'[1]Factory 3'!A169+K94+V94+W94+L94</f>
        <v>46153.749652777777</v>
      </c>
    </row>
    <row r="95" spans="1:40" hidden="1" x14ac:dyDescent="0.35">
      <c r="A95" s="46">
        <f t="shared" si="12"/>
        <v>46153.749652777777</v>
      </c>
      <c r="B95" s="46"/>
      <c r="C95" s="46"/>
      <c r="D95" s="46"/>
      <c r="E95" s="47" t="s">
        <v>3503</v>
      </c>
      <c r="F95" s="82" t="s">
        <v>6176</v>
      </c>
      <c r="G95" s="82" t="s">
        <v>792</v>
      </c>
      <c r="H95" s="108">
        <v>13059</v>
      </c>
      <c r="I95" s="82" t="s">
        <v>4609</v>
      </c>
      <c r="J95" s="100" t="s">
        <v>140</v>
      </c>
      <c r="K95" s="101">
        <v>0</v>
      </c>
      <c r="L95" s="101">
        <v>0</v>
      </c>
      <c r="M95" s="102">
        <v>60</v>
      </c>
      <c r="N95" s="103">
        <v>1900</v>
      </c>
      <c r="O95" s="102">
        <v>1</v>
      </c>
      <c r="P95" s="103">
        <f t="shared" si="13"/>
        <v>1900</v>
      </c>
      <c r="Q95" s="103"/>
      <c r="R95" s="103">
        <v>1900</v>
      </c>
      <c r="S95" s="103">
        <f t="shared" si="7"/>
        <v>0</v>
      </c>
      <c r="T95" s="102">
        <f t="shared" si="8"/>
        <v>1440</v>
      </c>
      <c r="U95" s="101">
        <f t="shared" si="9"/>
        <v>0</v>
      </c>
      <c r="V95" s="101">
        <f t="shared" si="10"/>
        <v>0</v>
      </c>
      <c r="W95" s="101">
        <v>0</v>
      </c>
      <c r="X95" s="255">
        <f>A95+K95+V95+W95+L95</f>
        <v>46153.749652777777</v>
      </c>
    </row>
    <row r="96" spans="1:40" hidden="1" x14ac:dyDescent="0.35">
      <c r="A96" s="46">
        <f t="shared" si="12"/>
        <v>46153.749652777777</v>
      </c>
      <c r="B96" s="46"/>
      <c r="C96" s="46"/>
      <c r="D96" s="46"/>
      <c r="E96" s="47" t="s">
        <v>3503</v>
      </c>
      <c r="F96" s="82" t="s">
        <v>6176</v>
      </c>
      <c r="G96" s="82" t="s">
        <v>792</v>
      </c>
      <c r="H96" s="108">
        <v>13060</v>
      </c>
      <c r="I96" s="82" t="s">
        <v>6177</v>
      </c>
      <c r="J96" s="100" t="s">
        <v>140</v>
      </c>
      <c r="K96" s="101">
        <v>0</v>
      </c>
      <c r="L96" s="101">
        <v>0</v>
      </c>
      <c r="M96" s="102">
        <v>60</v>
      </c>
      <c r="N96" s="103">
        <v>3300</v>
      </c>
      <c r="O96" s="102">
        <v>1</v>
      </c>
      <c r="P96" s="103">
        <f t="shared" si="13"/>
        <v>3300</v>
      </c>
      <c r="Q96" s="103"/>
      <c r="R96" s="103">
        <v>3300</v>
      </c>
      <c r="S96" s="103">
        <f t="shared" si="7"/>
        <v>0</v>
      </c>
      <c r="T96" s="102">
        <f t="shared" si="8"/>
        <v>1440</v>
      </c>
      <c r="U96" s="101">
        <f t="shared" si="9"/>
        <v>0</v>
      </c>
      <c r="V96" s="101">
        <f t="shared" si="10"/>
        <v>0</v>
      </c>
      <c r="W96" s="101">
        <v>0</v>
      </c>
      <c r="X96" s="255">
        <f>A96+K96+V96+W96+L96</f>
        <v>46153.749652777777</v>
      </c>
    </row>
    <row r="97" spans="1:40" hidden="1" x14ac:dyDescent="0.35">
      <c r="A97" s="46">
        <f t="shared" si="12"/>
        <v>46153.749652777777</v>
      </c>
      <c r="B97" s="46"/>
      <c r="C97" s="46"/>
      <c r="D97" s="46"/>
      <c r="E97" s="47" t="s">
        <v>3503</v>
      </c>
      <c r="F97" s="82" t="s">
        <v>6176</v>
      </c>
      <c r="G97" s="82" t="s">
        <v>792</v>
      </c>
      <c r="H97" s="108">
        <v>13061</v>
      </c>
      <c r="I97" s="82" t="s">
        <v>6591</v>
      </c>
      <c r="J97" s="100" t="s">
        <v>140</v>
      </c>
      <c r="K97" s="101">
        <v>0</v>
      </c>
      <c r="L97" s="101">
        <v>0</v>
      </c>
      <c r="M97" s="102">
        <v>60</v>
      </c>
      <c r="N97" s="103">
        <v>3300</v>
      </c>
      <c r="O97" s="102">
        <v>1</v>
      </c>
      <c r="P97" s="103">
        <f t="shared" si="13"/>
        <v>3300</v>
      </c>
      <c r="Q97" s="103"/>
      <c r="R97" s="103">
        <v>3300</v>
      </c>
      <c r="S97" s="103">
        <f t="shared" si="7"/>
        <v>0</v>
      </c>
      <c r="T97" s="102">
        <f t="shared" si="8"/>
        <v>1440</v>
      </c>
      <c r="U97" s="101">
        <f t="shared" si="9"/>
        <v>0</v>
      </c>
      <c r="V97" s="101">
        <f t="shared" si="10"/>
        <v>0</v>
      </c>
      <c r="W97" s="101">
        <v>0</v>
      </c>
      <c r="X97" s="255">
        <f>A97+K97+V97+W97+L97</f>
        <v>46153.749652777777</v>
      </c>
    </row>
    <row r="98" spans="1:40" hidden="1" x14ac:dyDescent="0.35">
      <c r="A98" s="46">
        <f t="shared" si="12"/>
        <v>46153.749652777777</v>
      </c>
      <c r="B98" s="46"/>
      <c r="C98" s="46"/>
      <c r="D98" s="46"/>
      <c r="E98" s="47" t="s">
        <v>4384</v>
      </c>
      <c r="F98" s="97" t="s">
        <v>3523</v>
      </c>
      <c r="G98" s="97" t="s">
        <v>327</v>
      </c>
      <c r="H98" s="98" t="s">
        <v>6592</v>
      </c>
      <c r="I98" s="82" t="s">
        <v>4596</v>
      </c>
      <c r="J98" s="51" t="s">
        <v>140</v>
      </c>
      <c r="K98" s="91">
        <v>0</v>
      </c>
      <c r="L98" s="91">
        <v>0</v>
      </c>
      <c r="M98" s="92">
        <v>50</v>
      </c>
      <c r="N98" s="94">
        <v>16000</v>
      </c>
      <c r="O98" s="102">
        <v>4</v>
      </c>
      <c r="P98" s="94">
        <f t="shared" si="13"/>
        <v>4000</v>
      </c>
      <c r="Q98" s="94"/>
      <c r="R98" s="92">
        <v>4000</v>
      </c>
      <c r="S98" s="92">
        <f t="shared" si="7"/>
        <v>0</v>
      </c>
      <c r="T98" s="92">
        <f t="shared" si="8"/>
        <v>6912</v>
      </c>
      <c r="U98" s="91">
        <f t="shared" si="9"/>
        <v>0</v>
      </c>
      <c r="V98" s="91">
        <f t="shared" si="10"/>
        <v>0</v>
      </c>
      <c r="W98" s="91">
        <v>0</v>
      </c>
      <c r="X98" s="55">
        <f>A98+K98+V98+W98+L98</f>
        <v>46153.749652777777</v>
      </c>
    </row>
    <row r="99" spans="1:40" s="118" customFormat="1" ht="26.5" hidden="1" x14ac:dyDescent="0.35">
      <c r="A99" s="46">
        <f t="shared" si="12"/>
        <v>46153.749652777777</v>
      </c>
      <c r="B99" s="46"/>
      <c r="C99" s="46"/>
      <c r="D99" s="46"/>
      <c r="E99" s="47" t="s">
        <v>4384</v>
      </c>
      <c r="F99" s="82" t="s">
        <v>1552</v>
      </c>
      <c r="G99" s="82" t="s">
        <v>359</v>
      </c>
      <c r="H99" s="98" t="s">
        <v>6593</v>
      </c>
      <c r="I99" s="69" t="s">
        <v>4784</v>
      </c>
      <c r="J99" s="100" t="s">
        <v>140</v>
      </c>
      <c r="K99" s="91">
        <v>0</v>
      </c>
      <c r="L99" s="91">
        <v>0</v>
      </c>
      <c r="M99" s="92">
        <v>50</v>
      </c>
      <c r="N99" s="94">
        <v>3624</v>
      </c>
      <c r="O99" s="92">
        <v>1</v>
      </c>
      <c r="P99" s="94">
        <f t="shared" si="13"/>
        <v>3624</v>
      </c>
      <c r="Q99" s="94"/>
      <c r="R99" s="92">
        <v>3624</v>
      </c>
      <c r="S99" s="92">
        <f t="shared" si="7"/>
        <v>0</v>
      </c>
      <c r="T99" s="102">
        <f t="shared" si="8"/>
        <v>1728</v>
      </c>
      <c r="U99" s="101">
        <f t="shared" si="9"/>
        <v>0</v>
      </c>
      <c r="V99" s="101">
        <f t="shared" si="10"/>
        <v>0</v>
      </c>
      <c r="W99" s="101">
        <v>0</v>
      </c>
      <c r="X99" s="55">
        <f>A99+K99+V99+W99+L99</f>
        <v>46153.749652777777</v>
      </c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</row>
    <row r="100" spans="1:40" s="487" customFormat="1" hidden="1" x14ac:dyDescent="0.35">
      <c r="A100" s="46">
        <f t="shared" si="12"/>
        <v>46153.749652777777</v>
      </c>
      <c r="B100" s="46"/>
      <c r="C100" s="46"/>
      <c r="D100" s="46"/>
      <c r="E100" s="47" t="s">
        <v>4384</v>
      </c>
      <c r="F100" s="97" t="s">
        <v>1264</v>
      </c>
      <c r="G100" s="82" t="s">
        <v>3510</v>
      </c>
      <c r="H100" s="98" t="s">
        <v>6594</v>
      </c>
      <c r="I100" s="82" t="s">
        <v>3512</v>
      </c>
      <c r="J100" s="51" t="s">
        <v>140</v>
      </c>
      <c r="K100" s="91">
        <v>0</v>
      </c>
      <c r="L100" s="91">
        <v>0</v>
      </c>
      <c r="M100" s="92">
        <v>75</v>
      </c>
      <c r="N100" s="94">
        <v>10000</v>
      </c>
      <c r="O100" s="92">
        <v>1</v>
      </c>
      <c r="P100" s="94">
        <f t="shared" si="13"/>
        <v>10000</v>
      </c>
      <c r="Q100" s="94"/>
      <c r="R100" s="92">
        <v>10000</v>
      </c>
      <c r="S100" s="94">
        <f t="shared" si="7"/>
        <v>0</v>
      </c>
      <c r="T100" s="92">
        <f t="shared" si="8"/>
        <v>1152</v>
      </c>
      <c r="U100" s="91">
        <f t="shared" si="9"/>
        <v>0</v>
      </c>
      <c r="V100" s="91">
        <f t="shared" si="10"/>
        <v>0</v>
      </c>
      <c r="W100" s="91">
        <v>0</v>
      </c>
      <c r="X100" s="55">
        <f>A100+K100+L100+V100+W100</f>
        <v>46153.749652777777</v>
      </c>
    </row>
    <row r="101" spans="1:40" hidden="1" x14ac:dyDescent="0.35">
      <c r="A101" s="46">
        <f t="shared" si="12"/>
        <v>46153.749652777777</v>
      </c>
      <c r="B101" s="46"/>
      <c r="C101" s="46"/>
      <c r="D101" s="46"/>
      <c r="E101" s="47" t="s">
        <v>4384</v>
      </c>
      <c r="F101" s="97" t="s">
        <v>1264</v>
      </c>
      <c r="G101" s="698" t="s">
        <v>830</v>
      </c>
      <c r="H101" s="699" t="s">
        <v>6595</v>
      </c>
      <c r="I101" s="82" t="s">
        <v>3536</v>
      </c>
      <c r="J101" s="51" t="s">
        <v>140</v>
      </c>
      <c r="K101" s="91">
        <v>0</v>
      </c>
      <c r="L101" s="91">
        <v>0</v>
      </c>
      <c r="M101" s="92">
        <v>40</v>
      </c>
      <c r="N101" s="94">
        <v>10000</v>
      </c>
      <c r="O101" s="92">
        <v>2</v>
      </c>
      <c r="P101" s="94">
        <f t="shared" si="13"/>
        <v>5000</v>
      </c>
      <c r="Q101" s="94"/>
      <c r="R101" s="92">
        <v>5000</v>
      </c>
      <c r="S101" s="92">
        <f t="shared" si="7"/>
        <v>0</v>
      </c>
      <c r="T101" s="92">
        <f t="shared" si="8"/>
        <v>4320</v>
      </c>
      <c r="U101" s="91">
        <f t="shared" si="9"/>
        <v>0</v>
      </c>
      <c r="V101" s="91">
        <f t="shared" si="10"/>
        <v>0</v>
      </c>
      <c r="W101" s="91">
        <v>0</v>
      </c>
      <c r="X101" s="55">
        <f>A101+K101+L101+V101+W101</f>
        <v>46153.749652777777</v>
      </c>
    </row>
    <row r="102" spans="1:40" s="202" customFormat="1" hidden="1" x14ac:dyDescent="0.35">
      <c r="A102" s="46">
        <f t="shared" si="12"/>
        <v>46153.749652777777</v>
      </c>
      <c r="B102" s="46"/>
      <c r="C102" s="46"/>
      <c r="D102" s="46"/>
      <c r="E102" s="47" t="s">
        <v>4384</v>
      </c>
      <c r="F102" s="100" t="s">
        <v>355</v>
      </c>
      <c r="G102" s="698" t="s">
        <v>792</v>
      </c>
      <c r="H102" s="699" t="s">
        <v>5132</v>
      </c>
      <c r="I102" s="71" t="s">
        <v>3502</v>
      </c>
      <c r="J102" s="100" t="s">
        <v>140</v>
      </c>
      <c r="K102" s="101">
        <v>0</v>
      </c>
      <c r="L102" s="91">
        <v>0</v>
      </c>
      <c r="M102" s="102">
        <v>40</v>
      </c>
      <c r="N102" s="103">
        <v>10000</v>
      </c>
      <c r="O102" s="102">
        <v>1</v>
      </c>
      <c r="P102" s="103">
        <f t="shared" si="13"/>
        <v>10000</v>
      </c>
      <c r="Q102" s="103"/>
      <c r="R102" s="103">
        <v>10000</v>
      </c>
      <c r="S102" s="103">
        <f t="shared" si="7"/>
        <v>0</v>
      </c>
      <c r="T102" s="102">
        <f t="shared" si="8"/>
        <v>2160</v>
      </c>
      <c r="U102" s="101">
        <f t="shared" si="9"/>
        <v>0</v>
      </c>
      <c r="V102" s="101">
        <f t="shared" si="10"/>
        <v>0</v>
      </c>
      <c r="W102" s="101">
        <v>0</v>
      </c>
      <c r="X102" s="255">
        <f>A102+K102+L102+V102+W102</f>
        <v>46153.749652777777</v>
      </c>
    </row>
    <row r="103" spans="1:40" s="243" customFormat="1" hidden="1" x14ac:dyDescent="0.35">
      <c r="A103" s="46">
        <f t="shared" si="12"/>
        <v>46153.749652777777</v>
      </c>
      <c r="B103" s="46"/>
      <c r="C103" s="46"/>
      <c r="D103" s="46"/>
      <c r="E103" s="119" t="s">
        <v>4781</v>
      </c>
      <c r="F103" s="82" t="s">
        <v>5533</v>
      </c>
      <c r="G103" s="82" t="s">
        <v>839</v>
      </c>
      <c r="H103" s="98" t="s">
        <v>6596</v>
      </c>
      <c r="I103" s="697" t="s">
        <v>6043</v>
      </c>
      <c r="J103" s="100" t="s">
        <v>140</v>
      </c>
      <c r="K103" s="91">
        <v>0</v>
      </c>
      <c r="L103" s="91">
        <v>0</v>
      </c>
      <c r="M103" s="92">
        <v>40</v>
      </c>
      <c r="N103" s="94">
        <v>1000</v>
      </c>
      <c r="O103" s="92">
        <v>1</v>
      </c>
      <c r="P103" s="94">
        <f t="shared" si="13"/>
        <v>1000</v>
      </c>
      <c r="Q103" s="94"/>
      <c r="R103" s="102">
        <v>1000</v>
      </c>
      <c r="S103" s="92">
        <f t="shared" si="7"/>
        <v>0</v>
      </c>
      <c r="T103" s="102">
        <f t="shared" si="8"/>
        <v>2160</v>
      </c>
      <c r="U103" s="101">
        <f t="shared" si="9"/>
        <v>0</v>
      </c>
      <c r="V103" s="101">
        <f t="shared" si="10"/>
        <v>0</v>
      </c>
      <c r="W103" s="101">
        <v>0</v>
      </c>
      <c r="X103" s="55">
        <f>A103+K103+L103+V103+W103</f>
        <v>46153.749652777777</v>
      </c>
      <c r="Y103" s="202"/>
      <c r="Z103" s="202"/>
      <c r="AA103" s="202"/>
      <c r="AB103" s="202"/>
      <c r="AC103" s="202"/>
      <c r="AD103" s="202"/>
      <c r="AE103" s="202"/>
      <c r="AF103" s="202"/>
      <c r="AG103" s="202"/>
      <c r="AH103" s="202"/>
      <c r="AI103" s="202"/>
      <c r="AJ103" s="202"/>
      <c r="AK103" s="202"/>
      <c r="AL103" s="202"/>
      <c r="AM103" s="202"/>
      <c r="AN103" s="202"/>
    </row>
    <row r="104" spans="1:40" s="511" customFormat="1" hidden="1" x14ac:dyDescent="0.35">
      <c r="A104" s="46">
        <f t="shared" si="12"/>
        <v>46153.749652777777</v>
      </c>
      <c r="B104" s="46"/>
      <c r="C104" s="46"/>
      <c r="D104" s="46"/>
      <c r="E104" s="47" t="s">
        <v>4384</v>
      </c>
      <c r="F104" s="99" t="s">
        <v>1652</v>
      </c>
      <c r="G104" s="893" t="s">
        <v>839</v>
      </c>
      <c r="H104" s="892" t="s">
        <v>6597</v>
      </c>
      <c r="I104" s="82" t="s">
        <v>5029</v>
      </c>
      <c r="J104" s="100" t="s">
        <v>140</v>
      </c>
      <c r="K104" s="91">
        <v>0</v>
      </c>
      <c r="L104" s="91">
        <v>0</v>
      </c>
      <c r="M104" s="345">
        <v>60</v>
      </c>
      <c r="N104" s="94">
        <f>2281*2</f>
        <v>4562</v>
      </c>
      <c r="O104" s="92">
        <v>2</v>
      </c>
      <c r="P104" s="94">
        <f t="shared" si="13"/>
        <v>2281</v>
      </c>
      <c r="Q104" s="94"/>
      <c r="R104" s="92">
        <v>2281</v>
      </c>
      <c r="S104" s="92">
        <f t="shared" si="7"/>
        <v>0</v>
      </c>
      <c r="T104" s="102">
        <f t="shared" si="8"/>
        <v>2880</v>
      </c>
      <c r="U104" s="101">
        <f t="shared" si="9"/>
        <v>0</v>
      </c>
      <c r="V104" s="101">
        <f t="shared" si="10"/>
        <v>0</v>
      </c>
      <c r="W104" s="101">
        <v>0</v>
      </c>
      <c r="X104" s="55">
        <f>A104+K104+L104+V104+W104</f>
        <v>46153.749652777777</v>
      </c>
    </row>
    <row r="105" spans="1:40" s="511" customFormat="1" hidden="1" x14ac:dyDescent="0.35">
      <c r="A105" s="46">
        <f t="shared" si="12"/>
        <v>46153.749652777777</v>
      </c>
      <c r="B105" s="46"/>
      <c r="C105" s="46"/>
      <c r="D105" s="46"/>
      <c r="E105" s="47" t="s">
        <v>4897</v>
      </c>
      <c r="F105" s="82" t="s">
        <v>2190</v>
      </c>
      <c r="G105" s="82" t="s">
        <v>386</v>
      </c>
      <c r="H105" s="108">
        <v>13571</v>
      </c>
      <c r="I105" s="82" t="s">
        <v>3514</v>
      </c>
      <c r="J105" s="420" t="s">
        <v>140</v>
      </c>
      <c r="K105" s="91">
        <v>0</v>
      </c>
      <c r="L105" s="91">
        <v>0</v>
      </c>
      <c r="M105" s="92">
        <v>43</v>
      </c>
      <c r="N105" s="92">
        <v>10000</v>
      </c>
      <c r="O105" s="92">
        <v>2</v>
      </c>
      <c r="P105" s="92">
        <f t="shared" si="13"/>
        <v>5000</v>
      </c>
      <c r="Q105" s="92"/>
      <c r="R105" s="92">
        <v>5000</v>
      </c>
      <c r="S105" s="92">
        <f t="shared" si="7"/>
        <v>0</v>
      </c>
      <c r="T105" s="92">
        <f t="shared" si="8"/>
        <v>4018.604651162791</v>
      </c>
      <c r="U105" s="91">
        <f t="shared" si="9"/>
        <v>0</v>
      </c>
      <c r="V105" s="91">
        <f t="shared" si="10"/>
        <v>0</v>
      </c>
      <c r="W105" s="91">
        <v>0</v>
      </c>
      <c r="X105" s="55">
        <f>A105+K105+V105+W105+L105</f>
        <v>46153.749652777777</v>
      </c>
    </row>
    <row r="106" spans="1:40" s="511" customFormat="1" hidden="1" x14ac:dyDescent="0.35">
      <c r="A106" s="46">
        <f t="shared" si="12"/>
        <v>46153.749652777777</v>
      </c>
      <c r="B106" s="46">
        <v>46059</v>
      </c>
      <c r="C106" s="180">
        <f t="shared" ref="C106:C120" si="14">B106-A106</f>
        <v>-94.749652777776646</v>
      </c>
      <c r="D106" s="180"/>
      <c r="E106" s="47" t="s">
        <v>4384</v>
      </c>
      <c r="F106" s="82" t="s">
        <v>1640</v>
      </c>
      <c r="G106" s="82" t="s">
        <v>386</v>
      </c>
      <c r="H106" s="108">
        <v>13617</v>
      </c>
      <c r="I106" s="82" t="s">
        <v>1649</v>
      </c>
      <c r="J106" s="51" t="s">
        <v>140</v>
      </c>
      <c r="K106" s="91">
        <v>0</v>
      </c>
      <c r="L106" s="91">
        <v>0</v>
      </c>
      <c r="M106" s="92">
        <v>60</v>
      </c>
      <c r="N106" s="344">
        <v>5443</v>
      </c>
      <c r="O106" s="92">
        <v>1</v>
      </c>
      <c r="P106" s="94">
        <f t="shared" si="13"/>
        <v>5443</v>
      </c>
      <c r="Q106" s="181">
        <v>0.8</v>
      </c>
      <c r="R106" s="92">
        <v>5443</v>
      </c>
      <c r="S106" s="102">
        <f t="shared" si="7"/>
        <v>0</v>
      </c>
      <c r="T106" s="173">
        <f t="shared" ref="T106:T120" si="15">((3600/M106)*O106)*24*Q106</f>
        <v>1152</v>
      </c>
      <c r="U106" s="101">
        <f t="shared" ref="U106:U120" si="16">(P106-R106)*M106/3600/Q106</f>
        <v>0</v>
      </c>
      <c r="V106" s="101">
        <f t="shared" ref="V106:V120" si="17">U106/24</f>
        <v>0</v>
      </c>
      <c r="W106" s="101">
        <v>0</v>
      </c>
      <c r="X106" s="55">
        <f>A106+K106+V106+W106+L106</f>
        <v>46153.749652777777</v>
      </c>
    </row>
    <row r="107" spans="1:40" s="511" customFormat="1" hidden="1" x14ac:dyDescent="0.35">
      <c r="A107" s="71">
        <f t="shared" si="12"/>
        <v>46153.749652777777</v>
      </c>
      <c r="B107" s="71">
        <v>46064</v>
      </c>
      <c r="C107" s="180">
        <f t="shared" si="14"/>
        <v>-89.749652777776646</v>
      </c>
      <c r="D107" s="180"/>
      <c r="E107" s="119" t="s">
        <v>4758</v>
      </c>
      <c r="F107" s="82" t="s">
        <v>220</v>
      </c>
      <c r="G107" s="82" t="s">
        <v>386</v>
      </c>
      <c r="H107" s="108">
        <v>13657</v>
      </c>
      <c r="I107" s="106" t="s">
        <v>4444</v>
      </c>
      <c r="J107" s="100" t="s">
        <v>140</v>
      </c>
      <c r="K107" s="101">
        <v>0</v>
      </c>
      <c r="L107" s="101">
        <v>0</v>
      </c>
      <c r="M107" s="102">
        <v>50</v>
      </c>
      <c r="N107" s="103">
        <v>5000</v>
      </c>
      <c r="O107" s="102">
        <v>2</v>
      </c>
      <c r="P107" s="103">
        <f t="shared" si="13"/>
        <v>2500</v>
      </c>
      <c r="Q107" s="181">
        <v>0.8</v>
      </c>
      <c r="R107" s="103">
        <v>2500</v>
      </c>
      <c r="S107" s="102">
        <f t="shared" si="7"/>
        <v>0</v>
      </c>
      <c r="T107" s="173">
        <f t="shared" si="15"/>
        <v>2764.8</v>
      </c>
      <c r="U107" s="101">
        <f t="shared" si="16"/>
        <v>0</v>
      </c>
      <c r="V107" s="101">
        <f t="shared" si="17"/>
        <v>0</v>
      </c>
      <c r="W107" s="101">
        <v>0</v>
      </c>
      <c r="X107" s="255">
        <f>A107+K107+L107+V107+W107</f>
        <v>46153.749652777777</v>
      </c>
    </row>
    <row r="108" spans="1:40" s="511" customFormat="1" hidden="1" x14ac:dyDescent="0.35">
      <c r="A108" s="46">
        <f t="shared" si="12"/>
        <v>46153.749652777777</v>
      </c>
      <c r="B108" s="46">
        <v>46062</v>
      </c>
      <c r="C108" s="180">
        <f t="shared" si="14"/>
        <v>-91.749652777776646</v>
      </c>
      <c r="D108" s="180"/>
      <c r="E108" s="119" t="s">
        <v>4781</v>
      </c>
      <c r="F108" s="82" t="s">
        <v>6598</v>
      </c>
      <c r="G108" s="831" t="s">
        <v>5495</v>
      </c>
      <c r="H108" s="699" t="s">
        <v>6599</v>
      </c>
      <c r="I108" s="106" t="s">
        <v>4877</v>
      </c>
      <c r="J108" s="100" t="s">
        <v>140</v>
      </c>
      <c r="K108" s="101">
        <v>0</v>
      </c>
      <c r="L108" s="101">
        <v>0</v>
      </c>
      <c r="M108" s="102">
        <v>77</v>
      </c>
      <c r="N108" s="103">
        <v>10000</v>
      </c>
      <c r="O108" s="102">
        <v>2</v>
      </c>
      <c r="P108" s="103">
        <f t="shared" si="13"/>
        <v>5000</v>
      </c>
      <c r="Q108" s="181">
        <v>0.8</v>
      </c>
      <c r="R108" s="103">
        <v>5000</v>
      </c>
      <c r="S108" s="102">
        <f t="shared" si="7"/>
        <v>0</v>
      </c>
      <c r="T108" s="173">
        <f t="shared" si="15"/>
        <v>1795.3246753246758</v>
      </c>
      <c r="U108" s="101">
        <f t="shared" si="16"/>
        <v>0</v>
      </c>
      <c r="V108" s="101">
        <f t="shared" si="17"/>
        <v>0</v>
      </c>
      <c r="W108" s="101">
        <v>0</v>
      </c>
      <c r="X108" s="255">
        <f t="shared" ref="X108:X115" si="18">A108+K108+V108+W108+L108</f>
        <v>46153.749652777777</v>
      </c>
    </row>
    <row r="109" spans="1:40" s="511" customFormat="1" hidden="1" x14ac:dyDescent="0.35">
      <c r="A109" s="46">
        <f t="shared" si="12"/>
        <v>46153.749652777777</v>
      </c>
      <c r="B109" s="46">
        <v>46068</v>
      </c>
      <c r="C109" s="180">
        <f t="shared" si="14"/>
        <v>-85.749652777776646</v>
      </c>
      <c r="D109" s="180"/>
      <c r="E109" s="810" t="s">
        <v>4384</v>
      </c>
      <c r="F109" s="82" t="s">
        <v>900</v>
      </c>
      <c r="G109" s="82" t="s">
        <v>1900</v>
      </c>
      <c r="H109" s="98" t="s">
        <v>6600</v>
      </c>
      <c r="I109" s="82" t="s">
        <v>3491</v>
      </c>
      <c r="J109" s="100" t="s">
        <v>140</v>
      </c>
      <c r="K109" s="91">
        <v>0</v>
      </c>
      <c r="L109" s="91">
        <v>0</v>
      </c>
      <c r="M109" s="92">
        <v>110</v>
      </c>
      <c r="N109" s="94">
        <v>10000</v>
      </c>
      <c r="O109" s="253">
        <v>4</v>
      </c>
      <c r="P109" s="94">
        <f t="shared" si="13"/>
        <v>2500</v>
      </c>
      <c r="Q109" s="181">
        <v>0.8</v>
      </c>
      <c r="R109" s="92">
        <v>2500</v>
      </c>
      <c r="S109" s="102">
        <f t="shared" si="7"/>
        <v>0</v>
      </c>
      <c r="T109" s="173">
        <f t="shared" si="15"/>
        <v>2513.454545454546</v>
      </c>
      <c r="U109" s="101">
        <f t="shared" si="16"/>
        <v>0</v>
      </c>
      <c r="V109" s="101">
        <f t="shared" si="17"/>
        <v>0</v>
      </c>
      <c r="W109" s="101">
        <v>0</v>
      </c>
      <c r="X109" s="696">
        <f t="shared" si="18"/>
        <v>46153.749652777777</v>
      </c>
    </row>
    <row r="110" spans="1:40" s="121" customFormat="1" ht="26.5" hidden="1" x14ac:dyDescent="0.35">
      <c r="A110" s="46">
        <f t="shared" si="12"/>
        <v>46153.749652777777</v>
      </c>
      <c r="B110" s="46">
        <v>46080</v>
      </c>
      <c r="C110" s="260">
        <f t="shared" si="14"/>
        <v>-73.749652777776646</v>
      </c>
      <c r="D110" s="260" t="s">
        <v>6601</v>
      </c>
      <c r="E110" s="47" t="s">
        <v>4384</v>
      </c>
      <c r="F110" s="82" t="s">
        <v>1552</v>
      </c>
      <c r="G110" s="82" t="s">
        <v>6602</v>
      </c>
      <c r="H110" s="98" t="s">
        <v>6603</v>
      </c>
      <c r="I110" s="69" t="s">
        <v>4784</v>
      </c>
      <c r="J110" s="100" t="s">
        <v>140</v>
      </c>
      <c r="K110" s="91">
        <v>0</v>
      </c>
      <c r="L110" s="91">
        <v>0</v>
      </c>
      <c r="M110" s="92">
        <v>50</v>
      </c>
      <c r="N110" s="94">
        <v>2515</v>
      </c>
      <c r="O110" s="92">
        <v>1</v>
      </c>
      <c r="P110" s="94">
        <f t="shared" si="13"/>
        <v>2515</v>
      </c>
      <c r="Q110" s="181">
        <v>0.8</v>
      </c>
      <c r="R110" s="92">
        <v>2515</v>
      </c>
      <c r="S110" s="102">
        <f t="shared" ref="S110:S120" si="19">P110-R110</f>
        <v>0</v>
      </c>
      <c r="T110" s="173">
        <f t="shared" si="15"/>
        <v>1382.4</v>
      </c>
      <c r="U110" s="101">
        <f t="shared" si="16"/>
        <v>0</v>
      </c>
      <c r="V110" s="101">
        <f t="shared" si="17"/>
        <v>0</v>
      </c>
      <c r="W110" s="101">
        <v>0</v>
      </c>
      <c r="X110" s="55">
        <f t="shared" si="18"/>
        <v>46153.749652777777</v>
      </c>
      <c r="Y110" s="511"/>
      <c r="Z110" s="511"/>
      <c r="AA110" s="511"/>
      <c r="AB110" s="511"/>
      <c r="AC110" s="511"/>
      <c r="AD110" s="511"/>
      <c r="AE110" s="511"/>
      <c r="AF110" s="511"/>
      <c r="AG110" s="511"/>
      <c r="AH110" s="511"/>
      <c r="AI110" s="511"/>
      <c r="AJ110" s="511"/>
      <c r="AK110" s="511"/>
      <c r="AL110" s="511"/>
      <c r="AM110" s="511"/>
      <c r="AN110" s="511"/>
    </row>
    <row r="111" spans="1:40" s="511" customFormat="1" hidden="1" x14ac:dyDescent="0.35">
      <c r="A111" s="46">
        <f t="shared" si="12"/>
        <v>46153.749652777777</v>
      </c>
      <c r="B111" s="46">
        <v>46105</v>
      </c>
      <c r="C111" s="260">
        <f t="shared" si="14"/>
        <v>-48.749652777776646</v>
      </c>
      <c r="D111" s="46"/>
      <c r="E111" s="47" t="s">
        <v>4384</v>
      </c>
      <c r="F111" s="97" t="s">
        <v>6604</v>
      </c>
      <c r="G111" s="97" t="s">
        <v>398</v>
      </c>
      <c r="H111" s="107" t="s">
        <v>6605</v>
      </c>
      <c r="I111" s="82" t="s">
        <v>6606</v>
      </c>
      <c r="J111" s="100" t="s">
        <v>140</v>
      </c>
      <c r="K111" s="101">
        <v>0</v>
      </c>
      <c r="L111" s="101">
        <v>0</v>
      </c>
      <c r="M111" s="102">
        <v>200</v>
      </c>
      <c r="N111" s="103">
        <v>3000</v>
      </c>
      <c r="O111" s="102">
        <v>6</v>
      </c>
      <c r="P111" s="103">
        <f t="shared" si="13"/>
        <v>500</v>
      </c>
      <c r="Q111" s="181">
        <v>0.8</v>
      </c>
      <c r="R111" s="92">
        <v>500</v>
      </c>
      <c r="S111" s="103">
        <f t="shared" si="19"/>
        <v>0</v>
      </c>
      <c r="T111" s="173">
        <f t="shared" si="15"/>
        <v>2073.6</v>
      </c>
      <c r="U111" s="101">
        <f t="shared" si="16"/>
        <v>0</v>
      </c>
      <c r="V111" s="101">
        <f t="shared" si="17"/>
        <v>0</v>
      </c>
      <c r="W111" s="101">
        <v>0</v>
      </c>
      <c r="X111" s="255">
        <f t="shared" si="18"/>
        <v>46153.749652777777</v>
      </c>
    </row>
    <row r="112" spans="1:40" s="121" customFormat="1" hidden="1" x14ac:dyDescent="0.35">
      <c r="A112" s="46">
        <f t="shared" si="12"/>
        <v>46153.749652777777</v>
      </c>
      <c r="B112" s="46">
        <v>46101.2</v>
      </c>
      <c r="C112" s="260">
        <f t="shared" si="14"/>
        <v>-52.549652777779556</v>
      </c>
      <c r="D112" s="46"/>
      <c r="E112" s="47" t="s">
        <v>4384</v>
      </c>
      <c r="F112" s="97" t="s">
        <v>6607</v>
      </c>
      <c r="G112" s="97" t="s">
        <v>398</v>
      </c>
      <c r="H112" s="98" t="s">
        <v>6608</v>
      </c>
      <c r="I112" s="85" t="s">
        <v>6228</v>
      </c>
      <c r="J112" s="51" t="s">
        <v>140</v>
      </c>
      <c r="K112" s="91">
        <v>0</v>
      </c>
      <c r="L112" s="91">
        <v>0</v>
      </c>
      <c r="M112" s="92">
        <v>70</v>
      </c>
      <c r="N112" s="94">
        <v>500</v>
      </c>
      <c r="O112" s="92">
        <v>1</v>
      </c>
      <c r="P112" s="94">
        <f t="shared" si="13"/>
        <v>500</v>
      </c>
      <c r="Q112" s="181">
        <v>0.8</v>
      </c>
      <c r="R112" s="92">
        <v>500</v>
      </c>
      <c r="S112" s="103">
        <f t="shared" si="19"/>
        <v>0</v>
      </c>
      <c r="T112" s="173">
        <f t="shared" si="15"/>
        <v>987.42857142857144</v>
      </c>
      <c r="U112" s="101">
        <f t="shared" si="16"/>
        <v>0</v>
      </c>
      <c r="V112" s="101">
        <f t="shared" si="17"/>
        <v>0</v>
      </c>
      <c r="W112" s="101">
        <v>0</v>
      </c>
      <c r="X112" s="55">
        <f t="shared" si="18"/>
        <v>46153.749652777777</v>
      </c>
    </row>
    <row r="113" spans="1:40" s="121" customFormat="1" hidden="1" x14ac:dyDescent="0.35">
      <c r="A113" s="46">
        <f t="shared" si="12"/>
        <v>46153.749652777777</v>
      </c>
      <c r="B113" s="46">
        <v>46101.2</v>
      </c>
      <c r="C113" s="260">
        <f t="shared" si="14"/>
        <v>-52.549652777779556</v>
      </c>
      <c r="D113" s="46"/>
      <c r="E113" s="47" t="s">
        <v>4384</v>
      </c>
      <c r="F113" s="97" t="s">
        <v>6607</v>
      </c>
      <c r="G113" s="97" t="s">
        <v>398</v>
      </c>
      <c r="H113" s="98" t="s">
        <v>6609</v>
      </c>
      <c r="I113" s="85" t="s">
        <v>6610</v>
      </c>
      <c r="J113" s="51" t="s">
        <v>140</v>
      </c>
      <c r="K113" s="91">
        <v>0</v>
      </c>
      <c r="L113" s="91">
        <v>0</v>
      </c>
      <c r="M113" s="92">
        <v>70</v>
      </c>
      <c r="N113" s="94">
        <v>500</v>
      </c>
      <c r="O113" s="92">
        <v>1</v>
      </c>
      <c r="P113" s="94">
        <f t="shared" si="13"/>
        <v>500</v>
      </c>
      <c r="Q113" s="181">
        <v>0.8</v>
      </c>
      <c r="R113" s="92">
        <v>500</v>
      </c>
      <c r="S113" s="103">
        <f t="shared" si="19"/>
        <v>0</v>
      </c>
      <c r="T113" s="173">
        <f t="shared" si="15"/>
        <v>987.42857142857144</v>
      </c>
      <c r="U113" s="101">
        <f t="shared" si="16"/>
        <v>0</v>
      </c>
      <c r="V113" s="101">
        <f t="shared" si="17"/>
        <v>0</v>
      </c>
      <c r="W113" s="101">
        <v>0</v>
      </c>
      <c r="X113" s="55">
        <f t="shared" si="18"/>
        <v>46153.749652777777</v>
      </c>
    </row>
    <row r="114" spans="1:40" s="121" customFormat="1" ht="26.5" hidden="1" x14ac:dyDescent="0.35">
      <c r="A114" s="46">
        <f t="shared" si="12"/>
        <v>46153.749652777777</v>
      </c>
      <c r="B114" s="46">
        <v>46111</v>
      </c>
      <c r="C114" s="260">
        <f t="shared" si="14"/>
        <v>-42.749652777776646</v>
      </c>
      <c r="D114" s="260"/>
      <c r="E114" s="47" t="s">
        <v>4384</v>
      </c>
      <c r="F114" s="82" t="s">
        <v>1552</v>
      </c>
      <c r="G114" s="82" t="s">
        <v>411</v>
      </c>
      <c r="H114" s="98" t="s">
        <v>6611</v>
      </c>
      <c r="I114" s="69" t="s">
        <v>4784</v>
      </c>
      <c r="J114" s="100" t="s">
        <v>140</v>
      </c>
      <c r="K114" s="91">
        <v>0</v>
      </c>
      <c r="L114" s="91">
        <v>0</v>
      </c>
      <c r="M114" s="92">
        <v>35</v>
      </c>
      <c r="N114" s="94">
        <v>5000</v>
      </c>
      <c r="O114" s="92">
        <v>1</v>
      </c>
      <c r="P114" s="94">
        <f t="shared" si="13"/>
        <v>5000</v>
      </c>
      <c r="Q114" s="181">
        <v>0.8</v>
      </c>
      <c r="R114" s="92">
        <v>5000</v>
      </c>
      <c r="S114" s="102">
        <f t="shared" si="19"/>
        <v>0</v>
      </c>
      <c r="T114" s="173">
        <f t="shared" si="15"/>
        <v>1974.8571428571429</v>
      </c>
      <c r="U114" s="101">
        <f t="shared" si="16"/>
        <v>0</v>
      </c>
      <c r="V114" s="101">
        <f t="shared" si="17"/>
        <v>0</v>
      </c>
      <c r="W114" s="101">
        <v>0</v>
      </c>
      <c r="X114" s="55">
        <f t="shared" si="18"/>
        <v>46153.749652777777</v>
      </c>
    </row>
    <row r="115" spans="1:40" s="121" customFormat="1" ht="26.5" hidden="1" x14ac:dyDescent="0.35">
      <c r="A115" s="46">
        <f t="shared" si="12"/>
        <v>46153.749652777777</v>
      </c>
      <c r="B115" s="46">
        <v>46111</v>
      </c>
      <c r="C115" s="260">
        <f t="shared" si="14"/>
        <v>-42.749652777776646</v>
      </c>
      <c r="D115" s="260"/>
      <c r="E115" s="47" t="s">
        <v>4384</v>
      </c>
      <c r="F115" s="82" t="s">
        <v>1552</v>
      </c>
      <c r="G115" s="82" t="s">
        <v>411</v>
      </c>
      <c r="H115" s="98" t="s">
        <v>6612</v>
      </c>
      <c r="I115" s="69" t="s">
        <v>4784</v>
      </c>
      <c r="J115" s="100" t="s">
        <v>140</v>
      </c>
      <c r="K115" s="91">
        <v>0</v>
      </c>
      <c r="L115" s="91">
        <v>0</v>
      </c>
      <c r="M115" s="92">
        <v>35</v>
      </c>
      <c r="N115" s="94">
        <v>5000</v>
      </c>
      <c r="O115" s="92">
        <v>1</v>
      </c>
      <c r="P115" s="94">
        <f t="shared" si="13"/>
        <v>5000</v>
      </c>
      <c r="Q115" s="181">
        <v>0.8</v>
      </c>
      <c r="R115" s="92">
        <v>5000</v>
      </c>
      <c r="S115" s="102">
        <f t="shared" si="19"/>
        <v>0</v>
      </c>
      <c r="T115" s="173">
        <f t="shared" si="15"/>
        <v>1974.8571428571429</v>
      </c>
      <c r="U115" s="101">
        <f t="shared" si="16"/>
        <v>0</v>
      </c>
      <c r="V115" s="101">
        <f t="shared" si="17"/>
        <v>0</v>
      </c>
      <c r="W115" s="101">
        <v>0</v>
      </c>
      <c r="X115" s="55">
        <f t="shared" si="18"/>
        <v>46153.749652777777</v>
      </c>
    </row>
    <row r="116" spans="1:40" s="121" customFormat="1" ht="26.5" hidden="1" x14ac:dyDescent="0.35">
      <c r="A116" s="46">
        <f t="shared" si="12"/>
        <v>46153.749652777777</v>
      </c>
      <c r="B116" s="71">
        <v>46132</v>
      </c>
      <c r="C116" s="260">
        <f t="shared" si="14"/>
        <v>-21.749652777776646</v>
      </c>
      <c r="D116" s="71"/>
      <c r="E116" s="119" t="s">
        <v>4384</v>
      </c>
      <c r="F116" s="82" t="s">
        <v>2674</v>
      </c>
      <c r="G116" s="82" t="s">
        <v>411</v>
      </c>
      <c r="H116" s="1111" t="s">
        <v>6613</v>
      </c>
      <c r="I116" s="82" t="s">
        <v>6614</v>
      </c>
      <c r="J116" s="51" t="s">
        <v>140</v>
      </c>
      <c r="K116" s="91">
        <v>0</v>
      </c>
      <c r="L116" s="91">
        <v>0</v>
      </c>
      <c r="M116" s="92">
        <v>90</v>
      </c>
      <c r="N116" s="94">
        <v>500</v>
      </c>
      <c r="O116" s="92">
        <v>1</v>
      </c>
      <c r="P116" s="94">
        <f t="shared" si="13"/>
        <v>500</v>
      </c>
      <c r="Q116" s="181">
        <v>0.8</v>
      </c>
      <c r="R116" s="92">
        <v>500</v>
      </c>
      <c r="S116" s="102">
        <f t="shared" si="19"/>
        <v>0</v>
      </c>
      <c r="T116" s="173">
        <f t="shared" si="15"/>
        <v>768</v>
      </c>
      <c r="U116" s="101">
        <f t="shared" si="16"/>
        <v>0</v>
      </c>
      <c r="V116" s="101">
        <f t="shared" si="17"/>
        <v>0</v>
      </c>
      <c r="W116" s="101">
        <v>0</v>
      </c>
      <c r="X116" s="55">
        <f>A116+K116+L116+V116+W116</f>
        <v>46153.749652777777</v>
      </c>
    </row>
    <row r="117" spans="1:40" s="121" customFormat="1" hidden="1" x14ac:dyDescent="0.35">
      <c r="A117" s="46">
        <f t="shared" si="12"/>
        <v>46153.749652777777</v>
      </c>
      <c r="B117" s="46">
        <v>46130</v>
      </c>
      <c r="C117" s="260">
        <f t="shared" si="14"/>
        <v>-23.749652777776646</v>
      </c>
      <c r="D117" s="46"/>
      <c r="E117" s="47" t="s">
        <v>4384</v>
      </c>
      <c r="F117" s="99" t="s">
        <v>4371</v>
      </c>
      <c r="G117" s="97" t="s">
        <v>411</v>
      </c>
      <c r="H117" s="107" t="s">
        <v>6615</v>
      </c>
      <c r="I117" s="697" t="s">
        <v>4387</v>
      </c>
      <c r="J117" s="100" t="s">
        <v>140</v>
      </c>
      <c r="K117" s="91">
        <v>0</v>
      </c>
      <c r="L117" s="91">
        <v>0</v>
      </c>
      <c r="M117" s="92">
        <v>60</v>
      </c>
      <c r="N117" s="94">
        <v>2496</v>
      </c>
      <c r="O117" s="92">
        <v>1</v>
      </c>
      <c r="P117" s="94">
        <f t="shared" si="13"/>
        <v>2496</v>
      </c>
      <c r="Q117" s="181">
        <v>0.8</v>
      </c>
      <c r="R117" s="92">
        <v>2496</v>
      </c>
      <c r="S117" s="103">
        <f t="shared" si="19"/>
        <v>0</v>
      </c>
      <c r="T117" s="173">
        <f t="shared" si="15"/>
        <v>1152</v>
      </c>
      <c r="U117" s="101">
        <f t="shared" si="16"/>
        <v>0</v>
      </c>
      <c r="V117" s="101">
        <f t="shared" si="17"/>
        <v>0</v>
      </c>
      <c r="W117" s="101">
        <v>0</v>
      </c>
      <c r="X117" s="55">
        <f>A117+K117+L117+V117+W117</f>
        <v>46153.749652777777</v>
      </c>
    </row>
    <row r="118" spans="1:40" s="121" customFormat="1" ht="26.5" hidden="1" x14ac:dyDescent="0.35">
      <c r="A118" s="46">
        <f t="shared" si="12"/>
        <v>46153.749652777777</v>
      </c>
      <c r="B118" s="71">
        <v>46139</v>
      </c>
      <c r="C118" s="180">
        <f t="shared" si="14"/>
        <v>-14.749652777776646</v>
      </c>
      <c r="D118" s="71"/>
      <c r="E118" s="47" t="s">
        <v>4384</v>
      </c>
      <c r="F118" s="82" t="s">
        <v>6616</v>
      </c>
      <c r="G118" s="97" t="s">
        <v>411</v>
      </c>
      <c r="H118" s="98" t="s">
        <v>6617</v>
      </c>
      <c r="I118" s="97" t="s">
        <v>6571</v>
      </c>
      <c r="J118" s="100" t="s">
        <v>140</v>
      </c>
      <c r="K118" s="101">
        <v>0</v>
      </c>
      <c r="L118" s="91">
        <v>0</v>
      </c>
      <c r="M118" s="102">
        <v>50</v>
      </c>
      <c r="N118" s="103">
        <v>1500</v>
      </c>
      <c r="O118" s="102">
        <v>1</v>
      </c>
      <c r="P118" s="102">
        <f t="shared" si="13"/>
        <v>1500</v>
      </c>
      <c r="Q118" s="181">
        <v>0.8</v>
      </c>
      <c r="R118" s="92">
        <v>1500</v>
      </c>
      <c r="S118" s="102">
        <f t="shared" si="19"/>
        <v>0</v>
      </c>
      <c r="T118" s="173">
        <f t="shared" si="15"/>
        <v>1382.4</v>
      </c>
      <c r="U118" s="101">
        <f t="shared" si="16"/>
        <v>0</v>
      </c>
      <c r="V118" s="101">
        <f t="shared" si="17"/>
        <v>0</v>
      </c>
      <c r="W118" s="101">
        <v>0</v>
      </c>
      <c r="X118" s="255">
        <f>A118+K118+L118+V118+W118</f>
        <v>46153.749652777777</v>
      </c>
      <c r="Y118" s="511"/>
      <c r="Z118" s="511"/>
      <c r="AA118" s="511"/>
      <c r="AB118" s="511"/>
      <c r="AC118" s="511"/>
      <c r="AD118" s="511"/>
      <c r="AE118" s="511"/>
      <c r="AF118" s="511"/>
      <c r="AG118" s="511"/>
      <c r="AH118" s="511"/>
      <c r="AI118" s="511"/>
      <c r="AJ118" s="511"/>
      <c r="AK118" s="511"/>
      <c r="AL118" s="511"/>
      <c r="AM118" s="511"/>
      <c r="AN118" s="511"/>
    </row>
    <row r="119" spans="1:40" s="243" customFormat="1" ht="25" customHeight="1" x14ac:dyDescent="0.35">
      <c r="A119" s="193">
        <f t="shared" si="12"/>
        <v>46153.749652777777</v>
      </c>
      <c r="B119" s="193">
        <v>46132</v>
      </c>
      <c r="C119" s="267">
        <f t="shared" si="14"/>
        <v>-21.749652777776646</v>
      </c>
      <c r="D119" s="267"/>
      <c r="E119" s="195" t="s">
        <v>4384</v>
      </c>
      <c r="F119" s="196" t="s">
        <v>6598</v>
      </c>
      <c r="G119" s="1112" t="s">
        <v>6618</v>
      </c>
      <c r="H119" s="833" t="s">
        <v>6619</v>
      </c>
      <c r="I119" s="788" t="s">
        <v>4877</v>
      </c>
      <c r="J119" s="114" t="s">
        <v>140</v>
      </c>
      <c r="K119" s="115">
        <v>0</v>
      </c>
      <c r="L119" s="115">
        <v>0</v>
      </c>
      <c r="M119" s="116">
        <v>80</v>
      </c>
      <c r="N119" s="117">
        <v>20000</v>
      </c>
      <c r="O119" s="116">
        <v>2</v>
      </c>
      <c r="P119" s="117">
        <f t="shared" si="13"/>
        <v>10000</v>
      </c>
      <c r="Q119" s="198">
        <v>0.8</v>
      </c>
      <c r="R119" s="117">
        <v>7026</v>
      </c>
      <c r="S119" s="116">
        <f t="shared" si="19"/>
        <v>2974</v>
      </c>
      <c r="T119" s="200">
        <f t="shared" si="15"/>
        <v>1728</v>
      </c>
      <c r="U119" s="115">
        <f t="shared" si="16"/>
        <v>82.6111111111111</v>
      </c>
      <c r="V119" s="115">
        <f t="shared" si="17"/>
        <v>3.4421296296296293</v>
      </c>
      <c r="W119" s="115">
        <v>0</v>
      </c>
      <c r="X119" s="591">
        <f>A119+K119+V119+W119+L119</f>
        <v>46157.191782407404</v>
      </c>
    </row>
    <row r="120" spans="1:40" s="178" customFormat="1" ht="25" customHeight="1" x14ac:dyDescent="0.35">
      <c r="A120" s="203">
        <f t="shared" si="12"/>
        <v>46157.191782407404</v>
      </c>
      <c r="B120" s="203">
        <v>46150</v>
      </c>
      <c r="C120" s="385">
        <f t="shared" si="14"/>
        <v>-7.1917824074043892</v>
      </c>
      <c r="D120" s="203"/>
      <c r="E120" s="204" t="s">
        <v>4384</v>
      </c>
      <c r="F120" s="205" t="s">
        <v>6620</v>
      </c>
      <c r="G120" s="205" t="s">
        <v>414</v>
      </c>
      <c r="H120" s="206" t="s">
        <v>6621</v>
      </c>
      <c r="I120" s="205" t="s">
        <v>4398</v>
      </c>
      <c r="J120" s="310" t="s">
        <v>140</v>
      </c>
      <c r="K120" s="208">
        <v>0.25</v>
      </c>
      <c r="L120" s="208">
        <v>0.2</v>
      </c>
      <c r="M120" s="209">
        <v>40</v>
      </c>
      <c r="N120" s="210">
        <v>20000</v>
      </c>
      <c r="O120" s="1113">
        <v>1</v>
      </c>
      <c r="P120" s="210">
        <f t="shared" si="13"/>
        <v>20000</v>
      </c>
      <c r="Q120" s="293">
        <v>0.8</v>
      </c>
      <c r="R120" s="291"/>
      <c r="S120" s="290">
        <f t="shared" si="19"/>
        <v>20000</v>
      </c>
      <c r="T120" s="294">
        <f t="shared" si="15"/>
        <v>1728</v>
      </c>
      <c r="U120" s="289">
        <f t="shared" si="16"/>
        <v>277.77777777777777</v>
      </c>
      <c r="V120" s="289">
        <f t="shared" si="17"/>
        <v>11.574074074074074</v>
      </c>
      <c r="W120" s="289">
        <v>0</v>
      </c>
      <c r="X120" s="212">
        <f>A120+K120+V120+W120+L120</f>
        <v>46169.215856481474</v>
      </c>
      <c r="Y120" s="487"/>
      <c r="Z120" s="487"/>
      <c r="AA120" s="487"/>
      <c r="AB120" s="487"/>
      <c r="AC120" s="487"/>
      <c r="AD120" s="487"/>
      <c r="AE120" s="487"/>
      <c r="AF120" s="487"/>
      <c r="AG120" s="487"/>
      <c r="AH120" s="487"/>
      <c r="AI120" s="487"/>
      <c r="AJ120" s="487"/>
      <c r="AK120" s="487"/>
      <c r="AL120" s="487"/>
      <c r="AM120" s="487"/>
      <c r="AN120" s="487"/>
    </row>
    <row r="121" spans="1:40" s="118" customFormat="1" ht="25" customHeight="1" x14ac:dyDescent="0.35">
      <c r="A121" s="548"/>
      <c r="B121" s="548"/>
      <c r="C121" s="576"/>
      <c r="D121" s="548"/>
      <c r="E121" s="273"/>
      <c r="F121" s="274"/>
      <c r="G121" s="274"/>
      <c r="H121" s="276"/>
      <c r="I121" s="274"/>
      <c r="J121" s="277"/>
      <c r="K121" s="563"/>
      <c r="L121" s="563"/>
      <c r="M121" s="564"/>
      <c r="N121" s="565"/>
      <c r="O121" s="1114"/>
      <c r="P121" s="565"/>
      <c r="Q121" s="565"/>
      <c r="R121" s="564"/>
      <c r="S121" s="564"/>
      <c r="T121" s="284"/>
      <c r="U121" s="278"/>
      <c r="V121" s="278"/>
      <c r="W121" s="278"/>
      <c r="X121" s="285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</row>
    <row r="122" spans="1:40" s="1053" customFormat="1" ht="25" customHeight="1" x14ac:dyDescent="0.35">
      <c r="A122" s="772">
        <f>'[2]Factory 2'!X1476</f>
        <v>46160.450491898133</v>
      </c>
      <c r="B122" s="772">
        <v>46086</v>
      </c>
      <c r="C122" s="906">
        <f>B122-A122</f>
        <v>-74.450491898132896</v>
      </c>
      <c r="D122" s="1043" t="s">
        <v>6175</v>
      </c>
      <c r="E122" s="907" t="s">
        <v>4384</v>
      </c>
      <c r="F122" s="901" t="s">
        <v>6176</v>
      </c>
      <c r="G122" s="901" t="s">
        <v>792</v>
      </c>
      <c r="H122" s="1115" t="s">
        <v>6622</v>
      </c>
      <c r="I122" s="901" t="s">
        <v>6590</v>
      </c>
      <c r="J122" s="1045" t="s">
        <v>140</v>
      </c>
      <c r="K122" s="1046">
        <v>0.25</v>
      </c>
      <c r="L122" s="1046">
        <v>0.2</v>
      </c>
      <c r="M122" s="1047">
        <v>30</v>
      </c>
      <c r="N122" s="1048">
        <v>2900</v>
      </c>
      <c r="O122" s="1047">
        <v>2</v>
      </c>
      <c r="P122" s="1048">
        <f>N122/O122</f>
        <v>1450</v>
      </c>
      <c r="Q122" s="1049">
        <v>0.8</v>
      </c>
      <c r="R122" s="1048"/>
      <c r="S122" s="1047">
        <f>P122-R122</f>
        <v>1450</v>
      </c>
      <c r="T122" s="1050">
        <f>((3600/M122)*O122)*24*Q122</f>
        <v>4608</v>
      </c>
      <c r="U122" s="1046">
        <f>(P122-R122)*M122/3600/Q122</f>
        <v>15.104166666666666</v>
      </c>
      <c r="V122" s="1046">
        <f>U122/24</f>
        <v>0.62934027777777779</v>
      </c>
      <c r="W122" s="1046">
        <v>0</v>
      </c>
      <c r="X122" s="1051">
        <f>A122+K122+V122+W122+L122</f>
        <v>46161.529832175911</v>
      </c>
      <c r="Y122" s="1052"/>
      <c r="Z122" s="1052"/>
      <c r="AA122" s="1052"/>
      <c r="AB122" s="1052"/>
      <c r="AC122" s="1052"/>
      <c r="AD122" s="1052"/>
      <c r="AE122" s="1052"/>
      <c r="AF122" s="1052"/>
      <c r="AG122" s="1052"/>
      <c r="AH122" s="1052"/>
      <c r="AI122" s="1052"/>
      <c r="AJ122" s="1052"/>
      <c r="AK122" s="1052"/>
      <c r="AL122" s="1052"/>
      <c r="AM122" s="1052"/>
      <c r="AN122" s="1052"/>
    </row>
    <row r="123" spans="1:40" s="178" customFormat="1" ht="25" customHeight="1" x14ac:dyDescent="0.35">
      <c r="A123" s="203"/>
      <c r="B123" s="203"/>
      <c r="C123" s="286"/>
      <c r="D123" s="385"/>
      <c r="E123" s="204"/>
      <c r="F123" s="205"/>
      <c r="G123" s="205"/>
      <c r="H123" s="1116"/>
      <c r="I123" s="205"/>
      <c r="J123" s="310"/>
      <c r="K123" s="289"/>
      <c r="L123" s="289"/>
      <c r="M123" s="290"/>
      <c r="N123" s="291"/>
      <c r="O123" s="290"/>
      <c r="P123" s="291"/>
      <c r="Q123" s="293"/>
      <c r="R123" s="291"/>
      <c r="S123" s="290"/>
      <c r="T123" s="294"/>
      <c r="U123" s="289"/>
      <c r="V123" s="289"/>
      <c r="W123" s="289"/>
      <c r="X123" s="388"/>
      <c r="Y123" s="487"/>
      <c r="Z123" s="487"/>
      <c r="AA123" s="487"/>
      <c r="AB123" s="487"/>
      <c r="AC123" s="487"/>
      <c r="AD123" s="487"/>
      <c r="AE123" s="487"/>
      <c r="AF123" s="487"/>
      <c r="AG123" s="487"/>
      <c r="AH123" s="487"/>
      <c r="AI123" s="487"/>
      <c r="AJ123" s="487"/>
      <c r="AK123" s="487"/>
      <c r="AL123" s="487"/>
      <c r="AM123" s="487"/>
      <c r="AN123" s="487"/>
    </row>
    <row r="124" spans="1:40" s="118" customFormat="1" ht="45" x14ac:dyDescent="0.8">
      <c r="A124" s="1100" t="s">
        <v>4781</v>
      </c>
      <c r="B124" s="1100"/>
      <c r="C124" s="1100"/>
      <c r="D124" s="1100"/>
      <c r="E124" s="718"/>
      <c r="F124" s="389"/>
      <c r="G124" s="389"/>
      <c r="H124" s="311" t="s">
        <v>4269</v>
      </c>
      <c r="I124" s="214"/>
      <c r="J124" s="40"/>
      <c r="K124" s="1101"/>
      <c r="L124" s="1101"/>
      <c r="M124" s="1102"/>
      <c r="N124" s="1103"/>
      <c r="O124" s="37"/>
      <c r="P124" s="37"/>
      <c r="Q124" s="37"/>
      <c r="R124" s="1103"/>
      <c r="S124" s="37"/>
      <c r="T124" s="37"/>
      <c r="U124" s="37"/>
      <c r="V124" s="37"/>
      <c r="W124" s="37"/>
      <c r="X124" s="110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</row>
    <row r="125" spans="1:40" s="118" customFormat="1" hidden="1" x14ac:dyDescent="0.35">
      <c r="A125" s="71">
        <f>S7</f>
        <v>46153</v>
      </c>
      <c r="B125" s="71"/>
      <c r="C125" s="71"/>
      <c r="D125" s="71"/>
      <c r="E125" s="119" t="s">
        <v>4781</v>
      </c>
      <c r="F125" s="48" t="s">
        <v>6530</v>
      </c>
      <c r="G125" s="48"/>
      <c r="H125" s="216" t="s">
        <v>6623</v>
      </c>
      <c r="I125" s="82" t="s">
        <v>6590</v>
      </c>
      <c r="J125" s="100" t="s">
        <v>140</v>
      </c>
      <c r="K125" s="84">
        <v>0</v>
      </c>
      <c r="L125" s="84">
        <v>0</v>
      </c>
      <c r="M125" s="83">
        <v>22</v>
      </c>
      <c r="N125" s="223">
        <v>1000</v>
      </c>
      <c r="O125" s="83">
        <v>1</v>
      </c>
      <c r="P125" s="83">
        <f t="shared" ref="P125:P188" si="20">N125/O125</f>
        <v>1000</v>
      </c>
      <c r="Q125" s="83"/>
      <c r="R125" s="223">
        <v>1000</v>
      </c>
      <c r="S125" s="223">
        <f t="shared" ref="S125:S188" si="21">P125-R125</f>
        <v>0</v>
      </c>
      <c r="T125" s="83">
        <f t="shared" ref="T125:T188" si="22">((3600/M125)*O125)*24</f>
        <v>3927.272727272727</v>
      </c>
      <c r="U125" s="84">
        <f t="shared" ref="U125:U188" si="23">(P125-R125)*M125/3600</f>
        <v>0</v>
      </c>
      <c r="V125" s="84">
        <f t="shared" ref="V125:V188" si="24">(P125-R125)*M125/3600/24</f>
        <v>0</v>
      </c>
      <c r="W125" s="84">
        <v>0</v>
      </c>
      <c r="X125" s="255">
        <f t="shared" ref="X125:X165" si="25">A125+K125+V125+W125+L125</f>
        <v>46153</v>
      </c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</row>
    <row r="126" spans="1:40" s="118" customFormat="1" hidden="1" x14ac:dyDescent="0.35">
      <c r="A126" s="71">
        <f t="shared" ref="A126:A189" si="26">X125</f>
        <v>46153</v>
      </c>
      <c r="B126" s="71"/>
      <c r="C126" s="71"/>
      <c r="D126" s="71"/>
      <c r="E126" s="119" t="s">
        <v>4781</v>
      </c>
      <c r="F126" s="48" t="s">
        <v>6530</v>
      </c>
      <c r="G126" s="48"/>
      <c r="H126" s="216" t="s">
        <v>6624</v>
      </c>
      <c r="I126" s="82" t="s">
        <v>5782</v>
      </c>
      <c r="J126" s="100" t="s">
        <v>140</v>
      </c>
      <c r="K126" s="84">
        <v>0</v>
      </c>
      <c r="L126" s="84">
        <v>0</v>
      </c>
      <c r="M126" s="83">
        <v>40</v>
      </c>
      <c r="N126" s="223">
        <v>1000</v>
      </c>
      <c r="O126" s="83">
        <v>1</v>
      </c>
      <c r="P126" s="83">
        <f t="shared" si="20"/>
        <v>1000</v>
      </c>
      <c r="Q126" s="83"/>
      <c r="R126" s="223">
        <v>1000</v>
      </c>
      <c r="S126" s="223">
        <f t="shared" si="21"/>
        <v>0</v>
      </c>
      <c r="T126" s="83">
        <f t="shared" si="22"/>
        <v>2160</v>
      </c>
      <c r="U126" s="84">
        <f t="shared" si="23"/>
        <v>0</v>
      </c>
      <c r="V126" s="84">
        <f t="shared" si="24"/>
        <v>0</v>
      </c>
      <c r="W126" s="84">
        <v>0</v>
      </c>
      <c r="X126" s="255">
        <f t="shared" si="25"/>
        <v>46153</v>
      </c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</row>
    <row r="127" spans="1:40" s="118" customFormat="1" hidden="1" x14ac:dyDescent="0.35">
      <c r="A127" s="71">
        <f t="shared" si="26"/>
        <v>46153</v>
      </c>
      <c r="B127" s="71"/>
      <c r="C127" s="71"/>
      <c r="D127" s="71"/>
      <c r="E127" s="119" t="s">
        <v>4781</v>
      </c>
      <c r="F127" s="48" t="s">
        <v>1362</v>
      </c>
      <c r="G127" s="48"/>
      <c r="H127" s="66" t="s">
        <v>6625</v>
      </c>
      <c r="I127" s="82" t="s">
        <v>4997</v>
      </c>
      <c r="J127" s="100" t="s">
        <v>140</v>
      </c>
      <c r="K127" s="84">
        <v>0</v>
      </c>
      <c r="L127" s="84">
        <v>0</v>
      </c>
      <c r="M127" s="83">
        <v>50</v>
      </c>
      <c r="N127" s="223">
        <v>20</v>
      </c>
      <c r="O127" s="83">
        <v>1</v>
      </c>
      <c r="P127" s="83">
        <f t="shared" si="20"/>
        <v>20</v>
      </c>
      <c r="Q127" s="83"/>
      <c r="R127" s="223">
        <v>20</v>
      </c>
      <c r="S127" s="223">
        <f t="shared" si="21"/>
        <v>0</v>
      </c>
      <c r="T127" s="83">
        <f t="shared" si="22"/>
        <v>1728</v>
      </c>
      <c r="U127" s="84">
        <f t="shared" si="23"/>
        <v>0</v>
      </c>
      <c r="V127" s="84">
        <f t="shared" si="24"/>
        <v>0</v>
      </c>
      <c r="W127" s="84">
        <v>0</v>
      </c>
      <c r="X127" s="255">
        <f t="shared" si="25"/>
        <v>46153</v>
      </c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</row>
    <row r="128" spans="1:40" s="118" customFormat="1" hidden="1" x14ac:dyDescent="0.35">
      <c r="A128" s="71">
        <f t="shared" si="26"/>
        <v>46153</v>
      </c>
      <c r="B128" s="71"/>
      <c r="C128" s="71"/>
      <c r="D128" s="71"/>
      <c r="E128" s="119" t="s">
        <v>4781</v>
      </c>
      <c r="F128" s="48" t="s">
        <v>1362</v>
      </c>
      <c r="G128" s="48"/>
      <c r="H128" s="66" t="s">
        <v>6625</v>
      </c>
      <c r="I128" s="82" t="s">
        <v>4998</v>
      </c>
      <c r="J128" s="100" t="s">
        <v>140</v>
      </c>
      <c r="K128" s="84">
        <v>0</v>
      </c>
      <c r="L128" s="84">
        <v>0</v>
      </c>
      <c r="M128" s="83">
        <v>50</v>
      </c>
      <c r="N128" s="223">
        <v>20</v>
      </c>
      <c r="O128" s="83">
        <v>1</v>
      </c>
      <c r="P128" s="83">
        <f t="shared" si="20"/>
        <v>20</v>
      </c>
      <c r="Q128" s="83"/>
      <c r="R128" s="223">
        <v>20</v>
      </c>
      <c r="S128" s="223">
        <f t="shared" si="21"/>
        <v>0</v>
      </c>
      <c r="T128" s="83">
        <f t="shared" si="22"/>
        <v>1728</v>
      </c>
      <c r="U128" s="84">
        <f t="shared" si="23"/>
        <v>0</v>
      </c>
      <c r="V128" s="84">
        <f t="shared" si="24"/>
        <v>0</v>
      </c>
      <c r="W128" s="84">
        <v>0</v>
      </c>
      <c r="X128" s="255">
        <f t="shared" si="25"/>
        <v>46153</v>
      </c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</row>
    <row r="129" spans="1:40" s="118" customFormat="1" ht="29" hidden="1" x14ac:dyDescent="0.35">
      <c r="A129" s="71">
        <f t="shared" si="26"/>
        <v>46153</v>
      </c>
      <c r="B129" s="71"/>
      <c r="C129" s="71"/>
      <c r="D129" s="71"/>
      <c r="E129" s="119" t="s">
        <v>4781</v>
      </c>
      <c r="F129" s="48" t="s">
        <v>501</v>
      </c>
      <c r="G129" s="48"/>
      <c r="H129" s="59" t="s">
        <v>6626</v>
      </c>
      <c r="I129" s="82" t="s">
        <v>4557</v>
      </c>
      <c r="J129" s="100" t="s">
        <v>140</v>
      </c>
      <c r="K129" s="84">
        <v>0</v>
      </c>
      <c r="L129" s="84">
        <v>0</v>
      </c>
      <c r="M129" s="83">
        <v>40</v>
      </c>
      <c r="N129" s="223">
        <v>5200</v>
      </c>
      <c r="O129" s="83">
        <v>1</v>
      </c>
      <c r="P129" s="83">
        <f t="shared" si="20"/>
        <v>5200</v>
      </c>
      <c r="Q129" s="83"/>
      <c r="R129" s="223">
        <v>5200</v>
      </c>
      <c r="S129" s="223">
        <f t="shared" si="21"/>
        <v>0</v>
      </c>
      <c r="T129" s="83">
        <f t="shared" si="22"/>
        <v>2160</v>
      </c>
      <c r="U129" s="84">
        <f t="shared" si="23"/>
        <v>0</v>
      </c>
      <c r="V129" s="84">
        <f t="shared" si="24"/>
        <v>0</v>
      </c>
      <c r="W129" s="84">
        <v>0</v>
      </c>
      <c r="X129" s="255">
        <f t="shared" si="25"/>
        <v>46153</v>
      </c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</row>
    <row r="130" spans="1:40" s="118" customFormat="1" ht="29" hidden="1" x14ac:dyDescent="0.35">
      <c r="A130" s="71">
        <f t="shared" si="26"/>
        <v>46153</v>
      </c>
      <c r="B130" s="71"/>
      <c r="C130" s="71"/>
      <c r="D130" s="71"/>
      <c r="E130" s="119" t="s">
        <v>1896</v>
      </c>
      <c r="F130" s="48" t="s">
        <v>1321</v>
      </c>
      <c r="G130" s="48"/>
      <c r="H130" s="66" t="s">
        <v>6627</v>
      </c>
      <c r="I130" s="69" t="s">
        <v>6628</v>
      </c>
      <c r="J130" s="100" t="s">
        <v>140</v>
      </c>
      <c r="K130" s="84">
        <v>0</v>
      </c>
      <c r="L130" s="84">
        <v>0</v>
      </c>
      <c r="M130" s="83">
        <v>60</v>
      </c>
      <c r="N130" s="223">
        <v>20</v>
      </c>
      <c r="O130" s="83">
        <v>1</v>
      </c>
      <c r="P130" s="83">
        <f t="shared" si="20"/>
        <v>20</v>
      </c>
      <c r="Q130" s="83"/>
      <c r="R130" s="223">
        <v>20</v>
      </c>
      <c r="S130" s="223">
        <f t="shared" si="21"/>
        <v>0</v>
      </c>
      <c r="T130" s="83">
        <f t="shared" si="22"/>
        <v>1440</v>
      </c>
      <c r="U130" s="84">
        <f t="shared" si="23"/>
        <v>0</v>
      </c>
      <c r="V130" s="84">
        <f t="shared" si="24"/>
        <v>0</v>
      </c>
      <c r="W130" s="84">
        <v>0</v>
      </c>
      <c r="X130" s="255">
        <f t="shared" si="25"/>
        <v>46153</v>
      </c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</row>
    <row r="131" spans="1:40" s="118" customFormat="1" ht="29" hidden="1" x14ac:dyDescent="0.35">
      <c r="A131" s="71">
        <f t="shared" si="26"/>
        <v>46153</v>
      </c>
      <c r="B131" s="71"/>
      <c r="C131" s="71"/>
      <c r="D131" s="71"/>
      <c r="E131" s="119" t="s">
        <v>4781</v>
      </c>
      <c r="F131" s="57" t="s">
        <v>652</v>
      </c>
      <c r="G131" s="57"/>
      <c r="H131" s="49" t="s">
        <v>6629</v>
      </c>
      <c r="I131" s="82" t="s">
        <v>3491</v>
      </c>
      <c r="J131" s="100" t="s">
        <v>140</v>
      </c>
      <c r="K131" s="84">
        <v>0</v>
      </c>
      <c r="L131" s="84">
        <v>0</v>
      </c>
      <c r="M131" s="83">
        <v>110</v>
      </c>
      <c r="N131" s="223">
        <v>8000</v>
      </c>
      <c r="O131" s="83">
        <v>4</v>
      </c>
      <c r="P131" s="83">
        <f t="shared" si="20"/>
        <v>2000</v>
      </c>
      <c r="Q131" s="83"/>
      <c r="R131" s="223">
        <v>2000</v>
      </c>
      <c r="S131" s="223">
        <f t="shared" si="21"/>
        <v>0</v>
      </c>
      <c r="T131" s="83">
        <f t="shared" si="22"/>
        <v>3141.818181818182</v>
      </c>
      <c r="U131" s="84">
        <f t="shared" si="23"/>
        <v>0</v>
      </c>
      <c r="V131" s="84">
        <f t="shared" si="24"/>
        <v>0</v>
      </c>
      <c r="W131" s="84">
        <v>0</v>
      </c>
      <c r="X131" s="255">
        <f t="shared" si="25"/>
        <v>46153</v>
      </c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</row>
    <row r="132" spans="1:40" s="118" customFormat="1" hidden="1" x14ac:dyDescent="0.35">
      <c r="A132" s="71">
        <f t="shared" si="26"/>
        <v>46153</v>
      </c>
      <c r="B132" s="71"/>
      <c r="C132" s="71"/>
      <c r="D132" s="71"/>
      <c r="E132" s="119" t="s">
        <v>4781</v>
      </c>
      <c r="F132" s="48" t="s">
        <v>1045</v>
      </c>
      <c r="G132" s="48"/>
      <c r="H132" s="49" t="s">
        <v>6630</v>
      </c>
      <c r="I132" s="82" t="s">
        <v>3491</v>
      </c>
      <c r="J132" s="100" t="s">
        <v>140</v>
      </c>
      <c r="K132" s="84">
        <v>0</v>
      </c>
      <c r="L132" s="84">
        <v>0</v>
      </c>
      <c r="M132" s="83">
        <v>110</v>
      </c>
      <c r="N132" s="223">
        <v>4200</v>
      </c>
      <c r="O132" s="83">
        <v>4</v>
      </c>
      <c r="P132" s="83">
        <f t="shared" si="20"/>
        <v>1050</v>
      </c>
      <c r="Q132" s="83"/>
      <c r="R132" s="223">
        <v>1050</v>
      </c>
      <c r="S132" s="223">
        <f t="shared" si="21"/>
        <v>0</v>
      </c>
      <c r="T132" s="83">
        <f t="shared" si="22"/>
        <v>3141.818181818182</v>
      </c>
      <c r="U132" s="84">
        <f t="shared" si="23"/>
        <v>0</v>
      </c>
      <c r="V132" s="84">
        <f t="shared" si="24"/>
        <v>0</v>
      </c>
      <c r="W132" s="84">
        <v>0</v>
      </c>
      <c r="X132" s="255">
        <f t="shared" si="25"/>
        <v>46153</v>
      </c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</row>
    <row r="133" spans="1:40" s="118" customFormat="1" hidden="1" x14ac:dyDescent="0.35">
      <c r="A133" s="71">
        <f t="shared" si="26"/>
        <v>46153</v>
      </c>
      <c r="B133" s="71"/>
      <c r="C133" s="71"/>
      <c r="D133" s="71"/>
      <c r="E133" s="496" t="s">
        <v>4781</v>
      </c>
      <c r="F133" s="1117" t="s">
        <v>14</v>
      </c>
      <c r="G133" s="1117"/>
      <c r="H133" s="1118" t="s">
        <v>14</v>
      </c>
      <c r="I133" s="1119" t="s">
        <v>6631</v>
      </c>
      <c r="J133" s="1119" t="s">
        <v>140</v>
      </c>
      <c r="K133" s="84">
        <v>0</v>
      </c>
      <c r="L133" s="84">
        <v>0</v>
      </c>
      <c r="M133" s="1120">
        <v>35</v>
      </c>
      <c r="N133" s="1121">
        <v>20</v>
      </c>
      <c r="O133" s="1122">
        <v>4</v>
      </c>
      <c r="P133" s="579">
        <f t="shared" si="20"/>
        <v>5</v>
      </c>
      <c r="Q133" s="579"/>
      <c r="R133" s="1123">
        <v>5</v>
      </c>
      <c r="S133" s="580">
        <f t="shared" si="21"/>
        <v>0</v>
      </c>
      <c r="T133" s="1124">
        <f t="shared" si="22"/>
        <v>9874.2857142857138</v>
      </c>
      <c r="U133" s="1125">
        <f t="shared" si="23"/>
        <v>0</v>
      </c>
      <c r="V133" s="1125">
        <f t="shared" si="24"/>
        <v>0</v>
      </c>
      <c r="W133" s="1125">
        <v>0</v>
      </c>
      <c r="X133" s="255">
        <f t="shared" si="25"/>
        <v>46153</v>
      </c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</row>
    <row r="134" spans="1:40" s="118" customFormat="1" hidden="1" x14ac:dyDescent="0.35">
      <c r="A134" s="71">
        <f t="shared" si="26"/>
        <v>46153</v>
      </c>
      <c r="B134" s="71"/>
      <c r="C134" s="71"/>
      <c r="D134" s="71"/>
      <c r="E134" s="496" t="s">
        <v>4781</v>
      </c>
      <c r="F134" s="577" t="s">
        <v>14</v>
      </c>
      <c r="G134" s="577"/>
      <c r="H134" s="578" t="s">
        <v>14</v>
      </c>
      <c r="I134" s="297" t="s">
        <v>6572</v>
      </c>
      <c r="J134" s="300" t="s">
        <v>140</v>
      </c>
      <c r="K134" s="84">
        <v>0</v>
      </c>
      <c r="L134" s="84">
        <v>0</v>
      </c>
      <c r="M134" s="579">
        <v>110</v>
      </c>
      <c r="N134" s="580">
        <v>20</v>
      </c>
      <c r="O134" s="579">
        <v>2</v>
      </c>
      <c r="P134" s="579">
        <f t="shared" si="20"/>
        <v>10</v>
      </c>
      <c r="Q134" s="579"/>
      <c r="R134" s="580">
        <v>10</v>
      </c>
      <c r="S134" s="580">
        <f t="shared" si="21"/>
        <v>0</v>
      </c>
      <c r="T134" s="579">
        <f t="shared" si="22"/>
        <v>1570.909090909091</v>
      </c>
      <c r="U134" s="583">
        <f t="shared" si="23"/>
        <v>0</v>
      </c>
      <c r="V134" s="583">
        <f t="shared" si="24"/>
        <v>0</v>
      </c>
      <c r="W134" s="583">
        <v>0</v>
      </c>
      <c r="X134" s="255">
        <f t="shared" si="25"/>
        <v>46153</v>
      </c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</row>
    <row r="135" spans="1:40" s="118" customFormat="1" hidden="1" x14ac:dyDescent="0.35">
      <c r="A135" s="71">
        <f t="shared" si="26"/>
        <v>46153</v>
      </c>
      <c r="B135" s="71"/>
      <c r="C135" s="71"/>
      <c r="D135" s="71"/>
      <c r="E135" s="496" t="s">
        <v>6632</v>
      </c>
      <c r="F135" s="1117" t="s">
        <v>14</v>
      </c>
      <c r="G135" s="1117"/>
      <c r="H135" s="1118" t="s">
        <v>14</v>
      </c>
      <c r="I135" s="874" t="s">
        <v>6633</v>
      </c>
      <c r="J135" s="1119" t="s">
        <v>140</v>
      </c>
      <c r="K135" s="84">
        <v>0</v>
      </c>
      <c r="L135" s="84">
        <v>0</v>
      </c>
      <c r="M135" s="1120">
        <v>35</v>
      </c>
      <c r="N135" s="1121">
        <v>20</v>
      </c>
      <c r="O135" s="1120">
        <v>4</v>
      </c>
      <c r="P135" s="579">
        <f t="shared" si="20"/>
        <v>5</v>
      </c>
      <c r="Q135" s="579"/>
      <c r="R135" s="1123">
        <v>5</v>
      </c>
      <c r="S135" s="580">
        <f t="shared" si="21"/>
        <v>0</v>
      </c>
      <c r="T135" s="579">
        <f t="shared" si="22"/>
        <v>9874.2857142857138</v>
      </c>
      <c r="U135" s="583">
        <f t="shared" si="23"/>
        <v>0</v>
      </c>
      <c r="V135" s="583">
        <f t="shared" si="24"/>
        <v>0</v>
      </c>
      <c r="W135" s="583">
        <v>0</v>
      </c>
      <c r="X135" s="255">
        <f t="shared" si="25"/>
        <v>46153</v>
      </c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</row>
    <row r="136" spans="1:40" s="118" customFormat="1" hidden="1" x14ac:dyDescent="0.35">
      <c r="A136" s="71">
        <f t="shared" si="26"/>
        <v>46153</v>
      </c>
      <c r="B136" s="71"/>
      <c r="C136" s="71"/>
      <c r="D136" s="71"/>
      <c r="E136" s="1126" t="s">
        <v>4781</v>
      </c>
      <c r="F136" s="1127" t="s">
        <v>14</v>
      </c>
      <c r="G136" s="1127"/>
      <c r="H136" s="1128" t="s">
        <v>14</v>
      </c>
      <c r="I136" s="1129" t="s">
        <v>6634</v>
      </c>
      <c r="J136" s="1129" t="s">
        <v>140</v>
      </c>
      <c r="K136" s="84">
        <v>0</v>
      </c>
      <c r="L136" s="84">
        <v>0</v>
      </c>
      <c r="M136" s="1130">
        <v>120</v>
      </c>
      <c r="N136" s="1131">
        <v>300</v>
      </c>
      <c r="O136" s="1132">
        <v>1</v>
      </c>
      <c r="P136" s="1133">
        <f t="shared" si="20"/>
        <v>300</v>
      </c>
      <c r="Q136" s="1133"/>
      <c r="R136" s="1132"/>
      <c r="S136" s="1131">
        <f t="shared" si="21"/>
        <v>300</v>
      </c>
      <c r="T136" s="1130">
        <f t="shared" si="22"/>
        <v>720</v>
      </c>
      <c r="U136" s="1134">
        <f t="shared" si="23"/>
        <v>10</v>
      </c>
      <c r="V136" s="1134">
        <f t="shared" si="24"/>
        <v>0.41666666666666669</v>
      </c>
      <c r="W136" s="1134">
        <v>0</v>
      </c>
      <c r="X136" s="255">
        <f t="shared" si="25"/>
        <v>46153.416666666664</v>
      </c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</row>
    <row r="137" spans="1:40" s="118" customFormat="1" hidden="1" x14ac:dyDescent="0.35">
      <c r="A137" s="71">
        <f t="shared" si="26"/>
        <v>46153.416666666664</v>
      </c>
      <c r="B137" s="71"/>
      <c r="C137" s="71"/>
      <c r="D137" s="71"/>
      <c r="E137" s="1126" t="s">
        <v>4781</v>
      </c>
      <c r="F137" s="1135" t="s">
        <v>14</v>
      </c>
      <c r="G137" s="1135"/>
      <c r="H137" s="1136" t="s">
        <v>14</v>
      </c>
      <c r="I137" s="1137" t="s">
        <v>6572</v>
      </c>
      <c r="J137" s="1138" t="s">
        <v>140</v>
      </c>
      <c r="K137" s="84">
        <v>0</v>
      </c>
      <c r="L137" s="84">
        <v>0</v>
      </c>
      <c r="M137" s="1133">
        <v>108</v>
      </c>
      <c r="N137" s="1131">
        <v>300</v>
      </c>
      <c r="O137" s="1133">
        <v>1</v>
      </c>
      <c r="P137" s="1133">
        <f t="shared" si="20"/>
        <v>300</v>
      </c>
      <c r="Q137" s="1133"/>
      <c r="R137" s="1131"/>
      <c r="S137" s="1131">
        <f t="shared" si="21"/>
        <v>300</v>
      </c>
      <c r="T137" s="1133">
        <f t="shared" si="22"/>
        <v>800</v>
      </c>
      <c r="U137" s="1139">
        <f t="shared" si="23"/>
        <v>9</v>
      </c>
      <c r="V137" s="1139">
        <f t="shared" si="24"/>
        <v>0.375</v>
      </c>
      <c r="W137" s="1139">
        <v>0</v>
      </c>
      <c r="X137" s="255">
        <f t="shared" si="25"/>
        <v>46153.791666666664</v>
      </c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</row>
    <row r="138" spans="1:40" s="118" customFormat="1" ht="29" hidden="1" x14ac:dyDescent="0.35">
      <c r="A138" s="71">
        <f t="shared" si="26"/>
        <v>46153.791666666664</v>
      </c>
      <c r="B138" s="71"/>
      <c r="C138" s="71"/>
      <c r="D138" s="71"/>
      <c r="E138" s="496" t="s">
        <v>4781</v>
      </c>
      <c r="F138" s="577" t="s">
        <v>1321</v>
      </c>
      <c r="G138" s="577"/>
      <c r="H138" s="578" t="s">
        <v>6627</v>
      </c>
      <c r="I138" s="1119" t="s">
        <v>6628</v>
      </c>
      <c r="J138" s="300" t="s">
        <v>140</v>
      </c>
      <c r="K138" s="84">
        <v>0</v>
      </c>
      <c r="L138" s="84">
        <v>0</v>
      </c>
      <c r="M138" s="579">
        <v>60</v>
      </c>
      <c r="N138" s="580">
        <v>20</v>
      </c>
      <c r="O138" s="579">
        <v>1</v>
      </c>
      <c r="P138" s="579">
        <f t="shared" si="20"/>
        <v>20</v>
      </c>
      <c r="Q138" s="579"/>
      <c r="R138" s="580"/>
      <c r="S138" s="580">
        <f t="shared" si="21"/>
        <v>20</v>
      </c>
      <c r="T138" s="579">
        <f t="shared" si="22"/>
        <v>1440</v>
      </c>
      <c r="U138" s="583">
        <f t="shared" si="23"/>
        <v>0.33333333333333331</v>
      </c>
      <c r="V138" s="583">
        <f t="shared" si="24"/>
        <v>1.3888888888888888E-2</v>
      </c>
      <c r="W138" s="583">
        <v>0</v>
      </c>
      <c r="X138" s="255">
        <f t="shared" si="25"/>
        <v>46153.805555555555</v>
      </c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</row>
    <row r="139" spans="1:40" s="118" customFormat="1" hidden="1" x14ac:dyDescent="0.35">
      <c r="A139" s="71">
        <f t="shared" si="26"/>
        <v>46153.805555555555</v>
      </c>
      <c r="B139" s="71"/>
      <c r="C139" s="71"/>
      <c r="D139" s="71"/>
      <c r="E139" s="119" t="s">
        <v>4781</v>
      </c>
      <c r="F139" s="57"/>
      <c r="G139" s="57"/>
      <c r="H139" s="49"/>
      <c r="I139" s="85" t="s">
        <v>6635</v>
      </c>
      <c r="J139" s="100" t="s">
        <v>140</v>
      </c>
      <c r="K139" s="84">
        <v>0</v>
      </c>
      <c r="L139" s="84">
        <v>0</v>
      </c>
      <c r="M139" s="83">
        <v>32</v>
      </c>
      <c r="N139" s="223">
        <f>8400*4</f>
        <v>33600</v>
      </c>
      <c r="O139" s="83">
        <v>4</v>
      </c>
      <c r="P139" s="83">
        <f t="shared" si="20"/>
        <v>8400</v>
      </c>
      <c r="Q139" s="83"/>
      <c r="R139" s="223">
        <v>8550</v>
      </c>
      <c r="S139" s="223">
        <f t="shared" si="21"/>
        <v>-150</v>
      </c>
      <c r="T139" s="83">
        <f t="shared" si="22"/>
        <v>10800</v>
      </c>
      <c r="U139" s="84">
        <f t="shared" si="23"/>
        <v>-1.3333333333333333</v>
      </c>
      <c r="V139" s="84">
        <f t="shared" si="24"/>
        <v>-5.5555555555555552E-2</v>
      </c>
      <c r="W139" s="84">
        <v>0</v>
      </c>
      <c r="X139" s="255">
        <f t="shared" si="25"/>
        <v>46153.75</v>
      </c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</row>
    <row r="140" spans="1:40" s="118" customFormat="1" hidden="1" x14ac:dyDescent="0.35">
      <c r="A140" s="71">
        <f t="shared" si="26"/>
        <v>46153.75</v>
      </c>
      <c r="B140" s="71"/>
      <c r="C140" s="71"/>
      <c r="D140" s="71"/>
      <c r="E140" s="496" t="s">
        <v>4781</v>
      </c>
      <c r="F140" s="297" t="s">
        <v>14</v>
      </c>
      <c r="G140" s="297"/>
      <c r="H140" s="367" t="s">
        <v>14</v>
      </c>
      <c r="I140" s="1140" t="s">
        <v>6636</v>
      </c>
      <c r="J140" s="300" t="s">
        <v>140</v>
      </c>
      <c r="K140" s="84">
        <v>0</v>
      </c>
      <c r="L140" s="84">
        <v>0</v>
      </c>
      <c r="M140" s="302">
        <v>50</v>
      </c>
      <c r="N140" s="303">
        <v>50</v>
      </c>
      <c r="O140" s="302">
        <v>1</v>
      </c>
      <c r="P140" s="302">
        <f t="shared" si="20"/>
        <v>50</v>
      </c>
      <c r="Q140" s="302"/>
      <c r="R140" s="303">
        <v>50</v>
      </c>
      <c r="S140" s="303">
        <f t="shared" si="21"/>
        <v>0</v>
      </c>
      <c r="T140" s="302">
        <f t="shared" si="22"/>
        <v>1728</v>
      </c>
      <c r="U140" s="301">
        <f t="shared" si="23"/>
        <v>0</v>
      </c>
      <c r="V140" s="301">
        <f t="shared" si="24"/>
        <v>0</v>
      </c>
      <c r="W140" s="301">
        <v>0</v>
      </c>
      <c r="X140" s="255">
        <f t="shared" si="25"/>
        <v>46153.75</v>
      </c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</row>
    <row r="141" spans="1:40" s="118" customFormat="1" hidden="1" x14ac:dyDescent="0.35">
      <c r="A141" s="71">
        <f t="shared" si="26"/>
        <v>46153.75</v>
      </c>
      <c r="B141" s="71"/>
      <c r="C141" s="71"/>
      <c r="D141" s="71"/>
      <c r="E141" s="119" t="s">
        <v>4781</v>
      </c>
      <c r="F141" s="82" t="s">
        <v>4568</v>
      </c>
      <c r="G141" s="82"/>
      <c r="H141" s="340" t="s">
        <v>6637</v>
      </c>
      <c r="I141" s="82" t="s">
        <v>6590</v>
      </c>
      <c r="J141" s="100" t="s">
        <v>140</v>
      </c>
      <c r="K141" s="84">
        <v>0</v>
      </c>
      <c r="L141" s="84">
        <v>0</v>
      </c>
      <c r="M141" s="102">
        <v>22</v>
      </c>
      <c r="N141" s="103">
        <v>3000</v>
      </c>
      <c r="O141" s="102">
        <v>1</v>
      </c>
      <c r="P141" s="102">
        <f t="shared" si="20"/>
        <v>3000</v>
      </c>
      <c r="Q141" s="102"/>
      <c r="R141" s="103">
        <v>3000</v>
      </c>
      <c r="S141" s="103">
        <f t="shared" si="21"/>
        <v>0</v>
      </c>
      <c r="T141" s="102">
        <f t="shared" si="22"/>
        <v>3927.272727272727</v>
      </c>
      <c r="U141" s="101">
        <f t="shared" si="23"/>
        <v>0</v>
      </c>
      <c r="V141" s="101">
        <f t="shared" si="24"/>
        <v>0</v>
      </c>
      <c r="W141" s="101">
        <v>0</v>
      </c>
      <c r="X141" s="255">
        <f t="shared" si="25"/>
        <v>46153.75</v>
      </c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</row>
    <row r="142" spans="1:40" s="118" customFormat="1" hidden="1" x14ac:dyDescent="0.35">
      <c r="A142" s="71">
        <f t="shared" si="26"/>
        <v>46153.75</v>
      </c>
      <c r="B142" s="71"/>
      <c r="C142" s="71"/>
      <c r="D142" s="71"/>
      <c r="E142" s="119" t="s">
        <v>4781</v>
      </c>
      <c r="F142" s="82" t="s">
        <v>4568</v>
      </c>
      <c r="G142" s="82"/>
      <c r="H142" s="340" t="s">
        <v>6638</v>
      </c>
      <c r="I142" s="82" t="s">
        <v>5782</v>
      </c>
      <c r="J142" s="100" t="s">
        <v>140</v>
      </c>
      <c r="K142" s="84">
        <v>0</v>
      </c>
      <c r="L142" s="84">
        <v>0</v>
      </c>
      <c r="M142" s="102">
        <v>40</v>
      </c>
      <c r="N142" s="103">
        <v>1200</v>
      </c>
      <c r="O142" s="102">
        <v>1</v>
      </c>
      <c r="P142" s="102">
        <f t="shared" si="20"/>
        <v>1200</v>
      </c>
      <c r="Q142" s="102"/>
      <c r="R142" s="103">
        <v>1200</v>
      </c>
      <c r="S142" s="103">
        <f t="shared" si="21"/>
        <v>0</v>
      </c>
      <c r="T142" s="102">
        <f t="shared" si="22"/>
        <v>2160</v>
      </c>
      <c r="U142" s="101">
        <f t="shared" si="23"/>
        <v>0</v>
      </c>
      <c r="V142" s="101">
        <f t="shared" si="24"/>
        <v>0</v>
      </c>
      <c r="W142" s="101">
        <v>0</v>
      </c>
      <c r="X142" s="255">
        <f t="shared" si="25"/>
        <v>46153.75</v>
      </c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</row>
    <row r="143" spans="1:40" s="229" customFormat="1" hidden="1" x14ac:dyDescent="0.35">
      <c r="A143" s="71">
        <f t="shared" si="26"/>
        <v>46153.75</v>
      </c>
      <c r="B143" s="71"/>
      <c r="C143" s="71"/>
      <c r="D143" s="71"/>
      <c r="E143" s="119" t="s">
        <v>4781</v>
      </c>
      <c r="F143" s="830" t="s">
        <v>5272</v>
      </c>
      <c r="G143" s="830"/>
      <c r="H143" s="49" t="s">
        <v>6639</v>
      </c>
      <c r="I143" s="97" t="s">
        <v>6634</v>
      </c>
      <c r="J143" s="97" t="s">
        <v>140</v>
      </c>
      <c r="K143" s="84">
        <v>0</v>
      </c>
      <c r="L143" s="84">
        <v>0</v>
      </c>
      <c r="M143" s="83">
        <v>120</v>
      </c>
      <c r="N143" s="223">
        <v>450</v>
      </c>
      <c r="O143" s="1141">
        <v>1</v>
      </c>
      <c r="P143" s="83">
        <f t="shared" si="20"/>
        <v>450</v>
      </c>
      <c r="Q143" s="83"/>
      <c r="R143" s="1142">
        <v>450</v>
      </c>
      <c r="S143" s="223">
        <f t="shared" si="21"/>
        <v>0</v>
      </c>
      <c r="T143" s="83">
        <f t="shared" si="22"/>
        <v>720</v>
      </c>
      <c r="U143" s="84">
        <f t="shared" si="23"/>
        <v>0</v>
      </c>
      <c r="V143" s="84">
        <f t="shared" si="24"/>
        <v>0</v>
      </c>
      <c r="W143" s="101">
        <v>0</v>
      </c>
      <c r="X143" s="255">
        <f t="shared" si="25"/>
        <v>46153.75</v>
      </c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</row>
    <row r="144" spans="1:40" s="229" customFormat="1" hidden="1" x14ac:dyDescent="0.35">
      <c r="A144" s="71">
        <f t="shared" si="26"/>
        <v>46153.75</v>
      </c>
      <c r="B144" s="71"/>
      <c r="C144" s="71"/>
      <c r="D144" s="71"/>
      <c r="E144" s="119" t="s">
        <v>4781</v>
      </c>
      <c r="F144" s="830" t="s">
        <v>5272</v>
      </c>
      <c r="G144" s="830"/>
      <c r="H144" s="49" t="s">
        <v>6640</v>
      </c>
      <c r="I144" s="71" t="s">
        <v>6641</v>
      </c>
      <c r="J144" s="97" t="s">
        <v>140</v>
      </c>
      <c r="K144" s="84">
        <v>0</v>
      </c>
      <c r="L144" s="84">
        <v>0</v>
      </c>
      <c r="M144" s="83">
        <v>108</v>
      </c>
      <c r="N144" s="223">
        <v>350</v>
      </c>
      <c r="O144" s="1141">
        <v>1</v>
      </c>
      <c r="P144" s="83">
        <f t="shared" si="20"/>
        <v>350</v>
      </c>
      <c r="Q144" s="83"/>
      <c r="R144" s="223">
        <v>350</v>
      </c>
      <c r="S144" s="223">
        <f t="shared" si="21"/>
        <v>0</v>
      </c>
      <c r="T144" s="83">
        <f t="shared" si="22"/>
        <v>800</v>
      </c>
      <c r="U144" s="84">
        <f t="shared" si="23"/>
        <v>0</v>
      </c>
      <c r="V144" s="84">
        <f t="shared" si="24"/>
        <v>0</v>
      </c>
      <c r="W144" s="84">
        <v>0</v>
      </c>
      <c r="X144" s="255">
        <f t="shared" si="25"/>
        <v>46153.75</v>
      </c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</row>
    <row r="145" spans="1:40" s="229" customFormat="1" hidden="1" x14ac:dyDescent="0.35">
      <c r="A145" s="71">
        <f t="shared" si="26"/>
        <v>46153.75</v>
      </c>
      <c r="B145" s="71"/>
      <c r="C145" s="71"/>
      <c r="D145" s="71"/>
      <c r="E145" s="119" t="s">
        <v>4781</v>
      </c>
      <c r="F145" s="48" t="s">
        <v>271</v>
      </c>
      <c r="G145" s="48"/>
      <c r="H145" s="49" t="s">
        <v>6642</v>
      </c>
      <c r="I145" s="82" t="s">
        <v>4877</v>
      </c>
      <c r="J145" s="100" t="s">
        <v>140</v>
      </c>
      <c r="K145" s="84">
        <v>0</v>
      </c>
      <c r="L145" s="84">
        <v>0</v>
      </c>
      <c r="M145" s="83">
        <v>70</v>
      </c>
      <c r="N145" s="223">
        <v>5000</v>
      </c>
      <c r="O145" s="83">
        <v>2</v>
      </c>
      <c r="P145" s="83">
        <f t="shared" si="20"/>
        <v>2500</v>
      </c>
      <c r="Q145" s="83"/>
      <c r="R145" s="223">
        <v>2500</v>
      </c>
      <c r="S145" s="223">
        <f t="shared" si="21"/>
        <v>0</v>
      </c>
      <c r="T145" s="83">
        <f t="shared" si="22"/>
        <v>2468.5714285714284</v>
      </c>
      <c r="U145" s="84">
        <f t="shared" si="23"/>
        <v>0</v>
      </c>
      <c r="V145" s="84">
        <f t="shared" si="24"/>
        <v>0</v>
      </c>
      <c r="W145" s="84">
        <v>0</v>
      </c>
      <c r="X145" s="255">
        <f t="shared" si="25"/>
        <v>46153.75</v>
      </c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</row>
    <row r="146" spans="1:40" s="229" customFormat="1" hidden="1" x14ac:dyDescent="0.35">
      <c r="A146" s="71">
        <f t="shared" si="26"/>
        <v>46153.75</v>
      </c>
      <c r="B146" s="71"/>
      <c r="C146" s="71"/>
      <c r="D146" s="71"/>
      <c r="E146" s="496" t="s">
        <v>4781</v>
      </c>
      <c r="F146" s="577" t="s">
        <v>1213</v>
      </c>
      <c r="G146" s="577"/>
      <c r="H146" s="577" t="s">
        <v>1213</v>
      </c>
      <c r="I146" s="297" t="s">
        <v>5739</v>
      </c>
      <c r="J146" s="300"/>
      <c r="K146" s="84">
        <v>0</v>
      </c>
      <c r="L146" s="84">
        <v>0</v>
      </c>
      <c r="M146" s="579">
        <v>45</v>
      </c>
      <c r="N146" s="580">
        <v>20</v>
      </c>
      <c r="O146" s="579">
        <v>1</v>
      </c>
      <c r="P146" s="579">
        <f t="shared" si="20"/>
        <v>20</v>
      </c>
      <c r="Q146" s="579"/>
      <c r="R146" s="580">
        <v>20</v>
      </c>
      <c r="S146" s="580">
        <f t="shared" si="21"/>
        <v>0</v>
      </c>
      <c r="T146" s="579">
        <f t="shared" si="22"/>
        <v>1920</v>
      </c>
      <c r="U146" s="583">
        <f t="shared" si="23"/>
        <v>0</v>
      </c>
      <c r="V146" s="583">
        <f t="shared" si="24"/>
        <v>0</v>
      </c>
      <c r="W146" s="583">
        <v>0</v>
      </c>
      <c r="X146" s="255">
        <f t="shared" si="25"/>
        <v>46153.75</v>
      </c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</row>
    <row r="147" spans="1:40" s="229" customFormat="1" hidden="1" x14ac:dyDescent="0.35">
      <c r="A147" s="71">
        <f t="shared" si="26"/>
        <v>46153.75</v>
      </c>
      <c r="B147" s="71"/>
      <c r="C147" s="71"/>
      <c r="D147" s="71"/>
      <c r="E147" s="496" t="s">
        <v>4781</v>
      </c>
      <c r="F147" s="577" t="s">
        <v>1213</v>
      </c>
      <c r="G147" s="577"/>
      <c r="H147" s="577" t="s">
        <v>1213</v>
      </c>
      <c r="I147" s="297" t="s">
        <v>5738</v>
      </c>
      <c r="J147" s="300"/>
      <c r="K147" s="84">
        <v>0</v>
      </c>
      <c r="L147" s="84">
        <v>0</v>
      </c>
      <c r="M147" s="579">
        <v>45</v>
      </c>
      <c r="N147" s="580">
        <v>20</v>
      </c>
      <c r="O147" s="579">
        <v>1</v>
      </c>
      <c r="P147" s="579">
        <f t="shared" si="20"/>
        <v>20</v>
      </c>
      <c r="Q147" s="579"/>
      <c r="R147" s="580">
        <v>20</v>
      </c>
      <c r="S147" s="580">
        <f t="shared" si="21"/>
        <v>0</v>
      </c>
      <c r="T147" s="579">
        <f t="shared" si="22"/>
        <v>1920</v>
      </c>
      <c r="U147" s="583">
        <f t="shared" si="23"/>
        <v>0</v>
      </c>
      <c r="V147" s="583">
        <f t="shared" si="24"/>
        <v>0</v>
      </c>
      <c r="W147" s="583">
        <v>0</v>
      </c>
      <c r="X147" s="255">
        <f t="shared" si="25"/>
        <v>46153.75</v>
      </c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</row>
    <row r="148" spans="1:40" s="229" customFormat="1" hidden="1" x14ac:dyDescent="0.35">
      <c r="A148" s="71">
        <f t="shared" si="26"/>
        <v>46153.75</v>
      </c>
      <c r="B148" s="71"/>
      <c r="C148" s="71"/>
      <c r="D148" s="71"/>
      <c r="E148" s="496" t="s">
        <v>4781</v>
      </c>
      <c r="F148" s="577" t="s">
        <v>1213</v>
      </c>
      <c r="G148" s="577"/>
      <c r="H148" s="577" t="s">
        <v>1213</v>
      </c>
      <c r="I148" s="1119" t="s">
        <v>6643</v>
      </c>
      <c r="J148" s="300"/>
      <c r="K148" s="84">
        <v>0</v>
      </c>
      <c r="L148" s="84">
        <v>0</v>
      </c>
      <c r="M148" s="579">
        <v>45</v>
      </c>
      <c r="N148" s="580">
        <v>20</v>
      </c>
      <c r="O148" s="579">
        <v>1</v>
      </c>
      <c r="P148" s="579">
        <f t="shared" si="20"/>
        <v>20</v>
      </c>
      <c r="Q148" s="579"/>
      <c r="R148" s="580">
        <v>20</v>
      </c>
      <c r="S148" s="580">
        <f t="shared" si="21"/>
        <v>0</v>
      </c>
      <c r="T148" s="579">
        <f t="shared" si="22"/>
        <v>1920</v>
      </c>
      <c r="U148" s="583">
        <f t="shared" si="23"/>
        <v>0</v>
      </c>
      <c r="V148" s="583">
        <f t="shared" si="24"/>
        <v>0</v>
      </c>
      <c r="W148" s="583">
        <v>0</v>
      </c>
      <c r="X148" s="255">
        <f t="shared" si="25"/>
        <v>46153.75</v>
      </c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</row>
    <row r="149" spans="1:40" s="229" customFormat="1" hidden="1" x14ac:dyDescent="0.35">
      <c r="A149" s="71">
        <f t="shared" si="26"/>
        <v>46153.75</v>
      </c>
      <c r="B149" s="71"/>
      <c r="C149" s="71"/>
      <c r="D149" s="71"/>
      <c r="E149" s="119" t="s">
        <v>4781</v>
      </c>
      <c r="F149" s="830" t="s">
        <v>5436</v>
      </c>
      <c r="G149" s="830"/>
      <c r="H149" s="49" t="s">
        <v>6644</v>
      </c>
      <c r="I149" s="71" t="s">
        <v>6641</v>
      </c>
      <c r="J149" s="97" t="s">
        <v>140</v>
      </c>
      <c r="K149" s="84">
        <v>0</v>
      </c>
      <c r="L149" s="84">
        <v>0</v>
      </c>
      <c r="M149" s="83">
        <v>108</v>
      </c>
      <c r="N149" s="223">
        <v>700</v>
      </c>
      <c r="O149" s="1141">
        <v>1</v>
      </c>
      <c r="P149" s="83">
        <f t="shared" si="20"/>
        <v>700</v>
      </c>
      <c r="Q149" s="83"/>
      <c r="R149" s="223">
        <v>700</v>
      </c>
      <c r="S149" s="223">
        <f t="shared" si="21"/>
        <v>0</v>
      </c>
      <c r="T149" s="83">
        <f t="shared" si="22"/>
        <v>800</v>
      </c>
      <c r="U149" s="84">
        <f t="shared" si="23"/>
        <v>0</v>
      </c>
      <c r="V149" s="84">
        <f t="shared" si="24"/>
        <v>0</v>
      </c>
      <c r="W149" s="84">
        <v>0</v>
      </c>
      <c r="X149" s="255">
        <f t="shared" si="25"/>
        <v>46153.75</v>
      </c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</row>
    <row r="150" spans="1:40" s="118" customFormat="1" hidden="1" x14ac:dyDescent="0.35">
      <c r="A150" s="71">
        <f t="shared" si="26"/>
        <v>46153.75</v>
      </c>
      <c r="B150" s="71"/>
      <c r="C150" s="71"/>
      <c r="D150" s="71"/>
      <c r="E150" s="119" t="s">
        <v>4781</v>
      </c>
      <c r="F150" s="97" t="s">
        <v>6645</v>
      </c>
      <c r="G150" s="97"/>
      <c r="H150" s="98" t="s">
        <v>6646</v>
      </c>
      <c r="I150" s="99" t="s">
        <v>3548</v>
      </c>
      <c r="J150" s="100" t="s">
        <v>140</v>
      </c>
      <c r="K150" s="84">
        <v>0</v>
      </c>
      <c r="L150" s="84">
        <v>0</v>
      </c>
      <c r="M150" s="102">
        <v>60</v>
      </c>
      <c r="N150" s="103">
        <v>8050</v>
      </c>
      <c r="O150" s="102">
        <v>4</v>
      </c>
      <c r="P150" s="102">
        <f t="shared" si="20"/>
        <v>2012.5</v>
      </c>
      <c r="Q150" s="102"/>
      <c r="R150" s="103">
        <v>2013</v>
      </c>
      <c r="S150" s="103">
        <f t="shared" si="21"/>
        <v>-0.5</v>
      </c>
      <c r="T150" s="102">
        <f t="shared" si="22"/>
        <v>5760</v>
      </c>
      <c r="U150" s="101">
        <f t="shared" si="23"/>
        <v>-8.3333333333333332E-3</v>
      </c>
      <c r="V150" s="101">
        <f t="shared" si="24"/>
        <v>-3.4722222222222224E-4</v>
      </c>
      <c r="W150" s="101">
        <v>0</v>
      </c>
      <c r="X150" s="255">
        <f t="shared" si="25"/>
        <v>46153.749652777777</v>
      </c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</row>
    <row r="151" spans="1:40" s="118" customFormat="1" hidden="1" x14ac:dyDescent="0.35">
      <c r="A151" s="71">
        <f t="shared" si="26"/>
        <v>46153.749652777777</v>
      </c>
      <c r="B151" s="71"/>
      <c r="C151" s="71"/>
      <c r="D151" s="71"/>
      <c r="E151" s="119" t="s">
        <v>4781</v>
      </c>
      <c r="F151" s="97" t="s">
        <v>6647</v>
      </c>
      <c r="G151" s="97"/>
      <c r="H151" s="98" t="s">
        <v>6648</v>
      </c>
      <c r="I151" s="99" t="s">
        <v>3548</v>
      </c>
      <c r="J151" s="100" t="s">
        <v>140</v>
      </c>
      <c r="K151" s="84">
        <v>0</v>
      </c>
      <c r="L151" s="84">
        <v>0</v>
      </c>
      <c r="M151" s="102">
        <v>60</v>
      </c>
      <c r="N151" s="103">
        <v>5200</v>
      </c>
      <c r="O151" s="102">
        <v>4</v>
      </c>
      <c r="P151" s="102">
        <f t="shared" si="20"/>
        <v>1300</v>
      </c>
      <c r="Q151" s="102"/>
      <c r="R151" s="103">
        <v>1300</v>
      </c>
      <c r="S151" s="103">
        <f t="shared" si="21"/>
        <v>0</v>
      </c>
      <c r="T151" s="102">
        <f t="shared" si="22"/>
        <v>5760</v>
      </c>
      <c r="U151" s="101">
        <f t="shared" si="23"/>
        <v>0</v>
      </c>
      <c r="V151" s="101">
        <f t="shared" si="24"/>
        <v>0</v>
      </c>
      <c r="W151" s="101">
        <v>0</v>
      </c>
      <c r="X151" s="255">
        <f t="shared" si="25"/>
        <v>46153.749652777777</v>
      </c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</row>
    <row r="152" spans="1:40" s="118" customFormat="1" hidden="1" x14ac:dyDescent="0.35">
      <c r="A152" s="71">
        <f t="shared" si="26"/>
        <v>46153.749652777777</v>
      </c>
      <c r="B152" s="71"/>
      <c r="C152" s="71"/>
      <c r="D152" s="71"/>
      <c r="E152" s="119" t="s">
        <v>4781</v>
      </c>
      <c r="F152" s="97" t="s">
        <v>6649</v>
      </c>
      <c r="G152" s="97"/>
      <c r="H152" s="98" t="s">
        <v>6650</v>
      </c>
      <c r="I152" s="99" t="s">
        <v>3548</v>
      </c>
      <c r="J152" s="100" t="s">
        <v>140</v>
      </c>
      <c r="K152" s="84">
        <v>0</v>
      </c>
      <c r="L152" s="84">
        <v>0</v>
      </c>
      <c r="M152" s="102">
        <v>60</v>
      </c>
      <c r="N152" s="103">
        <v>3300</v>
      </c>
      <c r="O152" s="102">
        <v>4</v>
      </c>
      <c r="P152" s="102">
        <f t="shared" si="20"/>
        <v>825</v>
      </c>
      <c r="Q152" s="102"/>
      <c r="R152" s="103">
        <v>825</v>
      </c>
      <c r="S152" s="103">
        <f t="shared" si="21"/>
        <v>0</v>
      </c>
      <c r="T152" s="102">
        <f t="shared" si="22"/>
        <v>5760</v>
      </c>
      <c r="U152" s="101">
        <f t="shared" si="23"/>
        <v>0</v>
      </c>
      <c r="V152" s="101">
        <f t="shared" si="24"/>
        <v>0</v>
      </c>
      <c r="W152" s="101">
        <v>0</v>
      </c>
      <c r="X152" s="255">
        <f t="shared" si="25"/>
        <v>46153.749652777777</v>
      </c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</row>
    <row r="153" spans="1:40" s="118" customFormat="1" hidden="1" x14ac:dyDescent="0.35">
      <c r="A153" s="71">
        <f t="shared" si="26"/>
        <v>46153.749652777777</v>
      </c>
      <c r="B153" s="71"/>
      <c r="C153" s="71"/>
      <c r="D153" s="71"/>
      <c r="E153" s="119" t="s">
        <v>4781</v>
      </c>
      <c r="F153" s="57" t="s">
        <v>1779</v>
      </c>
      <c r="G153" s="57"/>
      <c r="H153" s="59" t="s">
        <v>6651</v>
      </c>
      <c r="I153" s="82" t="s">
        <v>6606</v>
      </c>
      <c r="J153" s="100" t="s">
        <v>140</v>
      </c>
      <c r="K153" s="84">
        <v>0</v>
      </c>
      <c r="L153" s="84">
        <v>0</v>
      </c>
      <c r="M153" s="83">
        <v>200</v>
      </c>
      <c r="N153" s="223">
        <v>3000</v>
      </c>
      <c r="O153" s="83">
        <v>6</v>
      </c>
      <c r="P153" s="102">
        <f t="shared" si="20"/>
        <v>500</v>
      </c>
      <c r="Q153" s="102"/>
      <c r="R153" s="223">
        <v>500</v>
      </c>
      <c r="S153" s="223">
        <f t="shared" si="21"/>
        <v>0</v>
      </c>
      <c r="T153" s="83">
        <f t="shared" si="22"/>
        <v>2592</v>
      </c>
      <c r="U153" s="84">
        <f t="shared" si="23"/>
        <v>0</v>
      </c>
      <c r="V153" s="84">
        <f t="shared" si="24"/>
        <v>0</v>
      </c>
      <c r="W153" s="84">
        <v>0</v>
      </c>
      <c r="X153" s="255">
        <f t="shared" si="25"/>
        <v>46153.749652777777</v>
      </c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</row>
    <row r="154" spans="1:40" s="118" customFormat="1" hidden="1" x14ac:dyDescent="0.35">
      <c r="A154" s="71">
        <f t="shared" si="26"/>
        <v>46153.749652777777</v>
      </c>
      <c r="B154" s="71"/>
      <c r="C154" s="71"/>
      <c r="D154" s="71"/>
      <c r="E154" s="119" t="s">
        <v>4781</v>
      </c>
      <c r="F154" s="98" t="s">
        <v>1520</v>
      </c>
      <c r="G154" s="98"/>
      <c r="H154" s="98" t="s">
        <v>6652</v>
      </c>
      <c r="I154" s="316" t="s">
        <v>6653</v>
      </c>
      <c r="J154" s="100" t="s">
        <v>140</v>
      </c>
      <c r="K154" s="84">
        <v>0</v>
      </c>
      <c r="L154" s="84">
        <v>0</v>
      </c>
      <c r="M154" s="102">
        <v>48</v>
      </c>
      <c r="N154" s="103">
        <v>400</v>
      </c>
      <c r="O154" s="102">
        <v>2</v>
      </c>
      <c r="P154" s="102">
        <f t="shared" si="20"/>
        <v>200</v>
      </c>
      <c r="Q154" s="102"/>
      <c r="R154" s="103">
        <v>200</v>
      </c>
      <c r="S154" s="103">
        <f t="shared" si="21"/>
        <v>0</v>
      </c>
      <c r="T154" s="102">
        <f t="shared" si="22"/>
        <v>3600</v>
      </c>
      <c r="U154" s="101">
        <f t="shared" si="23"/>
        <v>0</v>
      </c>
      <c r="V154" s="101">
        <f t="shared" si="24"/>
        <v>0</v>
      </c>
      <c r="W154" s="101">
        <v>0</v>
      </c>
      <c r="X154" s="255">
        <f t="shared" si="25"/>
        <v>46153.749652777777</v>
      </c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</row>
    <row r="155" spans="1:40" s="118" customFormat="1" hidden="1" x14ac:dyDescent="0.35">
      <c r="A155" s="71">
        <f t="shared" si="26"/>
        <v>46153.749652777777</v>
      </c>
      <c r="B155" s="71"/>
      <c r="C155" s="71"/>
      <c r="D155" s="71"/>
      <c r="E155" s="119" t="s">
        <v>4781</v>
      </c>
      <c r="F155" s="98" t="s">
        <v>1520</v>
      </c>
      <c r="G155" s="98"/>
      <c r="H155" s="98" t="s">
        <v>6654</v>
      </c>
      <c r="I155" s="316" t="s">
        <v>6655</v>
      </c>
      <c r="J155" s="100" t="s">
        <v>140</v>
      </c>
      <c r="K155" s="84">
        <v>0</v>
      </c>
      <c r="L155" s="84">
        <v>0</v>
      </c>
      <c r="M155" s="102">
        <v>48</v>
      </c>
      <c r="N155" s="103">
        <v>400</v>
      </c>
      <c r="O155" s="102">
        <v>2</v>
      </c>
      <c r="P155" s="102">
        <f t="shared" si="20"/>
        <v>200</v>
      </c>
      <c r="Q155" s="102"/>
      <c r="R155" s="103">
        <v>200</v>
      </c>
      <c r="S155" s="103">
        <f t="shared" si="21"/>
        <v>0</v>
      </c>
      <c r="T155" s="102">
        <f t="shared" si="22"/>
        <v>3600</v>
      </c>
      <c r="U155" s="101">
        <f t="shared" si="23"/>
        <v>0</v>
      </c>
      <c r="V155" s="101">
        <f t="shared" si="24"/>
        <v>0</v>
      </c>
      <c r="W155" s="101">
        <v>0</v>
      </c>
      <c r="X155" s="255">
        <f t="shared" si="25"/>
        <v>46153.749652777777</v>
      </c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</row>
    <row r="156" spans="1:40" s="118" customFormat="1" hidden="1" x14ac:dyDescent="0.35">
      <c r="A156" s="71">
        <f t="shared" si="26"/>
        <v>46153.749652777777</v>
      </c>
      <c r="B156" s="71"/>
      <c r="C156" s="71"/>
      <c r="D156" s="71"/>
      <c r="E156" s="119" t="s">
        <v>4781</v>
      </c>
      <c r="F156" s="98" t="s">
        <v>1520</v>
      </c>
      <c r="G156" s="98"/>
      <c r="H156" s="98" t="s">
        <v>6656</v>
      </c>
      <c r="I156" s="316" t="s">
        <v>6657</v>
      </c>
      <c r="J156" s="100" t="s">
        <v>140</v>
      </c>
      <c r="K156" s="84">
        <v>0</v>
      </c>
      <c r="L156" s="84">
        <v>0</v>
      </c>
      <c r="M156" s="102">
        <v>48</v>
      </c>
      <c r="N156" s="103">
        <v>400</v>
      </c>
      <c r="O156" s="102">
        <v>2</v>
      </c>
      <c r="P156" s="102">
        <f t="shared" si="20"/>
        <v>200</v>
      </c>
      <c r="Q156" s="102"/>
      <c r="R156" s="103">
        <v>200</v>
      </c>
      <c r="S156" s="103">
        <f t="shared" si="21"/>
        <v>0</v>
      </c>
      <c r="T156" s="102">
        <f t="shared" si="22"/>
        <v>3600</v>
      </c>
      <c r="U156" s="101">
        <f t="shared" si="23"/>
        <v>0</v>
      </c>
      <c r="V156" s="101">
        <f t="shared" si="24"/>
        <v>0</v>
      </c>
      <c r="W156" s="101">
        <v>0</v>
      </c>
      <c r="X156" s="255">
        <f t="shared" si="25"/>
        <v>46153.749652777777</v>
      </c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</row>
    <row r="157" spans="1:40" s="118" customFormat="1" hidden="1" x14ac:dyDescent="0.35">
      <c r="A157" s="71">
        <f t="shared" si="26"/>
        <v>46153.749652777777</v>
      </c>
      <c r="B157" s="71"/>
      <c r="C157" s="71"/>
      <c r="D157" s="71"/>
      <c r="E157" s="119" t="s">
        <v>4781</v>
      </c>
      <c r="F157" s="98" t="s">
        <v>1520</v>
      </c>
      <c r="G157" s="98"/>
      <c r="H157" s="98" t="s">
        <v>6658</v>
      </c>
      <c r="I157" s="316" t="s">
        <v>6659</v>
      </c>
      <c r="J157" s="100" t="s">
        <v>140</v>
      </c>
      <c r="K157" s="84">
        <v>0</v>
      </c>
      <c r="L157" s="101">
        <v>0</v>
      </c>
      <c r="M157" s="102">
        <v>48</v>
      </c>
      <c r="N157" s="103">
        <v>400</v>
      </c>
      <c r="O157" s="102">
        <v>2</v>
      </c>
      <c r="P157" s="102">
        <f t="shared" si="20"/>
        <v>200</v>
      </c>
      <c r="Q157" s="102"/>
      <c r="R157" s="103">
        <v>200</v>
      </c>
      <c r="S157" s="103">
        <f t="shared" si="21"/>
        <v>0</v>
      </c>
      <c r="T157" s="102">
        <f t="shared" si="22"/>
        <v>3600</v>
      </c>
      <c r="U157" s="101">
        <f t="shared" si="23"/>
        <v>0</v>
      </c>
      <c r="V157" s="101">
        <f t="shared" si="24"/>
        <v>0</v>
      </c>
      <c r="W157" s="101">
        <v>0</v>
      </c>
      <c r="X157" s="255">
        <f t="shared" si="25"/>
        <v>46153.749652777777</v>
      </c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</row>
    <row r="158" spans="1:40" s="118" customFormat="1" hidden="1" x14ac:dyDescent="0.35">
      <c r="A158" s="71">
        <f t="shared" si="26"/>
        <v>46153.749652777777</v>
      </c>
      <c r="B158" s="71"/>
      <c r="C158" s="71"/>
      <c r="D158" s="71"/>
      <c r="E158" s="119" t="s">
        <v>4781</v>
      </c>
      <c r="F158" s="98" t="s">
        <v>1520</v>
      </c>
      <c r="G158" s="98"/>
      <c r="H158" s="98" t="s">
        <v>6660</v>
      </c>
      <c r="I158" s="316" t="s">
        <v>6661</v>
      </c>
      <c r="J158" s="100" t="s">
        <v>140</v>
      </c>
      <c r="K158" s="84">
        <v>0</v>
      </c>
      <c r="L158" s="101">
        <v>0</v>
      </c>
      <c r="M158" s="102">
        <v>48</v>
      </c>
      <c r="N158" s="103">
        <v>400</v>
      </c>
      <c r="O158" s="102">
        <v>2</v>
      </c>
      <c r="P158" s="102">
        <f t="shared" si="20"/>
        <v>200</v>
      </c>
      <c r="Q158" s="102"/>
      <c r="R158" s="103">
        <v>200</v>
      </c>
      <c r="S158" s="103">
        <f t="shared" si="21"/>
        <v>0</v>
      </c>
      <c r="T158" s="102">
        <f t="shared" si="22"/>
        <v>3600</v>
      </c>
      <c r="U158" s="101">
        <f t="shared" si="23"/>
        <v>0</v>
      </c>
      <c r="V158" s="101">
        <f t="shared" si="24"/>
        <v>0</v>
      </c>
      <c r="W158" s="101">
        <v>0</v>
      </c>
      <c r="X158" s="255">
        <f t="shared" si="25"/>
        <v>46153.749652777777</v>
      </c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</row>
    <row r="159" spans="1:40" s="118" customFormat="1" hidden="1" x14ac:dyDescent="0.35">
      <c r="A159" s="71">
        <f t="shared" si="26"/>
        <v>46153.749652777777</v>
      </c>
      <c r="B159" s="71"/>
      <c r="C159" s="71"/>
      <c r="D159" s="71"/>
      <c r="E159" s="119" t="s">
        <v>4781</v>
      </c>
      <c r="F159" s="98" t="s">
        <v>1520</v>
      </c>
      <c r="G159" s="98"/>
      <c r="H159" s="98" t="s">
        <v>6662</v>
      </c>
      <c r="I159" s="316" t="s">
        <v>6663</v>
      </c>
      <c r="J159" s="100" t="s">
        <v>140</v>
      </c>
      <c r="K159" s="84">
        <v>0</v>
      </c>
      <c r="L159" s="101">
        <v>0</v>
      </c>
      <c r="M159" s="102">
        <v>55</v>
      </c>
      <c r="N159" s="103">
        <v>2000</v>
      </c>
      <c r="O159" s="102">
        <v>2</v>
      </c>
      <c r="P159" s="102">
        <f t="shared" si="20"/>
        <v>1000</v>
      </c>
      <c r="Q159" s="102"/>
      <c r="R159" s="103">
        <v>1000</v>
      </c>
      <c r="S159" s="103">
        <f t="shared" si="21"/>
        <v>0</v>
      </c>
      <c r="T159" s="102">
        <f t="shared" si="22"/>
        <v>3141.818181818182</v>
      </c>
      <c r="U159" s="101">
        <f t="shared" si="23"/>
        <v>0</v>
      </c>
      <c r="V159" s="101">
        <f t="shared" si="24"/>
        <v>0</v>
      </c>
      <c r="W159" s="101">
        <v>0</v>
      </c>
      <c r="X159" s="255">
        <f t="shared" si="25"/>
        <v>46153.749652777777</v>
      </c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</row>
    <row r="160" spans="1:40" s="118" customFormat="1" hidden="1" x14ac:dyDescent="0.35">
      <c r="A160" s="71">
        <f t="shared" si="26"/>
        <v>46153.749652777777</v>
      </c>
      <c r="B160" s="71"/>
      <c r="C160" s="71"/>
      <c r="D160" s="71"/>
      <c r="E160" s="119" t="s">
        <v>4781</v>
      </c>
      <c r="F160" s="98" t="s">
        <v>1520</v>
      </c>
      <c r="G160" s="98"/>
      <c r="H160" s="98" t="s">
        <v>6664</v>
      </c>
      <c r="I160" s="82" t="s">
        <v>6665</v>
      </c>
      <c r="J160" s="100" t="s">
        <v>140</v>
      </c>
      <c r="K160" s="84">
        <v>0</v>
      </c>
      <c r="L160" s="101">
        <v>0</v>
      </c>
      <c r="M160" s="102">
        <v>70</v>
      </c>
      <c r="N160" s="103">
        <v>2000</v>
      </c>
      <c r="O160" s="102">
        <v>1</v>
      </c>
      <c r="P160" s="102">
        <f t="shared" si="20"/>
        <v>2000</v>
      </c>
      <c r="Q160" s="102"/>
      <c r="R160" s="103">
        <v>2000</v>
      </c>
      <c r="S160" s="103">
        <f t="shared" si="21"/>
        <v>0</v>
      </c>
      <c r="T160" s="102">
        <f t="shared" si="22"/>
        <v>1234.2857142857142</v>
      </c>
      <c r="U160" s="101">
        <f t="shared" si="23"/>
        <v>0</v>
      </c>
      <c r="V160" s="101">
        <f t="shared" si="24"/>
        <v>0</v>
      </c>
      <c r="W160" s="101">
        <v>0</v>
      </c>
      <c r="X160" s="255">
        <f t="shared" si="25"/>
        <v>46153.749652777777</v>
      </c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</row>
    <row r="161" spans="1:40" s="118" customFormat="1" hidden="1" x14ac:dyDescent="0.35">
      <c r="A161" s="71">
        <f t="shared" si="26"/>
        <v>46153.749652777777</v>
      </c>
      <c r="B161" s="71"/>
      <c r="C161" s="71"/>
      <c r="D161" s="71"/>
      <c r="E161" s="119" t="s">
        <v>4781</v>
      </c>
      <c r="F161" s="98" t="s">
        <v>1520</v>
      </c>
      <c r="G161" s="98"/>
      <c r="H161" s="98" t="s">
        <v>6666</v>
      </c>
      <c r="I161" s="82" t="s">
        <v>6667</v>
      </c>
      <c r="J161" s="100" t="s">
        <v>140</v>
      </c>
      <c r="K161" s="84">
        <v>0</v>
      </c>
      <c r="L161" s="101">
        <v>0</v>
      </c>
      <c r="M161" s="102">
        <v>50</v>
      </c>
      <c r="N161" s="103">
        <v>400</v>
      </c>
      <c r="O161" s="102">
        <v>2</v>
      </c>
      <c r="P161" s="102">
        <f t="shared" si="20"/>
        <v>200</v>
      </c>
      <c r="Q161" s="102"/>
      <c r="R161" s="103">
        <v>200</v>
      </c>
      <c r="S161" s="103">
        <f t="shared" si="21"/>
        <v>0</v>
      </c>
      <c r="T161" s="102">
        <f t="shared" si="22"/>
        <v>3456</v>
      </c>
      <c r="U161" s="101">
        <f t="shared" si="23"/>
        <v>0</v>
      </c>
      <c r="V161" s="101">
        <f t="shared" si="24"/>
        <v>0</v>
      </c>
      <c r="W161" s="101">
        <v>0</v>
      </c>
      <c r="X161" s="255">
        <f t="shared" si="25"/>
        <v>46153.749652777777</v>
      </c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</row>
    <row r="162" spans="1:40" s="118" customFormat="1" hidden="1" x14ac:dyDescent="0.35">
      <c r="A162" s="71">
        <f t="shared" si="26"/>
        <v>46153.749652777777</v>
      </c>
      <c r="B162" s="71"/>
      <c r="C162" s="71"/>
      <c r="D162" s="71"/>
      <c r="E162" s="1143" t="s">
        <v>4781</v>
      </c>
      <c r="F162" s="100" t="s">
        <v>3498</v>
      </c>
      <c r="G162" s="82" t="s">
        <v>315</v>
      </c>
      <c r="H162" s="98" t="s">
        <v>6668</v>
      </c>
      <c r="I162" s="82" t="s">
        <v>4515</v>
      </c>
      <c r="J162" s="100" t="s">
        <v>140</v>
      </c>
      <c r="K162" s="84">
        <v>0</v>
      </c>
      <c r="L162" s="101">
        <v>0</v>
      </c>
      <c r="M162" s="102">
        <v>95</v>
      </c>
      <c r="N162" s="103">
        <v>10500</v>
      </c>
      <c r="O162" s="102">
        <v>2</v>
      </c>
      <c r="P162" s="102">
        <f t="shared" si="20"/>
        <v>5250</v>
      </c>
      <c r="Q162" s="102"/>
      <c r="R162" s="103">
        <v>5250</v>
      </c>
      <c r="S162" s="103">
        <f t="shared" si="21"/>
        <v>0</v>
      </c>
      <c r="T162" s="102">
        <f t="shared" si="22"/>
        <v>1818.9473684210525</v>
      </c>
      <c r="U162" s="101">
        <f t="shared" si="23"/>
        <v>0</v>
      </c>
      <c r="V162" s="101">
        <f t="shared" si="24"/>
        <v>0</v>
      </c>
      <c r="W162" s="101">
        <v>0</v>
      </c>
      <c r="X162" s="255">
        <f t="shared" si="25"/>
        <v>46153.749652777777</v>
      </c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</row>
    <row r="163" spans="1:40" s="118" customFormat="1" hidden="1" x14ac:dyDescent="0.35">
      <c r="A163" s="71">
        <f t="shared" si="26"/>
        <v>46153.749652777777</v>
      </c>
      <c r="B163" s="71"/>
      <c r="C163" s="71"/>
      <c r="D163" s="71"/>
      <c r="E163" s="119" t="s">
        <v>4781</v>
      </c>
      <c r="F163" s="82" t="s">
        <v>6598</v>
      </c>
      <c r="G163" s="831" t="s">
        <v>315</v>
      </c>
      <c r="H163" s="699" t="s">
        <v>6669</v>
      </c>
      <c r="I163" s="106" t="s">
        <v>4877</v>
      </c>
      <c r="J163" s="100" t="s">
        <v>140</v>
      </c>
      <c r="K163" s="84">
        <v>0</v>
      </c>
      <c r="L163" s="101">
        <v>0</v>
      </c>
      <c r="M163" s="102">
        <v>77</v>
      </c>
      <c r="N163" s="103">
        <v>4000</v>
      </c>
      <c r="O163" s="102">
        <v>1</v>
      </c>
      <c r="P163" s="102">
        <f t="shared" si="20"/>
        <v>4000</v>
      </c>
      <c r="Q163" s="102"/>
      <c r="R163" s="103">
        <v>4000</v>
      </c>
      <c r="S163" s="103">
        <f t="shared" si="21"/>
        <v>0</v>
      </c>
      <c r="T163" s="102">
        <f t="shared" si="22"/>
        <v>1122.0779220779223</v>
      </c>
      <c r="U163" s="101">
        <f t="shared" si="23"/>
        <v>0</v>
      </c>
      <c r="V163" s="101">
        <f t="shared" si="24"/>
        <v>0</v>
      </c>
      <c r="W163" s="101">
        <v>0</v>
      </c>
      <c r="X163" s="255">
        <f t="shared" si="25"/>
        <v>46153.749652777777</v>
      </c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</row>
    <row r="164" spans="1:40" hidden="1" x14ac:dyDescent="0.35">
      <c r="A164" s="46">
        <f t="shared" si="26"/>
        <v>46153.749652777777</v>
      </c>
      <c r="B164" s="46"/>
      <c r="C164" s="46"/>
      <c r="D164" s="46"/>
      <c r="E164" s="119" t="s">
        <v>4781</v>
      </c>
      <c r="F164" s="97" t="s">
        <v>1625</v>
      </c>
      <c r="G164" s="56" t="s">
        <v>780</v>
      </c>
      <c r="H164" s="108">
        <v>12692</v>
      </c>
      <c r="I164" s="82" t="s">
        <v>4582</v>
      </c>
      <c r="J164" s="51" t="s">
        <v>140</v>
      </c>
      <c r="K164" s="91">
        <v>0</v>
      </c>
      <c r="L164" s="91">
        <v>0</v>
      </c>
      <c r="M164" s="92">
        <v>50</v>
      </c>
      <c r="N164" s="94">
        <v>20000</v>
      </c>
      <c r="O164" s="92">
        <v>4</v>
      </c>
      <c r="P164" s="94">
        <f t="shared" si="20"/>
        <v>5000</v>
      </c>
      <c r="Q164" s="94"/>
      <c r="R164" s="92">
        <v>5000</v>
      </c>
      <c r="S164" s="94">
        <f t="shared" si="21"/>
        <v>0</v>
      </c>
      <c r="T164" s="92">
        <f t="shared" si="22"/>
        <v>6912</v>
      </c>
      <c r="U164" s="91">
        <f t="shared" si="23"/>
        <v>0</v>
      </c>
      <c r="V164" s="91">
        <f t="shared" si="24"/>
        <v>0</v>
      </c>
      <c r="W164" s="91">
        <v>0</v>
      </c>
      <c r="X164" s="55">
        <f t="shared" si="25"/>
        <v>46153.749652777777</v>
      </c>
    </row>
    <row r="165" spans="1:40" s="118" customFormat="1" ht="26.5" hidden="1" x14ac:dyDescent="0.35">
      <c r="A165" s="71">
        <f t="shared" si="26"/>
        <v>46153.749652777777</v>
      </c>
      <c r="B165" s="71"/>
      <c r="C165" s="71"/>
      <c r="D165" s="71"/>
      <c r="E165" s="119" t="s">
        <v>4781</v>
      </c>
      <c r="F165" s="82" t="s">
        <v>1552</v>
      </c>
      <c r="G165" s="453" t="s">
        <v>327</v>
      </c>
      <c r="H165" s="98" t="s">
        <v>6670</v>
      </c>
      <c r="I165" s="82" t="s">
        <v>3470</v>
      </c>
      <c r="J165" s="100" t="s">
        <v>140</v>
      </c>
      <c r="K165" s="101">
        <v>0</v>
      </c>
      <c r="L165" s="91">
        <v>0</v>
      </c>
      <c r="M165" s="102">
        <v>50</v>
      </c>
      <c r="N165" s="103">
        <v>4000</v>
      </c>
      <c r="O165" s="102">
        <v>1</v>
      </c>
      <c r="P165" s="103">
        <f t="shared" si="20"/>
        <v>4000</v>
      </c>
      <c r="Q165" s="103"/>
      <c r="R165" s="103">
        <v>4000</v>
      </c>
      <c r="S165" s="103">
        <f t="shared" si="21"/>
        <v>0</v>
      </c>
      <c r="T165" s="102">
        <f t="shared" si="22"/>
        <v>1728</v>
      </c>
      <c r="U165" s="101">
        <f t="shared" si="23"/>
        <v>0</v>
      </c>
      <c r="V165" s="101">
        <f t="shared" si="24"/>
        <v>0</v>
      </c>
      <c r="W165" s="101">
        <v>0</v>
      </c>
      <c r="X165" s="255">
        <f t="shared" si="25"/>
        <v>46153.749652777777</v>
      </c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</row>
    <row r="166" spans="1:40" s="118" customFormat="1" hidden="1" x14ac:dyDescent="0.35">
      <c r="A166" s="71">
        <f t="shared" si="26"/>
        <v>46153.749652777777</v>
      </c>
      <c r="B166" s="71"/>
      <c r="C166" s="71"/>
      <c r="D166" s="71"/>
      <c r="E166" s="119" t="s">
        <v>4781</v>
      </c>
      <c r="F166" s="453" t="s">
        <v>5497</v>
      </c>
      <c r="G166" s="453" t="s">
        <v>327</v>
      </c>
      <c r="H166" s="98" t="s">
        <v>6671</v>
      </c>
      <c r="I166" s="97" t="s">
        <v>6634</v>
      </c>
      <c r="J166" s="97" t="s">
        <v>140</v>
      </c>
      <c r="K166" s="101">
        <v>0</v>
      </c>
      <c r="L166" s="91">
        <v>0</v>
      </c>
      <c r="M166" s="102">
        <v>120</v>
      </c>
      <c r="N166" s="103">
        <v>1100</v>
      </c>
      <c r="O166" s="102">
        <v>1</v>
      </c>
      <c r="P166" s="103">
        <f t="shared" si="20"/>
        <v>1100</v>
      </c>
      <c r="Q166" s="103"/>
      <c r="R166" s="103">
        <v>1100</v>
      </c>
      <c r="S166" s="103">
        <f t="shared" si="21"/>
        <v>0</v>
      </c>
      <c r="T166" s="102">
        <f t="shared" si="22"/>
        <v>720</v>
      </c>
      <c r="U166" s="101">
        <f t="shared" si="23"/>
        <v>0</v>
      </c>
      <c r="V166" s="101">
        <f t="shared" si="24"/>
        <v>0</v>
      </c>
      <c r="W166" s="101">
        <v>0</v>
      </c>
      <c r="X166" s="255">
        <f>A166+K166+L166+V166+W166</f>
        <v>46153.749652777777</v>
      </c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</row>
    <row r="167" spans="1:40" s="118" customFormat="1" hidden="1" x14ac:dyDescent="0.35">
      <c r="A167" s="71">
        <f t="shared" si="26"/>
        <v>46153.749652777777</v>
      </c>
      <c r="B167" s="71"/>
      <c r="C167" s="71"/>
      <c r="D167" s="71"/>
      <c r="E167" s="119" t="s">
        <v>4781</v>
      </c>
      <c r="F167" s="453" t="s">
        <v>5497</v>
      </c>
      <c r="G167" s="453" t="s">
        <v>327</v>
      </c>
      <c r="H167" s="98" t="s">
        <v>6672</v>
      </c>
      <c r="I167" s="71" t="s">
        <v>6673</v>
      </c>
      <c r="J167" s="97" t="s">
        <v>140</v>
      </c>
      <c r="K167" s="101">
        <v>0</v>
      </c>
      <c r="L167" s="101">
        <v>0</v>
      </c>
      <c r="M167" s="102">
        <v>108</v>
      </c>
      <c r="N167" s="103">
        <v>1100</v>
      </c>
      <c r="O167" s="102">
        <v>1</v>
      </c>
      <c r="P167" s="103">
        <f t="shared" si="20"/>
        <v>1100</v>
      </c>
      <c r="Q167" s="103"/>
      <c r="R167" s="103">
        <v>1100</v>
      </c>
      <c r="S167" s="103">
        <f t="shared" si="21"/>
        <v>0</v>
      </c>
      <c r="T167" s="102">
        <f t="shared" si="22"/>
        <v>800</v>
      </c>
      <c r="U167" s="101">
        <f t="shared" si="23"/>
        <v>0</v>
      </c>
      <c r="V167" s="101">
        <f t="shared" si="24"/>
        <v>0</v>
      </c>
      <c r="W167" s="101">
        <v>0</v>
      </c>
      <c r="X167" s="255">
        <f>A167+K167+L167+V167+W167</f>
        <v>46153.749652777777</v>
      </c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</row>
    <row r="168" spans="1:40" s="202" customFormat="1" hidden="1" x14ac:dyDescent="0.35">
      <c r="A168" s="46">
        <f t="shared" si="26"/>
        <v>46153.749652777777</v>
      </c>
      <c r="B168" s="46"/>
      <c r="C168" s="46"/>
      <c r="D168" s="46"/>
      <c r="E168" s="47" t="s">
        <v>4781</v>
      </c>
      <c r="F168" s="97" t="s">
        <v>1264</v>
      </c>
      <c r="G168" s="82" t="s">
        <v>3510</v>
      </c>
      <c r="H168" s="98" t="s">
        <v>4634</v>
      </c>
      <c r="I168" s="82" t="s">
        <v>3512</v>
      </c>
      <c r="J168" s="51" t="s">
        <v>140</v>
      </c>
      <c r="K168" s="91">
        <v>0</v>
      </c>
      <c r="L168" s="91">
        <v>0</v>
      </c>
      <c r="M168" s="92">
        <v>75</v>
      </c>
      <c r="N168" s="94">
        <v>5000</v>
      </c>
      <c r="O168" s="92">
        <v>1</v>
      </c>
      <c r="P168" s="94">
        <f t="shared" si="20"/>
        <v>5000</v>
      </c>
      <c r="Q168" s="94"/>
      <c r="R168" s="92">
        <v>5000</v>
      </c>
      <c r="S168" s="92">
        <f t="shared" si="21"/>
        <v>0</v>
      </c>
      <c r="T168" s="92">
        <f t="shared" si="22"/>
        <v>1152</v>
      </c>
      <c r="U168" s="91">
        <f t="shared" si="23"/>
        <v>0</v>
      </c>
      <c r="V168" s="91">
        <f t="shared" si="24"/>
        <v>0</v>
      </c>
      <c r="W168" s="91">
        <v>0</v>
      </c>
      <c r="X168" s="55">
        <f>A168+K168+V168+W168+L168</f>
        <v>46153.749652777777</v>
      </c>
    </row>
    <row r="169" spans="1:40" ht="26.5" hidden="1" x14ac:dyDescent="0.35">
      <c r="A169" s="46">
        <f t="shared" si="26"/>
        <v>46153.749652777777</v>
      </c>
      <c r="B169" s="46"/>
      <c r="C169" s="46"/>
      <c r="D169" s="46"/>
      <c r="E169" s="47" t="s">
        <v>4897</v>
      </c>
      <c r="F169" s="82" t="s">
        <v>5107</v>
      </c>
      <c r="G169" s="82" t="s">
        <v>792</v>
      </c>
      <c r="H169" s="334" t="s">
        <v>5108</v>
      </c>
      <c r="I169" s="697" t="s">
        <v>3464</v>
      </c>
      <c r="J169" s="100" t="s">
        <v>140</v>
      </c>
      <c r="K169" s="91">
        <v>0</v>
      </c>
      <c r="L169" s="91">
        <v>0</v>
      </c>
      <c r="M169" s="102">
        <v>35</v>
      </c>
      <c r="N169" s="94">
        <v>6000</v>
      </c>
      <c r="O169" s="92">
        <v>1</v>
      </c>
      <c r="P169" s="94">
        <f t="shared" si="20"/>
        <v>6000</v>
      </c>
      <c r="Q169" s="94"/>
      <c r="R169" s="92">
        <v>6000</v>
      </c>
      <c r="S169" s="102">
        <f t="shared" si="21"/>
        <v>0</v>
      </c>
      <c r="T169" s="102">
        <f t="shared" si="22"/>
        <v>2468.5714285714284</v>
      </c>
      <c r="U169" s="101">
        <f t="shared" si="23"/>
        <v>0</v>
      </c>
      <c r="V169" s="101">
        <f t="shared" si="24"/>
        <v>0</v>
      </c>
      <c r="W169" s="101">
        <v>0</v>
      </c>
      <c r="X169" s="255">
        <f>A167+K169+V169+W169+L169</f>
        <v>46153.749652777777</v>
      </c>
    </row>
    <row r="170" spans="1:40" hidden="1" x14ac:dyDescent="0.35">
      <c r="A170" s="295">
        <f t="shared" si="26"/>
        <v>46153.749652777777</v>
      </c>
      <c r="B170" s="295"/>
      <c r="C170" s="295"/>
      <c r="D170" s="295"/>
      <c r="E170" s="296" t="s">
        <v>4781</v>
      </c>
      <c r="F170" s="297" t="s">
        <v>6674</v>
      </c>
      <c r="G170" s="297" t="s">
        <v>6674</v>
      </c>
      <c r="H170" s="298"/>
      <c r="I170" s="297" t="s">
        <v>4515</v>
      </c>
      <c r="J170" s="300" t="s">
        <v>140</v>
      </c>
      <c r="K170" s="352">
        <v>0</v>
      </c>
      <c r="L170" s="352">
        <v>0</v>
      </c>
      <c r="M170" s="353">
        <v>95</v>
      </c>
      <c r="N170" s="354">
        <v>10</v>
      </c>
      <c r="O170" s="353">
        <v>2</v>
      </c>
      <c r="P170" s="354">
        <f t="shared" si="20"/>
        <v>5</v>
      </c>
      <c r="Q170" s="354"/>
      <c r="R170" s="353">
        <v>5</v>
      </c>
      <c r="S170" s="353">
        <f t="shared" si="21"/>
        <v>0</v>
      </c>
      <c r="T170" s="302">
        <f t="shared" si="22"/>
        <v>1818.9473684210525</v>
      </c>
      <c r="U170" s="301">
        <f t="shared" si="23"/>
        <v>0</v>
      </c>
      <c r="V170" s="301">
        <f t="shared" si="24"/>
        <v>0</v>
      </c>
      <c r="W170" s="301">
        <v>0</v>
      </c>
      <c r="X170" s="308">
        <f>A170+K170+L170+V170+W170</f>
        <v>46153.749652777777</v>
      </c>
    </row>
    <row r="171" spans="1:40" s="504" customFormat="1" ht="13" hidden="1" x14ac:dyDescent="0.3">
      <c r="A171" s="46">
        <f t="shared" si="26"/>
        <v>46153.749652777777</v>
      </c>
      <c r="B171" s="46"/>
      <c r="C171" s="46"/>
      <c r="D171" s="46"/>
      <c r="E171" s="119" t="s">
        <v>4781</v>
      </c>
      <c r="F171" s="82" t="s">
        <v>355</v>
      </c>
      <c r="G171" s="82"/>
      <c r="H171" s="98" t="s">
        <v>6675</v>
      </c>
      <c r="I171" s="82" t="s">
        <v>4515</v>
      </c>
      <c r="J171" s="100" t="s">
        <v>140</v>
      </c>
      <c r="K171" s="91">
        <v>0</v>
      </c>
      <c r="L171" s="91">
        <v>0</v>
      </c>
      <c r="M171" s="92">
        <v>95</v>
      </c>
      <c r="N171" s="94">
        <v>5000</v>
      </c>
      <c r="O171" s="92">
        <v>2</v>
      </c>
      <c r="P171" s="94">
        <f t="shared" si="20"/>
        <v>2500</v>
      </c>
      <c r="Q171" s="94"/>
      <c r="R171" s="92">
        <v>2500</v>
      </c>
      <c r="S171" s="92">
        <f t="shared" si="21"/>
        <v>0</v>
      </c>
      <c r="T171" s="102">
        <f t="shared" si="22"/>
        <v>1818.9473684210525</v>
      </c>
      <c r="U171" s="101">
        <f t="shared" si="23"/>
        <v>0</v>
      </c>
      <c r="V171" s="101">
        <f t="shared" si="24"/>
        <v>0</v>
      </c>
      <c r="W171" s="101">
        <v>0</v>
      </c>
      <c r="X171" s="55">
        <f>A171+K171+L171+V171+W171</f>
        <v>46153.749652777777</v>
      </c>
    </row>
    <row r="172" spans="1:40" ht="39.5" hidden="1" x14ac:dyDescent="0.35">
      <c r="A172" s="46">
        <f t="shared" si="26"/>
        <v>46153.749652777777</v>
      </c>
      <c r="B172" s="46"/>
      <c r="C172" s="46"/>
      <c r="D172" s="46"/>
      <c r="E172" s="119" t="s">
        <v>4781</v>
      </c>
      <c r="F172" s="82" t="s">
        <v>5515</v>
      </c>
      <c r="G172" s="82" t="s">
        <v>792</v>
      </c>
      <c r="H172" s="107" t="s">
        <v>6676</v>
      </c>
      <c r="I172" s="390" t="s">
        <v>6304</v>
      </c>
      <c r="J172" s="100" t="s">
        <v>140</v>
      </c>
      <c r="K172" s="91">
        <v>0</v>
      </c>
      <c r="L172" s="91">
        <v>0</v>
      </c>
      <c r="M172" s="92">
        <v>38</v>
      </c>
      <c r="N172" s="94">
        <v>6000</v>
      </c>
      <c r="O172" s="92">
        <v>4</v>
      </c>
      <c r="P172" s="94">
        <f t="shared" si="20"/>
        <v>1500</v>
      </c>
      <c r="Q172" s="94"/>
      <c r="R172" s="92">
        <v>1500</v>
      </c>
      <c r="S172" s="92">
        <f t="shared" si="21"/>
        <v>0</v>
      </c>
      <c r="T172" s="92">
        <f t="shared" si="22"/>
        <v>9094.7368421052633</v>
      </c>
      <c r="U172" s="91">
        <f t="shared" si="23"/>
        <v>0</v>
      </c>
      <c r="V172" s="91">
        <f t="shared" si="24"/>
        <v>0</v>
      </c>
      <c r="W172" s="91">
        <v>0</v>
      </c>
      <c r="X172" s="55">
        <f>A172+K172+V172+W172+L172</f>
        <v>46153.749652777777</v>
      </c>
    </row>
    <row r="173" spans="1:40" hidden="1" x14ac:dyDescent="0.35">
      <c r="A173" s="46">
        <f t="shared" si="26"/>
        <v>46153.749652777777</v>
      </c>
      <c r="B173" s="46"/>
      <c r="C173" s="46"/>
      <c r="D173" s="46"/>
      <c r="E173" s="119" t="s">
        <v>4781</v>
      </c>
      <c r="F173" s="453" t="s">
        <v>5497</v>
      </c>
      <c r="G173" s="453" t="s">
        <v>327</v>
      </c>
      <c r="H173" s="98" t="s">
        <v>6677</v>
      </c>
      <c r="I173" s="97" t="s">
        <v>6641</v>
      </c>
      <c r="J173" s="97" t="s">
        <v>140</v>
      </c>
      <c r="K173" s="101">
        <v>0</v>
      </c>
      <c r="L173" s="91">
        <v>0</v>
      </c>
      <c r="M173" s="102">
        <v>120</v>
      </c>
      <c r="N173" s="103">
        <v>1000</v>
      </c>
      <c r="O173" s="102">
        <v>1</v>
      </c>
      <c r="P173" s="103">
        <f t="shared" si="20"/>
        <v>1000</v>
      </c>
      <c r="Q173" s="103"/>
      <c r="R173" s="103">
        <v>1000</v>
      </c>
      <c r="S173" s="103">
        <f t="shared" si="21"/>
        <v>0</v>
      </c>
      <c r="T173" s="102">
        <f t="shared" si="22"/>
        <v>720</v>
      </c>
      <c r="U173" s="101">
        <f t="shared" si="23"/>
        <v>0</v>
      </c>
      <c r="V173" s="101">
        <f t="shared" si="24"/>
        <v>0</v>
      </c>
      <c r="W173" s="101">
        <v>0</v>
      </c>
      <c r="X173" s="255">
        <f>A173+K173+L173+V173+W173</f>
        <v>46153.749652777777</v>
      </c>
    </row>
    <row r="174" spans="1:40" hidden="1" x14ac:dyDescent="0.35">
      <c r="A174" s="71">
        <f t="shared" si="26"/>
        <v>46153.749652777777</v>
      </c>
      <c r="B174" s="71"/>
      <c r="C174" s="71"/>
      <c r="D174" s="71"/>
      <c r="E174" s="119" t="s">
        <v>4781</v>
      </c>
      <c r="F174" s="453" t="s">
        <v>5497</v>
      </c>
      <c r="G174" s="453" t="s">
        <v>327</v>
      </c>
      <c r="H174" s="98" t="s">
        <v>6672</v>
      </c>
      <c r="I174" s="71" t="s">
        <v>6673</v>
      </c>
      <c r="J174" s="97" t="s">
        <v>140</v>
      </c>
      <c r="K174" s="101">
        <v>0</v>
      </c>
      <c r="L174" s="101">
        <v>0</v>
      </c>
      <c r="M174" s="102">
        <v>108</v>
      </c>
      <c r="N174" s="103">
        <v>400</v>
      </c>
      <c r="O174" s="102">
        <v>1</v>
      </c>
      <c r="P174" s="103">
        <f t="shared" si="20"/>
        <v>400</v>
      </c>
      <c r="Q174" s="103"/>
      <c r="R174" s="103">
        <v>400</v>
      </c>
      <c r="S174" s="103">
        <f t="shared" si="21"/>
        <v>0</v>
      </c>
      <c r="T174" s="102">
        <f t="shared" si="22"/>
        <v>800</v>
      </c>
      <c r="U174" s="101">
        <f t="shared" si="23"/>
        <v>0</v>
      </c>
      <c r="V174" s="101">
        <f t="shared" si="24"/>
        <v>0</v>
      </c>
      <c r="W174" s="101">
        <v>0</v>
      </c>
      <c r="X174" s="255">
        <f>A174+K174+L174+V174+W174</f>
        <v>46153.749652777777</v>
      </c>
    </row>
    <row r="175" spans="1:40" hidden="1" x14ac:dyDescent="0.35">
      <c r="A175" s="46">
        <f t="shared" si="26"/>
        <v>46153.749652777777</v>
      </c>
      <c r="B175" s="46"/>
      <c r="C175" s="46"/>
      <c r="D175" s="46"/>
      <c r="E175" s="119" t="s">
        <v>4781</v>
      </c>
      <c r="F175" s="97" t="s">
        <v>6678</v>
      </c>
      <c r="G175" s="97" t="s">
        <v>792</v>
      </c>
      <c r="H175" s="107" t="s">
        <v>6679</v>
      </c>
      <c r="I175" s="82" t="s">
        <v>6606</v>
      </c>
      <c r="J175" s="100" t="s">
        <v>140</v>
      </c>
      <c r="K175" s="101">
        <v>0</v>
      </c>
      <c r="L175" s="101">
        <v>0</v>
      </c>
      <c r="M175" s="102">
        <v>200</v>
      </c>
      <c r="N175" s="103">
        <v>3000</v>
      </c>
      <c r="O175" s="102">
        <v>6</v>
      </c>
      <c r="P175" s="103">
        <f t="shared" si="20"/>
        <v>500</v>
      </c>
      <c r="Q175" s="103"/>
      <c r="R175" s="103">
        <v>500</v>
      </c>
      <c r="S175" s="103">
        <f t="shared" si="21"/>
        <v>0</v>
      </c>
      <c r="T175" s="102">
        <f t="shared" si="22"/>
        <v>2592</v>
      </c>
      <c r="U175" s="101">
        <f t="shared" si="23"/>
        <v>0</v>
      </c>
      <c r="V175" s="101">
        <f t="shared" si="24"/>
        <v>0</v>
      </c>
      <c r="W175" s="101">
        <v>0</v>
      </c>
      <c r="X175" s="255">
        <f>A175+K175+V175+W175+L175</f>
        <v>46153.749652777777</v>
      </c>
    </row>
    <row r="176" spans="1:40" s="588" customFormat="1" ht="13" hidden="1" x14ac:dyDescent="0.3">
      <c r="A176" s="46">
        <f t="shared" si="26"/>
        <v>46153.749652777777</v>
      </c>
      <c r="B176" s="46"/>
      <c r="C176" s="46"/>
      <c r="D176" s="46"/>
      <c r="E176" s="119" t="s">
        <v>4781</v>
      </c>
      <c r="F176" s="82" t="s">
        <v>1284</v>
      </c>
      <c r="G176" s="82" t="s">
        <v>359</v>
      </c>
      <c r="H176" s="107" t="s">
        <v>6680</v>
      </c>
      <c r="I176" s="69" t="s">
        <v>6681</v>
      </c>
      <c r="J176" s="100" t="s">
        <v>140</v>
      </c>
      <c r="K176" s="91">
        <v>0</v>
      </c>
      <c r="L176" s="91">
        <v>0</v>
      </c>
      <c r="M176" s="92">
        <v>180</v>
      </c>
      <c r="N176" s="94">
        <v>320</v>
      </c>
      <c r="O176" s="92">
        <v>1</v>
      </c>
      <c r="P176" s="94">
        <f t="shared" si="20"/>
        <v>320</v>
      </c>
      <c r="Q176" s="94"/>
      <c r="R176" s="92">
        <v>320</v>
      </c>
      <c r="S176" s="92">
        <f t="shared" si="21"/>
        <v>0</v>
      </c>
      <c r="T176" s="102">
        <f t="shared" si="22"/>
        <v>480</v>
      </c>
      <c r="U176" s="101">
        <f t="shared" si="23"/>
        <v>0</v>
      </c>
      <c r="V176" s="101">
        <f t="shared" si="24"/>
        <v>0</v>
      </c>
      <c r="W176" s="101">
        <v>0</v>
      </c>
      <c r="X176" s="55">
        <f>A176+K176+V176+W176+L176</f>
        <v>46153.749652777777</v>
      </c>
    </row>
    <row r="177" spans="1:40" s="109" customFormat="1" ht="13" hidden="1" x14ac:dyDescent="0.3">
      <c r="A177" s="46">
        <f t="shared" si="26"/>
        <v>46153.749652777777</v>
      </c>
      <c r="B177" s="46"/>
      <c r="C177" s="46"/>
      <c r="D177" s="46"/>
      <c r="E177" s="47" t="s">
        <v>4781</v>
      </c>
      <c r="F177" s="97" t="s">
        <v>1264</v>
      </c>
      <c r="G177" s="82" t="s">
        <v>359</v>
      </c>
      <c r="H177" s="98" t="s">
        <v>6682</v>
      </c>
      <c r="I177" s="82" t="s">
        <v>3522</v>
      </c>
      <c r="J177" s="51" t="s">
        <v>140</v>
      </c>
      <c r="K177" s="91">
        <v>0</v>
      </c>
      <c r="L177" s="91">
        <v>0</v>
      </c>
      <c r="M177" s="92">
        <v>45</v>
      </c>
      <c r="N177" s="94">
        <v>5000</v>
      </c>
      <c r="O177" s="92">
        <v>1</v>
      </c>
      <c r="P177" s="94">
        <f t="shared" si="20"/>
        <v>5000</v>
      </c>
      <c r="Q177" s="94"/>
      <c r="R177" s="92">
        <v>5000</v>
      </c>
      <c r="S177" s="92">
        <f t="shared" si="21"/>
        <v>0</v>
      </c>
      <c r="T177" s="92">
        <f t="shared" si="22"/>
        <v>1920</v>
      </c>
      <c r="U177" s="91">
        <f t="shared" si="23"/>
        <v>0</v>
      </c>
      <c r="V177" s="91">
        <f t="shared" si="24"/>
        <v>0</v>
      </c>
      <c r="W177" s="91">
        <v>0</v>
      </c>
      <c r="X177" s="55">
        <f>A177+K177+L177+V177+W177</f>
        <v>46153.749652777777</v>
      </c>
    </row>
    <row r="178" spans="1:40" hidden="1" x14ac:dyDescent="0.35">
      <c r="A178" s="46">
        <f t="shared" si="26"/>
        <v>46153.749652777777</v>
      </c>
      <c r="B178" s="46"/>
      <c r="C178" s="46"/>
      <c r="D178" s="46"/>
      <c r="E178" s="47" t="s">
        <v>4781</v>
      </c>
      <c r="F178" s="97" t="s">
        <v>1640</v>
      </c>
      <c r="G178" s="453" t="s">
        <v>3513</v>
      </c>
      <c r="H178" s="108">
        <v>13034</v>
      </c>
      <c r="I178" s="82" t="s">
        <v>3515</v>
      </c>
      <c r="J178" s="100" t="s">
        <v>140</v>
      </c>
      <c r="K178" s="101">
        <v>0</v>
      </c>
      <c r="L178" s="91">
        <v>0</v>
      </c>
      <c r="M178" s="102">
        <v>25</v>
      </c>
      <c r="N178" s="103">
        <v>11500</v>
      </c>
      <c r="O178" s="102">
        <v>2</v>
      </c>
      <c r="P178" s="103">
        <f t="shared" si="20"/>
        <v>5750</v>
      </c>
      <c r="Q178" s="103"/>
      <c r="R178" s="103">
        <v>5750</v>
      </c>
      <c r="S178" s="103">
        <f t="shared" si="21"/>
        <v>0</v>
      </c>
      <c r="T178" s="102">
        <f t="shared" si="22"/>
        <v>6912</v>
      </c>
      <c r="U178" s="101">
        <f t="shared" si="23"/>
        <v>0</v>
      </c>
      <c r="V178" s="101">
        <f t="shared" si="24"/>
        <v>0</v>
      </c>
      <c r="W178" s="101">
        <v>0</v>
      </c>
      <c r="X178" s="255">
        <f>A178+K178+L178+V178+W178</f>
        <v>46153.749652777777</v>
      </c>
    </row>
    <row r="179" spans="1:40" hidden="1" x14ac:dyDescent="0.35">
      <c r="A179" s="46">
        <f t="shared" si="26"/>
        <v>46153.749652777777</v>
      </c>
      <c r="B179" s="46"/>
      <c r="C179" s="46"/>
      <c r="D179" s="46"/>
      <c r="E179" s="47" t="s">
        <v>4781</v>
      </c>
      <c r="F179" s="97" t="s">
        <v>355</v>
      </c>
      <c r="G179" s="97" t="s">
        <v>359</v>
      </c>
      <c r="H179" s="108">
        <v>13308</v>
      </c>
      <c r="I179" s="82" t="s">
        <v>4582</v>
      </c>
      <c r="J179" s="51" t="s">
        <v>140</v>
      </c>
      <c r="K179" s="91">
        <v>0</v>
      </c>
      <c r="L179" s="91">
        <v>0</v>
      </c>
      <c r="M179" s="92">
        <v>50</v>
      </c>
      <c r="N179" s="94">
        <v>10000</v>
      </c>
      <c r="O179" s="92">
        <v>4</v>
      </c>
      <c r="P179" s="94">
        <f t="shared" si="20"/>
        <v>2500</v>
      </c>
      <c r="Q179" s="94"/>
      <c r="R179" s="92">
        <v>2500</v>
      </c>
      <c r="S179" s="92">
        <f t="shared" si="21"/>
        <v>0</v>
      </c>
      <c r="T179" s="92">
        <f t="shared" si="22"/>
        <v>6912</v>
      </c>
      <c r="U179" s="91">
        <f t="shared" si="23"/>
        <v>0</v>
      </c>
      <c r="V179" s="91">
        <f t="shared" si="24"/>
        <v>0</v>
      </c>
      <c r="W179" s="91">
        <v>0</v>
      </c>
      <c r="X179" s="55">
        <f>A179+K179+V179+W179+L179</f>
        <v>46153.749652777777</v>
      </c>
    </row>
    <row r="180" spans="1:40" hidden="1" x14ac:dyDescent="0.35">
      <c r="A180" s="46">
        <f t="shared" si="26"/>
        <v>46153.749652777777</v>
      </c>
      <c r="B180" s="46"/>
      <c r="C180" s="46"/>
      <c r="D180" s="46"/>
      <c r="E180" s="47" t="s">
        <v>4781</v>
      </c>
      <c r="F180" s="97" t="s">
        <v>355</v>
      </c>
      <c r="G180" s="97" t="s">
        <v>359</v>
      </c>
      <c r="H180" s="108">
        <v>13028</v>
      </c>
      <c r="I180" s="82" t="s">
        <v>4582</v>
      </c>
      <c r="J180" s="51" t="s">
        <v>140</v>
      </c>
      <c r="K180" s="91">
        <v>0</v>
      </c>
      <c r="L180" s="91">
        <v>0</v>
      </c>
      <c r="M180" s="92">
        <v>50</v>
      </c>
      <c r="N180" s="94">
        <v>10000</v>
      </c>
      <c r="O180" s="92">
        <v>4</v>
      </c>
      <c r="P180" s="94">
        <f t="shared" si="20"/>
        <v>2500</v>
      </c>
      <c r="Q180" s="94"/>
      <c r="R180" s="92">
        <v>2500</v>
      </c>
      <c r="S180" s="92">
        <f t="shared" si="21"/>
        <v>0</v>
      </c>
      <c r="T180" s="92">
        <f t="shared" si="22"/>
        <v>6912</v>
      </c>
      <c r="U180" s="91">
        <f t="shared" si="23"/>
        <v>0</v>
      </c>
      <c r="V180" s="91">
        <f t="shared" si="24"/>
        <v>0</v>
      </c>
      <c r="W180" s="91">
        <v>0</v>
      </c>
      <c r="X180" s="55">
        <f>A180+K180+V180+W180+L180</f>
        <v>46153.749652777777</v>
      </c>
    </row>
    <row r="181" spans="1:40" s="118" customFormat="1" hidden="1" x14ac:dyDescent="0.35">
      <c r="A181" s="71">
        <f t="shared" si="26"/>
        <v>46153.749652777777</v>
      </c>
      <c r="B181" s="71"/>
      <c r="C181" s="71"/>
      <c r="D181" s="71"/>
      <c r="E181" s="119" t="s">
        <v>4781</v>
      </c>
      <c r="F181" s="82" t="s">
        <v>796</v>
      </c>
      <c r="G181" s="82" t="s">
        <v>359</v>
      </c>
      <c r="H181" s="98" t="s">
        <v>6683</v>
      </c>
      <c r="I181" s="82" t="s">
        <v>5690</v>
      </c>
      <c r="J181" s="100" t="s">
        <v>140</v>
      </c>
      <c r="K181" s="101">
        <v>0</v>
      </c>
      <c r="L181" s="101">
        <v>0</v>
      </c>
      <c r="M181" s="102">
        <v>45</v>
      </c>
      <c r="N181" s="103">
        <v>5400</v>
      </c>
      <c r="O181" s="102">
        <v>2</v>
      </c>
      <c r="P181" s="103">
        <f t="shared" si="20"/>
        <v>2700</v>
      </c>
      <c r="Q181" s="103"/>
      <c r="R181" s="103">
        <v>2700</v>
      </c>
      <c r="S181" s="103">
        <f t="shared" si="21"/>
        <v>0</v>
      </c>
      <c r="T181" s="102">
        <f t="shared" si="22"/>
        <v>3840</v>
      </c>
      <c r="U181" s="101">
        <f t="shared" si="23"/>
        <v>0</v>
      </c>
      <c r="V181" s="101">
        <f t="shared" si="24"/>
        <v>0</v>
      </c>
      <c r="W181" s="101">
        <v>0</v>
      </c>
      <c r="X181" s="255">
        <f>A181+K181+L181+V181+W181</f>
        <v>46153.749652777777</v>
      </c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</row>
    <row r="182" spans="1:40" s="118" customFormat="1" hidden="1" x14ac:dyDescent="0.35">
      <c r="A182" s="123">
        <f t="shared" si="26"/>
        <v>46153.749652777777</v>
      </c>
      <c r="B182" s="123"/>
      <c r="C182" s="123"/>
      <c r="D182" s="123"/>
      <c r="E182" s="158" t="s">
        <v>4781</v>
      </c>
      <c r="F182" s="159" t="s">
        <v>6598</v>
      </c>
      <c r="G182" s="1144" t="s">
        <v>5495</v>
      </c>
      <c r="H182" s="705" t="s">
        <v>6599</v>
      </c>
      <c r="I182" s="259" t="s">
        <v>4877</v>
      </c>
      <c r="J182" s="175" t="s">
        <v>140</v>
      </c>
      <c r="K182" s="163">
        <v>0</v>
      </c>
      <c r="L182" s="163">
        <v>0</v>
      </c>
      <c r="M182" s="164">
        <v>77</v>
      </c>
      <c r="N182" s="165">
        <v>8394</v>
      </c>
      <c r="O182" s="164">
        <v>2</v>
      </c>
      <c r="P182" s="165">
        <f t="shared" si="20"/>
        <v>4197</v>
      </c>
      <c r="Q182" s="165"/>
      <c r="R182" s="165">
        <v>4197</v>
      </c>
      <c r="S182" s="164">
        <f t="shared" si="21"/>
        <v>0</v>
      </c>
      <c r="T182" s="164">
        <f t="shared" si="22"/>
        <v>2244.1558441558445</v>
      </c>
      <c r="U182" s="163">
        <f t="shared" si="23"/>
        <v>0</v>
      </c>
      <c r="V182" s="163">
        <f t="shared" si="24"/>
        <v>0</v>
      </c>
      <c r="W182" s="163">
        <v>0</v>
      </c>
      <c r="X182" s="169">
        <f>A182+K182+V182+W182+L182</f>
        <v>46153.749652777777</v>
      </c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</row>
    <row r="183" spans="1:40" hidden="1" x14ac:dyDescent="0.35">
      <c r="A183" s="46">
        <f t="shared" si="26"/>
        <v>46153.749652777777</v>
      </c>
      <c r="B183" s="46"/>
      <c r="C183" s="46"/>
      <c r="D183" s="46"/>
      <c r="E183" s="119" t="s">
        <v>4781</v>
      </c>
      <c r="F183" s="97" t="s">
        <v>1264</v>
      </c>
      <c r="G183" s="97" t="s">
        <v>3508</v>
      </c>
      <c r="H183" s="98" t="s">
        <v>6684</v>
      </c>
      <c r="I183" s="82" t="s">
        <v>4916</v>
      </c>
      <c r="J183" s="51" t="s">
        <v>140</v>
      </c>
      <c r="K183" s="91">
        <v>0</v>
      </c>
      <c r="L183" s="91">
        <v>0</v>
      </c>
      <c r="M183" s="92">
        <v>45</v>
      </c>
      <c r="N183" s="94">
        <v>5000</v>
      </c>
      <c r="O183" s="92">
        <v>1</v>
      </c>
      <c r="P183" s="94">
        <f t="shared" si="20"/>
        <v>5000</v>
      </c>
      <c r="Q183" s="94"/>
      <c r="R183" s="92">
        <v>5000</v>
      </c>
      <c r="S183" s="94">
        <f t="shared" si="21"/>
        <v>0</v>
      </c>
      <c r="T183" s="92">
        <f t="shared" si="22"/>
        <v>1920</v>
      </c>
      <c r="U183" s="91">
        <f t="shared" si="23"/>
        <v>0</v>
      </c>
      <c r="V183" s="91">
        <f t="shared" si="24"/>
        <v>0</v>
      </c>
      <c r="W183" s="91">
        <v>0</v>
      </c>
      <c r="X183" s="55">
        <f>A183+K183+L183+V183+W183</f>
        <v>46153.749652777777</v>
      </c>
    </row>
    <row r="184" spans="1:40" s="511" customFormat="1" hidden="1" x14ac:dyDescent="0.35">
      <c r="A184" s="46">
        <f t="shared" si="26"/>
        <v>46153.749652777777</v>
      </c>
      <c r="B184" s="46"/>
      <c r="C184" s="46"/>
      <c r="D184" s="46"/>
      <c r="E184" s="47" t="s">
        <v>4781</v>
      </c>
      <c r="F184" s="97" t="s">
        <v>1264</v>
      </c>
      <c r="G184" s="97" t="s">
        <v>780</v>
      </c>
      <c r="H184" s="98" t="s">
        <v>3521</v>
      </c>
      <c r="I184" s="82" t="s">
        <v>3522</v>
      </c>
      <c r="J184" s="51" t="s">
        <v>140</v>
      </c>
      <c r="K184" s="91">
        <v>0</v>
      </c>
      <c r="L184" s="91">
        <v>0</v>
      </c>
      <c r="M184" s="92">
        <v>45</v>
      </c>
      <c r="N184" s="94">
        <v>6000</v>
      </c>
      <c r="O184" s="92">
        <v>1</v>
      </c>
      <c r="P184" s="94">
        <f t="shared" si="20"/>
        <v>6000</v>
      </c>
      <c r="Q184" s="94"/>
      <c r="R184" s="92">
        <v>6000</v>
      </c>
      <c r="S184" s="94">
        <f t="shared" si="21"/>
        <v>0</v>
      </c>
      <c r="T184" s="92">
        <f t="shared" si="22"/>
        <v>1920</v>
      </c>
      <c r="U184" s="91">
        <f t="shared" si="23"/>
        <v>0</v>
      </c>
      <c r="V184" s="91">
        <f t="shared" si="24"/>
        <v>0</v>
      </c>
      <c r="W184" s="91">
        <v>0</v>
      </c>
      <c r="X184" s="55">
        <f>A184+K184+L184+V184+W184</f>
        <v>46153.749652777777</v>
      </c>
    </row>
    <row r="185" spans="1:40" s="802" customFormat="1" ht="13" hidden="1" x14ac:dyDescent="0.3">
      <c r="A185" s="46">
        <f t="shared" si="26"/>
        <v>46153.749652777777</v>
      </c>
      <c r="B185" s="46"/>
      <c r="C185" s="46"/>
      <c r="D185" s="46"/>
      <c r="E185" s="47" t="s">
        <v>4781</v>
      </c>
      <c r="F185" s="97" t="s">
        <v>1583</v>
      </c>
      <c r="G185" s="97" t="s">
        <v>359</v>
      </c>
      <c r="H185" s="98" t="s">
        <v>6685</v>
      </c>
      <c r="I185" s="82" t="s">
        <v>4294</v>
      </c>
      <c r="J185" s="100" t="s">
        <v>140</v>
      </c>
      <c r="K185" s="91">
        <v>0</v>
      </c>
      <c r="L185" s="91">
        <v>0</v>
      </c>
      <c r="M185" s="92">
        <v>60</v>
      </c>
      <c r="N185" s="94">
        <v>7000</v>
      </c>
      <c r="O185" s="92">
        <v>2</v>
      </c>
      <c r="P185" s="103">
        <f t="shared" si="20"/>
        <v>3500</v>
      </c>
      <c r="Q185" s="103"/>
      <c r="R185" s="92">
        <v>3500</v>
      </c>
      <c r="S185" s="92">
        <f t="shared" si="21"/>
        <v>0</v>
      </c>
      <c r="T185" s="102">
        <f t="shared" si="22"/>
        <v>2880</v>
      </c>
      <c r="U185" s="101">
        <f t="shared" si="23"/>
        <v>0</v>
      </c>
      <c r="V185" s="101">
        <f t="shared" si="24"/>
        <v>0</v>
      </c>
      <c r="W185" s="101">
        <v>0</v>
      </c>
      <c r="X185" s="55">
        <f>A185+K185+L185+V185+W185</f>
        <v>46153.749652777777</v>
      </c>
    </row>
    <row r="186" spans="1:40" s="511" customFormat="1" hidden="1" x14ac:dyDescent="0.35">
      <c r="A186" s="46">
        <f t="shared" si="26"/>
        <v>46153.749652777777</v>
      </c>
      <c r="B186" s="46"/>
      <c r="C186" s="46"/>
      <c r="D186" s="46"/>
      <c r="E186" s="47" t="s">
        <v>4781</v>
      </c>
      <c r="F186" s="97" t="s">
        <v>1640</v>
      </c>
      <c r="G186" s="453" t="s">
        <v>839</v>
      </c>
      <c r="H186" s="108">
        <v>13403</v>
      </c>
      <c r="I186" s="82" t="s">
        <v>3515</v>
      </c>
      <c r="J186" s="100" t="s">
        <v>140</v>
      </c>
      <c r="K186" s="101">
        <v>0</v>
      </c>
      <c r="L186" s="91">
        <v>0</v>
      </c>
      <c r="M186" s="102">
        <v>25</v>
      </c>
      <c r="N186" s="103">
        <v>1020</v>
      </c>
      <c r="O186" s="102">
        <v>2</v>
      </c>
      <c r="P186" s="103">
        <f t="shared" si="20"/>
        <v>510</v>
      </c>
      <c r="Q186" s="103"/>
      <c r="R186" s="103">
        <v>510</v>
      </c>
      <c r="S186" s="103">
        <f t="shared" si="21"/>
        <v>0</v>
      </c>
      <c r="T186" s="102">
        <f t="shared" si="22"/>
        <v>6912</v>
      </c>
      <c r="U186" s="101">
        <f t="shared" si="23"/>
        <v>0</v>
      </c>
      <c r="V186" s="101">
        <f t="shared" si="24"/>
        <v>0</v>
      </c>
      <c r="W186" s="101">
        <v>0</v>
      </c>
      <c r="X186" s="255">
        <f>A186+K186+L186+V186+W186</f>
        <v>46153.749652777777</v>
      </c>
    </row>
    <row r="187" spans="1:40" s="511" customFormat="1" hidden="1" x14ac:dyDescent="0.35">
      <c r="A187" s="46">
        <f t="shared" si="26"/>
        <v>46153.749652777777</v>
      </c>
      <c r="B187" s="46"/>
      <c r="C187" s="46"/>
      <c r="D187" s="46"/>
      <c r="E187" s="119" t="s">
        <v>4781</v>
      </c>
      <c r="F187" s="97" t="s">
        <v>355</v>
      </c>
      <c r="G187" s="97" t="s">
        <v>839</v>
      </c>
      <c r="H187" s="98" t="s">
        <v>1885</v>
      </c>
      <c r="I187" s="82" t="s">
        <v>1635</v>
      </c>
      <c r="J187" s="51" t="s">
        <v>140</v>
      </c>
      <c r="K187" s="91">
        <v>0</v>
      </c>
      <c r="L187" s="91">
        <v>0</v>
      </c>
      <c r="M187" s="92">
        <v>68</v>
      </c>
      <c r="N187" s="94">
        <v>1500</v>
      </c>
      <c r="O187" s="253">
        <v>1</v>
      </c>
      <c r="P187" s="94">
        <f t="shared" si="20"/>
        <v>1500</v>
      </c>
      <c r="Q187" s="94"/>
      <c r="R187" s="182">
        <v>1500</v>
      </c>
      <c r="S187" s="92">
        <f t="shared" si="21"/>
        <v>0</v>
      </c>
      <c r="T187" s="254">
        <f t="shared" si="22"/>
        <v>1270.5882352941176</v>
      </c>
      <c r="U187" s="91">
        <f t="shared" si="23"/>
        <v>0</v>
      </c>
      <c r="V187" s="91">
        <f t="shared" si="24"/>
        <v>0</v>
      </c>
      <c r="W187" s="91">
        <v>0</v>
      </c>
      <c r="X187" s="55">
        <f>A187+K187+V187+W187+L187</f>
        <v>46153.749652777777</v>
      </c>
    </row>
    <row r="188" spans="1:40" s="511" customFormat="1" hidden="1" x14ac:dyDescent="0.35">
      <c r="A188" s="46">
        <f t="shared" si="26"/>
        <v>46153.749652777777</v>
      </c>
      <c r="B188" s="46"/>
      <c r="C188" s="46"/>
      <c r="D188" s="46"/>
      <c r="E188" s="590" t="s">
        <v>4781</v>
      </c>
      <c r="F188" s="56" t="s">
        <v>4458</v>
      </c>
      <c r="G188" s="56" t="s">
        <v>839</v>
      </c>
      <c r="H188" s="49" t="s">
        <v>6686</v>
      </c>
      <c r="I188" s="85" t="s">
        <v>6687</v>
      </c>
      <c r="J188" s="491" t="s">
        <v>140</v>
      </c>
      <c r="K188" s="52">
        <v>0</v>
      </c>
      <c r="L188" s="52">
        <v>0</v>
      </c>
      <c r="M188" s="53">
        <v>70</v>
      </c>
      <c r="N188" s="54">
        <v>1000</v>
      </c>
      <c r="O188" s="53">
        <v>1</v>
      </c>
      <c r="P188" s="94">
        <f t="shared" si="20"/>
        <v>1000</v>
      </c>
      <c r="Q188" s="94"/>
      <c r="R188" s="53">
        <v>1000</v>
      </c>
      <c r="S188" s="53">
        <f t="shared" si="21"/>
        <v>0</v>
      </c>
      <c r="T188" s="83">
        <f t="shared" si="22"/>
        <v>1234.2857142857142</v>
      </c>
      <c r="U188" s="84">
        <f t="shared" si="23"/>
        <v>0</v>
      </c>
      <c r="V188" s="84">
        <f t="shared" si="24"/>
        <v>0</v>
      </c>
      <c r="W188" s="84">
        <v>0</v>
      </c>
      <c r="X188" s="55">
        <f>A188+K188+L188+V188+W188</f>
        <v>46153.749652777777</v>
      </c>
    </row>
    <row r="189" spans="1:40" s="511" customFormat="1" hidden="1" x14ac:dyDescent="0.35">
      <c r="A189" s="46">
        <f t="shared" si="26"/>
        <v>46153.749652777777</v>
      </c>
      <c r="B189" s="46"/>
      <c r="C189" s="46"/>
      <c r="D189" s="46"/>
      <c r="E189" s="119" t="s">
        <v>4999</v>
      </c>
      <c r="F189" s="99" t="s">
        <v>4458</v>
      </c>
      <c r="G189" s="82" t="s">
        <v>839</v>
      </c>
      <c r="H189" s="98" t="s">
        <v>6688</v>
      </c>
      <c r="I189" s="104" t="s">
        <v>6689</v>
      </c>
      <c r="J189" s="491" t="s">
        <v>140</v>
      </c>
      <c r="K189" s="91">
        <v>0</v>
      </c>
      <c r="L189" s="91">
        <v>0</v>
      </c>
      <c r="M189" s="92">
        <v>60</v>
      </c>
      <c r="N189" s="94">
        <v>1000</v>
      </c>
      <c r="O189" s="92">
        <v>1</v>
      </c>
      <c r="P189" s="94">
        <f t="shared" ref="P189:P196" si="27">N189/O189</f>
        <v>1000</v>
      </c>
      <c r="Q189" s="94"/>
      <c r="R189" s="92">
        <v>1000</v>
      </c>
      <c r="S189" s="92">
        <f t="shared" ref="S189:S196" si="28">P189-R189</f>
        <v>0</v>
      </c>
      <c r="T189" s="102">
        <f t="shared" ref="T189" si="29">((3600/M189)*O189)*24</f>
        <v>1440</v>
      </c>
      <c r="U189" s="101">
        <f t="shared" ref="U189" si="30">(P189-R189)*M189/3600</f>
        <v>0</v>
      </c>
      <c r="V189" s="101">
        <f t="shared" ref="V189" si="31">(P189-R189)*M189/3600/24</f>
        <v>0</v>
      </c>
      <c r="W189" s="101">
        <v>0</v>
      </c>
      <c r="X189" s="55">
        <f>A189+K189+V189+W189+L189</f>
        <v>46153.749652777777</v>
      </c>
    </row>
    <row r="190" spans="1:40" s="121" customFormat="1" hidden="1" x14ac:dyDescent="0.35">
      <c r="A190" s="46">
        <f t="shared" ref="A190:A196" si="32">X189</f>
        <v>46153.749652777777</v>
      </c>
      <c r="B190" s="46">
        <v>46059</v>
      </c>
      <c r="C190" s="180">
        <f t="shared" ref="C190:C196" si="33">B190-A190</f>
        <v>-94.749652777776646</v>
      </c>
      <c r="D190" s="180"/>
      <c r="E190" s="119" t="s">
        <v>4781</v>
      </c>
      <c r="F190" s="99" t="s">
        <v>6690</v>
      </c>
      <c r="G190" s="82" t="s">
        <v>839</v>
      </c>
      <c r="H190" s="98" t="s">
        <v>6691</v>
      </c>
      <c r="I190" s="82" t="s">
        <v>4308</v>
      </c>
      <c r="J190" s="100" t="s">
        <v>140</v>
      </c>
      <c r="K190" s="91">
        <v>0</v>
      </c>
      <c r="L190" s="91">
        <v>0</v>
      </c>
      <c r="M190" s="92">
        <v>250</v>
      </c>
      <c r="N190" s="94">
        <v>1000</v>
      </c>
      <c r="O190" s="92">
        <v>1</v>
      </c>
      <c r="P190" s="94">
        <f t="shared" si="27"/>
        <v>1000</v>
      </c>
      <c r="Q190" s="181">
        <v>0.8</v>
      </c>
      <c r="R190" s="92">
        <v>1000</v>
      </c>
      <c r="S190" s="102">
        <f t="shared" si="28"/>
        <v>0</v>
      </c>
      <c r="T190" s="173">
        <f t="shared" ref="T190:T196" si="34">((3600/M190)*O190)*24*Q190</f>
        <v>276.48</v>
      </c>
      <c r="U190" s="101">
        <f t="shared" ref="U190:U196" si="35">(P190-R190)*M190/3600/Q190</f>
        <v>0</v>
      </c>
      <c r="V190" s="101">
        <f t="shared" ref="V190:V196" si="36">U190/24</f>
        <v>0</v>
      </c>
      <c r="W190" s="101">
        <v>0</v>
      </c>
      <c r="X190" s="55">
        <f>A190+K190+L190+V190+W190</f>
        <v>46153.749652777777</v>
      </c>
      <c r="Y190" s="511"/>
      <c r="Z190" s="511"/>
      <c r="AA190" s="511"/>
      <c r="AB190" s="511"/>
      <c r="AC190" s="511"/>
      <c r="AD190" s="511"/>
      <c r="AE190" s="511"/>
      <c r="AF190" s="511"/>
      <c r="AG190" s="511"/>
      <c r="AH190" s="511"/>
      <c r="AI190" s="511"/>
      <c r="AJ190" s="511"/>
      <c r="AK190" s="511"/>
      <c r="AL190" s="511"/>
      <c r="AM190" s="511"/>
      <c r="AN190" s="511"/>
    </row>
    <row r="191" spans="1:40" s="186" customFormat="1" hidden="1" x14ac:dyDescent="0.35">
      <c r="A191" s="123">
        <f t="shared" si="32"/>
        <v>46153.749652777777</v>
      </c>
      <c r="B191" s="123">
        <v>46063</v>
      </c>
      <c r="C191" s="183">
        <f t="shared" si="33"/>
        <v>-90.749652777776646</v>
      </c>
      <c r="D191" s="183"/>
      <c r="E191" s="158" t="s">
        <v>4781</v>
      </c>
      <c r="F191" s="125" t="s">
        <v>1814</v>
      </c>
      <c r="G191" s="125" t="s">
        <v>386</v>
      </c>
      <c r="H191" s="467">
        <v>13656</v>
      </c>
      <c r="I191" s="159" t="s">
        <v>1830</v>
      </c>
      <c r="J191" s="128" t="s">
        <v>140</v>
      </c>
      <c r="K191" s="586">
        <v>0</v>
      </c>
      <c r="L191" s="586">
        <v>0</v>
      </c>
      <c r="M191" s="130">
        <v>40</v>
      </c>
      <c r="N191" s="131">
        <v>5000</v>
      </c>
      <c r="O191" s="130">
        <v>1</v>
      </c>
      <c r="P191" s="131">
        <f t="shared" si="27"/>
        <v>5000</v>
      </c>
      <c r="Q191" s="185">
        <v>0.8</v>
      </c>
      <c r="R191" s="130">
        <v>5000</v>
      </c>
      <c r="S191" s="164">
        <f t="shared" si="28"/>
        <v>0</v>
      </c>
      <c r="T191" s="168">
        <f t="shared" si="34"/>
        <v>1728</v>
      </c>
      <c r="U191" s="163">
        <f t="shared" si="35"/>
        <v>0</v>
      </c>
      <c r="V191" s="163">
        <f t="shared" si="36"/>
        <v>0</v>
      </c>
      <c r="W191" s="163">
        <v>0</v>
      </c>
      <c r="X191" s="137">
        <f>A191+K191+L191+V191+W191</f>
        <v>46153.749652777777</v>
      </c>
    </row>
    <row r="192" spans="1:40" s="511" customFormat="1" hidden="1" x14ac:dyDescent="0.35">
      <c r="A192" s="46">
        <f t="shared" si="32"/>
        <v>46153.749652777777</v>
      </c>
      <c r="B192" s="46">
        <v>46062</v>
      </c>
      <c r="C192" s="180">
        <f t="shared" si="33"/>
        <v>-91.749652777776646</v>
      </c>
      <c r="D192" s="180"/>
      <c r="E192" s="119" t="s">
        <v>4999</v>
      </c>
      <c r="F192" s="97" t="s">
        <v>900</v>
      </c>
      <c r="G192" s="97" t="s">
        <v>386</v>
      </c>
      <c r="H192" s="98" t="s">
        <v>6692</v>
      </c>
      <c r="I192" s="82" t="s">
        <v>4294</v>
      </c>
      <c r="J192" s="100"/>
      <c r="K192" s="91">
        <v>0</v>
      </c>
      <c r="L192" s="91">
        <v>0</v>
      </c>
      <c r="M192" s="92">
        <v>60</v>
      </c>
      <c r="N192" s="94">
        <v>5000</v>
      </c>
      <c r="O192" s="92">
        <v>2</v>
      </c>
      <c r="P192" s="94">
        <f t="shared" si="27"/>
        <v>2500</v>
      </c>
      <c r="Q192" s="181">
        <v>0.8</v>
      </c>
      <c r="R192" s="92">
        <v>2500</v>
      </c>
      <c r="S192" s="102">
        <f t="shared" si="28"/>
        <v>0</v>
      </c>
      <c r="T192" s="173">
        <f t="shared" si="34"/>
        <v>2304</v>
      </c>
      <c r="U192" s="101">
        <f t="shared" si="35"/>
        <v>0</v>
      </c>
      <c r="V192" s="101">
        <f t="shared" si="36"/>
        <v>0</v>
      </c>
      <c r="W192" s="101">
        <v>0</v>
      </c>
      <c r="X192" s="55">
        <f>A192+K192+V192+W192+L192</f>
        <v>46153.749652777777</v>
      </c>
    </row>
    <row r="193" spans="1:40" s="121" customFormat="1" hidden="1" x14ac:dyDescent="0.35">
      <c r="A193" s="71">
        <f t="shared" si="32"/>
        <v>46153.749652777777</v>
      </c>
      <c r="B193" s="46">
        <v>46075</v>
      </c>
      <c r="C193" s="180">
        <f t="shared" si="33"/>
        <v>-78.749652777776646</v>
      </c>
      <c r="D193" s="180" t="s">
        <v>6693</v>
      </c>
      <c r="E193" s="47" t="s">
        <v>4384</v>
      </c>
      <c r="F193" s="82" t="s">
        <v>6176</v>
      </c>
      <c r="G193" s="82" t="s">
        <v>792</v>
      </c>
      <c r="H193" s="107" t="s">
        <v>6694</v>
      </c>
      <c r="I193" s="82" t="s">
        <v>4570</v>
      </c>
      <c r="J193" s="100" t="s">
        <v>140</v>
      </c>
      <c r="K193" s="91">
        <v>0</v>
      </c>
      <c r="L193" s="91">
        <v>0</v>
      </c>
      <c r="M193" s="92">
        <v>90</v>
      </c>
      <c r="N193" s="94">
        <v>2600</v>
      </c>
      <c r="O193" s="92">
        <v>1</v>
      </c>
      <c r="P193" s="94">
        <f t="shared" si="27"/>
        <v>2600</v>
      </c>
      <c r="Q193" s="181">
        <v>0.8</v>
      </c>
      <c r="R193" s="102">
        <v>2600</v>
      </c>
      <c r="S193" s="102">
        <f t="shared" si="28"/>
        <v>0</v>
      </c>
      <c r="T193" s="173">
        <f t="shared" si="34"/>
        <v>768</v>
      </c>
      <c r="U193" s="101">
        <f t="shared" si="35"/>
        <v>0</v>
      </c>
      <c r="V193" s="101">
        <f t="shared" si="36"/>
        <v>0</v>
      </c>
      <c r="W193" s="101">
        <v>0</v>
      </c>
      <c r="X193" s="55">
        <f>A193+K193+V193+W193+L193</f>
        <v>46153.749652777777</v>
      </c>
      <c r="Y193" s="511"/>
      <c r="Z193" s="511"/>
      <c r="AA193" s="511"/>
      <c r="AB193" s="511"/>
      <c r="AC193" s="511"/>
      <c r="AD193" s="511"/>
      <c r="AE193" s="511"/>
      <c r="AF193" s="511"/>
      <c r="AG193" s="511"/>
      <c r="AH193" s="511"/>
      <c r="AI193" s="511"/>
      <c r="AJ193" s="511"/>
      <c r="AK193" s="511"/>
      <c r="AL193" s="511"/>
      <c r="AM193" s="511"/>
      <c r="AN193" s="511"/>
    </row>
    <row r="194" spans="1:40" s="511" customFormat="1" ht="26.5" hidden="1" x14ac:dyDescent="0.35">
      <c r="A194" s="46">
        <f t="shared" si="32"/>
        <v>46153.749652777777</v>
      </c>
      <c r="B194" s="46">
        <v>46090.376562500001</v>
      </c>
      <c r="C194" s="180">
        <f t="shared" si="33"/>
        <v>-63.373090277775191</v>
      </c>
      <c r="D194" s="180" t="s">
        <v>6695</v>
      </c>
      <c r="E194" s="74" t="s">
        <v>4781</v>
      </c>
      <c r="F194" s="82" t="s">
        <v>1583</v>
      </c>
      <c r="G194" s="82"/>
      <c r="H194" s="334" t="s">
        <v>3539</v>
      </c>
      <c r="I194" s="697" t="s">
        <v>3464</v>
      </c>
      <c r="J194" s="100" t="s">
        <v>140</v>
      </c>
      <c r="K194" s="91">
        <v>0</v>
      </c>
      <c r="L194" s="91">
        <v>0</v>
      </c>
      <c r="M194" s="92">
        <v>50</v>
      </c>
      <c r="N194" s="94">
        <v>5000</v>
      </c>
      <c r="O194" s="92">
        <v>1</v>
      </c>
      <c r="P194" s="94">
        <f t="shared" si="27"/>
        <v>5000</v>
      </c>
      <c r="Q194" s="181">
        <v>0.8</v>
      </c>
      <c r="R194" s="92">
        <v>5000</v>
      </c>
      <c r="S194" s="102">
        <f t="shared" si="28"/>
        <v>0</v>
      </c>
      <c r="T194" s="173">
        <f t="shared" si="34"/>
        <v>1382.4</v>
      </c>
      <c r="U194" s="101">
        <f t="shared" si="35"/>
        <v>0</v>
      </c>
      <c r="V194" s="101">
        <f t="shared" si="36"/>
        <v>0</v>
      </c>
      <c r="W194" s="101">
        <v>0</v>
      </c>
      <c r="X194" s="55">
        <f>A194+K194+L194+V194+W194</f>
        <v>46153.749652777777</v>
      </c>
    </row>
    <row r="195" spans="1:40" s="121" customFormat="1" ht="25" hidden="1" customHeight="1" x14ac:dyDescent="0.35">
      <c r="A195" s="71">
        <f t="shared" si="32"/>
        <v>46153.749652777777</v>
      </c>
      <c r="B195" s="71">
        <v>46120</v>
      </c>
      <c r="C195" s="260">
        <f t="shared" si="33"/>
        <v>-33.749652777776646</v>
      </c>
      <c r="D195" s="260"/>
      <c r="E195" s="74" t="s">
        <v>4781</v>
      </c>
      <c r="F195" s="82" t="s">
        <v>4390</v>
      </c>
      <c r="G195" s="97" t="s">
        <v>398</v>
      </c>
      <c r="H195" s="107" t="s">
        <v>4771</v>
      </c>
      <c r="I195" s="791" t="s">
        <v>4324</v>
      </c>
      <c r="J195" s="100" t="s">
        <v>140</v>
      </c>
      <c r="K195" s="91">
        <v>0</v>
      </c>
      <c r="L195" s="91">
        <v>0</v>
      </c>
      <c r="M195" s="345">
        <v>45</v>
      </c>
      <c r="N195" s="94">
        <v>23000</v>
      </c>
      <c r="O195" s="92">
        <v>1</v>
      </c>
      <c r="P195" s="94">
        <f t="shared" si="27"/>
        <v>23000</v>
      </c>
      <c r="Q195" s="181">
        <v>0.8</v>
      </c>
      <c r="R195" s="92">
        <v>23000</v>
      </c>
      <c r="S195" s="102">
        <f t="shared" si="28"/>
        <v>0</v>
      </c>
      <c r="T195" s="173">
        <f t="shared" si="34"/>
        <v>1536</v>
      </c>
      <c r="U195" s="101">
        <f t="shared" si="35"/>
        <v>0</v>
      </c>
      <c r="V195" s="101">
        <f t="shared" si="36"/>
        <v>0</v>
      </c>
      <c r="W195" s="101">
        <v>0</v>
      </c>
      <c r="X195" s="55">
        <f>A195+K195+L195+V195+W195</f>
        <v>46153.749652777777</v>
      </c>
    </row>
    <row r="196" spans="1:40" s="243" customFormat="1" ht="25" customHeight="1" x14ac:dyDescent="0.35">
      <c r="A196" s="192">
        <f t="shared" si="32"/>
        <v>46153.749652777777</v>
      </c>
      <c r="B196" s="192">
        <v>46120</v>
      </c>
      <c r="C196" s="194">
        <f t="shared" si="33"/>
        <v>-33.749652777776646</v>
      </c>
      <c r="D196" s="194"/>
      <c r="E196" s="195" t="s">
        <v>4781</v>
      </c>
      <c r="F196" s="196" t="s">
        <v>4390</v>
      </c>
      <c r="G196" s="112" t="s">
        <v>411</v>
      </c>
      <c r="H196" s="524" t="s">
        <v>6696</v>
      </c>
      <c r="I196" s="1145" t="s">
        <v>4324</v>
      </c>
      <c r="J196" s="114" t="s">
        <v>140</v>
      </c>
      <c r="K196" s="482">
        <v>0</v>
      </c>
      <c r="L196" s="482">
        <v>0</v>
      </c>
      <c r="M196" s="846">
        <v>45</v>
      </c>
      <c r="N196" s="483">
        <v>23000</v>
      </c>
      <c r="O196" s="199">
        <v>1</v>
      </c>
      <c r="P196" s="483">
        <f t="shared" si="27"/>
        <v>23000</v>
      </c>
      <c r="Q196" s="198">
        <v>0.8</v>
      </c>
      <c r="R196" s="199">
        <v>4987</v>
      </c>
      <c r="S196" s="116">
        <f t="shared" si="28"/>
        <v>18013</v>
      </c>
      <c r="T196" s="200">
        <f t="shared" si="34"/>
        <v>1536</v>
      </c>
      <c r="U196" s="115">
        <f t="shared" si="35"/>
        <v>281.453125</v>
      </c>
      <c r="V196" s="115">
        <f t="shared" si="36"/>
        <v>11.727213541666666</v>
      </c>
      <c r="W196" s="115">
        <v>0</v>
      </c>
      <c r="X196" s="201">
        <f>A196+K196+L196+V196+W196</f>
        <v>46165.476866319441</v>
      </c>
    </row>
    <row r="197" spans="1:40" ht="25" customHeight="1" x14ac:dyDescent="0.35">
      <c r="A197" s="548"/>
      <c r="B197" s="548"/>
      <c r="C197" s="548"/>
      <c r="D197" s="548"/>
      <c r="E197" s="686"/>
      <c r="F197" s="274"/>
      <c r="G197" s="1146"/>
      <c r="H197" s="1147"/>
      <c r="I197" s="789"/>
      <c r="J197" s="277"/>
      <c r="K197" s="278"/>
      <c r="L197" s="278"/>
      <c r="M197" s="279"/>
      <c r="N197" s="280"/>
      <c r="O197" s="279"/>
      <c r="P197" s="280"/>
      <c r="Q197" s="280"/>
      <c r="R197" s="280"/>
      <c r="S197" s="279"/>
      <c r="T197" s="279"/>
      <c r="U197" s="278"/>
      <c r="V197" s="278"/>
      <c r="W197" s="278"/>
      <c r="X197" s="790"/>
    </row>
    <row r="198" spans="1:40" s="118" customFormat="1" ht="45" x14ac:dyDescent="0.8">
      <c r="A198" s="1100" t="s">
        <v>4999</v>
      </c>
      <c r="B198" s="1100"/>
      <c r="C198" s="1100"/>
      <c r="D198" s="1100"/>
      <c r="E198" s="718"/>
      <c r="F198" s="213"/>
      <c r="G198" s="213"/>
      <c r="H198" s="311" t="s">
        <v>4269</v>
      </c>
      <c r="I198" s="1148"/>
      <c r="J198" s="40"/>
      <c r="K198" s="1101"/>
      <c r="L198" s="1101"/>
      <c r="M198" s="1102"/>
      <c r="N198" s="1103"/>
      <c r="O198" s="37"/>
      <c r="P198" s="37" t="s">
        <v>2250</v>
      </c>
      <c r="Q198" s="37"/>
      <c r="R198" s="1103"/>
      <c r="S198" s="37"/>
      <c r="T198" s="37"/>
      <c r="U198" s="37"/>
      <c r="V198" s="37"/>
      <c r="W198" s="37"/>
      <c r="X198" s="1104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</row>
    <row r="199" spans="1:40" s="118" customFormat="1" ht="29" hidden="1" x14ac:dyDescent="0.35">
      <c r="A199" s="71">
        <f>S7</f>
        <v>46153</v>
      </c>
      <c r="B199" s="71"/>
      <c r="C199" s="71"/>
      <c r="D199" s="71"/>
      <c r="E199" s="119" t="s">
        <v>4651</v>
      </c>
      <c r="F199" s="48" t="s">
        <v>6697</v>
      </c>
      <c r="G199" s="48"/>
      <c r="H199" s="59" t="s">
        <v>6698</v>
      </c>
      <c r="I199" s="82" t="s">
        <v>5565</v>
      </c>
      <c r="J199" s="100"/>
      <c r="K199" s="84">
        <v>0</v>
      </c>
      <c r="L199" s="84">
        <v>0</v>
      </c>
      <c r="M199" s="83">
        <v>55</v>
      </c>
      <c r="N199" s="223">
        <v>1700</v>
      </c>
      <c r="O199" s="83">
        <v>1</v>
      </c>
      <c r="P199" s="83">
        <v>2397</v>
      </c>
      <c r="Q199" s="83"/>
      <c r="R199" s="223">
        <v>2397</v>
      </c>
      <c r="S199" s="223">
        <f>P199-R199</f>
        <v>0</v>
      </c>
      <c r="T199" s="83">
        <f>((3600/M199)*O199)*24</f>
        <v>1570.909090909091</v>
      </c>
      <c r="U199" s="84">
        <f>(P199-R199)*M199/3600</f>
        <v>0</v>
      </c>
      <c r="V199" s="84">
        <f>(P199-R199)*M199/3600/24</f>
        <v>0</v>
      </c>
      <c r="W199" s="84">
        <v>0</v>
      </c>
      <c r="X199" s="255">
        <f t="shared" ref="X199:X262" si="37">A199+K199+L199+V199+W199</f>
        <v>46153</v>
      </c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</row>
    <row r="200" spans="1:40" s="118" customFormat="1" ht="29" hidden="1" x14ac:dyDescent="0.35">
      <c r="A200" s="71">
        <f t="shared" ref="A200:A263" si="38">X199</f>
        <v>46153</v>
      </c>
      <c r="B200" s="71"/>
      <c r="C200" s="71"/>
      <c r="D200" s="71"/>
      <c r="E200" s="119" t="s">
        <v>4651</v>
      </c>
      <c r="F200" s="48" t="s">
        <v>5191</v>
      </c>
      <c r="G200" s="48"/>
      <c r="H200" s="59" t="s">
        <v>6699</v>
      </c>
      <c r="I200" s="82" t="s">
        <v>6700</v>
      </c>
      <c r="J200" s="100"/>
      <c r="K200" s="84">
        <v>0</v>
      </c>
      <c r="L200" s="84">
        <v>0</v>
      </c>
      <c r="M200" s="83">
        <v>90</v>
      </c>
      <c r="N200" s="223">
        <v>5500</v>
      </c>
      <c r="O200" s="83">
        <v>2</v>
      </c>
      <c r="P200" s="83">
        <f>N200/O200</f>
        <v>2750</v>
      </c>
      <c r="Q200" s="83"/>
      <c r="R200" s="223">
        <v>2750</v>
      </c>
      <c r="S200" s="223">
        <f>P200-R200</f>
        <v>0</v>
      </c>
      <c r="T200" s="83">
        <f>((3600/M200)*O200)*24</f>
        <v>1920</v>
      </c>
      <c r="U200" s="84">
        <f>(P200-R200)*M200/3600</f>
        <v>0</v>
      </c>
      <c r="V200" s="84">
        <f>(P200-R200)*M200/3600/24</f>
        <v>0</v>
      </c>
      <c r="W200" s="84">
        <v>0</v>
      </c>
      <c r="X200" s="255">
        <f t="shared" si="37"/>
        <v>46153</v>
      </c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</row>
    <row r="201" spans="1:40" s="118" customFormat="1" hidden="1" x14ac:dyDescent="0.35">
      <c r="A201" s="71">
        <f t="shared" si="38"/>
        <v>46153</v>
      </c>
      <c r="B201" s="71"/>
      <c r="C201" s="71"/>
      <c r="D201" s="71"/>
      <c r="E201" s="119" t="s">
        <v>4651</v>
      </c>
      <c r="F201" s="56" t="s">
        <v>2255</v>
      </c>
      <c r="G201" s="56"/>
      <c r="H201" s="49">
        <v>7468</v>
      </c>
      <c r="I201" s="82" t="s">
        <v>6701</v>
      </c>
      <c r="J201" s="100"/>
      <c r="K201" s="84">
        <v>0</v>
      </c>
      <c r="L201" s="84">
        <v>0</v>
      </c>
      <c r="M201" s="83"/>
      <c r="N201" s="223">
        <v>50</v>
      </c>
      <c r="O201" s="83"/>
      <c r="P201" s="83"/>
      <c r="Q201" s="83"/>
      <c r="R201" s="223"/>
      <c r="S201" s="223"/>
      <c r="T201" s="83"/>
      <c r="U201" s="84"/>
      <c r="V201" s="84">
        <v>0</v>
      </c>
      <c r="W201" s="84">
        <v>0</v>
      </c>
      <c r="X201" s="255">
        <f t="shared" si="37"/>
        <v>46153</v>
      </c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</row>
    <row r="202" spans="1:40" s="118" customFormat="1" hidden="1" x14ac:dyDescent="0.35">
      <c r="A202" s="71">
        <f t="shared" si="38"/>
        <v>46153</v>
      </c>
      <c r="B202" s="71"/>
      <c r="C202" s="71"/>
      <c r="D202" s="71"/>
      <c r="E202" s="119" t="s">
        <v>4651</v>
      </c>
      <c r="F202" s="56" t="s">
        <v>6702</v>
      </c>
      <c r="G202" s="56"/>
      <c r="H202" s="1149"/>
      <c r="I202" s="97" t="s">
        <v>5708</v>
      </c>
      <c r="J202" s="100"/>
      <c r="K202" s="84">
        <v>0</v>
      </c>
      <c r="L202" s="84">
        <v>0</v>
      </c>
      <c r="M202" s="83">
        <v>260</v>
      </c>
      <c r="N202" s="223">
        <v>1000</v>
      </c>
      <c r="O202" s="83">
        <v>1</v>
      </c>
      <c r="P202" s="83">
        <v>1105</v>
      </c>
      <c r="Q202" s="83"/>
      <c r="R202" s="223">
        <f>505+600</f>
        <v>1105</v>
      </c>
      <c r="S202" s="223">
        <f t="shared" ref="S202:S219" si="39">P202-R202</f>
        <v>0</v>
      </c>
      <c r="T202" s="83">
        <f>((3600/M202)*O202)*24</f>
        <v>332.30769230769232</v>
      </c>
      <c r="U202" s="84">
        <f>(P202-R202)*M202/3600</f>
        <v>0</v>
      </c>
      <c r="V202" s="84">
        <f t="shared" ref="V202:V265" si="40">(P202-R202)*M202/3600/24</f>
        <v>0</v>
      </c>
      <c r="W202" s="84">
        <v>0</v>
      </c>
      <c r="X202" s="255">
        <f t="shared" si="37"/>
        <v>46153</v>
      </c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</row>
    <row r="203" spans="1:40" s="118" customFormat="1" hidden="1" x14ac:dyDescent="0.35">
      <c r="A203" s="71">
        <f t="shared" si="38"/>
        <v>46153</v>
      </c>
      <c r="B203" s="71"/>
      <c r="C203" s="71"/>
      <c r="D203" s="71"/>
      <c r="E203" s="119" t="s">
        <v>4651</v>
      </c>
      <c r="F203" s="56" t="s">
        <v>2700</v>
      </c>
      <c r="G203" s="56"/>
      <c r="H203" s="49">
        <v>7697</v>
      </c>
      <c r="I203" s="97" t="s">
        <v>1807</v>
      </c>
      <c r="J203" s="100"/>
      <c r="K203" s="84">
        <v>0</v>
      </c>
      <c r="L203" s="84">
        <v>0</v>
      </c>
      <c r="M203" s="83">
        <v>250</v>
      </c>
      <c r="N203" s="223">
        <v>800</v>
      </c>
      <c r="O203" s="83">
        <v>1</v>
      </c>
      <c r="P203" s="83">
        <f>N203/O203</f>
        <v>800</v>
      </c>
      <c r="Q203" s="83"/>
      <c r="R203" s="223">
        <v>800</v>
      </c>
      <c r="S203" s="223">
        <f t="shared" si="39"/>
        <v>0</v>
      </c>
      <c r="T203" s="83">
        <f>((3600/M203)*O203)*24</f>
        <v>345.6</v>
      </c>
      <c r="U203" s="84">
        <f>(P203-R203)*M203/3600</f>
        <v>0</v>
      </c>
      <c r="V203" s="84">
        <f t="shared" si="40"/>
        <v>0</v>
      </c>
      <c r="W203" s="84">
        <v>0</v>
      </c>
      <c r="X203" s="255">
        <f t="shared" si="37"/>
        <v>46153</v>
      </c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</row>
    <row r="204" spans="1:40" s="118" customFormat="1" hidden="1" x14ac:dyDescent="0.35">
      <c r="A204" s="71">
        <f t="shared" si="38"/>
        <v>46153</v>
      </c>
      <c r="B204" s="71"/>
      <c r="C204" s="71"/>
      <c r="D204" s="71"/>
      <c r="E204" s="119" t="s">
        <v>4651</v>
      </c>
      <c r="F204" s="56" t="s">
        <v>2701</v>
      </c>
      <c r="G204" s="56"/>
      <c r="H204" s="49">
        <v>7697</v>
      </c>
      <c r="I204" s="97" t="s">
        <v>1807</v>
      </c>
      <c r="J204" s="100"/>
      <c r="K204" s="84">
        <v>0</v>
      </c>
      <c r="L204" s="84">
        <v>0</v>
      </c>
      <c r="M204" s="83">
        <v>250</v>
      </c>
      <c r="N204" s="223">
        <v>600</v>
      </c>
      <c r="O204" s="83">
        <v>1</v>
      </c>
      <c r="P204" s="83">
        <v>610</v>
      </c>
      <c r="Q204" s="83"/>
      <c r="R204" s="223">
        <f>-800+1410</f>
        <v>610</v>
      </c>
      <c r="S204" s="223">
        <f t="shared" si="39"/>
        <v>0</v>
      </c>
      <c r="T204" s="83">
        <f>((3600/M204)*O204)*24</f>
        <v>345.6</v>
      </c>
      <c r="U204" s="84">
        <f>(P204-R204)*M204/3600</f>
        <v>0</v>
      </c>
      <c r="V204" s="84">
        <f t="shared" si="40"/>
        <v>0</v>
      </c>
      <c r="W204" s="84">
        <v>0</v>
      </c>
      <c r="X204" s="255">
        <f t="shared" si="37"/>
        <v>46153</v>
      </c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</row>
    <row r="205" spans="1:40" s="118" customFormat="1" hidden="1" x14ac:dyDescent="0.35">
      <c r="A205" s="71">
        <f t="shared" si="38"/>
        <v>46153</v>
      </c>
      <c r="B205" s="71"/>
      <c r="C205" s="71"/>
      <c r="D205" s="71"/>
      <c r="E205" s="119" t="s">
        <v>4781</v>
      </c>
      <c r="F205" s="48" t="s">
        <v>2696</v>
      </c>
      <c r="G205" s="48"/>
      <c r="H205" s="49" t="s">
        <v>6703</v>
      </c>
      <c r="I205" s="82" t="s">
        <v>6704</v>
      </c>
      <c r="J205" s="100"/>
      <c r="K205" s="84">
        <v>0</v>
      </c>
      <c r="L205" s="84">
        <v>0</v>
      </c>
      <c r="M205" s="83">
        <v>70</v>
      </c>
      <c r="N205" s="223">
        <v>1250</v>
      </c>
      <c r="O205" s="83">
        <v>1</v>
      </c>
      <c r="P205" s="83">
        <f>N205/O205</f>
        <v>1250</v>
      </c>
      <c r="Q205" s="83"/>
      <c r="R205" s="223">
        <v>1250</v>
      </c>
      <c r="S205" s="223">
        <f t="shared" si="39"/>
        <v>0</v>
      </c>
      <c r="T205" s="83">
        <f>((3600/M205)*O205)*24</f>
        <v>1234.2857142857142</v>
      </c>
      <c r="U205" s="84">
        <f>(P205-R205)*M205/3600</f>
        <v>0</v>
      </c>
      <c r="V205" s="84">
        <f t="shared" si="40"/>
        <v>0</v>
      </c>
      <c r="W205" s="84">
        <v>0</v>
      </c>
      <c r="X205" s="255">
        <f t="shared" si="37"/>
        <v>46153</v>
      </c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</row>
    <row r="206" spans="1:40" s="118" customFormat="1" hidden="1" x14ac:dyDescent="0.35">
      <c r="A206" s="71">
        <f t="shared" si="38"/>
        <v>46153</v>
      </c>
      <c r="B206" s="71"/>
      <c r="C206" s="71"/>
      <c r="D206" s="71"/>
      <c r="E206" s="119" t="s">
        <v>4781</v>
      </c>
      <c r="F206" s="48" t="s">
        <v>1931</v>
      </c>
      <c r="G206" s="48"/>
      <c r="H206" s="49" t="s">
        <v>6703</v>
      </c>
      <c r="I206" s="82" t="s">
        <v>6704</v>
      </c>
      <c r="J206" s="100"/>
      <c r="K206" s="84">
        <v>0</v>
      </c>
      <c r="L206" s="84">
        <v>0</v>
      </c>
      <c r="M206" s="83">
        <v>70</v>
      </c>
      <c r="N206" s="223">
        <v>1250</v>
      </c>
      <c r="O206" s="83">
        <v>1</v>
      </c>
      <c r="P206" s="83">
        <v>1494</v>
      </c>
      <c r="Q206" s="83"/>
      <c r="R206" s="223">
        <f>-1250+1451+1293</f>
        <v>1494</v>
      </c>
      <c r="S206" s="223">
        <f t="shared" si="39"/>
        <v>0</v>
      </c>
      <c r="T206" s="83">
        <f>((3600/M206)*O206)*24</f>
        <v>1234.2857142857142</v>
      </c>
      <c r="U206" s="84">
        <f>(P206-R206)*M206/3600</f>
        <v>0</v>
      </c>
      <c r="V206" s="84">
        <f t="shared" si="40"/>
        <v>0</v>
      </c>
      <c r="W206" s="84">
        <v>0</v>
      </c>
      <c r="X206" s="255">
        <f t="shared" si="37"/>
        <v>46153</v>
      </c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</row>
    <row r="207" spans="1:40" s="118" customFormat="1" hidden="1" x14ac:dyDescent="0.35">
      <c r="A207" s="71">
        <f t="shared" si="38"/>
        <v>46153</v>
      </c>
      <c r="B207" s="71"/>
      <c r="C207" s="71"/>
      <c r="D207" s="71"/>
      <c r="E207" s="119" t="s">
        <v>6705</v>
      </c>
      <c r="F207" s="56" t="s">
        <v>2255</v>
      </c>
      <c r="G207" s="56"/>
      <c r="H207" s="49"/>
      <c r="I207" s="82" t="s">
        <v>5825</v>
      </c>
      <c r="J207" s="100"/>
      <c r="K207" s="84">
        <v>0</v>
      </c>
      <c r="L207" s="84">
        <v>0</v>
      </c>
      <c r="M207" s="83"/>
      <c r="N207" s="223">
        <v>50</v>
      </c>
      <c r="O207" s="83"/>
      <c r="P207" s="83"/>
      <c r="Q207" s="83"/>
      <c r="R207" s="223"/>
      <c r="S207" s="223">
        <f t="shared" si="39"/>
        <v>0</v>
      </c>
      <c r="T207" s="83"/>
      <c r="U207" s="84"/>
      <c r="V207" s="84">
        <f t="shared" si="40"/>
        <v>0</v>
      </c>
      <c r="W207" s="84">
        <v>0</v>
      </c>
      <c r="X207" s="255">
        <f t="shared" si="37"/>
        <v>46153</v>
      </c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</row>
    <row r="208" spans="1:40" s="118" customFormat="1" ht="29" hidden="1" x14ac:dyDescent="0.35">
      <c r="A208" s="71">
        <f t="shared" si="38"/>
        <v>46153</v>
      </c>
      <c r="B208" s="71"/>
      <c r="C208" s="71"/>
      <c r="D208" s="71"/>
      <c r="E208" s="119" t="s">
        <v>4656</v>
      </c>
      <c r="F208" s="48" t="s">
        <v>6706</v>
      </c>
      <c r="G208" s="48"/>
      <c r="H208" s="49" t="s">
        <v>5816</v>
      </c>
      <c r="I208" s="82" t="s">
        <v>5817</v>
      </c>
      <c r="J208" s="100"/>
      <c r="K208" s="84">
        <v>0</v>
      </c>
      <c r="L208" s="84">
        <v>0</v>
      </c>
      <c r="M208" s="83">
        <v>80</v>
      </c>
      <c r="N208" s="223">
        <v>4000</v>
      </c>
      <c r="O208" s="83">
        <v>1</v>
      </c>
      <c r="P208" s="83">
        <v>4206</v>
      </c>
      <c r="Q208" s="83"/>
      <c r="R208" s="223">
        <v>4206</v>
      </c>
      <c r="S208" s="223">
        <f t="shared" si="39"/>
        <v>0</v>
      </c>
      <c r="T208" s="83">
        <f>((3600/M208)*O208)*24</f>
        <v>1080</v>
      </c>
      <c r="U208" s="84">
        <f>(P208-R208)*M208/3600</f>
        <v>0</v>
      </c>
      <c r="V208" s="84">
        <f t="shared" si="40"/>
        <v>0</v>
      </c>
      <c r="W208" s="84">
        <v>0</v>
      </c>
      <c r="X208" s="255">
        <f t="shared" si="37"/>
        <v>46153</v>
      </c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</row>
    <row r="209" spans="1:40" s="118" customFormat="1" hidden="1" x14ac:dyDescent="0.35">
      <c r="A209" s="71">
        <f t="shared" si="38"/>
        <v>46153</v>
      </c>
      <c r="B209" s="71"/>
      <c r="C209" s="71"/>
      <c r="D209" s="71"/>
      <c r="E209" s="119" t="s">
        <v>4651</v>
      </c>
      <c r="F209" s="56" t="s">
        <v>2255</v>
      </c>
      <c r="G209" s="56"/>
      <c r="H209" s="49"/>
      <c r="I209" s="82" t="s">
        <v>6707</v>
      </c>
      <c r="J209" s="100"/>
      <c r="K209" s="84">
        <v>0</v>
      </c>
      <c r="L209" s="84">
        <v>0</v>
      </c>
      <c r="M209" s="83"/>
      <c r="N209" s="223">
        <v>50</v>
      </c>
      <c r="O209" s="83"/>
      <c r="P209" s="83"/>
      <c r="Q209" s="83"/>
      <c r="R209" s="223"/>
      <c r="S209" s="223">
        <f t="shared" si="39"/>
        <v>0</v>
      </c>
      <c r="T209" s="83"/>
      <c r="U209" s="84"/>
      <c r="V209" s="84">
        <f t="shared" si="40"/>
        <v>0</v>
      </c>
      <c r="W209" s="84">
        <v>0</v>
      </c>
      <c r="X209" s="255">
        <f t="shared" si="37"/>
        <v>46153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</row>
    <row r="210" spans="1:40" s="118" customFormat="1" ht="29" hidden="1" x14ac:dyDescent="0.35">
      <c r="A210" s="71">
        <f t="shared" si="38"/>
        <v>46153</v>
      </c>
      <c r="B210" s="71"/>
      <c r="C210" s="71"/>
      <c r="D210" s="71"/>
      <c r="E210" s="119" t="s">
        <v>4270</v>
      </c>
      <c r="F210" s="48" t="s">
        <v>6708</v>
      </c>
      <c r="G210" s="48"/>
      <c r="H210" s="59" t="s">
        <v>6709</v>
      </c>
      <c r="I210" s="82" t="s">
        <v>5565</v>
      </c>
      <c r="J210" s="100"/>
      <c r="K210" s="84">
        <v>0</v>
      </c>
      <c r="L210" s="84">
        <v>0</v>
      </c>
      <c r="M210" s="83">
        <v>60</v>
      </c>
      <c r="N210" s="223">
        <v>4658</v>
      </c>
      <c r="O210" s="83">
        <v>1</v>
      </c>
      <c r="P210" s="83">
        <f>N210/O210</f>
        <v>4658</v>
      </c>
      <c r="Q210" s="83"/>
      <c r="R210" s="223">
        <v>4658</v>
      </c>
      <c r="S210" s="223">
        <f t="shared" si="39"/>
        <v>0</v>
      </c>
      <c r="T210" s="83">
        <f t="shared" ref="T210:T273" si="41">((3600/M210)*O210)*24</f>
        <v>1440</v>
      </c>
      <c r="U210" s="84">
        <f t="shared" ref="U210:U273" si="42">(P210-R210)*M210/3600</f>
        <v>0</v>
      </c>
      <c r="V210" s="84">
        <f t="shared" si="40"/>
        <v>0</v>
      </c>
      <c r="W210" s="84">
        <v>0</v>
      </c>
      <c r="X210" s="255">
        <f t="shared" si="37"/>
        <v>46153</v>
      </c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</row>
    <row r="211" spans="1:40" s="118" customFormat="1" ht="29" hidden="1" x14ac:dyDescent="0.35">
      <c r="A211" s="71">
        <f t="shared" si="38"/>
        <v>46153</v>
      </c>
      <c r="B211" s="71"/>
      <c r="C211" s="71"/>
      <c r="D211" s="71"/>
      <c r="E211" s="119" t="s">
        <v>4270</v>
      </c>
      <c r="F211" s="48" t="s">
        <v>6710</v>
      </c>
      <c r="G211" s="48"/>
      <c r="H211" s="59" t="s">
        <v>6709</v>
      </c>
      <c r="I211" s="82" t="s">
        <v>5565</v>
      </c>
      <c r="J211" s="100"/>
      <c r="K211" s="84">
        <v>0</v>
      </c>
      <c r="L211" s="84">
        <v>0</v>
      </c>
      <c r="M211" s="83">
        <v>60</v>
      </c>
      <c r="N211" s="223">
        <v>7342</v>
      </c>
      <c r="O211" s="83">
        <v>1</v>
      </c>
      <c r="P211" s="83">
        <v>7417</v>
      </c>
      <c r="Q211" s="83"/>
      <c r="R211" s="223">
        <v>7417</v>
      </c>
      <c r="S211" s="223">
        <f t="shared" si="39"/>
        <v>0</v>
      </c>
      <c r="T211" s="83">
        <f t="shared" si="41"/>
        <v>1440</v>
      </c>
      <c r="U211" s="84">
        <f t="shared" si="42"/>
        <v>0</v>
      </c>
      <c r="V211" s="84">
        <f t="shared" si="40"/>
        <v>0</v>
      </c>
      <c r="W211" s="84">
        <v>0</v>
      </c>
      <c r="X211" s="255">
        <f t="shared" si="37"/>
        <v>46153</v>
      </c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</row>
    <row r="212" spans="1:40" s="118" customFormat="1" hidden="1" x14ac:dyDescent="0.35">
      <c r="A212" s="71">
        <f t="shared" si="38"/>
        <v>46153</v>
      </c>
      <c r="B212" s="71"/>
      <c r="C212" s="71"/>
      <c r="D212" s="71"/>
      <c r="E212" s="119"/>
      <c r="F212" s="56" t="s">
        <v>1362</v>
      </c>
      <c r="G212" s="56"/>
      <c r="H212" s="59" t="s">
        <v>1362</v>
      </c>
      <c r="I212" s="82" t="s">
        <v>6707</v>
      </c>
      <c r="J212" s="100"/>
      <c r="K212" s="84">
        <v>0</v>
      </c>
      <c r="L212" s="84">
        <v>0</v>
      </c>
      <c r="M212" s="83">
        <v>65</v>
      </c>
      <c r="N212" s="223">
        <v>20</v>
      </c>
      <c r="O212" s="83">
        <v>1</v>
      </c>
      <c r="P212" s="83">
        <f>N212/O212</f>
        <v>20</v>
      </c>
      <c r="Q212" s="83"/>
      <c r="R212" s="223">
        <v>20</v>
      </c>
      <c r="S212" s="223">
        <f t="shared" si="39"/>
        <v>0</v>
      </c>
      <c r="T212" s="83">
        <f t="shared" si="41"/>
        <v>1329.2307692307693</v>
      </c>
      <c r="U212" s="84">
        <f t="shared" si="42"/>
        <v>0</v>
      </c>
      <c r="V212" s="84">
        <f t="shared" si="40"/>
        <v>0</v>
      </c>
      <c r="W212" s="84">
        <v>0</v>
      </c>
      <c r="X212" s="255">
        <f t="shared" si="37"/>
        <v>46153</v>
      </c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</row>
    <row r="213" spans="1:40" s="118" customFormat="1" hidden="1" x14ac:dyDescent="0.35">
      <c r="A213" s="71">
        <f t="shared" si="38"/>
        <v>46153</v>
      </c>
      <c r="B213" s="71"/>
      <c r="C213" s="71"/>
      <c r="D213" s="71"/>
      <c r="E213" s="119"/>
      <c r="F213" s="56" t="s">
        <v>5826</v>
      </c>
      <c r="G213" s="56"/>
      <c r="H213" s="59" t="s">
        <v>6711</v>
      </c>
      <c r="I213" s="82" t="s">
        <v>6707</v>
      </c>
      <c r="J213" s="100"/>
      <c r="K213" s="84">
        <v>0</v>
      </c>
      <c r="L213" s="84">
        <v>0</v>
      </c>
      <c r="M213" s="83">
        <v>75</v>
      </c>
      <c r="N213" s="223">
        <v>20000</v>
      </c>
      <c r="O213" s="83">
        <v>1</v>
      </c>
      <c r="P213" s="83">
        <v>20195</v>
      </c>
      <c r="Q213" s="83"/>
      <c r="R213" s="223">
        <v>20195</v>
      </c>
      <c r="S213" s="223">
        <f t="shared" si="39"/>
        <v>0</v>
      </c>
      <c r="T213" s="83">
        <f t="shared" si="41"/>
        <v>1152</v>
      </c>
      <c r="U213" s="84">
        <f t="shared" si="42"/>
        <v>0</v>
      </c>
      <c r="V213" s="84">
        <f t="shared" si="40"/>
        <v>0</v>
      </c>
      <c r="W213" s="84">
        <v>0</v>
      </c>
      <c r="X213" s="255">
        <f t="shared" si="37"/>
        <v>46153</v>
      </c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</row>
    <row r="214" spans="1:40" s="118" customFormat="1" hidden="1" x14ac:dyDescent="0.35">
      <c r="A214" s="71">
        <f t="shared" si="38"/>
        <v>46153</v>
      </c>
      <c r="B214" s="71"/>
      <c r="C214" s="71"/>
      <c r="D214" s="71"/>
      <c r="E214" s="119" t="s">
        <v>5741</v>
      </c>
      <c r="F214" s="48" t="s">
        <v>55</v>
      </c>
      <c r="G214" s="48"/>
      <c r="H214" s="49">
        <v>7579</v>
      </c>
      <c r="I214" s="106" t="s">
        <v>6712</v>
      </c>
      <c r="J214" s="100"/>
      <c r="K214" s="84">
        <v>0</v>
      </c>
      <c r="L214" s="84">
        <v>0</v>
      </c>
      <c r="M214" s="83">
        <v>62</v>
      </c>
      <c r="N214" s="223">
        <v>8000</v>
      </c>
      <c r="O214" s="83">
        <v>16</v>
      </c>
      <c r="P214" s="83">
        <v>695</v>
      </c>
      <c r="Q214" s="83"/>
      <c r="R214" s="223">
        <f>500+195</f>
        <v>695</v>
      </c>
      <c r="S214" s="223">
        <f t="shared" si="39"/>
        <v>0</v>
      </c>
      <c r="T214" s="83">
        <f t="shared" si="41"/>
        <v>22296.774193548386</v>
      </c>
      <c r="U214" s="84">
        <f t="shared" si="42"/>
        <v>0</v>
      </c>
      <c r="V214" s="84">
        <f t="shared" si="40"/>
        <v>0</v>
      </c>
      <c r="W214" s="84">
        <v>0</v>
      </c>
      <c r="X214" s="255">
        <f t="shared" si="37"/>
        <v>46153</v>
      </c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</row>
    <row r="215" spans="1:40" s="118" customFormat="1" hidden="1" x14ac:dyDescent="0.35">
      <c r="A215" s="71">
        <f t="shared" si="38"/>
        <v>46153</v>
      </c>
      <c r="B215" s="71"/>
      <c r="C215" s="71"/>
      <c r="D215" s="71"/>
      <c r="E215" s="119" t="s">
        <v>4651</v>
      </c>
      <c r="F215" s="57"/>
      <c r="G215" s="57"/>
      <c r="H215" s="49" t="s">
        <v>6713</v>
      </c>
      <c r="I215" s="82" t="s">
        <v>6714</v>
      </c>
      <c r="J215" s="100"/>
      <c r="K215" s="84">
        <v>0</v>
      </c>
      <c r="L215" s="84">
        <v>0</v>
      </c>
      <c r="M215" s="83">
        <v>60</v>
      </c>
      <c r="N215" s="223">
        <v>7000</v>
      </c>
      <c r="O215" s="83">
        <v>1</v>
      </c>
      <c r="P215" s="83">
        <v>7385</v>
      </c>
      <c r="Q215" s="83"/>
      <c r="R215" s="223">
        <v>7385</v>
      </c>
      <c r="S215" s="223">
        <f t="shared" si="39"/>
        <v>0</v>
      </c>
      <c r="T215" s="83">
        <f t="shared" si="41"/>
        <v>1440</v>
      </c>
      <c r="U215" s="84">
        <f t="shared" si="42"/>
        <v>0</v>
      </c>
      <c r="V215" s="84">
        <f t="shared" si="40"/>
        <v>0</v>
      </c>
      <c r="W215" s="84">
        <v>0</v>
      </c>
      <c r="X215" s="255">
        <f t="shared" si="37"/>
        <v>46153</v>
      </c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</row>
    <row r="216" spans="1:40" s="118" customFormat="1" ht="29" hidden="1" x14ac:dyDescent="0.35">
      <c r="A216" s="71">
        <f t="shared" si="38"/>
        <v>46153</v>
      </c>
      <c r="B216" s="71"/>
      <c r="C216" s="71"/>
      <c r="D216" s="71"/>
      <c r="E216" s="119" t="s">
        <v>4651</v>
      </c>
      <c r="F216" s="48"/>
      <c r="G216" s="48"/>
      <c r="H216" s="59" t="s">
        <v>6715</v>
      </c>
      <c r="I216" s="82" t="s">
        <v>6700</v>
      </c>
      <c r="J216" s="100"/>
      <c r="K216" s="84">
        <v>0</v>
      </c>
      <c r="L216" s="84">
        <v>0</v>
      </c>
      <c r="M216" s="83">
        <v>90</v>
      </c>
      <c r="N216" s="223">
        <v>4000</v>
      </c>
      <c r="O216" s="83">
        <v>2</v>
      </c>
      <c r="P216" s="83">
        <v>1682</v>
      </c>
      <c r="Q216" s="83"/>
      <c r="R216" s="223">
        <v>1682</v>
      </c>
      <c r="S216" s="223">
        <f t="shared" si="39"/>
        <v>0</v>
      </c>
      <c r="T216" s="83">
        <f t="shared" si="41"/>
        <v>1920</v>
      </c>
      <c r="U216" s="84">
        <f t="shared" si="42"/>
        <v>0</v>
      </c>
      <c r="V216" s="84">
        <f t="shared" si="40"/>
        <v>0</v>
      </c>
      <c r="W216" s="84">
        <v>0</v>
      </c>
      <c r="X216" s="255">
        <f t="shared" si="37"/>
        <v>46153</v>
      </c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</row>
    <row r="217" spans="1:40" s="118" customFormat="1" hidden="1" x14ac:dyDescent="0.35">
      <c r="A217" s="71">
        <f t="shared" si="38"/>
        <v>46153</v>
      </c>
      <c r="B217" s="71"/>
      <c r="C217" s="71"/>
      <c r="D217" s="71"/>
      <c r="E217" s="119" t="s">
        <v>4790</v>
      </c>
      <c r="F217" s="57" t="s">
        <v>1362</v>
      </c>
      <c r="G217" s="57"/>
      <c r="H217" s="49" t="s">
        <v>1321</v>
      </c>
      <c r="I217" s="82" t="s">
        <v>6716</v>
      </c>
      <c r="J217" s="100"/>
      <c r="K217" s="84">
        <v>0</v>
      </c>
      <c r="L217" s="84">
        <v>0</v>
      </c>
      <c r="M217" s="83">
        <v>50</v>
      </c>
      <c r="N217" s="223">
        <v>20</v>
      </c>
      <c r="O217" s="83">
        <v>1</v>
      </c>
      <c r="P217" s="83">
        <f>N217/O217</f>
        <v>20</v>
      </c>
      <c r="Q217" s="83"/>
      <c r="R217" s="223">
        <v>20</v>
      </c>
      <c r="S217" s="223">
        <f t="shared" si="39"/>
        <v>0</v>
      </c>
      <c r="T217" s="83">
        <f t="shared" si="41"/>
        <v>1728</v>
      </c>
      <c r="U217" s="84">
        <f t="shared" si="42"/>
        <v>0</v>
      </c>
      <c r="V217" s="84">
        <f t="shared" si="40"/>
        <v>0</v>
      </c>
      <c r="W217" s="84">
        <v>0</v>
      </c>
      <c r="X217" s="255">
        <f t="shared" si="37"/>
        <v>46153</v>
      </c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</row>
    <row r="218" spans="1:40" s="118" customFormat="1" ht="29" hidden="1" x14ac:dyDescent="0.35">
      <c r="A218" s="71">
        <f t="shared" si="38"/>
        <v>46153</v>
      </c>
      <c r="B218" s="71"/>
      <c r="C218" s="71"/>
      <c r="D218" s="71"/>
      <c r="E218" s="119" t="s">
        <v>4651</v>
      </c>
      <c r="F218" s="48" t="s">
        <v>6717</v>
      </c>
      <c r="G218" s="48"/>
      <c r="H218" s="59" t="s">
        <v>6718</v>
      </c>
      <c r="I218" s="82" t="s">
        <v>6719</v>
      </c>
      <c r="J218" s="100"/>
      <c r="K218" s="84">
        <v>0</v>
      </c>
      <c r="L218" s="84">
        <v>0</v>
      </c>
      <c r="M218" s="83">
        <v>90</v>
      </c>
      <c r="N218" s="223">
        <v>4000</v>
      </c>
      <c r="O218" s="83">
        <v>2</v>
      </c>
      <c r="P218" s="83">
        <v>2030</v>
      </c>
      <c r="Q218" s="83"/>
      <c r="R218" s="223">
        <v>2030</v>
      </c>
      <c r="S218" s="223">
        <f t="shared" si="39"/>
        <v>0</v>
      </c>
      <c r="T218" s="83">
        <f t="shared" si="41"/>
        <v>1920</v>
      </c>
      <c r="U218" s="84">
        <f t="shared" si="42"/>
        <v>0</v>
      </c>
      <c r="V218" s="84">
        <f t="shared" si="40"/>
        <v>0</v>
      </c>
      <c r="W218" s="84">
        <v>0</v>
      </c>
      <c r="X218" s="255">
        <f t="shared" si="37"/>
        <v>46153</v>
      </c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</row>
    <row r="219" spans="1:40" s="118" customFormat="1" hidden="1" x14ac:dyDescent="0.35">
      <c r="A219" s="71">
        <f t="shared" si="38"/>
        <v>46153</v>
      </c>
      <c r="B219" s="71"/>
      <c r="C219" s="71"/>
      <c r="D219" s="71"/>
      <c r="E219" s="119" t="s">
        <v>4651</v>
      </c>
      <c r="F219" s="48" t="s">
        <v>104</v>
      </c>
      <c r="G219" s="48"/>
      <c r="H219" s="59" t="s">
        <v>6720</v>
      </c>
      <c r="I219" s="82" t="s">
        <v>6719</v>
      </c>
      <c r="J219" s="100"/>
      <c r="K219" s="84">
        <v>0</v>
      </c>
      <c r="L219" s="84">
        <v>0</v>
      </c>
      <c r="M219" s="83">
        <v>90</v>
      </c>
      <c r="N219" s="223">
        <v>4000</v>
      </c>
      <c r="O219" s="83">
        <v>2</v>
      </c>
      <c r="P219" s="83">
        <v>2225</v>
      </c>
      <c r="Q219" s="83"/>
      <c r="R219" s="223">
        <v>2225</v>
      </c>
      <c r="S219" s="223">
        <f t="shared" si="39"/>
        <v>0</v>
      </c>
      <c r="T219" s="83">
        <f t="shared" si="41"/>
        <v>1920</v>
      </c>
      <c r="U219" s="84">
        <f t="shared" si="42"/>
        <v>0</v>
      </c>
      <c r="V219" s="84">
        <f t="shared" si="40"/>
        <v>0</v>
      </c>
      <c r="W219" s="84">
        <v>0</v>
      </c>
      <c r="X219" s="255">
        <f t="shared" si="37"/>
        <v>46153</v>
      </c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</row>
    <row r="220" spans="1:40" s="118" customFormat="1" hidden="1" x14ac:dyDescent="0.35">
      <c r="A220" s="71">
        <f t="shared" si="38"/>
        <v>46153</v>
      </c>
      <c r="B220" s="71"/>
      <c r="C220" s="71"/>
      <c r="D220" s="71"/>
      <c r="E220" s="119" t="s">
        <v>4651</v>
      </c>
      <c r="F220" s="57" t="s">
        <v>104</v>
      </c>
      <c r="G220" s="57"/>
      <c r="H220" s="49" t="s">
        <v>6721</v>
      </c>
      <c r="I220" s="82" t="s">
        <v>6714</v>
      </c>
      <c r="J220" s="100"/>
      <c r="K220" s="84">
        <v>0</v>
      </c>
      <c r="L220" s="84">
        <v>0</v>
      </c>
      <c r="M220" s="83">
        <v>60</v>
      </c>
      <c r="N220" s="223">
        <v>7000</v>
      </c>
      <c r="O220" s="83">
        <v>1</v>
      </c>
      <c r="P220" s="83">
        <f>N220/O220</f>
        <v>7000</v>
      </c>
      <c r="Q220" s="83"/>
      <c r="R220" s="223">
        <v>7000</v>
      </c>
      <c r="S220" s="223">
        <v>0</v>
      </c>
      <c r="T220" s="83">
        <f t="shared" si="41"/>
        <v>1440</v>
      </c>
      <c r="U220" s="84">
        <f t="shared" si="42"/>
        <v>0</v>
      </c>
      <c r="V220" s="84">
        <f t="shared" si="40"/>
        <v>0</v>
      </c>
      <c r="W220" s="84">
        <v>0</v>
      </c>
      <c r="X220" s="255">
        <f t="shared" si="37"/>
        <v>46153</v>
      </c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</row>
    <row r="221" spans="1:40" s="118" customFormat="1" hidden="1" x14ac:dyDescent="0.35">
      <c r="A221" s="71">
        <f t="shared" si="38"/>
        <v>46153</v>
      </c>
      <c r="B221" s="71"/>
      <c r="C221" s="71"/>
      <c r="D221" s="71"/>
      <c r="E221" s="119" t="s">
        <v>4651</v>
      </c>
      <c r="F221" s="56" t="s">
        <v>414</v>
      </c>
      <c r="G221" s="56"/>
      <c r="H221" s="49" t="s">
        <v>6722</v>
      </c>
      <c r="I221" s="97" t="s">
        <v>1807</v>
      </c>
      <c r="J221" s="100"/>
      <c r="K221" s="84">
        <v>0</v>
      </c>
      <c r="L221" s="84">
        <v>0</v>
      </c>
      <c r="M221" s="83">
        <v>250</v>
      </c>
      <c r="N221" s="223">
        <v>810</v>
      </c>
      <c r="O221" s="83">
        <v>1</v>
      </c>
      <c r="P221" s="83">
        <f>N221/O221</f>
        <v>810</v>
      </c>
      <c r="Q221" s="83"/>
      <c r="R221" s="223">
        <v>810</v>
      </c>
      <c r="S221" s="223">
        <f t="shared" ref="S221:S265" si="43">P221-R221</f>
        <v>0</v>
      </c>
      <c r="T221" s="83">
        <f t="shared" si="41"/>
        <v>345.6</v>
      </c>
      <c r="U221" s="84">
        <f t="shared" si="42"/>
        <v>0</v>
      </c>
      <c r="V221" s="84">
        <f t="shared" si="40"/>
        <v>0</v>
      </c>
      <c r="W221" s="84">
        <v>0</v>
      </c>
      <c r="X221" s="255">
        <f t="shared" si="37"/>
        <v>46153</v>
      </c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</row>
    <row r="222" spans="1:40" s="118" customFormat="1" hidden="1" x14ac:dyDescent="0.35">
      <c r="A222" s="71">
        <f t="shared" si="38"/>
        <v>46153</v>
      </c>
      <c r="B222" s="71"/>
      <c r="C222" s="71"/>
      <c r="D222" s="71"/>
      <c r="E222" s="119" t="s">
        <v>4651</v>
      </c>
      <c r="F222" s="48" t="s">
        <v>6723</v>
      </c>
      <c r="G222" s="48"/>
      <c r="H222" s="59" t="s">
        <v>6089</v>
      </c>
      <c r="I222" s="82" t="s">
        <v>5565</v>
      </c>
      <c r="J222" s="100"/>
      <c r="K222" s="84">
        <v>0</v>
      </c>
      <c r="L222" s="84">
        <v>0</v>
      </c>
      <c r="M222" s="83">
        <v>55</v>
      </c>
      <c r="N222" s="223">
        <v>1056</v>
      </c>
      <c r="O222" s="83">
        <v>1</v>
      </c>
      <c r="P222" s="83">
        <v>1058</v>
      </c>
      <c r="Q222" s="83"/>
      <c r="R222" s="223">
        <v>1058</v>
      </c>
      <c r="S222" s="223">
        <f t="shared" si="43"/>
        <v>0</v>
      </c>
      <c r="T222" s="83">
        <f t="shared" si="41"/>
        <v>1570.909090909091</v>
      </c>
      <c r="U222" s="84">
        <f t="shared" si="42"/>
        <v>0</v>
      </c>
      <c r="V222" s="84">
        <f t="shared" si="40"/>
        <v>0</v>
      </c>
      <c r="W222" s="84">
        <v>0</v>
      </c>
      <c r="X222" s="255">
        <f t="shared" si="37"/>
        <v>46153</v>
      </c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</row>
    <row r="223" spans="1:40" s="118" customFormat="1" hidden="1" x14ac:dyDescent="0.35">
      <c r="A223" s="71">
        <f t="shared" si="38"/>
        <v>46153</v>
      </c>
      <c r="B223" s="71"/>
      <c r="C223" s="71"/>
      <c r="D223" s="71"/>
      <c r="E223" s="119" t="s">
        <v>4651</v>
      </c>
      <c r="F223" s="57" t="s">
        <v>55</v>
      </c>
      <c r="G223" s="57"/>
      <c r="H223" s="49" t="s">
        <v>2710</v>
      </c>
      <c r="I223" s="106" t="s">
        <v>2711</v>
      </c>
      <c r="J223" s="100"/>
      <c r="K223" s="84">
        <v>0</v>
      </c>
      <c r="L223" s="84">
        <v>0</v>
      </c>
      <c r="M223" s="83">
        <v>85</v>
      </c>
      <c r="N223" s="223">
        <v>1500</v>
      </c>
      <c r="O223" s="83">
        <v>2</v>
      </c>
      <c r="P223" s="83">
        <f t="shared" ref="P223:P256" si="44">N223/O223</f>
        <v>750</v>
      </c>
      <c r="Q223" s="83"/>
      <c r="R223" s="223">
        <v>750</v>
      </c>
      <c r="S223" s="223">
        <f t="shared" si="43"/>
        <v>0</v>
      </c>
      <c r="T223" s="83">
        <f t="shared" si="41"/>
        <v>2032.9411764705883</v>
      </c>
      <c r="U223" s="84">
        <f t="shared" si="42"/>
        <v>0</v>
      </c>
      <c r="V223" s="84">
        <f t="shared" si="40"/>
        <v>0</v>
      </c>
      <c r="W223" s="84">
        <v>0</v>
      </c>
      <c r="X223" s="255">
        <f t="shared" si="37"/>
        <v>46153</v>
      </c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</row>
    <row r="224" spans="1:40" s="118" customFormat="1" hidden="1" x14ac:dyDescent="0.35">
      <c r="A224" s="71">
        <f t="shared" si="38"/>
        <v>46153</v>
      </c>
      <c r="B224" s="71"/>
      <c r="C224" s="71"/>
      <c r="D224" s="71"/>
      <c r="E224" s="119" t="s">
        <v>4651</v>
      </c>
      <c r="F224" s="57" t="s">
        <v>55</v>
      </c>
      <c r="G224" s="57"/>
      <c r="H224" s="49" t="s">
        <v>2708</v>
      </c>
      <c r="I224" s="106" t="s">
        <v>2709</v>
      </c>
      <c r="J224" s="100"/>
      <c r="K224" s="84">
        <v>0</v>
      </c>
      <c r="L224" s="84">
        <v>0</v>
      </c>
      <c r="M224" s="83">
        <v>60</v>
      </c>
      <c r="N224" s="223">
        <v>1500</v>
      </c>
      <c r="O224" s="83">
        <v>2</v>
      </c>
      <c r="P224" s="83">
        <f t="shared" si="44"/>
        <v>750</v>
      </c>
      <c r="Q224" s="83"/>
      <c r="R224" s="223">
        <v>750</v>
      </c>
      <c r="S224" s="223">
        <f t="shared" si="43"/>
        <v>0</v>
      </c>
      <c r="T224" s="83">
        <f t="shared" si="41"/>
        <v>2880</v>
      </c>
      <c r="U224" s="84">
        <f t="shared" si="42"/>
        <v>0</v>
      </c>
      <c r="V224" s="84">
        <f t="shared" si="40"/>
        <v>0</v>
      </c>
      <c r="W224" s="84">
        <v>0</v>
      </c>
      <c r="X224" s="255">
        <f t="shared" si="37"/>
        <v>46153</v>
      </c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</row>
    <row r="225" spans="1:40" s="118" customFormat="1" hidden="1" x14ac:dyDescent="0.35">
      <c r="A225" s="71">
        <f t="shared" si="38"/>
        <v>46153</v>
      </c>
      <c r="B225" s="71"/>
      <c r="C225" s="71"/>
      <c r="D225" s="71"/>
      <c r="E225" s="119" t="s">
        <v>4656</v>
      </c>
      <c r="F225" s="48" t="s">
        <v>2732</v>
      </c>
      <c r="G225" s="48"/>
      <c r="H225" s="49" t="s">
        <v>6724</v>
      </c>
      <c r="I225" s="82" t="s">
        <v>5858</v>
      </c>
      <c r="J225" s="100"/>
      <c r="K225" s="84">
        <v>0</v>
      </c>
      <c r="L225" s="84">
        <v>0</v>
      </c>
      <c r="M225" s="83">
        <v>130</v>
      </c>
      <c r="N225" s="223">
        <v>420</v>
      </c>
      <c r="O225" s="83">
        <v>1</v>
      </c>
      <c r="P225" s="83">
        <f t="shared" si="44"/>
        <v>420</v>
      </c>
      <c r="Q225" s="83"/>
      <c r="R225" s="223">
        <v>420</v>
      </c>
      <c r="S225" s="223">
        <f t="shared" si="43"/>
        <v>0</v>
      </c>
      <c r="T225" s="83">
        <f t="shared" si="41"/>
        <v>664.61538461538464</v>
      </c>
      <c r="U225" s="84">
        <f t="shared" si="42"/>
        <v>0</v>
      </c>
      <c r="V225" s="84">
        <f t="shared" si="40"/>
        <v>0</v>
      </c>
      <c r="W225" s="84">
        <v>0</v>
      </c>
      <c r="X225" s="255">
        <f t="shared" si="37"/>
        <v>46153</v>
      </c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</row>
    <row r="226" spans="1:40" s="118" customFormat="1" hidden="1" x14ac:dyDescent="0.35">
      <c r="A226" s="71">
        <f t="shared" si="38"/>
        <v>46153</v>
      </c>
      <c r="B226" s="71"/>
      <c r="C226" s="71"/>
      <c r="D226" s="71"/>
      <c r="E226" s="119" t="s">
        <v>4651</v>
      </c>
      <c r="F226" s="48" t="s">
        <v>1359</v>
      </c>
      <c r="G226" s="48"/>
      <c r="H226" s="216" t="s">
        <v>6725</v>
      </c>
      <c r="I226" s="69" t="s">
        <v>6643</v>
      </c>
      <c r="J226" s="100"/>
      <c r="K226" s="84">
        <v>0</v>
      </c>
      <c r="L226" s="84">
        <v>0</v>
      </c>
      <c r="M226" s="83">
        <v>45</v>
      </c>
      <c r="N226" s="223">
        <v>500</v>
      </c>
      <c r="O226" s="83">
        <v>1</v>
      </c>
      <c r="P226" s="83">
        <f t="shared" si="44"/>
        <v>500</v>
      </c>
      <c r="Q226" s="83"/>
      <c r="R226" s="223">
        <v>500</v>
      </c>
      <c r="S226" s="223">
        <f t="shared" si="43"/>
        <v>0</v>
      </c>
      <c r="T226" s="83">
        <f t="shared" si="41"/>
        <v>1920</v>
      </c>
      <c r="U226" s="84">
        <f t="shared" si="42"/>
        <v>0</v>
      </c>
      <c r="V226" s="84">
        <f t="shared" si="40"/>
        <v>0</v>
      </c>
      <c r="W226" s="84">
        <v>0</v>
      </c>
      <c r="X226" s="255">
        <f t="shared" si="37"/>
        <v>46153</v>
      </c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</row>
    <row r="227" spans="1:40" s="118" customFormat="1" hidden="1" x14ac:dyDescent="0.35">
      <c r="A227" s="71">
        <f t="shared" si="38"/>
        <v>46153</v>
      </c>
      <c r="B227" s="71"/>
      <c r="C227" s="71"/>
      <c r="D227" s="71"/>
      <c r="E227" s="119" t="s">
        <v>4651</v>
      </c>
      <c r="F227" s="48" t="s">
        <v>1362</v>
      </c>
      <c r="G227" s="48"/>
      <c r="H227" s="216" t="s">
        <v>1362</v>
      </c>
      <c r="I227" s="82" t="s">
        <v>5738</v>
      </c>
      <c r="J227" s="100"/>
      <c r="K227" s="84">
        <v>0</v>
      </c>
      <c r="L227" s="84">
        <v>0</v>
      </c>
      <c r="M227" s="83">
        <v>45</v>
      </c>
      <c r="N227" s="223">
        <v>20</v>
      </c>
      <c r="O227" s="83">
        <v>1</v>
      </c>
      <c r="P227" s="83">
        <f t="shared" si="44"/>
        <v>20</v>
      </c>
      <c r="Q227" s="83"/>
      <c r="R227" s="223">
        <v>20</v>
      </c>
      <c r="S227" s="223">
        <f t="shared" si="43"/>
        <v>0</v>
      </c>
      <c r="T227" s="83">
        <f t="shared" si="41"/>
        <v>1920</v>
      </c>
      <c r="U227" s="84">
        <f t="shared" si="42"/>
        <v>0</v>
      </c>
      <c r="V227" s="84">
        <f t="shared" si="40"/>
        <v>0</v>
      </c>
      <c r="W227" s="84">
        <v>0</v>
      </c>
      <c r="X227" s="255">
        <f t="shared" si="37"/>
        <v>46153</v>
      </c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</row>
    <row r="228" spans="1:40" s="118" customFormat="1" hidden="1" x14ac:dyDescent="0.35">
      <c r="A228" s="71">
        <f t="shared" si="38"/>
        <v>46153</v>
      </c>
      <c r="B228" s="71"/>
      <c r="C228" s="71"/>
      <c r="D228" s="71"/>
      <c r="E228" s="119" t="s">
        <v>4651</v>
      </c>
      <c r="F228" s="48" t="s">
        <v>1359</v>
      </c>
      <c r="G228" s="48"/>
      <c r="H228" s="216" t="s">
        <v>6726</v>
      </c>
      <c r="I228" s="82" t="s">
        <v>5738</v>
      </c>
      <c r="J228" s="100"/>
      <c r="K228" s="84">
        <v>0</v>
      </c>
      <c r="L228" s="84">
        <v>0</v>
      </c>
      <c r="M228" s="83">
        <v>45</v>
      </c>
      <c r="N228" s="223">
        <v>450</v>
      </c>
      <c r="O228" s="83">
        <v>1</v>
      </c>
      <c r="P228" s="83">
        <f t="shared" si="44"/>
        <v>450</v>
      </c>
      <c r="Q228" s="83"/>
      <c r="R228" s="223">
        <v>450</v>
      </c>
      <c r="S228" s="223">
        <f t="shared" si="43"/>
        <v>0</v>
      </c>
      <c r="T228" s="83">
        <f t="shared" si="41"/>
        <v>1920</v>
      </c>
      <c r="U228" s="84">
        <f t="shared" si="42"/>
        <v>0</v>
      </c>
      <c r="V228" s="84">
        <f t="shared" si="40"/>
        <v>0</v>
      </c>
      <c r="W228" s="84">
        <v>0</v>
      </c>
      <c r="X228" s="255">
        <f t="shared" si="37"/>
        <v>46153</v>
      </c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</row>
    <row r="229" spans="1:40" s="118" customFormat="1" hidden="1" x14ac:dyDescent="0.35">
      <c r="A229" s="71">
        <f t="shared" si="38"/>
        <v>46153</v>
      </c>
      <c r="B229" s="71"/>
      <c r="C229" s="71"/>
      <c r="D229" s="71"/>
      <c r="E229" s="119" t="s">
        <v>4651</v>
      </c>
      <c r="F229" s="48" t="s">
        <v>1362</v>
      </c>
      <c r="G229" s="48"/>
      <c r="H229" s="216" t="s">
        <v>1362</v>
      </c>
      <c r="I229" s="82" t="s">
        <v>5739</v>
      </c>
      <c r="J229" s="100"/>
      <c r="K229" s="84">
        <v>0</v>
      </c>
      <c r="L229" s="84">
        <v>0</v>
      </c>
      <c r="M229" s="83">
        <v>45</v>
      </c>
      <c r="N229" s="223">
        <v>20</v>
      </c>
      <c r="O229" s="83">
        <v>1</v>
      </c>
      <c r="P229" s="83">
        <f t="shared" si="44"/>
        <v>20</v>
      </c>
      <c r="Q229" s="83"/>
      <c r="R229" s="223">
        <v>20</v>
      </c>
      <c r="S229" s="223">
        <f t="shared" si="43"/>
        <v>0</v>
      </c>
      <c r="T229" s="83">
        <f t="shared" si="41"/>
        <v>1920</v>
      </c>
      <c r="U229" s="84">
        <f t="shared" si="42"/>
        <v>0</v>
      </c>
      <c r="V229" s="84">
        <f t="shared" si="40"/>
        <v>0</v>
      </c>
      <c r="W229" s="84">
        <v>0</v>
      </c>
      <c r="X229" s="255">
        <f t="shared" si="37"/>
        <v>46153</v>
      </c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</row>
    <row r="230" spans="1:40" s="118" customFormat="1" hidden="1" x14ac:dyDescent="0.35">
      <c r="A230" s="71">
        <f t="shared" si="38"/>
        <v>46153</v>
      </c>
      <c r="B230" s="71"/>
      <c r="C230" s="71"/>
      <c r="D230" s="71"/>
      <c r="E230" s="119" t="s">
        <v>4651</v>
      </c>
      <c r="F230" s="48" t="s">
        <v>1359</v>
      </c>
      <c r="G230" s="48"/>
      <c r="H230" s="216" t="s">
        <v>6727</v>
      </c>
      <c r="I230" s="82" t="s">
        <v>5739</v>
      </c>
      <c r="J230" s="100"/>
      <c r="K230" s="84">
        <v>0</v>
      </c>
      <c r="L230" s="84">
        <v>0</v>
      </c>
      <c r="M230" s="83">
        <v>45</v>
      </c>
      <c r="N230" s="223">
        <v>100</v>
      </c>
      <c r="O230" s="83">
        <v>1</v>
      </c>
      <c r="P230" s="83">
        <f t="shared" si="44"/>
        <v>100</v>
      </c>
      <c r="Q230" s="83"/>
      <c r="R230" s="223">
        <v>100</v>
      </c>
      <c r="S230" s="223">
        <f t="shared" si="43"/>
        <v>0</v>
      </c>
      <c r="T230" s="83">
        <f t="shared" si="41"/>
        <v>1920</v>
      </c>
      <c r="U230" s="84">
        <f t="shared" si="42"/>
        <v>0</v>
      </c>
      <c r="V230" s="84">
        <f t="shared" si="40"/>
        <v>0</v>
      </c>
      <c r="W230" s="84">
        <v>0</v>
      </c>
      <c r="X230" s="255">
        <f t="shared" si="37"/>
        <v>46153</v>
      </c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</row>
    <row r="231" spans="1:40" s="118" customFormat="1" ht="29" hidden="1" x14ac:dyDescent="0.35">
      <c r="A231" s="71">
        <f t="shared" si="38"/>
        <v>46153</v>
      </c>
      <c r="B231" s="71"/>
      <c r="C231" s="71"/>
      <c r="D231" s="71"/>
      <c r="E231" s="119" t="s">
        <v>6728</v>
      </c>
      <c r="F231" s="48" t="s">
        <v>6729</v>
      </c>
      <c r="G231" s="48"/>
      <c r="H231" s="59" t="s">
        <v>6730</v>
      </c>
      <c r="I231" s="82" t="s">
        <v>2816</v>
      </c>
      <c r="J231" s="100" t="s">
        <v>140</v>
      </c>
      <c r="K231" s="84">
        <v>0</v>
      </c>
      <c r="L231" s="84">
        <v>0</v>
      </c>
      <c r="M231" s="83">
        <v>60</v>
      </c>
      <c r="N231" s="223">
        <v>2000</v>
      </c>
      <c r="O231" s="83">
        <v>1</v>
      </c>
      <c r="P231" s="83">
        <f t="shared" si="44"/>
        <v>2000</v>
      </c>
      <c r="Q231" s="83"/>
      <c r="R231" s="223">
        <v>2000</v>
      </c>
      <c r="S231" s="223">
        <f t="shared" si="43"/>
        <v>0</v>
      </c>
      <c r="T231" s="83">
        <f t="shared" si="41"/>
        <v>1440</v>
      </c>
      <c r="U231" s="84">
        <f t="shared" si="42"/>
        <v>0</v>
      </c>
      <c r="V231" s="84">
        <f t="shared" si="40"/>
        <v>0</v>
      </c>
      <c r="W231" s="84">
        <v>0</v>
      </c>
      <c r="X231" s="255">
        <f t="shared" si="37"/>
        <v>46153</v>
      </c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</row>
    <row r="232" spans="1:40" s="118" customFormat="1" ht="29" hidden="1" x14ac:dyDescent="0.35">
      <c r="A232" s="71">
        <f t="shared" si="38"/>
        <v>46153</v>
      </c>
      <c r="B232" s="71"/>
      <c r="C232" s="71"/>
      <c r="D232" s="71"/>
      <c r="E232" s="119" t="s">
        <v>6728</v>
      </c>
      <c r="F232" s="48" t="s">
        <v>1689</v>
      </c>
      <c r="G232" s="48"/>
      <c r="H232" s="59" t="s">
        <v>6731</v>
      </c>
      <c r="I232" s="82" t="s">
        <v>2816</v>
      </c>
      <c r="J232" s="100" t="s">
        <v>140</v>
      </c>
      <c r="K232" s="84">
        <v>0</v>
      </c>
      <c r="L232" s="84">
        <v>0</v>
      </c>
      <c r="M232" s="83">
        <v>60</v>
      </c>
      <c r="N232" s="223">
        <v>2000</v>
      </c>
      <c r="O232" s="83">
        <v>1</v>
      </c>
      <c r="P232" s="83">
        <f t="shared" si="44"/>
        <v>2000</v>
      </c>
      <c r="Q232" s="83"/>
      <c r="R232" s="223">
        <v>2000</v>
      </c>
      <c r="S232" s="223">
        <f t="shared" si="43"/>
        <v>0</v>
      </c>
      <c r="T232" s="83">
        <f t="shared" si="41"/>
        <v>1440</v>
      </c>
      <c r="U232" s="84">
        <f t="shared" si="42"/>
        <v>0</v>
      </c>
      <c r="V232" s="84">
        <f t="shared" si="40"/>
        <v>0</v>
      </c>
      <c r="W232" s="84">
        <v>0</v>
      </c>
      <c r="X232" s="255">
        <f t="shared" si="37"/>
        <v>46153</v>
      </c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</row>
    <row r="233" spans="1:40" s="118" customFormat="1" ht="29" hidden="1" x14ac:dyDescent="0.35">
      <c r="A233" s="71">
        <f t="shared" si="38"/>
        <v>46153</v>
      </c>
      <c r="B233" s="71"/>
      <c r="C233" s="71"/>
      <c r="D233" s="71"/>
      <c r="E233" s="119" t="s">
        <v>4999</v>
      </c>
      <c r="F233" s="57" t="s">
        <v>6207</v>
      </c>
      <c r="G233" s="57"/>
      <c r="H233" s="49" t="s">
        <v>6732</v>
      </c>
      <c r="I233" s="82" t="s">
        <v>5690</v>
      </c>
      <c r="J233" s="100" t="s">
        <v>140</v>
      </c>
      <c r="K233" s="84">
        <v>0</v>
      </c>
      <c r="L233" s="84">
        <v>0</v>
      </c>
      <c r="M233" s="83">
        <v>45</v>
      </c>
      <c r="N233" s="223">
        <v>15000</v>
      </c>
      <c r="O233" s="83">
        <v>2</v>
      </c>
      <c r="P233" s="83">
        <f t="shared" si="44"/>
        <v>7500</v>
      </c>
      <c r="Q233" s="83"/>
      <c r="R233" s="223">
        <v>7500</v>
      </c>
      <c r="S233" s="223">
        <f t="shared" si="43"/>
        <v>0</v>
      </c>
      <c r="T233" s="83">
        <f t="shared" si="41"/>
        <v>3840</v>
      </c>
      <c r="U233" s="84">
        <f t="shared" si="42"/>
        <v>0</v>
      </c>
      <c r="V233" s="84">
        <f t="shared" si="40"/>
        <v>0</v>
      </c>
      <c r="W233" s="84">
        <v>0</v>
      </c>
      <c r="X233" s="255">
        <f t="shared" si="37"/>
        <v>46153</v>
      </c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</row>
    <row r="234" spans="1:40" s="118" customFormat="1" hidden="1" x14ac:dyDescent="0.35">
      <c r="A234" s="71">
        <f t="shared" si="38"/>
        <v>46153</v>
      </c>
      <c r="B234" s="71"/>
      <c r="C234" s="71"/>
      <c r="D234" s="71"/>
      <c r="E234" s="119" t="s">
        <v>4999</v>
      </c>
      <c r="F234" s="56" t="s">
        <v>6733</v>
      </c>
      <c r="G234" s="56"/>
      <c r="H234" s="49" t="s">
        <v>6734</v>
      </c>
      <c r="I234" s="97" t="s">
        <v>5708</v>
      </c>
      <c r="J234" s="100" t="s">
        <v>140</v>
      </c>
      <c r="K234" s="84">
        <v>0</v>
      </c>
      <c r="L234" s="84">
        <v>0</v>
      </c>
      <c r="M234" s="83">
        <v>260</v>
      </c>
      <c r="N234" s="223">
        <v>771</v>
      </c>
      <c r="O234" s="83">
        <v>1</v>
      </c>
      <c r="P234" s="83">
        <f t="shared" si="44"/>
        <v>771</v>
      </c>
      <c r="Q234" s="83"/>
      <c r="R234" s="223">
        <v>771</v>
      </c>
      <c r="S234" s="223">
        <f t="shared" si="43"/>
        <v>0</v>
      </c>
      <c r="T234" s="83">
        <f t="shared" si="41"/>
        <v>332.30769230769232</v>
      </c>
      <c r="U234" s="84">
        <f t="shared" si="42"/>
        <v>0</v>
      </c>
      <c r="V234" s="84">
        <f t="shared" si="40"/>
        <v>0</v>
      </c>
      <c r="W234" s="84">
        <v>0</v>
      </c>
      <c r="X234" s="255">
        <f t="shared" si="37"/>
        <v>46153</v>
      </c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</row>
    <row r="235" spans="1:40" s="118" customFormat="1" ht="29" hidden="1" x14ac:dyDescent="0.35">
      <c r="A235" s="71">
        <f t="shared" si="38"/>
        <v>46153</v>
      </c>
      <c r="B235" s="71"/>
      <c r="C235" s="71"/>
      <c r="D235" s="71"/>
      <c r="E235" s="119" t="s">
        <v>4999</v>
      </c>
      <c r="F235" s="57" t="s">
        <v>177</v>
      </c>
      <c r="G235" s="57"/>
      <c r="H235" s="49" t="s">
        <v>6735</v>
      </c>
      <c r="I235" s="82" t="s">
        <v>5690</v>
      </c>
      <c r="J235" s="100" t="s">
        <v>140</v>
      </c>
      <c r="K235" s="84">
        <v>0</v>
      </c>
      <c r="L235" s="84">
        <v>0</v>
      </c>
      <c r="M235" s="83">
        <v>45</v>
      </c>
      <c r="N235" s="223">
        <f>3617*2</f>
        <v>7234</v>
      </c>
      <c r="O235" s="83">
        <v>2</v>
      </c>
      <c r="P235" s="83">
        <f t="shared" si="44"/>
        <v>3617</v>
      </c>
      <c r="Q235" s="83"/>
      <c r="R235" s="223">
        <v>3617</v>
      </c>
      <c r="S235" s="223">
        <f t="shared" si="43"/>
        <v>0</v>
      </c>
      <c r="T235" s="83">
        <f t="shared" si="41"/>
        <v>3840</v>
      </c>
      <c r="U235" s="84">
        <f t="shared" si="42"/>
        <v>0</v>
      </c>
      <c r="V235" s="84">
        <f t="shared" si="40"/>
        <v>0</v>
      </c>
      <c r="W235" s="84">
        <v>0</v>
      </c>
      <c r="X235" s="255">
        <f t="shared" si="37"/>
        <v>46153</v>
      </c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</row>
    <row r="236" spans="1:40" s="118" customFormat="1" ht="29" hidden="1" x14ac:dyDescent="0.35">
      <c r="A236" s="71">
        <f t="shared" si="38"/>
        <v>46153</v>
      </c>
      <c r="B236" s="71"/>
      <c r="C236" s="71"/>
      <c r="D236" s="71"/>
      <c r="E236" s="119" t="s">
        <v>4999</v>
      </c>
      <c r="F236" s="57" t="s">
        <v>177</v>
      </c>
      <c r="G236" s="57"/>
      <c r="H236" s="59" t="s">
        <v>6736</v>
      </c>
      <c r="I236" s="82" t="s">
        <v>6737</v>
      </c>
      <c r="J236" s="100" t="s">
        <v>140</v>
      </c>
      <c r="K236" s="84">
        <v>0</v>
      </c>
      <c r="L236" s="84">
        <v>0</v>
      </c>
      <c r="M236" s="83">
        <v>90</v>
      </c>
      <c r="N236" s="223">
        <v>4660</v>
      </c>
      <c r="O236" s="83">
        <v>2</v>
      </c>
      <c r="P236" s="83">
        <f t="shared" si="44"/>
        <v>2330</v>
      </c>
      <c r="Q236" s="83"/>
      <c r="R236" s="223">
        <v>2330</v>
      </c>
      <c r="S236" s="223">
        <f t="shared" si="43"/>
        <v>0</v>
      </c>
      <c r="T236" s="83">
        <f t="shared" si="41"/>
        <v>1920</v>
      </c>
      <c r="U236" s="84">
        <f t="shared" si="42"/>
        <v>0</v>
      </c>
      <c r="V236" s="84">
        <f t="shared" si="40"/>
        <v>0</v>
      </c>
      <c r="W236" s="84">
        <v>0</v>
      </c>
      <c r="X236" s="255">
        <f t="shared" si="37"/>
        <v>46153</v>
      </c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</row>
    <row r="237" spans="1:40" s="118" customFormat="1" hidden="1" x14ac:dyDescent="0.35">
      <c r="A237" s="71">
        <f t="shared" si="38"/>
        <v>46153</v>
      </c>
      <c r="B237" s="71"/>
      <c r="C237" s="71"/>
      <c r="D237" s="71"/>
      <c r="E237" s="496" t="s">
        <v>4999</v>
      </c>
      <c r="F237" s="404" t="s">
        <v>14</v>
      </c>
      <c r="G237" s="404"/>
      <c r="H237" s="398" t="s">
        <v>14</v>
      </c>
      <c r="I237" s="1150" t="s">
        <v>6738</v>
      </c>
      <c r="J237" s="300" t="s">
        <v>140</v>
      </c>
      <c r="K237" s="84">
        <v>0</v>
      </c>
      <c r="L237" s="84">
        <v>0</v>
      </c>
      <c r="M237" s="579">
        <v>60</v>
      </c>
      <c r="N237" s="580">
        <v>60</v>
      </c>
      <c r="O237" s="579">
        <v>2</v>
      </c>
      <c r="P237" s="579">
        <f t="shared" si="44"/>
        <v>30</v>
      </c>
      <c r="Q237" s="579"/>
      <c r="R237" s="580">
        <v>30</v>
      </c>
      <c r="S237" s="223">
        <f t="shared" si="43"/>
        <v>0</v>
      </c>
      <c r="T237" s="579">
        <f t="shared" si="41"/>
        <v>2880</v>
      </c>
      <c r="U237" s="583">
        <f t="shared" si="42"/>
        <v>0</v>
      </c>
      <c r="V237" s="84">
        <f t="shared" si="40"/>
        <v>0</v>
      </c>
      <c r="W237" s="84">
        <v>0</v>
      </c>
      <c r="X237" s="255">
        <f t="shared" si="37"/>
        <v>46153</v>
      </c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</row>
    <row r="238" spans="1:40" s="118" customFormat="1" ht="29" hidden="1" x14ac:dyDescent="0.35">
      <c r="A238" s="71">
        <f t="shared" si="38"/>
        <v>46153</v>
      </c>
      <c r="B238" s="71"/>
      <c r="C238" s="71"/>
      <c r="D238" s="71"/>
      <c r="E238" s="119" t="s">
        <v>4999</v>
      </c>
      <c r="F238" s="48" t="s">
        <v>1031</v>
      </c>
      <c r="G238" s="48"/>
      <c r="H238" s="59" t="s">
        <v>6739</v>
      </c>
      <c r="I238" s="82" t="s">
        <v>2816</v>
      </c>
      <c r="J238" s="100" t="s">
        <v>140</v>
      </c>
      <c r="K238" s="84">
        <v>0</v>
      </c>
      <c r="L238" s="84">
        <v>0</v>
      </c>
      <c r="M238" s="83">
        <v>60</v>
      </c>
      <c r="N238" s="223">
        <v>2500</v>
      </c>
      <c r="O238" s="83">
        <v>1</v>
      </c>
      <c r="P238" s="83">
        <f t="shared" si="44"/>
        <v>2500</v>
      </c>
      <c r="Q238" s="83"/>
      <c r="R238" s="223">
        <v>2500</v>
      </c>
      <c r="S238" s="223">
        <f t="shared" si="43"/>
        <v>0</v>
      </c>
      <c r="T238" s="83">
        <f t="shared" si="41"/>
        <v>1440</v>
      </c>
      <c r="U238" s="84">
        <f t="shared" si="42"/>
        <v>0</v>
      </c>
      <c r="V238" s="84">
        <f t="shared" si="40"/>
        <v>0</v>
      </c>
      <c r="W238" s="84">
        <v>0</v>
      </c>
      <c r="X238" s="255">
        <f t="shared" si="37"/>
        <v>46153</v>
      </c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</row>
    <row r="239" spans="1:40" s="118" customFormat="1" ht="29" hidden="1" x14ac:dyDescent="0.35">
      <c r="A239" s="71">
        <f t="shared" si="38"/>
        <v>46153</v>
      </c>
      <c r="B239" s="71"/>
      <c r="C239" s="71"/>
      <c r="D239" s="71"/>
      <c r="E239" s="119" t="s">
        <v>4999</v>
      </c>
      <c r="F239" s="57" t="s">
        <v>501</v>
      </c>
      <c r="G239" s="57"/>
      <c r="H239" s="49" t="s">
        <v>6740</v>
      </c>
      <c r="I239" s="534" t="s">
        <v>5690</v>
      </c>
      <c r="J239" s="100" t="s">
        <v>140</v>
      </c>
      <c r="K239" s="84">
        <v>0</v>
      </c>
      <c r="L239" s="84">
        <v>0</v>
      </c>
      <c r="M239" s="83">
        <v>45</v>
      </c>
      <c r="N239" s="223">
        <v>10800</v>
      </c>
      <c r="O239" s="83">
        <v>2</v>
      </c>
      <c r="P239" s="83">
        <f t="shared" si="44"/>
        <v>5400</v>
      </c>
      <c r="Q239" s="83"/>
      <c r="R239" s="223">
        <v>5400</v>
      </c>
      <c r="S239" s="223">
        <f t="shared" si="43"/>
        <v>0</v>
      </c>
      <c r="T239" s="83">
        <f t="shared" si="41"/>
        <v>3840</v>
      </c>
      <c r="U239" s="84">
        <f t="shared" si="42"/>
        <v>0</v>
      </c>
      <c r="V239" s="84">
        <f t="shared" si="40"/>
        <v>0</v>
      </c>
      <c r="W239" s="84">
        <v>0</v>
      </c>
      <c r="X239" s="255">
        <f t="shared" si="37"/>
        <v>46153</v>
      </c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</row>
    <row r="240" spans="1:40" s="118" customFormat="1" ht="29" hidden="1" x14ac:dyDescent="0.35">
      <c r="A240" s="71">
        <f t="shared" si="38"/>
        <v>46153</v>
      </c>
      <c r="B240" s="71"/>
      <c r="C240" s="71"/>
      <c r="D240" s="71"/>
      <c r="E240" s="119" t="s">
        <v>4999</v>
      </c>
      <c r="F240" s="57" t="s">
        <v>501</v>
      </c>
      <c r="G240" s="57"/>
      <c r="H240" s="49" t="s">
        <v>6741</v>
      </c>
      <c r="I240" s="395" t="s">
        <v>4912</v>
      </c>
      <c r="J240" s="100" t="s">
        <v>140</v>
      </c>
      <c r="K240" s="84">
        <v>0</v>
      </c>
      <c r="L240" s="84">
        <v>0</v>
      </c>
      <c r="M240" s="83">
        <v>90</v>
      </c>
      <c r="N240" s="223">
        <v>1000</v>
      </c>
      <c r="O240" s="83">
        <v>1</v>
      </c>
      <c r="P240" s="83">
        <f t="shared" si="44"/>
        <v>1000</v>
      </c>
      <c r="Q240" s="83"/>
      <c r="R240" s="223">
        <v>1000</v>
      </c>
      <c r="S240" s="223">
        <f t="shared" si="43"/>
        <v>0</v>
      </c>
      <c r="T240" s="83">
        <f t="shared" si="41"/>
        <v>960</v>
      </c>
      <c r="U240" s="84">
        <f t="shared" si="42"/>
        <v>0</v>
      </c>
      <c r="V240" s="84">
        <f t="shared" si="40"/>
        <v>0</v>
      </c>
      <c r="W240" s="84">
        <v>0</v>
      </c>
      <c r="X240" s="255">
        <f t="shared" si="37"/>
        <v>46153</v>
      </c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</row>
    <row r="241" spans="1:40" s="118" customFormat="1" ht="29" hidden="1" x14ac:dyDescent="0.35">
      <c r="A241" s="71">
        <f t="shared" si="38"/>
        <v>46153</v>
      </c>
      <c r="B241" s="71"/>
      <c r="C241" s="71"/>
      <c r="D241" s="71"/>
      <c r="E241" s="119" t="s">
        <v>4999</v>
      </c>
      <c r="F241" s="57" t="s">
        <v>652</v>
      </c>
      <c r="G241" s="57"/>
      <c r="H241" s="49" t="s">
        <v>6742</v>
      </c>
      <c r="I241" s="82" t="s">
        <v>4515</v>
      </c>
      <c r="J241" s="100" t="s">
        <v>140</v>
      </c>
      <c r="K241" s="84">
        <v>0</v>
      </c>
      <c r="L241" s="84">
        <v>0</v>
      </c>
      <c r="M241" s="83">
        <v>95</v>
      </c>
      <c r="N241" s="223">
        <v>7000</v>
      </c>
      <c r="O241" s="83">
        <v>2</v>
      </c>
      <c r="P241" s="83">
        <f t="shared" si="44"/>
        <v>3500</v>
      </c>
      <c r="Q241" s="83"/>
      <c r="R241" s="223">
        <v>3500</v>
      </c>
      <c r="S241" s="223">
        <f t="shared" si="43"/>
        <v>0</v>
      </c>
      <c r="T241" s="83">
        <f t="shared" si="41"/>
        <v>1818.9473684210525</v>
      </c>
      <c r="U241" s="84">
        <f t="shared" si="42"/>
        <v>0</v>
      </c>
      <c r="V241" s="84">
        <f t="shared" si="40"/>
        <v>0</v>
      </c>
      <c r="W241" s="84">
        <v>0</v>
      </c>
      <c r="X241" s="255">
        <f t="shared" si="37"/>
        <v>46153</v>
      </c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</row>
    <row r="242" spans="1:40" s="118" customFormat="1" hidden="1" x14ac:dyDescent="0.35">
      <c r="A242" s="71">
        <f t="shared" si="38"/>
        <v>46153</v>
      </c>
      <c r="B242" s="71"/>
      <c r="C242" s="71"/>
      <c r="D242" s="71"/>
      <c r="E242" s="119" t="s">
        <v>4999</v>
      </c>
      <c r="F242" s="57" t="s">
        <v>6743</v>
      </c>
      <c r="G242" s="57"/>
      <c r="H242" s="59" t="s">
        <v>6744</v>
      </c>
      <c r="I242" s="82" t="s">
        <v>6606</v>
      </c>
      <c r="J242" s="100" t="s">
        <v>140</v>
      </c>
      <c r="K242" s="84">
        <v>0</v>
      </c>
      <c r="L242" s="84">
        <v>0</v>
      </c>
      <c r="M242" s="83">
        <v>200</v>
      </c>
      <c r="N242" s="223">
        <v>1106</v>
      </c>
      <c r="O242" s="83">
        <v>6</v>
      </c>
      <c r="P242" s="83">
        <f t="shared" si="44"/>
        <v>184.33333333333334</v>
      </c>
      <c r="Q242" s="83"/>
      <c r="R242" s="223">
        <v>184</v>
      </c>
      <c r="S242" s="223">
        <f t="shared" si="43"/>
        <v>0.33333333333334281</v>
      </c>
      <c r="T242" s="83">
        <f t="shared" si="41"/>
        <v>2592</v>
      </c>
      <c r="U242" s="84">
        <f t="shared" si="42"/>
        <v>1.8518518518519045E-2</v>
      </c>
      <c r="V242" s="84">
        <f t="shared" si="40"/>
        <v>7.716049382716269E-4</v>
      </c>
      <c r="W242" s="84">
        <v>0</v>
      </c>
      <c r="X242" s="255">
        <f t="shared" si="37"/>
        <v>46153.000771604937</v>
      </c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</row>
    <row r="243" spans="1:40" s="118" customFormat="1" hidden="1" x14ac:dyDescent="0.35">
      <c r="A243" s="71">
        <f t="shared" si="38"/>
        <v>46153.000771604937</v>
      </c>
      <c r="B243" s="71"/>
      <c r="C243" s="71"/>
      <c r="D243" s="71"/>
      <c r="E243" s="119" t="s">
        <v>4999</v>
      </c>
      <c r="F243" s="56" t="s">
        <v>5714</v>
      </c>
      <c r="G243" s="56"/>
      <c r="H243" s="49" t="s">
        <v>6745</v>
      </c>
      <c r="I243" s="97" t="s">
        <v>1807</v>
      </c>
      <c r="J243" s="100" t="s">
        <v>140</v>
      </c>
      <c r="K243" s="84">
        <v>0</v>
      </c>
      <c r="L243" s="84">
        <v>0</v>
      </c>
      <c r="M243" s="83">
        <v>250</v>
      </c>
      <c r="N243" s="223">
        <v>180</v>
      </c>
      <c r="O243" s="83">
        <v>1</v>
      </c>
      <c r="P243" s="83">
        <f t="shared" si="44"/>
        <v>180</v>
      </c>
      <c r="Q243" s="83"/>
      <c r="R243" s="223">
        <v>180</v>
      </c>
      <c r="S243" s="223">
        <f t="shared" si="43"/>
        <v>0</v>
      </c>
      <c r="T243" s="83">
        <f t="shared" si="41"/>
        <v>345.6</v>
      </c>
      <c r="U243" s="84">
        <f t="shared" si="42"/>
        <v>0</v>
      </c>
      <c r="V243" s="84">
        <f t="shared" si="40"/>
        <v>0</v>
      </c>
      <c r="W243" s="84">
        <v>0</v>
      </c>
      <c r="X243" s="255">
        <f t="shared" si="37"/>
        <v>46153.000771604937</v>
      </c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</row>
    <row r="244" spans="1:40" s="118" customFormat="1" ht="29" hidden="1" x14ac:dyDescent="0.35">
      <c r="A244" s="71">
        <f t="shared" si="38"/>
        <v>46153.000771604937</v>
      </c>
      <c r="B244" s="71"/>
      <c r="C244" s="71"/>
      <c r="D244" s="71"/>
      <c r="E244" s="119" t="s">
        <v>4999</v>
      </c>
      <c r="F244" s="48" t="s">
        <v>1031</v>
      </c>
      <c r="G244" s="48"/>
      <c r="H244" s="59" t="s">
        <v>6746</v>
      </c>
      <c r="I244" s="82" t="s">
        <v>2816</v>
      </c>
      <c r="J244" s="100" t="s">
        <v>140</v>
      </c>
      <c r="K244" s="84">
        <v>0</v>
      </c>
      <c r="L244" s="84">
        <v>0</v>
      </c>
      <c r="M244" s="83">
        <v>60</v>
      </c>
      <c r="N244" s="223">
        <v>4500</v>
      </c>
      <c r="O244" s="83">
        <v>1</v>
      </c>
      <c r="P244" s="83">
        <f t="shared" si="44"/>
        <v>4500</v>
      </c>
      <c r="Q244" s="83"/>
      <c r="R244" s="223">
        <v>4500</v>
      </c>
      <c r="S244" s="223">
        <f t="shared" si="43"/>
        <v>0</v>
      </c>
      <c r="T244" s="83">
        <f t="shared" si="41"/>
        <v>1440</v>
      </c>
      <c r="U244" s="84">
        <f t="shared" si="42"/>
        <v>0</v>
      </c>
      <c r="V244" s="84">
        <f t="shared" si="40"/>
        <v>0</v>
      </c>
      <c r="W244" s="84">
        <v>0</v>
      </c>
      <c r="X244" s="255">
        <f t="shared" si="37"/>
        <v>46153.000771604937</v>
      </c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</row>
    <row r="245" spans="1:40" s="118" customFormat="1" hidden="1" x14ac:dyDescent="0.35">
      <c r="A245" s="71">
        <f t="shared" si="38"/>
        <v>46153.000771604937</v>
      </c>
      <c r="B245" s="71"/>
      <c r="C245" s="71"/>
      <c r="D245" s="71"/>
      <c r="E245" s="119" t="s">
        <v>4999</v>
      </c>
      <c r="F245" s="57" t="s">
        <v>3860</v>
      </c>
      <c r="G245" s="57"/>
      <c r="H245" s="59" t="s">
        <v>6747</v>
      </c>
      <c r="I245" s="697" t="s">
        <v>4387</v>
      </c>
      <c r="J245" s="100" t="s">
        <v>140</v>
      </c>
      <c r="K245" s="84">
        <v>0</v>
      </c>
      <c r="L245" s="84">
        <v>0</v>
      </c>
      <c r="M245" s="83">
        <v>45</v>
      </c>
      <c r="N245" s="223">
        <v>5000</v>
      </c>
      <c r="O245" s="83">
        <v>1</v>
      </c>
      <c r="P245" s="83">
        <f t="shared" si="44"/>
        <v>5000</v>
      </c>
      <c r="Q245" s="83"/>
      <c r="R245" s="223">
        <v>5000</v>
      </c>
      <c r="S245" s="223">
        <f t="shared" si="43"/>
        <v>0</v>
      </c>
      <c r="T245" s="83">
        <f t="shared" si="41"/>
        <v>1920</v>
      </c>
      <c r="U245" s="84">
        <f t="shared" si="42"/>
        <v>0</v>
      </c>
      <c r="V245" s="84">
        <f t="shared" si="40"/>
        <v>0</v>
      </c>
      <c r="W245" s="84">
        <v>0</v>
      </c>
      <c r="X245" s="255">
        <f t="shared" si="37"/>
        <v>46153.000771604937</v>
      </c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</row>
    <row r="246" spans="1:40" s="118" customFormat="1" ht="29" hidden="1" x14ac:dyDescent="0.35">
      <c r="A246" s="71">
        <f t="shared" si="38"/>
        <v>46153.000771604937</v>
      </c>
      <c r="B246" s="71"/>
      <c r="C246" s="71"/>
      <c r="D246" s="71"/>
      <c r="E246" s="119" t="s">
        <v>4999</v>
      </c>
      <c r="F246" s="48" t="s">
        <v>652</v>
      </c>
      <c r="G246" s="48"/>
      <c r="H246" s="49" t="s">
        <v>6748</v>
      </c>
      <c r="I246" s="82" t="s">
        <v>5858</v>
      </c>
      <c r="J246" s="100" t="s">
        <v>140</v>
      </c>
      <c r="K246" s="84">
        <v>0</v>
      </c>
      <c r="L246" s="84">
        <v>0</v>
      </c>
      <c r="M246" s="83">
        <v>130</v>
      </c>
      <c r="N246" s="223">
        <v>360</v>
      </c>
      <c r="O246" s="83">
        <v>1</v>
      </c>
      <c r="P246" s="83">
        <f t="shared" si="44"/>
        <v>360</v>
      </c>
      <c r="Q246" s="83"/>
      <c r="R246" s="223">
        <v>360</v>
      </c>
      <c r="S246" s="223">
        <f t="shared" si="43"/>
        <v>0</v>
      </c>
      <c r="T246" s="83">
        <f t="shared" si="41"/>
        <v>664.61538461538464</v>
      </c>
      <c r="U246" s="84">
        <f t="shared" si="42"/>
        <v>0</v>
      </c>
      <c r="V246" s="84">
        <f t="shared" si="40"/>
        <v>0</v>
      </c>
      <c r="W246" s="84">
        <v>0</v>
      </c>
      <c r="X246" s="255">
        <f t="shared" si="37"/>
        <v>46153.000771604937</v>
      </c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</row>
    <row r="247" spans="1:40" s="118" customFormat="1" ht="29" hidden="1" x14ac:dyDescent="0.35">
      <c r="A247" s="71">
        <f t="shared" si="38"/>
        <v>46153.000771604937</v>
      </c>
      <c r="B247" s="71"/>
      <c r="C247" s="71"/>
      <c r="D247" s="71"/>
      <c r="E247" s="119" t="s">
        <v>4999</v>
      </c>
      <c r="F247" s="48" t="s">
        <v>534</v>
      </c>
      <c r="G247" s="48"/>
      <c r="H247" s="59" t="s">
        <v>6749</v>
      </c>
      <c r="I247" s="82" t="s">
        <v>2816</v>
      </c>
      <c r="J247" s="100" t="s">
        <v>140</v>
      </c>
      <c r="K247" s="84">
        <v>0</v>
      </c>
      <c r="L247" s="84">
        <v>0</v>
      </c>
      <c r="M247" s="83">
        <v>60</v>
      </c>
      <c r="N247" s="223">
        <v>2000</v>
      </c>
      <c r="O247" s="83">
        <v>1</v>
      </c>
      <c r="P247" s="83">
        <f t="shared" si="44"/>
        <v>2000</v>
      </c>
      <c r="Q247" s="83"/>
      <c r="R247" s="223">
        <v>2000</v>
      </c>
      <c r="S247" s="223">
        <f t="shared" si="43"/>
        <v>0</v>
      </c>
      <c r="T247" s="83">
        <f t="shared" si="41"/>
        <v>1440</v>
      </c>
      <c r="U247" s="84">
        <f t="shared" si="42"/>
        <v>0</v>
      </c>
      <c r="V247" s="84">
        <f t="shared" si="40"/>
        <v>0</v>
      </c>
      <c r="W247" s="84">
        <v>0</v>
      </c>
      <c r="X247" s="255">
        <f t="shared" si="37"/>
        <v>46153.000771604937</v>
      </c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</row>
    <row r="248" spans="1:40" s="118" customFormat="1" hidden="1" x14ac:dyDescent="0.35">
      <c r="A248" s="71">
        <f t="shared" si="38"/>
        <v>46153.000771604937</v>
      </c>
      <c r="B248" s="71"/>
      <c r="C248" s="71"/>
      <c r="D248" s="71"/>
      <c r="E248" s="496" t="s">
        <v>4999</v>
      </c>
      <c r="F248" s="577" t="s">
        <v>14</v>
      </c>
      <c r="G248" s="577"/>
      <c r="H248" s="850" t="s">
        <v>14</v>
      </c>
      <c r="I248" s="683" t="s">
        <v>6750</v>
      </c>
      <c r="J248" s="300" t="s">
        <v>140</v>
      </c>
      <c r="K248" s="84">
        <v>0</v>
      </c>
      <c r="L248" s="84">
        <v>0</v>
      </c>
      <c r="M248" s="579">
        <v>45</v>
      </c>
      <c r="N248" s="580">
        <v>20</v>
      </c>
      <c r="O248" s="579">
        <v>2</v>
      </c>
      <c r="P248" s="579">
        <f t="shared" si="44"/>
        <v>10</v>
      </c>
      <c r="Q248" s="579"/>
      <c r="R248" s="580">
        <v>10</v>
      </c>
      <c r="S248" s="223">
        <f t="shared" si="43"/>
        <v>0</v>
      </c>
      <c r="T248" s="579">
        <f t="shared" si="41"/>
        <v>3840</v>
      </c>
      <c r="U248" s="583">
        <f t="shared" si="42"/>
        <v>0</v>
      </c>
      <c r="V248" s="84">
        <f t="shared" si="40"/>
        <v>0</v>
      </c>
      <c r="W248" s="84">
        <v>0</v>
      </c>
      <c r="X248" s="255">
        <f t="shared" si="37"/>
        <v>46153.000771604937</v>
      </c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</row>
    <row r="249" spans="1:40" s="118" customFormat="1" hidden="1" x14ac:dyDescent="0.35">
      <c r="A249" s="71">
        <f t="shared" si="38"/>
        <v>46153.000771604937</v>
      </c>
      <c r="B249" s="71"/>
      <c r="C249" s="71"/>
      <c r="D249" s="71"/>
      <c r="E249" s="496" t="s">
        <v>4999</v>
      </c>
      <c r="F249" s="577" t="s">
        <v>14</v>
      </c>
      <c r="G249" s="577"/>
      <c r="H249" s="850" t="s">
        <v>14</v>
      </c>
      <c r="I249" s="683" t="s">
        <v>6751</v>
      </c>
      <c r="J249" s="300" t="s">
        <v>140</v>
      </c>
      <c r="K249" s="84">
        <v>0</v>
      </c>
      <c r="L249" s="84">
        <v>0</v>
      </c>
      <c r="M249" s="579">
        <v>45</v>
      </c>
      <c r="N249" s="580">
        <v>20</v>
      </c>
      <c r="O249" s="579">
        <v>2</v>
      </c>
      <c r="P249" s="579">
        <f t="shared" si="44"/>
        <v>10</v>
      </c>
      <c r="Q249" s="579"/>
      <c r="R249" s="580">
        <v>10</v>
      </c>
      <c r="S249" s="223">
        <f t="shared" si="43"/>
        <v>0</v>
      </c>
      <c r="T249" s="579">
        <f t="shared" si="41"/>
        <v>3840</v>
      </c>
      <c r="U249" s="583">
        <f t="shared" si="42"/>
        <v>0</v>
      </c>
      <c r="V249" s="84">
        <f t="shared" si="40"/>
        <v>0</v>
      </c>
      <c r="W249" s="84">
        <v>0</v>
      </c>
      <c r="X249" s="255">
        <f t="shared" si="37"/>
        <v>46153.000771604937</v>
      </c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</row>
    <row r="250" spans="1:40" s="118" customFormat="1" hidden="1" x14ac:dyDescent="0.35">
      <c r="A250" s="71">
        <f t="shared" si="38"/>
        <v>46153.000771604937</v>
      </c>
      <c r="B250" s="71"/>
      <c r="C250" s="71"/>
      <c r="D250" s="71"/>
      <c r="E250" s="496" t="s">
        <v>4999</v>
      </c>
      <c r="F250" s="577" t="s">
        <v>14</v>
      </c>
      <c r="G250" s="577"/>
      <c r="H250" s="850" t="s">
        <v>14</v>
      </c>
      <c r="I250" s="683" t="s">
        <v>6752</v>
      </c>
      <c r="J250" s="300" t="s">
        <v>140</v>
      </c>
      <c r="K250" s="84">
        <v>0</v>
      </c>
      <c r="L250" s="84">
        <v>0</v>
      </c>
      <c r="M250" s="579">
        <v>45</v>
      </c>
      <c r="N250" s="580">
        <v>20</v>
      </c>
      <c r="O250" s="579">
        <v>2</v>
      </c>
      <c r="P250" s="579">
        <f t="shared" si="44"/>
        <v>10</v>
      </c>
      <c r="Q250" s="579"/>
      <c r="R250" s="580">
        <v>10</v>
      </c>
      <c r="S250" s="223">
        <f t="shared" si="43"/>
        <v>0</v>
      </c>
      <c r="T250" s="579">
        <f t="shared" si="41"/>
        <v>3840</v>
      </c>
      <c r="U250" s="583">
        <f t="shared" si="42"/>
        <v>0</v>
      </c>
      <c r="V250" s="84">
        <f t="shared" si="40"/>
        <v>0</v>
      </c>
      <c r="W250" s="84">
        <v>0</v>
      </c>
      <c r="X250" s="255">
        <f t="shared" si="37"/>
        <v>46153.000771604937</v>
      </c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</row>
    <row r="251" spans="1:40" s="118" customFormat="1" hidden="1" x14ac:dyDescent="0.35">
      <c r="A251" s="71">
        <f t="shared" si="38"/>
        <v>46153.000771604937</v>
      </c>
      <c r="B251" s="71"/>
      <c r="C251" s="71"/>
      <c r="D251" s="71"/>
      <c r="E251" s="496" t="s">
        <v>4999</v>
      </c>
      <c r="F251" s="577" t="s">
        <v>14</v>
      </c>
      <c r="G251" s="577"/>
      <c r="H251" s="850" t="s">
        <v>14</v>
      </c>
      <c r="I251" s="683" t="s">
        <v>6753</v>
      </c>
      <c r="J251" s="300" t="s">
        <v>140</v>
      </c>
      <c r="K251" s="84">
        <v>0</v>
      </c>
      <c r="L251" s="84">
        <v>0</v>
      </c>
      <c r="M251" s="579">
        <v>45</v>
      </c>
      <c r="N251" s="580">
        <v>20</v>
      </c>
      <c r="O251" s="579">
        <v>2</v>
      </c>
      <c r="P251" s="579">
        <f t="shared" si="44"/>
        <v>10</v>
      </c>
      <c r="Q251" s="579"/>
      <c r="R251" s="580">
        <v>10</v>
      </c>
      <c r="S251" s="223">
        <f t="shared" si="43"/>
        <v>0</v>
      </c>
      <c r="T251" s="579">
        <f t="shared" si="41"/>
        <v>3840</v>
      </c>
      <c r="U251" s="583">
        <f t="shared" si="42"/>
        <v>0</v>
      </c>
      <c r="V251" s="84">
        <f t="shared" si="40"/>
        <v>0</v>
      </c>
      <c r="W251" s="84">
        <v>0</v>
      </c>
      <c r="X251" s="255">
        <f t="shared" si="37"/>
        <v>46153.000771604937</v>
      </c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</row>
    <row r="252" spans="1:40" s="118" customFormat="1" ht="26.5" hidden="1" x14ac:dyDescent="0.35">
      <c r="A252" s="71">
        <f t="shared" si="38"/>
        <v>46153.000771604937</v>
      </c>
      <c r="B252" s="71"/>
      <c r="C252" s="71"/>
      <c r="D252" s="71"/>
      <c r="E252" s="496" t="s">
        <v>4999</v>
      </c>
      <c r="F252" s="404" t="s">
        <v>14</v>
      </c>
      <c r="G252" s="404"/>
      <c r="H252" s="927" t="s">
        <v>1362</v>
      </c>
      <c r="I252" s="1119" t="s">
        <v>6754</v>
      </c>
      <c r="J252" s="300" t="s">
        <v>140</v>
      </c>
      <c r="K252" s="84">
        <v>0</v>
      </c>
      <c r="L252" s="84">
        <v>0</v>
      </c>
      <c r="M252" s="579">
        <v>30</v>
      </c>
      <c r="N252" s="580">
        <v>50</v>
      </c>
      <c r="O252" s="579">
        <v>1</v>
      </c>
      <c r="P252" s="579">
        <f t="shared" si="44"/>
        <v>50</v>
      </c>
      <c r="Q252" s="579"/>
      <c r="R252" s="580">
        <v>50</v>
      </c>
      <c r="S252" s="223">
        <f t="shared" si="43"/>
        <v>0</v>
      </c>
      <c r="T252" s="579">
        <f t="shared" si="41"/>
        <v>2880</v>
      </c>
      <c r="U252" s="583">
        <f t="shared" si="42"/>
        <v>0</v>
      </c>
      <c r="V252" s="84">
        <f t="shared" si="40"/>
        <v>0</v>
      </c>
      <c r="W252" s="84">
        <v>0</v>
      </c>
      <c r="X252" s="255">
        <f t="shared" si="37"/>
        <v>46153.000771604937</v>
      </c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</row>
    <row r="253" spans="1:40" s="118" customFormat="1" hidden="1" x14ac:dyDescent="0.35">
      <c r="A253" s="71">
        <f t="shared" si="38"/>
        <v>46153.000771604937</v>
      </c>
      <c r="B253" s="71"/>
      <c r="C253" s="71"/>
      <c r="D253" s="71"/>
      <c r="E253" s="496" t="s">
        <v>4999</v>
      </c>
      <c r="F253" s="404" t="s">
        <v>14</v>
      </c>
      <c r="G253" s="404"/>
      <c r="H253" s="398" t="s">
        <v>14</v>
      </c>
      <c r="I253" s="1119" t="s">
        <v>6755</v>
      </c>
      <c r="J253" s="300" t="s">
        <v>140</v>
      </c>
      <c r="K253" s="84">
        <v>0</v>
      </c>
      <c r="L253" s="84">
        <v>0</v>
      </c>
      <c r="M253" s="579">
        <v>58</v>
      </c>
      <c r="N253" s="580">
        <v>50</v>
      </c>
      <c r="O253" s="579">
        <v>1</v>
      </c>
      <c r="P253" s="579">
        <f t="shared" si="44"/>
        <v>50</v>
      </c>
      <c r="Q253" s="579"/>
      <c r="R253" s="580">
        <v>50</v>
      </c>
      <c r="S253" s="223">
        <f t="shared" si="43"/>
        <v>0</v>
      </c>
      <c r="T253" s="579">
        <f t="shared" si="41"/>
        <v>1489.655172413793</v>
      </c>
      <c r="U253" s="583">
        <f t="shared" si="42"/>
        <v>0</v>
      </c>
      <c r="V253" s="84">
        <f t="shared" si="40"/>
        <v>0</v>
      </c>
      <c r="W253" s="84">
        <v>0</v>
      </c>
      <c r="X253" s="255">
        <f t="shared" si="37"/>
        <v>46153.000771604937</v>
      </c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</row>
    <row r="254" spans="1:40" s="118" customFormat="1" ht="26.5" hidden="1" x14ac:dyDescent="0.35">
      <c r="A254" s="71">
        <f t="shared" si="38"/>
        <v>46153.000771604937</v>
      </c>
      <c r="B254" s="71"/>
      <c r="C254" s="71"/>
      <c r="D254" s="71"/>
      <c r="E254" s="119" t="s">
        <v>4999</v>
      </c>
      <c r="F254" s="82" t="s">
        <v>543</v>
      </c>
      <c r="G254" s="82"/>
      <c r="H254" s="49" t="s">
        <v>5730</v>
      </c>
      <c r="I254" s="82" t="s">
        <v>5690</v>
      </c>
      <c r="J254" s="100" t="s">
        <v>140</v>
      </c>
      <c r="K254" s="84">
        <v>0</v>
      </c>
      <c r="L254" s="84">
        <v>0</v>
      </c>
      <c r="M254" s="83">
        <v>45</v>
      </c>
      <c r="N254" s="223">
        <v>5400</v>
      </c>
      <c r="O254" s="83">
        <v>2</v>
      </c>
      <c r="P254" s="83">
        <f t="shared" si="44"/>
        <v>2700</v>
      </c>
      <c r="Q254" s="83"/>
      <c r="R254" s="223">
        <v>2700</v>
      </c>
      <c r="S254" s="223">
        <f t="shared" si="43"/>
        <v>0</v>
      </c>
      <c r="T254" s="83">
        <f t="shared" si="41"/>
        <v>3840</v>
      </c>
      <c r="U254" s="84">
        <f t="shared" si="42"/>
        <v>0</v>
      </c>
      <c r="V254" s="84">
        <f t="shared" si="40"/>
        <v>0</v>
      </c>
      <c r="W254" s="84">
        <v>0</v>
      </c>
      <c r="X254" s="255">
        <f t="shared" si="37"/>
        <v>46153.000771604937</v>
      </c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</row>
    <row r="255" spans="1:40" s="118" customFormat="1" hidden="1" x14ac:dyDescent="0.35">
      <c r="A255" s="71">
        <f t="shared" si="38"/>
        <v>46153.000771604937</v>
      </c>
      <c r="B255" s="71"/>
      <c r="C255" s="71"/>
      <c r="D255" s="71"/>
      <c r="E255" s="119" t="s">
        <v>4999</v>
      </c>
      <c r="F255" s="97" t="s">
        <v>3882</v>
      </c>
      <c r="G255" s="97"/>
      <c r="H255" s="107" t="s">
        <v>6756</v>
      </c>
      <c r="I255" s="697" t="s">
        <v>4387</v>
      </c>
      <c r="J255" s="100" t="s">
        <v>140</v>
      </c>
      <c r="K255" s="84">
        <v>0</v>
      </c>
      <c r="L255" s="84">
        <v>0</v>
      </c>
      <c r="M255" s="102">
        <v>45</v>
      </c>
      <c r="N255" s="103">
        <v>3500</v>
      </c>
      <c r="O255" s="102">
        <v>1</v>
      </c>
      <c r="P255" s="102">
        <f t="shared" si="44"/>
        <v>3500</v>
      </c>
      <c r="Q255" s="102"/>
      <c r="R255" s="103">
        <v>3500</v>
      </c>
      <c r="S255" s="223">
        <f t="shared" si="43"/>
        <v>0</v>
      </c>
      <c r="T255" s="102">
        <f t="shared" si="41"/>
        <v>1920</v>
      </c>
      <c r="U255" s="101">
        <f t="shared" si="42"/>
        <v>0</v>
      </c>
      <c r="V255" s="84">
        <f t="shared" si="40"/>
        <v>0</v>
      </c>
      <c r="W255" s="84">
        <v>0</v>
      </c>
      <c r="X255" s="255">
        <f t="shared" si="37"/>
        <v>46153.000771604937</v>
      </c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</row>
    <row r="256" spans="1:40" s="118" customFormat="1" hidden="1" x14ac:dyDescent="0.35">
      <c r="A256" s="71">
        <f t="shared" si="38"/>
        <v>46153.000771604937</v>
      </c>
      <c r="B256" s="71"/>
      <c r="C256" s="71"/>
      <c r="D256" s="71"/>
      <c r="E256" s="119" t="s">
        <v>4999</v>
      </c>
      <c r="F256" s="48" t="s">
        <v>5596</v>
      </c>
      <c r="G256" s="48"/>
      <c r="H256" s="49" t="s">
        <v>6757</v>
      </c>
      <c r="I256" s="82" t="s">
        <v>5858</v>
      </c>
      <c r="J256" s="100" t="s">
        <v>140</v>
      </c>
      <c r="K256" s="84">
        <v>0</v>
      </c>
      <c r="L256" s="84">
        <v>0</v>
      </c>
      <c r="M256" s="83">
        <v>130</v>
      </c>
      <c r="N256" s="223">
        <v>360</v>
      </c>
      <c r="O256" s="83">
        <v>1</v>
      </c>
      <c r="P256" s="83">
        <f t="shared" si="44"/>
        <v>360</v>
      </c>
      <c r="Q256" s="83"/>
      <c r="R256" s="223">
        <v>360</v>
      </c>
      <c r="S256" s="223">
        <f t="shared" si="43"/>
        <v>0</v>
      </c>
      <c r="T256" s="83">
        <f t="shared" si="41"/>
        <v>664.61538461538464</v>
      </c>
      <c r="U256" s="84">
        <f t="shared" si="42"/>
        <v>0</v>
      </c>
      <c r="V256" s="84">
        <f t="shared" si="40"/>
        <v>0</v>
      </c>
      <c r="W256" s="84">
        <v>0</v>
      </c>
      <c r="X256" s="255">
        <f t="shared" si="37"/>
        <v>46153.000771604937</v>
      </c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</row>
    <row r="257" spans="1:40" s="118" customFormat="1" hidden="1" x14ac:dyDescent="0.35">
      <c r="A257" s="71">
        <f t="shared" si="38"/>
        <v>46153.000771604937</v>
      </c>
      <c r="B257" s="71"/>
      <c r="C257" s="71"/>
      <c r="D257" s="71"/>
      <c r="E257" s="496" t="s">
        <v>4656</v>
      </c>
      <c r="F257" s="397" t="s">
        <v>1362</v>
      </c>
      <c r="G257" s="397"/>
      <c r="H257" s="578" t="s">
        <v>1362</v>
      </c>
      <c r="I257" s="683" t="s">
        <v>6758</v>
      </c>
      <c r="J257" s="300"/>
      <c r="K257" s="84">
        <v>0</v>
      </c>
      <c r="L257" s="84">
        <v>0</v>
      </c>
      <c r="M257" s="579">
        <v>45</v>
      </c>
      <c r="N257" s="580">
        <v>50</v>
      </c>
      <c r="O257" s="579">
        <v>1</v>
      </c>
      <c r="P257" s="579">
        <v>50</v>
      </c>
      <c r="Q257" s="579"/>
      <c r="R257" s="580">
        <v>50</v>
      </c>
      <c r="S257" s="223">
        <f t="shared" si="43"/>
        <v>0</v>
      </c>
      <c r="T257" s="579">
        <f t="shared" si="41"/>
        <v>1920</v>
      </c>
      <c r="U257" s="583">
        <f t="shared" si="42"/>
        <v>0</v>
      </c>
      <c r="V257" s="84">
        <f t="shared" si="40"/>
        <v>0</v>
      </c>
      <c r="W257" s="84">
        <v>0</v>
      </c>
      <c r="X257" s="255">
        <f t="shared" si="37"/>
        <v>46153.000771604937</v>
      </c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</row>
    <row r="258" spans="1:40" s="118" customFormat="1" hidden="1" x14ac:dyDescent="0.35">
      <c r="A258" s="71">
        <f t="shared" si="38"/>
        <v>46153.000771604937</v>
      </c>
      <c r="B258" s="71"/>
      <c r="C258" s="71"/>
      <c r="D258" s="71"/>
      <c r="E258" s="119" t="s">
        <v>1872</v>
      </c>
      <c r="F258" s="48" t="s">
        <v>6759</v>
      </c>
      <c r="G258" s="48"/>
      <c r="H258" s="59" t="s">
        <v>6760</v>
      </c>
      <c r="I258" s="71" t="s">
        <v>6753</v>
      </c>
      <c r="J258" s="100" t="s">
        <v>140</v>
      </c>
      <c r="K258" s="84">
        <v>0</v>
      </c>
      <c r="L258" s="84">
        <v>0</v>
      </c>
      <c r="M258" s="83">
        <v>45</v>
      </c>
      <c r="N258" s="223">
        <v>300</v>
      </c>
      <c r="O258" s="83">
        <v>1</v>
      </c>
      <c r="P258" s="83">
        <f t="shared" ref="P258:P321" si="45">N258/O258</f>
        <v>300</v>
      </c>
      <c r="Q258" s="83"/>
      <c r="R258" s="223">
        <v>300</v>
      </c>
      <c r="S258" s="223">
        <f t="shared" si="43"/>
        <v>0</v>
      </c>
      <c r="T258" s="83">
        <f t="shared" si="41"/>
        <v>1920</v>
      </c>
      <c r="U258" s="84">
        <f t="shared" si="42"/>
        <v>0</v>
      </c>
      <c r="V258" s="84">
        <f t="shared" si="40"/>
        <v>0</v>
      </c>
      <c r="W258" s="84">
        <v>0</v>
      </c>
      <c r="X258" s="255">
        <f t="shared" si="37"/>
        <v>46153.000771604937</v>
      </c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</row>
    <row r="259" spans="1:40" s="118" customFormat="1" hidden="1" x14ac:dyDescent="0.35">
      <c r="A259" s="71">
        <f t="shared" si="38"/>
        <v>46153.000771604937</v>
      </c>
      <c r="B259" s="71"/>
      <c r="C259" s="71"/>
      <c r="D259" s="71"/>
      <c r="E259" s="119" t="s">
        <v>1872</v>
      </c>
      <c r="F259" s="48" t="s">
        <v>6759</v>
      </c>
      <c r="G259" s="48"/>
      <c r="H259" s="59" t="s">
        <v>6761</v>
      </c>
      <c r="I259" s="71" t="s">
        <v>6750</v>
      </c>
      <c r="J259" s="100" t="s">
        <v>140</v>
      </c>
      <c r="K259" s="84">
        <v>0</v>
      </c>
      <c r="L259" s="84">
        <v>0</v>
      </c>
      <c r="M259" s="83">
        <v>45</v>
      </c>
      <c r="N259" s="223">
        <v>729</v>
      </c>
      <c r="O259" s="83">
        <v>1</v>
      </c>
      <c r="P259" s="83">
        <f t="shared" si="45"/>
        <v>729</v>
      </c>
      <c r="Q259" s="83"/>
      <c r="R259" s="223">
        <v>729</v>
      </c>
      <c r="S259" s="223">
        <f t="shared" si="43"/>
        <v>0</v>
      </c>
      <c r="T259" s="83">
        <f t="shared" si="41"/>
        <v>1920</v>
      </c>
      <c r="U259" s="84">
        <f t="shared" si="42"/>
        <v>0</v>
      </c>
      <c r="V259" s="84">
        <f t="shared" si="40"/>
        <v>0</v>
      </c>
      <c r="W259" s="84">
        <v>0</v>
      </c>
      <c r="X259" s="255">
        <f t="shared" si="37"/>
        <v>46153.000771604937</v>
      </c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</row>
    <row r="260" spans="1:40" s="118" customFormat="1" hidden="1" x14ac:dyDescent="0.35">
      <c r="A260" s="71">
        <f t="shared" si="38"/>
        <v>46153.000771604937</v>
      </c>
      <c r="B260" s="71"/>
      <c r="C260" s="71"/>
      <c r="D260" s="71"/>
      <c r="E260" s="119" t="s">
        <v>1872</v>
      </c>
      <c r="F260" s="48" t="s">
        <v>6759</v>
      </c>
      <c r="G260" s="48"/>
      <c r="H260" s="59" t="s">
        <v>6762</v>
      </c>
      <c r="I260" s="71" t="s">
        <v>6751</v>
      </c>
      <c r="J260" s="100" t="s">
        <v>140</v>
      </c>
      <c r="K260" s="84">
        <v>0</v>
      </c>
      <c r="L260" s="84">
        <v>0</v>
      </c>
      <c r="M260" s="83">
        <v>45</v>
      </c>
      <c r="N260" s="223">
        <f>300-116</f>
        <v>184</v>
      </c>
      <c r="O260" s="83">
        <v>1</v>
      </c>
      <c r="P260" s="83">
        <f t="shared" si="45"/>
        <v>184</v>
      </c>
      <c r="Q260" s="83"/>
      <c r="R260" s="223">
        <v>184</v>
      </c>
      <c r="S260" s="223">
        <f t="shared" si="43"/>
        <v>0</v>
      </c>
      <c r="T260" s="83">
        <f t="shared" si="41"/>
        <v>1920</v>
      </c>
      <c r="U260" s="84">
        <f t="shared" si="42"/>
        <v>0</v>
      </c>
      <c r="V260" s="84">
        <f t="shared" si="40"/>
        <v>0</v>
      </c>
      <c r="W260" s="84">
        <v>0</v>
      </c>
      <c r="X260" s="255">
        <f t="shared" si="37"/>
        <v>46153.000771604937</v>
      </c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</row>
    <row r="261" spans="1:40" s="118" customFormat="1" hidden="1" x14ac:dyDescent="0.35">
      <c r="A261" s="71">
        <f t="shared" si="38"/>
        <v>46153.000771604937</v>
      </c>
      <c r="B261" s="71"/>
      <c r="C261" s="71"/>
      <c r="D261" s="71"/>
      <c r="E261" s="119" t="s">
        <v>1872</v>
      </c>
      <c r="F261" s="57" t="s">
        <v>6763</v>
      </c>
      <c r="G261" s="57"/>
      <c r="H261" s="49" t="s">
        <v>6764</v>
      </c>
      <c r="I261" s="82" t="s">
        <v>4308</v>
      </c>
      <c r="J261" s="100" t="s">
        <v>140</v>
      </c>
      <c r="K261" s="84">
        <v>0</v>
      </c>
      <c r="L261" s="84">
        <v>0</v>
      </c>
      <c r="M261" s="83">
        <v>250</v>
      </c>
      <c r="N261" s="223">
        <v>1500</v>
      </c>
      <c r="O261" s="83">
        <v>1</v>
      </c>
      <c r="P261" s="83">
        <f t="shared" si="45"/>
        <v>1500</v>
      </c>
      <c r="Q261" s="83"/>
      <c r="R261" s="223">
        <v>1500</v>
      </c>
      <c r="S261" s="223">
        <f t="shared" si="43"/>
        <v>0</v>
      </c>
      <c r="T261" s="83">
        <f t="shared" si="41"/>
        <v>345.6</v>
      </c>
      <c r="U261" s="84">
        <f t="shared" si="42"/>
        <v>0</v>
      </c>
      <c r="V261" s="84">
        <f t="shared" si="40"/>
        <v>0</v>
      </c>
      <c r="W261" s="84">
        <v>0</v>
      </c>
      <c r="X261" s="255">
        <f t="shared" si="37"/>
        <v>46153.000771604937</v>
      </c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</row>
    <row r="262" spans="1:40" s="118" customFormat="1" hidden="1" x14ac:dyDescent="0.35">
      <c r="A262" s="71">
        <f t="shared" si="38"/>
        <v>46153.000771604937</v>
      </c>
      <c r="B262" s="71"/>
      <c r="C262" s="71"/>
      <c r="D262" s="71"/>
      <c r="E262" s="119" t="s">
        <v>1872</v>
      </c>
      <c r="F262" s="57" t="s">
        <v>6765</v>
      </c>
      <c r="G262" s="57"/>
      <c r="H262" s="49" t="s">
        <v>6766</v>
      </c>
      <c r="I262" s="82" t="s">
        <v>4308</v>
      </c>
      <c r="J262" s="100" t="s">
        <v>140</v>
      </c>
      <c r="K262" s="84">
        <v>0</v>
      </c>
      <c r="L262" s="84">
        <v>0</v>
      </c>
      <c r="M262" s="83">
        <v>250</v>
      </c>
      <c r="N262" s="223">
        <v>1200</v>
      </c>
      <c r="O262" s="83">
        <v>1</v>
      </c>
      <c r="P262" s="83">
        <f t="shared" si="45"/>
        <v>1200</v>
      </c>
      <c r="Q262" s="83"/>
      <c r="R262" s="223">
        <v>1200</v>
      </c>
      <c r="S262" s="223">
        <f t="shared" si="43"/>
        <v>0</v>
      </c>
      <c r="T262" s="83">
        <f t="shared" si="41"/>
        <v>345.6</v>
      </c>
      <c r="U262" s="84">
        <f t="shared" si="42"/>
        <v>0</v>
      </c>
      <c r="V262" s="84">
        <f t="shared" si="40"/>
        <v>0</v>
      </c>
      <c r="W262" s="84">
        <v>0</v>
      </c>
      <c r="X262" s="255">
        <f t="shared" si="37"/>
        <v>46153.000771604937</v>
      </c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</row>
    <row r="263" spans="1:40" s="118" customFormat="1" hidden="1" x14ac:dyDescent="0.35">
      <c r="A263" s="71">
        <f t="shared" si="38"/>
        <v>46153.000771604937</v>
      </c>
      <c r="B263" s="71"/>
      <c r="C263" s="71"/>
      <c r="D263" s="71"/>
      <c r="E263" s="119" t="s">
        <v>1872</v>
      </c>
      <c r="F263" s="48" t="s">
        <v>6759</v>
      </c>
      <c r="G263" s="48"/>
      <c r="H263" s="59" t="s">
        <v>6762</v>
      </c>
      <c r="I263" s="71" t="s">
        <v>6751</v>
      </c>
      <c r="J263" s="100" t="s">
        <v>140</v>
      </c>
      <c r="K263" s="84">
        <v>0</v>
      </c>
      <c r="L263" s="84">
        <v>0</v>
      </c>
      <c r="M263" s="83">
        <v>45</v>
      </c>
      <c r="N263" s="223">
        <f>300-184</f>
        <v>116</v>
      </c>
      <c r="O263" s="83">
        <v>1</v>
      </c>
      <c r="P263" s="83">
        <f t="shared" si="45"/>
        <v>116</v>
      </c>
      <c r="Q263" s="83"/>
      <c r="R263" s="223">
        <v>116</v>
      </c>
      <c r="S263" s="223">
        <f t="shared" si="43"/>
        <v>0</v>
      </c>
      <c r="T263" s="83">
        <f t="shared" si="41"/>
        <v>1920</v>
      </c>
      <c r="U263" s="84">
        <f t="shared" si="42"/>
        <v>0</v>
      </c>
      <c r="V263" s="84">
        <f t="shared" si="40"/>
        <v>0</v>
      </c>
      <c r="W263" s="84">
        <v>0</v>
      </c>
      <c r="X263" s="255">
        <f t="shared" ref="X263:X303" si="46">A263+K263+L263+V263+W263</f>
        <v>46153.000771604937</v>
      </c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</row>
    <row r="264" spans="1:40" s="118" customFormat="1" ht="29" hidden="1" x14ac:dyDescent="0.35">
      <c r="A264" s="71">
        <f t="shared" ref="A264:A323" si="47">X263</f>
        <v>46153.000771604937</v>
      </c>
      <c r="B264" s="71"/>
      <c r="C264" s="71"/>
      <c r="D264" s="71"/>
      <c r="E264" s="119" t="s">
        <v>4999</v>
      </c>
      <c r="F264" s="48" t="s">
        <v>6767</v>
      </c>
      <c r="G264" s="48"/>
      <c r="H264" s="49" t="s">
        <v>6768</v>
      </c>
      <c r="I264" s="97" t="s">
        <v>5725</v>
      </c>
      <c r="J264" s="97" t="s">
        <v>140</v>
      </c>
      <c r="K264" s="84">
        <v>0</v>
      </c>
      <c r="L264" s="84">
        <v>0</v>
      </c>
      <c r="M264" s="83">
        <v>80</v>
      </c>
      <c r="N264" s="223">
        <v>5500</v>
      </c>
      <c r="O264" s="83">
        <v>1</v>
      </c>
      <c r="P264" s="83">
        <f t="shared" si="45"/>
        <v>5500</v>
      </c>
      <c r="Q264" s="83"/>
      <c r="R264" s="223">
        <v>5500</v>
      </c>
      <c r="S264" s="223">
        <f t="shared" si="43"/>
        <v>0</v>
      </c>
      <c r="T264" s="83">
        <f t="shared" si="41"/>
        <v>1080</v>
      </c>
      <c r="U264" s="84">
        <f t="shared" si="42"/>
        <v>0</v>
      </c>
      <c r="V264" s="84">
        <f t="shared" si="40"/>
        <v>0</v>
      </c>
      <c r="W264" s="84">
        <v>0</v>
      </c>
      <c r="X264" s="255">
        <f t="shared" si="46"/>
        <v>46153.000771604937</v>
      </c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</row>
    <row r="265" spans="1:40" s="118" customFormat="1" ht="29" hidden="1" x14ac:dyDescent="0.35">
      <c r="A265" s="71">
        <f t="shared" si="47"/>
        <v>46153.000771604937</v>
      </c>
      <c r="B265" s="71"/>
      <c r="C265" s="71"/>
      <c r="D265" s="71"/>
      <c r="E265" s="119" t="s">
        <v>4999</v>
      </c>
      <c r="F265" s="48" t="s">
        <v>6769</v>
      </c>
      <c r="G265" s="48"/>
      <c r="H265" s="49" t="s">
        <v>6770</v>
      </c>
      <c r="I265" s="97" t="s">
        <v>5725</v>
      </c>
      <c r="J265" s="97" t="s">
        <v>140</v>
      </c>
      <c r="K265" s="84">
        <v>0</v>
      </c>
      <c r="L265" s="84">
        <v>0</v>
      </c>
      <c r="M265" s="83">
        <v>80</v>
      </c>
      <c r="N265" s="223">
        <v>5000</v>
      </c>
      <c r="O265" s="83">
        <v>1</v>
      </c>
      <c r="P265" s="83">
        <f t="shared" si="45"/>
        <v>5000</v>
      </c>
      <c r="Q265" s="83"/>
      <c r="R265" s="223">
        <v>5000</v>
      </c>
      <c r="S265" s="223">
        <f t="shared" si="43"/>
        <v>0</v>
      </c>
      <c r="T265" s="83">
        <f t="shared" si="41"/>
        <v>1080</v>
      </c>
      <c r="U265" s="84">
        <f t="shared" si="42"/>
        <v>0</v>
      </c>
      <c r="V265" s="84">
        <f t="shared" si="40"/>
        <v>0</v>
      </c>
      <c r="W265" s="84">
        <v>0</v>
      </c>
      <c r="X265" s="255">
        <f t="shared" si="46"/>
        <v>46153.000771604937</v>
      </c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</row>
    <row r="266" spans="1:40" s="118" customFormat="1" hidden="1" x14ac:dyDescent="0.35">
      <c r="A266" s="71">
        <f t="shared" si="47"/>
        <v>46153.000771604937</v>
      </c>
      <c r="B266" s="71"/>
      <c r="C266" s="71"/>
      <c r="D266" s="71"/>
      <c r="E266" s="119" t="s">
        <v>4999</v>
      </c>
      <c r="F266" s="48"/>
      <c r="G266" s="48"/>
      <c r="H266" s="49"/>
      <c r="I266" s="82" t="s">
        <v>5858</v>
      </c>
      <c r="J266" s="100" t="s">
        <v>140</v>
      </c>
      <c r="K266" s="84">
        <v>0</v>
      </c>
      <c r="L266" s="84">
        <v>0</v>
      </c>
      <c r="M266" s="83">
        <v>130</v>
      </c>
      <c r="N266" s="223">
        <v>600</v>
      </c>
      <c r="O266" s="83">
        <v>1</v>
      </c>
      <c r="P266" s="83">
        <f t="shared" si="45"/>
        <v>600</v>
      </c>
      <c r="Q266" s="83"/>
      <c r="R266" s="223">
        <v>431</v>
      </c>
      <c r="S266" s="223">
        <v>0</v>
      </c>
      <c r="T266" s="83">
        <f t="shared" si="41"/>
        <v>664.61538461538464</v>
      </c>
      <c r="U266" s="84">
        <f t="shared" si="42"/>
        <v>6.1027777777777779</v>
      </c>
      <c r="V266" s="84">
        <f t="shared" ref="V266:V317" si="48">(P266-R266)*M266/3600/24</f>
        <v>0.25428240740740743</v>
      </c>
      <c r="W266" s="84">
        <v>0</v>
      </c>
      <c r="X266" s="255">
        <f t="shared" si="46"/>
        <v>46153.255054012341</v>
      </c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</row>
    <row r="267" spans="1:40" s="118" customFormat="1" ht="29" hidden="1" x14ac:dyDescent="0.35">
      <c r="A267" s="71">
        <f t="shared" si="47"/>
        <v>46153.255054012341</v>
      </c>
      <c r="B267" s="71"/>
      <c r="C267" s="71"/>
      <c r="D267" s="71"/>
      <c r="E267" s="119" t="s">
        <v>4321</v>
      </c>
      <c r="F267" s="48" t="s">
        <v>187</v>
      </c>
      <c r="G267" s="48"/>
      <c r="H267" s="59" t="s">
        <v>6771</v>
      </c>
      <c r="I267" s="85" t="s">
        <v>4535</v>
      </c>
      <c r="J267" s="100" t="s">
        <v>140</v>
      </c>
      <c r="K267" s="84">
        <v>0</v>
      </c>
      <c r="L267" s="84">
        <v>0</v>
      </c>
      <c r="M267" s="83">
        <v>60</v>
      </c>
      <c r="N267" s="223">
        <v>1500</v>
      </c>
      <c r="O267" s="83">
        <v>1</v>
      </c>
      <c r="P267" s="83">
        <f t="shared" si="45"/>
        <v>1500</v>
      </c>
      <c r="Q267" s="83"/>
      <c r="R267" s="223">
        <v>1500</v>
      </c>
      <c r="S267" s="223">
        <f t="shared" ref="S267:S323" si="49">P267-R267</f>
        <v>0</v>
      </c>
      <c r="T267" s="83">
        <f t="shared" si="41"/>
        <v>1440</v>
      </c>
      <c r="U267" s="84">
        <f t="shared" si="42"/>
        <v>0</v>
      </c>
      <c r="V267" s="84">
        <f t="shared" si="48"/>
        <v>0</v>
      </c>
      <c r="W267" s="84">
        <v>0</v>
      </c>
      <c r="X267" s="255">
        <f t="shared" si="46"/>
        <v>46153.255054012341</v>
      </c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</row>
    <row r="268" spans="1:40" s="118" customFormat="1" hidden="1" x14ac:dyDescent="0.35">
      <c r="A268" s="71">
        <f t="shared" si="47"/>
        <v>46153.255054012341</v>
      </c>
      <c r="B268" s="71"/>
      <c r="C268" s="71"/>
      <c r="D268" s="71"/>
      <c r="E268" s="119" t="s">
        <v>4321</v>
      </c>
      <c r="F268" s="57" t="s">
        <v>6772</v>
      </c>
      <c r="G268" s="57"/>
      <c r="H268" s="49" t="s">
        <v>6773</v>
      </c>
      <c r="I268" s="85" t="s">
        <v>4484</v>
      </c>
      <c r="J268" s="100" t="s">
        <v>140</v>
      </c>
      <c r="K268" s="84">
        <v>0</v>
      </c>
      <c r="L268" s="84">
        <v>0</v>
      </c>
      <c r="M268" s="83">
        <v>90</v>
      </c>
      <c r="N268" s="223">
        <v>1000</v>
      </c>
      <c r="O268" s="83">
        <v>1</v>
      </c>
      <c r="P268" s="83">
        <f t="shared" si="45"/>
        <v>1000</v>
      </c>
      <c r="Q268" s="83"/>
      <c r="R268" s="223">
        <v>1000</v>
      </c>
      <c r="S268" s="223">
        <f t="shared" si="49"/>
        <v>0</v>
      </c>
      <c r="T268" s="83">
        <f t="shared" si="41"/>
        <v>960</v>
      </c>
      <c r="U268" s="84">
        <f t="shared" si="42"/>
        <v>0</v>
      </c>
      <c r="V268" s="84">
        <f t="shared" si="48"/>
        <v>0</v>
      </c>
      <c r="W268" s="84">
        <v>0</v>
      </c>
      <c r="X268" s="255">
        <f t="shared" si="46"/>
        <v>46153.255054012341</v>
      </c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</row>
    <row r="269" spans="1:40" s="118" customFormat="1" hidden="1" x14ac:dyDescent="0.35">
      <c r="A269" s="71">
        <f t="shared" si="47"/>
        <v>46153.255054012341</v>
      </c>
      <c r="B269" s="71"/>
      <c r="C269" s="71"/>
      <c r="D269" s="71"/>
      <c r="E269" s="119" t="s">
        <v>4321</v>
      </c>
      <c r="F269" s="57" t="s">
        <v>6772</v>
      </c>
      <c r="G269" s="57"/>
      <c r="H269" s="49" t="s">
        <v>6774</v>
      </c>
      <c r="I269" s="85" t="s">
        <v>4332</v>
      </c>
      <c r="J269" s="100" t="s">
        <v>140</v>
      </c>
      <c r="K269" s="84">
        <v>0</v>
      </c>
      <c r="L269" s="84">
        <v>0</v>
      </c>
      <c r="M269" s="83">
        <v>90</v>
      </c>
      <c r="N269" s="223">
        <v>1000</v>
      </c>
      <c r="O269" s="83">
        <v>1</v>
      </c>
      <c r="P269" s="83">
        <f t="shared" si="45"/>
        <v>1000</v>
      </c>
      <c r="Q269" s="83"/>
      <c r="R269" s="223">
        <v>1000</v>
      </c>
      <c r="S269" s="223">
        <f t="shared" si="49"/>
        <v>0</v>
      </c>
      <c r="T269" s="83">
        <f t="shared" si="41"/>
        <v>960</v>
      </c>
      <c r="U269" s="84">
        <f t="shared" si="42"/>
        <v>0</v>
      </c>
      <c r="V269" s="84">
        <f t="shared" si="48"/>
        <v>0</v>
      </c>
      <c r="W269" s="84">
        <v>0</v>
      </c>
      <c r="X269" s="255">
        <f t="shared" si="46"/>
        <v>46153.255054012341</v>
      </c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</row>
    <row r="270" spans="1:40" s="229" customFormat="1" ht="29" hidden="1" x14ac:dyDescent="0.35">
      <c r="A270" s="71">
        <f t="shared" si="47"/>
        <v>46153.255054012341</v>
      </c>
      <c r="B270" s="71"/>
      <c r="C270" s="71"/>
      <c r="D270" s="71"/>
      <c r="E270" s="119" t="s">
        <v>4999</v>
      </c>
      <c r="F270" s="48" t="s">
        <v>6775</v>
      </c>
      <c r="G270" s="48"/>
      <c r="H270" s="59" t="s">
        <v>6776</v>
      </c>
      <c r="I270" s="97" t="s">
        <v>5725</v>
      </c>
      <c r="J270" s="97" t="s">
        <v>140</v>
      </c>
      <c r="K270" s="84">
        <v>0</v>
      </c>
      <c r="L270" s="84">
        <v>0</v>
      </c>
      <c r="M270" s="83">
        <v>80</v>
      </c>
      <c r="N270" s="223">
        <v>6325</v>
      </c>
      <c r="O270" s="83">
        <v>1</v>
      </c>
      <c r="P270" s="83">
        <f t="shared" si="45"/>
        <v>6325</v>
      </c>
      <c r="Q270" s="83"/>
      <c r="R270" s="223">
        <v>6325</v>
      </c>
      <c r="S270" s="223">
        <f t="shared" si="49"/>
        <v>0</v>
      </c>
      <c r="T270" s="83">
        <f t="shared" si="41"/>
        <v>1080</v>
      </c>
      <c r="U270" s="84">
        <f t="shared" si="42"/>
        <v>0</v>
      </c>
      <c r="V270" s="84">
        <f t="shared" si="48"/>
        <v>0</v>
      </c>
      <c r="W270" s="84">
        <v>0</v>
      </c>
      <c r="X270" s="255">
        <f t="shared" si="46"/>
        <v>46153.255054012341</v>
      </c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</row>
    <row r="271" spans="1:40" s="1151" customFormat="1" hidden="1" x14ac:dyDescent="0.35">
      <c r="A271" s="71">
        <f t="shared" si="47"/>
        <v>46153.255054012341</v>
      </c>
      <c r="B271" s="71"/>
      <c r="C271" s="71"/>
      <c r="D271" s="71"/>
      <c r="E271" s="119" t="s">
        <v>4999</v>
      </c>
      <c r="F271" s="56" t="s">
        <v>6777</v>
      </c>
      <c r="G271" s="56"/>
      <c r="H271" s="66">
        <v>10417</v>
      </c>
      <c r="I271" s="97" t="s">
        <v>5708</v>
      </c>
      <c r="J271" s="100" t="s">
        <v>140</v>
      </c>
      <c r="K271" s="84">
        <v>0</v>
      </c>
      <c r="L271" s="84">
        <v>0</v>
      </c>
      <c r="M271" s="83">
        <v>260</v>
      </c>
      <c r="N271" s="223">
        <v>480</v>
      </c>
      <c r="O271" s="83">
        <v>1</v>
      </c>
      <c r="P271" s="102">
        <f t="shared" si="45"/>
        <v>480</v>
      </c>
      <c r="Q271" s="102"/>
      <c r="R271" s="223">
        <v>480</v>
      </c>
      <c r="S271" s="223">
        <f t="shared" si="49"/>
        <v>0</v>
      </c>
      <c r="T271" s="83">
        <f t="shared" si="41"/>
        <v>332.30769230769232</v>
      </c>
      <c r="U271" s="84">
        <f t="shared" si="42"/>
        <v>0</v>
      </c>
      <c r="V271" s="84">
        <f t="shared" si="48"/>
        <v>0</v>
      </c>
      <c r="W271" s="84">
        <v>0</v>
      </c>
      <c r="X271" s="255">
        <f t="shared" si="46"/>
        <v>46153.255054012341</v>
      </c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</row>
    <row r="272" spans="1:40" s="1151" customFormat="1" ht="29" hidden="1" x14ac:dyDescent="0.35">
      <c r="A272" s="71">
        <f t="shared" si="47"/>
        <v>46153.255054012341</v>
      </c>
      <c r="B272" s="71"/>
      <c r="C272" s="71"/>
      <c r="D272" s="71"/>
      <c r="E272" s="119" t="s">
        <v>4999</v>
      </c>
      <c r="F272" s="56" t="s">
        <v>215</v>
      </c>
      <c r="G272" s="56"/>
      <c r="H272" s="66">
        <v>10418</v>
      </c>
      <c r="I272" s="97" t="s">
        <v>5708</v>
      </c>
      <c r="J272" s="100" t="s">
        <v>140</v>
      </c>
      <c r="K272" s="84">
        <v>0</v>
      </c>
      <c r="L272" s="84">
        <v>0</v>
      </c>
      <c r="M272" s="83">
        <v>260</v>
      </c>
      <c r="N272" s="223">
        <v>500</v>
      </c>
      <c r="O272" s="83">
        <v>1</v>
      </c>
      <c r="P272" s="83">
        <f t="shared" si="45"/>
        <v>500</v>
      </c>
      <c r="Q272" s="83"/>
      <c r="R272" s="223">
        <v>500</v>
      </c>
      <c r="S272" s="223">
        <f t="shared" si="49"/>
        <v>0</v>
      </c>
      <c r="T272" s="83">
        <f t="shared" si="41"/>
        <v>332.30769230769232</v>
      </c>
      <c r="U272" s="84">
        <f t="shared" si="42"/>
        <v>0</v>
      </c>
      <c r="V272" s="84">
        <f t="shared" si="48"/>
        <v>0</v>
      </c>
      <c r="W272" s="84">
        <v>0</v>
      </c>
      <c r="X272" s="255">
        <f t="shared" si="46"/>
        <v>46153.255054012341</v>
      </c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</row>
    <row r="273" spans="1:40" s="1151" customFormat="1" hidden="1" x14ac:dyDescent="0.35">
      <c r="A273" s="71">
        <f t="shared" si="47"/>
        <v>46153.255054012341</v>
      </c>
      <c r="B273" s="71"/>
      <c r="C273" s="71"/>
      <c r="D273" s="71"/>
      <c r="E273" s="119" t="s">
        <v>4999</v>
      </c>
      <c r="F273" s="56" t="s">
        <v>6777</v>
      </c>
      <c r="G273" s="56"/>
      <c r="H273" s="49" t="s">
        <v>6778</v>
      </c>
      <c r="I273" s="82" t="s">
        <v>4308</v>
      </c>
      <c r="J273" s="100" t="s">
        <v>140</v>
      </c>
      <c r="K273" s="84">
        <v>0</v>
      </c>
      <c r="L273" s="84">
        <v>0</v>
      </c>
      <c r="M273" s="83">
        <v>250</v>
      </c>
      <c r="N273" s="223">
        <v>1000</v>
      </c>
      <c r="O273" s="83">
        <v>1</v>
      </c>
      <c r="P273" s="83">
        <f t="shared" si="45"/>
        <v>1000</v>
      </c>
      <c r="Q273" s="83"/>
      <c r="R273" s="223">
        <v>1000</v>
      </c>
      <c r="S273" s="223">
        <f t="shared" si="49"/>
        <v>0</v>
      </c>
      <c r="T273" s="83">
        <f t="shared" si="41"/>
        <v>345.6</v>
      </c>
      <c r="U273" s="84">
        <f t="shared" si="42"/>
        <v>0</v>
      </c>
      <c r="V273" s="84">
        <f t="shared" si="48"/>
        <v>0</v>
      </c>
      <c r="W273" s="84">
        <v>0</v>
      </c>
      <c r="X273" s="255">
        <f t="shared" si="46"/>
        <v>46153.255054012341</v>
      </c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</row>
    <row r="274" spans="1:40" s="1151" customFormat="1" ht="29" hidden="1" x14ac:dyDescent="0.35">
      <c r="A274" s="71">
        <f t="shared" si="47"/>
        <v>46153.255054012341</v>
      </c>
      <c r="B274" s="71"/>
      <c r="C274" s="71"/>
      <c r="D274" s="71"/>
      <c r="E274" s="119" t="s">
        <v>4999</v>
      </c>
      <c r="F274" s="56" t="s">
        <v>215</v>
      </c>
      <c r="G274" s="56"/>
      <c r="H274" s="49" t="s">
        <v>6779</v>
      </c>
      <c r="I274" s="82" t="s">
        <v>4308</v>
      </c>
      <c r="J274" s="100" t="s">
        <v>140</v>
      </c>
      <c r="K274" s="84">
        <v>0</v>
      </c>
      <c r="L274" s="84">
        <v>0</v>
      </c>
      <c r="M274" s="83">
        <v>250</v>
      </c>
      <c r="N274" s="223">
        <v>500</v>
      </c>
      <c r="O274" s="83">
        <v>1</v>
      </c>
      <c r="P274" s="83">
        <f t="shared" si="45"/>
        <v>500</v>
      </c>
      <c r="Q274" s="83"/>
      <c r="R274" s="223">
        <v>500</v>
      </c>
      <c r="S274" s="223">
        <f t="shared" si="49"/>
        <v>0</v>
      </c>
      <c r="T274" s="83">
        <f t="shared" ref="T274:T317" si="50">((3600/M274)*O274)*24</f>
        <v>345.6</v>
      </c>
      <c r="U274" s="84">
        <f t="shared" ref="U274:U317" si="51">(P274-R274)*M274/3600</f>
        <v>0</v>
      </c>
      <c r="V274" s="84">
        <f t="shared" si="48"/>
        <v>0</v>
      </c>
      <c r="W274" s="84">
        <v>0</v>
      </c>
      <c r="X274" s="255">
        <f t="shared" si="46"/>
        <v>46153.255054012341</v>
      </c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</row>
    <row r="275" spans="1:40" s="229" customFormat="1" ht="26.5" hidden="1" x14ac:dyDescent="0.35">
      <c r="A275" s="71">
        <f t="shared" si="47"/>
        <v>46153.255054012341</v>
      </c>
      <c r="B275" s="71"/>
      <c r="C275" s="71"/>
      <c r="D275" s="71"/>
      <c r="E275" s="119" t="s">
        <v>4999</v>
      </c>
      <c r="F275" s="82" t="s">
        <v>6780</v>
      </c>
      <c r="G275" s="82"/>
      <c r="H275" s="107" t="s">
        <v>6781</v>
      </c>
      <c r="I275" s="85" t="s">
        <v>4535</v>
      </c>
      <c r="J275" s="100" t="s">
        <v>140</v>
      </c>
      <c r="K275" s="84">
        <v>0</v>
      </c>
      <c r="L275" s="84">
        <v>0</v>
      </c>
      <c r="M275" s="102">
        <v>60</v>
      </c>
      <c r="N275" s="103">
        <v>1500</v>
      </c>
      <c r="O275" s="102">
        <v>1</v>
      </c>
      <c r="P275" s="102">
        <f t="shared" si="45"/>
        <v>1500</v>
      </c>
      <c r="Q275" s="102"/>
      <c r="R275" s="103">
        <v>1500</v>
      </c>
      <c r="S275" s="103">
        <f t="shared" si="49"/>
        <v>0</v>
      </c>
      <c r="T275" s="102">
        <f t="shared" si="50"/>
        <v>1440</v>
      </c>
      <c r="U275" s="101">
        <f t="shared" si="51"/>
        <v>0</v>
      </c>
      <c r="V275" s="84">
        <f t="shared" si="48"/>
        <v>0</v>
      </c>
      <c r="W275" s="84">
        <v>0</v>
      </c>
      <c r="X275" s="255">
        <f t="shared" si="46"/>
        <v>46153.255054012341</v>
      </c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</row>
    <row r="276" spans="1:40" s="229" customFormat="1" ht="26.5" hidden="1" x14ac:dyDescent="0.35">
      <c r="A276" s="71">
        <f t="shared" si="47"/>
        <v>46153.255054012341</v>
      </c>
      <c r="B276" s="71"/>
      <c r="C276" s="71"/>
      <c r="D276" s="71"/>
      <c r="E276" s="119" t="s">
        <v>4999</v>
      </c>
      <c r="F276" s="48" t="s">
        <v>271</v>
      </c>
      <c r="G276" s="48"/>
      <c r="H276" s="107" t="s">
        <v>6782</v>
      </c>
      <c r="I276" s="85" t="s">
        <v>4535</v>
      </c>
      <c r="J276" s="100" t="s">
        <v>140</v>
      </c>
      <c r="K276" s="84">
        <v>0</v>
      </c>
      <c r="L276" s="84">
        <v>0</v>
      </c>
      <c r="M276" s="83">
        <v>60</v>
      </c>
      <c r="N276" s="223">
        <v>1824</v>
      </c>
      <c r="O276" s="83">
        <v>1</v>
      </c>
      <c r="P276" s="83">
        <f t="shared" si="45"/>
        <v>1824</v>
      </c>
      <c r="Q276" s="83"/>
      <c r="R276" s="223">
        <v>1824</v>
      </c>
      <c r="S276" s="223">
        <f t="shared" si="49"/>
        <v>0</v>
      </c>
      <c r="T276" s="83">
        <f t="shared" si="50"/>
        <v>1440</v>
      </c>
      <c r="U276" s="84">
        <f t="shared" si="51"/>
        <v>0</v>
      </c>
      <c r="V276" s="84">
        <f t="shared" si="48"/>
        <v>0</v>
      </c>
      <c r="W276" s="84">
        <v>0</v>
      </c>
      <c r="X276" s="255">
        <f t="shared" si="46"/>
        <v>46153.255054012341</v>
      </c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</row>
    <row r="277" spans="1:40" s="229" customFormat="1" ht="26.5" hidden="1" x14ac:dyDescent="0.35">
      <c r="A277" s="71">
        <f t="shared" si="47"/>
        <v>46153.255054012341</v>
      </c>
      <c r="B277" s="71"/>
      <c r="C277" s="71"/>
      <c r="D277" s="71"/>
      <c r="E277" s="119" t="s">
        <v>4999</v>
      </c>
      <c r="F277" s="48" t="s">
        <v>6780</v>
      </c>
      <c r="G277" s="48"/>
      <c r="H277" s="107" t="s">
        <v>6783</v>
      </c>
      <c r="I277" s="82" t="s">
        <v>2816</v>
      </c>
      <c r="J277" s="100" t="s">
        <v>140</v>
      </c>
      <c r="K277" s="84">
        <v>0</v>
      </c>
      <c r="L277" s="84">
        <v>0</v>
      </c>
      <c r="M277" s="83">
        <v>60</v>
      </c>
      <c r="N277" s="223">
        <v>1000</v>
      </c>
      <c r="O277" s="83">
        <v>1</v>
      </c>
      <c r="P277" s="83">
        <f t="shared" si="45"/>
        <v>1000</v>
      </c>
      <c r="Q277" s="83"/>
      <c r="R277" s="223">
        <v>1000</v>
      </c>
      <c r="S277" s="223">
        <f t="shared" si="49"/>
        <v>0</v>
      </c>
      <c r="T277" s="83">
        <f t="shared" si="50"/>
        <v>1440</v>
      </c>
      <c r="U277" s="84">
        <f t="shared" si="51"/>
        <v>0</v>
      </c>
      <c r="V277" s="84">
        <f t="shared" si="48"/>
        <v>0</v>
      </c>
      <c r="W277" s="84">
        <v>0</v>
      </c>
      <c r="X277" s="255">
        <f t="shared" si="46"/>
        <v>46153.255054012341</v>
      </c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</row>
    <row r="278" spans="1:40" s="229" customFormat="1" ht="26.5" hidden="1" x14ac:dyDescent="0.35">
      <c r="A278" s="71">
        <f t="shared" si="47"/>
        <v>46153.255054012341</v>
      </c>
      <c r="B278" s="71"/>
      <c r="C278" s="71"/>
      <c r="D278" s="71"/>
      <c r="E278" s="119" t="s">
        <v>4999</v>
      </c>
      <c r="F278" s="48" t="s">
        <v>271</v>
      </c>
      <c r="G278" s="48"/>
      <c r="H278" s="107" t="s">
        <v>6784</v>
      </c>
      <c r="I278" s="82" t="s">
        <v>2816</v>
      </c>
      <c r="J278" s="100" t="s">
        <v>140</v>
      </c>
      <c r="K278" s="84">
        <v>0</v>
      </c>
      <c r="L278" s="84">
        <v>0</v>
      </c>
      <c r="M278" s="83">
        <v>60</v>
      </c>
      <c r="N278" s="223">
        <v>1500</v>
      </c>
      <c r="O278" s="83">
        <v>1</v>
      </c>
      <c r="P278" s="83">
        <f t="shared" si="45"/>
        <v>1500</v>
      </c>
      <c r="Q278" s="83"/>
      <c r="R278" s="223">
        <v>1500</v>
      </c>
      <c r="S278" s="223">
        <f t="shared" si="49"/>
        <v>0</v>
      </c>
      <c r="T278" s="83">
        <f t="shared" si="50"/>
        <v>1440</v>
      </c>
      <c r="U278" s="84">
        <f t="shared" si="51"/>
        <v>0</v>
      </c>
      <c r="V278" s="84">
        <f t="shared" si="48"/>
        <v>0</v>
      </c>
      <c r="W278" s="84">
        <v>0</v>
      </c>
      <c r="X278" s="255">
        <f t="shared" si="46"/>
        <v>46153.255054012341</v>
      </c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</row>
    <row r="279" spans="1:40" s="229" customFormat="1" ht="26.5" hidden="1" x14ac:dyDescent="0.35">
      <c r="A279" s="71">
        <f t="shared" si="47"/>
        <v>46153.255054012341</v>
      </c>
      <c r="B279" s="71"/>
      <c r="C279" s="71"/>
      <c r="D279" s="71"/>
      <c r="E279" s="119" t="s">
        <v>4999</v>
      </c>
      <c r="F279" s="48" t="s">
        <v>271</v>
      </c>
      <c r="G279" s="48"/>
      <c r="H279" s="107" t="s">
        <v>6785</v>
      </c>
      <c r="I279" s="97" t="s">
        <v>5725</v>
      </c>
      <c r="J279" s="97" t="s">
        <v>140</v>
      </c>
      <c r="K279" s="84">
        <v>0</v>
      </c>
      <c r="L279" s="84">
        <v>0</v>
      </c>
      <c r="M279" s="83">
        <v>80</v>
      </c>
      <c r="N279" s="223">
        <v>200</v>
      </c>
      <c r="O279" s="83">
        <v>1</v>
      </c>
      <c r="P279" s="83">
        <f t="shared" si="45"/>
        <v>200</v>
      </c>
      <c r="Q279" s="83"/>
      <c r="R279" s="223">
        <v>200</v>
      </c>
      <c r="S279" s="223">
        <f t="shared" si="49"/>
        <v>0</v>
      </c>
      <c r="T279" s="83">
        <f t="shared" si="50"/>
        <v>1080</v>
      </c>
      <c r="U279" s="84">
        <f t="shared" si="51"/>
        <v>0</v>
      </c>
      <c r="V279" s="84">
        <f t="shared" si="48"/>
        <v>0</v>
      </c>
      <c r="W279" s="84">
        <v>0</v>
      </c>
      <c r="X279" s="255">
        <f t="shared" si="46"/>
        <v>46153.255054012341</v>
      </c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</row>
    <row r="280" spans="1:40" s="764" customFormat="1" hidden="1" x14ac:dyDescent="0.35">
      <c r="A280" s="71">
        <f t="shared" si="47"/>
        <v>46153.255054012341</v>
      </c>
      <c r="B280" s="71"/>
      <c r="C280" s="71"/>
      <c r="D280" s="71"/>
      <c r="E280" s="119" t="s">
        <v>4999</v>
      </c>
      <c r="F280" s="57" t="s">
        <v>6435</v>
      </c>
      <c r="G280" s="57"/>
      <c r="H280" s="59" t="s">
        <v>6786</v>
      </c>
      <c r="I280" s="82" t="s">
        <v>6606</v>
      </c>
      <c r="J280" s="100" t="s">
        <v>140</v>
      </c>
      <c r="K280" s="84">
        <v>0</v>
      </c>
      <c r="L280" s="84">
        <v>0</v>
      </c>
      <c r="M280" s="83">
        <v>200</v>
      </c>
      <c r="N280" s="223">
        <v>3000</v>
      </c>
      <c r="O280" s="83">
        <v>6</v>
      </c>
      <c r="P280" s="83">
        <f t="shared" si="45"/>
        <v>500</v>
      </c>
      <c r="Q280" s="83"/>
      <c r="R280" s="223">
        <v>500</v>
      </c>
      <c r="S280" s="223">
        <f t="shared" si="49"/>
        <v>0</v>
      </c>
      <c r="T280" s="83">
        <f t="shared" si="50"/>
        <v>2592</v>
      </c>
      <c r="U280" s="84">
        <f t="shared" si="51"/>
        <v>0</v>
      </c>
      <c r="V280" s="84">
        <f t="shared" si="48"/>
        <v>0</v>
      </c>
      <c r="W280" s="84">
        <v>0</v>
      </c>
      <c r="X280" s="255">
        <f t="shared" si="46"/>
        <v>46153.255054012341</v>
      </c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</row>
    <row r="281" spans="1:40" s="118" customFormat="1" hidden="1" x14ac:dyDescent="0.35">
      <c r="A281" s="71">
        <f t="shared" si="47"/>
        <v>46153.255054012341</v>
      </c>
      <c r="B281" s="71"/>
      <c r="C281" s="71"/>
      <c r="D281" s="71"/>
      <c r="E281" s="119" t="s">
        <v>4999</v>
      </c>
      <c r="F281" s="56" t="s">
        <v>6787</v>
      </c>
      <c r="G281" s="56"/>
      <c r="H281" s="49" t="s">
        <v>6788</v>
      </c>
      <c r="I281" s="82" t="s">
        <v>4308</v>
      </c>
      <c r="J281" s="100" t="s">
        <v>140</v>
      </c>
      <c r="K281" s="84">
        <v>0</v>
      </c>
      <c r="L281" s="84">
        <v>0</v>
      </c>
      <c r="M281" s="83">
        <v>250</v>
      </c>
      <c r="N281" s="223">
        <v>1000</v>
      </c>
      <c r="O281" s="83">
        <v>1</v>
      </c>
      <c r="P281" s="83">
        <f t="shared" si="45"/>
        <v>1000</v>
      </c>
      <c r="Q281" s="83"/>
      <c r="R281" s="223">
        <v>1000</v>
      </c>
      <c r="S281" s="223">
        <f t="shared" si="49"/>
        <v>0</v>
      </c>
      <c r="T281" s="83">
        <f t="shared" si="50"/>
        <v>345.6</v>
      </c>
      <c r="U281" s="84">
        <f t="shared" si="51"/>
        <v>0</v>
      </c>
      <c r="V281" s="84">
        <f t="shared" si="48"/>
        <v>0</v>
      </c>
      <c r="W281" s="84">
        <v>0</v>
      </c>
      <c r="X281" s="255">
        <f t="shared" si="46"/>
        <v>46153.255054012341</v>
      </c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</row>
    <row r="282" spans="1:40" s="118" customFormat="1" hidden="1" x14ac:dyDescent="0.35">
      <c r="A282" s="71">
        <f t="shared" si="47"/>
        <v>46153.255054012341</v>
      </c>
      <c r="B282" s="71"/>
      <c r="C282" s="71"/>
      <c r="D282" s="71"/>
      <c r="E282" s="119" t="s">
        <v>4999</v>
      </c>
      <c r="F282" s="56" t="s">
        <v>6787</v>
      </c>
      <c r="G282" s="56"/>
      <c r="H282" s="49" t="s">
        <v>6789</v>
      </c>
      <c r="I282" s="82" t="s">
        <v>4308</v>
      </c>
      <c r="J282" s="100" t="s">
        <v>140</v>
      </c>
      <c r="K282" s="84">
        <v>0</v>
      </c>
      <c r="L282" s="84">
        <v>0</v>
      </c>
      <c r="M282" s="83">
        <v>250</v>
      </c>
      <c r="N282" s="223">
        <v>245</v>
      </c>
      <c r="O282" s="83">
        <v>1</v>
      </c>
      <c r="P282" s="83">
        <f t="shared" si="45"/>
        <v>245</v>
      </c>
      <c r="Q282" s="83"/>
      <c r="R282" s="223">
        <v>245</v>
      </c>
      <c r="S282" s="223">
        <f t="shared" si="49"/>
        <v>0</v>
      </c>
      <c r="T282" s="83">
        <f t="shared" si="50"/>
        <v>345.6</v>
      </c>
      <c r="U282" s="84">
        <f t="shared" si="51"/>
        <v>0</v>
      </c>
      <c r="V282" s="84">
        <f t="shared" si="48"/>
        <v>0</v>
      </c>
      <c r="W282" s="84">
        <v>0</v>
      </c>
      <c r="X282" s="255">
        <f t="shared" si="46"/>
        <v>46153.255054012341</v>
      </c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</row>
    <row r="283" spans="1:40" s="118" customFormat="1" ht="26.5" hidden="1" x14ac:dyDescent="0.35">
      <c r="A283" s="71">
        <f t="shared" si="47"/>
        <v>46153.255054012341</v>
      </c>
      <c r="B283" s="71"/>
      <c r="C283" s="71"/>
      <c r="D283" s="71"/>
      <c r="E283" s="119" t="s">
        <v>4999</v>
      </c>
      <c r="F283" s="82" t="s">
        <v>1749</v>
      </c>
      <c r="G283" s="82"/>
      <c r="H283" s="107" t="s">
        <v>6790</v>
      </c>
      <c r="I283" s="85" t="s">
        <v>5916</v>
      </c>
      <c r="J283" s="100" t="s">
        <v>140</v>
      </c>
      <c r="K283" s="84">
        <v>0</v>
      </c>
      <c r="L283" s="84">
        <v>0</v>
      </c>
      <c r="M283" s="83">
        <v>60</v>
      </c>
      <c r="N283" s="223">
        <v>1500</v>
      </c>
      <c r="O283" s="83">
        <v>1</v>
      </c>
      <c r="P283" s="83">
        <f t="shared" si="45"/>
        <v>1500</v>
      </c>
      <c r="Q283" s="83"/>
      <c r="R283" s="223">
        <v>1500</v>
      </c>
      <c r="S283" s="223">
        <f t="shared" si="49"/>
        <v>0</v>
      </c>
      <c r="T283" s="83">
        <f t="shared" si="50"/>
        <v>1440</v>
      </c>
      <c r="U283" s="84">
        <f t="shared" si="51"/>
        <v>0</v>
      </c>
      <c r="V283" s="84">
        <f t="shared" si="48"/>
        <v>0</v>
      </c>
      <c r="W283" s="84">
        <v>0</v>
      </c>
      <c r="X283" s="255">
        <f t="shared" si="46"/>
        <v>46153.255054012341</v>
      </c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</row>
    <row r="284" spans="1:40" s="118" customFormat="1" ht="26.5" hidden="1" x14ac:dyDescent="0.35">
      <c r="A284" s="71">
        <f t="shared" si="47"/>
        <v>46153.255054012341</v>
      </c>
      <c r="B284" s="71"/>
      <c r="C284" s="71"/>
      <c r="D284" s="71"/>
      <c r="E284" s="119" t="s">
        <v>4999</v>
      </c>
      <c r="F284" s="48" t="s">
        <v>1749</v>
      </c>
      <c r="G284" s="48"/>
      <c r="H284" s="107" t="s">
        <v>6791</v>
      </c>
      <c r="I284" s="82" t="s">
        <v>2816</v>
      </c>
      <c r="J284" s="100" t="s">
        <v>140</v>
      </c>
      <c r="K284" s="84">
        <v>0</v>
      </c>
      <c r="L284" s="84">
        <v>0</v>
      </c>
      <c r="M284" s="83">
        <v>60</v>
      </c>
      <c r="N284" s="223">
        <v>2000</v>
      </c>
      <c r="O284" s="83">
        <v>1</v>
      </c>
      <c r="P284" s="83">
        <f t="shared" si="45"/>
        <v>2000</v>
      </c>
      <c r="Q284" s="83"/>
      <c r="R284" s="223">
        <v>2000</v>
      </c>
      <c r="S284" s="223">
        <f t="shared" si="49"/>
        <v>0</v>
      </c>
      <c r="T284" s="83">
        <f t="shared" si="50"/>
        <v>1440</v>
      </c>
      <c r="U284" s="84">
        <f t="shared" si="51"/>
        <v>0</v>
      </c>
      <c r="V284" s="84">
        <f t="shared" si="48"/>
        <v>0</v>
      </c>
      <c r="W284" s="84">
        <v>0</v>
      </c>
      <c r="X284" s="255">
        <f t="shared" si="46"/>
        <v>46153.255054012341</v>
      </c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</row>
    <row r="285" spans="1:40" s="118" customFormat="1" ht="26.5" hidden="1" x14ac:dyDescent="0.35">
      <c r="A285" s="71">
        <f t="shared" si="47"/>
        <v>46153.255054012341</v>
      </c>
      <c r="B285" s="71"/>
      <c r="C285" s="71"/>
      <c r="D285" s="71"/>
      <c r="E285" s="119" t="s">
        <v>4999</v>
      </c>
      <c r="F285" s="48" t="s">
        <v>610</v>
      </c>
      <c r="G285" s="48"/>
      <c r="H285" s="107" t="s">
        <v>6792</v>
      </c>
      <c r="I285" s="82" t="s">
        <v>2816</v>
      </c>
      <c r="J285" s="100" t="s">
        <v>140</v>
      </c>
      <c r="K285" s="84">
        <v>0</v>
      </c>
      <c r="L285" s="84">
        <v>0</v>
      </c>
      <c r="M285" s="83">
        <v>60</v>
      </c>
      <c r="N285" s="223">
        <v>1800</v>
      </c>
      <c r="O285" s="83">
        <v>1</v>
      </c>
      <c r="P285" s="83">
        <f t="shared" si="45"/>
        <v>1800</v>
      </c>
      <c r="Q285" s="83"/>
      <c r="R285" s="223">
        <v>1800</v>
      </c>
      <c r="S285" s="223">
        <f t="shared" si="49"/>
        <v>0</v>
      </c>
      <c r="T285" s="83">
        <f t="shared" si="50"/>
        <v>1440</v>
      </c>
      <c r="U285" s="84">
        <f t="shared" si="51"/>
        <v>0</v>
      </c>
      <c r="V285" s="84">
        <f t="shared" si="48"/>
        <v>0</v>
      </c>
      <c r="W285" s="84">
        <v>0</v>
      </c>
      <c r="X285" s="255">
        <f t="shared" si="46"/>
        <v>46153.255054012341</v>
      </c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</row>
    <row r="286" spans="1:40" s="118" customFormat="1" hidden="1" x14ac:dyDescent="0.35">
      <c r="A286" s="71">
        <f t="shared" si="47"/>
        <v>46153.255054012341</v>
      </c>
      <c r="B286" s="71"/>
      <c r="C286" s="71"/>
      <c r="D286" s="71"/>
      <c r="E286" s="496" t="s">
        <v>4999</v>
      </c>
      <c r="F286" s="398" t="s">
        <v>14</v>
      </c>
      <c r="G286" s="398"/>
      <c r="H286" s="398" t="s">
        <v>14</v>
      </c>
      <c r="I286" s="652" t="s">
        <v>4484</v>
      </c>
      <c r="J286" s="300" t="s">
        <v>140</v>
      </c>
      <c r="K286" s="84">
        <v>0</v>
      </c>
      <c r="L286" s="84">
        <v>0</v>
      </c>
      <c r="M286" s="579">
        <v>90</v>
      </c>
      <c r="N286" s="580">
        <v>50</v>
      </c>
      <c r="O286" s="579">
        <v>1</v>
      </c>
      <c r="P286" s="579">
        <f t="shared" si="45"/>
        <v>50</v>
      </c>
      <c r="Q286" s="579"/>
      <c r="R286" s="580">
        <v>50</v>
      </c>
      <c r="S286" s="580">
        <f t="shared" si="49"/>
        <v>0</v>
      </c>
      <c r="T286" s="579">
        <f t="shared" si="50"/>
        <v>960</v>
      </c>
      <c r="U286" s="583">
        <f t="shared" si="51"/>
        <v>0</v>
      </c>
      <c r="V286" s="84">
        <f t="shared" si="48"/>
        <v>0</v>
      </c>
      <c r="W286" s="84">
        <v>0</v>
      </c>
      <c r="X286" s="255">
        <f t="shared" si="46"/>
        <v>46153.255054012341</v>
      </c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</row>
    <row r="287" spans="1:40" s="118" customFormat="1" ht="26.5" hidden="1" x14ac:dyDescent="0.35">
      <c r="A287" s="71">
        <f t="shared" si="47"/>
        <v>46153.255054012341</v>
      </c>
      <c r="B287" s="71"/>
      <c r="C287" s="71"/>
      <c r="D287" s="71"/>
      <c r="E287" s="119" t="s">
        <v>4999</v>
      </c>
      <c r="F287" s="99" t="s">
        <v>5278</v>
      </c>
      <c r="G287" s="99"/>
      <c r="H287" s="1012" t="s">
        <v>6793</v>
      </c>
      <c r="I287" s="71" t="s">
        <v>5785</v>
      </c>
      <c r="J287" s="100" t="s">
        <v>140</v>
      </c>
      <c r="K287" s="84">
        <v>0</v>
      </c>
      <c r="L287" s="84">
        <v>0</v>
      </c>
      <c r="M287" s="102">
        <v>90</v>
      </c>
      <c r="N287" s="103">
        <v>3000</v>
      </c>
      <c r="O287" s="102">
        <v>2</v>
      </c>
      <c r="P287" s="102">
        <f t="shared" si="45"/>
        <v>1500</v>
      </c>
      <c r="Q287" s="102"/>
      <c r="R287" s="103">
        <v>1500</v>
      </c>
      <c r="S287" s="103">
        <f t="shared" si="49"/>
        <v>0</v>
      </c>
      <c r="T287" s="102">
        <f t="shared" si="50"/>
        <v>1920</v>
      </c>
      <c r="U287" s="101">
        <f t="shared" si="51"/>
        <v>0</v>
      </c>
      <c r="V287" s="84">
        <f t="shared" si="48"/>
        <v>0</v>
      </c>
      <c r="W287" s="84">
        <v>0</v>
      </c>
      <c r="X287" s="255">
        <f t="shared" si="46"/>
        <v>46153.255054012341</v>
      </c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</row>
    <row r="288" spans="1:40" s="118" customFormat="1" ht="26.5" hidden="1" x14ac:dyDescent="0.35">
      <c r="A288" s="71">
        <f t="shared" si="47"/>
        <v>46153.255054012341</v>
      </c>
      <c r="B288" s="71"/>
      <c r="C288" s="71"/>
      <c r="D288" s="71"/>
      <c r="E288" s="119" t="s">
        <v>4999</v>
      </c>
      <c r="F288" s="97" t="s">
        <v>165</v>
      </c>
      <c r="G288" s="97"/>
      <c r="H288" s="98" t="s">
        <v>6794</v>
      </c>
      <c r="I288" s="82" t="s">
        <v>4515</v>
      </c>
      <c r="J288" s="100" t="s">
        <v>140</v>
      </c>
      <c r="K288" s="84">
        <v>0</v>
      </c>
      <c r="L288" s="84">
        <v>0</v>
      </c>
      <c r="M288" s="102">
        <v>95</v>
      </c>
      <c r="N288" s="103">
        <v>5000</v>
      </c>
      <c r="O288" s="102">
        <v>2</v>
      </c>
      <c r="P288" s="102">
        <f t="shared" si="45"/>
        <v>2500</v>
      </c>
      <c r="Q288" s="102"/>
      <c r="R288" s="103">
        <v>2500</v>
      </c>
      <c r="S288" s="103">
        <f t="shared" si="49"/>
        <v>0</v>
      </c>
      <c r="T288" s="102">
        <f t="shared" si="50"/>
        <v>1818.9473684210525</v>
      </c>
      <c r="U288" s="101">
        <f t="shared" si="51"/>
        <v>0</v>
      </c>
      <c r="V288" s="84">
        <f t="shared" si="48"/>
        <v>0</v>
      </c>
      <c r="W288" s="84">
        <v>0</v>
      </c>
      <c r="X288" s="255">
        <f t="shared" si="46"/>
        <v>46153.255054012341</v>
      </c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</row>
    <row r="289" spans="1:40" s="118" customFormat="1" hidden="1" x14ac:dyDescent="0.35">
      <c r="A289" s="71">
        <f t="shared" si="47"/>
        <v>46153.255054012341</v>
      </c>
      <c r="B289" s="71"/>
      <c r="C289" s="71"/>
      <c r="D289" s="71"/>
      <c r="E289" s="119" t="s">
        <v>4999</v>
      </c>
      <c r="F289" s="99" t="s">
        <v>6795</v>
      </c>
      <c r="G289" s="99"/>
      <c r="H289" s="98" t="s">
        <v>6796</v>
      </c>
      <c r="I289" s="82" t="s">
        <v>4308</v>
      </c>
      <c r="J289" s="100" t="s">
        <v>140</v>
      </c>
      <c r="K289" s="84">
        <v>0</v>
      </c>
      <c r="L289" s="84">
        <v>0</v>
      </c>
      <c r="M289" s="102">
        <v>250</v>
      </c>
      <c r="N289" s="103">
        <v>500</v>
      </c>
      <c r="O289" s="102">
        <v>1</v>
      </c>
      <c r="P289" s="102">
        <f t="shared" si="45"/>
        <v>500</v>
      </c>
      <c r="Q289" s="102"/>
      <c r="R289" s="103">
        <v>500</v>
      </c>
      <c r="S289" s="103">
        <f t="shared" si="49"/>
        <v>0</v>
      </c>
      <c r="T289" s="102">
        <f t="shared" si="50"/>
        <v>345.6</v>
      </c>
      <c r="U289" s="101">
        <f t="shared" si="51"/>
        <v>0</v>
      </c>
      <c r="V289" s="84">
        <f t="shared" si="48"/>
        <v>0</v>
      </c>
      <c r="W289" s="84">
        <v>0</v>
      </c>
      <c r="X289" s="255">
        <f t="shared" si="46"/>
        <v>46153.255054012341</v>
      </c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</row>
    <row r="290" spans="1:40" s="118" customFormat="1" hidden="1" x14ac:dyDescent="0.35">
      <c r="A290" s="71">
        <f t="shared" si="47"/>
        <v>46153.255054012341</v>
      </c>
      <c r="B290" s="71"/>
      <c r="C290" s="71"/>
      <c r="D290" s="71"/>
      <c r="E290" s="119" t="s">
        <v>4999</v>
      </c>
      <c r="F290" s="99" t="s">
        <v>6797</v>
      </c>
      <c r="G290" s="99"/>
      <c r="H290" s="98" t="s">
        <v>6798</v>
      </c>
      <c r="I290" s="82" t="s">
        <v>4308</v>
      </c>
      <c r="J290" s="100" t="s">
        <v>140</v>
      </c>
      <c r="K290" s="84">
        <v>0</v>
      </c>
      <c r="L290" s="84">
        <v>0</v>
      </c>
      <c r="M290" s="102">
        <v>250</v>
      </c>
      <c r="N290" s="103">
        <v>790</v>
      </c>
      <c r="O290" s="102">
        <v>1</v>
      </c>
      <c r="P290" s="102">
        <f t="shared" si="45"/>
        <v>790</v>
      </c>
      <c r="Q290" s="102"/>
      <c r="R290" s="103">
        <v>790</v>
      </c>
      <c r="S290" s="103">
        <f t="shared" si="49"/>
        <v>0</v>
      </c>
      <c r="T290" s="102">
        <f t="shared" si="50"/>
        <v>345.6</v>
      </c>
      <c r="U290" s="101">
        <f t="shared" si="51"/>
        <v>0</v>
      </c>
      <c r="V290" s="84">
        <f t="shared" si="48"/>
        <v>0</v>
      </c>
      <c r="W290" s="84">
        <v>0</v>
      </c>
      <c r="X290" s="255">
        <f t="shared" si="46"/>
        <v>46153.255054012341</v>
      </c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</row>
    <row r="291" spans="1:40" s="118" customFormat="1" ht="26.5" hidden="1" x14ac:dyDescent="0.35">
      <c r="A291" s="71">
        <f t="shared" si="47"/>
        <v>46153.255054012341</v>
      </c>
      <c r="B291" s="71"/>
      <c r="C291" s="71"/>
      <c r="D291" s="71"/>
      <c r="E291" s="119" t="s">
        <v>4999</v>
      </c>
      <c r="F291" s="82" t="s">
        <v>1166</v>
      </c>
      <c r="G291" s="82"/>
      <c r="H291" s="107" t="s">
        <v>6799</v>
      </c>
      <c r="I291" s="82" t="s">
        <v>2816</v>
      </c>
      <c r="J291" s="100" t="s">
        <v>140</v>
      </c>
      <c r="K291" s="84">
        <v>0</v>
      </c>
      <c r="L291" s="84">
        <v>0</v>
      </c>
      <c r="M291" s="102">
        <v>60</v>
      </c>
      <c r="N291" s="103">
        <v>2000</v>
      </c>
      <c r="O291" s="102">
        <v>1</v>
      </c>
      <c r="P291" s="102">
        <f t="shared" si="45"/>
        <v>2000</v>
      </c>
      <c r="Q291" s="102"/>
      <c r="R291" s="103">
        <v>2000</v>
      </c>
      <c r="S291" s="103">
        <f t="shared" si="49"/>
        <v>0</v>
      </c>
      <c r="T291" s="102">
        <f t="shared" si="50"/>
        <v>1440</v>
      </c>
      <c r="U291" s="101">
        <f t="shared" si="51"/>
        <v>0</v>
      </c>
      <c r="V291" s="84">
        <f t="shared" si="48"/>
        <v>0</v>
      </c>
      <c r="W291" s="84">
        <v>0</v>
      </c>
      <c r="X291" s="255">
        <f t="shared" si="46"/>
        <v>46153.255054012341</v>
      </c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</row>
    <row r="292" spans="1:40" s="118" customFormat="1" ht="26.5" hidden="1" x14ac:dyDescent="0.35">
      <c r="A292" s="71">
        <f t="shared" si="47"/>
        <v>46153.255054012341</v>
      </c>
      <c r="B292" s="71"/>
      <c r="C292" s="71"/>
      <c r="D292" s="71"/>
      <c r="E292" s="119" t="s">
        <v>4999</v>
      </c>
      <c r="F292" s="82" t="s">
        <v>1166</v>
      </c>
      <c r="G292" s="82"/>
      <c r="H292" s="107" t="s">
        <v>6800</v>
      </c>
      <c r="I292" s="85" t="s">
        <v>5916</v>
      </c>
      <c r="J292" s="100" t="s">
        <v>140</v>
      </c>
      <c r="K292" s="84">
        <v>0</v>
      </c>
      <c r="L292" s="84">
        <v>0</v>
      </c>
      <c r="M292" s="102">
        <v>60</v>
      </c>
      <c r="N292" s="103">
        <v>2000</v>
      </c>
      <c r="O292" s="102">
        <v>1</v>
      </c>
      <c r="P292" s="102">
        <f t="shared" si="45"/>
        <v>2000</v>
      </c>
      <c r="Q292" s="102"/>
      <c r="R292" s="103">
        <v>2000</v>
      </c>
      <c r="S292" s="103">
        <f t="shared" si="49"/>
        <v>0</v>
      </c>
      <c r="T292" s="102">
        <f t="shared" si="50"/>
        <v>1440</v>
      </c>
      <c r="U292" s="101">
        <f t="shared" si="51"/>
        <v>0</v>
      </c>
      <c r="V292" s="84">
        <f t="shared" si="48"/>
        <v>0</v>
      </c>
      <c r="W292" s="84">
        <v>0</v>
      </c>
      <c r="X292" s="255">
        <f t="shared" si="46"/>
        <v>46153.255054012341</v>
      </c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</row>
    <row r="293" spans="1:40" s="118" customFormat="1" ht="26.5" hidden="1" x14ac:dyDescent="0.35">
      <c r="A293" s="71">
        <f t="shared" si="47"/>
        <v>46153.255054012341</v>
      </c>
      <c r="B293" s="71"/>
      <c r="C293" s="71"/>
      <c r="D293" s="71"/>
      <c r="E293" s="119" t="s">
        <v>4999</v>
      </c>
      <c r="F293" s="82" t="s">
        <v>612</v>
      </c>
      <c r="G293" s="82"/>
      <c r="H293" s="107" t="s">
        <v>6801</v>
      </c>
      <c r="I293" s="85" t="s">
        <v>5916</v>
      </c>
      <c r="J293" s="100" t="s">
        <v>140</v>
      </c>
      <c r="K293" s="84">
        <v>0</v>
      </c>
      <c r="L293" s="84">
        <v>0</v>
      </c>
      <c r="M293" s="102">
        <v>60</v>
      </c>
      <c r="N293" s="103">
        <v>780</v>
      </c>
      <c r="O293" s="102">
        <v>1</v>
      </c>
      <c r="P293" s="102">
        <f t="shared" si="45"/>
        <v>780</v>
      </c>
      <c r="Q293" s="102"/>
      <c r="R293" s="103">
        <v>780</v>
      </c>
      <c r="S293" s="103">
        <f t="shared" si="49"/>
        <v>0</v>
      </c>
      <c r="T293" s="102">
        <f t="shared" si="50"/>
        <v>1440</v>
      </c>
      <c r="U293" s="101">
        <f t="shared" si="51"/>
        <v>0</v>
      </c>
      <c r="V293" s="84">
        <f t="shared" si="48"/>
        <v>0</v>
      </c>
      <c r="W293" s="84">
        <v>0</v>
      </c>
      <c r="X293" s="255">
        <f t="shared" si="46"/>
        <v>46153.255054012341</v>
      </c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</row>
    <row r="294" spans="1:40" s="118" customFormat="1" hidden="1" x14ac:dyDescent="0.35">
      <c r="A294" s="71">
        <f t="shared" si="47"/>
        <v>46153.255054012341</v>
      </c>
      <c r="B294" s="71"/>
      <c r="C294" s="71"/>
      <c r="D294" s="71"/>
      <c r="E294" s="119" t="s">
        <v>4999</v>
      </c>
      <c r="F294" s="97" t="s">
        <v>1160</v>
      </c>
      <c r="G294" s="97"/>
      <c r="H294" s="98" t="s">
        <v>6802</v>
      </c>
      <c r="I294" s="82" t="s">
        <v>4515</v>
      </c>
      <c r="J294" s="100" t="s">
        <v>140</v>
      </c>
      <c r="K294" s="84">
        <v>0</v>
      </c>
      <c r="L294" s="84">
        <v>0</v>
      </c>
      <c r="M294" s="102">
        <v>95</v>
      </c>
      <c r="N294" s="103">
        <v>9000</v>
      </c>
      <c r="O294" s="102">
        <v>2</v>
      </c>
      <c r="P294" s="102">
        <f t="shared" si="45"/>
        <v>4500</v>
      </c>
      <c r="Q294" s="102"/>
      <c r="R294" s="103">
        <v>4500</v>
      </c>
      <c r="S294" s="103">
        <f t="shared" si="49"/>
        <v>0</v>
      </c>
      <c r="T294" s="102">
        <f t="shared" si="50"/>
        <v>1818.9473684210525</v>
      </c>
      <c r="U294" s="101">
        <f t="shared" si="51"/>
        <v>0</v>
      </c>
      <c r="V294" s="84">
        <f t="shared" si="48"/>
        <v>0</v>
      </c>
      <c r="W294" s="84">
        <v>0</v>
      </c>
      <c r="X294" s="255">
        <f t="shared" si="46"/>
        <v>46153.255054012341</v>
      </c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</row>
    <row r="295" spans="1:40" s="118" customFormat="1" hidden="1" x14ac:dyDescent="0.35">
      <c r="A295" s="71">
        <f t="shared" si="47"/>
        <v>46153.255054012341</v>
      </c>
      <c r="B295" s="71"/>
      <c r="C295" s="71"/>
      <c r="D295" s="71"/>
      <c r="E295" s="119" t="s">
        <v>1872</v>
      </c>
      <c r="F295" s="98" t="s">
        <v>1520</v>
      </c>
      <c r="G295" s="98"/>
      <c r="H295" s="98" t="s">
        <v>6803</v>
      </c>
      <c r="I295" s="82" t="s">
        <v>6804</v>
      </c>
      <c r="J295" s="100" t="s">
        <v>140</v>
      </c>
      <c r="K295" s="84">
        <v>0</v>
      </c>
      <c r="L295" s="84">
        <v>0</v>
      </c>
      <c r="M295" s="102">
        <v>40</v>
      </c>
      <c r="N295" s="103">
        <v>400</v>
      </c>
      <c r="O295" s="102">
        <v>1</v>
      </c>
      <c r="P295" s="102">
        <f t="shared" si="45"/>
        <v>400</v>
      </c>
      <c r="Q295" s="102"/>
      <c r="R295" s="103">
        <v>400</v>
      </c>
      <c r="S295" s="103">
        <f t="shared" si="49"/>
        <v>0</v>
      </c>
      <c r="T295" s="102">
        <f t="shared" si="50"/>
        <v>2160</v>
      </c>
      <c r="U295" s="101">
        <f t="shared" si="51"/>
        <v>0</v>
      </c>
      <c r="V295" s="84">
        <f t="shared" si="48"/>
        <v>0</v>
      </c>
      <c r="W295" s="84">
        <v>0</v>
      </c>
      <c r="X295" s="255">
        <f t="shared" si="46"/>
        <v>46153.255054012341</v>
      </c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</row>
    <row r="296" spans="1:40" s="118" customFormat="1" hidden="1" x14ac:dyDescent="0.35">
      <c r="A296" s="71">
        <f t="shared" si="47"/>
        <v>46153.255054012341</v>
      </c>
      <c r="B296" s="71"/>
      <c r="C296" s="71"/>
      <c r="D296" s="71"/>
      <c r="E296" s="119" t="s">
        <v>1872</v>
      </c>
      <c r="F296" s="98" t="s">
        <v>1520</v>
      </c>
      <c r="G296" s="98"/>
      <c r="H296" s="98" t="s">
        <v>6805</v>
      </c>
      <c r="I296" s="82" t="s">
        <v>6806</v>
      </c>
      <c r="J296" s="100" t="s">
        <v>140</v>
      </c>
      <c r="K296" s="84">
        <v>0</v>
      </c>
      <c r="L296" s="84">
        <v>0</v>
      </c>
      <c r="M296" s="102">
        <v>40</v>
      </c>
      <c r="N296" s="103">
        <v>400</v>
      </c>
      <c r="O296" s="102">
        <v>1</v>
      </c>
      <c r="P296" s="102">
        <f t="shared" si="45"/>
        <v>400</v>
      </c>
      <c r="Q296" s="102"/>
      <c r="R296" s="103">
        <v>400</v>
      </c>
      <c r="S296" s="103">
        <f t="shared" si="49"/>
        <v>0</v>
      </c>
      <c r="T296" s="102">
        <f t="shared" si="50"/>
        <v>2160</v>
      </c>
      <c r="U296" s="101">
        <f t="shared" si="51"/>
        <v>0</v>
      </c>
      <c r="V296" s="84">
        <f t="shared" si="48"/>
        <v>0</v>
      </c>
      <c r="W296" s="84">
        <v>0</v>
      </c>
      <c r="X296" s="255">
        <f t="shared" si="46"/>
        <v>46153.255054012341</v>
      </c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</row>
    <row r="297" spans="1:40" s="118" customFormat="1" hidden="1" x14ac:dyDescent="0.35">
      <c r="A297" s="71">
        <f t="shared" si="47"/>
        <v>46153.255054012341</v>
      </c>
      <c r="B297" s="71"/>
      <c r="C297" s="71"/>
      <c r="D297" s="71"/>
      <c r="E297" s="119" t="s">
        <v>1872</v>
      </c>
      <c r="F297" s="98" t="s">
        <v>1520</v>
      </c>
      <c r="G297" s="98"/>
      <c r="H297" s="98" t="s">
        <v>6807</v>
      </c>
      <c r="I297" s="82" t="s">
        <v>6808</v>
      </c>
      <c r="J297" s="100" t="s">
        <v>140</v>
      </c>
      <c r="K297" s="84">
        <v>0</v>
      </c>
      <c r="L297" s="84">
        <v>0</v>
      </c>
      <c r="M297" s="102">
        <v>40</v>
      </c>
      <c r="N297" s="103">
        <v>400</v>
      </c>
      <c r="O297" s="102">
        <v>1</v>
      </c>
      <c r="P297" s="102">
        <f t="shared" si="45"/>
        <v>400</v>
      </c>
      <c r="Q297" s="102"/>
      <c r="R297" s="103">
        <v>400</v>
      </c>
      <c r="S297" s="103">
        <f t="shared" si="49"/>
        <v>0</v>
      </c>
      <c r="T297" s="102">
        <f t="shared" si="50"/>
        <v>2160</v>
      </c>
      <c r="U297" s="101">
        <f t="shared" si="51"/>
        <v>0</v>
      </c>
      <c r="V297" s="84">
        <f t="shared" si="48"/>
        <v>0</v>
      </c>
      <c r="W297" s="84">
        <v>0</v>
      </c>
      <c r="X297" s="255">
        <f t="shared" si="46"/>
        <v>46153.255054012341</v>
      </c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</row>
    <row r="298" spans="1:40" s="118" customFormat="1" hidden="1" x14ac:dyDescent="0.35">
      <c r="A298" s="71">
        <f t="shared" si="47"/>
        <v>46153.255054012341</v>
      </c>
      <c r="B298" s="71"/>
      <c r="C298" s="71"/>
      <c r="D298" s="71"/>
      <c r="E298" s="119" t="s">
        <v>1872</v>
      </c>
      <c r="F298" s="98" t="s">
        <v>1520</v>
      </c>
      <c r="G298" s="98"/>
      <c r="H298" s="98" t="s">
        <v>6809</v>
      </c>
      <c r="I298" s="82" t="s">
        <v>6810</v>
      </c>
      <c r="J298" s="100" t="s">
        <v>140</v>
      </c>
      <c r="K298" s="84">
        <v>0</v>
      </c>
      <c r="L298" s="84">
        <v>0</v>
      </c>
      <c r="M298" s="102">
        <v>40</v>
      </c>
      <c r="N298" s="103">
        <v>400</v>
      </c>
      <c r="O298" s="102">
        <v>1</v>
      </c>
      <c r="P298" s="102">
        <f t="shared" si="45"/>
        <v>400</v>
      </c>
      <c r="Q298" s="102"/>
      <c r="R298" s="103">
        <v>400</v>
      </c>
      <c r="S298" s="103">
        <f t="shared" si="49"/>
        <v>0</v>
      </c>
      <c r="T298" s="102">
        <f t="shared" si="50"/>
        <v>2160</v>
      </c>
      <c r="U298" s="101">
        <f t="shared" si="51"/>
        <v>0</v>
      </c>
      <c r="V298" s="84">
        <f t="shared" si="48"/>
        <v>0</v>
      </c>
      <c r="W298" s="84">
        <v>0</v>
      </c>
      <c r="X298" s="255">
        <f t="shared" si="46"/>
        <v>46153.255054012341</v>
      </c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</row>
    <row r="299" spans="1:40" s="118" customFormat="1" hidden="1" x14ac:dyDescent="0.35">
      <c r="A299" s="71">
        <f t="shared" si="47"/>
        <v>46153.255054012341</v>
      </c>
      <c r="B299" s="71"/>
      <c r="C299" s="71"/>
      <c r="D299" s="71"/>
      <c r="E299" s="119" t="s">
        <v>1872</v>
      </c>
      <c r="F299" s="98" t="s">
        <v>1520</v>
      </c>
      <c r="G299" s="98"/>
      <c r="H299" s="98" t="s">
        <v>6811</v>
      </c>
      <c r="I299" s="82" t="s">
        <v>6812</v>
      </c>
      <c r="J299" s="100" t="s">
        <v>140</v>
      </c>
      <c r="K299" s="84">
        <v>0</v>
      </c>
      <c r="L299" s="84">
        <v>0</v>
      </c>
      <c r="M299" s="102">
        <v>40</v>
      </c>
      <c r="N299" s="103">
        <v>400</v>
      </c>
      <c r="O299" s="102">
        <v>1</v>
      </c>
      <c r="P299" s="102">
        <f t="shared" si="45"/>
        <v>400</v>
      </c>
      <c r="Q299" s="102"/>
      <c r="R299" s="103">
        <v>400</v>
      </c>
      <c r="S299" s="103">
        <f t="shared" si="49"/>
        <v>0</v>
      </c>
      <c r="T299" s="102">
        <f t="shared" si="50"/>
        <v>2160</v>
      </c>
      <c r="U299" s="101">
        <f t="shared" si="51"/>
        <v>0</v>
      </c>
      <c r="V299" s="84">
        <f t="shared" si="48"/>
        <v>0</v>
      </c>
      <c r="W299" s="84">
        <v>0</v>
      </c>
      <c r="X299" s="255">
        <f t="shared" si="46"/>
        <v>46153.255054012341</v>
      </c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</row>
    <row r="300" spans="1:40" s="118" customFormat="1" hidden="1" x14ac:dyDescent="0.35">
      <c r="A300" s="71">
        <f t="shared" si="47"/>
        <v>46153.255054012341</v>
      </c>
      <c r="B300" s="71"/>
      <c r="C300" s="71"/>
      <c r="D300" s="71"/>
      <c r="E300" s="119" t="s">
        <v>4999</v>
      </c>
      <c r="F300" s="533" t="s">
        <v>6813</v>
      </c>
      <c r="G300" s="533"/>
      <c r="H300" s="107" t="s">
        <v>6814</v>
      </c>
      <c r="I300" s="100" t="s">
        <v>6815</v>
      </c>
      <c r="J300" s="100" t="s">
        <v>140</v>
      </c>
      <c r="K300" s="84">
        <v>0</v>
      </c>
      <c r="L300" s="84">
        <v>0</v>
      </c>
      <c r="M300" s="102">
        <v>63</v>
      </c>
      <c r="N300" s="103">
        <v>1000</v>
      </c>
      <c r="O300" s="102">
        <v>1</v>
      </c>
      <c r="P300" s="102">
        <f t="shared" si="45"/>
        <v>1000</v>
      </c>
      <c r="Q300" s="102"/>
      <c r="R300" s="103">
        <v>1000</v>
      </c>
      <c r="S300" s="103">
        <f t="shared" si="49"/>
        <v>0</v>
      </c>
      <c r="T300" s="102">
        <f t="shared" si="50"/>
        <v>1371.4285714285716</v>
      </c>
      <c r="U300" s="101">
        <f t="shared" si="51"/>
        <v>0</v>
      </c>
      <c r="V300" s="84">
        <f t="shared" si="48"/>
        <v>0</v>
      </c>
      <c r="W300" s="84">
        <v>0</v>
      </c>
      <c r="X300" s="255">
        <f t="shared" si="46"/>
        <v>46153.255054012341</v>
      </c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</row>
    <row r="301" spans="1:40" s="118" customFormat="1" ht="26.5" hidden="1" x14ac:dyDescent="0.35">
      <c r="A301" s="71">
        <f t="shared" si="47"/>
        <v>46153.255054012341</v>
      </c>
      <c r="B301" s="71"/>
      <c r="C301" s="71"/>
      <c r="D301" s="71"/>
      <c r="E301" s="119" t="s">
        <v>4999</v>
      </c>
      <c r="F301" s="82" t="s">
        <v>314</v>
      </c>
      <c r="G301" s="82" t="s">
        <v>315</v>
      </c>
      <c r="H301" s="107" t="s">
        <v>6816</v>
      </c>
      <c r="I301" s="82" t="s">
        <v>1864</v>
      </c>
      <c r="J301" s="100" t="s">
        <v>140</v>
      </c>
      <c r="K301" s="84">
        <v>0</v>
      </c>
      <c r="L301" s="84">
        <v>0</v>
      </c>
      <c r="M301" s="102">
        <v>90</v>
      </c>
      <c r="N301" s="103">
        <v>12000</v>
      </c>
      <c r="O301" s="102">
        <v>2</v>
      </c>
      <c r="P301" s="102">
        <f t="shared" si="45"/>
        <v>6000</v>
      </c>
      <c r="Q301" s="102"/>
      <c r="R301" s="103">
        <v>6000</v>
      </c>
      <c r="S301" s="103">
        <f t="shared" si="49"/>
        <v>0</v>
      </c>
      <c r="T301" s="102">
        <f t="shared" si="50"/>
        <v>1920</v>
      </c>
      <c r="U301" s="101">
        <f t="shared" si="51"/>
        <v>0</v>
      </c>
      <c r="V301" s="84">
        <f t="shared" si="48"/>
        <v>0</v>
      </c>
      <c r="W301" s="84">
        <v>0</v>
      </c>
      <c r="X301" s="255">
        <f t="shared" si="46"/>
        <v>46153.255054012341</v>
      </c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</row>
    <row r="302" spans="1:40" s="118" customFormat="1" hidden="1" x14ac:dyDescent="0.35">
      <c r="A302" s="71">
        <f t="shared" si="47"/>
        <v>46153.255054012341</v>
      </c>
      <c r="B302" s="71"/>
      <c r="C302" s="71"/>
      <c r="D302" s="71"/>
      <c r="E302" s="119" t="s">
        <v>4999</v>
      </c>
      <c r="F302" s="803" t="s">
        <v>6817</v>
      </c>
      <c r="G302" s="803" t="s">
        <v>315</v>
      </c>
      <c r="H302" s="804" t="s">
        <v>6818</v>
      </c>
      <c r="I302" s="805" t="s">
        <v>4363</v>
      </c>
      <c r="J302" s="805" t="s">
        <v>140</v>
      </c>
      <c r="K302" s="84">
        <v>0</v>
      </c>
      <c r="L302" s="84">
        <v>0</v>
      </c>
      <c r="M302" s="807">
        <v>34</v>
      </c>
      <c r="N302" s="806">
        <f>6000*15</f>
        <v>90000</v>
      </c>
      <c r="O302" s="807">
        <v>6</v>
      </c>
      <c r="P302" s="807">
        <f t="shared" si="45"/>
        <v>15000</v>
      </c>
      <c r="Q302" s="807"/>
      <c r="R302" s="806">
        <v>15000</v>
      </c>
      <c r="S302" s="806">
        <f t="shared" si="49"/>
        <v>0</v>
      </c>
      <c r="T302" s="807">
        <f t="shared" si="50"/>
        <v>15247.058823529411</v>
      </c>
      <c r="U302" s="854">
        <f t="shared" si="51"/>
        <v>0</v>
      </c>
      <c r="V302" s="84">
        <f t="shared" si="48"/>
        <v>0</v>
      </c>
      <c r="W302" s="84">
        <v>0</v>
      </c>
      <c r="X302" s="255">
        <f t="shared" si="46"/>
        <v>46153.255054012341</v>
      </c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</row>
    <row r="303" spans="1:40" s="118" customFormat="1" hidden="1" x14ac:dyDescent="0.35">
      <c r="A303" s="71">
        <f t="shared" si="47"/>
        <v>46153.255054012341</v>
      </c>
      <c r="B303" s="71"/>
      <c r="C303" s="71"/>
      <c r="D303" s="71"/>
      <c r="E303" s="119" t="s">
        <v>4999</v>
      </c>
      <c r="F303" s="97" t="s">
        <v>1625</v>
      </c>
      <c r="G303" s="97" t="s">
        <v>3402</v>
      </c>
      <c r="H303" s="108">
        <v>12703</v>
      </c>
      <c r="I303" s="82" t="s">
        <v>4290</v>
      </c>
      <c r="J303" s="100" t="s">
        <v>140</v>
      </c>
      <c r="K303" s="101">
        <v>0</v>
      </c>
      <c r="L303" s="101">
        <v>0</v>
      </c>
      <c r="M303" s="102">
        <v>60</v>
      </c>
      <c r="N303" s="103">
        <v>4000</v>
      </c>
      <c r="O303" s="102">
        <v>1</v>
      </c>
      <c r="P303" s="102">
        <f t="shared" si="45"/>
        <v>4000</v>
      </c>
      <c r="Q303" s="102"/>
      <c r="R303" s="103">
        <v>4000</v>
      </c>
      <c r="S303" s="103">
        <f t="shared" si="49"/>
        <v>0</v>
      </c>
      <c r="T303" s="102">
        <f t="shared" si="50"/>
        <v>1440</v>
      </c>
      <c r="U303" s="101">
        <f t="shared" si="51"/>
        <v>0</v>
      </c>
      <c r="V303" s="101">
        <f t="shared" si="48"/>
        <v>0</v>
      </c>
      <c r="W303" s="101">
        <v>0</v>
      </c>
      <c r="X303" s="255">
        <f t="shared" si="46"/>
        <v>46153.255054012341</v>
      </c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</row>
    <row r="304" spans="1:40" s="1152" customFormat="1" hidden="1" x14ac:dyDescent="0.35">
      <c r="A304" s="71">
        <f t="shared" si="47"/>
        <v>46153.255054012341</v>
      </c>
      <c r="B304" s="71"/>
      <c r="C304" s="71"/>
      <c r="D304" s="71"/>
      <c r="E304" s="119" t="s">
        <v>4999</v>
      </c>
      <c r="F304" s="97" t="s">
        <v>1630</v>
      </c>
      <c r="G304" s="97" t="s">
        <v>327</v>
      </c>
      <c r="H304" s="98" t="s">
        <v>6819</v>
      </c>
      <c r="I304" s="82" t="s">
        <v>4292</v>
      </c>
      <c r="J304" s="100" t="s">
        <v>140</v>
      </c>
      <c r="K304" s="101">
        <v>0</v>
      </c>
      <c r="L304" s="101">
        <v>0</v>
      </c>
      <c r="M304" s="102">
        <v>45</v>
      </c>
      <c r="N304" s="103">
        <v>12600</v>
      </c>
      <c r="O304" s="102">
        <v>2</v>
      </c>
      <c r="P304" s="103">
        <f t="shared" si="45"/>
        <v>6300</v>
      </c>
      <c r="Q304" s="103"/>
      <c r="R304" s="103">
        <v>6300</v>
      </c>
      <c r="S304" s="103">
        <f t="shared" si="49"/>
        <v>0</v>
      </c>
      <c r="T304" s="102">
        <f t="shared" si="50"/>
        <v>3840</v>
      </c>
      <c r="U304" s="101">
        <f t="shared" si="51"/>
        <v>0</v>
      </c>
      <c r="V304" s="101">
        <f t="shared" si="48"/>
        <v>0</v>
      </c>
      <c r="W304" s="101">
        <v>0</v>
      </c>
      <c r="X304" s="255">
        <f>A304+K304+V304+W304+L304</f>
        <v>46153.255054012341</v>
      </c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</row>
    <row r="305" spans="1:40" hidden="1" x14ac:dyDescent="0.35">
      <c r="A305" s="71">
        <f t="shared" si="47"/>
        <v>46153.255054012341</v>
      </c>
      <c r="B305" s="71"/>
      <c r="C305" s="71"/>
      <c r="D305" s="71"/>
      <c r="E305" s="119" t="s">
        <v>4999</v>
      </c>
      <c r="F305" s="82" t="s">
        <v>1625</v>
      </c>
      <c r="G305" s="82" t="s">
        <v>3513</v>
      </c>
      <c r="H305" s="108">
        <v>12783</v>
      </c>
      <c r="I305" s="82" t="s">
        <v>4350</v>
      </c>
      <c r="J305" s="51" t="s">
        <v>140</v>
      </c>
      <c r="K305" s="91">
        <v>0</v>
      </c>
      <c r="L305" s="91">
        <v>0</v>
      </c>
      <c r="M305" s="92">
        <v>60</v>
      </c>
      <c r="N305" s="94">
        <v>3000</v>
      </c>
      <c r="O305" s="92">
        <v>1</v>
      </c>
      <c r="P305" s="94">
        <f t="shared" si="45"/>
        <v>3000</v>
      </c>
      <c r="Q305" s="94"/>
      <c r="R305" s="92">
        <v>3000</v>
      </c>
      <c r="S305" s="94">
        <f t="shared" si="49"/>
        <v>0</v>
      </c>
      <c r="T305" s="92">
        <f t="shared" si="50"/>
        <v>1440</v>
      </c>
      <c r="U305" s="91">
        <f t="shared" si="51"/>
        <v>0</v>
      </c>
      <c r="V305" s="91">
        <f t="shared" si="48"/>
        <v>0</v>
      </c>
      <c r="W305" s="91">
        <v>0</v>
      </c>
      <c r="X305" s="55">
        <f>A305+K305+V305+W305+L305</f>
        <v>46153.255054012341</v>
      </c>
    </row>
    <row r="306" spans="1:40" hidden="1" x14ac:dyDescent="0.35">
      <c r="A306" s="71">
        <f t="shared" si="47"/>
        <v>46153.255054012341</v>
      </c>
      <c r="B306" s="71"/>
      <c r="C306" s="71"/>
      <c r="D306" s="71"/>
      <c r="E306" s="119" t="s">
        <v>4999</v>
      </c>
      <c r="F306" s="82" t="s">
        <v>6820</v>
      </c>
      <c r="G306" s="82" t="s">
        <v>3513</v>
      </c>
      <c r="H306" s="108">
        <v>12967</v>
      </c>
      <c r="I306" s="82" t="s">
        <v>4350</v>
      </c>
      <c r="J306" s="51" t="s">
        <v>140</v>
      </c>
      <c r="K306" s="91">
        <v>0</v>
      </c>
      <c r="L306" s="91">
        <v>0</v>
      </c>
      <c r="M306" s="92">
        <v>60</v>
      </c>
      <c r="N306" s="94">
        <v>6500</v>
      </c>
      <c r="O306" s="92">
        <v>1</v>
      </c>
      <c r="P306" s="94">
        <f t="shared" si="45"/>
        <v>6500</v>
      </c>
      <c r="Q306" s="94"/>
      <c r="R306" s="92">
        <v>6500</v>
      </c>
      <c r="S306" s="94">
        <f t="shared" si="49"/>
        <v>0</v>
      </c>
      <c r="T306" s="92">
        <f t="shared" si="50"/>
        <v>1440</v>
      </c>
      <c r="U306" s="91">
        <f t="shared" si="51"/>
        <v>0</v>
      </c>
      <c r="V306" s="91">
        <f t="shared" si="48"/>
        <v>0</v>
      </c>
      <c r="W306" s="91">
        <v>0</v>
      </c>
      <c r="X306" s="55">
        <f>A306+K306+V306+W306+L306</f>
        <v>46153.255054012341</v>
      </c>
    </row>
    <row r="307" spans="1:40" s="118" customFormat="1" hidden="1" x14ac:dyDescent="0.35">
      <c r="A307" s="71">
        <f t="shared" si="47"/>
        <v>46153.255054012341</v>
      </c>
      <c r="B307" s="71"/>
      <c r="C307" s="71"/>
      <c r="D307" s="71"/>
      <c r="E307" s="119" t="s">
        <v>4999</v>
      </c>
      <c r="F307" s="82" t="s">
        <v>5797</v>
      </c>
      <c r="G307" s="82" t="s">
        <v>792</v>
      </c>
      <c r="H307" s="108">
        <v>12961</v>
      </c>
      <c r="I307" s="82" t="s">
        <v>4350</v>
      </c>
      <c r="J307" s="51" t="s">
        <v>140</v>
      </c>
      <c r="K307" s="91">
        <v>0</v>
      </c>
      <c r="L307" s="91">
        <v>0</v>
      </c>
      <c r="M307" s="92">
        <v>60</v>
      </c>
      <c r="N307" s="94">
        <v>6500</v>
      </c>
      <c r="O307" s="92">
        <v>1</v>
      </c>
      <c r="P307" s="94">
        <f t="shared" si="45"/>
        <v>6500</v>
      </c>
      <c r="Q307" s="94"/>
      <c r="R307" s="92">
        <v>6500</v>
      </c>
      <c r="S307" s="94">
        <f t="shared" si="49"/>
        <v>0</v>
      </c>
      <c r="T307" s="92">
        <f t="shared" si="50"/>
        <v>1440</v>
      </c>
      <c r="U307" s="91">
        <f t="shared" si="51"/>
        <v>0</v>
      </c>
      <c r="V307" s="91">
        <f t="shared" si="48"/>
        <v>0</v>
      </c>
      <c r="W307" s="91">
        <v>0</v>
      </c>
      <c r="X307" s="55">
        <f>A307+K307+V307+W307+L307</f>
        <v>46153.255054012341</v>
      </c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</row>
    <row r="308" spans="1:40" ht="26.5" hidden="1" x14ac:dyDescent="0.35">
      <c r="A308" s="71">
        <f t="shared" si="47"/>
        <v>46153.255054012341</v>
      </c>
      <c r="B308" s="71"/>
      <c r="C308" s="71"/>
      <c r="D308" s="71"/>
      <c r="E308" s="119" t="s">
        <v>4999</v>
      </c>
      <c r="F308" s="82" t="s">
        <v>6821</v>
      </c>
      <c r="G308" s="82" t="s">
        <v>327</v>
      </c>
      <c r="H308" s="1111" t="s">
        <v>6822</v>
      </c>
      <c r="I308" s="82" t="s">
        <v>6823</v>
      </c>
      <c r="J308" s="51" t="s">
        <v>140</v>
      </c>
      <c r="K308" s="91">
        <v>0</v>
      </c>
      <c r="L308" s="91">
        <v>0</v>
      </c>
      <c r="M308" s="92">
        <v>90</v>
      </c>
      <c r="N308" s="94">
        <v>500</v>
      </c>
      <c r="O308" s="92">
        <v>1</v>
      </c>
      <c r="P308" s="94">
        <f t="shared" si="45"/>
        <v>500</v>
      </c>
      <c r="Q308" s="94"/>
      <c r="R308" s="92">
        <v>500</v>
      </c>
      <c r="S308" s="94">
        <f t="shared" si="49"/>
        <v>0</v>
      </c>
      <c r="T308" s="92">
        <f t="shared" si="50"/>
        <v>960</v>
      </c>
      <c r="U308" s="91">
        <f t="shared" si="51"/>
        <v>0</v>
      </c>
      <c r="V308" s="91">
        <f t="shared" si="48"/>
        <v>0</v>
      </c>
      <c r="W308" s="91">
        <v>0</v>
      </c>
      <c r="X308" s="55">
        <f>A308+K308+L308+V308+W308</f>
        <v>46153.255054012341</v>
      </c>
    </row>
    <row r="309" spans="1:40" s="118" customFormat="1" hidden="1" x14ac:dyDescent="0.35">
      <c r="A309" s="71">
        <f t="shared" si="47"/>
        <v>46153.255054012341</v>
      </c>
      <c r="B309" s="71"/>
      <c r="C309" s="71"/>
      <c r="D309" s="71"/>
      <c r="E309" s="119" t="s">
        <v>4999</v>
      </c>
      <c r="F309" s="82" t="s">
        <v>796</v>
      </c>
      <c r="G309" s="82" t="s">
        <v>792</v>
      </c>
      <c r="H309" s="98" t="s">
        <v>6683</v>
      </c>
      <c r="I309" s="82" t="s">
        <v>5690</v>
      </c>
      <c r="J309" s="100" t="s">
        <v>140</v>
      </c>
      <c r="K309" s="101">
        <v>0</v>
      </c>
      <c r="L309" s="101">
        <v>0</v>
      </c>
      <c r="M309" s="102">
        <v>45</v>
      </c>
      <c r="N309" s="103">
        <v>5400</v>
      </c>
      <c r="O309" s="102">
        <v>2</v>
      </c>
      <c r="P309" s="103">
        <f t="shared" si="45"/>
        <v>2700</v>
      </c>
      <c r="Q309" s="103"/>
      <c r="R309" s="103">
        <v>2700</v>
      </c>
      <c r="S309" s="103">
        <f t="shared" si="49"/>
        <v>0</v>
      </c>
      <c r="T309" s="102">
        <f t="shared" si="50"/>
        <v>3840</v>
      </c>
      <c r="U309" s="101">
        <f t="shared" si="51"/>
        <v>0</v>
      </c>
      <c r="V309" s="101">
        <f t="shared" si="48"/>
        <v>0</v>
      </c>
      <c r="W309" s="101">
        <v>0</v>
      </c>
      <c r="X309" s="255">
        <f>A309+K309+L309+V309+W309</f>
        <v>46153.255054012341</v>
      </c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</row>
    <row r="310" spans="1:40" s="118" customFormat="1" hidden="1" x14ac:dyDescent="0.35">
      <c r="A310" s="46">
        <f t="shared" si="47"/>
        <v>46153.255054012341</v>
      </c>
      <c r="B310" s="46"/>
      <c r="C310" s="46"/>
      <c r="D310" s="46"/>
      <c r="E310" s="119" t="s">
        <v>4999</v>
      </c>
      <c r="F310" s="99" t="s">
        <v>4759</v>
      </c>
      <c r="G310" s="82" t="s">
        <v>792</v>
      </c>
      <c r="H310" s="98" t="s">
        <v>4760</v>
      </c>
      <c r="I310" s="104" t="s">
        <v>4375</v>
      </c>
      <c r="J310" s="491" t="s">
        <v>140</v>
      </c>
      <c r="K310" s="91">
        <v>0</v>
      </c>
      <c r="L310" s="91">
        <v>0</v>
      </c>
      <c r="M310" s="92">
        <v>60</v>
      </c>
      <c r="N310" s="94">
        <v>4000</v>
      </c>
      <c r="O310" s="92">
        <v>1</v>
      </c>
      <c r="P310" s="94">
        <f t="shared" si="45"/>
        <v>4000</v>
      </c>
      <c r="Q310" s="94"/>
      <c r="R310" s="92">
        <v>4000</v>
      </c>
      <c r="S310" s="92">
        <f t="shared" si="49"/>
        <v>0</v>
      </c>
      <c r="T310" s="102">
        <f t="shared" si="50"/>
        <v>1440</v>
      </c>
      <c r="U310" s="101">
        <f t="shared" si="51"/>
        <v>0</v>
      </c>
      <c r="V310" s="101">
        <f t="shared" si="48"/>
        <v>0</v>
      </c>
      <c r="W310" s="101">
        <v>0</v>
      </c>
      <c r="X310" s="55">
        <f>A310+K310+V310+W310+L310</f>
        <v>46153.255054012341</v>
      </c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</row>
    <row r="311" spans="1:40" s="118" customFormat="1" hidden="1" x14ac:dyDescent="0.35">
      <c r="A311" s="46">
        <f t="shared" si="47"/>
        <v>46153.255054012341</v>
      </c>
      <c r="B311" s="46"/>
      <c r="C311" s="46"/>
      <c r="D311" s="46"/>
      <c r="E311" s="119" t="s">
        <v>4999</v>
      </c>
      <c r="F311" s="99" t="s">
        <v>4759</v>
      </c>
      <c r="G311" s="99" t="s">
        <v>792</v>
      </c>
      <c r="H311" s="107" t="s">
        <v>6824</v>
      </c>
      <c r="I311" s="697" t="s">
        <v>4387</v>
      </c>
      <c r="J311" s="100" t="s">
        <v>140</v>
      </c>
      <c r="K311" s="91">
        <v>0</v>
      </c>
      <c r="L311" s="91">
        <v>0</v>
      </c>
      <c r="M311" s="92">
        <v>45</v>
      </c>
      <c r="N311" s="94">
        <v>4000</v>
      </c>
      <c r="O311" s="92">
        <v>1</v>
      </c>
      <c r="P311" s="94">
        <f t="shared" si="45"/>
        <v>4000</v>
      </c>
      <c r="Q311" s="94"/>
      <c r="R311" s="92">
        <v>4000</v>
      </c>
      <c r="S311" s="92">
        <f t="shared" si="49"/>
        <v>0</v>
      </c>
      <c r="T311" s="102">
        <f t="shared" si="50"/>
        <v>1920</v>
      </c>
      <c r="U311" s="101">
        <f t="shared" si="51"/>
        <v>0</v>
      </c>
      <c r="V311" s="101">
        <f t="shared" si="48"/>
        <v>0</v>
      </c>
      <c r="W311" s="101">
        <v>0</v>
      </c>
      <c r="X311" s="55">
        <f>A311+K311+L311+V311+W311</f>
        <v>46153.255054012341</v>
      </c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</row>
    <row r="312" spans="1:40" hidden="1" x14ac:dyDescent="0.35">
      <c r="A312" s="46">
        <f t="shared" si="47"/>
        <v>46153.255054012341</v>
      </c>
      <c r="B312" s="46"/>
      <c r="C312" s="46"/>
      <c r="D312" s="46"/>
      <c r="E312" s="47" t="s">
        <v>4321</v>
      </c>
      <c r="F312" s="97" t="s">
        <v>6825</v>
      </c>
      <c r="G312" s="82" t="s">
        <v>792</v>
      </c>
      <c r="H312" s="98" t="s">
        <v>6826</v>
      </c>
      <c r="I312" s="85" t="s">
        <v>4484</v>
      </c>
      <c r="J312" s="100" t="s">
        <v>140</v>
      </c>
      <c r="K312" s="91">
        <v>0</v>
      </c>
      <c r="L312" s="91">
        <v>0</v>
      </c>
      <c r="M312" s="92">
        <v>90</v>
      </c>
      <c r="N312" s="94">
        <v>1000</v>
      </c>
      <c r="O312" s="92">
        <v>1</v>
      </c>
      <c r="P312" s="94">
        <f t="shared" si="45"/>
        <v>1000</v>
      </c>
      <c r="Q312" s="94"/>
      <c r="R312" s="102">
        <v>1000</v>
      </c>
      <c r="S312" s="92">
        <f t="shared" si="49"/>
        <v>0</v>
      </c>
      <c r="T312" s="102">
        <f t="shared" si="50"/>
        <v>960</v>
      </c>
      <c r="U312" s="101">
        <f t="shared" si="51"/>
        <v>0</v>
      </c>
      <c r="V312" s="101">
        <f t="shared" si="48"/>
        <v>0</v>
      </c>
      <c r="W312" s="101">
        <v>0</v>
      </c>
      <c r="X312" s="55">
        <f>A312+K312+V312+W312+L312</f>
        <v>46153.255054012341</v>
      </c>
    </row>
    <row r="313" spans="1:40" s="118" customFormat="1" hidden="1" x14ac:dyDescent="0.35">
      <c r="A313" s="46">
        <f t="shared" si="47"/>
        <v>46153.255054012341</v>
      </c>
      <c r="B313" s="46"/>
      <c r="C313" s="46"/>
      <c r="D313" s="46"/>
      <c r="E313" s="119" t="s">
        <v>4999</v>
      </c>
      <c r="F313" s="99" t="s">
        <v>4759</v>
      </c>
      <c r="G313" s="99" t="s">
        <v>792</v>
      </c>
      <c r="H313" s="98" t="s">
        <v>6827</v>
      </c>
      <c r="I313" s="85" t="s">
        <v>4647</v>
      </c>
      <c r="J313" s="491" t="s">
        <v>140</v>
      </c>
      <c r="K313" s="91">
        <v>0</v>
      </c>
      <c r="L313" s="91">
        <v>0</v>
      </c>
      <c r="M313" s="92">
        <v>70</v>
      </c>
      <c r="N313" s="94">
        <v>12000</v>
      </c>
      <c r="O313" s="92">
        <v>1</v>
      </c>
      <c r="P313" s="94">
        <f t="shared" si="45"/>
        <v>12000</v>
      </c>
      <c r="Q313" s="94"/>
      <c r="R313" s="92">
        <v>12000</v>
      </c>
      <c r="S313" s="92">
        <f t="shared" si="49"/>
        <v>0</v>
      </c>
      <c r="T313" s="102">
        <f t="shared" si="50"/>
        <v>1234.2857142857142</v>
      </c>
      <c r="U313" s="101">
        <f t="shared" si="51"/>
        <v>0</v>
      </c>
      <c r="V313" s="101">
        <f t="shared" si="48"/>
        <v>0</v>
      </c>
      <c r="W313" s="101">
        <v>0</v>
      </c>
      <c r="X313" s="55">
        <f>A313+K313+L313+V313+W313</f>
        <v>46153.255054012341</v>
      </c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</row>
    <row r="314" spans="1:40" hidden="1" x14ac:dyDescent="0.35">
      <c r="A314" s="46">
        <f t="shared" si="47"/>
        <v>46153.255054012341</v>
      </c>
      <c r="B314" s="46"/>
      <c r="C314" s="46"/>
      <c r="D314" s="46"/>
      <c r="E314" s="47" t="s">
        <v>4999</v>
      </c>
      <c r="F314" s="82" t="s">
        <v>1640</v>
      </c>
      <c r="G314" s="82" t="s">
        <v>792</v>
      </c>
      <c r="H314" s="895">
        <v>13030</v>
      </c>
      <c r="I314" s="82" t="s">
        <v>5643</v>
      </c>
      <c r="J314" s="51" t="s">
        <v>140</v>
      </c>
      <c r="K314" s="91">
        <v>0</v>
      </c>
      <c r="L314" s="91">
        <v>0</v>
      </c>
      <c r="M314" s="92">
        <v>50</v>
      </c>
      <c r="N314" s="94">
        <v>4640</v>
      </c>
      <c r="O314" s="102">
        <v>2</v>
      </c>
      <c r="P314" s="94">
        <f t="shared" si="45"/>
        <v>2320</v>
      </c>
      <c r="Q314" s="94"/>
      <c r="R314" s="92">
        <v>2320</v>
      </c>
      <c r="S314" s="92">
        <f t="shared" si="49"/>
        <v>0</v>
      </c>
      <c r="T314" s="92">
        <f t="shared" si="50"/>
        <v>3456</v>
      </c>
      <c r="U314" s="91">
        <f t="shared" si="51"/>
        <v>0</v>
      </c>
      <c r="V314" s="91">
        <f t="shared" si="48"/>
        <v>0</v>
      </c>
      <c r="W314" s="91">
        <v>0</v>
      </c>
      <c r="X314" s="55">
        <f>A314+K314+V314+W314+L314</f>
        <v>46153.255054012341</v>
      </c>
    </row>
    <row r="315" spans="1:40" s="178" customFormat="1" hidden="1" x14ac:dyDescent="0.35">
      <c r="A315" s="71">
        <f t="shared" si="47"/>
        <v>46153.255054012341</v>
      </c>
      <c r="B315" s="71"/>
      <c r="C315" s="71"/>
      <c r="D315" s="71"/>
      <c r="E315" s="119" t="s">
        <v>4999</v>
      </c>
      <c r="F315" s="97" t="s">
        <v>367</v>
      </c>
      <c r="G315" s="97" t="s">
        <v>359</v>
      </c>
      <c r="H315" s="98" t="s">
        <v>6828</v>
      </c>
      <c r="I315" s="82" t="s">
        <v>4292</v>
      </c>
      <c r="J315" s="100" t="s">
        <v>140</v>
      </c>
      <c r="K315" s="101">
        <v>0</v>
      </c>
      <c r="L315" s="101">
        <v>0</v>
      </c>
      <c r="M315" s="102">
        <v>45</v>
      </c>
      <c r="N315" s="103">
        <v>8400</v>
      </c>
      <c r="O315" s="102">
        <v>2</v>
      </c>
      <c r="P315" s="103">
        <f t="shared" si="45"/>
        <v>4200</v>
      </c>
      <c r="Q315" s="103"/>
      <c r="R315" s="103">
        <v>4200</v>
      </c>
      <c r="S315" s="103">
        <f t="shared" si="49"/>
        <v>0</v>
      </c>
      <c r="T315" s="102">
        <f t="shared" si="50"/>
        <v>3840</v>
      </c>
      <c r="U315" s="101">
        <f t="shared" si="51"/>
        <v>0</v>
      </c>
      <c r="V315" s="101">
        <f t="shared" si="48"/>
        <v>0</v>
      </c>
      <c r="W315" s="101">
        <v>0</v>
      </c>
      <c r="X315" s="55">
        <f>A315+K315+L315+V315+W315</f>
        <v>46153.255054012341</v>
      </c>
      <c r="Y315" s="487"/>
      <c r="Z315" s="487"/>
      <c r="AA315" s="487"/>
      <c r="AB315" s="487"/>
      <c r="AC315" s="487"/>
      <c r="AD315" s="487"/>
      <c r="AE315" s="487"/>
      <c r="AF315" s="487"/>
      <c r="AG315" s="487"/>
      <c r="AH315" s="487"/>
      <c r="AI315" s="487"/>
      <c r="AJ315" s="487"/>
      <c r="AK315" s="487"/>
      <c r="AL315" s="487"/>
      <c r="AM315" s="487"/>
      <c r="AN315" s="487"/>
    </row>
    <row r="316" spans="1:40" s="178" customFormat="1" hidden="1" x14ac:dyDescent="0.35">
      <c r="A316" s="71">
        <f t="shared" si="47"/>
        <v>46153.255054012341</v>
      </c>
      <c r="B316" s="71"/>
      <c r="C316" s="71"/>
      <c r="D316" s="71"/>
      <c r="E316" s="119" t="s">
        <v>4999</v>
      </c>
      <c r="F316" s="97" t="s">
        <v>364</v>
      </c>
      <c r="G316" s="97" t="s">
        <v>359</v>
      </c>
      <c r="H316" s="98" t="s">
        <v>6829</v>
      </c>
      <c r="I316" s="82" t="s">
        <v>4292</v>
      </c>
      <c r="J316" s="100" t="s">
        <v>140</v>
      </c>
      <c r="K316" s="101">
        <v>0</v>
      </c>
      <c r="L316" s="101">
        <v>0</v>
      </c>
      <c r="M316" s="102">
        <v>45</v>
      </c>
      <c r="N316" s="103">
        <v>8400</v>
      </c>
      <c r="O316" s="102">
        <v>2</v>
      </c>
      <c r="P316" s="103">
        <f t="shared" si="45"/>
        <v>4200</v>
      </c>
      <c r="Q316" s="103"/>
      <c r="R316" s="103">
        <v>4200</v>
      </c>
      <c r="S316" s="103">
        <f t="shared" si="49"/>
        <v>0</v>
      </c>
      <c r="T316" s="102">
        <f t="shared" si="50"/>
        <v>3840</v>
      </c>
      <c r="U316" s="101">
        <f t="shared" si="51"/>
        <v>0</v>
      </c>
      <c r="V316" s="101">
        <f t="shared" si="48"/>
        <v>0</v>
      </c>
      <c r="W316" s="101">
        <v>0</v>
      </c>
      <c r="X316" s="55">
        <f>A316+K316+L316+V316+W316</f>
        <v>46153.255054012341</v>
      </c>
      <c r="Y316" s="487"/>
      <c r="Z316" s="487"/>
      <c r="AA316" s="487"/>
      <c r="AB316" s="487"/>
      <c r="AC316" s="487"/>
      <c r="AD316" s="487"/>
      <c r="AE316" s="487"/>
      <c r="AF316" s="487"/>
      <c r="AG316" s="487"/>
      <c r="AH316" s="487"/>
      <c r="AI316" s="487"/>
      <c r="AJ316" s="487"/>
      <c r="AK316" s="487"/>
      <c r="AL316" s="487"/>
      <c r="AM316" s="487"/>
      <c r="AN316" s="487"/>
    </row>
    <row r="317" spans="1:40" s="802" customFormat="1" ht="13" hidden="1" x14ac:dyDescent="0.3">
      <c r="A317" s="46">
        <f t="shared" si="47"/>
        <v>46153.255054012341</v>
      </c>
      <c r="B317" s="46"/>
      <c r="C317" s="46"/>
      <c r="D317" s="46"/>
      <c r="E317" s="47" t="s">
        <v>4999</v>
      </c>
      <c r="F317" s="82" t="s">
        <v>1603</v>
      </c>
      <c r="G317" s="82"/>
      <c r="H317" s="108">
        <v>13411</v>
      </c>
      <c r="I317" s="82" t="s">
        <v>1830</v>
      </c>
      <c r="J317" s="51" t="s">
        <v>140</v>
      </c>
      <c r="K317" s="91">
        <v>0</v>
      </c>
      <c r="L317" s="91">
        <v>0</v>
      </c>
      <c r="M317" s="92">
        <v>40</v>
      </c>
      <c r="N317" s="226">
        <v>12548</v>
      </c>
      <c r="O317" s="92">
        <v>1</v>
      </c>
      <c r="P317" s="92">
        <f t="shared" si="45"/>
        <v>12548</v>
      </c>
      <c r="Q317" s="92"/>
      <c r="R317" s="92">
        <v>12548</v>
      </c>
      <c r="S317" s="92">
        <f t="shared" si="49"/>
        <v>0</v>
      </c>
      <c r="T317" s="92">
        <f t="shared" si="50"/>
        <v>2160</v>
      </c>
      <c r="U317" s="91">
        <f t="shared" si="51"/>
        <v>0</v>
      </c>
      <c r="V317" s="91">
        <f t="shared" si="48"/>
        <v>0</v>
      </c>
      <c r="W317" s="91">
        <v>0</v>
      </c>
      <c r="X317" s="55">
        <f>A317+K317+V317+W317+L317</f>
        <v>46153.255054012341</v>
      </c>
    </row>
    <row r="318" spans="1:40" s="511" customFormat="1" ht="26.5" hidden="1" x14ac:dyDescent="0.35">
      <c r="A318" s="46">
        <f t="shared" si="47"/>
        <v>46153.255054012341</v>
      </c>
      <c r="B318" s="46">
        <v>46059</v>
      </c>
      <c r="C318" s="180">
        <f t="shared" ref="C318:C323" si="52">B318-A318</f>
        <v>-94.255054012341134</v>
      </c>
      <c r="D318" s="180"/>
      <c r="E318" s="119" t="s">
        <v>4999</v>
      </c>
      <c r="F318" s="97" t="s">
        <v>1640</v>
      </c>
      <c r="G318" s="97" t="s">
        <v>359</v>
      </c>
      <c r="H318" s="98" t="s">
        <v>2820</v>
      </c>
      <c r="I318" s="97" t="s">
        <v>2812</v>
      </c>
      <c r="J318" s="170" t="s">
        <v>140</v>
      </c>
      <c r="K318" s="91">
        <v>0</v>
      </c>
      <c r="L318" s="91">
        <v>0</v>
      </c>
      <c r="M318" s="92">
        <v>60</v>
      </c>
      <c r="N318" s="94">
        <v>10166</v>
      </c>
      <c r="O318" s="92">
        <v>1</v>
      </c>
      <c r="P318" s="94">
        <f t="shared" si="45"/>
        <v>10166</v>
      </c>
      <c r="Q318" s="181">
        <v>0.8</v>
      </c>
      <c r="R318" s="92">
        <v>10166</v>
      </c>
      <c r="S318" s="102">
        <f t="shared" si="49"/>
        <v>0</v>
      </c>
      <c r="T318" s="173">
        <f t="shared" ref="T318:T323" si="53">((3600/M318)*O318)*24*Q318</f>
        <v>1152</v>
      </c>
      <c r="U318" s="101">
        <f t="shared" ref="U318:U323" si="54">(P318-R318)*M318/3600/Q318</f>
        <v>0</v>
      </c>
      <c r="V318" s="101">
        <f t="shared" ref="V318:V323" si="55">U318/24</f>
        <v>0</v>
      </c>
      <c r="W318" s="101">
        <v>0</v>
      </c>
      <c r="X318" s="55">
        <f t="shared" ref="X318:X323" si="56">A318+K318+L318+V318+W318</f>
        <v>46153.255054012341</v>
      </c>
    </row>
    <row r="319" spans="1:40" s="511" customFormat="1" hidden="1" x14ac:dyDescent="0.35">
      <c r="A319" s="71">
        <f t="shared" si="47"/>
        <v>46153.255054012341</v>
      </c>
      <c r="B319" s="71">
        <v>46064</v>
      </c>
      <c r="C319" s="180">
        <f t="shared" si="52"/>
        <v>-89.255054012341134</v>
      </c>
      <c r="D319" s="180"/>
      <c r="E319" s="119" t="s">
        <v>4999</v>
      </c>
      <c r="F319" s="82" t="s">
        <v>6830</v>
      </c>
      <c r="G319" s="82" t="s">
        <v>386</v>
      </c>
      <c r="H319" s="98" t="s">
        <v>6831</v>
      </c>
      <c r="I319" s="82" t="s">
        <v>5690</v>
      </c>
      <c r="J319" s="100" t="s">
        <v>140</v>
      </c>
      <c r="K319" s="101">
        <v>0</v>
      </c>
      <c r="L319" s="101">
        <v>0</v>
      </c>
      <c r="M319" s="102">
        <v>45</v>
      </c>
      <c r="N319" s="103">
        <v>5400</v>
      </c>
      <c r="O319" s="102">
        <v>2</v>
      </c>
      <c r="P319" s="103">
        <f t="shared" si="45"/>
        <v>2700</v>
      </c>
      <c r="Q319" s="181">
        <v>0.8</v>
      </c>
      <c r="R319" s="103">
        <v>2700</v>
      </c>
      <c r="S319" s="102">
        <f t="shared" si="49"/>
        <v>0</v>
      </c>
      <c r="T319" s="173">
        <f t="shared" si="53"/>
        <v>3072</v>
      </c>
      <c r="U319" s="101">
        <f t="shared" si="54"/>
        <v>0</v>
      </c>
      <c r="V319" s="101">
        <f t="shared" si="55"/>
        <v>0</v>
      </c>
      <c r="W319" s="101">
        <v>0</v>
      </c>
      <c r="X319" s="255">
        <f t="shared" si="56"/>
        <v>46153.255054012341</v>
      </c>
    </row>
    <row r="320" spans="1:40" s="511" customFormat="1" hidden="1" x14ac:dyDescent="0.35">
      <c r="A320" s="71">
        <f t="shared" si="47"/>
        <v>46153.255054012341</v>
      </c>
      <c r="B320" s="71">
        <v>46072</v>
      </c>
      <c r="C320" s="260">
        <f t="shared" si="52"/>
        <v>-81.255054012341134</v>
      </c>
      <c r="D320" s="260"/>
      <c r="E320" s="119" t="s">
        <v>5741</v>
      </c>
      <c r="F320" s="82" t="s">
        <v>220</v>
      </c>
      <c r="G320" s="82" t="s">
        <v>386</v>
      </c>
      <c r="H320" s="108">
        <v>13637</v>
      </c>
      <c r="I320" s="106" t="s">
        <v>6832</v>
      </c>
      <c r="J320" s="100" t="s">
        <v>140</v>
      </c>
      <c r="K320" s="101">
        <v>0</v>
      </c>
      <c r="L320" s="101">
        <v>0</v>
      </c>
      <c r="M320" s="102">
        <v>60</v>
      </c>
      <c r="N320" s="103">
        <v>5000</v>
      </c>
      <c r="O320" s="102">
        <v>2</v>
      </c>
      <c r="P320" s="103">
        <f t="shared" si="45"/>
        <v>2500</v>
      </c>
      <c r="Q320" s="181">
        <v>0.8</v>
      </c>
      <c r="R320" s="103">
        <v>2500</v>
      </c>
      <c r="S320" s="102">
        <f t="shared" si="49"/>
        <v>0</v>
      </c>
      <c r="T320" s="173">
        <f t="shared" si="53"/>
        <v>2304</v>
      </c>
      <c r="U320" s="101">
        <f t="shared" si="54"/>
        <v>0</v>
      </c>
      <c r="V320" s="101">
        <f t="shared" si="55"/>
        <v>0</v>
      </c>
      <c r="W320" s="101">
        <v>0</v>
      </c>
      <c r="X320" s="255">
        <f t="shared" si="56"/>
        <v>46153.255054012341</v>
      </c>
    </row>
    <row r="321" spans="1:40" s="121" customFormat="1" ht="26.5" hidden="1" x14ac:dyDescent="0.35">
      <c r="A321" s="46">
        <f t="shared" si="47"/>
        <v>46153.255054012341</v>
      </c>
      <c r="B321" s="46">
        <v>46084</v>
      </c>
      <c r="C321" s="180">
        <f t="shared" si="52"/>
        <v>-69.255054012341134</v>
      </c>
      <c r="D321" s="180"/>
      <c r="E321" s="119" t="s">
        <v>4999</v>
      </c>
      <c r="F321" s="97" t="s">
        <v>1640</v>
      </c>
      <c r="G321" s="97" t="s">
        <v>359</v>
      </c>
      <c r="H321" s="98" t="s">
        <v>2820</v>
      </c>
      <c r="I321" s="97" t="s">
        <v>2812</v>
      </c>
      <c r="J321" s="170" t="s">
        <v>140</v>
      </c>
      <c r="K321" s="91">
        <v>0</v>
      </c>
      <c r="L321" s="91">
        <v>0</v>
      </c>
      <c r="M321" s="92">
        <v>60</v>
      </c>
      <c r="N321" s="94">
        <v>10166</v>
      </c>
      <c r="O321" s="92">
        <v>1</v>
      </c>
      <c r="P321" s="94">
        <f t="shared" si="45"/>
        <v>10166</v>
      </c>
      <c r="Q321" s="181">
        <v>0.8</v>
      </c>
      <c r="R321" s="92">
        <v>10166</v>
      </c>
      <c r="S321" s="102">
        <f t="shared" si="49"/>
        <v>0</v>
      </c>
      <c r="T321" s="173">
        <f t="shared" si="53"/>
        <v>1152</v>
      </c>
      <c r="U321" s="101">
        <f t="shared" si="54"/>
        <v>0</v>
      </c>
      <c r="V321" s="101">
        <f t="shared" si="55"/>
        <v>0</v>
      </c>
      <c r="W321" s="101">
        <v>0</v>
      </c>
      <c r="X321" s="55">
        <f t="shared" si="56"/>
        <v>46153.255054012341</v>
      </c>
      <c r="Y321" s="511"/>
      <c r="Z321" s="511"/>
      <c r="AA321" s="511"/>
      <c r="AB321" s="511"/>
      <c r="AC321" s="511"/>
      <c r="AD321" s="511"/>
      <c r="AE321" s="511"/>
      <c r="AF321" s="511"/>
      <c r="AG321" s="511"/>
      <c r="AH321" s="511"/>
      <c r="AI321" s="511"/>
      <c r="AJ321" s="511"/>
      <c r="AK321" s="511"/>
      <c r="AL321" s="511"/>
      <c r="AM321" s="511"/>
      <c r="AN321" s="511"/>
    </row>
    <row r="322" spans="1:40" s="121" customFormat="1" ht="26.5" hidden="1" x14ac:dyDescent="0.35">
      <c r="A322" s="46">
        <f t="shared" si="47"/>
        <v>46153.255054012341</v>
      </c>
      <c r="B322" s="46">
        <v>46087</v>
      </c>
      <c r="C322" s="180">
        <f t="shared" si="52"/>
        <v>-66.255054012341134</v>
      </c>
      <c r="D322" s="180" t="s">
        <v>6833</v>
      </c>
      <c r="E322" s="119" t="s">
        <v>4999</v>
      </c>
      <c r="F322" s="97" t="s">
        <v>4390</v>
      </c>
      <c r="G322" s="97" t="s">
        <v>398</v>
      </c>
      <c r="H322" s="98" t="s">
        <v>6834</v>
      </c>
      <c r="I322" s="97" t="s">
        <v>2812</v>
      </c>
      <c r="J322" s="170" t="s">
        <v>140</v>
      </c>
      <c r="K322" s="91">
        <v>0</v>
      </c>
      <c r="L322" s="91">
        <v>0</v>
      </c>
      <c r="M322" s="92">
        <v>60</v>
      </c>
      <c r="N322" s="94">
        <v>50000</v>
      </c>
      <c r="O322" s="92">
        <v>1</v>
      </c>
      <c r="P322" s="94">
        <f t="shared" ref="P322:P323" si="57">N322/O322</f>
        <v>50000</v>
      </c>
      <c r="Q322" s="181">
        <v>0.8</v>
      </c>
      <c r="R322" s="92">
        <v>50000</v>
      </c>
      <c r="S322" s="102">
        <f t="shared" si="49"/>
        <v>0</v>
      </c>
      <c r="T322" s="173">
        <f t="shared" si="53"/>
        <v>1152</v>
      </c>
      <c r="U322" s="101">
        <f t="shared" si="54"/>
        <v>0</v>
      </c>
      <c r="V322" s="101">
        <f t="shared" si="55"/>
        <v>0</v>
      </c>
      <c r="W322" s="101">
        <v>0</v>
      </c>
      <c r="X322" s="55">
        <f t="shared" si="56"/>
        <v>46153.255054012341</v>
      </c>
      <c r="Y322" s="511"/>
      <c r="Z322" s="511"/>
      <c r="AA322" s="511"/>
      <c r="AB322" s="511"/>
      <c r="AC322" s="511"/>
      <c r="AD322" s="511"/>
      <c r="AE322" s="511"/>
      <c r="AF322" s="511"/>
      <c r="AG322" s="511"/>
      <c r="AH322" s="511"/>
      <c r="AI322" s="511"/>
      <c r="AJ322" s="511"/>
      <c r="AK322" s="511"/>
      <c r="AL322" s="511"/>
      <c r="AM322" s="511"/>
      <c r="AN322" s="511"/>
    </row>
    <row r="323" spans="1:40" s="243" customFormat="1" ht="25" customHeight="1" x14ac:dyDescent="0.35">
      <c r="A323" s="193">
        <f t="shared" si="47"/>
        <v>46153.255054012341</v>
      </c>
      <c r="B323" s="193">
        <v>46087</v>
      </c>
      <c r="C323" s="267">
        <f t="shared" si="52"/>
        <v>-66.255054012341134</v>
      </c>
      <c r="D323" s="267" t="s">
        <v>6833</v>
      </c>
      <c r="E323" s="111" t="s">
        <v>4999</v>
      </c>
      <c r="F323" s="112" t="s">
        <v>4390</v>
      </c>
      <c r="G323" s="112" t="s">
        <v>414</v>
      </c>
      <c r="H323" s="113" t="s">
        <v>6835</v>
      </c>
      <c r="I323" s="112" t="s">
        <v>2812</v>
      </c>
      <c r="J323" s="1153" t="s">
        <v>140</v>
      </c>
      <c r="K323" s="482">
        <v>0</v>
      </c>
      <c r="L323" s="482">
        <v>0</v>
      </c>
      <c r="M323" s="199">
        <v>60</v>
      </c>
      <c r="N323" s="483">
        <v>30000</v>
      </c>
      <c r="O323" s="199">
        <v>1</v>
      </c>
      <c r="P323" s="483">
        <f t="shared" si="57"/>
        <v>30000</v>
      </c>
      <c r="Q323" s="198">
        <v>0.8</v>
      </c>
      <c r="R323" s="199">
        <v>9105</v>
      </c>
      <c r="S323" s="116">
        <f t="shared" si="49"/>
        <v>20895</v>
      </c>
      <c r="T323" s="200">
        <f t="shared" si="53"/>
        <v>1152</v>
      </c>
      <c r="U323" s="115">
        <f t="shared" si="54"/>
        <v>435.3125</v>
      </c>
      <c r="V323" s="115">
        <f t="shared" si="55"/>
        <v>18.138020833333332</v>
      </c>
      <c r="W323" s="115">
        <v>0</v>
      </c>
      <c r="X323" s="201">
        <f t="shared" si="56"/>
        <v>46171.393074845677</v>
      </c>
      <c r="Y323" s="202"/>
      <c r="Z323" s="202"/>
      <c r="AA323" s="202"/>
      <c r="AB323" s="202"/>
      <c r="AC323" s="202"/>
      <c r="AD323" s="202"/>
      <c r="AE323" s="202"/>
      <c r="AF323" s="202"/>
      <c r="AG323" s="202"/>
      <c r="AH323" s="202"/>
      <c r="AI323" s="202"/>
      <c r="AJ323" s="202"/>
      <c r="AK323" s="202"/>
      <c r="AL323" s="202"/>
      <c r="AM323" s="202"/>
      <c r="AN323" s="202"/>
    </row>
    <row r="324" spans="1:40" s="178" customFormat="1" ht="25" customHeight="1" x14ac:dyDescent="0.35">
      <c r="A324" s="384"/>
      <c r="B324" s="384"/>
      <c r="C324" s="384"/>
      <c r="D324" s="384"/>
      <c r="E324" s="386"/>
      <c r="F324" s="798"/>
      <c r="G324" s="798"/>
      <c r="H324" s="799"/>
      <c r="I324" s="205"/>
      <c r="J324" s="310"/>
      <c r="K324" s="1154"/>
      <c r="L324" s="1154"/>
      <c r="M324" s="1155"/>
      <c r="N324" s="1156"/>
      <c r="O324" s="1155"/>
      <c r="P324" s="1155"/>
      <c r="Q324" s="1155"/>
      <c r="R324" s="1156"/>
      <c r="S324" s="1156"/>
      <c r="T324" s="1155"/>
      <c r="U324" s="1154"/>
      <c r="V324" s="1154"/>
      <c r="W324" s="1154"/>
      <c r="X324" s="388"/>
      <c r="Y324" s="487"/>
      <c r="Z324" s="487"/>
      <c r="AA324" s="487"/>
      <c r="AB324" s="487"/>
      <c r="AC324" s="487"/>
      <c r="AD324" s="487"/>
      <c r="AE324" s="487"/>
      <c r="AF324" s="487"/>
      <c r="AG324" s="487"/>
      <c r="AH324" s="487"/>
      <c r="AI324" s="487"/>
      <c r="AJ324" s="487"/>
      <c r="AK324" s="487"/>
      <c r="AL324" s="487"/>
      <c r="AM324" s="487"/>
      <c r="AN324" s="487"/>
    </row>
    <row r="325" spans="1:40" s="118" customFormat="1" ht="43.5" customHeight="1" x14ac:dyDescent="0.8">
      <c r="A325" s="1100" t="s">
        <v>5741</v>
      </c>
      <c r="B325" s="1100"/>
      <c r="C325" s="1100"/>
      <c r="D325" s="1100"/>
      <c r="E325" s="718"/>
      <c r="F325" s="213"/>
      <c r="G325" s="213"/>
      <c r="H325" s="311" t="s">
        <v>4269</v>
      </c>
      <c r="I325" s="1157"/>
      <c r="J325" s="40"/>
      <c r="K325" s="1101"/>
      <c r="L325" s="1101"/>
      <c r="M325" s="1102"/>
      <c r="N325" s="1103"/>
      <c r="O325" s="37"/>
      <c r="P325" s="37"/>
      <c r="Q325" s="37"/>
      <c r="R325" s="1103"/>
      <c r="S325" s="37"/>
      <c r="T325" s="37"/>
      <c r="U325" s="37"/>
      <c r="V325" s="37"/>
      <c r="W325" s="37"/>
      <c r="X325" s="1104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</row>
    <row r="326" spans="1:40" s="118" customFormat="1" hidden="1" x14ac:dyDescent="0.35">
      <c r="A326" s="71">
        <f>S7</f>
        <v>46153</v>
      </c>
      <c r="B326" s="71"/>
      <c r="C326" s="71"/>
      <c r="D326" s="71"/>
      <c r="E326" s="119" t="s">
        <v>5741</v>
      </c>
      <c r="F326" s="57" t="s">
        <v>6836</v>
      </c>
      <c r="G326" s="57"/>
      <c r="H326" s="49">
        <v>7575</v>
      </c>
      <c r="I326" s="82" t="s">
        <v>6837</v>
      </c>
      <c r="J326" s="100"/>
      <c r="K326" s="84">
        <v>0</v>
      </c>
      <c r="L326" s="84">
        <v>0</v>
      </c>
      <c r="M326" s="83">
        <v>90</v>
      </c>
      <c r="N326" s="223">
        <v>2000</v>
      </c>
      <c r="O326" s="83">
        <v>1</v>
      </c>
      <c r="P326" s="83">
        <f>N326/O326</f>
        <v>2000</v>
      </c>
      <c r="Q326" s="83"/>
      <c r="R326" s="223">
        <v>2000</v>
      </c>
      <c r="S326" s="223">
        <f t="shared" ref="S326:S389" si="58">P326-R326</f>
        <v>0</v>
      </c>
      <c r="T326" s="83">
        <f t="shared" ref="T326:T389" si="59">((3600/M326)*O326)*24</f>
        <v>960</v>
      </c>
      <c r="U326" s="84">
        <f t="shared" ref="U326:U389" si="60">(P326-R326)*M326/3600</f>
        <v>0</v>
      </c>
      <c r="V326" s="84">
        <f t="shared" ref="V326:V389" si="61">(P326-R326)*M326/3600/24</f>
        <v>0</v>
      </c>
      <c r="W326" s="84">
        <v>0</v>
      </c>
      <c r="X326" s="319">
        <f t="shared" ref="X326:X389" si="62">A326+K326+V326+W326+L326</f>
        <v>46153</v>
      </c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</row>
    <row r="327" spans="1:40" s="118" customFormat="1" hidden="1" x14ac:dyDescent="0.35">
      <c r="A327" s="71">
        <f t="shared" ref="A327:A390" si="63">X326</f>
        <v>46153</v>
      </c>
      <c r="B327" s="71"/>
      <c r="C327" s="71"/>
      <c r="D327" s="71"/>
      <c r="E327" s="119" t="s">
        <v>5741</v>
      </c>
      <c r="F327" s="57" t="s">
        <v>6838</v>
      </c>
      <c r="G327" s="57"/>
      <c r="H327" s="49">
        <v>7575</v>
      </c>
      <c r="I327" s="82" t="s">
        <v>6837</v>
      </c>
      <c r="J327" s="100"/>
      <c r="K327" s="84">
        <v>0</v>
      </c>
      <c r="L327" s="84">
        <v>0</v>
      </c>
      <c r="M327" s="83">
        <v>90</v>
      </c>
      <c r="N327" s="223">
        <v>2000</v>
      </c>
      <c r="O327" s="83">
        <v>1</v>
      </c>
      <c r="P327" s="83">
        <v>2000</v>
      </c>
      <c r="Q327" s="83"/>
      <c r="R327" s="223">
        <v>2000</v>
      </c>
      <c r="S327" s="223">
        <f t="shared" si="58"/>
        <v>0</v>
      </c>
      <c r="T327" s="83">
        <f t="shared" si="59"/>
        <v>960</v>
      </c>
      <c r="U327" s="84">
        <f t="shared" si="60"/>
        <v>0</v>
      </c>
      <c r="V327" s="84">
        <f t="shared" si="61"/>
        <v>0</v>
      </c>
      <c r="W327" s="84">
        <v>0</v>
      </c>
      <c r="X327" s="319">
        <f t="shared" si="62"/>
        <v>46153</v>
      </c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</row>
    <row r="328" spans="1:40" s="118" customFormat="1" hidden="1" x14ac:dyDescent="0.35">
      <c r="A328" s="71">
        <f t="shared" si="63"/>
        <v>46153</v>
      </c>
      <c r="B328" s="71"/>
      <c r="C328" s="71"/>
      <c r="D328" s="71"/>
      <c r="E328" s="119" t="s">
        <v>5741</v>
      </c>
      <c r="F328" s="57" t="s">
        <v>6838</v>
      </c>
      <c r="G328" s="57"/>
      <c r="H328" s="49">
        <v>7661</v>
      </c>
      <c r="I328" s="82" t="s">
        <v>6837</v>
      </c>
      <c r="J328" s="100"/>
      <c r="K328" s="84">
        <v>0</v>
      </c>
      <c r="L328" s="84">
        <v>0</v>
      </c>
      <c r="M328" s="83">
        <v>90</v>
      </c>
      <c r="N328" s="223">
        <v>5000</v>
      </c>
      <c r="O328" s="83">
        <v>1</v>
      </c>
      <c r="P328" s="83">
        <f>N328/O328</f>
        <v>5000</v>
      </c>
      <c r="Q328" s="83"/>
      <c r="R328" s="223">
        <f>-4000+9000</f>
        <v>5000</v>
      </c>
      <c r="S328" s="223">
        <f t="shared" si="58"/>
        <v>0</v>
      </c>
      <c r="T328" s="83">
        <f t="shared" si="59"/>
        <v>960</v>
      </c>
      <c r="U328" s="84">
        <f t="shared" si="60"/>
        <v>0</v>
      </c>
      <c r="V328" s="84">
        <f t="shared" si="61"/>
        <v>0</v>
      </c>
      <c r="W328" s="84">
        <v>0</v>
      </c>
      <c r="X328" s="319">
        <f t="shared" si="62"/>
        <v>46153</v>
      </c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</row>
    <row r="329" spans="1:40" s="118" customFormat="1" hidden="1" x14ac:dyDescent="0.35">
      <c r="A329" s="71">
        <f t="shared" si="63"/>
        <v>46153</v>
      </c>
      <c r="B329" s="71"/>
      <c r="C329" s="71"/>
      <c r="D329" s="71"/>
      <c r="E329" s="119" t="s">
        <v>5741</v>
      </c>
      <c r="F329" s="57" t="s">
        <v>6839</v>
      </c>
      <c r="G329" s="57"/>
      <c r="H329" s="49">
        <v>7661</v>
      </c>
      <c r="I329" s="82" t="s">
        <v>6837</v>
      </c>
      <c r="J329" s="100"/>
      <c r="K329" s="84">
        <v>0</v>
      </c>
      <c r="L329" s="84">
        <v>0</v>
      </c>
      <c r="M329" s="83">
        <v>90</v>
      </c>
      <c r="N329" s="223">
        <v>2500</v>
      </c>
      <c r="O329" s="83">
        <v>1</v>
      </c>
      <c r="P329" s="83">
        <f>N329/O329</f>
        <v>2500</v>
      </c>
      <c r="Q329" s="83"/>
      <c r="R329" s="223">
        <v>2500</v>
      </c>
      <c r="S329" s="223">
        <f t="shared" si="58"/>
        <v>0</v>
      </c>
      <c r="T329" s="83">
        <f t="shared" si="59"/>
        <v>960</v>
      </c>
      <c r="U329" s="84">
        <f t="shared" si="60"/>
        <v>0</v>
      </c>
      <c r="V329" s="84">
        <f t="shared" si="61"/>
        <v>0</v>
      </c>
      <c r="W329" s="84">
        <v>0</v>
      </c>
      <c r="X329" s="319">
        <f t="shared" si="62"/>
        <v>46153</v>
      </c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</row>
    <row r="330" spans="1:40" s="118" customFormat="1" ht="29" hidden="1" x14ac:dyDescent="0.35">
      <c r="A330" s="71">
        <f t="shared" si="63"/>
        <v>46153</v>
      </c>
      <c r="B330" s="71"/>
      <c r="C330" s="71"/>
      <c r="D330" s="71"/>
      <c r="E330" s="119" t="s">
        <v>5741</v>
      </c>
      <c r="F330" s="57" t="s">
        <v>6840</v>
      </c>
      <c r="G330" s="57"/>
      <c r="H330" s="49">
        <v>7860</v>
      </c>
      <c r="I330" s="82" t="s">
        <v>6837</v>
      </c>
      <c r="J330" s="100"/>
      <c r="K330" s="84">
        <v>0</v>
      </c>
      <c r="L330" s="84">
        <v>0</v>
      </c>
      <c r="M330" s="83">
        <v>90</v>
      </c>
      <c r="N330" s="223">
        <v>8600</v>
      </c>
      <c r="O330" s="83">
        <v>1</v>
      </c>
      <c r="P330" s="83">
        <f>N330/O330</f>
        <v>8600</v>
      </c>
      <c r="Q330" s="83"/>
      <c r="R330" s="223">
        <f>2813+5787</f>
        <v>8600</v>
      </c>
      <c r="S330" s="223">
        <f t="shared" si="58"/>
        <v>0</v>
      </c>
      <c r="T330" s="83">
        <f t="shared" si="59"/>
        <v>960</v>
      </c>
      <c r="U330" s="84">
        <f t="shared" si="60"/>
        <v>0</v>
      </c>
      <c r="V330" s="84">
        <f t="shared" si="61"/>
        <v>0</v>
      </c>
      <c r="W330" s="84">
        <v>0</v>
      </c>
      <c r="X330" s="319">
        <f t="shared" si="62"/>
        <v>46153</v>
      </c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</row>
    <row r="331" spans="1:40" s="118" customFormat="1" hidden="1" x14ac:dyDescent="0.35">
      <c r="A331" s="71">
        <f t="shared" si="63"/>
        <v>46153</v>
      </c>
      <c r="B331" s="71"/>
      <c r="C331" s="71"/>
      <c r="D331" s="71"/>
      <c r="E331" s="119" t="s">
        <v>5741</v>
      </c>
      <c r="F331" s="57" t="s">
        <v>6841</v>
      </c>
      <c r="G331" s="57"/>
      <c r="H331" s="49">
        <v>7860</v>
      </c>
      <c r="I331" s="82" t="s">
        <v>6837</v>
      </c>
      <c r="J331" s="100"/>
      <c r="K331" s="84">
        <v>0</v>
      </c>
      <c r="L331" s="84">
        <v>0</v>
      </c>
      <c r="M331" s="83">
        <v>90</v>
      </c>
      <c r="N331" s="223">
        <v>2000</v>
      </c>
      <c r="O331" s="83">
        <v>1</v>
      </c>
      <c r="P331" s="83">
        <f>N331/O331</f>
        <v>2000</v>
      </c>
      <c r="Q331" s="83"/>
      <c r="R331" s="223">
        <f>-5787+7787</f>
        <v>2000</v>
      </c>
      <c r="S331" s="223">
        <f t="shared" si="58"/>
        <v>0</v>
      </c>
      <c r="T331" s="83">
        <f t="shared" si="59"/>
        <v>960</v>
      </c>
      <c r="U331" s="84">
        <f t="shared" si="60"/>
        <v>0</v>
      </c>
      <c r="V331" s="84">
        <f t="shared" si="61"/>
        <v>0</v>
      </c>
      <c r="W331" s="84">
        <v>0</v>
      </c>
      <c r="X331" s="319">
        <f t="shared" si="62"/>
        <v>46153</v>
      </c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</row>
    <row r="332" spans="1:40" s="118" customFormat="1" hidden="1" x14ac:dyDescent="0.35">
      <c r="A332" s="71">
        <f t="shared" si="63"/>
        <v>46153</v>
      </c>
      <c r="B332" s="71"/>
      <c r="C332" s="71"/>
      <c r="D332" s="71"/>
      <c r="E332" s="119" t="s">
        <v>5741</v>
      </c>
      <c r="F332" s="57" t="s">
        <v>6842</v>
      </c>
      <c r="G332" s="57"/>
      <c r="H332" s="49">
        <v>7860</v>
      </c>
      <c r="I332" s="82" t="s">
        <v>6837</v>
      </c>
      <c r="J332" s="100"/>
      <c r="K332" s="84">
        <v>0</v>
      </c>
      <c r="L332" s="84">
        <v>0</v>
      </c>
      <c r="M332" s="83">
        <v>90</v>
      </c>
      <c r="N332" s="223">
        <v>4000</v>
      </c>
      <c r="O332" s="83">
        <v>1</v>
      </c>
      <c r="P332" s="83">
        <v>4559</v>
      </c>
      <c r="Q332" s="83"/>
      <c r="R332" s="223">
        <f>-7787+12346</f>
        <v>4559</v>
      </c>
      <c r="S332" s="223">
        <f t="shared" si="58"/>
        <v>0</v>
      </c>
      <c r="T332" s="83">
        <f t="shared" si="59"/>
        <v>960</v>
      </c>
      <c r="U332" s="84">
        <f t="shared" si="60"/>
        <v>0</v>
      </c>
      <c r="V332" s="84">
        <f t="shared" si="61"/>
        <v>0</v>
      </c>
      <c r="W332" s="84">
        <v>0</v>
      </c>
      <c r="X332" s="319">
        <f t="shared" si="62"/>
        <v>46153</v>
      </c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</row>
    <row r="333" spans="1:40" s="118" customFormat="1" ht="29" hidden="1" x14ac:dyDescent="0.35">
      <c r="A333" s="71">
        <f t="shared" si="63"/>
        <v>46153</v>
      </c>
      <c r="B333" s="71"/>
      <c r="C333" s="71"/>
      <c r="D333" s="71"/>
      <c r="E333" s="119" t="s">
        <v>4651</v>
      </c>
      <c r="F333" s="48" t="s">
        <v>6843</v>
      </c>
      <c r="G333" s="48"/>
      <c r="H333" s="49" t="s">
        <v>6703</v>
      </c>
      <c r="I333" s="82" t="s">
        <v>6704</v>
      </c>
      <c r="J333" s="100"/>
      <c r="K333" s="84">
        <v>0</v>
      </c>
      <c r="L333" s="84">
        <v>0</v>
      </c>
      <c r="M333" s="83">
        <v>70</v>
      </c>
      <c r="N333" s="223">
        <v>2500</v>
      </c>
      <c r="O333" s="83">
        <v>1</v>
      </c>
      <c r="P333" s="83">
        <v>2640</v>
      </c>
      <c r="Q333" s="83"/>
      <c r="R333" s="223">
        <v>2640</v>
      </c>
      <c r="S333" s="223">
        <f t="shared" si="58"/>
        <v>0</v>
      </c>
      <c r="T333" s="83">
        <f t="shared" si="59"/>
        <v>1234.2857142857142</v>
      </c>
      <c r="U333" s="84">
        <f t="shared" si="60"/>
        <v>0</v>
      </c>
      <c r="V333" s="84">
        <f t="shared" si="61"/>
        <v>0</v>
      </c>
      <c r="W333" s="84">
        <v>0</v>
      </c>
      <c r="X333" s="319">
        <f t="shared" si="62"/>
        <v>46153</v>
      </c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</row>
    <row r="334" spans="1:40" s="118" customFormat="1" hidden="1" x14ac:dyDescent="0.35">
      <c r="A334" s="71">
        <f t="shared" si="63"/>
        <v>46153</v>
      </c>
      <c r="B334" s="71"/>
      <c r="C334" s="71"/>
      <c r="D334" s="71"/>
      <c r="E334" s="119" t="s">
        <v>5741</v>
      </c>
      <c r="F334" s="48" t="s">
        <v>55</v>
      </c>
      <c r="G334" s="48"/>
      <c r="H334" s="49">
        <v>7577</v>
      </c>
      <c r="I334" s="106" t="s">
        <v>6844</v>
      </c>
      <c r="J334" s="100"/>
      <c r="K334" s="84">
        <v>0</v>
      </c>
      <c r="L334" s="84">
        <v>0</v>
      </c>
      <c r="M334" s="83">
        <v>50</v>
      </c>
      <c r="N334" s="223">
        <v>2000</v>
      </c>
      <c r="O334" s="83">
        <v>1</v>
      </c>
      <c r="P334" s="83">
        <v>2232</v>
      </c>
      <c r="Q334" s="83"/>
      <c r="R334" s="223">
        <v>2232</v>
      </c>
      <c r="S334" s="223">
        <f t="shared" si="58"/>
        <v>0</v>
      </c>
      <c r="T334" s="83">
        <f t="shared" si="59"/>
        <v>1728</v>
      </c>
      <c r="U334" s="84">
        <f t="shared" si="60"/>
        <v>0</v>
      </c>
      <c r="V334" s="84">
        <f t="shared" si="61"/>
        <v>0</v>
      </c>
      <c r="W334" s="84">
        <v>0</v>
      </c>
      <c r="X334" s="319">
        <f t="shared" si="62"/>
        <v>46153</v>
      </c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</row>
    <row r="335" spans="1:40" s="118" customFormat="1" hidden="1" x14ac:dyDescent="0.35">
      <c r="A335" s="71">
        <f t="shared" si="63"/>
        <v>46153</v>
      </c>
      <c r="B335" s="71"/>
      <c r="C335" s="71"/>
      <c r="D335" s="71"/>
      <c r="E335" s="119" t="s">
        <v>5741</v>
      </c>
      <c r="F335" s="48" t="s">
        <v>55</v>
      </c>
      <c r="G335" s="48"/>
      <c r="H335" s="49">
        <v>7576</v>
      </c>
      <c r="I335" s="106" t="s">
        <v>6845</v>
      </c>
      <c r="J335" s="100"/>
      <c r="K335" s="84">
        <v>0</v>
      </c>
      <c r="L335" s="84">
        <v>0</v>
      </c>
      <c r="M335" s="83">
        <v>60</v>
      </c>
      <c r="N335" s="223">
        <v>2000</v>
      </c>
      <c r="O335" s="83">
        <v>1</v>
      </c>
      <c r="P335" s="83">
        <v>2127</v>
      </c>
      <c r="Q335" s="83"/>
      <c r="R335" s="223">
        <v>2127</v>
      </c>
      <c r="S335" s="223">
        <f t="shared" si="58"/>
        <v>0</v>
      </c>
      <c r="T335" s="83">
        <f t="shared" si="59"/>
        <v>1440</v>
      </c>
      <c r="U335" s="84">
        <f t="shared" si="60"/>
        <v>0</v>
      </c>
      <c r="V335" s="84">
        <f t="shared" si="61"/>
        <v>0</v>
      </c>
      <c r="W335" s="84">
        <v>0</v>
      </c>
      <c r="X335" s="319">
        <f t="shared" si="62"/>
        <v>46153</v>
      </c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</row>
    <row r="336" spans="1:40" s="118" customFormat="1" hidden="1" x14ac:dyDescent="0.35">
      <c r="A336" s="71">
        <f t="shared" si="63"/>
        <v>46153</v>
      </c>
      <c r="B336" s="71"/>
      <c r="C336" s="71"/>
      <c r="D336" s="71"/>
      <c r="E336" s="119" t="s">
        <v>5741</v>
      </c>
      <c r="F336" s="48" t="s">
        <v>55</v>
      </c>
      <c r="G336" s="48"/>
      <c r="H336" s="49" t="s">
        <v>6846</v>
      </c>
      <c r="I336" s="82" t="s">
        <v>6837</v>
      </c>
      <c r="J336" s="100"/>
      <c r="K336" s="84">
        <v>0</v>
      </c>
      <c r="L336" s="84">
        <v>0</v>
      </c>
      <c r="M336" s="83">
        <v>90</v>
      </c>
      <c r="N336" s="223">
        <v>7000</v>
      </c>
      <c r="O336" s="83">
        <v>1</v>
      </c>
      <c r="P336" s="83">
        <v>8028</v>
      </c>
      <c r="Q336" s="83"/>
      <c r="R336" s="223">
        <f>7200+828</f>
        <v>8028</v>
      </c>
      <c r="S336" s="223">
        <f t="shared" si="58"/>
        <v>0</v>
      </c>
      <c r="T336" s="83">
        <f t="shared" si="59"/>
        <v>960</v>
      </c>
      <c r="U336" s="84">
        <f t="shared" si="60"/>
        <v>0</v>
      </c>
      <c r="V336" s="84">
        <f t="shared" si="61"/>
        <v>0</v>
      </c>
      <c r="W336" s="84">
        <v>0</v>
      </c>
      <c r="X336" s="319">
        <f t="shared" si="62"/>
        <v>46153</v>
      </c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</row>
    <row r="337" spans="1:40" s="118" customFormat="1" hidden="1" x14ac:dyDescent="0.35">
      <c r="A337" s="71">
        <f t="shared" si="63"/>
        <v>46153</v>
      </c>
      <c r="B337" s="71"/>
      <c r="C337" s="71"/>
      <c r="D337" s="71"/>
      <c r="E337" s="119" t="s">
        <v>5741</v>
      </c>
      <c r="F337" s="48" t="s">
        <v>55</v>
      </c>
      <c r="G337" s="48"/>
      <c r="H337" s="59" t="s">
        <v>6847</v>
      </c>
      <c r="I337" s="106" t="s">
        <v>6848</v>
      </c>
      <c r="J337" s="100"/>
      <c r="K337" s="84">
        <v>0</v>
      </c>
      <c r="L337" s="84">
        <v>0</v>
      </c>
      <c r="M337" s="83">
        <v>70</v>
      </c>
      <c r="N337" s="223">
        <v>600</v>
      </c>
      <c r="O337" s="83">
        <v>1</v>
      </c>
      <c r="P337" s="83">
        <v>643</v>
      </c>
      <c r="Q337" s="83"/>
      <c r="R337" s="223">
        <v>643</v>
      </c>
      <c r="S337" s="223">
        <f t="shared" si="58"/>
        <v>0</v>
      </c>
      <c r="T337" s="83">
        <f t="shared" si="59"/>
        <v>1234.2857142857142</v>
      </c>
      <c r="U337" s="84">
        <f t="shared" si="60"/>
        <v>0</v>
      </c>
      <c r="V337" s="84">
        <f t="shared" si="61"/>
        <v>0</v>
      </c>
      <c r="W337" s="84">
        <v>0</v>
      </c>
      <c r="X337" s="319">
        <f t="shared" si="62"/>
        <v>46153</v>
      </c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</row>
    <row r="338" spans="1:40" s="118" customFormat="1" hidden="1" x14ac:dyDescent="0.35">
      <c r="A338" s="71">
        <f t="shared" si="63"/>
        <v>46153</v>
      </c>
      <c r="B338" s="71"/>
      <c r="C338" s="71"/>
      <c r="D338" s="71"/>
      <c r="E338" s="119" t="s">
        <v>5741</v>
      </c>
      <c r="F338" s="57" t="s">
        <v>55</v>
      </c>
      <c r="G338" s="57"/>
      <c r="H338" s="49" t="s">
        <v>6849</v>
      </c>
      <c r="I338" s="106" t="s">
        <v>2709</v>
      </c>
      <c r="J338" s="100"/>
      <c r="K338" s="84">
        <v>0</v>
      </c>
      <c r="L338" s="84">
        <v>0</v>
      </c>
      <c r="M338" s="83">
        <v>60</v>
      </c>
      <c r="N338" s="223">
        <v>1600</v>
      </c>
      <c r="O338" s="83">
        <v>2</v>
      </c>
      <c r="P338" s="83">
        <f>N338/O338</f>
        <v>800</v>
      </c>
      <c r="Q338" s="83"/>
      <c r="R338" s="223">
        <v>800</v>
      </c>
      <c r="S338" s="223">
        <f t="shared" si="58"/>
        <v>0</v>
      </c>
      <c r="T338" s="83">
        <f t="shared" si="59"/>
        <v>2880</v>
      </c>
      <c r="U338" s="84">
        <f t="shared" si="60"/>
        <v>0</v>
      </c>
      <c r="V338" s="84">
        <f t="shared" si="61"/>
        <v>0</v>
      </c>
      <c r="W338" s="84">
        <v>0</v>
      </c>
      <c r="X338" s="319">
        <f t="shared" si="62"/>
        <v>46153</v>
      </c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</row>
    <row r="339" spans="1:40" s="118" customFormat="1" hidden="1" x14ac:dyDescent="0.35">
      <c r="A339" s="71">
        <f t="shared" si="63"/>
        <v>46153</v>
      </c>
      <c r="B339" s="71"/>
      <c r="C339" s="71"/>
      <c r="D339" s="71"/>
      <c r="E339" s="119" t="s">
        <v>5741</v>
      </c>
      <c r="F339" s="57" t="s">
        <v>55</v>
      </c>
      <c r="G339" s="57"/>
      <c r="H339" s="49" t="s">
        <v>6850</v>
      </c>
      <c r="I339" s="106" t="s">
        <v>2711</v>
      </c>
      <c r="J339" s="100"/>
      <c r="K339" s="84">
        <v>0</v>
      </c>
      <c r="L339" s="84">
        <v>0</v>
      </c>
      <c r="M339" s="83">
        <v>85</v>
      </c>
      <c r="N339" s="223">
        <v>1600</v>
      </c>
      <c r="O339" s="83">
        <v>2</v>
      </c>
      <c r="P339" s="83">
        <f>N339/O339</f>
        <v>800</v>
      </c>
      <c r="Q339" s="83"/>
      <c r="R339" s="223">
        <v>800</v>
      </c>
      <c r="S339" s="223">
        <f t="shared" si="58"/>
        <v>0</v>
      </c>
      <c r="T339" s="83">
        <f t="shared" si="59"/>
        <v>2032.9411764705883</v>
      </c>
      <c r="U339" s="84">
        <f t="shared" si="60"/>
        <v>0</v>
      </c>
      <c r="V339" s="84">
        <f t="shared" si="61"/>
        <v>0</v>
      </c>
      <c r="W339" s="84">
        <v>0</v>
      </c>
      <c r="X339" s="319">
        <f t="shared" si="62"/>
        <v>46153</v>
      </c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</row>
    <row r="340" spans="1:40" s="118" customFormat="1" hidden="1" x14ac:dyDescent="0.35">
      <c r="A340" s="71">
        <f t="shared" si="63"/>
        <v>46153</v>
      </c>
      <c r="B340" s="71"/>
      <c r="C340" s="71"/>
      <c r="D340" s="71"/>
      <c r="E340" s="119" t="s">
        <v>5741</v>
      </c>
      <c r="F340" s="48" t="s">
        <v>1336</v>
      </c>
      <c r="G340" s="48"/>
      <c r="H340" s="49" t="s">
        <v>6851</v>
      </c>
      <c r="I340" s="82" t="s">
        <v>6704</v>
      </c>
      <c r="J340" s="100"/>
      <c r="K340" s="84">
        <v>0</v>
      </c>
      <c r="L340" s="84">
        <v>0</v>
      </c>
      <c r="M340" s="83">
        <v>70</v>
      </c>
      <c r="N340" s="223">
        <v>4000</v>
      </c>
      <c r="O340" s="83">
        <v>1</v>
      </c>
      <c r="P340" s="83">
        <v>4159</v>
      </c>
      <c r="Q340" s="83"/>
      <c r="R340" s="223">
        <v>4159</v>
      </c>
      <c r="S340" s="223">
        <f t="shared" si="58"/>
        <v>0</v>
      </c>
      <c r="T340" s="83">
        <f t="shared" si="59"/>
        <v>1234.2857142857142</v>
      </c>
      <c r="U340" s="84">
        <f t="shared" si="60"/>
        <v>0</v>
      </c>
      <c r="V340" s="84">
        <f t="shared" si="61"/>
        <v>0</v>
      </c>
      <c r="W340" s="84">
        <v>0</v>
      </c>
      <c r="X340" s="319">
        <f t="shared" si="62"/>
        <v>46153</v>
      </c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</row>
    <row r="341" spans="1:40" s="118" customFormat="1" hidden="1" x14ac:dyDescent="0.35">
      <c r="A341" s="71">
        <f t="shared" si="63"/>
        <v>46153</v>
      </c>
      <c r="B341" s="71"/>
      <c r="C341" s="71"/>
      <c r="D341" s="71"/>
      <c r="E341" s="119" t="s">
        <v>5741</v>
      </c>
      <c r="F341" s="57" t="s">
        <v>104</v>
      </c>
      <c r="G341" s="57"/>
      <c r="H341" s="49" t="s">
        <v>6852</v>
      </c>
      <c r="I341" s="82" t="s">
        <v>6837</v>
      </c>
      <c r="J341" s="100"/>
      <c r="K341" s="84">
        <v>0</v>
      </c>
      <c r="L341" s="84">
        <v>0</v>
      </c>
      <c r="M341" s="83">
        <v>90</v>
      </c>
      <c r="N341" s="223">
        <v>7510</v>
      </c>
      <c r="O341" s="83">
        <v>1</v>
      </c>
      <c r="P341" s="83">
        <f t="shared" ref="P341:P404" si="64">N341/O341</f>
        <v>7510</v>
      </c>
      <c r="Q341" s="83"/>
      <c r="R341" s="223">
        <v>7510</v>
      </c>
      <c r="S341" s="223">
        <f t="shared" si="58"/>
        <v>0</v>
      </c>
      <c r="T341" s="83">
        <f t="shared" si="59"/>
        <v>960</v>
      </c>
      <c r="U341" s="84">
        <f t="shared" si="60"/>
        <v>0</v>
      </c>
      <c r="V341" s="84">
        <f t="shared" si="61"/>
        <v>0</v>
      </c>
      <c r="W341" s="84">
        <v>0</v>
      </c>
      <c r="X341" s="319">
        <f t="shared" si="62"/>
        <v>46153</v>
      </c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</row>
    <row r="342" spans="1:40" s="118" customFormat="1" hidden="1" x14ac:dyDescent="0.35">
      <c r="A342" s="71">
        <f t="shared" si="63"/>
        <v>46153</v>
      </c>
      <c r="B342" s="71"/>
      <c r="C342" s="71"/>
      <c r="D342" s="71"/>
      <c r="E342" s="119" t="s">
        <v>1684</v>
      </c>
      <c r="F342" s="56" t="s">
        <v>55</v>
      </c>
      <c r="G342" s="56"/>
      <c r="H342" s="49" t="s">
        <v>6853</v>
      </c>
      <c r="I342" s="82" t="s">
        <v>6854</v>
      </c>
      <c r="J342" s="100"/>
      <c r="K342" s="84">
        <v>0</v>
      </c>
      <c r="L342" s="84">
        <v>0</v>
      </c>
      <c r="M342" s="83">
        <v>730</v>
      </c>
      <c r="N342" s="223">
        <v>50</v>
      </c>
      <c r="O342" s="83">
        <v>1</v>
      </c>
      <c r="P342" s="83">
        <f t="shared" si="64"/>
        <v>50</v>
      </c>
      <c r="Q342" s="83"/>
      <c r="R342" s="223">
        <v>50</v>
      </c>
      <c r="S342" s="223">
        <f t="shared" si="58"/>
        <v>0</v>
      </c>
      <c r="T342" s="83">
        <f t="shared" si="59"/>
        <v>118.35616438356165</v>
      </c>
      <c r="U342" s="84">
        <f t="shared" si="60"/>
        <v>0</v>
      </c>
      <c r="V342" s="84">
        <f t="shared" si="61"/>
        <v>0</v>
      </c>
      <c r="W342" s="84">
        <v>0</v>
      </c>
      <c r="X342" s="319">
        <f t="shared" si="62"/>
        <v>46153</v>
      </c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</row>
    <row r="343" spans="1:40" s="118" customFormat="1" hidden="1" x14ac:dyDescent="0.35">
      <c r="A343" s="71">
        <f t="shared" si="63"/>
        <v>46153</v>
      </c>
      <c r="B343" s="71"/>
      <c r="C343" s="71"/>
      <c r="D343" s="71"/>
      <c r="E343" s="119" t="s">
        <v>1684</v>
      </c>
      <c r="F343" s="56" t="s">
        <v>55</v>
      </c>
      <c r="G343" s="56"/>
      <c r="H343" s="49" t="s">
        <v>6855</v>
      </c>
      <c r="I343" s="82" t="s">
        <v>63</v>
      </c>
      <c r="J343" s="100"/>
      <c r="K343" s="84">
        <v>0</v>
      </c>
      <c r="L343" s="84">
        <v>0</v>
      </c>
      <c r="M343" s="83">
        <v>730</v>
      </c>
      <c r="N343" s="223">
        <v>50</v>
      </c>
      <c r="O343" s="83">
        <v>1</v>
      </c>
      <c r="P343" s="83">
        <f t="shared" si="64"/>
        <v>50</v>
      </c>
      <c r="Q343" s="83"/>
      <c r="R343" s="223">
        <v>50</v>
      </c>
      <c r="S343" s="223">
        <f t="shared" si="58"/>
        <v>0</v>
      </c>
      <c r="T343" s="83">
        <f t="shared" si="59"/>
        <v>118.35616438356165</v>
      </c>
      <c r="U343" s="84">
        <f t="shared" si="60"/>
        <v>0</v>
      </c>
      <c r="V343" s="84">
        <f t="shared" si="61"/>
        <v>0</v>
      </c>
      <c r="W343" s="84">
        <v>0</v>
      </c>
      <c r="X343" s="319">
        <f t="shared" si="62"/>
        <v>46153</v>
      </c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</row>
    <row r="344" spans="1:40" s="118" customFormat="1" hidden="1" x14ac:dyDescent="0.35">
      <c r="A344" s="71">
        <f t="shared" si="63"/>
        <v>46153</v>
      </c>
      <c r="B344" s="71"/>
      <c r="C344" s="71"/>
      <c r="D344" s="71"/>
      <c r="E344" s="119" t="s">
        <v>5741</v>
      </c>
      <c r="F344" s="56" t="s">
        <v>55</v>
      </c>
      <c r="G344" s="56"/>
      <c r="H344" s="59" t="s">
        <v>6856</v>
      </c>
      <c r="I344" s="106" t="s">
        <v>6845</v>
      </c>
      <c r="J344" s="100"/>
      <c r="K344" s="84">
        <v>0</v>
      </c>
      <c r="L344" s="84">
        <v>0</v>
      </c>
      <c r="M344" s="83">
        <v>60</v>
      </c>
      <c r="N344" s="223">
        <v>1033</v>
      </c>
      <c r="O344" s="83">
        <v>1</v>
      </c>
      <c r="P344" s="83">
        <f t="shared" si="64"/>
        <v>1033</v>
      </c>
      <c r="Q344" s="83"/>
      <c r="R344" s="223">
        <v>1033</v>
      </c>
      <c r="S344" s="223">
        <f t="shared" si="58"/>
        <v>0</v>
      </c>
      <c r="T344" s="83">
        <f t="shared" si="59"/>
        <v>1440</v>
      </c>
      <c r="U344" s="84">
        <f t="shared" si="60"/>
        <v>0</v>
      </c>
      <c r="V344" s="84">
        <f t="shared" si="61"/>
        <v>0</v>
      </c>
      <c r="W344" s="84">
        <v>0</v>
      </c>
      <c r="X344" s="319">
        <f t="shared" si="62"/>
        <v>46153</v>
      </c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</row>
    <row r="345" spans="1:40" s="118" customFormat="1" hidden="1" x14ac:dyDescent="0.35">
      <c r="A345" s="71">
        <f t="shared" si="63"/>
        <v>46153</v>
      </c>
      <c r="B345" s="71"/>
      <c r="C345" s="71"/>
      <c r="D345" s="71"/>
      <c r="E345" s="119" t="s">
        <v>5741</v>
      </c>
      <c r="F345" s="61" t="s">
        <v>55</v>
      </c>
      <c r="G345" s="61"/>
      <c r="H345" s="59" t="s">
        <v>6857</v>
      </c>
      <c r="I345" s="106" t="s">
        <v>6844</v>
      </c>
      <c r="J345" s="100"/>
      <c r="K345" s="84">
        <v>0</v>
      </c>
      <c r="L345" s="84">
        <v>0</v>
      </c>
      <c r="M345" s="83">
        <v>50</v>
      </c>
      <c r="N345" s="223">
        <v>1600</v>
      </c>
      <c r="O345" s="83">
        <v>1</v>
      </c>
      <c r="P345" s="83">
        <f t="shared" si="64"/>
        <v>1600</v>
      </c>
      <c r="Q345" s="83"/>
      <c r="R345" s="223">
        <v>1600</v>
      </c>
      <c r="S345" s="223">
        <f t="shared" si="58"/>
        <v>0</v>
      </c>
      <c r="T345" s="83">
        <f t="shared" si="59"/>
        <v>1728</v>
      </c>
      <c r="U345" s="84">
        <f t="shared" si="60"/>
        <v>0</v>
      </c>
      <c r="V345" s="84">
        <f t="shared" si="61"/>
        <v>0</v>
      </c>
      <c r="W345" s="84">
        <v>0</v>
      </c>
      <c r="X345" s="319">
        <f t="shared" si="62"/>
        <v>46153</v>
      </c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</row>
    <row r="346" spans="1:40" s="118" customFormat="1" hidden="1" x14ac:dyDescent="0.35">
      <c r="A346" s="71">
        <f t="shared" si="63"/>
        <v>46153</v>
      </c>
      <c r="B346" s="71"/>
      <c r="C346" s="71"/>
      <c r="D346" s="71"/>
      <c r="E346" s="119" t="s">
        <v>5741</v>
      </c>
      <c r="F346" s="1158" t="s">
        <v>6858</v>
      </c>
      <c r="G346" s="1158"/>
      <c r="H346" s="49" t="s">
        <v>6859</v>
      </c>
      <c r="I346" s="82" t="s">
        <v>6860</v>
      </c>
      <c r="J346" s="100" t="s">
        <v>140</v>
      </c>
      <c r="K346" s="84">
        <v>0</v>
      </c>
      <c r="L346" s="84">
        <v>0</v>
      </c>
      <c r="M346" s="83">
        <v>90</v>
      </c>
      <c r="N346" s="223">
        <v>7435</v>
      </c>
      <c r="O346" s="83">
        <v>1</v>
      </c>
      <c r="P346" s="83">
        <f t="shared" si="64"/>
        <v>7435</v>
      </c>
      <c r="Q346" s="83"/>
      <c r="R346" s="223">
        <v>7435</v>
      </c>
      <c r="S346" s="223">
        <f t="shared" si="58"/>
        <v>0</v>
      </c>
      <c r="T346" s="83">
        <f t="shared" si="59"/>
        <v>960</v>
      </c>
      <c r="U346" s="84">
        <f t="shared" si="60"/>
        <v>0</v>
      </c>
      <c r="V346" s="84">
        <f t="shared" si="61"/>
        <v>0</v>
      </c>
      <c r="W346" s="84">
        <v>0</v>
      </c>
      <c r="X346" s="319">
        <f t="shared" si="62"/>
        <v>46153</v>
      </c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</row>
    <row r="347" spans="1:40" s="118" customFormat="1" hidden="1" x14ac:dyDescent="0.35">
      <c r="A347" s="71">
        <f t="shared" si="63"/>
        <v>46153</v>
      </c>
      <c r="B347" s="71"/>
      <c r="C347" s="71"/>
      <c r="D347" s="71"/>
      <c r="E347" s="119" t="s">
        <v>5741</v>
      </c>
      <c r="F347" s="48" t="s">
        <v>55</v>
      </c>
      <c r="G347" s="48"/>
      <c r="H347" s="59" t="s">
        <v>6861</v>
      </c>
      <c r="I347" s="106" t="s">
        <v>1898</v>
      </c>
      <c r="J347" s="100" t="s">
        <v>140</v>
      </c>
      <c r="K347" s="84">
        <v>0</v>
      </c>
      <c r="L347" s="84">
        <v>0</v>
      </c>
      <c r="M347" s="83">
        <v>70</v>
      </c>
      <c r="N347" s="223">
        <v>1200</v>
      </c>
      <c r="O347" s="83">
        <v>1</v>
      </c>
      <c r="P347" s="83">
        <f t="shared" si="64"/>
        <v>1200</v>
      </c>
      <c r="Q347" s="83"/>
      <c r="R347" s="223">
        <v>1200</v>
      </c>
      <c r="S347" s="223">
        <f t="shared" si="58"/>
        <v>0</v>
      </c>
      <c r="T347" s="83">
        <f t="shared" si="59"/>
        <v>1234.2857142857142</v>
      </c>
      <c r="U347" s="84">
        <f t="shared" si="60"/>
        <v>0</v>
      </c>
      <c r="V347" s="84">
        <f t="shared" si="61"/>
        <v>0</v>
      </c>
      <c r="W347" s="84">
        <v>0</v>
      </c>
      <c r="X347" s="319">
        <f t="shared" si="62"/>
        <v>46153</v>
      </c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</row>
    <row r="348" spans="1:40" s="118" customFormat="1" ht="29" hidden="1" x14ac:dyDescent="0.35">
      <c r="A348" s="71">
        <f t="shared" si="63"/>
        <v>46153</v>
      </c>
      <c r="B348" s="71"/>
      <c r="C348" s="71"/>
      <c r="D348" s="71"/>
      <c r="E348" s="119" t="s">
        <v>5741</v>
      </c>
      <c r="F348" s="57" t="s">
        <v>165</v>
      </c>
      <c r="G348" s="57"/>
      <c r="H348" s="49" t="s">
        <v>6862</v>
      </c>
      <c r="I348" s="106" t="s">
        <v>1556</v>
      </c>
      <c r="J348" s="100"/>
      <c r="K348" s="84">
        <v>0</v>
      </c>
      <c r="L348" s="84">
        <v>0</v>
      </c>
      <c r="M348" s="83">
        <v>60</v>
      </c>
      <c r="N348" s="223">
        <v>3600</v>
      </c>
      <c r="O348" s="83">
        <v>2</v>
      </c>
      <c r="P348" s="83">
        <f t="shared" si="64"/>
        <v>1800</v>
      </c>
      <c r="Q348" s="83"/>
      <c r="R348" s="223">
        <v>1800</v>
      </c>
      <c r="S348" s="223">
        <f t="shared" si="58"/>
        <v>0</v>
      </c>
      <c r="T348" s="83">
        <f t="shared" si="59"/>
        <v>2880</v>
      </c>
      <c r="U348" s="84">
        <f t="shared" si="60"/>
        <v>0</v>
      </c>
      <c r="V348" s="84">
        <f t="shared" si="61"/>
        <v>0</v>
      </c>
      <c r="W348" s="84">
        <v>0</v>
      </c>
      <c r="X348" s="319">
        <f t="shared" si="62"/>
        <v>46153</v>
      </c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</row>
    <row r="349" spans="1:40" s="118" customFormat="1" ht="29" hidden="1" x14ac:dyDescent="0.35">
      <c r="A349" s="71">
        <f t="shared" si="63"/>
        <v>46153</v>
      </c>
      <c r="B349" s="71"/>
      <c r="C349" s="71"/>
      <c r="D349" s="71"/>
      <c r="E349" s="119" t="s">
        <v>5741</v>
      </c>
      <c r="F349" s="57" t="s">
        <v>165</v>
      </c>
      <c r="G349" s="57"/>
      <c r="H349" s="49" t="s">
        <v>6863</v>
      </c>
      <c r="I349" s="106" t="s">
        <v>2711</v>
      </c>
      <c r="J349" s="100"/>
      <c r="K349" s="84">
        <v>0</v>
      </c>
      <c r="L349" s="84">
        <v>0</v>
      </c>
      <c r="M349" s="83">
        <v>85</v>
      </c>
      <c r="N349" s="223">
        <v>3000</v>
      </c>
      <c r="O349" s="83">
        <v>2</v>
      </c>
      <c r="P349" s="83">
        <f t="shared" si="64"/>
        <v>1500</v>
      </c>
      <c r="Q349" s="83"/>
      <c r="R349" s="223">
        <v>1500</v>
      </c>
      <c r="S349" s="223">
        <f t="shared" si="58"/>
        <v>0</v>
      </c>
      <c r="T349" s="83">
        <f t="shared" si="59"/>
        <v>2032.9411764705883</v>
      </c>
      <c r="U349" s="84">
        <f t="shared" si="60"/>
        <v>0</v>
      </c>
      <c r="V349" s="84">
        <f t="shared" si="61"/>
        <v>0</v>
      </c>
      <c r="W349" s="84">
        <v>0</v>
      </c>
      <c r="X349" s="319">
        <f t="shared" si="62"/>
        <v>46153</v>
      </c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</row>
    <row r="350" spans="1:40" s="118" customFormat="1" ht="29" hidden="1" x14ac:dyDescent="0.35">
      <c r="A350" s="71">
        <f t="shared" si="63"/>
        <v>46153</v>
      </c>
      <c r="B350" s="71"/>
      <c r="C350" s="71"/>
      <c r="D350" s="71"/>
      <c r="E350" s="119" t="s">
        <v>5741</v>
      </c>
      <c r="F350" s="57" t="s">
        <v>165</v>
      </c>
      <c r="G350" s="57"/>
      <c r="H350" s="49" t="s">
        <v>6864</v>
      </c>
      <c r="I350" s="106" t="s">
        <v>2707</v>
      </c>
      <c r="J350" s="100"/>
      <c r="K350" s="84">
        <v>0</v>
      </c>
      <c r="L350" s="84">
        <v>0</v>
      </c>
      <c r="M350" s="83">
        <v>90</v>
      </c>
      <c r="N350" s="223">
        <v>1500</v>
      </c>
      <c r="O350" s="83">
        <v>1</v>
      </c>
      <c r="P350" s="83">
        <f t="shared" si="64"/>
        <v>1500</v>
      </c>
      <c r="Q350" s="83"/>
      <c r="R350" s="223">
        <v>1500</v>
      </c>
      <c r="S350" s="223">
        <f t="shared" si="58"/>
        <v>0</v>
      </c>
      <c r="T350" s="83">
        <f t="shared" si="59"/>
        <v>960</v>
      </c>
      <c r="U350" s="84">
        <f t="shared" si="60"/>
        <v>0</v>
      </c>
      <c r="V350" s="84">
        <f t="shared" si="61"/>
        <v>0</v>
      </c>
      <c r="W350" s="84">
        <v>0</v>
      </c>
      <c r="X350" s="319">
        <f t="shared" si="62"/>
        <v>46153</v>
      </c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</row>
    <row r="351" spans="1:40" s="118" customFormat="1" hidden="1" x14ac:dyDescent="0.35">
      <c r="A351" s="71">
        <f t="shared" si="63"/>
        <v>46153</v>
      </c>
      <c r="B351" s="71"/>
      <c r="C351" s="71"/>
      <c r="D351" s="71"/>
      <c r="E351" s="119" t="s">
        <v>5741</v>
      </c>
      <c r="F351" s="48" t="s">
        <v>6865</v>
      </c>
      <c r="G351" s="48"/>
      <c r="H351" s="59" t="s">
        <v>6866</v>
      </c>
      <c r="I351" s="106" t="s">
        <v>6867</v>
      </c>
      <c r="J351" s="100" t="s">
        <v>140</v>
      </c>
      <c r="K351" s="84">
        <v>0</v>
      </c>
      <c r="L351" s="84">
        <v>0</v>
      </c>
      <c r="M351" s="83">
        <v>90</v>
      </c>
      <c r="N351" s="223">
        <v>1000</v>
      </c>
      <c r="O351" s="83">
        <v>1</v>
      </c>
      <c r="P351" s="83">
        <f t="shared" si="64"/>
        <v>1000</v>
      </c>
      <c r="Q351" s="83"/>
      <c r="R351" s="223">
        <v>1000</v>
      </c>
      <c r="S351" s="223">
        <f t="shared" si="58"/>
        <v>0</v>
      </c>
      <c r="T351" s="83">
        <f t="shared" si="59"/>
        <v>960</v>
      </c>
      <c r="U351" s="84">
        <f t="shared" si="60"/>
        <v>0</v>
      </c>
      <c r="V351" s="84">
        <f t="shared" si="61"/>
        <v>0</v>
      </c>
      <c r="W351" s="84">
        <v>0</v>
      </c>
      <c r="X351" s="319">
        <f t="shared" si="62"/>
        <v>46153</v>
      </c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</row>
    <row r="352" spans="1:40" s="118" customFormat="1" hidden="1" x14ac:dyDescent="0.35">
      <c r="A352" s="71">
        <f t="shared" si="63"/>
        <v>46153</v>
      </c>
      <c r="B352" s="71"/>
      <c r="C352" s="71"/>
      <c r="D352" s="71"/>
      <c r="E352" s="119" t="s">
        <v>5741</v>
      </c>
      <c r="F352" s="48" t="s">
        <v>6868</v>
      </c>
      <c r="G352" s="48"/>
      <c r="H352" s="59" t="s">
        <v>6869</v>
      </c>
      <c r="I352" s="106" t="s">
        <v>6870</v>
      </c>
      <c r="J352" s="100" t="s">
        <v>140</v>
      </c>
      <c r="K352" s="84">
        <v>0</v>
      </c>
      <c r="L352" s="84">
        <v>0</v>
      </c>
      <c r="M352" s="83">
        <v>90</v>
      </c>
      <c r="N352" s="223">
        <v>1000</v>
      </c>
      <c r="O352" s="83">
        <v>1</v>
      </c>
      <c r="P352" s="83">
        <f t="shared" si="64"/>
        <v>1000</v>
      </c>
      <c r="Q352" s="83"/>
      <c r="R352" s="223">
        <v>1000</v>
      </c>
      <c r="S352" s="223">
        <f t="shared" si="58"/>
        <v>0</v>
      </c>
      <c r="T352" s="83">
        <f t="shared" si="59"/>
        <v>960</v>
      </c>
      <c r="U352" s="84">
        <f t="shared" si="60"/>
        <v>0</v>
      </c>
      <c r="V352" s="84">
        <f t="shared" si="61"/>
        <v>0</v>
      </c>
      <c r="W352" s="84">
        <v>0</v>
      </c>
      <c r="X352" s="319">
        <f t="shared" si="62"/>
        <v>46153</v>
      </c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</row>
    <row r="353" spans="1:40" s="118" customFormat="1" ht="29" hidden="1" x14ac:dyDescent="0.35">
      <c r="A353" s="71">
        <f t="shared" si="63"/>
        <v>46153</v>
      </c>
      <c r="B353" s="71"/>
      <c r="C353" s="71"/>
      <c r="D353" s="71"/>
      <c r="E353" s="119" t="s">
        <v>5741</v>
      </c>
      <c r="F353" s="57" t="s">
        <v>652</v>
      </c>
      <c r="G353" s="57"/>
      <c r="H353" s="49" t="s">
        <v>6871</v>
      </c>
      <c r="I353" s="106" t="s">
        <v>2711</v>
      </c>
      <c r="J353" s="100" t="s">
        <v>140</v>
      </c>
      <c r="K353" s="84">
        <v>0</v>
      </c>
      <c r="L353" s="84">
        <v>0</v>
      </c>
      <c r="M353" s="83">
        <v>85</v>
      </c>
      <c r="N353" s="223">
        <v>3000</v>
      </c>
      <c r="O353" s="83">
        <v>2</v>
      </c>
      <c r="P353" s="83">
        <f t="shared" si="64"/>
        <v>1500</v>
      </c>
      <c r="Q353" s="83"/>
      <c r="R353" s="223">
        <v>1500</v>
      </c>
      <c r="S353" s="223">
        <f t="shared" si="58"/>
        <v>0</v>
      </c>
      <c r="T353" s="83">
        <f t="shared" si="59"/>
        <v>2032.9411764705883</v>
      </c>
      <c r="U353" s="84">
        <f t="shared" si="60"/>
        <v>0</v>
      </c>
      <c r="V353" s="84">
        <f t="shared" si="61"/>
        <v>0</v>
      </c>
      <c r="W353" s="84">
        <v>0</v>
      </c>
      <c r="X353" s="319">
        <f t="shared" si="62"/>
        <v>46153</v>
      </c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</row>
    <row r="354" spans="1:40" s="118" customFormat="1" ht="29" hidden="1" x14ac:dyDescent="0.35">
      <c r="A354" s="71">
        <f t="shared" si="63"/>
        <v>46153</v>
      </c>
      <c r="B354" s="71"/>
      <c r="C354" s="71"/>
      <c r="D354" s="71"/>
      <c r="E354" s="119" t="s">
        <v>5741</v>
      </c>
      <c r="F354" s="57" t="s">
        <v>652</v>
      </c>
      <c r="G354" s="57"/>
      <c r="H354" s="49" t="s">
        <v>6872</v>
      </c>
      <c r="I354" s="106" t="s">
        <v>2709</v>
      </c>
      <c r="J354" s="100" t="s">
        <v>140</v>
      </c>
      <c r="K354" s="84">
        <v>0</v>
      </c>
      <c r="L354" s="84">
        <v>0</v>
      </c>
      <c r="M354" s="83">
        <v>85</v>
      </c>
      <c r="N354" s="223">
        <v>3000</v>
      </c>
      <c r="O354" s="83">
        <v>2</v>
      </c>
      <c r="P354" s="83">
        <f t="shared" si="64"/>
        <v>1500</v>
      </c>
      <c r="Q354" s="83"/>
      <c r="R354" s="223">
        <v>1500</v>
      </c>
      <c r="S354" s="223">
        <f t="shared" si="58"/>
        <v>0</v>
      </c>
      <c r="T354" s="83">
        <f t="shared" si="59"/>
        <v>2032.9411764705883</v>
      </c>
      <c r="U354" s="84">
        <f t="shared" si="60"/>
        <v>0</v>
      </c>
      <c r="V354" s="84">
        <f t="shared" si="61"/>
        <v>0</v>
      </c>
      <c r="W354" s="84">
        <v>0</v>
      </c>
      <c r="X354" s="319">
        <f t="shared" si="62"/>
        <v>46153</v>
      </c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</row>
    <row r="355" spans="1:40" s="118" customFormat="1" hidden="1" x14ac:dyDescent="0.35">
      <c r="A355" s="71">
        <f t="shared" si="63"/>
        <v>46153</v>
      </c>
      <c r="B355" s="71"/>
      <c r="C355" s="71"/>
      <c r="D355" s="71"/>
      <c r="E355" s="119" t="s">
        <v>5741</v>
      </c>
      <c r="F355" s="57" t="s">
        <v>511</v>
      </c>
      <c r="G355" s="57"/>
      <c r="H355" s="49" t="s">
        <v>6873</v>
      </c>
      <c r="I355" s="534" t="s">
        <v>5690</v>
      </c>
      <c r="J355" s="100" t="s">
        <v>140</v>
      </c>
      <c r="K355" s="84">
        <v>0</v>
      </c>
      <c r="L355" s="84">
        <v>0</v>
      </c>
      <c r="M355" s="83">
        <v>45</v>
      </c>
      <c r="N355" s="223">
        <v>10800</v>
      </c>
      <c r="O355" s="83">
        <v>2</v>
      </c>
      <c r="P355" s="83">
        <f t="shared" si="64"/>
        <v>5400</v>
      </c>
      <c r="Q355" s="83"/>
      <c r="R355" s="223">
        <v>5400</v>
      </c>
      <c r="S355" s="223">
        <f t="shared" si="58"/>
        <v>0</v>
      </c>
      <c r="T355" s="83">
        <f t="shared" si="59"/>
        <v>3840</v>
      </c>
      <c r="U355" s="84">
        <f t="shared" si="60"/>
        <v>0</v>
      </c>
      <c r="V355" s="84">
        <f t="shared" si="61"/>
        <v>0</v>
      </c>
      <c r="W355" s="84">
        <v>0</v>
      </c>
      <c r="X355" s="319">
        <f t="shared" si="62"/>
        <v>46153</v>
      </c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</row>
    <row r="356" spans="1:40" s="118" customFormat="1" ht="29" hidden="1" x14ac:dyDescent="0.35">
      <c r="A356" s="71">
        <f t="shared" si="63"/>
        <v>46153</v>
      </c>
      <c r="B356" s="71"/>
      <c r="C356" s="71"/>
      <c r="D356" s="71"/>
      <c r="E356" s="119" t="s">
        <v>5741</v>
      </c>
      <c r="F356" s="57" t="s">
        <v>652</v>
      </c>
      <c r="G356" s="57"/>
      <c r="H356" s="66">
        <v>9523</v>
      </c>
      <c r="I356" s="97" t="s">
        <v>6874</v>
      </c>
      <c r="J356" s="77" t="s">
        <v>140</v>
      </c>
      <c r="K356" s="84">
        <v>0</v>
      </c>
      <c r="L356" s="84">
        <v>0</v>
      </c>
      <c r="M356" s="83">
        <v>70</v>
      </c>
      <c r="N356" s="317">
        <v>1000</v>
      </c>
      <c r="O356" s="83">
        <v>1</v>
      </c>
      <c r="P356" s="83">
        <f t="shared" si="64"/>
        <v>1000</v>
      </c>
      <c r="Q356" s="83"/>
      <c r="R356" s="223">
        <v>1000</v>
      </c>
      <c r="S356" s="223">
        <f t="shared" si="58"/>
        <v>0</v>
      </c>
      <c r="T356" s="83">
        <f t="shared" si="59"/>
        <v>1234.2857142857142</v>
      </c>
      <c r="U356" s="84">
        <f t="shared" si="60"/>
        <v>0</v>
      </c>
      <c r="V356" s="84">
        <f t="shared" si="61"/>
        <v>0</v>
      </c>
      <c r="W356" s="84">
        <v>0</v>
      </c>
      <c r="X356" s="319">
        <f t="shared" si="62"/>
        <v>46153</v>
      </c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</row>
    <row r="357" spans="1:40" s="118" customFormat="1" hidden="1" x14ac:dyDescent="0.35">
      <c r="A357" s="71">
        <f t="shared" si="63"/>
        <v>46153</v>
      </c>
      <c r="B357" s="71"/>
      <c r="C357" s="71"/>
      <c r="D357" s="71"/>
      <c r="E357" s="119" t="s">
        <v>5741</v>
      </c>
      <c r="F357" s="56" t="s">
        <v>6875</v>
      </c>
      <c r="G357" s="56"/>
      <c r="H357" s="49" t="s">
        <v>6876</v>
      </c>
      <c r="I357" s="97" t="s">
        <v>1807</v>
      </c>
      <c r="J357" s="100" t="s">
        <v>140</v>
      </c>
      <c r="K357" s="84">
        <v>0</v>
      </c>
      <c r="L357" s="84">
        <v>0</v>
      </c>
      <c r="M357" s="83">
        <v>250</v>
      </c>
      <c r="N357" s="223">
        <v>100</v>
      </c>
      <c r="O357" s="83">
        <v>1</v>
      </c>
      <c r="P357" s="83">
        <f t="shared" si="64"/>
        <v>100</v>
      </c>
      <c r="Q357" s="83"/>
      <c r="R357" s="223">
        <v>100</v>
      </c>
      <c r="S357" s="223">
        <f t="shared" si="58"/>
        <v>0</v>
      </c>
      <c r="T357" s="83">
        <f t="shared" si="59"/>
        <v>345.6</v>
      </c>
      <c r="U357" s="84">
        <f t="shared" si="60"/>
        <v>0</v>
      </c>
      <c r="V357" s="84">
        <f t="shared" si="61"/>
        <v>0</v>
      </c>
      <c r="W357" s="84">
        <v>0</v>
      </c>
      <c r="X357" s="319">
        <f t="shared" si="62"/>
        <v>46153</v>
      </c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</row>
    <row r="358" spans="1:40" s="118" customFormat="1" hidden="1" x14ac:dyDescent="0.35">
      <c r="A358" s="71">
        <f t="shared" si="63"/>
        <v>46153</v>
      </c>
      <c r="B358" s="71"/>
      <c r="C358" s="71"/>
      <c r="D358" s="71"/>
      <c r="E358" s="119" t="s">
        <v>5741</v>
      </c>
      <c r="F358" s="56" t="s">
        <v>1723</v>
      </c>
      <c r="G358" s="56"/>
      <c r="H358" s="49" t="s">
        <v>6877</v>
      </c>
      <c r="I358" s="97" t="s">
        <v>1807</v>
      </c>
      <c r="J358" s="100" t="s">
        <v>140</v>
      </c>
      <c r="K358" s="84">
        <v>0</v>
      </c>
      <c r="L358" s="84">
        <v>0</v>
      </c>
      <c r="M358" s="83">
        <v>250</v>
      </c>
      <c r="N358" s="223">
        <v>300</v>
      </c>
      <c r="O358" s="83">
        <v>1</v>
      </c>
      <c r="P358" s="83">
        <f t="shared" si="64"/>
        <v>300</v>
      </c>
      <c r="Q358" s="83"/>
      <c r="R358" s="223">
        <v>300</v>
      </c>
      <c r="S358" s="223">
        <f t="shared" si="58"/>
        <v>0</v>
      </c>
      <c r="T358" s="83">
        <f t="shared" si="59"/>
        <v>345.6</v>
      </c>
      <c r="U358" s="84">
        <f t="shared" si="60"/>
        <v>0</v>
      </c>
      <c r="V358" s="84">
        <f t="shared" si="61"/>
        <v>0</v>
      </c>
      <c r="W358" s="84">
        <v>0</v>
      </c>
      <c r="X358" s="319">
        <f t="shared" si="62"/>
        <v>46153</v>
      </c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</row>
    <row r="359" spans="1:40" s="118" customFormat="1" ht="29" hidden="1" x14ac:dyDescent="0.35">
      <c r="A359" s="71">
        <f t="shared" si="63"/>
        <v>46153</v>
      </c>
      <c r="B359" s="71"/>
      <c r="C359" s="71"/>
      <c r="D359" s="71"/>
      <c r="E359" s="119" t="s">
        <v>5741</v>
      </c>
      <c r="F359" s="48" t="s">
        <v>1058</v>
      </c>
      <c r="G359" s="48"/>
      <c r="H359" s="59" t="s">
        <v>6878</v>
      </c>
      <c r="I359" s="97" t="s">
        <v>143</v>
      </c>
      <c r="J359" s="100" t="s">
        <v>140</v>
      </c>
      <c r="K359" s="84">
        <v>0</v>
      </c>
      <c r="L359" s="84">
        <v>0</v>
      </c>
      <c r="M359" s="83">
        <v>100</v>
      </c>
      <c r="N359" s="223">
        <v>2500</v>
      </c>
      <c r="O359" s="83">
        <v>1</v>
      </c>
      <c r="P359" s="83">
        <f t="shared" si="64"/>
        <v>2500</v>
      </c>
      <c r="Q359" s="83"/>
      <c r="R359" s="223">
        <v>2500</v>
      </c>
      <c r="S359" s="223">
        <f t="shared" si="58"/>
        <v>0</v>
      </c>
      <c r="T359" s="83">
        <f t="shared" si="59"/>
        <v>864</v>
      </c>
      <c r="U359" s="84">
        <f t="shared" si="60"/>
        <v>0</v>
      </c>
      <c r="V359" s="84">
        <f t="shared" si="61"/>
        <v>0</v>
      </c>
      <c r="W359" s="84">
        <v>0</v>
      </c>
      <c r="X359" s="319">
        <f t="shared" si="62"/>
        <v>46153</v>
      </c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</row>
    <row r="360" spans="1:40" s="118" customFormat="1" hidden="1" x14ac:dyDescent="0.35">
      <c r="A360" s="71">
        <f t="shared" si="63"/>
        <v>46153</v>
      </c>
      <c r="B360" s="71"/>
      <c r="C360" s="71"/>
      <c r="D360" s="71"/>
      <c r="E360" s="119" t="s">
        <v>5741</v>
      </c>
      <c r="F360" s="57" t="s">
        <v>3887</v>
      </c>
      <c r="G360" s="57"/>
      <c r="H360" s="66">
        <v>9707</v>
      </c>
      <c r="I360" s="97" t="s">
        <v>4366</v>
      </c>
      <c r="J360" s="77" t="s">
        <v>140</v>
      </c>
      <c r="K360" s="84">
        <v>0</v>
      </c>
      <c r="L360" s="84">
        <v>0</v>
      </c>
      <c r="M360" s="83">
        <v>70</v>
      </c>
      <c r="N360" s="317">
        <v>300</v>
      </c>
      <c r="O360" s="83">
        <v>1</v>
      </c>
      <c r="P360" s="83">
        <f t="shared" si="64"/>
        <v>300</v>
      </c>
      <c r="Q360" s="83"/>
      <c r="R360" s="223">
        <v>300</v>
      </c>
      <c r="S360" s="223">
        <f t="shared" si="58"/>
        <v>0</v>
      </c>
      <c r="T360" s="83">
        <f t="shared" si="59"/>
        <v>1234.2857142857142</v>
      </c>
      <c r="U360" s="84">
        <f t="shared" si="60"/>
        <v>0</v>
      </c>
      <c r="V360" s="84">
        <f t="shared" si="61"/>
        <v>0</v>
      </c>
      <c r="W360" s="84">
        <v>0</v>
      </c>
      <c r="X360" s="319">
        <f t="shared" si="62"/>
        <v>46153</v>
      </c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</row>
    <row r="361" spans="1:40" s="118" customFormat="1" hidden="1" x14ac:dyDescent="0.35">
      <c r="A361" s="71">
        <f t="shared" si="63"/>
        <v>46153</v>
      </c>
      <c r="B361" s="71"/>
      <c r="C361" s="71"/>
      <c r="D361" s="71"/>
      <c r="E361" s="119" t="s">
        <v>5741</v>
      </c>
      <c r="F361" s="97" t="s">
        <v>3887</v>
      </c>
      <c r="G361" s="97"/>
      <c r="H361" s="108">
        <v>9705</v>
      </c>
      <c r="I361" s="97" t="s">
        <v>5832</v>
      </c>
      <c r="J361" s="77" t="s">
        <v>140</v>
      </c>
      <c r="K361" s="84">
        <v>0</v>
      </c>
      <c r="L361" s="84">
        <v>0</v>
      </c>
      <c r="M361" s="102">
        <v>70</v>
      </c>
      <c r="N361" s="227">
        <v>2500</v>
      </c>
      <c r="O361" s="102">
        <v>1</v>
      </c>
      <c r="P361" s="102">
        <f t="shared" si="64"/>
        <v>2500</v>
      </c>
      <c r="Q361" s="102"/>
      <c r="R361" s="103">
        <v>2500</v>
      </c>
      <c r="S361" s="103">
        <f t="shared" si="58"/>
        <v>0</v>
      </c>
      <c r="T361" s="102">
        <f t="shared" si="59"/>
        <v>1234.2857142857142</v>
      </c>
      <c r="U361" s="101">
        <f t="shared" si="60"/>
        <v>0</v>
      </c>
      <c r="V361" s="101">
        <f t="shared" si="61"/>
        <v>0</v>
      </c>
      <c r="W361" s="101">
        <v>0</v>
      </c>
      <c r="X361" s="319">
        <f t="shared" si="62"/>
        <v>46153</v>
      </c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</row>
    <row r="362" spans="1:40" s="118" customFormat="1" ht="26.5" hidden="1" x14ac:dyDescent="0.35">
      <c r="A362" s="71">
        <f t="shared" si="63"/>
        <v>46153</v>
      </c>
      <c r="B362" s="71"/>
      <c r="C362" s="71"/>
      <c r="D362" s="71"/>
      <c r="E362" s="119" t="s">
        <v>5741</v>
      </c>
      <c r="F362" s="97" t="s">
        <v>6879</v>
      </c>
      <c r="G362" s="97"/>
      <c r="H362" s="98" t="s">
        <v>6880</v>
      </c>
      <c r="I362" s="106" t="s">
        <v>2707</v>
      </c>
      <c r="J362" s="100" t="s">
        <v>140</v>
      </c>
      <c r="K362" s="84">
        <v>0</v>
      </c>
      <c r="L362" s="84">
        <v>0</v>
      </c>
      <c r="M362" s="102">
        <v>90</v>
      </c>
      <c r="N362" s="103">
        <v>2000</v>
      </c>
      <c r="O362" s="102">
        <v>1</v>
      </c>
      <c r="P362" s="102">
        <f t="shared" si="64"/>
        <v>2000</v>
      </c>
      <c r="Q362" s="102"/>
      <c r="R362" s="103">
        <v>2000</v>
      </c>
      <c r="S362" s="103">
        <f t="shared" si="58"/>
        <v>0</v>
      </c>
      <c r="T362" s="102">
        <f t="shared" si="59"/>
        <v>960</v>
      </c>
      <c r="U362" s="101">
        <f t="shared" si="60"/>
        <v>0</v>
      </c>
      <c r="V362" s="101">
        <f t="shared" si="61"/>
        <v>0</v>
      </c>
      <c r="W362" s="101">
        <v>0</v>
      </c>
      <c r="X362" s="319">
        <f t="shared" si="62"/>
        <v>46153</v>
      </c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</row>
    <row r="363" spans="1:40" s="118" customFormat="1" hidden="1" x14ac:dyDescent="0.35">
      <c r="A363" s="71">
        <f t="shared" si="63"/>
        <v>46153</v>
      </c>
      <c r="B363" s="71"/>
      <c r="C363" s="71"/>
      <c r="D363" s="71"/>
      <c r="E363" s="119" t="s">
        <v>5741</v>
      </c>
      <c r="F363" s="99" t="s">
        <v>1723</v>
      </c>
      <c r="G363" s="99"/>
      <c r="H363" s="98" t="s">
        <v>6877</v>
      </c>
      <c r="I363" s="97" t="s">
        <v>1807</v>
      </c>
      <c r="J363" s="100" t="s">
        <v>140</v>
      </c>
      <c r="K363" s="84">
        <v>0</v>
      </c>
      <c r="L363" s="84">
        <v>0</v>
      </c>
      <c r="M363" s="102">
        <v>250</v>
      </c>
      <c r="N363" s="103">
        <v>250</v>
      </c>
      <c r="O363" s="102">
        <v>1</v>
      </c>
      <c r="P363" s="102">
        <f t="shared" si="64"/>
        <v>250</v>
      </c>
      <c r="Q363" s="102"/>
      <c r="R363" s="103">
        <v>250</v>
      </c>
      <c r="S363" s="103">
        <f t="shared" si="58"/>
        <v>0</v>
      </c>
      <c r="T363" s="102">
        <f t="shared" si="59"/>
        <v>345.6</v>
      </c>
      <c r="U363" s="101">
        <f t="shared" si="60"/>
        <v>0</v>
      </c>
      <c r="V363" s="101">
        <f t="shared" si="61"/>
        <v>0</v>
      </c>
      <c r="W363" s="101">
        <v>0</v>
      </c>
      <c r="X363" s="319">
        <f t="shared" si="62"/>
        <v>46153</v>
      </c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</row>
    <row r="364" spans="1:40" s="118" customFormat="1" hidden="1" x14ac:dyDescent="0.35">
      <c r="A364" s="71">
        <f t="shared" si="63"/>
        <v>46153</v>
      </c>
      <c r="B364" s="71"/>
      <c r="C364" s="71"/>
      <c r="D364" s="71"/>
      <c r="E364" s="119" t="s">
        <v>5741</v>
      </c>
      <c r="F364" s="97" t="s">
        <v>3887</v>
      </c>
      <c r="G364" s="97"/>
      <c r="H364" s="108">
        <v>9963</v>
      </c>
      <c r="I364" s="220" t="s">
        <v>5661</v>
      </c>
      <c r="J364" s="77" t="s">
        <v>140</v>
      </c>
      <c r="K364" s="84">
        <v>0</v>
      </c>
      <c r="L364" s="84">
        <v>0</v>
      </c>
      <c r="M364" s="102">
        <v>70</v>
      </c>
      <c r="N364" s="227">
        <v>300</v>
      </c>
      <c r="O364" s="102">
        <v>1</v>
      </c>
      <c r="P364" s="102">
        <f t="shared" si="64"/>
        <v>300</v>
      </c>
      <c r="Q364" s="102"/>
      <c r="R364" s="103">
        <v>300</v>
      </c>
      <c r="S364" s="103">
        <f t="shared" si="58"/>
        <v>0</v>
      </c>
      <c r="T364" s="102">
        <f t="shared" si="59"/>
        <v>1234.2857142857142</v>
      </c>
      <c r="U364" s="101">
        <f t="shared" si="60"/>
        <v>0</v>
      </c>
      <c r="V364" s="101">
        <f t="shared" si="61"/>
        <v>0</v>
      </c>
      <c r="W364" s="101">
        <v>0</v>
      </c>
      <c r="X364" s="319">
        <f t="shared" si="62"/>
        <v>46153</v>
      </c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</row>
    <row r="365" spans="1:40" s="118" customFormat="1" ht="26.5" hidden="1" x14ac:dyDescent="0.35">
      <c r="A365" s="71">
        <f t="shared" si="63"/>
        <v>46153</v>
      </c>
      <c r="B365" s="71"/>
      <c r="C365" s="71"/>
      <c r="D365" s="71"/>
      <c r="E365" s="119" t="s">
        <v>5741</v>
      </c>
      <c r="F365" s="97" t="s">
        <v>1084</v>
      </c>
      <c r="G365" s="97"/>
      <c r="H365" s="49" t="s">
        <v>6881</v>
      </c>
      <c r="I365" s="71" t="s">
        <v>4632</v>
      </c>
      <c r="J365" s="100" t="s">
        <v>140</v>
      </c>
      <c r="K365" s="84">
        <v>0</v>
      </c>
      <c r="L365" s="84">
        <v>0</v>
      </c>
      <c r="M365" s="83">
        <v>60</v>
      </c>
      <c r="N365" s="223">
        <v>5000</v>
      </c>
      <c r="O365" s="83">
        <v>4</v>
      </c>
      <c r="P365" s="83">
        <f t="shared" si="64"/>
        <v>1250</v>
      </c>
      <c r="Q365" s="83"/>
      <c r="R365" s="223">
        <v>1250</v>
      </c>
      <c r="S365" s="223">
        <f t="shared" si="58"/>
        <v>0</v>
      </c>
      <c r="T365" s="83">
        <f t="shared" si="59"/>
        <v>5760</v>
      </c>
      <c r="U365" s="84">
        <f t="shared" si="60"/>
        <v>0</v>
      </c>
      <c r="V365" s="84">
        <f t="shared" si="61"/>
        <v>0</v>
      </c>
      <c r="W365" s="84">
        <v>0</v>
      </c>
      <c r="X365" s="319">
        <f t="shared" si="62"/>
        <v>46153</v>
      </c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</row>
    <row r="366" spans="1:40" s="118" customFormat="1" ht="26.5" hidden="1" x14ac:dyDescent="0.35">
      <c r="A366" s="71">
        <f t="shared" si="63"/>
        <v>46153</v>
      </c>
      <c r="B366" s="71"/>
      <c r="C366" s="71"/>
      <c r="D366" s="71"/>
      <c r="E366" s="119" t="s">
        <v>5741</v>
      </c>
      <c r="F366" s="97" t="s">
        <v>1084</v>
      </c>
      <c r="G366" s="97"/>
      <c r="H366" s="49" t="s">
        <v>6882</v>
      </c>
      <c r="I366" s="442" t="s">
        <v>1556</v>
      </c>
      <c r="J366" s="100" t="s">
        <v>140</v>
      </c>
      <c r="K366" s="84">
        <v>0</v>
      </c>
      <c r="L366" s="84">
        <v>0</v>
      </c>
      <c r="M366" s="83">
        <v>85</v>
      </c>
      <c r="N366" s="223">
        <v>1500</v>
      </c>
      <c r="O366" s="83">
        <v>2</v>
      </c>
      <c r="P366" s="83">
        <f t="shared" si="64"/>
        <v>750</v>
      </c>
      <c r="Q366" s="83"/>
      <c r="R366" s="223">
        <v>750</v>
      </c>
      <c r="S366" s="223">
        <f t="shared" si="58"/>
        <v>0</v>
      </c>
      <c r="T366" s="83">
        <f t="shared" si="59"/>
        <v>2032.9411764705883</v>
      </c>
      <c r="U366" s="84">
        <f t="shared" si="60"/>
        <v>0</v>
      </c>
      <c r="V366" s="84">
        <f t="shared" si="61"/>
        <v>0</v>
      </c>
      <c r="W366" s="84">
        <v>0</v>
      </c>
      <c r="X366" s="319">
        <f t="shared" si="62"/>
        <v>46153</v>
      </c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</row>
    <row r="367" spans="1:40" s="118" customFormat="1" ht="26.5" hidden="1" x14ac:dyDescent="0.35">
      <c r="A367" s="71">
        <f t="shared" si="63"/>
        <v>46153</v>
      </c>
      <c r="B367" s="71"/>
      <c r="C367" s="71"/>
      <c r="D367" s="71"/>
      <c r="E367" s="119" t="s">
        <v>5741</v>
      </c>
      <c r="F367" s="97" t="s">
        <v>1084</v>
      </c>
      <c r="G367" s="97"/>
      <c r="H367" s="49" t="s">
        <v>6883</v>
      </c>
      <c r="I367" s="442" t="s">
        <v>1554</v>
      </c>
      <c r="J367" s="100" t="s">
        <v>140</v>
      </c>
      <c r="K367" s="84">
        <v>0</v>
      </c>
      <c r="L367" s="84">
        <v>0</v>
      </c>
      <c r="M367" s="83">
        <v>85</v>
      </c>
      <c r="N367" s="223">
        <v>1500</v>
      </c>
      <c r="O367" s="83">
        <v>2</v>
      </c>
      <c r="P367" s="83">
        <f t="shared" si="64"/>
        <v>750</v>
      </c>
      <c r="Q367" s="83"/>
      <c r="R367" s="223">
        <v>750</v>
      </c>
      <c r="S367" s="223">
        <f t="shared" si="58"/>
        <v>0</v>
      </c>
      <c r="T367" s="83">
        <f t="shared" si="59"/>
        <v>2032.9411764705883</v>
      </c>
      <c r="U367" s="84">
        <f t="shared" si="60"/>
        <v>0</v>
      </c>
      <c r="V367" s="84">
        <f t="shared" si="61"/>
        <v>0</v>
      </c>
      <c r="W367" s="84">
        <v>0</v>
      </c>
      <c r="X367" s="319">
        <f t="shared" si="62"/>
        <v>46153</v>
      </c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</row>
    <row r="368" spans="1:40" s="118" customFormat="1" ht="26.5" hidden="1" x14ac:dyDescent="0.35">
      <c r="A368" s="71">
        <f t="shared" si="63"/>
        <v>46153</v>
      </c>
      <c r="B368" s="71"/>
      <c r="C368" s="71"/>
      <c r="D368" s="71"/>
      <c r="E368" s="119" t="s">
        <v>5741</v>
      </c>
      <c r="F368" s="97" t="s">
        <v>1084</v>
      </c>
      <c r="G368" s="97"/>
      <c r="H368" s="49" t="s">
        <v>6884</v>
      </c>
      <c r="I368" s="442" t="s">
        <v>1663</v>
      </c>
      <c r="J368" s="100" t="s">
        <v>140</v>
      </c>
      <c r="K368" s="84">
        <v>0</v>
      </c>
      <c r="L368" s="84">
        <v>0</v>
      </c>
      <c r="M368" s="83">
        <v>60</v>
      </c>
      <c r="N368" s="223">
        <v>800</v>
      </c>
      <c r="O368" s="83">
        <v>1</v>
      </c>
      <c r="P368" s="83">
        <f t="shared" si="64"/>
        <v>800</v>
      </c>
      <c r="Q368" s="83"/>
      <c r="R368" s="223">
        <v>800</v>
      </c>
      <c r="S368" s="223">
        <f t="shared" si="58"/>
        <v>0</v>
      </c>
      <c r="T368" s="83">
        <f t="shared" si="59"/>
        <v>1440</v>
      </c>
      <c r="U368" s="84">
        <f t="shared" si="60"/>
        <v>0</v>
      </c>
      <c r="V368" s="84">
        <f t="shared" si="61"/>
        <v>0</v>
      </c>
      <c r="W368" s="84">
        <v>0</v>
      </c>
      <c r="X368" s="319">
        <f t="shared" si="62"/>
        <v>46153</v>
      </c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</row>
    <row r="369" spans="1:40" s="118" customFormat="1" ht="26.5" hidden="1" x14ac:dyDescent="0.35">
      <c r="A369" s="71">
        <f t="shared" si="63"/>
        <v>46153</v>
      </c>
      <c r="B369" s="71"/>
      <c r="C369" s="71"/>
      <c r="D369" s="71"/>
      <c r="E369" s="119" t="s">
        <v>5741</v>
      </c>
      <c r="F369" s="97" t="s">
        <v>1084</v>
      </c>
      <c r="G369" s="97"/>
      <c r="H369" s="98" t="s">
        <v>6885</v>
      </c>
      <c r="I369" s="71" t="s">
        <v>4297</v>
      </c>
      <c r="J369" s="100" t="s">
        <v>140</v>
      </c>
      <c r="K369" s="84">
        <v>0</v>
      </c>
      <c r="L369" s="84">
        <v>0</v>
      </c>
      <c r="M369" s="102">
        <v>90</v>
      </c>
      <c r="N369" s="103">
        <v>1000</v>
      </c>
      <c r="O369" s="102">
        <v>1</v>
      </c>
      <c r="P369" s="102">
        <f t="shared" si="64"/>
        <v>1000</v>
      </c>
      <c r="Q369" s="102"/>
      <c r="R369" s="103">
        <v>1000</v>
      </c>
      <c r="S369" s="103">
        <f t="shared" si="58"/>
        <v>0</v>
      </c>
      <c r="T369" s="102">
        <f t="shared" si="59"/>
        <v>960</v>
      </c>
      <c r="U369" s="101">
        <f t="shared" si="60"/>
        <v>0</v>
      </c>
      <c r="V369" s="101">
        <f t="shared" si="61"/>
        <v>0</v>
      </c>
      <c r="W369" s="101">
        <v>0</v>
      </c>
      <c r="X369" s="319">
        <f t="shared" si="62"/>
        <v>46153</v>
      </c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</row>
    <row r="370" spans="1:40" s="118" customFormat="1" ht="26.5" hidden="1" x14ac:dyDescent="0.35">
      <c r="A370" s="71">
        <f t="shared" si="63"/>
        <v>46153</v>
      </c>
      <c r="B370" s="71"/>
      <c r="C370" s="71"/>
      <c r="D370" s="71"/>
      <c r="E370" s="119" t="s">
        <v>5741</v>
      </c>
      <c r="F370" s="97" t="s">
        <v>1084</v>
      </c>
      <c r="G370" s="97"/>
      <c r="H370" s="49" t="s">
        <v>6886</v>
      </c>
      <c r="I370" s="442" t="s">
        <v>1556</v>
      </c>
      <c r="J370" s="100" t="s">
        <v>140</v>
      </c>
      <c r="K370" s="84">
        <v>0</v>
      </c>
      <c r="L370" s="84">
        <v>0</v>
      </c>
      <c r="M370" s="83">
        <v>85</v>
      </c>
      <c r="N370" s="223">
        <v>3000</v>
      </c>
      <c r="O370" s="83">
        <v>2</v>
      </c>
      <c r="P370" s="83">
        <f t="shared" si="64"/>
        <v>1500</v>
      </c>
      <c r="Q370" s="83"/>
      <c r="R370" s="223">
        <v>1500</v>
      </c>
      <c r="S370" s="223">
        <f t="shared" si="58"/>
        <v>0</v>
      </c>
      <c r="T370" s="83">
        <f t="shared" si="59"/>
        <v>2032.9411764705883</v>
      </c>
      <c r="U370" s="84">
        <f t="shared" si="60"/>
        <v>0</v>
      </c>
      <c r="V370" s="84">
        <f t="shared" si="61"/>
        <v>0</v>
      </c>
      <c r="W370" s="84">
        <v>0</v>
      </c>
      <c r="X370" s="319">
        <f t="shared" si="62"/>
        <v>46153</v>
      </c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</row>
    <row r="371" spans="1:40" s="118" customFormat="1" ht="26.5" hidden="1" x14ac:dyDescent="0.35">
      <c r="A371" s="71">
        <f t="shared" si="63"/>
        <v>46153</v>
      </c>
      <c r="B371" s="71"/>
      <c r="C371" s="71"/>
      <c r="D371" s="71"/>
      <c r="E371" s="119" t="s">
        <v>5741</v>
      </c>
      <c r="F371" s="97" t="s">
        <v>1084</v>
      </c>
      <c r="G371" s="97"/>
      <c r="H371" s="49" t="s">
        <v>6887</v>
      </c>
      <c r="I371" s="442" t="s">
        <v>1554</v>
      </c>
      <c r="J371" s="100" t="s">
        <v>140</v>
      </c>
      <c r="K371" s="84">
        <v>0</v>
      </c>
      <c r="L371" s="84">
        <v>0</v>
      </c>
      <c r="M371" s="83">
        <v>85</v>
      </c>
      <c r="N371" s="223">
        <v>3000</v>
      </c>
      <c r="O371" s="83">
        <v>2</v>
      </c>
      <c r="P371" s="83">
        <f t="shared" si="64"/>
        <v>1500</v>
      </c>
      <c r="Q371" s="83"/>
      <c r="R371" s="223">
        <v>1500</v>
      </c>
      <c r="S371" s="223">
        <f t="shared" si="58"/>
        <v>0</v>
      </c>
      <c r="T371" s="83">
        <f t="shared" si="59"/>
        <v>2032.9411764705883</v>
      </c>
      <c r="U371" s="84">
        <f t="shared" si="60"/>
        <v>0</v>
      </c>
      <c r="V371" s="84">
        <f t="shared" si="61"/>
        <v>0</v>
      </c>
      <c r="W371" s="84">
        <v>0</v>
      </c>
      <c r="X371" s="319">
        <f t="shared" si="62"/>
        <v>46153</v>
      </c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</row>
    <row r="372" spans="1:40" s="118" customFormat="1" hidden="1" x14ac:dyDescent="0.35">
      <c r="A372" s="71">
        <f t="shared" si="63"/>
        <v>46153</v>
      </c>
      <c r="B372" s="71"/>
      <c r="C372" s="71"/>
      <c r="D372" s="71"/>
      <c r="E372" s="119" t="s">
        <v>5741</v>
      </c>
      <c r="F372" s="97" t="s">
        <v>179</v>
      </c>
      <c r="G372" s="97"/>
      <c r="H372" s="108">
        <v>10061</v>
      </c>
      <c r="I372" s="97" t="s">
        <v>5952</v>
      </c>
      <c r="J372" s="77" t="s">
        <v>140</v>
      </c>
      <c r="K372" s="84">
        <v>0</v>
      </c>
      <c r="L372" s="84">
        <v>0</v>
      </c>
      <c r="M372" s="102">
        <v>70</v>
      </c>
      <c r="N372" s="227">
        <v>4600</v>
      </c>
      <c r="O372" s="102">
        <v>1</v>
      </c>
      <c r="P372" s="102">
        <f t="shared" si="64"/>
        <v>4600</v>
      </c>
      <c r="Q372" s="102"/>
      <c r="R372" s="103">
        <v>4600</v>
      </c>
      <c r="S372" s="103">
        <f t="shared" si="58"/>
        <v>0</v>
      </c>
      <c r="T372" s="102">
        <f t="shared" si="59"/>
        <v>1234.2857142857142</v>
      </c>
      <c r="U372" s="101">
        <f t="shared" si="60"/>
        <v>0</v>
      </c>
      <c r="V372" s="101">
        <f t="shared" si="61"/>
        <v>0</v>
      </c>
      <c r="W372" s="101">
        <v>0</v>
      </c>
      <c r="X372" s="319">
        <f t="shared" si="62"/>
        <v>46153</v>
      </c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</row>
    <row r="373" spans="1:40" s="118" customFormat="1" hidden="1" x14ac:dyDescent="0.35">
      <c r="A373" s="71">
        <f t="shared" si="63"/>
        <v>46153</v>
      </c>
      <c r="B373" s="71"/>
      <c r="C373" s="71"/>
      <c r="D373" s="71"/>
      <c r="E373" s="119" t="s">
        <v>5741</v>
      </c>
      <c r="F373" s="97" t="s">
        <v>2048</v>
      </c>
      <c r="G373" s="97"/>
      <c r="H373" s="108">
        <v>10174</v>
      </c>
      <c r="I373" s="97" t="s">
        <v>6874</v>
      </c>
      <c r="J373" s="77" t="s">
        <v>140</v>
      </c>
      <c r="K373" s="84">
        <v>0</v>
      </c>
      <c r="L373" s="84">
        <v>0</v>
      </c>
      <c r="M373" s="102">
        <v>70</v>
      </c>
      <c r="N373" s="227">
        <v>1000</v>
      </c>
      <c r="O373" s="102">
        <v>1</v>
      </c>
      <c r="P373" s="102">
        <f t="shared" si="64"/>
        <v>1000</v>
      </c>
      <c r="Q373" s="102"/>
      <c r="R373" s="103">
        <v>1000</v>
      </c>
      <c r="S373" s="103">
        <f t="shared" si="58"/>
        <v>0</v>
      </c>
      <c r="T373" s="102">
        <f t="shared" si="59"/>
        <v>1234.2857142857142</v>
      </c>
      <c r="U373" s="101">
        <f t="shared" si="60"/>
        <v>0</v>
      </c>
      <c r="V373" s="101">
        <f t="shared" si="61"/>
        <v>0</v>
      </c>
      <c r="W373" s="101">
        <v>0</v>
      </c>
      <c r="X373" s="319">
        <f t="shared" si="62"/>
        <v>46153</v>
      </c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</row>
    <row r="374" spans="1:40" s="118" customFormat="1" hidden="1" x14ac:dyDescent="0.35">
      <c r="A374" s="71">
        <f t="shared" si="63"/>
        <v>46153</v>
      </c>
      <c r="B374" s="71"/>
      <c r="C374" s="71"/>
      <c r="D374" s="71"/>
      <c r="E374" s="119" t="s">
        <v>5741</v>
      </c>
      <c r="F374" s="97" t="s">
        <v>2048</v>
      </c>
      <c r="G374" s="97"/>
      <c r="H374" s="108">
        <v>10175</v>
      </c>
      <c r="I374" s="97" t="s">
        <v>6888</v>
      </c>
      <c r="J374" s="77" t="s">
        <v>140</v>
      </c>
      <c r="K374" s="84">
        <v>0</v>
      </c>
      <c r="L374" s="84">
        <v>0</v>
      </c>
      <c r="M374" s="102">
        <v>70</v>
      </c>
      <c r="N374" s="227">
        <v>1000</v>
      </c>
      <c r="O374" s="102">
        <v>1</v>
      </c>
      <c r="P374" s="102">
        <f t="shared" si="64"/>
        <v>1000</v>
      </c>
      <c r="Q374" s="102"/>
      <c r="R374" s="103">
        <v>1000</v>
      </c>
      <c r="S374" s="103">
        <f t="shared" si="58"/>
        <v>0</v>
      </c>
      <c r="T374" s="102">
        <f t="shared" si="59"/>
        <v>1234.2857142857142</v>
      </c>
      <c r="U374" s="101">
        <f t="shared" si="60"/>
        <v>0</v>
      </c>
      <c r="V374" s="101">
        <f t="shared" si="61"/>
        <v>0</v>
      </c>
      <c r="W374" s="101">
        <v>0</v>
      </c>
      <c r="X374" s="319">
        <f t="shared" si="62"/>
        <v>46153</v>
      </c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</row>
    <row r="375" spans="1:40" s="118" customFormat="1" ht="26.5" hidden="1" x14ac:dyDescent="0.35">
      <c r="A375" s="71">
        <f t="shared" si="63"/>
        <v>46153</v>
      </c>
      <c r="B375" s="71"/>
      <c r="C375" s="71"/>
      <c r="D375" s="71"/>
      <c r="E375" s="119" t="s">
        <v>5741</v>
      </c>
      <c r="F375" s="97" t="s">
        <v>1084</v>
      </c>
      <c r="G375" s="97"/>
      <c r="H375" s="49" t="s">
        <v>6889</v>
      </c>
      <c r="I375" s="71" t="s">
        <v>4632</v>
      </c>
      <c r="J375" s="100" t="s">
        <v>140</v>
      </c>
      <c r="K375" s="84">
        <v>0</v>
      </c>
      <c r="L375" s="84">
        <v>0</v>
      </c>
      <c r="M375" s="83">
        <v>60</v>
      </c>
      <c r="N375" s="223">
        <v>5000</v>
      </c>
      <c r="O375" s="83">
        <v>4</v>
      </c>
      <c r="P375" s="83">
        <f t="shared" si="64"/>
        <v>1250</v>
      </c>
      <c r="Q375" s="83"/>
      <c r="R375" s="223">
        <v>1250</v>
      </c>
      <c r="S375" s="223">
        <f t="shared" si="58"/>
        <v>0</v>
      </c>
      <c r="T375" s="83">
        <f t="shared" si="59"/>
        <v>5760</v>
      </c>
      <c r="U375" s="84">
        <f t="shared" si="60"/>
        <v>0</v>
      </c>
      <c r="V375" s="84">
        <f t="shared" si="61"/>
        <v>0</v>
      </c>
      <c r="W375" s="84">
        <v>0</v>
      </c>
      <c r="X375" s="319">
        <f t="shared" si="62"/>
        <v>46153</v>
      </c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</row>
    <row r="376" spans="1:40" s="118" customFormat="1" hidden="1" x14ac:dyDescent="0.35">
      <c r="A376" s="71">
        <f t="shared" si="63"/>
        <v>46153</v>
      </c>
      <c r="B376" s="71"/>
      <c r="C376" s="71"/>
      <c r="D376" s="71"/>
      <c r="E376" s="119" t="s">
        <v>5741</v>
      </c>
      <c r="F376" s="97" t="s">
        <v>6890</v>
      </c>
      <c r="G376" s="97"/>
      <c r="H376" s="49" t="s">
        <v>6891</v>
      </c>
      <c r="I376" s="442" t="s">
        <v>1556</v>
      </c>
      <c r="J376" s="100" t="s">
        <v>140</v>
      </c>
      <c r="K376" s="84">
        <v>0</v>
      </c>
      <c r="L376" s="84">
        <v>0</v>
      </c>
      <c r="M376" s="83">
        <v>85</v>
      </c>
      <c r="N376" s="223">
        <v>3000</v>
      </c>
      <c r="O376" s="83">
        <v>2</v>
      </c>
      <c r="P376" s="83">
        <f t="shared" si="64"/>
        <v>1500</v>
      </c>
      <c r="Q376" s="83"/>
      <c r="R376" s="223">
        <v>1500</v>
      </c>
      <c r="S376" s="223">
        <f t="shared" si="58"/>
        <v>0</v>
      </c>
      <c r="T376" s="83">
        <f t="shared" si="59"/>
        <v>2032.9411764705883</v>
      </c>
      <c r="U376" s="84">
        <f t="shared" si="60"/>
        <v>0</v>
      </c>
      <c r="V376" s="84">
        <f t="shared" si="61"/>
        <v>0</v>
      </c>
      <c r="W376" s="84">
        <v>0</v>
      </c>
      <c r="X376" s="319">
        <f t="shared" si="62"/>
        <v>46153</v>
      </c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</row>
    <row r="377" spans="1:40" s="118" customFormat="1" hidden="1" x14ac:dyDescent="0.35">
      <c r="A377" s="71">
        <f t="shared" si="63"/>
        <v>46153</v>
      </c>
      <c r="B377" s="71"/>
      <c r="C377" s="71"/>
      <c r="D377" s="71"/>
      <c r="E377" s="119" t="s">
        <v>5741</v>
      </c>
      <c r="F377" s="97" t="s">
        <v>6890</v>
      </c>
      <c r="G377" s="97"/>
      <c r="H377" s="49" t="s">
        <v>6892</v>
      </c>
      <c r="I377" s="442" t="s">
        <v>1554</v>
      </c>
      <c r="J377" s="100" t="s">
        <v>140</v>
      </c>
      <c r="K377" s="84">
        <v>0</v>
      </c>
      <c r="L377" s="84">
        <v>0</v>
      </c>
      <c r="M377" s="83">
        <v>85</v>
      </c>
      <c r="N377" s="223">
        <v>3000</v>
      </c>
      <c r="O377" s="83">
        <v>2</v>
      </c>
      <c r="P377" s="83">
        <f t="shared" si="64"/>
        <v>1500</v>
      </c>
      <c r="Q377" s="83"/>
      <c r="R377" s="223">
        <v>1500</v>
      </c>
      <c r="S377" s="223">
        <f t="shared" si="58"/>
        <v>0</v>
      </c>
      <c r="T377" s="83">
        <f t="shared" si="59"/>
        <v>2032.9411764705883</v>
      </c>
      <c r="U377" s="84">
        <f t="shared" si="60"/>
        <v>0</v>
      </c>
      <c r="V377" s="84">
        <f t="shared" si="61"/>
        <v>0</v>
      </c>
      <c r="W377" s="84">
        <v>0</v>
      </c>
      <c r="X377" s="319">
        <f t="shared" si="62"/>
        <v>46153</v>
      </c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</row>
    <row r="378" spans="1:40" s="118" customFormat="1" hidden="1" x14ac:dyDescent="0.35">
      <c r="A378" s="71">
        <f t="shared" si="63"/>
        <v>46153</v>
      </c>
      <c r="B378" s="71"/>
      <c r="C378" s="71"/>
      <c r="D378" s="71"/>
      <c r="E378" s="119" t="s">
        <v>5741</v>
      </c>
      <c r="F378" s="57" t="s">
        <v>6893</v>
      </c>
      <c r="G378" s="57"/>
      <c r="H378" s="66">
        <v>10328</v>
      </c>
      <c r="I378" s="50" t="s">
        <v>4366</v>
      </c>
      <c r="J378" s="82" t="s">
        <v>140</v>
      </c>
      <c r="K378" s="84">
        <v>0</v>
      </c>
      <c r="L378" s="84">
        <v>0</v>
      </c>
      <c r="M378" s="83">
        <v>70</v>
      </c>
      <c r="N378" s="223">
        <v>50</v>
      </c>
      <c r="O378" s="83">
        <v>1</v>
      </c>
      <c r="P378" s="102">
        <f t="shared" si="64"/>
        <v>50</v>
      </c>
      <c r="Q378" s="102"/>
      <c r="R378" s="223">
        <v>50</v>
      </c>
      <c r="S378" s="223">
        <f t="shared" si="58"/>
        <v>0</v>
      </c>
      <c r="T378" s="83">
        <f t="shared" si="59"/>
        <v>1234.2857142857142</v>
      </c>
      <c r="U378" s="84">
        <f t="shared" si="60"/>
        <v>0</v>
      </c>
      <c r="V378" s="84">
        <f t="shared" si="61"/>
        <v>0</v>
      </c>
      <c r="W378" s="84">
        <v>0</v>
      </c>
      <c r="X378" s="319">
        <f t="shared" si="62"/>
        <v>46153</v>
      </c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</row>
    <row r="379" spans="1:40" s="118" customFormat="1" hidden="1" x14ac:dyDescent="0.35">
      <c r="A379" s="71">
        <f t="shared" si="63"/>
        <v>46153</v>
      </c>
      <c r="B379" s="71"/>
      <c r="C379" s="71"/>
      <c r="D379" s="71"/>
      <c r="E379" s="119" t="s">
        <v>5741</v>
      </c>
      <c r="F379" s="57" t="s">
        <v>6893</v>
      </c>
      <c r="G379" s="57"/>
      <c r="H379" s="66">
        <v>10329</v>
      </c>
      <c r="I379" s="50" t="s">
        <v>5661</v>
      </c>
      <c r="J379" s="82" t="s">
        <v>140</v>
      </c>
      <c r="K379" s="84">
        <v>0</v>
      </c>
      <c r="L379" s="84">
        <v>0</v>
      </c>
      <c r="M379" s="83">
        <v>70</v>
      </c>
      <c r="N379" s="223">
        <v>50</v>
      </c>
      <c r="O379" s="83">
        <v>1</v>
      </c>
      <c r="P379" s="102">
        <f t="shared" si="64"/>
        <v>50</v>
      </c>
      <c r="Q379" s="102"/>
      <c r="R379" s="223">
        <v>50</v>
      </c>
      <c r="S379" s="223">
        <f t="shared" si="58"/>
        <v>0</v>
      </c>
      <c r="T379" s="83">
        <f t="shared" si="59"/>
        <v>1234.2857142857142</v>
      </c>
      <c r="U379" s="84">
        <f t="shared" si="60"/>
        <v>0</v>
      </c>
      <c r="V379" s="84">
        <f t="shared" si="61"/>
        <v>0</v>
      </c>
      <c r="W379" s="84">
        <v>0</v>
      </c>
      <c r="X379" s="319">
        <f t="shared" si="62"/>
        <v>46153</v>
      </c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</row>
    <row r="380" spans="1:40" s="118" customFormat="1" hidden="1" x14ac:dyDescent="0.35">
      <c r="A380" s="71">
        <f t="shared" si="63"/>
        <v>46153</v>
      </c>
      <c r="B380" s="71"/>
      <c r="C380" s="71"/>
      <c r="D380" s="71"/>
      <c r="E380" s="119" t="s">
        <v>5741</v>
      </c>
      <c r="F380" s="57" t="s">
        <v>6893</v>
      </c>
      <c r="G380" s="57"/>
      <c r="H380" s="66">
        <v>10330</v>
      </c>
      <c r="I380" s="67" t="s">
        <v>4368</v>
      </c>
      <c r="J380" s="82" t="s">
        <v>140</v>
      </c>
      <c r="K380" s="84">
        <v>0</v>
      </c>
      <c r="L380" s="84">
        <v>0</v>
      </c>
      <c r="M380" s="83">
        <v>70</v>
      </c>
      <c r="N380" s="223">
        <v>400</v>
      </c>
      <c r="O380" s="83">
        <v>1</v>
      </c>
      <c r="P380" s="102">
        <f t="shared" si="64"/>
        <v>400</v>
      </c>
      <c r="Q380" s="102"/>
      <c r="R380" s="223">
        <v>400</v>
      </c>
      <c r="S380" s="223">
        <f t="shared" si="58"/>
        <v>0</v>
      </c>
      <c r="T380" s="83">
        <f t="shared" si="59"/>
        <v>1234.2857142857142</v>
      </c>
      <c r="U380" s="84">
        <f t="shared" si="60"/>
        <v>0</v>
      </c>
      <c r="V380" s="84">
        <f t="shared" si="61"/>
        <v>0</v>
      </c>
      <c r="W380" s="84">
        <v>0</v>
      </c>
      <c r="X380" s="319">
        <f t="shared" si="62"/>
        <v>46153</v>
      </c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</row>
    <row r="381" spans="1:40" s="118" customFormat="1" ht="26.5" hidden="1" x14ac:dyDescent="0.35">
      <c r="A381" s="71">
        <f t="shared" si="63"/>
        <v>46153</v>
      </c>
      <c r="B381" s="71"/>
      <c r="C381" s="71"/>
      <c r="D381" s="71"/>
      <c r="E381" s="119" t="s">
        <v>1684</v>
      </c>
      <c r="F381" s="57" t="s">
        <v>6893</v>
      </c>
      <c r="G381" s="57"/>
      <c r="H381" s="67" t="s">
        <v>6894</v>
      </c>
      <c r="I381" s="97" t="s">
        <v>6895</v>
      </c>
      <c r="J381" s="82" t="s">
        <v>140</v>
      </c>
      <c r="K381" s="84">
        <v>0</v>
      </c>
      <c r="L381" s="84">
        <v>0</v>
      </c>
      <c r="M381" s="83">
        <v>70</v>
      </c>
      <c r="N381" s="317">
        <v>50</v>
      </c>
      <c r="O381" s="83">
        <v>1</v>
      </c>
      <c r="P381" s="83">
        <f t="shared" si="64"/>
        <v>50</v>
      </c>
      <c r="Q381" s="83"/>
      <c r="R381" s="223">
        <v>50</v>
      </c>
      <c r="S381" s="223">
        <f t="shared" si="58"/>
        <v>0</v>
      </c>
      <c r="T381" s="83">
        <f t="shared" si="59"/>
        <v>1234.2857142857142</v>
      </c>
      <c r="U381" s="84">
        <f t="shared" si="60"/>
        <v>0</v>
      </c>
      <c r="V381" s="84">
        <f t="shared" si="61"/>
        <v>0</v>
      </c>
      <c r="W381" s="84">
        <v>0</v>
      </c>
      <c r="X381" s="319">
        <f t="shared" si="62"/>
        <v>46153</v>
      </c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</row>
    <row r="382" spans="1:40" s="118" customFormat="1" ht="26.5" hidden="1" x14ac:dyDescent="0.35">
      <c r="A382" s="71">
        <f t="shared" si="63"/>
        <v>46153</v>
      </c>
      <c r="B382" s="71"/>
      <c r="C382" s="71"/>
      <c r="D382" s="71"/>
      <c r="E382" s="119" t="s">
        <v>1684</v>
      </c>
      <c r="F382" s="57" t="s">
        <v>6893</v>
      </c>
      <c r="G382" s="57"/>
      <c r="H382" s="67" t="s">
        <v>6896</v>
      </c>
      <c r="I382" s="97" t="s">
        <v>6897</v>
      </c>
      <c r="J382" s="82" t="s">
        <v>140</v>
      </c>
      <c r="K382" s="84">
        <v>0</v>
      </c>
      <c r="L382" s="84">
        <v>0</v>
      </c>
      <c r="M382" s="83">
        <v>70</v>
      </c>
      <c r="N382" s="317">
        <v>50</v>
      </c>
      <c r="O382" s="83">
        <v>1</v>
      </c>
      <c r="P382" s="83">
        <f t="shared" si="64"/>
        <v>50</v>
      </c>
      <c r="Q382" s="83"/>
      <c r="R382" s="223">
        <v>50</v>
      </c>
      <c r="S382" s="223">
        <f t="shared" si="58"/>
        <v>0</v>
      </c>
      <c r="T382" s="83">
        <f t="shared" si="59"/>
        <v>1234.2857142857142</v>
      </c>
      <c r="U382" s="84">
        <f t="shared" si="60"/>
        <v>0</v>
      </c>
      <c r="V382" s="84">
        <f t="shared" si="61"/>
        <v>0</v>
      </c>
      <c r="W382" s="84">
        <v>0</v>
      </c>
      <c r="X382" s="319">
        <f t="shared" si="62"/>
        <v>46153</v>
      </c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</row>
    <row r="383" spans="1:40" s="118" customFormat="1" ht="26.5" hidden="1" x14ac:dyDescent="0.35">
      <c r="A383" s="71">
        <f t="shared" si="63"/>
        <v>46153</v>
      </c>
      <c r="B383" s="71"/>
      <c r="C383" s="71"/>
      <c r="D383" s="71"/>
      <c r="E383" s="119" t="s">
        <v>1684</v>
      </c>
      <c r="F383" s="57" t="s">
        <v>6893</v>
      </c>
      <c r="G383" s="57"/>
      <c r="H383" s="67" t="s">
        <v>6898</v>
      </c>
      <c r="I383" s="97" t="s">
        <v>6899</v>
      </c>
      <c r="J383" s="82" t="s">
        <v>140</v>
      </c>
      <c r="K383" s="84">
        <v>0</v>
      </c>
      <c r="L383" s="84">
        <v>0</v>
      </c>
      <c r="M383" s="83">
        <v>70</v>
      </c>
      <c r="N383" s="317">
        <v>400</v>
      </c>
      <c r="O383" s="83">
        <v>1</v>
      </c>
      <c r="P383" s="83">
        <f t="shared" si="64"/>
        <v>400</v>
      </c>
      <c r="Q383" s="83"/>
      <c r="R383" s="223">
        <v>400</v>
      </c>
      <c r="S383" s="223">
        <f t="shared" si="58"/>
        <v>0</v>
      </c>
      <c r="T383" s="83">
        <f t="shared" si="59"/>
        <v>1234.2857142857142</v>
      </c>
      <c r="U383" s="84">
        <f t="shared" si="60"/>
        <v>0</v>
      </c>
      <c r="V383" s="84">
        <f t="shared" si="61"/>
        <v>0</v>
      </c>
      <c r="W383" s="84">
        <v>0</v>
      </c>
      <c r="X383" s="319">
        <f t="shared" si="62"/>
        <v>46153</v>
      </c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</row>
    <row r="384" spans="1:40" s="118" customFormat="1" ht="29" hidden="1" x14ac:dyDescent="0.35">
      <c r="A384" s="71">
        <f t="shared" si="63"/>
        <v>46153</v>
      </c>
      <c r="B384" s="71"/>
      <c r="C384" s="71"/>
      <c r="D384" s="71"/>
      <c r="E384" s="119" t="s">
        <v>318</v>
      </c>
      <c r="F384" s="56" t="s">
        <v>215</v>
      </c>
      <c r="G384" s="56"/>
      <c r="H384" s="49" t="s">
        <v>6900</v>
      </c>
      <c r="I384" s="442" t="s">
        <v>1663</v>
      </c>
      <c r="J384" s="100" t="s">
        <v>140</v>
      </c>
      <c r="K384" s="84">
        <v>0</v>
      </c>
      <c r="L384" s="84">
        <v>0</v>
      </c>
      <c r="M384" s="83">
        <v>60</v>
      </c>
      <c r="N384" s="223">
        <v>1000</v>
      </c>
      <c r="O384" s="83">
        <v>1</v>
      </c>
      <c r="P384" s="83">
        <f t="shared" si="64"/>
        <v>1000</v>
      </c>
      <c r="Q384" s="83"/>
      <c r="R384" s="223">
        <v>1000</v>
      </c>
      <c r="S384" s="223">
        <f t="shared" si="58"/>
        <v>0</v>
      </c>
      <c r="T384" s="83">
        <f t="shared" si="59"/>
        <v>1440</v>
      </c>
      <c r="U384" s="84">
        <f t="shared" si="60"/>
        <v>0</v>
      </c>
      <c r="V384" s="84">
        <f t="shared" si="61"/>
        <v>0</v>
      </c>
      <c r="W384" s="84">
        <v>0</v>
      </c>
      <c r="X384" s="319">
        <f t="shared" si="62"/>
        <v>46153</v>
      </c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</row>
    <row r="385" spans="1:40" s="118" customFormat="1" ht="29" hidden="1" x14ac:dyDescent="0.35">
      <c r="A385" s="71">
        <f t="shared" si="63"/>
        <v>46153</v>
      </c>
      <c r="B385" s="71"/>
      <c r="C385" s="71"/>
      <c r="D385" s="71"/>
      <c r="E385" s="119" t="s">
        <v>5741</v>
      </c>
      <c r="F385" s="56" t="s">
        <v>215</v>
      </c>
      <c r="G385" s="56"/>
      <c r="H385" s="59" t="s">
        <v>6901</v>
      </c>
      <c r="I385" s="106" t="s">
        <v>1898</v>
      </c>
      <c r="J385" s="100" t="s">
        <v>140</v>
      </c>
      <c r="K385" s="84">
        <v>0</v>
      </c>
      <c r="L385" s="84">
        <v>0</v>
      </c>
      <c r="M385" s="83">
        <v>70</v>
      </c>
      <c r="N385" s="223">
        <v>1000</v>
      </c>
      <c r="O385" s="83">
        <v>1</v>
      </c>
      <c r="P385" s="83">
        <f t="shared" si="64"/>
        <v>1000</v>
      </c>
      <c r="Q385" s="83"/>
      <c r="R385" s="223">
        <v>1000</v>
      </c>
      <c r="S385" s="223">
        <f t="shared" si="58"/>
        <v>0</v>
      </c>
      <c r="T385" s="83">
        <f t="shared" si="59"/>
        <v>1234.2857142857142</v>
      </c>
      <c r="U385" s="84">
        <f t="shared" si="60"/>
        <v>0</v>
      </c>
      <c r="V385" s="84">
        <f t="shared" si="61"/>
        <v>0</v>
      </c>
      <c r="W385" s="84">
        <v>0</v>
      </c>
      <c r="X385" s="319">
        <f t="shared" si="62"/>
        <v>46153</v>
      </c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</row>
    <row r="386" spans="1:40" s="118" customFormat="1" hidden="1" x14ac:dyDescent="0.35">
      <c r="A386" s="71">
        <f t="shared" si="63"/>
        <v>46153</v>
      </c>
      <c r="B386" s="71"/>
      <c r="C386" s="71"/>
      <c r="D386" s="71"/>
      <c r="E386" s="119" t="s">
        <v>5741</v>
      </c>
      <c r="F386" s="97" t="s">
        <v>2082</v>
      </c>
      <c r="G386" s="97"/>
      <c r="H386" s="108">
        <v>10488</v>
      </c>
      <c r="I386" s="97" t="s">
        <v>6902</v>
      </c>
      <c r="J386" s="77" t="s">
        <v>140</v>
      </c>
      <c r="K386" s="84">
        <v>0</v>
      </c>
      <c r="L386" s="84">
        <v>0</v>
      </c>
      <c r="M386" s="102">
        <v>70</v>
      </c>
      <c r="N386" s="227">
        <v>2750</v>
      </c>
      <c r="O386" s="102">
        <v>1</v>
      </c>
      <c r="P386" s="102">
        <f t="shared" si="64"/>
        <v>2750</v>
      </c>
      <c r="Q386" s="102"/>
      <c r="R386" s="103">
        <v>2750</v>
      </c>
      <c r="S386" s="103">
        <f t="shared" si="58"/>
        <v>0</v>
      </c>
      <c r="T386" s="102">
        <f t="shared" si="59"/>
        <v>1234.2857142857142</v>
      </c>
      <c r="U386" s="101">
        <f t="shared" si="60"/>
        <v>0</v>
      </c>
      <c r="V386" s="101">
        <f t="shared" si="61"/>
        <v>0</v>
      </c>
      <c r="W386" s="101">
        <v>0</v>
      </c>
      <c r="X386" s="319">
        <f t="shared" si="62"/>
        <v>46153</v>
      </c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</row>
    <row r="387" spans="1:40" s="118" customFormat="1" hidden="1" x14ac:dyDescent="0.35">
      <c r="A387" s="71">
        <f t="shared" si="63"/>
        <v>46153</v>
      </c>
      <c r="B387" s="71"/>
      <c r="C387" s="71"/>
      <c r="D387" s="71"/>
      <c r="E387" s="119" t="s">
        <v>5741</v>
      </c>
      <c r="F387" s="97" t="s">
        <v>2082</v>
      </c>
      <c r="G387" s="97"/>
      <c r="H387" s="108">
        <v>10478</v>
      </c>
      <c r="I387" s="97" t="s">
        <v>5663</v>
      </c>
      <c r="J387" s="77" t="s">
        <v>140</v>
      </c>
      <c r="K387" s="84">
        <v>0</v>
      </c>
      <c r="L387" s="84">
        <v>0</v>
      </c>
      <c r="M387" s="102">
        <v>70</v>
      </c>
      <c r="N387" s="227">
        <v>1400</v>
      </c>
      <c r="O387" s="102">
        <v>1</v>
      </c>
      <c r="P387" s="102">
        <f t="shared" si="64"/>
        <v>1400</v>
      </c>
      <c r="Q387" s="102"/>
      <c r="R387" s="103">
        <v>1400</v>
      </c>
      <c r="S387" s="103">
        <f t="shared" si="58"/>
        <v>0</v>
      </c>
      <c r="T387" s="102">
        <f t="shared" si="59"/>
        <v>1234.2857142857142</v>
      </c>
      <c r="U387" s="101">
        <f t="shared" si="60"/>
        <v>0</v>
      </c>
      <c r="V387" s="101">
        <f t="shared" si="61"/>
        <v>0</v>
      </c>
      <c r="W387" s="101">
        <v>0</v>
      </c>
      <c r="X387" s="319">
        <f t="shared" si="62"/>
        <v>46153</v>
      </c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</row>
    <row r="388" spans="1:40" s="118" customFormat="1" hidden="1" x14ac:dyDescent="0.35">
      <c r="A388" s="71">
        <f t="shared" si="63"/>
        <v>46153</v>
      </c>
      <c r="B388" s="71"/>
      <c r="C388" s="71"/>
      <c r="D388" s="71"/>
      <c r="E388" s="119" t="s">
        <v>5741</v>
      </c>
      <c r="F388" s="97" t="s">
        <v>6903</v>
      </c>
      <c r="G388" s="97"/>
      <c r="H388" s="108">
        <v>10534</v>
      </c>
      <c r="I388" s="97" t="s">
        <v>5661</v>
      </c>
      <c r="J388" s="77" t="s">
        <v>140</v>
      </c>
      <c r="K388" s="84">
        <v>0</v>
      </c>
      <c r="L388" s="84">
        <v>0</v>
      </c>
      <c r="M388" s="102">
        <v>70</v>
      </c>
      <c r="N388" s="227">
        <v>500</v>
      </c>
      <c r="O388" s="102">
        <v>1</v>
      </c>
      <c r="P388" s="102">
        <f t="shared" si="64"/>
        <v>500</v>
      </c>
      <c r="Q388" s="102"/>
      <c r="R388" s="103">
        <v>500</v>
      </c>
      <c r="S388" s="103">
        <f t="shared" si="58"/>
        <v>0</v>
      </c>
      <c r="T388" s="102">
        <f t="shared" si="59"/>
        <v>1234.2857142857142</v>
      </c>
      <c r="U388" s="101">
        <f t="shared" si="60"/>
        <v>0</v>
      </c>
      <c r="V388" s="101">
        <f t="shared" si="61"/>
        <v>0</v>
      </c>
      <c r="W388" s="101">
        <v>0</v>
      </c>
      <c r="X388" s="319">
        <f t="shared" si="62"/>
        <v>46153</v>
      </c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</row>
    <row r="389" spans="1:40" s="118" customFormat="1" hidden="1" x14ac:dyDescent="0.35">
      <c r="A389" s="71">
        <f t="shared" si="63"/>
        <v>46153</v>
      </c>
      <c r="B389" s="71"/>
      <c r="C389" s="71"/>
      <c r="D389" s="71"/>
      <c r="E389" s="119" t="s">
        <v>5741</v>
      </c>
      <c r="F389" s="97" t="s">
        <v>600</v>
      </c>
      <c r="G389" s="97"/>
      <c r="H389" s="108">
        <v>10590</v>
      </c>
      <c r="I389" s="97" t="s">
        <v>6904</v>
      </c>
      <c r="J389" s="77" t="s">
        <v>140</v>
      </c>
      <c r="K389" s="84">
        <v>0</v>
      </c>
      <c r="L389" s="84">
        <v>0</v>
      </c>
      <c r="M389" s="102">
        <v>70</v>
      </c>
      <c r="N389" s="227">
        <v>500</v>
      </c>
      <c r="O389" s="102">
        <v>1</v>
      </c>
      <c r="P389" s="102">
        <f t="shared" si="64"/>
        <v>500</v>
      </c>
      <c r="Q389" s="102"/>
      <c r="R389" s="103">
        <v>500</v>
      </c>
      <c r="S389" s="103">
        <f t="shared" si="58"/>
        <v>0</v>
      </c>
      <c r="T389" s="102">
        <f t="shared" si="59"/>
        <v>1234.2857142857142</v>
      </c>
      <c r="U389" s="101">
        <f t="shared" si="60"/>
        <v>0</v>
      </c>
      <c r="V389" s="101">
        <f t="shared" si="61"/>
        <v>0</v>
      </c>
      <c r="W389" s="101">
        <v>0</v>
      </c>
      <c r="X389" s="319">
        <f t="shared" si="62"/>
        <v>46153</v>
      </c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</row>
    <row r="390" spans="1:40" s="118" customFormat="1" hidden="1" x14ac:dyDescent="0.35">
      <c r="A390" s="71">
        <f t="shared" si="63"/>
        <v>46153</v>
      </c>
      <c r="B390" s="71"/>
      <c r="C390" s="71"/>
      <c r="D390" s="71"/>
      <c r="E390" s="119" t="s">
        <v>5741</v>
      </c>
      <c r="F390" s="97" t="s">
        <v>1251</v>
      </c>
      <c r="G390" s="97"/>
      <c r="H390" s="49" t="s">
        <v>6905</v>
      </c>
      <c r="I390" s="442" t="s">
        <v>1556</v>
      </c>
      <c r="J390" s="100" t="s">
        <v>140</v>
      </c>
      <c r="K390" s="84">
        <v>0</v>
      </c>
      <c r="L390" s="84">
        <v>0</v>
      </c>
      <c r="M390" s="83">
        <v>85</v>
      </c>
      <c r="N390" s="223">
        <v>1740</v>
      </c>
      <c r="O390" s="83">
        <v>2</v>
      </c>
      <c r="P390" s="83">
        <f t="shared" si="64"/>
        <v>870</v>
      </c>
      <c r="Q390" s="83"/>
      <c r="R390" s="223">
        <v>870</v>
      </c>
      <c r="S390" s="223">
        <f t="shared" ref="S390:S434" si="65">P390-R390</f>
        <v>0</v>
      </c>
      <c r="T390" s="83">
        <f t="shared" ref="T390:T423" si="66">((3600/M390)*O390)*24</f>
        <v>2032.9411764705883</v>
      </c>
      <c r="U390" s="84">
        <f t="shared" ref="U390:U423" si="67">(P390-R390)*M390/3600</f>
        <v>0</v>
      </c>
      <c r="V390" s="84">
        <f t="shared" ref="V390:V423" si="68">(P390-R390)*M390/3600/24</f>
        <v>0</v>
      </c>
      <c r="W390" s="84">
        <v>0</v>
      </c>
      <c r="X390" s="319">
        <f t="shared" ref="X390:X415" si="69">A390+K390+V390+W390+L390</f>
        <v>46153</v>
      </c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</row>
    <row r="391" spans="1:40" s="118" customFormat="1" hidden="1" x14ac:dyDescent="0.35">
      <c r="A391" s="71">
        <f t="shared" ref="A391:A434" si="70">X390</f>
        <v>46153</v>
      </c>
      <c r="B391" s="71"/>
      <c r="C391" s="71"/>
      <c r="D391" s="71"/>
      <c r="E391" s="119" t="s">
        <v>5741</v>
      </c>
      <c r="F391" s="97" t="s">
        <v>1251</v>
      </c>
      <c r="G391" s="97"/>
      <c r="H391" s="49" t="s">
        <v>6906</v>
      </c>
      <c r="I391" s="442" t="s">
        <v>1554</v>
      </c>
      <c r="J391" s="100" t="s">
        <v>140</v>
      </c>
      <c r="K391" s="84">
        <v>0</v>
      </c>
      <c r="L391" s="84">
        <v>0</v>
      </c>
      <c r="M391" s="83">
        <v>85</v>
      </c>
      <c r="N391" s="223">
        <v>1740</v>
      </c>
      <c r="O391" s="83">
        <v>2</v>
      </c>
      <c r="P391" s="83">
        <f t="shared" si="64"/>
        <v>870</v>
      </c>
      <c r="Q391" s="83"/>
      <c r="R391" s="223">
        <v>870</v>
      </c>
      <c r="S391" s="223">
        <f t="shared" si="65"/>
        <v>0</v>
      </c>
      <c r="T391" s="83">
        <f t="shared" si="66"/>
        <v>2032.9411764705883</v>
      </c>
      <c r="U391" s="84">
        <f t="shared" si="67"/>
        <v>0</v>
      </c>
      <c r="V391" s="84">
        <f t="shared" si="68"/>
        <v>0</v>
      </c>
      <c r="W391" s="84">
        <v>0</v>
      </c>
      <c r="X391" s="319">
        <f t="shared" si="69"/>
        <v>46153</v>
      </c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</row>
    <row r="392" spans="1:40" s="118" customFormat="1" hidden="1" x14ac:dyDescent="0.35">
      <c r="A392" s="71">
        <f t="shared" si="70"/>
        <v>46153</v>
      </c>
      <c r="B392" s="71"/>
      <c r="C392" s="71"/>
      <c r="D392" s="71"/>
      <c r="E392" s="119" t="s">
        <v>5741</v>
      </c>
      <c r="F392" s="97" t="s">
        <v>1251</v>
      </c>
      <c r="G392" s="97"/>
      <c r="H392" s="49" t="s">
        <v>6907</v>
      </c>
      <c r="I392" s="442" t="s">
        <v>1554</v>
      </c>
      <c r="J392" s="100" t="s">
        <v>140</v>
      </c>
      <c r="K392" s="84">
        <v>0</v>
      </c>
      <c r="L392" s="84">
        <v>0</v>
      </c>
      <c r="M392" s="83">
        <v>85</v>
      </c>
      <c r="N392" s="223">
        <v>2000</v>
      </c>
      <c r="O392" s="83">
        <v>2</v>
      </c>
      <c r="P392" s="83">
        <f t="shared" si="64"/>
        <v>1000</v>
      </c>
      <c r="Q392" s="83"/>
      <c r="R392" s="223">
        <v>1000</v>
      </c>
      <c r="S392" s="223">
        <f t="shared" si="65"/>
        <v>0</v>
      </c>
      <c r="T392" s="83">
        <f t="shared" si="66"/>
        <v>2032.9411764705883</v>
      </c>
      <c r="U392" s="84">
        <f t="shared" si="67"/>
        <v>0</v>
      </c>
      <c r="V392" s="84">
        <f t="shared" si="68"/>
        <v>0</v>
      </c>
      <c r="W392" s="84">
        <v>0</v>
      </c>
      <c r="X392" s="319">
        <f t="shared" si="69"/>
        <v>46153</v>
      </c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</row>
    <row r="393" spans="1:40" s="118" customFormat="1" hidden="1" x14ac:dyDescent="0.35">
      <c r="A393" s="71">
        <f t="shared" si="70"/>
        <v>46153</v>
      </c>
      <c r="B393" s="71"/>
      <c r="C393" s="71"/>
      <c r="D393" s="71"/>
      <c r="E393" s="119" t="s">
        <v>5741</v>
      </c>
      <c r="F393" s="97" t="s">
        <v>1251</v>
      </c>
      <c r="G393" s="97"/>
      <c r="H393" s="49" t="s">
        <v>6908</v>
      </c>
      <c r="I393" s="442" t="s">
        <v>1556</v>
      </c>
      <c r="J393" s="100" t="s">
        <v>140</v>
      </c>
      <c r="K393" s="84">
        <v>0</v>
      </c>
      <c r="L393" s="84">
        <v>0</v>
      </c>
      <c r="M393" s="83">
        <v>85</v>
      </c>
      <c r="N393" s="223">
        <f>516*2</f>
        <v>1032</v>
      </c>
      <c r="O393" s="83">
        <v>2</v>
      </c>
      <c r="P393" s="83">
        <f t="shared" si="64"/>
        <v>516</v>
      </c>
      <c r="Q393" s="83"/>
      <c r="R393" s="223">
        <v>516</v>
      </c>
      <c r="S393" s="223">
        <f t="shared" si="65"/>
        <v>0</v>
      </c>
      <c r="T393" s="83">
        <f t="shared" si="66"/>
        <v>2032.9411764705883</v>
      </c>
      <c r="U393" s="84">
        <f t="shared" si="67"/>
        <v>0</v>
      </c>
      <c r="V393" s="84">
        <f t="shared" si="68"/>
        <v>0</v>
      </c>
      <c r="W393" s="84">
        <v>0</v>
      </c>
      <c r="X393" s="319">
        <f t="shared" si="69"/>
        <v>46153</v>
      </c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</row>
    <row r="394" spans="1:40" s="118" customFormat="1" hidden="1" x14ac:dyDescent="0.35">
      <c r="A394" s="71">
        <f t="shared" si="70"/>
        <v>46153</v>
      </c>
      <c r="B394" s="71"/>
      <c r="C394" s="71"/>
      <c r="D394" s="71"/>
      <c r="E394" s="119" t="s">
        <v>5741</v>
      </c>
      <c r="F394" s="97" t="s">
        <v>1251</v>
      </c>
      <c r="G394" s="97"/>
      <c r="H394" s="49" t="s">
        <v>6908</v>
      </c>
      <c r="I394" s="442" t="s">
        <v>1556</v>
      </c>
      <c r="J394" s="100" t="s">
        <v>140</v>
      </c>
      <c r="K394" s="84">
        <v>0</v>
      </c>
      <c r="L394" s="84">
        <v>0</v>
      </c>
      <c r="M394" s="83">
        <v>85</v>
      </c>
      <c r="N394" s="223">
        <v>2000</v>
      </c>
      <c r="O394" s="83">
        <v>2</v>
      </c>
      <c r="P394" s="83">
        <f t="shared" si="64"/>
        <v>1000</v>
      </c>
      <c r="Q394" s="83"/>
      <c r="R394" s="223">
        <v>1000</v>
      </c>
      <c r="S394" s="223">
        <f t="shared" si="65"/>
        <v>0</v>
      </c>
      <c r="T394" s="83">
        <f t="shared" si="66"/>
        <v>2032.9411764705883</v>
      </c>
      <c r="U394" s="84">
        <f t="shared" si="67"/>
        <v>0</v>
      </c>
      <c r="V394" s="84">
        <f t="shared" si="68"/>
        <v>0</v>
      </c>
      <c r="W394" s="84">
        <v>0</v>
      </c>
      <c r="X394" s="319">
        <f t="shared" si="69"/>
        <v>46153</v>
      </c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</row>
    <row r="395" spans="1:40" s="118" customFormat="1" ht="29" hidden="1" x14ac:dyDescent="0.35">
      <c r="A395" s="71">
        <f t="shared" si="70"/>
        <v>46153</v>
      </c>
      <c r="B395" s="71"/>
      <c r="C395" s="71"/>
      <c r="D395" s="71"/>
      <c r="E395" s="119" t="s">
        <v>5741</v>
      </c>
      <c r="F395" s="57" t="s">
        <v>165</v>
      </c>
      <c r="G395" s="57"/>
      <c r="H395" s="98" t="s">
        <v>6909</v>
      </c>
      <c r="I395" s="71" t="s">
        <v>4297</v>
      </c>
      <c r="J395" s="100" t="s">
        <v>140</v>
      </c>
      <c r="K395" s="84">
        <v>0</v>
      </c>
      <c r="L395" s="84">
        <v>0</v>
      </c>
      <c r="M395" s="102">
        <v>90</v>
      </c>
      <c r="N395" s="103">
        <v>889</v>
      </c>
      <c r="O395" s="102">
        <v>1</v>
      </c>
      <c r="P395" s="102">
        <f t="shared" si="64"/>
        <v>889</v>
      </c>
      <c r="Q395" s="102"/>
      <c r="R395" s="103">
        <v>889</v>
      </c>
      <c r="S395" s="103">
        <f t="shared" si="65"/>
        <v>0</v>
      </c>
      <c r="T395" s="102">
        <f t="shared" si="66"/>
        <v>960</v>
      </c>
      <c r="U395" s="101">
        <f t="shared" si="67"/>
        <v>0</v>
      </c>
      <c r="V395" s="101">
        <f t="shared" si="68"/>
        <v>0</v>
      </c>
      <c r="W395" s="101">
        <v>0</v>
      </c>
      <c r="X395" s="319">
        <f t="shared" si="69"/>
        <v>46153</v>
      </c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</row>
    <row r="396" spans="1:40" s="118" customFormat="1" ht="29" hidden="1" x14ac:dyDescent="0.4">
      <c r="A396" s="71">
        <f t="shared" si="70"/>
        <v>46153</v>
      </c>
      <c r="B396" s="71"/>
      <c r="C396" s="71"/>
      <c r="D396" s="71"/>
      <c r="E396" s="119" t="s">
        <v>1563</v>
      </c>
      <c r="F396" s="48" t="s">
        <v>1765</v>
      </c>
      <c r="G396" s="48"/>
      <c r="H396" s="49" t="s">
        <v>6910</v>
      </c>
      <c r="I396" s="82" t="s">
        <v>6911</v>
      </c>
      <c r="J396" s="100" t="s">
        <v>140</v>
      </c>
      <c r="K396" s="84">
        <v>0</v>
      </c>
      <c r="L396" s="84">
        <v>0</v>
      </c>
      <c r="M396" s="83">
        <v>120</v>
      </c>
      <c r="N396" s="223">
        <v>500</v>
      </c>
      <c r="O396" s="83">
        <v>2</v>
      </c>
      <c r="P396" s="83">
        <f t="shared" si="64"/>
        <v>250</v>
      </c>
      <c r="Q396" s="83"/>
      <c r="R396" s="223">
        <v>250</v>
      </c>
      <c r="S396" s="223">
        <f t="shared" si="65"/>
        <v>0</v>
      </c>
      <c r="T396" s="83">
        <f t="shared" si="66"/>
        <v>1440</v>
      </c>
      <c r="U396" s="84">
        <f t="shared" si="67"/>
        <v>0</v>
      </c>
      <c r="V396" s="84">
        <f t="shared" si="68"/>
        <v>0</v>
      </c>
      <c r="W396" s="101">
        <v>0</v>
      </c>
      <c r="X396" s="319">
        <f t="shared" si="69"/>
        <v>46153</v>
      </c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</row>
    <row r="397" spans="1:40" s="118" customFormat="1" ht="26.5" hidden="1" x14ac:dyDescent="0.35">
      <c r="A397" s="71">
        <f t="shared" si="70"/>
        <v>46153</v>
      </c>
      <c r="B397" s="71"/>
      <c r="C397" s="71"/>
      <c r="D397" s="71"/>
      <c r="E397" s="119" t="s">
        <v>5741</v>
      </c>
      <c r="F397" s="99" t="s">
        <v>177</v>
      </c>
      <c r="G397" s="99"/>
      <c r="H397" s="49" t="s">
        <v>6912</v>
      </c>
      <c r="I397" s="71" t="s">
        <v>6913</v>
      </c>
      <c r="J397" s="100" t="s">
        <v>140</v>
      </c>
      <c r="K397" s="84">
        <v>0</v>
      </c>
      <c r="L397" s="84">
        <v>0</v>
      </c>
      <c r="M397" s="83">
        <v>60</v>
      </c>
      <c r="N397" s="223">
        <v>5000</v>
      </c>
      <c r="O397" s="83">
        <v>4</v>
      </c>
      <c r="P397" s="83">
        <f t="shared" si="64"/>
        <v>1250</v>
      </c>
      <c r="Q397" s="83"/>
      <c r="R397" s="223">
        <v>1250</v>
      </c>
      <c r="S397" s="223">
        <f t="shared" si="65"/>
        <v>0</v>
      </c>
      <c r="T397" s="83">
        <f t="shared" si="66"/>
        <v>5760</v>
      </c>
      <c r="U397" s="84">
        <f t="shared" si="67"/>
        <v>0</v>
      </c>
      <c r="V397" s="84">
        <f t="shared" si="68"/>
        <v>0</v>
      </c>
      <c r="W397" s="84">
        <v>0</v>
      </c>
      <c r="X397" s="319">
        <f t="shared" si="69"/>
        <v>46153</v>
      </c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</row>
    <row r="398" spans="1:40" s="118" customFormat="1" hidden="1" x14ac:dyDescent="0.35">
      <c r="A398" s="71">
        <f t="shared" si="70"/>
        <v>46153</v>
      </c>
      <c r="B398" s="71"/>
      <c r="C398" s="71"/>
      <c r="D398" s="71"/>
      <c r="E398" s="119" t="s">
        <v>5741</v>
      </c>
      <c r="F398" s="99" t="s">
        <v>6914</v>
      </c>
      <c r="G398" s="99"/>
      <c r="H398" s="49" t="s">
        <v>6915</v>
      </c>
      <c r="I398" s="97" t="s">
        <v>1807</v>
      </c>
      <c r="J398" s="100" t="s">
        <v>140</v>
      </c>
      <c r="K398" s="84">
        <v>0</v>
      </c>
      <c r="L398" s="84">
        <v>0</v>
      </c>
      <c r="M398" s="83">
        <v>250</v>
      </c>
      <c r="N398" s="223">
        <v>240</v>
      </c>
      <c r="O398" s="83">
        <v>1</v>
      </c>
      <c r="P398" s="83">
        <f t="shared" si="64"/>
        <v>240</v>
      </c>
      <c r="Q398" s="83"/>
      <c r="R398" s="223">
        <v>240</v>
      </c>
      <c r="S398" s="223">
        <f t="shared" si="65"/>
        <v>0</v>
      </c>
      <c r="T398" s="83">
        <f t="shared" si="66"/>
        <v>345.6</v>
      </c>
      <c r="U398" s="84">
        <f t="shared" si="67"/>
        <v>0</v>
      </c>
      <c r="V398" s="84">
        <f t="shared" si="68"/>
        <v>0</v>
      </c>
      <c r="W398" s="84">
        <v>0</v>
      </c>
      <c r="X398" s="319">
        <f t="shared" si="69"/>
        <v>46153</v>
      </c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</row>
    <row r="399" spans="1:40" s="118" customFormat="1" ht="26.5" hidden="1" x14ac:dyDescent="0.35">
      <c r="A399" s="71">
        <f t="shared" si="70"/>
        <v>46153</v>
      </c>
      <c r="B399" s="71"/>
      <c r="C399" s="71"/>
      <c r="D399" s="71"/>
      <c r="E399" s="119" t="s">
        <v>5741</v>
      </c>
      <c r="F399" s="99" t="s">
        <v>177</v>
      </c>
      <c r="G399" s="99"/>
      <c r="H399" s="49" t="s">
        <v>6916</v>
      </c>
      <c r="I399" s="97" t="s">
        <v>1807</v>
      </c>
      <c r="J399" s="100" t="s">
        <v>140</v>
      </c>
      <c r="K399" s="84">
        <v>0</v>
      </c>
      <c r="L399" s="84">
        <v>0</v>
      </c>
      <c r="M399" s="83">
        <v>250</v>
      </c>
      <c r="N399" s="223">
        <v>240</v>
      </c>
      <c r="O399" s="83">
        <v>1</v>
      </c>
      <c r="P399" s="83">
        <f t="shared" si="64"/>
        <v>240</v>
      </c>
      <c r="Q399" s="83"/>
      <c r="R399" s="223">
        <v>240</v>
      </c>
      <c r="S399" s="223">
        <f t="shared" si="65"/>
        <v>0</v>
      </c>
      <c r="T399" s="83">
        <f t="shared" si="66"/>
        <v>345.6</v>
      </c>
      <c r="U399" s="84">
        <f t="shared" si="67"/>
        <v>0</v>
      </c>
      <c r="V399" s="84">
        <f t="shared" si="68"/>
        <v>0</v>
      </c>
      <c r="W399" s="84">
        <v>0</v>
      </c>
      <c r="X399" s="319">
        <f t="shared" si="69"/>
        <v>46153</v>
      </c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</row>
    <row r="400" spans="1:40" s="118" customFormat="1" hidden="1" x14ac:dyDescent="0.35">
      <c r="A400" s="71">
        <f t="shared" si="70"/>
        <v>46153</v>
      </c>
      <c r="B400" s="71"/>
      <c r="C400" s="71"/>
      <c r="D400" s="71"/>
      <c r="E400" s="119" t="s">
        <v>5741</v>
      </c>
      <c r="F400" s="97" t="s">
        <v>1483</v>
      </c>
      <c r="G400" s="97"/>
      <c r="H400" s="108">
        <v>10861</v>
      </c>
      <c r="I400" s="97" t="s">
        <v>5952</v>
      </c>
      <c r="J400" s="77" t="s">
        <v>140</v>
      </c>
      <c r="K400" s="84">
        <v>0</v>
      </c>
      <c r="L400" s="84">
        <v>0</v>
      </c>
      <c r="M400" s="102">
        <v>70</v>
      </c>
      <c r="N400" s="227">
        <v>3700</v>
      </c>
      <c r="O400" s="102">
        <v>1</v>
      </c>
      <c r="P400" s="102">
        <f t="shared" si="64"/>
        <v>3700</v>
      </c>
      <c r="Q400" s="102"/>
      <c r="R400" s="103">
        <v>3700</v>
      </c>
      <c r="S400" s="103">
        <f t="shared" si="65"/>
        <v>0</v>
      </c>
      <c r="T400" s="102">
        <f t="shared" si="66"/>
        <v>1234.2857142857142</v>
      </c>
      <c r="U400" s="101">
        <f t="shared" si="67"/>
        <v>0</v>
      </c>
      <c r="V400" s="101">
        <f t="shared" si="68"/>
        <v>0</v>
      </c>
      <c r="W400" s="101">
        <v>0</v>
      </c>
      <c r="X400" s="319">
        <f t="shared" si="69"/>
        <v>46153</v>
      </c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</row>
    <row r="401" spans="1:40" s="118" customFormat="1" hidden="1" x14ac:dyDescent="0.35">
      <c r="A401" s="71">
        <f t="shared" si="70"/>
        <v>46153</v>
      </c>
      <c r="B401" s="71"/>
      <c r="C401" s="71"/>
      <c r="D401" s="71"/>
      <c r="E401" s="119" t="s">
        <v>5741</v>
      </c>
      <c r="F401" s="97" t="s">
        <v>1490</v>
      </c>
      <c r="G401" s="97"/>
      <c r="H401" s="108">
        <v>11006</v>
      </c>
      <c r="I401" s="97" t="s">
        <v>4366</v>
      </c>
      <c r="J401" s="77" t="s">
        <v>140</v>
      </c>
      <c r="K401" s="84">
        <v>0</v>
      </c>
      <c r="L401" s="84">
        <v>0</v>
      </c>
      <c r="M401" s="102">
        <v>70</v>
      </c>
      <c r="N401" s="227">
        <v>400</v>
      </c>
      <c r="O401" s="102">
        <v>1</v>
      </c>
      <c r="P401" s="102">
        <f t="shared" si="64"/>
        <v>400</v>
      </c>
      <c r="Q401" s="102"/>
      <c r="R401" s="103">
        <v>400</v>
      </c>
      <c r="S401" s="103">
        <f t="shared" si="65"/>
        <v>0</v>
      </c>
      <c r="T401" s="102">
        <f t="shared" si="66"/>
        <v>1234.2857142857142</v>
      </c>
      <c r="U401" s="101">
        <f t="shared" si="67"/>
        <v>0</v>
      </c>
      <c r="V401" s="101">
        <f t="shared" si="68"/>
        <v>0</v>
      </c>
      <c r="W401" s="101">
        <v>0</v>
      </c>
      <c r="X401" s="319">
        <f t="shared" si="69"/>
        <v>46153</v>
      </c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</row>
    <row r="402" spans="1:40" s="118" customFormat="1" hidden="1" x14ac:dyDescent="0.35">
      <c r="A402" s="71">
        <f t="shared" si="70"/>
        <v>46153</v>
      </c>
      <c r="B402" s="71"/>
      <c r="C402" s="71"/>
      <c r="D402" s="71"/>
      <c r="E402" s="119" t="s">
        <v>5741</v>
      </c>
      <c r="F402" s="97" t="s">
        <v>1490</v>
      </c>
      <c r="G402" s="97"/>
      <c r="H402" s="108">
        <v>11005</v>
      </c>
      <c r="I402" s="97" t="s">
        <v>5661</v>
      </c>
      <c r="J402" s="77" t="s">
        <v>140</v>
      </c>
      <c r="K402" s="84">
        <v>0</v>
      </c>
      <c r="L402" s="84">
        <v>0</v>
      </c>
      <c r="M402" s="102">
        <v>70</v>
      </c>
      <c r="N402" s="227">
        <v>100</v>
      </c>
      <c r="O402" s="102">
        <v>1</v>
      </c>
      <c r="P402" s="102">
        <f t="shared" si="64"/>
        <v>100</v>
      </c>
      <c r="Q402" s="102"/>
      <c r="R402" s="103">
        <v>100</v>
      </c>
      <c r="S402" s="103">
        <f t="shared" si="65"/>
        <v>0</v>
      </c>
      <c r="T402" s="102">
        <f t="shared" si="66"/>
        <v>1234.2857142857142</v>
      </c>
      <c r="U402" s="101">
        <f t="shared" si="67"/>
        <v>0</v>
      </c>
      <c r="V402" s="101">
        <f t="shared" si="68"/>
        <v>0</v>
      </c>
      <c r="W402" s="101">
        <v>0</v>
      </c>
      <c r="X402" s="319">
        <f t="shared" si="69"/>
        <v>46153</v>
      </c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</row>
    <row r="403" spans="1:40" s="118" customFormat="1" hidden="1" x14ac:dyDescent="0.35">
      <c r="A403" s="71">
        <f t="shared" si="70"/>
        <v>46153</v>
      </c>
      <c r="B403" s="71"/>
      <c r="C403" s="71"/>
      <c r="D403" s="71"/>
      <c r="E403" s="119" t="s">
        <v>5741</v>
      </c>
      <c r="F403" s="97" t="s">
        <v>1498</v>
      </c>
      <c r="G403" s="97"/>
      <c r="H403" s="108">
        <v>11035</v>
      </c>
      <c r="I403" s="97" t="s">
        <v>6902</v>
      </c>
      <c r="J403" s="77" t="s">
        <v>140</v>
      </c>
      <c r="K403" s="84">
        <v>0</v>
      </c>
      <c r="L403" s="84">
        <v>0</v>
      </c>
      <c r="M403" s="102">
        <v>70</v>
      </c>
      <c r="N403" s="227">
        <v>500</v>
      </c>
      <c r="O403" s="102">
        <v>1</v>
      </c>
      <c r="P403" s="102">
        <f t="shared" si="64"/>
        <v>500</v>
      </c>
      <c r="Q403" s="102"/>
      <c r="R403" s="103">
        <v>500</v>
      </c>
      <c r="S403" s="103">
        <f t="shared" si="65"/>
        <v>0</v>
      </c>
      <c r="T403" s="102">
        <f t="shared" si="66"/>
        <v>1234.2857142857142</v>
      </c>
      <c r="U403" s="101">
        <f t="shared" si="67"/>
        <v>0</v>
      </c>
      <c r="V403" s="101">
        <f t="shared" si="68"/>
        <v>0</v>
      </c>
      <c r="W403" s="101">
        <v>0</v>
      </c>
      <c r="X403" s="319">
        <f t="shared" si="69"/>
        <v>46153</v>
      </c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</row>
    <row r="404" spans="1:40" s="118" customFormat="1" ht="26.5" hidden="1" x14ac:dyDescent="0.35">
      <c r="A404" s="71">
        <f t="shared" si="70"/>
        <v>46153</v>
      </c>
      <c r="B404" s="71"/>
      <c r="C404" s="71"/>
      <c r="D404" s="71"/>
      <c r="E404" s="119" t="s">
        <v>5741</v>
      </c>
      <c r="F404" s="97" t="s">
        <v>501</v>
      </c>
      <c r="G404" s="97"/>
      <c r="H404" s="98" t="s">
        <v>6917</v>
      </c>
      <c r="I404" s="71" t="s">
        <v>4297</v>
      </c>
      <c r="J404" s="100" t="s">
        <v>140</v>
      </c>
      <c r="K404" s="84">
        <v>0</v>
      </c>
      <c r="L404" s="84">
        <v>0</v>
      </c>
      <c r="M404" s="102">
        <v>90</v>
      </c>
      <c r="N404" s="103">
        <v>2000</v>
      </c>
      <c r="O404" s="102">
        <v>1</v>
      </c>
      <c r="P404" s="102">
        <f t="shared" si="64"/>
        <v>2000</v>
      </c>
      <c r="Q404" s="102"/>
      <c r="R404" s="103">
        <v>2000</v>
      </c>
      <c r="S404" s="103">
        <f t="shared" si="65"/>
        <v>0</v>
      </c>
      <c r="T404" s="102">
        <f t="shared" si="66"/>
        <v>960</v>
      </c>
      <c r="U404" s="101">
        <f t="shared" si="67"/>
        <v>0</v>
      </c>
      <c r="V404" s="101">
        <f t="shared" si="68"/>
        <v>0</v>
      </c>
      <c r="W404" s="101">
        <v>0</v>
      </c>
      <c r="X404" s="319">
        <f t="shared" si="69"/>
        <v>46153</v>
      </c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</row>
    <row r="405" spans="1:40" s="118" customFormat="1" ht="26.5" hidden="1" x14ac:dyDescent="0.35">
      <c r="A405" s="71">
        <f t="shared" si="70"/>
        <v>46153</v>
      </c>
      <c r="B405" s="71"/>
      <c r="C405" s="71"/>
      <c r="D405" s="71"/>
      <c r="E405" s="119" t="s">
        <v>5741</v>
      </c>
      <c r="F405" s="97" t="s">
        <v>501</v>
      </c>
      <c r="G405" s="97"/>
      <c r="H405" s="49" t="s">
        <v>6918</v>
      </c>
      <c r="I405" s="442" t="s">
        <v>1554</v>
      </c>
      <c r="J405" s="100" t="s">
        <v>140</v>
      </c>
      <c r="K405" s="84">
        <v>0</v>
      </c>
      <c r="L405" s="84">
        <v>0</v>
      </c>
      <c r="M405" s="83">
        <v>85</v>
      </c>
      <c r="N405" s="223">
        <v>2000</v>
      </c>
      <c r="O405" s="83">
        <v>2</v>
      </c>
      <c r="P405" s="83">
        <f t="shared" ref="P405:P434" si="71">N405/O405</f>
        <v>1000</v>
      </c>
      <c r="Q405" s="83"/>
      <c r="R405" s="223">
        <v>1000</v>
      </c>
      <c r="S405" s="223">
        <f t="shared" si="65"/>
        <v>0</v>
      </c>
      <c r="T405" s="83">
        <f t="shared" si="66"/>
        <v>2032.9411764705883</v>
      </c>
      <c r="U405" s="84">
        <f t="shared" si="67"/>
        <v>0</v>
      </c>
      <c r="V405" s="84">
        <f t="shared" si="68"/>
        <v>0</v>
      </c>
      <c r="W405" s="84">
        <v>0</v>
      </c>
      <c r="X405" s="319">
        <f t="shared" si="69"/>
        <v>46153</v>
      </c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</row>
    <row r="406" spans="1:40" s="118" customFormat="1" ht="26.5" hidden="1" x14ac:dyDescent="0.35">
      <c r="A406" s="71">
        <f t="shared" si="70"/>
        <v>46153</v>
      </c>
      <c r="B406" s="71"/>
      <c r="C406" s="71"/>
      <c r="D406" s="71"/>
      <c r="E406" s="119" t="s">
        <v>5741</v>
      </c>
      <c r="F406" s="97" t="s">
        <v>501</v>
      </c>
      <c r="G406" s="97"/>
      <c r="H406" s="49" t="s">
        <v>6919</v>
      </c>
      <c r="I406" s="442" t="s">
        <v>1556</v>
      </c>
      <c r="J406" s="100" t="s">
        <v>140</v>
      </c>
      <c r="K406" s="84">
        <v>0</v>
      </c>
      <c r="L406" s="84">
        <v>0</v>
      </c>
      <c r="M406" s="83">
        <v>85</v>
      </c>
      <c r="N406" s="223">
        <v>2000</v>
      </c>
      <c r="O406" s="83">
        <v>2</v>
      </c>
      <c r="P406" s="83">
        <f t="shared" si="71"/>
        <v>1000</v>
      </c>
      <c r="Q406" s="83"/>
      <c r="R406" s="223">
        <v>1000</v>
      </c>
      <c r="S406" s="223">
        <f t="shared" si="65"/>
        <v>0</v>
      </c>
      <c r="T406" s="83">
        <f t="shared" si="66"/>
        <v>2032.9411764705883</v>
      </c>
      <c r="U406" s="84">
        <f t="shared" si="67"/>
        <v>0</v>
      </c>
      <c r="V406" s="84">
        <f t="shared" si="68"/>
        <v>0</v>
      </c>
      <c r="W406" s="84">
        <v>0</v>
      </c>
      <c r="X406" s="319">
        <f t="shared" si="69"/>
        <v>46153</v>
      </c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</row>
    <row r="407" spans="1:40" s="118" customFormat="1" ht="26.5" hidden="1" x14ac:dyDescent="0.35">
      <c r="A407" s="71">
        <f t="shared" si="70"/>
        <v>46153</v>
      </c>
      <c r="B407" s="71"/>
      <c r="C407" s="71"/>
      <c r="D407" s="71"/>
      <c r="E407" s="119" t="s">
        <v>5741</v>
      </c>
      <c r="F407" s="97" t="s">
        <v>501</v>
      </c>
      <c r="G407" s="97"/>
      <c r="H407" s="49" t="s">
        <v>6920</v>
      </c>
      <c r="I407" s="442" t="s">
        <v>1663</v>
      </c>
      <c r="J407" s="100" t="s">
        <v>140</v>
      </c>
      <c r="K407" s="84">
        <v>0</v>
      </c>
      <c r="L407" s="84">
        <v>0</v>
      </c>
      <c r="M407" s="83">
        <v>60</v>
      </c>
      <c r="N407" s="223">
        <v>2000</v>
      </c>
      <c r="O407" s="83">
        <v>1</v>
      </c>
      <c r="P407" s="83">
        <f t="shared" si="71"/>
        <v>2000</v>
      </c>
      <c r="Q407" s="83"/>
      <c r="R407" s="223">
        <v>2000</v>
      </c>
      <c r="S407" s="223">
        <f t="shared" si="65"/>
        <v>0</v>
      </c>
      <c r="T407" s="83">
        <f t="shared" si="66"/>
        <v>1440</v>
      </c>
      <c r="U407" s="84">
        <f t="shared" si="67"/>
        <v>0</v>
      </c>
      <c r="V407" s="84">
        <f t="shared" si="68"/>
        <v>0</v>
      </c>
      <c r="W407" s="84">
        <v>0</v>
      </c>
      <c r="X407" s="319">
        <f t="shared" si="69"/>
        <v>46153</v>
      </c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</row>
    <row r="408" spans="1:40" s="118" customFormat="1" ht="26.5" hidden="1" x14ac:dyDescent="0.35">
      <c r="A408" s="71">
        <f t="shared" si="70"/>
        <v>46153</v>
      </c>
      <c r="B408" s="71"/>
      <c r="C408" s="71"/>
      <c r="D408" s="71"/>
      <c r="E408" s="119" t="s">
        <v>5741</v>
      </c>
      <c r="F408" s="97" t="s">
        <v>6921</v>
      </c>
      <c r="G408" s="97"/>
      <c r="H408" s="98" t="s">
        <v>6922</v>
      </c>
      <c r="I408" s="71" t="s">
        <v>4297</v>
      </c>
      <c r="J408" s="100" t="s">
        <v>140</v>
      </c>
      <c r="K408" s="84">
        <v>0</v>
      </c>
      <c r="L408" s="84">
        <v>0</v>
      </c>
      <c r="M408" s="102">
        <v>90</v>
      </c>
      <c r="N408" s="103">
        <v>3000</v>
      </c>
      <c r="O408" s="102">
        <v>1</v>
      </c>
      <c r="P408" s="102">
        <f t="shared" si="71"/>
        <v>3000</v>
      </c>
      <c r="Q408" s="102"/>
      <c r="R408" s="103">
        <v>3000</v>
      </c>
      <c r="S408" s="103">
        <f t="shared" si="65"/>
        <v>0</v>
      </c>
      <c r="T408" s="102">
        <f t="shared" si="66"/>
        <v>960</v>
      </c>
      <c r="U408" s="101">
        <f t="shared" si="67"/>
        <v>0</v>
      </c>
      <c r="V408" s="101">
        <f t="shared" si="68"/>
        <v>0</v>
      </c>
      <c r="W408" s="101">
        <v>0</v>
      </c>
      <c r="X408" s="319">
        <f t="shared" si="69"/>
        <v>46153</v>
      </c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</row>
    <row r="409" spans="1:40" s="118" customFormat="1" ht="26.5" hidden="1" x14ac:dyDescent="0.35">
      <c r="A409" s="71">
        <f t="shared" si="70"/>
        <v>46153</v>
      </c>
      <c r="B409" s="71"/>
      <c r="C409" s="71"/>
      <c r="D409" s="71"/>
      <c r="E409" s="119" t="s">
        <v>5741</v>
      </c>
      <c r="F409" s="97" t="s">
        <v>652</v>
      </c>
      <c r="G409" s="97"/>
      <c r="H409" s="49" t="s">
        <v>6923</v>
      </c>
      <c r="I409" s="442" t="s">
        <v>1554</v>
      </c>
      <c r="J409" s="100" t="s">
        <v>140</v>
      </c>
      <c r="K409" s="84">
        <v>0</v>
      </c>
      <c r="L409" s="84">
        <v>0</v>
      </c>
      <c r="M409" s="83">
        <v>85</v>
      </c>
      <c r="N409" s="223">
        <v>1500</v>
      </c>
      <c r="O409" s="83">
        <v>2</v>
      </c>
      <c r="P409" s="83">
        <f t="shared" si="71"/>
        <v>750</v>
      </c>
      <c r="Q409" s="83"/>
      <c r="R409" s="223">
        <v>750</v>
      </c>
      <c r="S409" s="223">
        <f t="shared" si="65"/>
        <v>0</v>
      </c>
      <c r="T409" s="83">
        <f t="shared" si="66"/>
        <v>2032.9411764705883</v>
      </c>
      <c r="U409" s="84">
        <f t="shared" si="67"/>
        <v>0</v>
      </c>
      <c r="V409" s="84">
        <f t="shared" si="68"/>
        <v>0</v>
      </c>
      <c r="W409" s="84">
        <v>0</v>
      </c>
      <c r="X409" s="319">
        <f t="shared" si="69"/>
        <v>46153</v>
      </c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</row>
    <row r="410" spans="1:40" s="118" customFormat="1" ht="26.5" hidden="1" x14ac:dyDescent="0.35">
      <c r="A410" s="71">
        <f t="shared" si="70"/>
        <v>46153</v>
      </c>
      <c r="B410" s="71"/>
      <c r="C410" s="71"/>
      <c r="D410" s="71"/>
      <c r="E410" s="119" t="s">
        <v>5741</v>
      </c>
      <c r="F410" s="97" t="s">
        <v>6924</v>
      </c>
      <c r="G410" s="97"/>
      <c r="H410" s="49" t="s">
        <v>6925</v>
      </c>
      <c r="I410" s="71" t="s">
        <v>6913</v>
      </c>
      <c r="J410" s="100" t="s">
        <v>140</v>
      </c>
      <c r="K410" s="84">
        <v>0</v>
      </c>
      <c r="L410" s="84">
        <v>0</v>
      </c>
      <c r="M410" s="83">
        <v>60</v>
      </c>
      <c r="N410" s="223">
        <v>10000</v>
      </c>
      <c r="O410" s="83">
        <v>2</v>
      </c>
      <c r="P410" s="83">
        <f t="shared" si="71"/>
        <v>5000</v>
      </c>
      <c r="Q410" s="83"/>
      <c r="R410" s="223">
        <v>5000</v>
      </c>
      <c r="S410" s="223">
        <f t="shared" si="65"/>
        <v>0</v>
      </c>
      <c r="T410" s="83">
        <f t="shared" si="66"/>
        <v>2880</v>
      </c>
      <c r="U410" s="84">
        <f t="shared" si="67"/>
        <v>0</v>
      </c>
      <c r="V410" s="84">
        <f t="shared" si="68"/>
        <v>0</v>
      </c>
      <c r="W410" s="84">
        <v>0</v>
      </c>
      <c r="X410" s="319">
        <f t="shared" si="69"/>
        <v>46153</v>
      </c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</row>
    <row r="411" spans="1:40" s="118" customFormat="1" hidden="1" x14ac:dyDescent="0.35">
      <c r="A411" s="71">
        <f t="shared" si="70"/>
        <v>46153</v>
      </c>
      <c r="B411" s="71"/>
      <c r="C411" s="71"/>
      <c r="D411" s="71"/>
      <c r="E411" s="119" t="s">
        <v>5741</v>
      </c>
      <c r="F411" s="98" t="s">
        <v>1801</v>
      </c>
      <c r="G411" s="98"/>
      <c r="H411" s="452" t="s">
        <v>14</v>
      </c>
      <c r="I411" s="82" t="s">
        <v>4609</v>
      </c>
      <c r="J411" s="100" t="s">
        <v>140</v>
      </c>
      <c r="K411" s="84">
        <v>0</v>
      </c>
      <c r="L411" s="84">
        <v>0</v>
      </c>
      <c r="M411" s="102">
        <v>60</v>
      </c>
      <c r="N411" s="103">
        <v>1200</v>
      </c>
      <c r="O411" s="102">
        <v>1</v>
      </c>
      <c r="P411" s="102">
        <f t="shared" si="71"/>
        <v>1200</v>
      </c>
      <c r="Q411" s="102"/>
      <c r="R411" s="103">
        <v>1200</v>
      </c>
      <c r="S411" s="103">
        <f t="shared" si="65"/>
        <v>0</v>
      </c>
      <c r="T411" s="102">
        <f t="shared" si="66"/>
        <v>1440</v>
      </c>
      <c r="U411" s="101">
        <f t="shared" si="67"/>
        <v>0</v>
      </c>
      <c r="V411" s="101">
        <f t="shared" si="68"/>
        <v>0</v>
      </c>
      <c r="W411" s="101">
        <v>0</v>
      </c>
      <c r="X411" s="319">
        <f t="shared" si="69"/>
        <v>46153</v>
      </c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</row>
    <row r="412" spans="1:40" s="118" customFormat="1" hidden="1" x14ac:dyDescent="0.35">
      <c r="A412" s="71">
        <f t="shared" si="70"/>
        <v>46153</v>
      </c>
      <c r="B412" s="71"/>
      <c r="C412" s="71"/>
      <c r="D412" s="71"/>
      <c r="E412" s="119" t="s">
        <v>5741</v>
      </c>
      <c r="F412" s="98" t="s">
        <v>1801</v>
      </c>
      <c r="G412" s="98"/>
      <c r="H412" s="452">
        <v>11472</v>
      </c>
      <c r="I412" s="82" t="s">
        <v>6177</v>
      </c>
      <c r="J412" s="100" t="s">
        <v>140</v>
      </c>
      <c r="K412" s="84">
        <v>0</v>
      </c>
      <c r="L412" s="84">
        <v>0</v>
      </c>
      <c r="M412" s="102">
        <v>60</v>
      </c>
      <c r="N412" s="103">
        <v>1200</v>
      </c>
      <c r="O412" s="102">
        <v>1</v>
      </c>
      <c r="P412" s="102">
        <f t="shared" si="71"/>
        <v>1200</v>
      </c>
      <c r="Q412" s="102"/>
      <c r="R412" s="103">
        <v>1200</v>
      </c>
      <c r="S412" s="103">
        <f t="shared" si="65"/>
        <v>0</v>
      </c>
      <c r="T412" s="102">
        <f t="shared" si="66"/>
        <v>1440</v>
      </c>
      <c r="U412" s="101">
        <f t="shared" si="67"/>
        <v>0</v>
      </c>
      <c r="V412" s="101">
        <f t="shared" si="68"/>
        <v>0</v>
      </c>
      <c r="W412" s="101">
        <v>0</v>
      </c>
      <c r="X412" s="319">
        <f t="shared" si="69"/>
        <v>46153</v>
      </c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</row>
    <row r="413" spans="1:40" s="118" customFormat="1" hidden="1" x14ac:dyDescent="0.35">
      <c r="A413" s="71">
        <f t="shared" si="70"/>
        <v>46153</v>
      </c>
      <c r="B413" s="71"/>
      <c r="C413" s="71"/>
      <c r="D413" s="71"/>
      <c r="E413" s="119" t="s">
        <v>5741</v>
      </c>
      <c r="F413" s="98" t="s">
        <v>1801</v>
      </c>
      <c r="G413" s="98"/>
      <c r="H413" s="452">
        <v>11473</v>
      </c>
      <c r="I413" s="82" t="s">
        <v>6591</v>
      </c>
      <c r="J413" s="100" t="s">
        <v>140</v>
      </c>
      <c r="K413" s="84">
        <v>0</v>
      </c>
      <c r="L413" s="84">
        <v>0</v>
      </c>
      <c r="M413" s="102">
        <v>60</v>
      </c>
      <c r="N413" s="103">
        <v>1200</v>
      </c>
      <c r="O413" s="102">
        <v>1</v>
      </c>
      <c r="P413" s="102">
        <f t="shared" si="71"/>
        <v>1200</v>
      </c>
      <c r="Q413" s="102"/>
      <c r="R413" s="103">
        <v>1200</v>
      </c>
      <c r="S413" s="103">
        <f t="shared" si="65"/>
        <v>0</v>
      </c>
      <c r="T413" s="102">
        <f t="shared" si="66"/>
        <v>1440</v>
      </c>
      <c r="U413" s="101">
        <f t="shared" si="67"/>
        <v>0</v>
      </c>
      <c r="V413" s="101">
        <f t="shared" si="68"/>
        <v>0</v>
      </c>
      <c r="W413" s="101">
        <v>0</v>
      </c>
      <c r="X413" s="319">
        <f t="shared" si="69"/>
        <v>46153</v>
      </c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</row>
    <row r="414" spans="1:40" s="118" customFormat="1" ht="26.5" hidden="1" x14ac:dyDescent="0.35">
      <c r="A414" s="71">
        <f t="shared" si="70"/>
        <v>46153</v>
      </c>
      <c r="B414" s="71"/>
      <c r="C414" s="71"/>
      <c r="D414" s="71"/>
      <c r="E414" s="119" t="s">
        <v>5741</v>
      </c>
      <c r="F414" s="82" t="s">
        <v>314</v>
      </c>
      <c r="G414" s="82" t="s">
        <v>315</v>
      </c>
      <c r="H414" s="98" t="s">
        <v>317</v>
      </c>
      <c r="I414" s="82" t="s">
        <v>292</v>
      </c>
      <c r="J414" s="100" t="s">
        <v>140</v>
      </c>
      <c r="K414" s="84">
        <v>0</v>
      </c>
      <c r="L414" s="84">
        <v>0</v>
      </c>
      <c r="M414" s="102">
        <v>85</v>
      </c>
      <c r="N414" s="103">
        <v>2730</v>
      </c>
      <c r="O414" s="102">
        <v>2</v>
      </c>
      <c r="P414" s="102">
        <f t="shared" si="71"/>
        <v>1365</v>
      </c>
      <c r="Q414" s="102"/>
      <c r="R414" s="103">
        <v>1365</v>
      </c>
      <c r="S414" s="103">
        <f t="shared" si="65"/>
        <v>0</v>
      </c>
      <c r="T414" s="102">
        <f t="shared" si="66"/>
        <v>2032.9411764705883</v>
      </c>
      <c r="U414" s="101">
        <f t="shared" si="67"/>
        <v>0</v>
      </c>
      <c r="V414" s="101">
        <f t="shared" si="68"/>
        <v>0</v>
      </c>
      <c r="W414" s="101">
        <v>0</v>
      </c>
      <c r="X414" s="319">
        <f t="shared" si="69"/>
        <v>46153</v>
      </c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</row>
    <row r="415" spans="1:40" s="118" customFormat="1" ht="26.5" hidden="1" x14ac:dyDescent="0.35">
      <c r="A415" s="71">
        <f t="shared" si="70"/>
        <v>46153</v>
      </c>
      <c r="B415" s="71"/>
      <c r="C415" s="71"/>
      <c r="D415" s="71"/>
      <c r="E415" s="119" t="s">
        <v>5741</v>
      </c>
      <c r="F415" s="82" t="s">
        <v>314</v>
      </c>
      <c r="G415" s="82" t="s">
        <v>780</v>
      </c>
      <c r="H415" s="98" t="s">
        <v>6926</v>
      </c>
      <c r="I415" s="82" t="s">
        <v>292</v>
      </c>
      <c r="J415" s="100" t="s">
        <v>140</v>
      </c>
      <c r="K415" s="101">
        <v>0</v>
      </c>
      <c r="L415" s="101">
        <v>0</v>
      </c>
      <c r="M415" s="102">
        <v>85</v>
      </c>
      <c r="N415" s="103">
        <f>20916*2</f>
        <v>41832</v>
      </c>
      <c r="O415" s="102">
        <v>2</v>
      </c>
      <c r="P415" s="103">
        <f t="shared" si="71"/>
        <v>20916</v>
      </c>
      <c r="Q415" s="103"/>
      <c r="R415" s="102">
        <v>20916</v>
      </c>
      <c r="S415" s="103">
        <f t="shared" si="65"/>
        <v>0</v>
      </c>
      <c r="T415" s="102">
        <f t="shared" si="66"/>
        <v>2032.9411764705883</v>
      </c>
      <c r="U415" s="101">
        <f t="shared" si="67"/>
        <v>0</v>
      </c>
      <c r="V415" s="101">
        <f t="shared" si="68"/>
        <v>0</v>
      </c>
      <c r="W415" s="101">
        <v>0</v>
      </c>
      <c r="X415" s="255">
        <f t="shared" si="69"/>
        <v>46153</v>
      </c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</row>
    <row r="416" spans="1:40" s="118" customFormat="1" hidden="1" x14ac:dyDescent="0.35">
      <c r="A416" s="46">
        <f t="shared" si="70"/>
        <v>46153</v>
      </c>
      <c r="B416" s="46"/>
      <c r="C416" s="46"/>
      <c r="D416" s="46"/>
      <c r="E416" s="119" t="s">
        <v>5741</v>
      </c>
      <c r="F416" s="99" t="s">
        <v>4759</v>
      </c>
      <c r="G416" s="99" t="s">
        <v>792</v>
      </c>
      <c r="H416" s="107" t="s">
        <v>6824</v>
      </c>
      <c r="I416" s="697" t="s">
        <v>4387</v>
      </c>
      <c r="J416" s="100" t="s">
        <v>140</v>
      </c>
      <c r="K416" s="91">
        <v>0</v>
      </c>
      <c r="L416" s="91">
        <v>0</v>
      </c>
      <c r="M416" s="92">
        <v>45</v>
      </c>
      <c r="N416" s="94">
        <v>8000</v>
      </c>
      <c r="O416" s="92">
        <v>1</v>
      </c>
      <c r="P416" s="94">
        <f t="shared" si="71"/>
        <v>8000</v>
      </c>
      <c r="Q416" s="94"/>
      <c r="R416" s="92">
        <v>8000</v>
      </c>
      <c r="S416" s="92">
        <f t="shared" si="65"/>
        <v>0</v>
      </c>
      <c r="T416" s="102">
        <f t="shared" si="66"/>
        <v>1920</v>
      </c>
      <c r="U416" s="101">
        <f t="shared" si="67"/>
        <v>0</v>
      </c>
      <c r="V416" s="101">
        <f t="shared" si="68"/>
        <v>0</v>
      </c>
      <c r="W416" s="101">
        <v>0</v>
      </c>
      <c r="X416" s="55">
        <f>A416+K416+L416+V416+W416</f>
        <v>46153</v>
      </c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</row>
    <row r="417" spans="1:40" s="118" customFormat="1" ht="26.5" hidden="1" x14ac:dyDescent="0.35">
      <c r="A417" s="46">
        <f t="shared" si="70"/>
        <v>46153</v>
      </c>
      <c r="B417" s="46"/>
      <c r="C417" s="46"/>
      <c r="D417" s="46"/>
      <c r="E417" s="119" t="s">
        <v>5741</v>
      </c>
      <c r="F417" s="82" t="s">
        <v>4762</v>
      </c>
      <c r="G417" s="82" t="s">
        <v>359</v>
      </c>
      <c r="H417" s="98" t="s">
        <v>6927</v>
      </c>
      <c r="I417" s="82" t="s">
        <v>292</v>
      </c>
      <c r="J417" s="100" t="s">
        <v>140</v>
      </c>
      <c r="K417" s="101">
        <v>0</v>
      </c>
      <c r="L417" s="101">
        <v>0</v>
      </c>
      <c r="M417" s="102">
        <v>85</v>
      </c>
      <c r="N417" s="94">
        <v>522</v>
      </c>
      <c r="O417" s="102">
        <v>2</v>
      </c>
      <c r="P417" s="103">
        <f t="shared" si="71"/>
        <v>261</v>
      </c>
      <c r="Q417" s="103"/>
      <c r="R417" s="102">
        <v>261</v>
      </c>
      <c r="S417" s="103">
        <f t="shared" si="65"/>
        <v>0</v>
      </c>
      <c r="T417" s="102">
        <f t="shared" si="66"/>
        <v>2032.9411764705883</v>
      </c>
      <c r="U417" s="101">
        <f t="shared" si="67"/>
        <v>0</v>
      </c>
      <c r="V417" s="101">
        <f t="shared" si="68"/>
        <v>0</v>
      </c>
      <c r="W417" s="101">
        <v>0</v>
      </c>
      <c r="X417" s="255">
        <f t="shared" ref="X417:X425" si="72">A417+K417+V417+W417+L417</f>
        <v>46153</v>
      </c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</row>
    <row r="418" spans="1:40" s="118" customFormat="1" ht="26.5" hidden="1" x14ac:dyDescent="0.35">
      <c r="A418" s="46">
        <f t="shared" si="70"/>
        <v>46153</v>
      </c>
      <c r="B418" s="46"/>
      <c r="C418" s="46"/>
      <c r="D418" s="46"/>
      <c r="E418" s="119" t="s">
        <v>5741</v>
      </c>
      <c r="F418" s="82" t="s">
        <v>1291</v>
      </c>
      <c r="G418" s="82" t="s">
        <v>359</v>
      </c>
      <c r="H418" s="98" t="s">
        <v>6928</v>
      </c>
      <c r="I418" s="82" t="s">
        <v>292</v>
      </c>
      <c r="J418" s="100" t="s">
        <v>140</v>
      </c>
      <c r="K418" s="101">
        <v>0</v>
      </c>
      <c r="L418" s="101">
        <v>0</v>
      </c>
      <c r="M418" s="102">
        <v>85</v>
      </c>
      <c r="N418" s="94">
        <v>4662</v>
      </c>
      <c r="O418" s="102">
        <v>2</v>
      </c>
      <c r="P418" s="103">
        <f t="shared" si="71"/>
        <v>2331</v>
      </c>
      <c r="Q418" s="103"/>
      <c r="R418" s="102">
        <v>2331</v>
      </c>
      <c r="S418" s="103">
        <f t="shared" si="65"/>
        <v>0</v>
      </c>
      <c r="T418" s="102">
        <f t="shared" si="66"/>
        <v>2032.9411764705883</v>
      </c>
      <c r="U418" s="101">
        <f t="shared" si="67"/>
        <v>0</v>
      </c>
      <c r="V418" s="101">
        <f t="shared" si="68"/>
        <v>0</v>
      </c>
      <c r="W418" s="101">
        <v>0</v>
      </c>
      <c r="X418" s="255">
        <f t="shared" si="72"/>
        <v>46153</v>
      </c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</row>
    <row r="419" spans="1:40" s="118" customFormat="1" ht="26.5" hidden="1" x14ac:dyDescent="0.35">
      <c r="A419" s="46">
        <f t="shared" si="70"/>
        <v>46153</v>
      </c>
      <c r="B419" s="46"/>
      <c r="C419" s="46"/>
      <c r="D419" s="46"/>
      <c r="E419" s="119" t="s">
        <v>5741</v>
      </c>
      <c r="F419" s="82" t="s">
        <v>1293</v>
      </c>
      <c r="G419" s="82" t="s">
        <v>830</v>
      </c>
      <c r="H419" s="98" t="s">
        <v>6929</v>
      </c>
      <c r="I419" s="82" t="s">
        <v>292</v>
      </c>
      <c r="J419" s="100" t="s">
        <v>140</v>
      </c>
      <c r="K419" s="101">
        <v>0</v>
      </c>
      <c r="L419" s="101">
        <v>0</v>
      </c>
      <c r="M419" s="102">
        <v>85</v>
      </c>
      <c r="N419" s="94">
        <v>7762</v>
      </c>
      <c r="O419" s="102">
        <v>2</v>
      </c>
      <c r="P419" s="103">
        <f t="shared" si="71"/>
        <v>3881</v>
      </c>
      <c r="Q419" s="103"/>
      <c r="R419" s="102">
        <f>3521+360</f>
        <v>3881</v>
      </c>
      <c r="S419" s="103">
        <f t="shared" si="65"/>
        <v>0</v>
      </c>
      <c r="T419" s="102">
        <f t="shared" si="66"/>
        <v>2032.9411764705883</v>
      </c>
      <c r="U419" s="101">
        <f t="shared" si="67"/>
        <v>0</v>
      </c>
      <c r="V419" s="101">
        <f t="shared" si="68"/>
        <v>0</v>
      </c>
      <c r="W419" s="101">
        <v>0</v>
      </c>
      <c r="X419" s="255">
        <f t="shared" si="72"/>
        <v>46153</v>
      </c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</row>
    <row r="420" spans="1:40" hidden="1" x14ac:dyDescent="0.35">
      <c r="A420" s="46">
        <f t="shared" si="70"/>
        <v>46153</v>
      </c>
      <c r="B420" s="46"/>
      <c r="C420" s="46"/>
      <c r="D420" s="46"/>
      <c r="E420" s="47" t="s">
        <v>1563</v>
      </c>
      <c r="F420" s="82" t="s">
        <v>1299</v>
      </c>
      <c r="G420" s="82" t="s">
        <v>830</v>
      </c>
      <c r="H420" s="98" t="s">
        <v>5660</v>
      </c>
      <c r="I420" s="453" t="s">
        <v>4368</v>
      </c>
      <c r="J420" s="51" t="s">
        <v>140</v>
      </c>
      <c r="K420" s="91">
        <v>0</v>
      </c>
      <c r="L420" s="91">
        <v>0</v>
      </c>
      <c r="M420" s="92">
        <v>84</v>
      </c>
      <c r="N420" s="94">
        <v>150</v>
      </c>
      <c r="O420" s="92">
        <v>1</v>
      </c>
      <c r="P420" s="103">
        <f t="shared" si="71"/>
        <v>150</v>
      </c>
      <c r="Q420" s="103"/>
      <c r="R420" s="92">
        <v>150</v>
      </c>
      <c r="S420" s="92">
        <f t="shared" si="65"/>
        <v>0</v>
      </c>
      <c r="T420" s="92">
        <f t="shared" si="66"/>
        <v>1028.5714285714284</v>
      </c>
      <c r="U420" s="91">
        <f t="shared" si="67"/>
        <v>0</v>
      </c>
      <c r="V420" s="91">
        <f t="shared" si="68"/>
        <v>0</v>
      </c>
      <c r="W420" s="91">
        <v>0</v>
      </c>
      <c r="X420" s="55">
        <f t="shared" si="72"/>
        <v>46153</v>
      </c>
    </row>
    <row r="421" spans="1:40" s="511" customFormat="1" ht="26.5" hidden="1" x14ac:dyDescent="0.35">
      <c r="A421" s="46">
        <f t="shared" si="70"/>
        <v>46153</v>
      </c>
      <c r="B421" s="46"/>
      <c r="C421" s="46"/>
      <c r="D421" s="46"/>
      <c r="E421" s="47" t="s">
        <v>5741</v>
      </c>
      <c r="F421" s="82" t="s">
        <v>355</v>
      </c>
      <c r="G421" s="82" t="s">
        <v>327</v>
      </c>
      <c r="H421" s="107" t="s">
        <v>6930</v>
      </c>
      <c r="I421" s="82" t="s">
        <v>1864</v>
      </c>
      <c r="J421" s="100" t="s">
        <v>140</v>
      </c>
      <c r="K421" s="91">
        <v>0</v>
      </c>
      <c r="L421" s="91">
        <v>0</v>
      </c>
      <c r="M421" s="92">
        <v>90</v>
      </c>
      <c r="N421" s="94">
        <v>6000</v>
      </c>
      <c r="O421" s="92">
        <v>2</v>
      </c>
      <c r="P421" s="94">
        <f t="shared" si="71"/>
        <v>3000</v>
      </c>
      <c r="Q421" s="94"/>
      <c r="R421" s="102">
        <v>3000</v>
      </c>
      <c r="S421" s="92">
        <f t="shared" si="65"/>
        <v>0</v>
      </c>
      <c r="T421" s="102">
        <f t="shared" si="66"/>
        <v>1920</v>
      </c>
      <c r="U421" s="101">
        <f t="shared" si="67"/>
        <v>0</v>
      </c>
      <c r="V421" s="101">
        <f t="shared" si="68"/>
        <v>0</v>
      </c>
      <c r="W421" s="101">
        <v>0</v>
      </c>
      <c r="X421" s="55">
        <f t="shared" si="72"/>
        <v>46153</v>
      </c>
    </row>
    <row r="422" spans="1:40" s="511" customFormat="1" ht="26.5" hidden="1" x14ac:dyDescent="0.35">
      <c r="A422" s="46">
        <f t="shared" si="70"/>
        <v>46153</v>
      </c>
      <c r="B422" s="46"/>
      <c r="C422" s="46"/>
      <c r="D422" s="46"/>
      <c r="E422" s="47" t="s">
        <v>5741</v>
      </c>
      <c r="F422" s="82" t="s">
        <v>355</v>
      </c>
      <c r="G422" s="82" t="s">
        <v>327</v>
      </c>
      <c r="H422" s="107" t="s">
        <v>6930</v>
      </c>
      <c r="I422" s="82" t="s">
        <v>1864</v>
      </c>
      <c r="J422" s="100" t="s">
        <v>140</v>
      </c>
      <c r="K422" s="91">
        <v>0</v>
      </c>
      <c r="L422" s="91">
        <v>0</v>
      </c>
      <c r="M422" s="92">
        <v>90</v>
      </c>
      <c r="N422" s="94">
        <f>3315*2</f>
        <v>6630</v>
      </c>
      <c r="O422" s="92">
        <v>2</v>
      </c>
      <c r="P422" s="94">
        <f t="shared" si="71"/>
        <v>3315</v>
      </c>
      <c r="Q422" s="94"/>
      <c r="R422" s="102">
        <v>3315</v>
      </c>
      <c r="S422" s="92">
        <f t="shared" si="65"/>
        <v>0</v>
      </c>
      <c r="T422" s="102">
        <f t="shared" si="66"/>
        <v>1920</v>
      </c>
      <c r="U422" s="101">
        <f t="shared" si="67"/>
        <v>0</v>
      </c>
      <c r="V422" s="101">
        <f t="shared" si="68"/>
        <v>0</v>
      </c>
      <c r="W422" s="101">
        <v>0</v>
      </c>
      <c r="X422" s="55">
        <f t="shared" si="72"/>
        <v>46153</v>
      </c>
    </row>
    <row r="423" spans="1:40" s="511" customFormat="1" ht="26.5" hidden="1" x14ac:dyDescent="0.35">
      <c r="A423" s="46">
        <f t="shared" si="70"/>
        <v>46153</v>
      </c>
      <c r="B423" s="46"/>
      <c r="C423" s="46"/>
      <c r="D423" s="46"/>
      <c r="E423" s="47" t="s">
        <v>5741</v>
      </c>
      <c r="F423" s="82" t="s">
        <v>2835</v>
      </c>
      <c r="G423" s="82" t="s">
        <v>839</v>
      </c>
      <c r="H423" s="98" t="s">
        <v>6931</v>
      </c>
      <c r="I423" s="82" t="s">
        <v>292</v>
      </c>
      <c r="J423" s="100" t="s">
        <v>140</v>
      </c>
      <c r="K423" s="101">
        <v>0</v>
      </c>
      <c r="L423" s="101">
        <v>0</v>
      </c>
      <c r="M423" s="102">
        <v>85</v>
      </c>
      <c r="N423" s="94">
        <v>3500</v>
      </c>
      <c r="O423" s="102">
        <v>2</v>
      </c>
      <c r="P423" s="103">
        <f t="shared" si="71"/>
        <v>1750</v>
      </c>
      <c r="Q423" s="103"/>
      <c r="R423" s="102">
        <v>1750</v>
      </c>
      <c r="S423" s="103">
        <f t="shared" si="65"/>
        <v>0</v>
      </c>
      <c r="T423" s="102">
        <f t="shared" si="66"/>
        <v>2032.9411764705883</v>
      </c>
      <c r="U423" s="101">
        <f t="shared" si="67"/>
        <v>0</v>
      </c>
      <c r="V423" s="101">
        <f t="shared" si="68"/>
        <v>0</v>
      </c>
      <c r="W423" s="101">
        <v>0</v>
      </c>
      <c r="X423" s="255">
        <f t="shared" si="72"/>
        <v>46153</v>
      </c>
    </row>
    <row r="424" spans="1:40" s="511" customFormat="1" ht="26.5" hidden="1" x14ac:dyDescent="0.35">
      <c r="A424" s="46">
        <f t="shared" si="70"/>
        <v>46153</v>
      </c>
      <c r="B424" s="46"/>
      <c r="C424" s="46"/>
      <c r="D424" s="46"/>
      <c r="E424" s="119" t="s">
        <v>5741</v>
      </c>
      <c r="F424" s="82" t="s">
        <v>2835</v>
      </c>
      <c r="G424" s="82" t="s">
        <v>839</v>
      </c>
      <c r="H424" s="98" t="s">
        <v>6932</v>
      </c>
      <c r="I424" s="82" t="s">
        <v>292</v>
      </c>
      <c r="J424" s="100" t="s">
        <v>140</v>
      </c>
      <c r="K424" s="101">
        <v>0</v>
      </c>
      <c r="L424" s="101">
        <v>0</v>
      </c>
      <c r="M424" s="102">
        <v>85</v>
      </c>
      <c r="N424" s="94">
        <v>2000</v>
      </c>
      <c r="O424" s="102">
        <v>2</v>
      </c>
      <c r="P424" s="103">
        <f t="shared" si="71"/>
        <v>1000</v>
      </c>
      <c r="Q424" s="181">
        <v>0.8</v>
      </c>
      <c r="R424" s="102">
        <v>1000</v>
      </c>
      <c r="S424" s="102">
        <f t="shared" si="65"/>
        <v>0</v>
      </c>
      <c r="T424" s="173">
        <f>((3600/M424)*O424)*24*Q424</f>
        <v>1626.3529411764707</v>
      </c>
      <c r="U424" s="101">
        <f>(P424-R424)*M424/3600/Q424</f>
        <v>0</v>
      </c>
      <c r="V424" s="101">
        <f>U424/24</f>
        <v>0</v>
      </c>
      <c r="W424" s="101">
        <v>0</v>
      </c>
      <c r="X424" s="255">
        <f t="shared" si="72"/>
        <v>46153</v>
      </c>
    </row>
    <row r="425" spans="1:40" s="802" customFormat="1" ht="26" hidden="1" x14ac:dyDescent="0.3">
      <c r="A425" s="71">
        <f t="shared" si="70"/>
        <v>46153</v>
      </c>
      <c r="B425" s="71">
        <v>46068</v>
      </c>
      <c r="C425" s="180">
        <f>B425-A425</f>
        <v>-85</v>
      </c>
      <c r="D425" s="180" t="s">
        <v>6933</v>
      </c>
      <c r="E425" s="119" t="s">
        <v>5741</v>
      </c>
      <c r="F425" s="97" t="s">
        <v>900</v>
      </c>
      <c r="G425" s="97" t="s">
        <v>386</v>
      </c>
      <c r="H425" s="98" t="s">
        <v>6934</v>
      </c>
      <c r="I425" s="71" t="s">
        <v>4297</v>
      </c>
      <c r="J425" s="100" t="s">
        <v>140</v>
      </c>
      <c r="K425" s="101">
        <v>0</v>
      </c>
      <c r="L425" s="101">
        <v>0</v>
      </c>
      <c r="M425" s="102">
        <v>90</v>
      </c>
      <c r="N425" s="103">
        <v>3000</v>
      </c>
      <c r="O425" s="102">
        <v>1</v>
      </c>
      <c r="P425" s="102">
        <f t="shared" si="71"/>
        <v>3000</v>
      </c>
      <c r="Q425" s="181">
        <v>0.8</v>
      </c>
      <c r="R425" s="103">
        <v>3000</v>
      </c>
      <c r="S425" s="102">
        <f t="shared" si="65"/>
        <v>0</v>
      </c>
      <c r="T425" s="173">
        <f>((3600/M425)*O425)*24*Q425</f>
        <v>768</v>
      </c>
      <c r="U425" s="101">
        <f>(P425-R425)*M425/3600/Q425</f>
        <v>0</v>
      </c>
      <c r="V425" s="101">
        <f>U425/24</f>
        <v>0</v>
      </c>
      <c r="W425" s="101">
        <v>0</v>
      </c>
      <c r="X425" s="255">
        <f t="shared" si="72"/>
        <v>46153</v>
      </c>
    </row>
    <row r="426" spans="1:40" s="802" customFormat="1" ht="13" hidden="1" x14ac:dyDescent="0.3">
      <c r="A426" s="46">
        <f t="shared" si="70"/>
        <v>46153</v>
      </c>
      <c r="B426" s="46">
        <v>46100</v>
      </c>
      <c r="C426" s="180">
        <f>B426-A426</f>
        <v>-53</v>
      </c>
      <c r="D426" s="55"/>
      <c r="E426" s="47" t="s">
        <v>5741</v>
      </c>
      <c r="F426" s="82" t="s">
        <v>6935</v>
      </c>
      <c r="G426" s="82" t="s">
        <v>398</v>
      </c>
      <c r="H426" s="98" t="s">
        <v>6936</v>
      </c>
      <c r="I426" s="99" t="s">
        <v>6937</v>
      </c>
      <c r="J426" s="100" t="s">
        <v>140</v>
      </c>
      <c r="K426" s="91">
        <v>0</v>
      </c>
      <c r="L426" s="91">
        <v>0</v>
      </c>
      <c r="M426" s="92">
        <v>60</v>
      </c>
      <c r="N426" s="94">
        <v>200</v>
      </c>
      <c r="O426" s="92">
        <v>2</v>
      </c>
      <c r="P426" s="94">
        <f t="shared" si="71"/>
        <v>100</v>
      </c>
      <c r="Q426" s="181">
        <v>0.8</v>
      </c>
      <c r="R426" s="92">
        <v>100</v>
      </c>
      <c r="S426" s="102">
        <f t="shared" si="65"/>
        <v>0</v>
      </c>
      <c r="T426" s="173">
        <f>((3600/M426)*O426)*24*Q426</f>
        <v>2304</v>
      </c>
      <c r="U426" s="101">
        <f>(P426-R426)*M426/3600/Q426</f>
        <v>0</v>
      </c>
      <c r="V426" s="101">
        <f>U426/24</f>
        <v>0</v>
      </c>
      <c r="W426" s="101">
        <v>0</v>
      </c>
      <c r="X426" s="55">
        <f>A426+K426+L426+V426+W426</f>
        <v>46153</v>
      </c>
    </row>
    <row r="427" spans="1:40" s="802" customFormat="1" ht="13" hidden="1" x14ac:dyDescent="0.3">
      <c r="A427" s="46">
        <f t="shared" si="70"/>
        <v>46153</v>
      </c>
      <c r="B427" s="46">
        <v>46101</v>
      </c>
      <c r="C427" s="180">
        <f>B427-A427</f>
        <v>-52</v>
      </c>
      <c r="D427" s="55"/>
      <c r="E427" s="119" t="s">
        <v>5741</v>
      </c>
      <c r="F427" s="82" t="s">
        <v>802</v>
      </c>
      <c r="G427" s="82" t="s">
        <v>398</v>
      </c>
      <c r="H427" s="98" t="s">
        <v>6938</v>
      </c>
      <c r="I427" s="99" t="s">
        <v>1644</v>
      </c>
      <c r="J427" s="100" t="s">
        <v>140</v>
      </c>
      <c r="K427" s="91">
        <v>0</v>
      </c>
      <c r="L427" s="91">
        <v>0</v>
      </c>
      <c r="M427" s="92">
        <v>80</v>
      </c>
      <c r="N427" s="94">
        <v>3000</v>
      </c>
      <c r="O427" s="92">
        <v>2</v>
      </c>
      <c r="P427" s="94">
        <f t="shared" si="71"/>
        <v>1500</v>
      </c>
      <c r="Q427" s="181">
        <v>0.8</v>
      </c>
      <c r="R427" s="92">
        <v>1500</v>
      </c>
      <c r="S427" s="102">
        <f t="shared" si="65"/>
        <v>0</v>
      </c>
      <c r="T427" s="173">
        <f>((3600/M427)*O427)*24*Q427</f>
        <v>1728</v>
      </c>
      <c r="U427" s="101">
        <f>(P427-R427)*M427/3600/Q427</f>
        <v>0</v>
      </c>
      <c r="V427" s="101">
        <f>U427/24</f>
        <v>0</v>
      </c>
      <c r="W427" s="101">
        <v>0</v>
      </c>
      <c r="X427" s="55">
        <f>A427+K427+L427+V427+W427</f>
        <v>46153</v>
      </c>
    </row>
    <row r="428" spans="1:40" s="802" customFormat="1" ht="25" hidden="1" customHeight="1" x14ac:dyDescent="0.3">
      <c r="A428" s="46">
        <f t="shared" si="70"/>
        <v>46153</v>
      </c>
      <c r="B428" s="46">
        <v>46101</v>
      </c>
      <c r="C428" s="180">
        <f>B428-A428</f>
        <v>-52</v>
      </c>
      <c r="D428" s="55"/>
      <c r="E428" s="119" t="s">
        <v>5741</v>
      </c>
      <c r="F428" s="82" t="s">
        <v>802</v>
      </c>
      <c r="G428" s="82" t="s">
        <v>398</v>
      </c>
      <c r="H428" s="98" t="s">
        <v>6939</v>
      </c>
      <c r="I428" s="99" t="s">
        <v>1644</v>
      </c>
      <c r="J428" s="100" t="s">
        <v>140</v>
      </c>
      <c r="K428" s="91">
        <v>0</v>
      </c>
      <c r="L428" s="91">
        <v>0</v>
      </c>
      <c r="M428" s="92">
        <v>80</v>
      </c>
      <c r="N428" s="94">
        <v>4000</v>
      </c>
      <c r="O428" s="92">
        <v>2</v>
      </c>
      <c r="P428" s="94">
        <f t="shared" si="71"/>
        <v>2000</v>
      </c>
      <c r="Q428" s="181">
        <v>0.8</v>
      </c>
      <c r="R428" s="92">
        <v>2000</v>
      </c>
      <c r="S428" s="102">
        <f t="shared" si="65"/>
        <v>0</v>
      </c>
      <c r="T428" s="173">
        <f>((3600/M428)*O428)*24*Q428</f>
        <v>1728</v>
      </c>
      <c r="U428" s="101">
        <f>(P428-R428)*M428/3600/Q428</f>
        <v>0</v>
      </c>
      <c r="V428" s="101">
        <f>U428/24</f>
        <v>0</v>
      </c>
      <c r="W428" s="101">
        <v>0</v>
      </c>
      <c r="X428" s="55">
        <f>A428+K428+L428+V428+W428</f>
        <v>46153</v>
      </c>
    </row>
    <row r="429" spans="1:40" s="511" customFormat="1" hidden="1" x14ac:dyDescent="0.35">
      <c r="A429" s="71">
        <f t="shared" si="70"/>
        <v>46153</v>
      </c>
      <c r="B429" s="71">
        <v>46108</v>
      </c>
      <c r="C429" s="180">
        <f t="shared" ref="C429:C433" si="73">B429-A429</f>
        <v>-45</v>
      </c>
      <c r="D429" s="71"/>
      <c r="E429" s="119" t="s">
        <v>5741</v>
      </c>
      <c r="F429" s="97" t="s">
        <v>900</v>
      </c>
      <c r="G429" s="97" t="s">
        <v>411</v>
      </c>
      <c r="H429" s="98" t="s">
        <v>6940</v>
      </c>
      <c r="I429" s="442" t="s">
        <v>1663</v>
      </c>
      <c r="J429" s="100" t="s">
        <v>140</v>
      </c>
      <c r="K429" s="101">
        <v>0</v>
      </c>
      <c r="L429" s="101">
        <v>0</v>
      </c>
      <c r="M429" s="102">
        <v>60</v>
      </c>
      <c r="N429" s="103">
        <v>1000</v>
      </c>
      <c r="O429" s="102">
        <v>1</v>
      </c>
      <c r="P429" s="103">
        <f t="shared" si="71"/>
        <v>1000</v>
      </c>
      <c r="Q429" s="181">
        <v>0.8</v>
      </c>
      <c r="R429" s="92">
        <v>1000</v>
      </c>
      <c r="S429" s="102">
        <f t="shared" si="65"/>
        <v>0</v>
      </c>
      <c r="T429" s="173">
        <f t="shared" ref="T429:T433" si="74">((3600/M429)*O429)*24*Q429</f>
        <v>1152</v>
      </c>
      <c r="U429" s="101">
        <f t="shared" ref="U429:U433" si="75">(P429-R429)*M429/3600/Q429</f>
        <v>0</v>
      </c>
      <c r="V429" s="101">
        <f t="shared" ref="V429:V433" si="76">U429/24</f>
        <v>0</v>
      </c>
      <c r="W429" s="101">
        <v>0</v>
      </c>
      <c r="X429" s="255">
        <f>A429+K429+V429+W429+L429</f>
        <v>46153</v>
      </c>
    </row>
    <row r="430" spans="1:40" s="121" customFormat="1" hidden="1" x14ac:dyDescent="0.35">
      <c r="A430" s="71">
        <f t="shared" si="70"/>
        <v>46153</v>
      </c>
      <c r="B430" s="46">
        <v>46132</v>
      </c>
      <c r="C430" s="180">
        <f>B430-A430</f>
        <v>-21</v>
      </c>
      <c r="D430" s="180"/>
      <c r="E430" s="47" t="s">
        <v>1684</v>
      </c>
      <c r="F430" s="82" t="s">
        <v>1917</v>
      </c>
      <c r="G430" s="97" t="s">
        <v>411</v>
      </c>
      <c r="H430" s="108">
        <v>13982</v>
      </c>
      <c r="I430" s="82" t="s">
        <v>1649</v>
      </c>
      <c r="J430" s="51" t="s">
        <v>140</v>
      </c>
      <c r="K430" s="91">
        <v>0</v>
      </c>
      <c r="L430" s="91">
        <v>0</v>
      </c>
      <c r="M430" s="92">
        <v>60</v>
      </c>
      <c r="N430" s="344">
        <v>7500</v>
      </c>
      <c r="O430" s="92">
        <v>1</v>
      </c>
      <c r="P430" s="94">
        <f>N430/O430</f>
        <v>7500</v>
      </c>
      <c r="Q430" s="181">
        <v>0.8</v>
      </c>
      <c r="R430" s="92">
        <v>7500</v>
      </c>
      <c r="S430" s="102">
        <f>P430-R430</f>
        <v>0</v>
      </c>
      <c r="T430" s="173">
        <f>((3600/M430)*O430)*24*Q430</f>
        <v>1152</v>
      </c>
      <c r="U430" s="101">
        <f>(P430-R430)*M430/3600/Q430</f>
        <v>0</v>
      </c>
      <c r="V430" s="101">
        <f>U430/24</f>
        <v>0</v>
      </c>
      <c r="W430" s="101">
        <v>0</v>
      </c>
      <c r="X430" s="55">
        <f>A430+K430+V430+W430+L430</f>
        <v>46153</v>
      </c>
    </row>
    <row r="431" spans="1:40" s="121" customFormat="1" ht="25" hidden="1" customHeight="1" x14ac:dyDescent="0.35">
      <c r="A431" s="71">
        <f t="shared" si="70"/>
        <v>46153</v>
      </c>
      <c r="B431" s="46">
        <v>46132</v>
      </c>
      <c r="C431" s="180">
        <f>B431-A431</f>
        <v>-21</v>
      </c>
      <c r="D431" s="180"/>
      <c r="E431" s="47" t="s">
        <v>1684</v>
      </c>
      <c r="F431" s="82" t="s">
        <v>1917</v>
      </c>
      <c r="G431" s="97" t="s">
        <v>411</v>
      </c>
      <c r="H431" s="108">
        <v>14091</v>
      </c>
      <c r="I431" s="82" t="s">
        <v>1649</v>
      </c>
      <c r="J431" s="51" t="s">
        <v>140</v>
      </c>
      <c r="K431" s="91">
        <v>0</v>
      </c>
      <c r="L431" s="91">
        <v>0</v>
      </c>
      <c r="M431" s="92">
        <v>60</v>
      </c>
      <c r="N431" s="344">
        <v>4500</v>
      </c>
      <c r="O431" s="92">
        <v>1</v>
      </c>
      <c r="P431" s="94">
        <f>N431/O431</f>
        <v>4500</v>
      </c>
      <c r="Q431" s="181">
        <v>0.8</v>
      </c>
      <c r="R431" s="92">
        <v>4500</v>
      </c>
      <c r="S431" s="102">
        <f>P431-R431</f>
        <v>0</v>
      </c>
      <c r="T431" s="173">
        <f>((3600/M431)*O431)*24*Q431</f>
        <v>1152</v>
      </c>
      <c r="U431" s="101">
        <f>(P431-R431)*M431/3600/Q431</f>
        <v>0</v>
      </c>
      <c r="V431" s="101">
        <f>U431/24</f>
        <v>0</v>
      </c>
      <c r="W431" s="101">
        <v>0</v>
      </c>
      <c r="X431" s="55">
        <f>A431+K431+V431+W431+L431</f>
        <v>46153</v>
      </c>
    </row>
    <row r="432" spans="1:40" s="202" customFormat="1" ht="25" customHeight="1" x14ac:dyDescent="0.35">
      <c r="A432" s="192">
        <f t="shared" si="70"/>
        <v>46153</v>
      </c>
      <c r="B432" s="192">
        <v>46123</v>
      </c>
      <c r="C432" s="267">
        <f>B432-A432</f>
        <v>-30</v>
      </c>
      <c r="D432" s="267"/>
      <c r="E432" s="111" t="s">
        <v>5741</v>
      </c>
      <c r="F432" s="112" t="s">
        <v>900</v>
      </c>
      <c r="G432" s="112" t="s">
        <v>411</v>
      </c>
      <c r="H432" s="113" t="s">
        <v>6941</v>
      </c>
      <c r="I432" s="192" t="s">
        <v>4297</v>
      </c>
      <c r="J432" s="114" t="s">
        <v>140</v>
      </c>
      <c r="K432" s="115">
        <v>0.25</v>
      </c>
      <c r="L432" s="115">
        <v>0.2</v>
      </c>
      <c r="M432" s="116">
        <v>90</v>
      </c>
      <c r="N432" s="117">
        <v>5000</v>
      </c>
      <c r="O432" s="116">
        <v>1</v>
      </c>
      <c r="P432" s="117">
        <f t="shared" ref="P432" si="77">N432/O432</f>
        <v>5000</v>
      </c>
      <c r="Q432" s="198">
        <v>0.8</v>
      </c>
      <c r="R432" s="117"/>
      <c r="S432" s="116">
        <f>P432-R432</f>
        <v>5000</v>
      </c>
      <c r="T432" s="200">
        <f>((3600/M432)*O432)*24*Q432</f>
        <v>768</v>
      </c>
      <c r="U432" s="115">
        <f>(P432-R432)*M432/3600/Q432</f>
        <v>156.25</v>
      </c>
      <c r="V432" s="115">
        <f>U432/24</f>
        <v>6.510416666666667</v>
      </c>
      <c r="W432" s="115">
        <v>0</v>
      </c>
      <c r="X432" s="591">
        <f t="shared" ref="X432" si="78">A432+K432+V432+W432+L432</f>
        <v>46159.960416666661</v>
      </c>
    </row>
    <row r="433" spans="1:24" ht="25" customHeight="1" x14ac:dyDescent="0.35">
      <c r="A433" s="271">
        <f t="shared" si="70"/>
        <v>46159.960416666661</v>
      </c>
      <c r="B433" s="271">
        <v>46121</v>
      </c>
      <c r="C433" s="272">
        <f t="shared" si="73"/>
        <v>-38.960416666661331</v>
      </c>
      <c r="D433" s="271"/>
      <c r="E433" s="686" t="s">
        <v>5741</v>
      </c>
      <c r="F433" s="561" t="s">
        <v>900</v>
      </c>
      <c r="G433" s="561" t="s">
        <v>411</v>
      </c>
      <c r="H433" s="735" t="s">
        <v>6942</v>
      </c>
      <c r="I433" s="109" t="s">
        <v>1898</v>
      </c>
      <c r="J433" s="277" t="s">
        <v>140</v>
      </c>
      <c r="K433" s="278">
        <v>0.25</v>
      </c>
      <c r="L433" s="278">
        <v>0.2</v>
      </c>
      <c r="M433" s="279">
        <v>70</v>
      </c>
      <c r="N433" s="280">
        <v>2000</v>
      </c>
      <c r="O433" s="279">
        <v>1</v>
      </c>
      <c r="P433" s="280">
        <f t="shared" si="71"/>
        <v>2000</v>
      </c>
      <c r="Q433" s="282">
        <v>0.8</v>
      </c>
      <c r="R433" s="564"/>
      <c r="S433" s="279">
        <f t="shared" si="65"/>
        <v>2000</v>
      </c>
      <c r="T433" s="284">
        <f t="shared" si="74"/>
        <v>987.42857142857144</v>
      </c>
      <c r="U433" s="278">
        <f t="shared" si="75"/>
        <v>48.611111111111107</v>
      </c>
      <c r="V433" s="278">
        <f t="shared" si="76"/>
        <v>2.0254629629629628</v>
      </c>
      <c r="W433" s="278">
        <v>0</v>
      </c>
      <c r="X433" s="790">
        <f>A433+K433+V433+W433+L433</f>
        <v>46162.435879629622</v>
      </c>
    </row>
    <row r="434" spans="1:24" ht="25" customHeight="1" x14ac:dyDescent="0.35">
      <c r="A434" s="271">
        <f t="shared" si="70"/>
        <v>46162.435879629622</v>
      </c>
      <c r="B434" s="271">
        <v>46130</v>
      </c>
      <c r="C434" s="576">
        <f>B434-A434</f>
        <v>-32.435879629621923</v>
      </c>
      <c r="D434" s="576"/>
      <c r="E434" s="686" t="s">
        <v>5741</v>
      </c>
      <c r="F434" s="274" t="s">
        <v>220</v>
      </c>
      <c r="G434" s="561" t="s">
        <v>411</v>
      </c>
      <c r="H434" s="1159">
        <v>13892</v>
      </c>
      <c r="I434" s="789" t="s">
        <v>6832</v>
      </c>
      <c r="J434" s="277" t="s">
        <v>140</v>
      </c>
      <c r="K434" s="278">
        <v>0.25</v>
      </c>
      <c r="L434" s="278">
        <v>0.2</v>
      </c>
      <c r="M434" s="279">
        <v>60</v>
      </c>
      <c r="N434" s="280">
        <v>7500</v>
      </c>
      <c r="O434" s="279">
        <v>2</v>
      </c>
      <c r="P434" s="280">
        <f t="shared" si="71"/>
        <v>3750</v>
      </c>
      <c r="Q434" s="282">
        <v>0.8</v>
      </c>
      <c r="R434" s="280"/>
      <c r="S434" s="279">
        <f t="shared" si="65"/>
        <v>3750</v>
      </c>
      <c r="T434" s="284">
        <f>((3600/M434)*O434)*24*Q434</f>
        <v>2304</v>
      </c>
      <c r="U434" s="278">
        <f>(P434-R434)*M434/3600/Q434</f>
        <v>78.125</v>
      </c>
      <c r="V434" s="278">
        <f>U434/24</f>
        <v>3.2552083333333335</v>
      </c>
      <c r="W434" s="278">
        <v>0</v>
      </c>
      <c r="X434" s="790">
        <f>A434+K434+L434+V434+W434</f>
        <v>46166.141087962955</v>
      </c>
    </row>
    <row r="435" spans="1:24" x14ac:dyDescent="0.35">
      <c r="A435" s="109"/>
      <c r="B435" s="109"/>
      <c r="C435" s="109"/>
      <c r="D435" s="109"/>
      <c r="E435" s="109"/>
      <c r="F435" s="109"/>
      <c r="G435" s="109"/>
      <c r="H435" s="109"/>
      <c r="I435" s="120"/>
      <c r="J435" s="109"/>
      <c r="K435" s="109"/>
      <c r="L435" s="109"/>
      <c r="M435" s="109"/>
      <c r="N435" s="1160"/>
      <c r="O435" s="109"/>
      <c r="P435" s="109"/>
      <c r="Q435" s="109"/>
      <c r="R435" s="1160"/>
      <c r="S435" s="1160"/>
      <c r="T435" s="109"/>
      <c r="U435" s="109"/>
      <c r="V435" s="109"/>
      <c r="W435" s="109"/>
      <c r="X435" s="109"/>
    </row>
    <row r="437" spans="1:24" x14ac:dyDescent="0.35">
      <c r="I437" s="1161"/>
    </row>
  </sheetData>
  <mergeCells count="17">
    <mergeCell ref="A1:F2"/>
    <mergeCell ref="G1:H1"/>
    <mergeCell ref="K1:N1"/>
    <mergeCell ref="O1:R1"/>
    <mergeCell ref="S1:X1"/>
    <mergeCell ref="G2:N2"/>
    <mergeCell ref="O2:R2"/>
    <mergeCell ref="S2:X2"/>
    <mergeCell ref="A7:R7"/>
    <mergeCell ref="S7:X7"/>
    <mergeCell ref="A4:F5"/>
    <mergeCell ref="G4:I4"/>
    <mergeCell ref="J4:P4"/>
    <mergeCell ref="R4:X4"/>
    <mergeCell ref="G5:I5"/>
    <mergeCell ref="J5:P5"/>
    <mergeCell ref="R5:X5"/>
  </mergeCells>
  <conditionalFormatting sqref="A7:D7">
    <cfRule type="cellIs" dxfId="13" priority="12" operator="lessThan">
      <formula>#REF!</formula>
    </cfRule>
    <cfRule type="cellIs" dxfId="12" priority="13" operator="greaterThan">
      <formula>#REF!</formula>
    </cfRule>
    <cfRule type="cellIs" dxfId="11" priority="14" operator="lessThan">
      <formula>0</formula>
    </cfRule>
  </conditionalFormatting>
  <conditionalFormatting sqref="C120">
    <cfRule type="cellIs" dxfId="10" priority="1" operator="lessThan">
      <formula>-0.5</formula>
    </cfRule>
  </conditionalFormatting>
  <conditionalFormatting sqref="C426:C433">
    <cfRule type="cellIs" dxfId="9" priority="3" operator="lessThan">
      <formula>-0.5</formula>
    </cfRule>
  </conditionalFormatting>
  <conditionalFormatting sqref="C8:D8">
    <cfRule type="cellIs" dxfId="8" priority="10" operator="greaterThan">
      <formula>".5"</formula>
    </cfRule>
  </conditionalFormatting>
  <conditionalFormatting sqref="C106:D119 C122:D123">
    <cfRule type="cellIs" dxfId="7" priority="5" operator="lessThan">
      <formula>-0.5</formula>
    </cfRule>
  </conditionalFormatting>
  <conditionalFormatting sqref="C190:D196 C318:D323 C434:D434">
    <cfRule type="cellIs" dxfId="6" priority="6" operator="lessThan">
      <formula>-0.5</formula>
    </cfRule>
  </conditionalFormatting>
  <conditionalFormatting sqref="C425:D425">
    <cfRule type="cellIs" dxfId="5" priority="11" operator="lessThan">
      <formula>-0.5</formula>
    </cfRule>
  </conditionalFormatting>
  <conditionalFormatting sqref="C430:D432">
    <cfRule type="cellIs" dxfId="4" priority="4" operator="lessThan">
      <formula>-0.5</formula>
    </cfRule>
  </conditionalFormatting>
  <conditionalFormatting sqref="X112:X113">
    <cfRule type="timePeriod" dxfId="3" priority="7" timePeriod="nextMonth">
      <formula>AND(MONTH(X112)=MONTH(EDATE(TODAY(),0+1)),YEAR(X112)=YEAR(EDATE(TODAY(),0+1)))</formula>
    </cfRule>
  </conditionalFormatting>
  <conditionalFormatting sqref="X116:X121">
    <cfRule type="timePeriod" dxfId="2" priority="2" timePeriod="nextMonth">
      <formula>AND(MONTH(X116)=MONTH(EDATE(TODAY(),0+1)),YEAR(X116)=YEAR(EDATE(TODAY(),0+1)))</formula>
    </cfRule>
  </conditionalFormatting>
  <conditionalFormatting sqref="X195:X196">
    <cfRule type="timePeriod" dxfId="1" priority="8" timePeriod="nextMonth">
      <formula>AND(MONTH(X195)=MONTH(EDATE(TODAY(),0+1)),YEAR(X195)=YEAR(EDATE(TODAY(),0+1)))</formula>
    </cfRule>
  </conditionalFormatting>
  <conditionalFormatting sqref="X426:X428">
    <cfRule type="timePeriod" dxfId="0" priority="9" timePeriod="nextMonth">
      <formula>AND(MONTH(X426)=MONTH(EDATE(TODAY(),0+1)),YEAR(X426)=YEAR(EDATE(TODAY(),0+1)))</formula>
    </cfRule>
  </conditionalFormatting>
  <dataValidations count="2">
    <dataValidation type="list" allowBlank="1" showInputMessage="1" showErrorMessage="1" sqref="M164:M165 M87 M304:M308 M90:M92 M168 M170:M172 M175:M181 M416 J183 M98:M101 M103 J187 J189 M310:M318 M183:M193 M420:M425 J195:J196 M105:M113 M320:M323 M434 M116 M118 M430:M432 M122:M123" xr:uid="{D9BD1E7D-F9AE-4062-AC26-142366CE1164}">
      <formula1>"BLACK - 1.0M X 1.2M LOCAL, BLUE - 1.2M X 1.0M EXPORT, GREEN - 1.1M X 1.0M EXPORT, RED - 1.0M X 0.9M EXPORT, YELLOW - 1.6. X 0.75M - BATHTUB"</formula1>
    </dataValidation>
    <dataValidation type="list" allowBlank="1" showInputMessage="1" showErrorMessage="1" sqref="T8 K58 K67:L75 L9 L47:L67 L157:L163 L76:L85 L303 O164:O165 T164:T165 S86:T86 T87 O87 T304:T308 O304:O308 L325 L198 O168:O172 L89 T90:T91 O90:O92 S92:T92 S168:T168 S172 L93 T416 T169:T172 O175:O181 T175:T181 S179:S181 O416 S95:S97 O310:O313 T98 S99:T99 S183:T183 O99:O101 S101:T101 T100:T101 T184:T186 T310:T316 S187:T187 T188:T189 O315:O318 S317:T317 S103:T105 S420:T423 S189:T189 S121:T121 O420:O428 O320:O323 O434 O183:O196 L124 S117:S118 O430:O432 O103:O123" xr:uid="{4612CE2D-60EC-421C-BE0C-A2F1976FC1F8}">
      <formula1>"Finished Goods - DC, Parts/Components - Assembly Store, Parts/Components - Assembly at a Machine"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Factory1</vt:lpstr>
      <vt:lpstr>Factory 2</vt:lpstr>
      <vt:lpstr>Factory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Lesiba Latakgomo</dc:creator>
  <cp:lastModifiedBy>Trevor Fitz</cp:lastModifiedBy>
  <dcterms:created xsi:type="dcterms:W3CDTF">2026-05-11T13:43:14Z</dcterms:created>
  <dcterms:modified xsi:type="dcterms:W3CDTF">2026-05-11T13:59:01Z</dcterms:modified>
</cp:coreProperties>
</file>